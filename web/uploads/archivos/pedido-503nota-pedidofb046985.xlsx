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ADRIAN\Downloads\"/>
    </mc:Choice>
  </mc:AlternateContent>
  <xr:revisionPtr revIDLastSave="0" documentId="8_{98BF9A5B-E526-4B89-B690-5D4D6480D9FE}" xr6:coauthVersionLast="47" xr6:coauthVersionMax="47" xr10:uidLastSave="{00000000-0000-0000-0000-000000000000}"/>
  <bookViews>
    <workbookView xWindow="-120" yWindow="-120" windowWidth="29040" windowHeight="15840" xr2:uid="{C63B3AC4-28E4-41B0-8739-B3064D1DA978}"/>
  </bookViews>
  <sheets>
    <sheet name="ALIM-IMP" sheetId="1" r:id="rId1"/>
  </sheets>
  <definedNames>
    <definedName name="_xlnm.Print_Area" localSheetId="0">'ALIM-IMP'!$A$8:$I$43</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120" i="1" l="1"/>
  <c r="G361" i="1"/>
  <c r="G360"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alcChain>
</file>

<file path=xl/sharedStrings.xml><?xml version="1.0" encoding="utf-8"?>
<sst xmlns="http://schemas.openxmlformats.org/spreadsheetml/2006/main" count="2135" uniqueCount="249">
  <si>
    <t>Pedido de Necesidades Trimestrales</t>
  </si>
  <si>
    <t>JURISDICCION:</t>
  </si>
  <si>
    <t>45- Ministerio de Desarrollo Social y Deporte.-</t>
  </si>
  <si>
    <t xml:space="preserve">SAF N°: </t>
  </si>
  <si>
    <t>25- Direccion Provincial de Gestion Administracion y RRHH</t>
  </si>
  <si>
    <t>EJERCICIO:</t>
  </si>
  <si>
    <t>TRIMESTRE</t>
  </si>
  <si>
    <t>ID</t>
  </si>
  <si>
    <t>CODIGO ITEM</t>
  </si>
  <si>
    <t>RUBRO DE COMPRA</t>
  </si>
  <si>
    <t xml:space="preserve">I.P.P. </t>
  </si>
  <si>
    <t>DESCRIPCION</t>
  </si>
  <si>
    <t>UNIDAD DE MEDIDA</t>
  </si>
  <si>
    <t>CANTIDAD</t>
  </si>
  <si>
    <t>PRECIO UNITARIO ESTIMADO</t>
  </si>
  <si>
    <t xml:space="preserve">IMPORTE TOTAL ESTIMADO </t>
  </si>
  <si>
    <t>2.1.1-2868.55</t>
  </si>
  <si>
    <t>ALIMENTOS</t>
  </si>
  <si>
    <t>2.1.1</t>
  </si>
  <si>
    <t>FIDEOS SECOS; VARIEDAD: TALLARIN, RELLENO: SIN, PRESENTACION: ENVASE X 500 GR, MATERIAL ENVASE: PLASTICO 1 (PET), ELEM. TRANSPORTE: SIN, MATERIAL ELEM. TRANSPORTE: SIN, CERTIFICADO FORESTAL (GFS): SIN, LIBRE DE GLUTEN: NO</t>
  </si>
  <si>
    <t>PAQUETE</t>
  </si>
  <si>
    <t>2.1.1-435.60</t>
  </si>
  <si>
    <t>ARROZ; TIPO GRANO: LARGO-FINO, TIPO: BLANCO, PROCESO: SIN CASCARA, PRESENTACION: BOLSA X 1 Kg, MATERIAL ENVASE: PLASTICO, CERTIFICADO FORESTAL (GFS): SIN, ELEM. TRANSPORTE: SIN, MATERIAL ELEM. TRANSPORTE: SIN, LIBRE DE GLUTEN: SI</t>
  </si>
  <si>
    <t>BOLSA</t>
  </si>
  <si>
    <t>2.1.1-6547.55</t>
  </si>
  <si>
    <t>LEGUMBRES; VARIEDAD: POROTO SECO, ESTADO: SECA Y CONSERVADA, PRESENTACION: BOLSA PLASTICA, PESO: 1 Kg</t>
  </si>
  <si>
    <t>2.1.1-483.33</t>
  </si>
  <si>
    <t>HUEVO DE GALLINA; TAMAÑO: MEDIANOS, COLOR: BLANCOS, PRESENTACION: 30</t>
  </si>
  <si>
    <t>MAPLE</t>
  </si>
  <si>
    <t>2.1.1-6546.330</t>
  </si>
  <si>
    <t>VERDURAS Y HORTALIZAS; VARIEDAD: ZAPALLO ANCO, ESTADO: NATURAL, PRESENTACION: UNIDAD, PESO: 1 Kg</t>
  </si>
  <si>
    <t>KG</t>
  </si>
  <si>
    <t>2.1.1-6546.4</t>
  </si>
  <si>
    <t>VERDURAS Y HORTALIZAS; VARIEDAD: TOMATE PERITA, ESTADO: TRITURADO, PRESENTACION: BOTELLA, PESO: 950 GR</t>
  </si>
  <si>
    <t>BOTELLA</t>
  </si>
  <si>
    <t>2.1.1-6547.17</t>
  </si>
  <si>
    <t>LEGUMBRES; VARIEDAD: ARVEJA, ESTADO: REMOJADO EN CONSERVA, PRESENTACION: LATA, PESO: 350 GR</t>
  </si>
  <si>
    <t>LATA</t>
  </si>
  <si>
    <t>2.1.1-439.67</t>
  </si>
  <si>
    <t>ACEITES COMESTIBLES; TIPO: GIRASOL, PRESENTACION: ENVASE X 900 CM3, MATERIAL ENVASE: PLASTICO 1 (PET), ELEM. TRANSPORTE: SIN, MATERIAL ELEM. TRANSPORTE : SIN, LIBRE DE GLUTEN: NO</t>
  </si>
  <si>
    <t>2.1.1-6546.46</t>
  </si>
  <si>
    <t>VERDURAS Y HORTALIZAS; VARIEDAD: CEBOLLA, ESTADO: NATURAL, PRESENTACION: GRANEL, PESO: SIN VALOR</t>
  </si>
  <si>
    <t>2.1.1-6546.100</t>
  </si>
  <si>
    <t>VERDURAS Y HORTALIZAS; ESTADO: NATURAL, PRESENTACION: GRANEL, VARIEDAD: PAPA BLANCA, PESO: SIN VALOR</t>
  </si>
  <si>
    <t>2.1.1-6546.403</t>
  </si>
  <si>
    <t>VERDURAS Y HORTALIZAS; VARIEDAD: ZANAHORIA, ESTADO: NATURAL, PRESENTACION: BOLSA, PESO: NO CORRESPONDE, ELEM. TRANSPORTE: SIN, MATERIAL ELEM. TRANSPORTE: SIN, LIBRE DE GLUTEN: SI, ORGANICO: NO</t>
  </si>
  <si>
    <t>2.1.1-6546.95</t>
  </si>
  <si>
    <t>VERDURAS Y HORTALIZAS; VARIEDAD: MORRON VERDE, ESTADO: NATURAL, PRESENTACION: GRANEL, PESO: SIN VALOR</t>
  </si>
  <si>
    <t>UNIDAD</t>
  </si>
  <si>
    <t>2.1.1-6546.401</t>
  </si>
  <si>
    <t>VERDURAS Y HORTALIZAS; VARIEDAD: AJO, ESTADO: NATURAL, PRESENTACION: UNIDAD, PESO: NO CORRESPONDE, ELEM. TRANSPORTE: SIN, MATERIAL ELEM. TRANSPORTE: SIN, LIBRE DE GLUTEN: SI, ORGANICO: NO</t>
  </si>
  <si>
    <t>CABEZA</t>
  </si>
  <si>
    <t>2.1.1-6546.47</t>
  </si>
  <si>
    <t>VERDURAS Y HORTALIZAS; VARIEDAD: CEBOLLA DE VERDEO, ESTADO: NATURAL, PRESENTACION: GRANEL, PESO: SIN VALOR</t>
  </si>
  <si>
    <t>ATADO</t>
  </si>
  <si>
    <t>2.1.1-6546.188</t>
  </si>
  <si>
    <t>VERDURAS Y HORTALIZAS; ESTADO: NATURAL, PRESENTACION: GRANEL, PESO: SIN VALOR, VARIEDAD: ZAPALLO CRIOLLO</t>
  </si>
  <si>
    <t>2.1.1-482.69</t>
  </si>
  <si>
    <t>HARINAS; TIPO: MAIZ, PRESENTACION: ENVASE X 1 Kg, MATERIAL ENVASE: PAPEL, CERTICADO FORESTAL (GFS): SIN, ELEM. TRANSPORTE: SIN, MATERIAL ELEM. TRANSPORTE: SIN, LIBRE DE GLUTEN: NO</t>
  </si>
  <si>
    <t>2.1.1-541.7</t>
  </si>
  <si>
    <t>CARNES; ESPECIE: VACUNA, CORTE: PICADA ESPECIAL, TIPO: VACUNA</t>
  </si>
  <si>
    <t>2.1.1-541.49</t>
  </si>
  <si>
    <t>CARNES; ESPECIE: VACUNA, CORTE: NALGA, TIPO: VACUNA</t>
  </si>
  <si>
    <t>2.1.1-621.3</t>
  </si>
  <si>
    <t>AVES; PRESENTACION: TROZADO SIN PIEL, ESPECIE: POLLO, EVISCERADO: SIN VALOR, TIPO: POLLO</t>
  </si>
  <si>
    <t>2.1.1-669.64</t>
  </si>
  <si>
    <t>PANES; TIPO: FRANCES, PRESENTACION: ENVASE X 1 Kg</t>
  </si>
  <si>
    <t>2.1.1-489.132</t>
  </si>
  <si>
    <t>ESPECIAS; TIPO: PIMIENTA BLANCA, PRESENTACION: ENVASE X 1 Kg</t>
  </si>
  <si>
    <t>2.1.1-489.66</t>
  </si>
  <si>
    <t>ESPECIAS; TIPO: OREGANO, PRESENTACION: BOLSA DE 1 Kg</t>
  </si>
  <si>
    <t>2.1.1-489.67</t>
  </si>
  <si>
    <t>ESPECIAS; TIPO: PIMENTON, PRESENTACION: BOLSA DE 1 Kg</t>
  </si>
  <si>
    <t>2.1.1-489.109</t>
  </si>
  <si>
    <t>ESPECIAS; TIPO: PROVENZAL, PRESENTACION: PAQUETE X 1 Kg</t>
  </si>
  <si>
    <t>2.1.1-514.2</t>
  </si>
  <si>
    <t>SAL DE MESA; CONSISTENCIA: FINA, PESO: 500 GR, TIPO: SIN VALOR, ENVASE: PAQUETE</t>
  </si>
  <si>
    <t>2.1.1-514.15</t>
  </si>
  <si>
    <t>SAL DE MESA; CONSISTENCIA: GRUESA, ENVASE: BOLSA, PESO: 1 Kg, TIPO: SIN VALOR</t>
  </si>
  <si>
    <t>2.1.1-6539.8</t>
  </si>
  <si>
    <t>FRUTAS; VARIEDAD: NARANJA ESPECIAL, ESTADO: NATURAL, PRESENTACION: CAJON, PESO: SIN VALOR</t>
  </si>
  <si>
    <t>CAJON</t>
  </si>
  <si>
    <t>2.1.1-6539.19</t>
  </si>
  <si>
    <t>FRUTAS; ESTADO: NATURAL, VARIEDAD: MANZANA RED ELEGIDA, PRESENTACION: CAJON, PESO: SIN VALOR</t>
  </si>
  <si>
    <t>2.1.1-6539.30</t>
  </si>
  <si>
    <t>FRUTAS; VARIEDAD: BANANA, PRESENTACION: CAJON, ESTADO: NATURAL, PESO: SIN VALOR</t>
  </si>
  <si>
    <t>2.1.1-6539.32</t>
  </si>
  <si>
    <t>FRUTAS; VARIEDAD: PERA AMARILLA, ESTADO: NATURAL, PRESENTACION: CAJON, PESO: SIN VALOR</t>
  </si>
  <si>
    <t>2.1.1-669.25</t>
  </si>
  <si>
    <t>PANES; TIPO: RALLADO, PRESENTACION: BOLSA DE 1000 GR</t>
  </si>
  <si>
    <t>2.1.1-2616.6</t>
  </si>
  <si>
    <t>MAIZ; TIPO: BLANCO, PRESENTACION: PAQUETE X 1 Kg, FORMA DE PRESENTACION: PISADO</t>
  </si>
  <si>
    <t>2.1.1-2431.13</t>
  </si>
  <si>
    <t>CALDOS; GUSTO: VERDURA, TIPO: DESHIDRATADO, PRESENTACION: ENVASE X 12 UN</t>
  </si>
  <si>
    <t>CAJA</t>
  </si>
  <si>
    <t>2.1.1-6546.132</t>
  </si>
  <si>
    <t>VERDURAS Y HORTALIZAS; VARIEDAD: PEREJIL, ESTADO: NATURAL, PRESENTACION: GRANEL, PESO: SIN VALOR</t>
  </si>
  <si>
    <t>Especificidades Item N° 1:</t>
  </si>
  <si>
    <t>Descripción técnica</t>
  </si>
  <si>
    <t>FIDEO TIPO TALLARIN. PRESENTACION: PAQUETE X 500 GRAMOS</t>
  </si>
  <si>
    <t>Plazos y lugares de entrega</t>
  </si>
  <si>
    <t>SEMANAL</t>
  </si>
  <si>
    <t>COMEDOR</t>
  </si>
  <si>
    <t>DOMICILIO DE ENTREGA</t>
  </si>
  <si>
    <t xml:space="preserve">UNA SONRISA </t>
  </si>
  <si>
    <t>Bº SAN CARLOS OESTE AV. BONIFACIO COBACHO N° 670</t>
  </si>
  <si>
    <t xml:space="preserve">C.I.F Nº1 </t>
  </si>
  <si>
    <t>AV. RIVIERA DEL VALLE ENTRE FLORIDA Y SANTA FE</t>
  </si>
  <si>
    <t xml:space="preserve">C.I.F - RIVERA DEL VALLE </t>
  </si>
  <si>
    <t>Bº RIVERA DEL VALLE ENTRE VILLA EUMELIA Y MONTE CRISTO</t>
  </si>
  <si>
    <t>ESFUERZO PROPIO</t>
  </si>
  <si>
    <t>Bº MUNICIPAL 35VV. NORTE C/14</t>
  </si>
  <si>
    <t>JIREH LOTEO SUSSEX</t>
  </si>
  <si>
    <t>B° LA RIVERA CASA N° 28</t>
  </si>
  <si>
    <t>CLUB DEPORTIVO CHACARITA</t>
  </si>
  <si>
    <t>CALLE DR.DERMIDIO GALINDEZ C/2660</t>
  </si>
  <si>
    <t>LA MORO</t>
  </si>
  <si>
    <t>MAIPU NORTE 1º ETAPA MZA "H" Bº MI JARDIN</t>
  </si>
  <si>
    <t>PAPA FRANCISCO</t>
  </si>
  <si>
    <t>ENTRE AV.TEREBINTO Y AV.SAN JUAN LOTE "2" MZA. "B"</t>
  </si>
  <si>
    <t>E.P.C - 100 V.V NORTE</t>
  </si>
  <si>
    <t>Bº VV NORTE C/48 ENTRE ESPAÑA Y FRANCIA</t>
  </si>
  <si>
    <t xml:space="preserve">HOGAR DE CRISTO </t>
  </si>
  <si>
    <t>Bº SANTA MARTA MZA. "S" LOTE "M" C/39</t>
  </si>
  <si>
    <t>LA LUCIERNAGA</t>
  </si>
  <si>
    <t>Bº 20 V.V NORTE C/3</t>
  </si>
  <si>
    <t>VALLE VIEJO - SUMALAO</t>
  </si>
  <si>
    <t>PADRE SEGURA S/N</t>
  </si>
  <si>
    <t xml:space="preserve">NUESTRO FUTURO </t>
  </si>
  <si>
    <t>Bº LAS VIAS OESTE LOTE 42</t>
  </si>
  <si>
    <t>SAN JOSE OBRERO</t>
  </si>
  <si>
    <t>Bº SAN JOSE OBRERO. PJE. SANDOVAL S/Nº</t>
  </si>
  <si>
    <t>VIRGEN DE LUJAN</t>
  </si>
  <si>
    <t>Bº OJO DE AGUA C/DR.TEODULFO BARRIONUEVO S/Nº</t>
  </si>
  <si>
    <t>RENACER</t>
  </si>
  <si>
    <t>Bº VIRGEN MORENITA</t>
  </si>
  <si>
    <t>CENTRO VECINAL MI JARDIN</t>
  </si>
  <si>
    <t>C/ LOS TULIPANES ENTRE FLOR DE CEREZO Y HOLANDA MZA.27 Bº MI JARDIN</t>
  </si>
  <si>
    <t>LA VIEJA ESQUINA</t>
  </si>
  <si>
    <t>B° CRISTO REY PJE CAPATAZ VILLAFAÑEZ Y ARMANDO CORREA</t>
  </si>
  <si>
    <t>GAUCHITO GIL</t>
  </si>
  <si>
    <t>B° 26 VIVIENDAS CASA N° 3</t>
  </si>
  <si>
    <t>CORAZONES FELICES</t>
  </si>
  <si>
    <t>LOTEO PARQUE SUR MZ 1 LOTE N° 21</t>
  </si>
  <si>
    <t>*SE REALIZA LA ENTREGA DE 1.323 UNIDADES POR SEMANA ( DISTRIBUIDOS SEGÚN DETALLE PARA CADA COMEDOR)   LO QUE HACE UNA SUMA DE 5.292 UNIDADES MENSUALES  QUE REPRESENTAN UN TOTAL DE 15.876 UNIDADES TRIMESTRALES</t>
  </si>
  <si>
    <t>Calidad Minima esperada</t>
  </si>
  <si>
    <t>ALTA</t>
  </si>
  <si>
    <t>Mantenimiento</t>
  </si>
  <si>
    <t>60 DIAS</t>
  </si>
  <si>
    <t>Garantia</t>
  </si>
  <si>
    <t>S/E</t>
  </si>
  <si>
    <t>Especificidades Item N° 2:</t>
  </si>
  <si>
    <t>ARROZ GRANO LARGO-FINO. PRESENTACION: BOLSA PLASTICA X 1 KG</t>
  </si>
  <si>
    <t>*SE REALIZA LA ENTREGA DE 219 UNIDADES POR SEMANA ( DISTRIBUIDOS SEGÚN DETALLE PARA CADA COMEDOR)   LO QUE HACE UNA SUMA DE 876 UNIDADES MENSUALES  QUE REPRESENTAN UN TOTAL DE 2628 UNIDADES TRIMESTRALES</t>
  </si>
  <si>
    <t>Especificidades Item N° 3:</t>
  </si>
  <si>
    <t>POROTO SECO. PRESENTACION: BOLSA PLASTICA X 1 KG</t>
  </si>
  <si>
    <t>*SE REALIZA LA ENTREGA DE 277 KG POR SEMANA ( DISTRIBUIDOS SEGÚN DETALLE PARA CADA COMEDOR)   LO QUE HACE UNA SUMA DE 1.108  KG MENSUALES  QUE REPRESENTA UN TOTAL DE 3.324  KG TRIMESTRALES</t>
  </si>
  <si>
    <t>Especificidades Item N° 4:</t>
  </si>
  <si>
    <t>HUEVOS DE GALLINA PRESENTACION: MAPLE DE CARTON X 30 UNIDADES, TAMAÑO MEDIANOS</t>
  </si>
  <si>
    <t>*SE REALIZA LA ENTREGA DE 107 UNIDADES POR SEMANA ( DISTRIBUIDOS SEGÚN DETALLE PARA CADA COMEDOR)   LO QUE HACE UNA SUMA DE 428 UNIDADES MENSUALES  QUE REPRESENTA UN TOTAL DE 1.284 UNIDADES TRIMESTRALES</t>
  </si>
  <si>
    <t>Especificidades Item N° 5:</t>
  </si>
  <si>
    <t>ZAPALLO ANCO ESTADO NATURAL PRESENTACION POR UN KILOGRAMO</t>
  </si>
  <si>
    <t>*SE REALIZA LA ENTREGA DE 1.048 KG POR SEMANA ( DISTRIBUIDOS SEGÚN DETALLE PARA CADA COMEDOR)   LO QUE HACE UNA SUMA DE 4.192 KG MENSUALES  QUE REPRESENTA UN TOTAL DE 12.576 KG TRIMESTRALES</t>
  </si>
  <si>
    <t>Especificidades Item N° 6:</t>
  </si>
  <si>
    <t>TOMATE PERITA TRITURADO. PRESENTACION: BOTELLA DE VIDRIO X 950 GRAMOS</t>
  </si>
  <si>
    <t>*SE REALIZA LA ENTREGA DE 1.100 UNIDADES POR SEMANA ( DISTRIBUIDOS SEGÚN DETALLE PARA CADA COMEDOR)   LO QUE HACE UNA SUMA DE 4.400 UNIDADES MENSUALES  QUE REPRESENTA UN TOTAL DE 13.200 UNIDADES TRIMESTRALES</t>
  </si>
  <si>
    <t>Especificidades Item N° 7:</t>
  </si>
  <si>
    <t>ARVEJAS REMOJADAS EN CONSERVA. PRESENTACION: LATA X 350 GRAMOS</t>
  </si>
  <si>
    <t>*SE REALIZA LA ENTREGA DE 827 UNIDADES POR SEMANA ( DISTRIBUIDOS SEGÚN DETALLE PARA CADA COMEDOR)   LO QUE HACE UNA SUMA DE 3.308 UNIDADES MENSUALES  QUE REPRESENTA UN TOTAL DE 9.924 UNIDADES TRIMESTRALES</t>
  </si>
  <si>
    <t>Especificidades Item N° 8:</t>
  </si>
  <si>
    <t>ACEITE COMESTIBLE DE GIRASOL. PRESENTACION: BOTELLA PLASTICA X 900 CM3</t>
  </si>
  <si>
    <t>*SE REALIZA LA ENTREGA DE 390 UNIDADES POR SEMANA ( DISTRIBUIDOS SEGÚN DETALLE PARA CADA COMEDOR)   LO QUE HACE UNA SUMA DE 1.560 UNIDADES MENSUALES  QUE REPRESENTA UN TOTAL DE 4.680 UNIDADES TRIMESTRALES</t>
  </si>
  <si>
    <t>Especificidades Item N° 9:</t>
  </si>
  <si>
    <t>CEBOLLA ESTADO NATURAL PRESENTACION POR UN KILOGRAMO</t>
  </si>
  <si>
    <t>*SE REALIZA LA ENTREGA DE 1.489 KG POR SEMANA ( DISTRIBUIDOS SEGÚN DETALLE PARA CADA COMEDOR)   LO QUE HACE UNA SUMA DE 5.956 KG MENSUALES  QUE REPRESENTA UN TOTAL DE 17.868 KG TRIMESTRALES</t>
  </si>
  <si>
    <t>Especificidades Item N° 10:</t>
  </si>
  <si>
    <t>PAPA BLANCA ESTADO NATURAL PRESENTACION POR UN KILOGRAMO</t>
  </si>
  <si>
    <t>*SE REALIZA LA ENTREGA DE 3.849 KG POR SEMANA ( DISTRIBUIDOS SEGÚN DETALLE PARA CADA COMEDOR)   LO QUE HACE UNA SUMA DE 15.396 KG MENSUALES  QUE REPRESENTA UN TOTAL DE 46.188 KG TRIMESTRALES</t>
  </si>
  <si>
    <t>Especificidades Item N° 11:</t>
  </si>
  <si>
    <t>ZANAHORIA ESTADO NATURAL PRESENTACION BOLSA POR UN KILOGRAMO</t>
  </si>
  <si>
    <t>*SE REALIZA LA ENTREGA DE 718 KG POR SEMANA ( DISTRIBUIDOS SEGÚN DETALLE PARA CADA COMEDOR)   LO QUE HACE UNA SUMA DE 2.872 KG MENSUALES  QUE REPRESENTA UN TOTAL DE 8.616 KG TRIMESTRALES</t>
  </si>
  <si>
    <t>Especificidades Item N° 12:</t>
  </si>
  <si>
    <t>MORRON VERDE ESTADO NATURAL PRESENTACION UNIDAD PESO APROXIMADO 200 GRAMOS</t>
  </si>
  <si>
    <t>*SE REALIZA LA ENTREGA DE 1.649 UNIDADES POR SEMANA ( DISTRIBUIDOS SEGÚN DETALLE PARA CADA COMEDOR)   LO QUE HACE UNA SUMA DE 6.596 UNIDADES MENSUALES  QUE REPRESENTA UN TOTAL DE 19.788 UNIDADES TRIMESTRALES</t>
  </si>
  <si>
    <t>Especificidades Item N° 13:</t>
  </si>
  <si>
    <t xml:space="preserve"> CABEZA DE AJO TAMAÑO GRANDE ESTADO:NATURAL , PESO APROXIMADO 70 GRAMOS</t>
  </si>
  <si>
    <t>Especificidades Item N° 14:</t>
  </si>
  <si>
    <t>CEBOLLA DE VERDEO ESTADO NATURAL PRESENTACION: UNIDAD/ATADO PESO APROXIMADO 150 GRAMOS</t>
  </si>
  <si>
    <t>*SE REALIZA LA ENTREGA DE 550 UNIDADES POR SEMANA ( DISTRIBUIDOS SEGÚN DETALLE PARA CADA COMEDOR)   LO QUE HACE UNA SUMA DE 2.200 UNIDADES MENSUALES  QUE REPRESENTA UN TOTAL DE 6.600 UNIDADES TRIMESTRALES</t>
  </si>
  <si>
    <t>Especificidades Item N° 15:</t>
  </si>
  <si>
    <t>ZAPALLO CRIOLLO ESTADO NATURAL PRESENTACION POR UN KILOGRAMO</t>
  </si>
  <si>
    <t>*SE REALIZA LA ENTREGA DE 2.148 KG POR SEMANA ( DISTRIBUIDOS SEGÚN DETALLE PARA CADA COMEDOR)   LO QUE HACE UNA SUMA DE 8.592 KG MENSUALES  QUE REPRESENTA UN TOTAL DE 25.776 KG TRIMESTRALES</t>
  </si>
  <si>
    <t>Especificidades Item N° 16:</t>
  </si>
  <si>
    <t>HARINA DE MAIZ. PRESENTACION PAQUETE DE PAPEL CERTIFICADO FORESTAL X UN KILOGRAMO</t>
  </si>
  <si>
    <t>Especificidades Item N° 17:</t>
  </si>
  <si>
    <t>CARNE VACUNA: PICADA ESPECIAL PRESENTACION POR UN KILOGRAMO</t>
  </si>
  <si>
    <t>*SE REALIZA LA ENTREGA DE 882 KG POR SEMANA ( DISTRIBUIDOS SEGÚN DETALLE PARA CADA COMEDOR)   LO QUE HACE UNA SUMA DE 3.528 KG MENSUALES  QUE REPRESENTA UN TOTAL DE 10.584 KG TRIMESTRALES</t>
  </si>
  <si>
    <t>Especificidades Item N° 18:</t>
  </si>
  <si>
    <t>CARNE VACUNA: NALGA ESPECIAL PRESENTACION POR UN KILOGRAMO</t>
  </si>
  <si>
    <t>*SE REALIZA LA ENTREGA DE 550 KG POR SEMANA ( DISTRIBUIDOS SEGÚN DETALLE PARA CADA COMEDOR)   LO QUE HACE UNA SUMA DE 2.200 KG MENSUALES  QUE REPRESENTA UN TOTAL DE 6.600 KG TRIMESTRALES</t>
  </si>
  <si>
    <t>Especificidades Item N° 19:</t>
  </si>
  <si>
    <t>POLLO TROZADO, PRESENTACION POR UN KILOGRAMO</t>
  </si>
  <si>
    <t>*SE REALIZA LA ENTREGA DE 1.376 KG POR SEMANA ( DISTRIBUIDOS SEGÚN DETALLE PARA CADA COMEDOR)   LO QUE HACE UNA SUMA DE 5.504 KG MENSUALES  QUE REPRESENTA UN TOTAL DE 16.512 KG TRIMESTRALES</t>
  </si>
  <si>
    <t>Especificidades Item N° 20:</t>
  </si>
  <si>
    <t>PAN FRANCES POR KILOGRAMO</t>
  </si>
  <si>
    <t>POR DIA (LUNES-MARTES-MIERCOLES-JUEVES Y VIERNES)</t>
  </si>
  <si>
    <t>*SE REALIZA LA ENTREGA DE 657 KG POR DIA ( DISTRIBUIDOS SEGÚN DETALLE PARA CADA COMEDOR) RESULTANDO3.285 KG POR SEMANA  LO QUE HACE UNA SUMA DE 13.140 KG MENSUALES  QUE REPRESENTA UN TOTAL DE 39.420 KG TRIMESTRALES</t>
  </si>
  <si>
    <t>Especificidades Item N° 21:</t>
  </si>
  <si>
    <t>PIMIENTA BLANCA. PRESENTACION: BOLSA PLASTICA POR UN KILOGRAMO</t>
  </si>
  <si>
    <t>QUINCENAL</t>
  </si>
  <si>
    <t>1 KG</t>
  </si>
  <si>
    <t>*SE REALIZA LA ENTREGA DE 20 KG QUINCENALES ( DISTRIBUIDOS SEGÚN DETALLE PARA CADA COMEDOR)   LO QUE HACE UNA SUMA DE 40 KG MENSUALES  QUE REPRESENTA UN TOTAL DE 120 KG TRIMESTRALES</t>
  </si>
  <si>
    <t>Especificidades Item N° 22:</t>
  </si>
  <si>
    <t>OREGANO. PRESENTACION: BOLSA PLASTICA POR UN KILOGRAMO</t>
  </si>
  <si>
    <t>Especificidades Item N° 23:</t>
  </si>
  <si>
    <t>PIMENTON. PRESENTACION: BOLSA PLASTICA POR UN KILOGRAMO</t>
  </si>
  <si>
    <t>Especificidades Item N° 24:</t>
  </si>
  <si>
    <t>PROVENZAL. PRESENTACION: PAQUETE PLASTICO POR UN KILOGRAMO</t>
  </si>
  <si>
    <t>Especificidades Item N° 25:</t>
  </si>
  <si>
    <t>SAL DE MESA TIPO FINA. PRESENTACION: PAQUETE POR 500 GRAMOS</t>
  </si>
  <si>
    <t>Especificidades Item N° 26:</t>
  </si>
  <si>
    <t>SAL DE MESA TIPO GRUESA. PRESENTACION BOLSA PLASTICA POR UN KILOGRAMO</t>
  </si>
  <si>
    <t>*SE REALIZA LA ENTREGA DE 61 UNIDADES POR SEMANA ( DISTRIBUIDOS SEGÚN DETALLE PARA CADA COMEDOR)   LO QUE HACE UNA SUMA DE 244  UNIDADES MENSUALES  QUE REPRESENTA UN TOTAL DE 732 UNIDADES TRIMESTRALES</t>
  </si>
  <si>
    <t>Especificidades Item N° 27:</t>
  </si>
  <si>
    <t>NARANJA ESTADO NATURAL PRESENTACION: CAJON MADERA X 18 KG - PESO APROXIMADO POR UNIDAD 200 GRAMOS</t>
  </si>
  <si>
    <t>LOS DIAS MARTES CADA 15 DIAS</t>
  </si>
  <si>
    <t>*SE REALIZA LA ENTREGA DE 64 UNIDADES CADA 15 DIAS ( DISTRIBUIDOS SEGÚN DETALLE PARA CADA COMEDOR)   LO QUE HACE UNA SUMA DE 128 UNIDADES MENSUALES  QUE REPRESENTA UN TOTAL DE  384 UNIDADES TRIMESTRALES. LA ENTREGA NO DEBE COINCIDIR CON EL DIA MARTES EN QUE SE ENTREGA EL ITEM 29 (BANANA)</t>
  </si>
  <si>
    <t>Especificidades Item N° 28:</t>
  </si>
  <si>
    <t>MANZANA RED ELEGIDA ESTADO NATURAL PRESENTACION: CAJON MADERA X 20 KG - PESO APROXIMADO POR UNIDAD 200 GRAMOS</t>
  </si>
  <si>
    <t>LOS DIAS JUEVES CADA 15 DIAS</t>
  </si>
  <si>
    <t>*SE REALIZA LA ENTREGA DE 61 UNIDADES CADA 15 DIAS ( DISTRIBUIDOS SEGÚN DETALLE PARA CADA COMEDOR)   LO QUE HACE UNA SUMA DE 122 UNIDADES MENSUALES QUE REPRESENTA UN TOTAL DE 366 UNIDADES TRIMESTRALES. LA ENTREGA NO DEBE COINCIDIR CON EL DIA JUEVES EN QUE SE ENTREGA EL ITEM 30 (PERA)</t>
  </si>
  <si>
    <t>Especificidades Item N° 29:</t>
  </si>
  <si>
    <t>BANANA ESTADO NATURAL PRESENTACION: CAJON CARTON X 20 KG - PESO APROXIMADO POR UNIDAD 200 GRAMOS</t>
  </si>
  <si>
    <t>*SE REALIZA LA ENTREGA DE 61 UNIDADES CADA 15 DIAS ( DISTRIBUIDOS SEGÚN DETALLE PARA CADA COMEDOR)   LO QUE HACE UNA SUMA DE 122  UNIDADES MENSUALES QUE REPRESENTA UN TOTAL DE 366 UNIDADES TRIMESTRALES. LA ENTREGA NO DEBE COINCIDIR CON EL DIA JUEVES EN QUE SE ENTREGA EL ITEM 27 (NARANJA)</t>
  </si>
  <si>
    <t>Especificidades Item N° 30:</t>
  </si>
  <si>
    <t>PERA ESTADO NATURAL PRESENTACION: CAJON MADERA  X 18 KG - PESO APROXIMADO POR UNIDAD 166 GRAMOS</t>
  </si>
  <si>
    <t>*SE REALIZA LA ENTREGA DE 56 UNIDADES CADA 15 DIAS (DISTRIBUIDOS SEGÚN DETALLE PARA CADA COMEDOR)   LO QUE HACE UNA SUMA DE 112  UNIDADES MENSUALES QUE REPRESENTA UN TOTAL DE 336 UNIDADES SEMESTRALES. LA ENTREGA NO DEBE COINCIDIR CON EL DIA JUEVES EN QUE SE ENTREGA EL ITEM 28 (MANZANA)</t>
  </si>
  <si>
    <t>Especificidades Item N° 31:</t>
  </si>
  <si>
    <t>PAN RALLADO PRESENTACION: BOLSA PLASTICA POR UN KILOGRAMO</t>
  </si>
  <si>
    <t>*SE REALIZA LA ENTREGA DE 277 UNIDADES POR SEMANA ( DISTRIBUIDOS SEGÚN DETALLE PARA CADA COMEDOR)   LO QUE HACE UNA SUMA DE 1.108 UNIDADES MENSUALES  QUE REPRESENTAN UN TOTAL DE 3.324 UNIDADES TRIMESTRALES</t>
  </si>
  <si>
    <t>Especificidades Item N° 32:</t>
  </si>
  <si>
    <t>MAIZ BLANCO PISADO. PRESENTACION: BOLSA PLASTICA POR  UN KILOGRAMO</t>
  </si>
  <si>
    <t>*SE REALIZA LA ENTREGA DE 550 UNIDADES POR SEMANA ( DISTRIBUIDOS SEGÚN DETALLE PARA CADA COMEDOR)   LO QUE HACE UNA SUMA DE 2.200 UNIDADES MENSUALES  QUE REPRESENTAN UN TOTAL DE 6.600 UNIDADES TRIMESTRALES</t>
  </si>
  <si>
    <t>Especificidades Item N° 33:</t>
  </si>
  <si>
    <t>CALDO GUSTO DE VERDURA DESHIDRATADO. PRESENTACION: CAJA POR DOCE UNIDADES</t>
  </si>
  <si>
    <t>*SE REALIZA LA ENTREGA DE 107 UNIDADES POR SEMANA ( DISTRIBUIDOS SEGÚN DETALLE PARA CADA COMEDOR)   LO QUE HACE UNA SUMA DE 428 UNIDADES MENSUALES  QUE REPRESENTAN UN TOTAL DE 1.284 UNIDADES TRIMESTRALES</t>
  </si>
  <si>
    <t>Especificidades Item N° 34:</t>
  </si>
  <si>
    <t>PEREJIL ESTADO NATURAL, PRESENTACION: UNIDAD/ ATADO PESO APROXIMADO 100 GRAMOS</t>
  </si>
  <si>
    <t>*SE REALIZA LA ENTREGA DE 219 UNIDADES POR SEMANA ( DISTRIBUIDOS SEGÚN DETALLE PARA CADA COMEDOR)   LO QUE HACE UNA SUMA DE 876 UNIDADES MENSUALES  QUE REPRESENTAN UN TOTAL DE 2.628 UNIDADES TRIMESTRALES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</si>
</sst>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quot; €&quot;_-;\-* #,##0.00&quot; €&quot;_-;_-* \-??&quot; €&quot;_-;_-@_-"/>
    <numFmt numFmtId="165" formatCode="[$$-2C0A]\ #,##0.00;[$$-2C0A]&quot; -&quot;#,##0.00"/>
    <numFmt numFmtId="166" formatCode="0.000"/>
  </numFmts>
  <fonts count="15" x14ac:knownFonts="1">
    <font>
      <sz val="10"/>
      <name val="Arial"/>
      <charset val="1"/>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sz val="10"/>
      <name val="Arial"/>
      <family val="2"/>
    </font>
    <font>
      <b/>
      <sz val="10"/>
      <name val="Arial"/>
      <family val="2"/>
    </font>
    <font>
      <b/>
      <sz val="9"/>
      <name val="Times New Roman"/>
      <family val="1"/>
    </font>
    <font>
      <b/>
      <sz val="10"/>
      <name val="Times New Roman"/>
      <family val="1"/>
    </font>
    <font>
      <u/>
      <sz val="10"/>
      <name val="Times New Roman"/>
      <family val="1"/>
    </font>
    <font>
      <b/>
      <sz val="10"/>
      <color rgb="FFFF0000"/>
      <name val="Times New Roman"/>
      <family val="1"/>
    </font>
  </fonts>
  <fills count="3">
    <fill>
      <patternFill patternType="none"/>
    </fill>
    <fill>
      <patternFill patternType="gray125"/>
    </fill>
    <fill>
      <patternFill patternType="solid">
        <fgColor theme="0"/>
        <bgColor indexed="64"/>
      </patternFill>
    </fill>
  </fills>
  <borders count="35">
    <border>
      <left/>
      <right/>
      <top/>
      <bottom/>
      <diagonal/>
    </border>
    <border>
      <left style="medium">
        <color auto="1"/>
      </left>
      <right/>
      <top style="medium">
        <color auto="1"/>
      </top>
      <bottom/>
      <diagonal/>
    </border>
    <border>
      <left style="medium">
        <color auto="1"/>
      </left>
      <right style="medium">
        <color auto="1"/>
      </right>
      <top style="medium">
        <color auto="1"/>
      </top>
      <bottom/>
      <diagonal/>
    </border>
    <border>
      <left/>
      <right/>
      <top style="medium">
        <color auto="1"/>
      </top>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medium">
        <color auto="1"/>
      </top>
      <bottom style="thin">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indexed="64"/>
      </bottom>
      <diagonal/>
    </border>
  </borders>
  <cellStyleXfs count="2">
    <xf numFmtId="0" fontId="0" fillId="0" borderId="0"/>
    <xf numFmtId="164" fontId="9" fillId="0" borderId="0" applyBorder="0" applyProtection="0"/>
  </cellStyleXfs>
  <cellXfs count="116">
    <xf numFmtId="0" fontId="0" fillId="0" borderId="0" xfId="0"/>
    <xf numFmtId="0" fontId="1" fillId="0" borderId="0" xfId="0" applyFont="1"/>
    <xf numFmtId="0" fontId="2" fillId="0" borderId="0" xfId="0" applyFont="1" applyAlignment="1">
      <alignment horizontal="center"/>
    </xf>
    <xf numFmtId="0" fontId="1" fillId="0" borderId="0" xfId="0" applyFont="1" applyAlignment="1">
      <alignment horizontal="center"/>
    </xf>
    <xf numFmtId="0" fontId="3" fillId="0" borderId="0" xfId="0" applyFont="1" applyAlignment="1">
      <alignment horizontal="left" vertical="center" wrapText="1"/>
    </xf>
    <xf numFmtId="0" fontId="4" fillId="0" borderId="0" xfId="0" applyFont="1" applyAlignment="1">
      <alignment horizontal="left" wrapText="1" indent="1"/>
    </xf>
    <xf numFmtId="0" fontId="5" fillId="0" borderId="0" xfId="0" applyFont="1" applyAlignment="1">
      <alignment horizontal="left" wrapText="1"/>
    </xf>
    <xf numFmtId="0" fontId="5" fillId="0" borderId="0" xfId="0" applyFont="1" applyAlignment="1">
      <alignment horizontal="center" wrapText="1"/>
    </xf>
    <xf numFmtId="0" fontId="4" fillId="0" borderId="0" xfId="0" applyFont="1" applyAlignment="1">
      <alignment horizontal="left" wrapText="1" indent="1"/>
    </xf>
    <xf numFmtId="0" fontId="6" fillId="0" borderId="0" xfId="0" applyFont="1" applyAlignment="1">
      <alignment horizontal="center" wrapText="1"/>
    </xf>
    <xf numFmtId="0" fontId="6" fillId="0" borderId="0" xfId="0" applyFont="1" applyAlignment="1">
      <alignment horizontal="left"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7" fillId="0" borderId="7" xfId="0" applyFont="1" applyBorder="1" applyAlignment="1">
      <alignment horizontal="center" vertical="center"/>
    </xf>
    <xf numFmtId="0" fontId="0" fillId="0" borderId="8" xfId="0" applyBorder="1"/>
    <xf numFmtId="0" fontId="0" fillId="0" borderId="9" xfId="0" applyBorder="1"/>
    <xf numFmtId="0" fontId="8" fillId="0" borderId="10" xfId="0" applyFont="1" applyBorder="1" applyAlignment="1">
      <alignment horizontal="center" vertical="center" wrapText="1"/>
    </xf>
    <xf numFmtId="0" fontId="0" fillId="2" borderId="8" xfId="0" applyFill="1" applyBorder="1"/>
    <xf numFmtId="0" fontId="9" fillId="2" borderId="8" xfId="0" applyFont="1" applyFill="1" applyBorder="1" applyAlignment="1">
      <alignment horizontal="center"/>
    </xf>
    <xf numFmtId="3" fontId="10" fillId="0" borderId="8" xfId="0" applyNumberFormat="1" applyFont="1" applyBorder="1" applyAlignment="1">
      <alignment horizontal="right" vertical="center"/>
    </xf>
    <xf numFmtId="165" fontId="11" fillId="0" borderId="11" xfId="1" applyNumberFormat="1" applyFont="1" applyBorder="1" applyAlignment="1" applyProtection="1">
      <alignment horizontal="right" vertical="center" wrapText="1"/>
    </xf>
    <xf numFmtId="0" fontId="7" fillId="0" borderId="12" xfId="0" applyFont="1" applyBorder="1" applyAlignment="1">
      <alignment horizontal="center" vertical="center"/>
    </xf>
    <xf numFmtId="0" fontId="0" fillId="0" borderId="13" xfId="0" applyBorder="1"/>
    <xf numFmtId="0" fontId="0" fillId="0" borderId="14" xfId="0" applyBorder="1"/>
    <xf numFmtId="0" fontId="8" fillId="0" borderId="13" xfId="0" applyFont="1" applyBorder="1" applyAlignment="1">
      <alignment horizontal="center" vertical="center" wrapText="1"/>
    </xf>
    <xf numFmtId="0" fontId="0" fillId="2" borderId="13" xfId="0" applyFill="1" applyBorder="1"/>
    <xf numFmtId="0" fontId="0" fillId="2" borderId="13" xfId="0" applyFill="1" applyBorder="1" applyAlignment="1">
      <alignment horizontal="center"/>
    </xf>
    <xf numFmtId="3" fontId="10" fillId="0" borderId="13" xfId="0" applyNumberFormat="1" applyFont="1" applyBorder="1" applyAlignment="1">
      <alignment horizontal="right" vertical="center"/>
    </xf>
    <xf numFmtId="165" fontId="11" fillId="0" borderId="13" xfId="1" applyNumberFormat="1" applyFont="1" applyBorder="1" applyAlignment="1" applyProtection="1">
      <alignment horizontal="right" vertical="center" wrapText="1"/>
    </xf>
    <xf numFmtId="0" fontId="0" fillId="0" borderId="15" xfId="0" applyBorder="1"/>
    <xf numFmtId="0" fontId="9" fillId="0" borderId="13" xfId="0" applyFont="1" applyBorder="1"/>
    <xf numFmtId="0" fontId="9" fillId="0" borderId="14" xfId="0" applyFont="1" applyBorder="1"/>
    <xf numFmtId="0" fontId="7" fillId="0" borderId="13" xfId="0" applyFont="1" applyBorder="1" applyAlignment="1">
      <alignment horizontal="center" vertical="center" wrapText="1"/>
    </xf>
    <xf numFmtId="0" fontId="9" fillId="2" borderId="13" xfId="0" applyFont="1" applyFill="1" applyBorder="1"/>
    <xf numFmtId="0" fontId="9" fillId="2" borderId="13" xfId="0" applyFont="1" applyFill="1" applyBorder="1" applyAlignment="1">
      <alignment horizontal="center"/>
    </xf>
    <xf numFmtId="0" fontId="0" fillId="2" borderId="0" xfId="0" applyFill="1"/>
    <xf numFmtId="0" fontId="0" fillId="2" borderId="13" xfId="0" applyFill="1" applyBorder="1" applyAlignment="1">
      <alignment vertical="top"/>
    </xf>
    <xf numFmtId="0" fontId="0" fillId="2" borderId="16" xfId="0" applyFill="1" applyBorder="1" applyAlignment="1">
      <alignment horizontal="center"/>
    </xf>
    <xf numFmtId="3" fontId="10" fillId="0" borderId="16" xfId="0" applyNumberFormat="1" applyFont="1" applyBorder="1" applyAlignment="1">
      <alignment horizontal="right" vertical="center"/>
    </xf>
    <xf numFmtId="3" fontId="10" fillId="0" borderId="14" xfId="0" applyNumberFormat="1" applyFont="1" applyBorder="1" applyAlignment="1">
      <alignment horizontal="right" vertical="center"/>
    </xf>
    <xf numFmtId="165" fontId="11" fillId="0" borderId="17" xfId="1" applyNumberFormat="1" applyFont="1" applyBorder="1" applyAlignment="1" applyProtection="1">
      <alignment horizontal="right" vertical="center" wrapText="1"/>
    </xf>
    <xf numFmtId="0" fontId="9" fillId="2" borderId="16" xfId="0" applyFont="1" applyFill="1" applyBorder="1" applyAlignment="1">
      <alignment horizontal="center"/>
    </xf>
    <xf numFmtId="3" fontId="10" fillId="0" borderId="13" xfId="0" applyNumberFormat="1" applyFont="1" applyBorder="1" applyAlignment="1">
      <alignment horizontal="right"/>
    </xf>
    <xf numFmtId="0" fontId="7" fillId="0" borderId="18" xfId="0" applyFont="1" applyBorder="1" applyAlignment="1">
      <alignment horizontal="center" vertical="center"/>
    </xf>
    <xf numFmtId="0" fontId="9" fillId="0" borderId="13" xfId="0" applyFont="1" applyBorder="1" applyAlignment="1">
      <alignment horizontal="center"/>
    </xf>
    <xf numFmtId="0" fontId="7" fillId="2" borderId="18" xfId="0" applyFont="1" applyFill="1" applyBorder="1" applyAlignment="1">
      <alignment horizontal="center" vertical="center"/>
    </xf>
    <xf numFmtId="0" fontId="0" fillId="2" borderId="14" xfId="0" applyFill="1" applyBorder="1"/>
    <xf numFmtId="0" fontId="8" fillId="2" borderId="13" xfId="0" applyFont="1" applyFill="1" applyBorder="1" applyAlignment="1">
      <alignment horizontal="center" vertical="center" wrapText="1"/>
    </xf>
    <xf numFmtId="165" fontId="11" fillId="2" borderId="13" xfId="1" applyNumberFormat="1" applyFont="1" applyFill="1" applyBorder="1" applyAlignment="1" applyProtection="1">
      <alignment horizontal="right" vertical="center" wrapText="1"/>
    </xf>
    <xf numFmtId="0" fontId="1" fillId="2" borderId="0" xfId="0" applyFont="1" applyFill="1"/>
    <xf numFmtId="165" fontId="12" fillId="0" borderId="0" xfId="0" applyNumberFormat="1" applyFont="1"/>
    <xf numFmtId="0" fontId="13" fillId="0" borderId="1" xfId="0" applyFont="1" applyBorder="1"/>
    <xf numFmtId="0" fontId="1" fillId="0" borderId="3" xfId="0" applyFont="1" applyBorder="1"/>
    <xf numFmtId="0" fontId="1" fillId="0" borderId="3" xfId="0" applyFont="1" applyBorder="1" applyAlignment="1">
      <alignment horizontal="center"/>
    </xf>
    <xf numFmtId="0" fontId="1" fillId="0" borderId="19" xfId="0" applyFont="1" applyBorder="1"/>
    <xf numFmtId="0" fontId="1" fillId="0" borderId="20" xfId="0" applyFont="1" applyBorder="1"/>
    <xf numFmtId="0" fontId="1" fillId="0" borderId="21" xfId="0" applyFont="1" applyBorder="1"/>
    <xf numFmtId="0" fontId="13" fillId="0" borderId="20" xfId="0" applyFont="1" applyBorder="1" applyAlignment="1">
      <alignment horizontal="left" indent="3"/>
    </xf>
    <xf numFmtId="0" fontId="1" fillId="0" borderId="21" xfId="0" applyFont="1" applyBorder="1" applyAlignment="1">
      <alignment horizontal="center" wrapText="1"/>
    </xf>
    <xf numFmtId="0" fontId="1" fillId="0" borderId="22" xfId="0" applyFont="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1" fillId="0" borderId="25" xfId="0" applyFont="1" applyBorder="1" applyAlignment="1">
      <alignment horizontal="center"/>
    </xf>
    <xf numFmtId="0" fontId="1" fillId="0" borderId="17" xfId="0" applyFont="1" applyBorder="1" applyAlignment="1">
      <alignment horizontal="center"/>
    </xf>
    <xf numFmtId="0" fontId="1" fillId="0" borderId="17" xfId="0" applyFont="1" applyBorder="1" applyAlignment="1">
      <alignment horizontal="center"/>
    </xf>
    <xf numFmtId="0" fontId="1" fillId="0" borderId="17" xfId="0" applyFont="1" applyBorder="1"/>
    <xf numFmtId="0" fontId="1" fillId="0" borderId="0" xfId="0" applyFont="1" applyAlignment="1">
      <alignment horizontal="center" vertical="center"/>
    </xf>
    <xf numFmtId="2" fontId="1" fillId="0" borderId="0" xfId="0" applyNumberFormat="1" applyFont="1" applyAlignment="1">
      <alignment horizontal="center"/>
    </xf>
    <xf numFmtId="0" fontId="1" fillId="0" borderId="13" xfId="0" applyFont="1" applyBorder="1" applyAlignment="1">
      <alignment horizontal="center"/>
    </xf>
    <xf numFmtId="0" fontId="1" fillId="0" borderId="13" xfId="0" applyFont="1" applyBorder="1" applyAlignment="1">
      <alignment horizontal="center"/>
    </xf>
    <xf numFmtId="0" fontId="1" fillId="0" borderId="13" xfId="0" applyFont="1" applyBorder="1"/>
    <xf numFmtId="0" fontId="1" fillId="0" borderId="16" xfId="0" applyFont="1" applyBorder="1" applyAlignment="1">
      <alignment horizontal="center"/>
    </xf>
    <xf numFmtId="0" fontId="1" fillId="0" borderId="16" xfId="0" applyFont="1" applyBorder="1" applyAlignment="1">
      <alignment horizontal="center"/>
    </xf>
    <xf numFmtId="0" fontId="1" fillId="0" borderId="16" xfId="0" applyFont="1" applyBorder="1"/>
    <xf numFmtId="0" fontId="12" fillId="0" borderId="22" xfId="0" applyFont="1" applyBorder="1" applyAlignment="1">
      <alignment horizontal="left" vertical="center" wrapText="1"/>
    </xf>
    <xf numFmtId="0" fontId="12" fillId="0" borderId="23" xfId="0" applyFont="1" applyBorder="1" applyAlignment="1">
      <alignment horizontal="left" vertical="center" wrapText="1"/>
    </xf>
    <xf numFmtId="0" fontId="12" fillId="0" borderId="24" xfId="0" applyFont="1" applyBorder="1" applyAlignment="1">
      <alignment horizontal="left" vertical="center" wrapText="1"/>
    </xf>
    <xf numFmtId="1" fontId="12" fillId="0" borderId="0" xfId="0" applyNumberFormat="1" applyFont="1" applyAlignment="1">
      <alignment horizontal="center" vertical="center"/>
    </xf>
    <xf numFmtId="0" fontId="12" fillId="0" borderId="0" xfId="0" applyFont="1" applyAlignment="1">
      <alignment horizontal="center" vertical="center"/>
    </xf>
    <xf numFmtId="3" fontId="1" fillId="0" borderId="0" xfId="0" applyNumberFormat="1" applyFont="1"/>
    <xf numFmtId="0" fontId="1" fillId="0" borderId="20" xfId="0" applyFont="1" applyBorder="1" applyAlignment="1">
      <alignment horizontal="left" indent="3"/>
    </xf>
    <xf numFmtId="0" fontId="1" fillId="0" borderId="0" xfId="0" applyFont="1" applyAlignment="1">
      <alignment horizontal="center" wrapText="1"/>
    </xf>
    <xf numFmtId="0" fontId="1" fillId="0" borderId="21" xfId="0" applyFont="1" applyBorder="1" applyAlignment="1">
      <alignment horizontal="center" wrapText="1"/>
    </xf>
    <xf numFmtId="0" fontId="1" fillId="0" borderId="21" xfId="0" applyFont="1" applyBorder="1" applyAlignment="1">
      <alignment horizontal="center"/>
    </xf>
    <xf numFmtId="0" fontId="1" fillId="0" borderId="26" xfId="0" applyFont="1" applyBorder="1" applyAlignment="1">
      <alignment horizontal="left" indent="3"/>
    </xf>
    <xf numFmtId="0" fontId="1" fillId="0" borderId="27" xfId="0" applyFont="1" applyBorder="1"/>
    <xf numFmtId="0" fontId="1" fillId="0" borderId="27" xfId="0" applyFont="1" applyBorder="1" applyAlignment="1">
      <alignment horizontal="center"/>
    </xf>
    <xf numFmtId="0" fontId="1" fillId="0" borderId="28" xfId="0" applyFont="1" applyBorder="1"/>
    <xf numFmtId="1" fontId="1" fillId="0" borderId="0" xfId="0" applyNumberFormat="1" applyFont="1"/>
    <xf numFmtId="0" fontId="1" fillId="0" borderId="0" xfId="0" applyFont="1" applyAlignment="1">
      <alignment horizontal="center" vertical="center" wrapText="1"/>
    </xf>
    <xf numFmtId="0" fontId="1" fillId="0" borderId="21" xfId="0" applyFont="1" applyBorder="1" applyAlignment="1">
      <alignment horizontal="center" vertical="center" wrapText="1"/>
    </xf>
    <xf numFmtId="0" fontId="1" fillId="0" borderId="1" xfId="0" applyFont="1" applyBorder="1" applyAlignment="1">
      <alignment horizontal="center"/>
    </xf>
    <xf numFmtId="0" fontId="1" fillId="0" borderId="3" xfId="0" applyFont="1" applyBorder="1" applyAlignment="1">
      <alignment horizontal="center"/>
    </xf>
    <xf numFmtId="0" fontId="1" fillId="0" borderId="19" xfId="0" applyFont="1" applyBorder="1" applyAlignment="1">
      <alignment horizontal="center"/>
    </xf>
    <xf numFmtId="0" fontId="1" fillId="0" borderId="29" xfId="0" applyFont="1" applyBorder="1" applyAlignment="1">
      <alignment horizontal="center"/>
    </xf>
    <xf numFmtId="0" fontId="1" fillId="0" borderId="30" xfId="0" applyFont="1" applyBorder="1" applyAlignment="1">
      <alignment horizontal="center"/>
    </xf>
    <xf numFmtId="0" fontId="1" fillId="0" borderId="24" xfId="0" applyFont="1" applyBorder="1" applyAlignment="1">
      <alignment horizontal="center"/>
    </xf>
    <xf numFmtId="0" fontId="0" fillId="0" borderId="13" xfId="0" applyBorder="1" applyAlignment="1">
      <alignment horizontal="center"/>
    </xf>
    <xf numFmtId="0" fontId="0" fillId="0" borderId="0" xfId="0" applyAlignment="1">
      <alignment horizontal="center"/>
    </xf>
    <xf numFmtId="0" fontId="1" fillId="0" borderId="2" xfId="0" applyFont="1" applyBorder="1" applyAlignment="1">
      <alignment horizontal="center"/>
    </xf>
    <xf numFmtId="0" fontId="1" fillId="0" borderId="0" xfId="0" applyFont="1" applyAlignment="1">
      <alignment horizontal="center"/>
    </xf>
    <xf numFmtId="0" fontId="14" fillId="0" borderId="0" xfId="0" applyFont="1" applyAlignment="1">
      <alignment horizontal="center"/>
    </xf>
    <xf numFmtId="1" fontId="1" fillId="0" borderId="17" xfId="0" applyNumberFormat="1" applyFont="1" applyBorder="1" applyAlignment="1">
      <alignment horizontal="center"/>
    </xf>
    <xf numFmtId="166" fontId="1" fillId="0" borderId="0" xfId="0" applyNumberFormat="1" applyFont="1" applyAlignment="1">
      <alignment horizontal="center"/>
    </xf>
    <xf numFmtId="1" fontId="1" fillId="0" borderId="13" xfId="0" applyNumberFormat="1" applyFont="1" applyBorder="1" applyAlignment="1">
      <alignment horizontal="center"/>
    </xf>
    <xf numFmtId="0" fontId="1" fillId="0" borderId="0" xfId="0" applyFont="1" applyAlignment="1">
      <alignment horizontal="center" wrapText="1"/>
    </xf>
    <xf numFmtId="0" fontId="1" fillId="0" borderId="31" xfId="0" applyFont="1" applyBorder="1" applyAlignment="1">
      <alignment horizontal="center"/>
    </xf>
    <xf numFmtId="0" fontId="1" fillId="0" borderId="9" xfId="0" applyFont="1" applyBorder="1" applyAlignment="1">
      <alignment horizontal="center"/>
    </xf>
    <xf numFmtId="0" fontId="1" fillId="0" borderId="32" xfId="0" applyFont="1" applyBorder="1" applyAlignment="1">
      <alignment horizontal="center"/>
    </xf>
    <xf numFmtId="0" fontId="1" fillId="0" borderId="14" xfId="0" applyFont="1" applyBorder="1" applyAlignment="1">
      <alignment horizontal="center"/>
    </xf>
    <xf numFmtId="0" fontId="1" fillId="0" borderId="33" xfId="0" applyFont="1" applyBorder="1" applyAlignment="1">
      <alignment horizontal="center"/>
    </xf>
    <xf numFmtId="0" fontId="1" fillId="0" borderId="34" xfId="0" applyFont="1" applyBorder="1" applyAlignment="1">
      <alignment horizont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9C25F-A511-4B42-BC6E-0BD6DE78B555}">
  <dimension ref="A1:J1267"/>
  <sheetViews>
    <sheetView tabSelected="1" topLeftCell="A13" zoomScale="80" zoomScaleNormal="80" workbookViewId="0">
      <selection activeCell="E17" sqref="E17"/>
    </sheetView>
  </sheetViews>
  <sheetFormatPr baseColWidth="10" defaultColWidth="11" defaultRowHeight="12.75" x14ac:dyDescent="0.2"/>
  <cols>
    <col min="1" max="1" width="4.5703125" style="1" customWidth="1"/>
    <col min="2" max="2" width="15.5703125" style="1" customWidth="1"/>
    <col min="3" max="3" width="26" style="1" customWidth="1"/>
    <col min="4" max="4" width="10" style="3" customWidth="1"/>
    <col min="5" max="5" width="162" style="1" customWidth="1"/>
    <col min="6" max="6" width="11" style="1"/>
    <col min="7" max="7" width="13.140625" style="1" customWidth="1"/>
    <col min="8" max="8" width="13.85546875" style="1" customWidth="1"/>
    <col min="9" max="9" width="18.5703125" style="1" customWidth="1"/>
    <col min="10" max="10" width="14.5703125" style="1" bestFit="1" customWidth="1"/>
    <col min="11" max="16384" width="11" style="1"/>
  </cols>
  <sheetData>
    <row r="1" spans="1:9" ht="27" x14ac:dyDescent="0.35">
      <c r="B1" s="2" t="s">
        <v>0</v>
      </c>
      <c r="C1" s="2"/>
      <c r="D1" s="2"/>
      <c r="E1" s="2"/>
      <c r="F1" s="2"/>
      <c r="G1" s="2"/>
      <c r="H1" s="2"/>
    </row>
    <row r="2" spans="1:9" ht="6" customHeight="1" x14ac:dyDescent="0.2"/>
    <row r="3" spans="1:9" ht="16.5" customHeight="1" x14ac:dyDescent="0.25">
      <c r="A3" s="4" t="s">
        <v>1</v>
      </c>
      <c r="B3" s="4"/>
      <c r="C3" s="5" t="s">
        <v>2</v>
      </c>
      <c r="D3" s="5"/>
      <c r="E3" s="5"/>
      <c r="F3" s="6"/>
      <c r="G3" s="7"/>
      <c r="H3" s="6"/>
    </row>
    <row r="4" spans="1:9" ht="17.25" customHeight="1" x14ac:dyDescent="0.25">
      <c r="A4" s="4" t="s">
        <v>3</v>
      </c>
      <c r="B4" s="4"/>
      <c r="C4" s="5" t="s">
        <v>4</v>
      </c>
      <c r="D4" s="5"/>
      <c r="E4" s="5"/>
      <c r="F4" s="6"/>
      <c r="G4" s="7"/>
      <c r="H4" s="6"/>
    </row>
    <row r="5" spans="1:9" ht="15" customHeight="1" x14ac:dyDescent="0.25">
      <c r="A5" s="4" t="s">
        <v>5</v>
      </c>
      <c r="B5" s="4"/>
      <c r="C5" s="8">
        <v>2021</v>
      </c>
      <c r="D5" s="9"/>
      <c r="E5" s="10"/>
      <c r="F5" s="6"/>
      <c r="G5" s="7"/>
      <c r="H5" s="6"/>
    </row>
    <row r="6" spans="1:9" ht="16.5" customHeight="1" x14ac:dyDescent="0.25">
      <c r="A6" s="4" t="s">
        <v>6</v>
      </c>
      <c r="B6" s="4"/>
      <c r="C6" s="8">
        <v>3</v>
      </c>
      <c r="D6" s="9"/>
      <c r="E6" s="10"/>
      <c r="F6" s="6"/>
      <c r="G6" s="7"/>
      <c r="H6" s="6"/>
    </row>
    <row r="7" spans="1:9" ht="7.5" customHeight="1" thickBot="1" x14ac:dyDescent="0.25">
      <c r="B7" s="6"/>
      <c r="C7" s="7"/>
      <c r="D7" s="7"/>
      <c r="E7" s="6"/>
      <c r="F7" s="6"/>
      <c r="G7" s="7"/>
      <c r="H7" s="6"/>
    </row>
    <row r="8" spans="1:9" ht="39" thickBot="1" x14ac:dyDescent="0.25">
      <c r="A8" s="11" t="s">
        <v>7</v>
      </c>
      <c r="B8" s="12" t="s">
        <v>8</v>
      </c>
      <c r="C8" s="12" t="s">
        <v>9</v>
      </c>
      <c r="D8" s="13" t="s">
        <v>10</v>
      </c>
      <c r="E8" s="12" t="s">
        <v>11</v>
      </c>
      <c r="F8" s="14" t="s">
        <v>12</v>
      </c>
      <c r="G8" s="15" t="s">
        <v>13</v>
      </c>
      <c r="H8" s="15" t="s">
        <v>14</v>
      </c>
      <c r="I8" s="16" t="s">
        <v>15</v>
      </c>
    </row>
    <row r="9" spans="1:9" ht="15.75" customHeight="1" x14ac:dyDescent="0.2">
      <c r="A9" s="17">
        <v>1</v>
      </c>
      <c r="B9" s="18" t="s">
        <v>16</v>
      </c>
      <c r="C9" s="19" t="s">
        <v>17</v>
      </c>
      <c r="D9" s="20" t="s">
        <v>18</v>
      </c>
      <c r="E9" s="21" t="s">
        <v>19</v>
      </c>
      <c r="F9" s="22" t="s">
        <v>20</v>
      </c>
      <c r="G9" s="23">
        <v>15876</v>
      </c>
      <c r="H9" s="24">
        <v>53</v>
      </c>
      <c r="I9" s="24">
        <f>+H9*G9</f>
        <v>841428</v>
      </c>
    </row>
    <row r="10" spans="1:9" ht="15.75" customHeight="1" x14ac:dyDescent="0.2">
      <c r="A10" s="25">
        <v>2</v>
      </c>
      <c r="B10" s="26" t="s">
        <v>21</v>
      </c>
      <c r="C10" s="27" t="s">
        <v>17</v>
      </c>
      <c r="D10" s="28" t="s">
        <v>18</v>
      </c>
      <c r="E10" s="29" t="s">
        <v>22</v>
      </c>
      <c r="F10" s="30" t="s">
        <v>23</v>
      </c>
      <c r="G10" s="31">
        <v>2628</v>
      </c>
      <c r="H10" s="32">
        <v>146</v>
      </c>
      <c r="I10" s="32">
        <f t="shared" ref="I10:I42" si="0">+H10*G10</f>
        <v>383688</v>
      </c>
    </row>
    <row r="11" spans="1:9" ht="15.75" customHeight="1" x14ac:dyDescent="0.2">
      <c r="A11" s="25">
        <v>3</v>
      </c>
      <c r="B11" s="33" t="s">
        <v>24</v>
      </c>
      <c r="C11" t="s">
        <v>17</v>
      </c>
      <c r="D11" s="28" t="s">
        <v>18</v>
      </c>
      <c r="E11" s="29" t="s">
        <v>25</v>
      </c>
      <c r="F11" s="30" t="s">
        <v>23</v>
      </c>
      <c r="G11" s="31">
        <v>3324</v>
      </c>
      <c r="H11" s="32">
        <v>486</v>
      </c>
      <c r="I11" s="32">
        <f t="shared" si="0"/>
        <v>1615464</v>
      </c>
    </row>
    <row r="12" spans="1:9" ht="15.75" customHeight="1" x14ac:dyDescent="0.2">
      <c r="A12" s="25">
        <v>4</v>
      </c>
      <c r="B12" s="34" t="s">
        <v>26</v>
      </c>
      <c r="C12" s="35" t="s">
        <v>17</v>
      </c>
      <c r="D12" s="36" t="s">
        <v>18</v>
      </c>
      <c r="E12" s="37" t="s">
        <v>27</v>
      </c>
      <c r="F12" s="38" t="s">
        <v>28</v>
      </c>
      <c r="G12" s="31">
        <v>1284</v>
      </c>
      <c r="H12" s="32">
        <v>475</v>
      </c>
      <c r="I12" s="32">
        <f t="shared" si="0"/>
        <v>609900</v>
      </c>
    </row>
    <row r="13" spans="1:9" ht="15.75" customHeight="1" x14ac:dyDescent="0.2">
      <c r="A13" s="25">
        <v>5</v>
      </c>
      <c r="B13" s="33" t="s">
        <v>29</v>
      </c>
      <c r="C13" t="s">
        <v>17</v>
      </c>
      <c r="D13" s="28" t="s">
        <v>18</v>
      </c>
      <c r="E13" s="39" t="s">
        <v>30</v>
      </c>
      <c r="F13" s="38" t="s">
        <v>31</v>
      </c>
      <c r="G13" s="31">
        <v>12576</v>
      </c>
      <c r="H13" s="32">
        <v>50</v>
      </c>
      <c r="I13" s="32">
        <f t="shared" si="0"/>
        <v>628800</v>
      </c>
    </row>
    <row r="14" spans="1:9" ht="15.75" customHeight="1" x14ac:dyDescent="0.2">
      <c r="A14" s="25">
        <v>6</v>
      </c>
      <c r="B14" s="26" t="s">
        <v>32</v>
      </c>
      <c r="C14" s="27" t="s">
        <v>17</v>
      </c>
      <c r="D14" s="28" t="s">
        <v>18</v>
      </c>
      <c r="E14" s="29" t="s">
        <v>33</v>
      </c>
      <c r="F14" s="30" t="s">
        <v>34</v>
      </c>
      <c r="G14" s="31">
        <v>13200</v>
      </c>
      <c r="H14" s="32">
        <v>180</v>
      </c>
      <c r="I14" s="32">
        <f t="shared" si="0"/>
        <v>2376000</v>
      </c>
    </row>
    <row r="15" spans="1:9" ht="15.75" customHeight="1" x14ac:dyDescent="0.2">
      <c r="A15" s="25">
        <v>7</v>
      </c>
      <c r="B15" s="26" t="s">
        <v>35</v>
      </c>
      <c r="C15" s="27" t="s">
        <v>17</v>
      </c>
      <c r="D15" s="28" t="s">
        <v>18</v>
      </c>
      <c r="E15" s="29" t="s">
        <v>36</v>
      </c>
      <c r="F15" s="30" t="s">
        <v>37</v>
      </c>
      <c r="G15" s="31">
        <v>9924</v>
      </c>
      <c r="H15" s="32">
        <v>56</v>
      </c>
      <c r="I15" s="32">
        <f t="shared" si="0"/>
        <v>555744</v>
      </c>
    </row>
    <row r="16" spans="1:9" ht="15.75" customHeight="1" x14ac:dyDescent="0.2">
      <c r="A16" s="25">
        <v>8</v>
      </c>
      <c r="B16" s="34" t="s">
        <v>38</v>
      </c>
      <c r="C16" s="27" t="s">
        <v>17</v>
      </c>
      <c r="D16" s="28" t="s">
        <v>18</v>
      </c>
      <c r="E16" s="29" t="s">
        <v>39</v>
      </c>
      <c r="F16" s="30" t="s">
        <v>34</v>
      </c>
      <c r="G16" s="31">
        <v>4680</v>
      </c>
      <c r="H16" s="32">
        <v>241</v>
      </c>
      <c r="I16" s="32">
        <f t="shared" si="0"/>
        <v>1127880</v>
      </c>
    </row>
    <row r="17" spans="1:9" ht="15.75" customHeight="1" x14ac:dyDescent="0.2">
      <c r="A17" s="25">
        <v>9</v>
      </c>
      <c r="B17" s="26" t="s">
        <v>40</v>
      </c>
      <c r="C17" s="27" t="s">
        <v>17</v>
      </c>
      <c r="D17" s="28" t="s">
        <v>18</v>
      </c>
      <c r="E17" s="29" t="s">
        <v>41</v>
      </c>
      <c r="F17" s="30" t="s">
        <v>31</v>
      </c>
      <c r="G17" s="31">
        <v>17868</v>
      </c>
      <c r="H17" s="32">
        <v>180</v>
      </c>
      <c r="I17" s="32">
        <f t="shared" si="0"/>
        <v>3216240</v>
      </c>
    </row>
    <row r="18" spans="1:9" ht="15.75" customHeight="1" x14ac:dyDescent="0.2">
      <c r="A18" s="25">
        <v>10</v>
      </c>
      <c r="B18" s="26" t="s">
        <v>42</v>
      </c>
      <c r="C18" s="27" t="s">
        <v>17</v>
      </c>
      <c r="D18" s="28" t="s">
        <v>18</v>
      </c>
      <c r="E18" s="29" t="s">
        <v>43</v>
      </c>
      <c r="F18" s="30" t="s">
        <v>31</v>
      </c>
      <c r="G18" s="31">
        <v>46188</v>
      </c>
      <c r="H18" s="32">
        <v>60</v>
      </c>
      <c r="I18" s="32">
        <f t="shared" si="0"/>
        <v>2771280</v>
      </c>
    </row>
    <row r="19" spans="1:9" ht="15.75" customHeight="1" x14ac:dyDescent="0.2">
      <c r="A19" s="25">
        <v>11</v>
      </c>
      <c r="B19" s="26" t="s">
        <v>44</v>
      </c>
      <c r="C19" s="27" t="s">
        <v>17</v>
      </c>
      <c r="D19" s="28" t="s">
        <v>18</v>
      </c>
      <c r="E19" s="40" t="s">
        <v>45</v>
      </c>
      <c r="F19" s="41" t="s">
        <v>23</v>
      </c>
      <c r="G19" s="42">
        <v>8616</v>
      </c>
      <c r="H19" s="32">
        <v>50</v>
      </c>
      <c r="I19" s="32">
        <f t="shared" si="0"/>
        <v>430800</v>
      </c>
    </row>
    <row r="20" spans="1:9" ht="15.75" customHeight="1" x14ac:dyDescent="0.2">
      <c r="A20" s="25">
        <v>12</v>
      </c>
      <c r="B20" s="26" t="s">
        <v>46</v>
      </c>
      <c r="C20" s="27" t="s">
        <v>17</v>
      </c>
      <c r="D20" s="28" t="s">
        <v>18</v>
      </c>
      <c r="E20" s="29" t="s">
        <v>47</v>
      </c>
      <c r="F20" s="30" t="s">
        <v>48</v>
      </c>
      <c r="G20" s="31">
        <v>19788</v>
      </c>
      <c r="H20" s="32">
        <v>28</v>
      </c>
      <c r="I20" s="32">
        <f t="shared" si="0"/>
        <v>554064</v>
      </c>
    </row>
    <row r="21" spans="1:9" ht="15.75" customHeight="1" x14ac:dyDescent="0.2">
      <c r="A21" s="25">
        <v>13</v>
      </c>
      <c r="B21" s="26" t="s">
        <v>49</v>
      </c>
      <c r="C21" s="27" t="s">
        <v>17</v>
      </c>
      <c r="D21" s="28" t="s">
        <v>18</v>
      </c>
      <c r="E21" s="29" t="s">
        <v>50</v>
      </c>
      <c r="F21" s="30" t="s">
        <v>51</v>
      </c>
      <c r="G21" s="31">
        <v>4680</v>
      </c>
      <c r="H21" s="32">
        <v>50</v>
      </c>
      <c r="I21" s="32">
        <f t="shared" si="0"/>
        <v>234000</v>
      </c>
    </row>
    <row r="22" spans="1:9" ht="15.75" customHeight="1" x14ac:dyDescent="0.2">
      <c r="A22" s="25">
        <v>14</v>
      </c>
      <c r="B22" s="26" t="s">
        <v>52</v>
      </c>
      <c r="C22" s="27" t="s">
        <v>17</v>
      </c>
      <c r="D22" s="28" t="s">
        <v>18</v>
      </c>
      <c r="E22" s="29" t="s">
        <v>53</v>
      </c>
      <c r="F22" s="38" t="s">
        <v>54</v>
      </c>
      <c r="G22" s="31">
        <v>6600</v>
      </c>
      <c r="H22" s="32">
        <v>30</v>
      </c>
      <c r="I22" s="32">
        <f t="shared" si="0"/>
        <v>198000</v>
      </c>
    </row>
    <row r="23" spans="1:9" ht="15.75" customHeight="1" x14ac:dyDescent="0.2">
      <c r="A23" s="25">
        <v>15</v>
      </c>
      <c r="B23" s="33" t="s">
        <v>55</v>
      </c>
      <c r="C23" t="s">
        <v>17</v>
      </c>
      <c r="D23" s="28" t="s">
        <v>18</v>
      </c>
      <c r="E23" s="39" t="s">
        <v>56</v>
      </c>
      <c r="F23" s="38" t="s">
        <v>31</v>
      </c>
      <c r="G23" s="31">
        <v>25776</v>
      </c>
      <c r="H23" s="32">
        <v>70</v>
      </c>
      <c r="I23" s="32">
        <f t="shared" si="0"/>
        <v>1804320</v>
      </c>
    </row>
    <row r="24" spans="1:9" ht="15.75" customHeight="1" x14ac:dyDescent="0.2">
      <c r="A24" s="25">
        <v>16</v>
      </c>
      <c r="B24" s="34" t="s">
        <v>57</v>
      </c>
      <c r="C24" s="35" t="s">
        <v>17</v>
      </c>
      <c r="D24" s="36" t="s">
        <v>18</v>
      </c>
      <c r="E24" s="37" t="s">
        <v>58</v>
      </c>
      <c r="F24" s="38" t="s">
        <v>20</v>
      </c>
      <c r="G24" s="31">
        <v>9924</v>
      </c>
      <c r="H24" s="32">
        <v>156</v>
      </c>
      <c r="I24" s="32">
        <f t="shared" si="0"/>
        <v>1548144</v>
      </c>
    </row>
    <row r="25" spans="1:9" ht="15.75" customHeight="1" x14ac:dyDescent="0.2">
      <c r="A25" s="25">
        <v>17</v>
      </c>
      <c r="B25" s="26" t="s">
        <v>59</v>
      </c>
      <c r="C25" s="27" t="s">
        <v>17</v>
      </c>
      <c r="D25" s="28" t="s">
        <v>18</v>
      </c>
      <c r="E25" s="29" t="s">
        <v>60</v>
      </c>
      <c r="F25" s="30" t="s">
        <v>31</v>
      </c>
      <c r="G25" s="31">
        <v>10584</v>
      </c>
      <c r="H25" s="32">
        <v>950</v>
      </c>
      <c r="I25" s="32">
        <f t="shared" si="0"/>
        <v>10054800</v>
      </c>
    </row>
    <row r="26" spans="1:9" ht="15.75" customHeight="1" x14ac:dyDescent="0.2">
      <c r="A26" s="25">
        <v>18</v>
      </c>
      <c r="B26" s="26" t="s">
        <v>61</v>
      </c>
      <c r="C26" s="27" t="s">
        <v>17</v>
      </c>
      <c r="D26" s="28" t="s">
        <v>18</v>
      </c>
      <c r="E26" s="29" t="s">
        <v>62</v>
      </c>
      <c r="F26" s="30" t="s">
        <v>31</v>
      </c>
      <c r="G26" s="31">
        <v>6600</v>
      </c>
      <c r="H26" s="32">
        <v>1150</v>
      </c>
      <c r="I26" s="32">
        <f t="shared" si="0"/>
        <v>7590000</v>
      </c>
    </row>
    <row r="27" spans="1:9" ht="15.75" customHeight="1" x14ac:dyDescent="0.2">
      <c r="A27" s="25">
        <v>19</v>
      </c>
      <c r="B27" s="26" t="s">
        <v>63</v>
      </c>
      <c r="C27" s="27" t="s">
        <v>17</v>
      </c>
      <c r="D27" s="28" t="s">
        <v>18</v>
      </c>
      <c r="E27" s="29" t="s">
        <v>64</v>
      </c>
      <c r="F27" s="30" t="s">
        <v>31</v>
      </c>
      <c r="G27" s="31">
        <v>16512</v>
      </c>
      <c r="H27" s="32">
        <v>260</v>
      </c>
      <c r="I27" s="32">
        <f t="shared" si="0"/>
        <v>4293120</v>
      </c>
    </row>
    <row r="28" spans="1:9" ht="15.75" customHeight="1" x14ac:dyDescent="0.2">
      <c r="A28" s="25">
        <v>20</v>
      </c>
      <c r="B28" s="33" t="s">
        <v>65</v>
      </c>
      <c r="C28" t="s">
        <v>17</v>
      </c>
      <c r="D28" s="28" t="s">
        <v>18</v>
      </c>
      <c r="E28" s="39" t="s">
        <v>66</v>
      </c>
      <c r="F28" s="30" t="s">
        <v>31</v>
      </c>
      <c r="G28" s="31">
        <v>39420</v>
      </c>
      <c r="H28" s="32">
        <v>150</v>
      </c>
      <c r="I28" s="32">
        <f t="shared" si="0"/>
        <v>5913000</v>
      </c>
    </row>
    <row r="29" spans="1:9" ht="15.75" customHeight="1" x14ac:dyDescent="0.2">
      <c r="A29" s="25">
        <v>21</v>
      </c>
      <c r="B29" s="26" t="s">
        <v>67</v>
      </c>
      <c r="C29" s="27" t="s">
        <v>17</v>
      </c>
      <c r="D29" s="28" t="s">
        <v>18</v>
      </c>
      <c r="E29" s="29" t="s">
        <v>68</v>
      </c>
      <c r="F29" s="30" t="s">
        <v>23</v>
      </c>
      <c r="G29" s="43">
        <v>120</v>
      </c>
      <c r="H29" s="32">
        <v>3090</v>
      </c>
      <c r="I29" s="32">
        <f t="shared" si="0"/>
        <v>370800</v>
      </c>
    </row>
    <row r="30" spans="1:9" ht="15.75" customHeight="1" x14ac:dyDescent="0.2">
      <c r="A30" s="25">
        <v>22</v>
      </c>
      <c r="B30" s="26" t="s">
        <v>69</v>
      </c>
      <c r="C30" s="27" t="s">
        <v>17</v>
      </c>
      <c r="D30" s="28" t="s">
        <v>18</v>
      </c>
      <c r="E30" s="29" t="s">
        <v>70</v>
      </c>
      <c r="F30" s="30" t="s">
        <v>23</v>
      </c>
      <c r="G30" s="31">
        <v>120</v>
      </c>
      <c r="H30" s="32">
        <v>1120</v>
      </c>
      <c r="I30" s="32">
        <f t="shared" si="0"/>
        <v>134400</v>
      </c>
    </row>
    <row r="31" spans="1:9" ht="15.75" customHeight="1" x14ac:dyDescent="0.2">
      <c r="A31" s="25">
        <v>23</v>
      </c>
      <c r="B31" s="26" t="s">
        <v>71</v>
      </c>
      <c r="C31" s="27" t="s">
        <v>17</v>
      </c>
      <c r="D31" s="28" t="s">
        <v>18</v>
      </c>
      <c r="E31" s="29" t="s">
        <v>72</v>
      </c>
      <c r="F31" s="30" t="s">
        <v>23</v>
      </c>
      <c r="G31" s="31">
        <v>120</v>
      </c>
      <c r="H31" s="32">
        <v>1080</v>
      </c>
      <c r="I31" s="32">
        <f t="shared" si="0"/>
        <v>129600</v>
      </c>
    </row>
    <row r="32" spans="1:9" ht="15.75" customHeight="1" x14ac:dyDescent="0.2">
      <c r="A32" s="25">
        <v>24</v>
      </c>
      <c r="B32" s="26" t="s">
        <v>73</v>
      </c>
      <c r="C32" s="27" t="s">
        <v>17</v>
      </c>
      <c r="D32" s="28" t="s">
        <v>18</v>
      </c>
      <c r="E32" s="29" t="s">
        <v>74</v>
      </c>
      <c r="F32" s="30" t="s">
        <v>20</v>
      </c>
      <c r="G32" s="31">
        <v>120</v>
      </c>
      <c r="H32" s="32">
        <v>1190</v>
      </c>
      <c r="I32" s="32">
        <f t="shared" si="0"/>
        <v>142800</v>
      </c>
    </row>
    <row r="33" spans="1:9" ht="15.75" customHeight="1" x14ac:dyDescent="0.2">
      <c r="A33" s="25">
        <v>25</v>
      </c>
      <c r="B33" s="34" t="s">
        <v>75</v>
      </c>
      <c r="C33" s="35" t="s">
        <v>17</v>
      </c>
      <c r="D33" s="36" t="s">
        <v>18</v>
      </c>
      <c r="E33" s="37" t="s">
        <v>76</v>
      </c>
      <c r="F33" s="38" t="s">
        <v>20</v>
      </c>
      <c r="G33" s="31">
        <v>1284</v>
      </c>
      <c r="H33" s="32">
        <v>66</v>
      </c>
      <c r="I33" s="32">
        <f t="shared" si="0"/>
        <v>84744</v>
      </c>
    </row>
    <row r="34" spans="1:9" ht="15.75" customHeight="1" x14ac:dyDescent="0.2">
      <c r="A34" s="25">
        <v>26</v>
      </c>
      <c r="B34" s="26" t="s">
        <v>77</v>
      </c>
      <c r="C34" s="27" t="s">
        <v>17</v>
      </c>
      <c r="D34" s="28" t="s">
        <v>18</v>
      </c>
      <c r="E34" s="29" t="s">
        <v>78</v>
      </c>
      <c r="F34" s="30" t="s">
        <v>23</v>
      </c>
      <c r="G34" s="31">
        <v>732</v>
      </c>
      <c r="H34" s="44">
        <v>77</v>
      </c>
      <c r="I34" s="32">
        <f t="shared" si="0"/>
        <v>56364</v>
      </c>
    </row>
    <row r="35" spans="1:9" ht="15.75" customHeight="1" x14ac:dyDescent="0.2">
      <c r="A35" s="25">
        <v>27</v>
      </c>
      <c r="B35" s="26" t="s">
        <v>79</v>
      </c>
      <c r="C35" s="27" t="s">
        <v>17</v>
      </c>
      <c r="D35" s="28" t="s">
        <v>18</v>
      </c>
      <c r="E35" s="29" t="s">
        <v>80</v>
      </c>
      <c r="F35" s="45" t="s">
        <v>81</v>
      </c>
      <c r="G35" s="46">
        <v>384</v>
      </c>
      <c r="H35" s="32">
        <v>1600</v>
      </c>
      <c r="I35" s="32">
        <f t="shared" si="0"/>
        <v>614400</v>
      </c>
    </row>
    <row r="36" spans="1:9" ht="15.75" customHeight="1" x14ac:dyDescent="0.2">
      <c r="A36" s="25">
        <v>28</v>
      </c>
      <c r="B36" s="26" t="s">
        <v>82</v>
      </c>
      <c r="C36" s="27" t="s">
        <v>17</v>
      </c>
      <c r="D36" s="28" t="s">
        <v>18</v>
      </c>
      <c r="E36" s="29" t="s">
        <v>83</v>
      </c>
      <c r="F36" s="45" t="s">
        <v>81</v>
      </c>
      <c r="G36" s="46">
        <v>366</v>
      </c>
      <c r="H36" s="32">
        <v>2500</v>
      </c>
      <c r="I36" s="32">
        <f t="shared" si="0"/>
        <v>915000</v>
      </c>
    </row>
    <row r="37" spans="1:9" ht="15.75" customHeight="1" x14ac:dyDescent="0.2">
      <c r="A37" s="25">
        <v>29</v>
      </c>
      <c r="B37" s="26" t="s">
        <v>84</v>
      </c>
      <c r="C37" s="27" t="s">
        <v>17</v>
      </c>
      <c r="D37" s="28" t="s">
        <v>18</v>
      </c>
      <c r="E37" s="29" t="s">
        <v>85</v>
      </c>
      <c r="F37" s="45" t="s">
        <v>81</v>
      </c>
      <c r="G37" s="46">
        <v>366</v>
      </c>
      <c r="H37" s="32">
        <v>2000</v>
      </c>
      <c r="I37" s="32">
        <f t="shared" si="0"/>
        <v>732000</v>
      </c>
    </row>
    <row r="38" spans="1:9" ht="15.75" customHeight="1" x14ac:dyDescent="0.2">
      <c r="A38" s="47">
        <v>30</v>
      </c>
      <c r="B38" s="26" t="s">
        <v>86</v>
      </c>
      <c r="C38" s="27" t="s">
        <v>17</v>
      </c>
      <c r="D38" s="28" t="s">
        <v>18</v>
      </c>
      <c r="E38" s="26" t="s">
        <v>87</v>
      </c>
      <c r="F38" s="48" t="s">
        <v>81</v>
      </c>
      <c r="G38" s="46">
        <v>336</v>
      </c>
      <c r="H38" s="32">
        <v>2000</v>
      </c>
      <c r="I38" s="32">
        <f t="shared" si="0"/>
        <v>672000</v>
      </c>
    </row>
    <row r="39" spans="1:9" ht="15.75" customHeight="1" x14ac:dyDescent="0.2">
      <c r="A39" s="47">
        <v>31</v>
      </c>
      <c r="B39" s="26" t="s">
        <v>88</v>
      </c>
      <c r="C39" s="27" t="s">
        <v>17</v>
      </c>
      <c r="D39" s="28" t="s">
        <v>18</v>
      </c>
      <c r="E39" s="29" t="s">
        <v>89</v>
      </c>
      <c r="F39" s="38" t="s">
        <v>23</v>
      </c>
      <c r="G39" s="46">
        <v>3324</v>
      </c>
      <c r="H39" s="32">
        <v>140</v>
      </c>
      <c r="I39" s="32">
        <f t="shared" si="0"/>
        <v>465360</v>
      </c>
    </row>
    <row r="40" spans="1:9" ht="15.75" customHeight="1" x14ac:dyDescent="0.2">
      <c r="A40" s="47">
        <v>32</v>
      </c>
      <c r="B40" s="26" t="s">
        <v>90</v>
      </c>
      <c r="C40" s="27" t="s">
        <v>17</v>
      </c>
      <c r="D40" s="28" t="s">
        <v>18</v>
      </c>
      <c r="E40" s="29" t="s">
        <v>91</v>
      </c>
      <c r="F40" s="38" t="s">
        <v>20</v>
      </c>
      <c r="G40" s="46">
        <v>6600</v>
      </c>
      <c r="H40" s="32">
        <v>350</v>
      </c>
      <c r="I40" s="32">
        <f t="shared" si="0"/>
        <v>2310000</v>
      </c>
    </row>
    <row r="41" spans="1:9" ht="15.75" customHeight="1" x14ac:dyDescent="0.2">
      <c r="A41" s="47">
        <v>33</v>
      </c>
      <c r="B41" s="26" t="s">
        <v>92</v>
      </c>
      <c r="C41" s="27" t="s">
        <v>17</v>
      </c>
      <c r="D41" s="28" t="s">
        <v>18</v>
      </c>
      <c r="E41" s="39" t="s">
        <v>93</v>
      </c>
      <c r="F41" s="38" t="s">
        <v>94</v>
      </c>
      <c r="G41" s="46">
        <v>1284</v>
      </c>
      <c r="H41" s="32">
        <v>116</v>
      </c>
      <c r="I41" s="32">
        <f t="shared" si="0"/>
        <v>148944</v>
      </c>
    </row>
    <row r="42" spans="1:9" s="53" customFormat="1" ht="15.75" customHeight="1" x14ac:dyDescent="0.2">
      <c r="A42" s="49">
        <v>34</v>
      </c>
      <c r="B42" s="29" t="s">
        <v>95</v>
      </c>
      <c r="C42" s="50" t="s">
        <v>17</v>
      </c>
      <c r="D42" s="51" t="s">
        <v>18</v>
      </c>
      <c r="E42" s="29" t="s">
        <v>96</v>
      </c>
      <c r="F42" s="38" t="s">
        <v>54</v>
      </c>
      <c r="G42" s="46">
        <v>2628</v>
      </c>
      <c r="H42" s="52">
        <v>20</v>
      </c>
      <c r="I42" s="32">
        <f t="shared" si="0"/>
        <v>52560</v>
      </c>
    </row>
    <row r="43" spans="1:9" x14ac:dyDescent="0.2">
      <c r="I43" s="54"/>
    </row>
    <row r="44" spans="1:9" ht="13.5" thickBot="1" x14ac:dyDescent="0.25">
      <c r="I44" s="54"/>
    </row>
    <row r="45" spans="1:9" x14ac:dyDescent="0.2">
      <c r="B45" s="55" t="s">
        <v>97</v>
      </c>
      <c r="C45" s="56"/>
      <c r="D45" s="57"/>
      <c r="E45" s="58"/>
    </row>
    <row r="46" spans="1:9" ht="5.25" customHeight="1" x14ac:dyDescent="0.2">
      <c r="B46" s="59"/>
      <c r="E46" s="60"/>
    </row>
    <row r="47" spans="1:9" x14ac:dyDescent="0.2">
      <c r="B47" s="61" t="s">
        <v>98</v>
      </c>
      <c r="E47" s="60"/>
    </row>
    <row r="48" spans="1:9" ht="15" customHeight="1" x14ac:dyDescent="0.2">
      <c r="B48" s="61"/>
      <c r="C48" s="62" t="s">
        <v>99</v>
      </c>
      <c r="D48" s="62"/>
      <c r="E48" s="62"/>
    </row>
    <row r="49" spans="2:7" ht="13.5" thickBot="1" x14ac:dyDescent="0.25">
      <c r="B49" s="61" t="s">
        <v>100</v>
      </c>
      <c r="E49" s="60"/>
    </row>
    <row r="50" spans="2:7" ht="13.5" thickBot="1" x14ac:dyDescent="0.25">
      <c r="B50" s="63" t="s">
        <v>101</v>
      </c>
      <c r="C50" s="64"/>
      <c r="D50" s="64"/>
      <c r="E50" s="65"/>
    </row>
    <row r="51" spans="2:7" ht="13.5" thickBot="1" x14ac:dyDescent="0.25">
      <c r="B51" s="63" t="s">
        <v>102</v>
      </c>
      <c r="C51" s="65"/>
      <c r="D51" s="66" t="s">
        <v>13</v>
      </c>
      <c r="E51" s="66" t="s">
        <v>103</v>
      </c>
    </row>
    <row r="52" spans="2:7" x14ac:dyDescent="0.2">
      <c r="B52" s="67" t="s">
        <v>104</v>
      </c>
      <c r="C52" s="67"/>
      <c r="D52" s="68">
        <v>45</v>
      </c>
      <c r="E52" s="69" t="s">
        <v>105</v>
      </c>
      <c r="F52" s="70"/>
      <c r="G52" s="71"/>
    </row>
    <row r="53" spans="2:7" x14ac:dyDescent="0.2">
      <c r="B53" s="72" t="s">
        <v>106</v>
      </c>
      <c r="C53" s="72"/>
      <c r="D53" s="73">
        <v>102</v>
      </c>
      <c r="E53" s="74" t="s">
        <v>107</v>
      </c>
      <c r="F53" s="70"/>
      <c r="G53" s="71"/>
    </row>
    <row r="54" spans="2:7" x14ac:dyDescent="0.2">
      <c r="B54" s="72" t="s">
        <v>108</v>
      </c>
      <c r="C54" s="72"/>
      <c r="D54" s="73">
        <v>102</v>
      </c>
      <c r="E54" s="74" t="s">
        <v>109</v>
      </c>
      <c r="F54" s="70"/>
      <c r="G54" s="71"/>
    </row>
    <row r="55" spans="2:7" x14ac:dyDescent="0.2">
      <c r="B55" s="72" t="s">
        <v>110</v>
      </c>
      <c r="C55" s="72"/>
      <c r="D55" s="73">
        <v>61</v>
      </c>
      <c r="E55" s="74" t="s">
        <v>111</v>
      </c>
      <c r="F55" s="70"/>
      <c r="G55" s="71"/>
    </row>
    <row r="56" spans="2:7" x14ac:dyDescent="0.2">
      <c r="B56" s="72" t="s">
        <v>112</v>
      </c>
      <c r="C56" s="72"/>
      <c r="D56" s="73">
        <v>51</v>
      </c>
      <c r="E56" s="74" t="s">
        <v>113</v>
      </c>
      <c r="F56" s="70"/>
      <c r="G56" s="71"/>
    </row>
    <row r="57" spans="2:7" x14ac:dyDescent="0.2">
      <c r="B57" s="72" t="s">
        <v>114</v>
      </c>
      <c r="C57" s="72"/>
      <c r="D57" s="73">
        <v>45</v>
      </c>
      <c r="E57" s="74" t="s">
        <v>115</v>
      </c>
      <c r="F57" s="70"/>
      <c r="G57" s="71"/>
    </row>
    <row r="58" spans="2:7" x14ac:dyDescent="0.2">
      <c r="B58" s="72" t="s">
        <v>116</v>
      </c>
      <c r="C58" s="72"/>
      <c r="D58" s="73">
        <v>57</v>
      </c>
      <c r="E58" s="74" t="s">
        <v>117</v>
      </c>
      <c r="F58" s="70"/>
      <c r="G58" s="71"/>
    </row>
    <row r="59" spans="2:7" x14ac:dyDescent="0.2">
      <c r="B59" s="72" t="s">
        <v>118</v>
      </c>
      <c r="C59" s="72"/>
      <c r="D59" s="73">
        <v>57</v>
      </c>
      <c r="E59" s="74" t="s">
        <v>119</v>
      </c>
      <c r="F59" s="70"/>
      <c r="G59" s="71"/>
    </row>
    <row r="60" spans="2:7" x14ac:dyDescent="0.2">
      <c r="B60" s="72" t="s">
        <v>120</v>
      </c>
      <c r="C60" s="72"/>
      <c r="D60" s="73">
        <v>122</v>
      </c>
      <c r="E60" s="74" t="s">
        <v>121</v>
      </c>
      <c r="F60" s="70"/>
      <c r="G60" s="71"/>
    </row>
    <row r="61" spans="2:7" x14ac:dyDescent="0.2">
      <c r="B61" s="72" t="s">
        <v>122</v>
      </c>
      <c r="C61" s="72"/>
      <c r="D61" s="73">
        <v>81</v>
      </c>
      <c r="E61" s="74" t="s">
        <v>123</v>
      </c>
      <c r="F61" s="70"/>
      <c r="G61" s="71"/>
    </row>
    <row r="62" spans="2:7" x14ac:dyDescent="0.2">
      <c r="B62" s="72" t="s">
        <v>124</v>
      </c>
      <c r="C62" s="72"/>
      <c r="D62" s="73">
        <v>41</v>
      </c>
      <c r="E62" s="74" t="s">
        <v>125</v>
      </c>
      <c r="F62" s="70"/>
      <c r="G62" s="71"/>
    </row>
    <row r="63" spans="2:7" x14ac:dyDescent="0.2">
      <c r="B63" s="72" t="s">
        <v>126</v>
      </c>
      <c r="C63" s="72"/>
      <c r="D63" s="73">
        <v>81</v>
      </c>
      <c r="E63" s="74" t="s">
        <v>127</v>
      </c>
      <c r="F63" s="70"/>
      <c r="G63" s="71"/>
    </row>
    <row r="64" spans="2:7" x14ac:dyDescent="0.2">
      <c r="B64" s="72" t="s">
        <v>128</v>
      </c>
      <c r="C64" s="72"/>
      <c r="D64" s="73">
        <v>81</v>
      </c>
      <c r="E64" s="74" t="s">
        <v>129</v>
      </c>
      <c r="F64" s="70"/>
      <c r="G64" s="71"/>
    </row>
    <row r="65" spans="2:10" x14ac:dyDescent="0.2">
      <c r="B65" s="72" t="s">
        <v>130</v>
      </c>
      <c r="C65" s="72"/>
      <c r="D65" s="73">
        <v>51</v>
      </c>
      <c r="E65" s="74" t="s">
        <v>131</v>
      </c>
      <c r="F65" s="70"/>
      <c r="G65" s="71"/>
    </row>
    <row r="66" spans="2:10" x14ac:dyDescent="0.2">
      <c r="B66" s="72" t="s">
        <v>132</v>
      </c>
      <c r="C66" s="72"/>
      <c r="D66" s="73">
        <v>71</v>
      </c>
      <c r="E66" s="74" t="s">
        <v>133</v>
      </c>
      <c r="F66" s="70"/>
      <c r="G66" s="71"/>
    </row>
    <row r="67" spans="2:10" x14ac:dyDescent="0.2">
      <c r="B67" s="72" t="s">
        <v>134</v>
      </c>
      <c r="C67" s="72"/>
      <c r="D67" s="73">
        <v>61</v>
      </c>
      <c r="E67" s="74" t="s">
        <v>135</v>
      </c>
      <c r="F67" s="70"/>
      <c r="G67" s="71"/>
    </row>
    <row r="68" spans="2:10" x14ac:dyDescent="0.2">
      <c r="B68" s="72" t="s">
        <v>136</v>
      </c>
      <c r="C68" s="72"/>
      <c r="D68" s="73">
        <v>61</v>
      </c>
      <c r="E68" s="74" t="s">
        <v>137</v>
      </c>
      <c r="F68" s="70"/>
      <c r="G68" s="71"/>
    </row>
    <row r="69" spans="2:10" x14ac:dyDescent="0.2">
      <c r="B69" s="72" t="s">
        <v>138</v>
      </c>
      <c r="C69" s="72"/>
      <c r="D69" s="73">
        <v>51</v>
      </c>
      <c r="E69" s="74" t="s">
        <v>139</v>
      </c>
      <c r="F69" s="70"/>
      <c r="G69" s="71"/>
    </row>
    <row r="70" spans="2:10" x14ac:dyDescent="0.2">
      <c r="B70" s="72" t="s">
        <v>140</v>
      </c>
      <c r="C70" s="72"/>
      <c r="D70" s="73">
        <v>51</v>
      </c>
      <c r="E70" s="74" t="s">
        <v>141</v>
      </c>
      <c r="F70" s="70"/>
      <c r="G70" s="71"/>
    </row>
    <row r="71" spans="2:10" ht="13.5" thickBot="1" x14ac:dyDescent="0.25">
      <c r="B71" s="75" t="s">
        <v>142</v>
      </c>
      <c r="C71" s="75"/>
      <c r="D71" s="76">
        <v>51</v>
      </c>
      <c r="E71" s="77" t="s">
        <v>143</v>
      </c>
      <c r="F71" s="70"/>
      <c r="G71" s="71"/>
    </row>
    <row r="72" spans="2:10" ht="25.5" customHeight="1" thickBot="1" x14ac:dyDescent="0.25">
      <c r="B72" s="78" t="s">
        <v>144</v>
      </c>
      <c r="C72" s="79"/>
      <c r="D72" s="79"/>
      <c r="E72" s="80"/>
      <c r="G72" s="81"/>
      <c r="H72" s="82"/>
      <c r="I72" s="82"/>
      <c r="J72" s="83"/>
    </row>
    <row r="73" spans="2:10" x14ac:dyDescent="0.2">
      <c r="B73" s="61" t="s">
        <v>145</v>
      </c>
      <c r="E73" s="60"/>
    </row>
    <row r="74" spans="2:10" x14ac:dyDescent="0.2">
      <c r="B74" s="84"/>
      <c r="C74" s="62" t="s">
        <v>146</v>
      </c>
      <c r="D74" s="62"/>
      <c r="E74" s="62"/>
    </row>
    <row r="75" spans="2:10" x14ac:dyDescent="0.2">
      <c r="B75" s="61" t="s">
        <v>147</v>
      </c>
      <c r="C75" s="85"/>
      <c r="D75" s="85"/>
      <c r="E75" s="86"/>
    </row>
    <row r="76" spans="2:10" x14ac:dyDescent="0.2">
      <c r="B76" s="84"/>
      <c r="C76" s="62" t="s">
        <v>148</v>
      </c>
      <c r="D76" s="62"/>
      <c r="E76" s="62"/>
    </row>
    <row r="77" spans="2:10" x14ac:dyDescent="0.2">
      <c r="B77" s="61" t="s">
        <v>149</v>
      </c>
      <c r="E77" s="60"/>
    </row>
    <row r="78" spans="2:10" x14ac:dyDescent="0.2">
      <c r="B78" s="61"/>
      <c r="C78" s="87" t="s">
        <v>150</v>
      </c>
      <c r="D78" s="87"/>
      <c r="E78" s="87"/>
    </row>
    <row r="79" spans="2:10" ht="13.5" thickBot="1" x14ac:dyDescent="0.25">
      <c r="B79" s="88"/>
      <c r="C79" s="89"/>
      <c r="D79" s="90"/>
      <c r="E79" s="91"/>
    </row>
    <row r="80" spans="2:10" ht="13.5" thickBot="1" x14ac:dyDescent="0.25"/>
    <row r="81" spans="2:8" x14ac:dyDescent="0.2">
      <c r="B81" s="55" t="s">
        <v>151</v>
      </c>
      <c r="C81" s="56"/>
      <c r="D81" s="57"/>
      <c r="E81" s="58"/>
    </row>
    <row r="82" spans="2:8" x14ac:dyDescent="0.2">
      <c r="B82" s="59"/>
      <c r="E82" s="60"/>
    </row>
    <row r="83" spans="2:8" x14ac:dyDescent="0.2">
      <c r="B83" s="61" t="s">
        <v>98</v>
      </c>
      <c r="E83" s="60"/>
    </row>
    <row r="84" spans="2:8" x14ac:dyDescent="0.2">
      <c r="B84" s="61"/>
      <c r="C84" s="62" t="s">
        <v>152</v>
      </c>
      <c r="D84" s="62"/>
      <c r="E84" s="62"/>
    </row>
    <row r="85" spans="2:8" ht="13.5" thickBot="1" x14ac:dyDescent="0.25">
      <c r="B85" s="61" t="s">
        <v>100</v>
      </c>
      <c r="E85" s="60"/>
    </row>
    <row r="86" spans="2:8" ht="13.5" thickBot="1" x14ac:dyDescent="0.25">
      <c r="B86" s="63" t="s">
        <v>101</v>
      </c>
      <c r="C86" s="64"/>
      <c r="D86" s="64"/>
      <c r="E86" s="65"/>
    </row>
    <row r="87" spans="2:8" ht="13.5" thickBot="1" x14ac:dyDescent="0.25">
      <c r="B87" s="63" t="s">
        <v>102</v>
      </c>
      <c r="C87" s="65"/>
      <c r="D87" s="66" t="s">
        <v>13</v>
      </c>
      <c r="E87" s="66" t="s">
        <v>103</v>
      </c>
    </row>
    <row r="88" spans="2:8" x14ac:dyDescent="0.2">
      <c r="B88" s="67" t="s">
        <v>104</v>
      </c>
      <c r="C88" s="67"/>
      <c r="D88" s="68">
        <v>8</v>
      </c>
      <c r="E88" s="69" t="s">
        <v>105</v>
      </c>
      <c r="H88" s="92"/>
    </row>
    <row r="89" spans="2:8" x14ac:dyDescent="0.2">
      <c r="B89" s="72" t="s">
        <v>106</v>
      </c>
      <c r="C89" s="72"/>
      <c r="D89" s="73">
        <v>17</v>
      </c>
      <c r="E89" s="74" t="s">
        <v>107</v>
      </c>
      <c r="H89" s="92"/>
    </row>
    <row r="90" spans="2:8" x14ac:dyDescent="0.2">
      <c r="B90" s="72" t="s">
        <v>108</v>
      </c>
      <c r="C90" s="72"/>
      <c r="D90" s="73">
        <v>17</v>
      </c>
      <c r="E90" s="74" t="s">
        <v>109</v>
      </c>
      <c r="H90" s="92"/>
    </row>
    <row r="91" spans="2:8" x14ac:dyDescent="0.2">
      <c r="B91" s="72" t="s">
        <v>110</v>
      </c>
      <c r="C91" s="72"/>
      <c r="D91" s="73">
        <v>10</v>
      </c>
      <c r="E91" s="74" t="s">
        <v>111</v>
      </c>
      <c r="H91" s="92"/>
    </row>
    <row r="92" spans="2:8" x14ac:dyDescent="0.2">
      <c r="B92" s="72" t="s">
        <v>112</v>
      </c>
      <c r="C92" s="72"/>
      <c r="D92" s="73">
        <v>8</v>
      </c>
      <c r="E92" s="74" t="s">
        <v>113</v>
      </c>
      <c r="H92" s="92"/>
    </row>
    <row r="93" spans="2:8" x14ac:dyDescent="0.2">
      <c r="B93" s="72" t="s">
        <v>114</v>
      </c>
      <c r="C93" s="72"/>
      <c r="D93" s="73">
        <v>8</v>
      </c>
      <c r="E93" s="74" t="s">
        <v>115</v>
      </c>
      <c r="H93" s="92"/>
    </row>
    <row r="94" spans="2:8" x14ac:dyDescent="0.2">
      <c r="B94" s="72" t="s">
        <v>116</v>
      </c>
      <c r="C94" s="72"/>
      <c r="D94" s="73">
        <v>9</v>
      </c>
      <c r="E94" s="74" t="s">
        <v>117</v>
      </c>
      <c r="H94" s="92"/>
    </row>
    <row r="95" spans="2:8" x14ac:dyDescent="0.2">
      <c r="B95" s="72" t="s">
        <v>118</v>
      </c>
      <c r="C95" s="72"/>
      <c r="D95" s="73">
        <v>9</v>
      </c>
      <c r="E95" s="74" t="s">
        <v>119</v>
      </c>
      <c r="H95" s="92"/>
    </row>
    <row r="96" spans="2:8" x14ac:dyDescent="0.2">
      <c r="B96" s="72" t="s">
        <v>120</v>
      </c>
      <c r="C96" s="72"/>
      <c r="D96" s="73">
        <v>20</v>
      </c>
      <c r="E96" s="74" t="s">
        <v>121</v>
      </c>
      <c r="H96" s="92"/>
    </row>
    <row r="97" spans="2:8" x14ac:dyDescent="0.2">
      <c r="B97" s="72" t="s">
        <v>122</v>
      </c>
      <c r="C97" s="72"/>
      <c r="D97" s="73">
        <v>14</v>
      </c>
      <c r="E97" s="74" t="s">
        <v>123</v>
      </c>
      <c r="H97" s="92"/>
    </row>
    <row r="98" spans="2:8" x14ac:dyDescent="0.2">
      <c r="B98" s="72" t="s">
        <v>124</v>
      </c>
      <c r="C98" s="72"/>
      <c r="D98" s="73">
        <v>7</v>
      </c>
      <c r="E98" s="74" t="s">
        <v>125</v>
      </c>
      <c r="H98" s="92"/>
    </row>
    <row r="99" spans="2:8" x14ac:dyDescent="0.2">
      <c r="B99" s="72" t="s">
        <v>126</v>
      </c>
      <c r="C99" s="72"/>
      <c r="D99" s="73">
        <v>14</v>
      </c>
      <c r="E99" s="74" t="s">
        <v>127</v>
      </c>
      <c r="H99" s="92"/>
    </row>
    <row r="100" spans="2:8" x14ac:dyDescent="0.2">
      <c r="B100" s="72" t="s">
        <v>128</v>
      </c>
      <c r="C100" s="72"/>
      <c r="D100" s="73">
        <v>14</v>
      </c>
      <c r="E100" s="74" t="s">
        <v>129</v>
      </c>
      <c r="H100" s="92"/>
    </row>
    <row r="101" spans="2:8" x14ac:dyDescent="0.2">
      <c r="B101" s="72" t="s">
        <v>130</v>
      </c>
      <c r="C101" s="72"/>
      <c r="D101" s="73">
        <v>8</v>
      </c>
      <c r="E101" s="74" t="s">
        <v>131</v>
      </c>
      <c r="H101" s="92"/>
    </row>
    <row r="102" spans="2:8" x14ac:dyDescent="0.2">
      <c r="B102" s="72" t="s">
        <v>132</v>
      </c>
      <c r="C102" s="72"/>
      <c r="D102" s="73">
        <v>12</v>
      </c>
      <c r="E102" s="74" t="s">
        <v>133</v>
      </c>
      <c r="H102" s="92"/>
    </row>
    <row r="103" spans="2:8" x14ac:dyDescent="0.2">
      <c r="B103" s="72" t="s">
        <v>134</v>
      </c>
      <c r="C103" s="72"/>
      <c r="D103" s="73">
        <v>10</v>
      </c>
      <c r="E103" s="74" t="s">
        <v>135</v>
      </c>
      <c r="H103" s="92"/>
    </row>
    <row r="104" spans="2:8" x14ac:dyDescent="0.2">
      <c r="B104" s="72" t="s">
        <v>136</v>
      </c>
      <c r="C104" s="72"/>
      <c r="D104" s="73">
        <v>10</v>
      </c>
      <c r="E104" s="74" t="s">
        <v>137</v>
      </c>
      <c r="H104" s="92"/>
    </row>
    <row r="105" spans="2:8" x14ac:dyDescent="0.2">
      <c r="B105" s="72" t="s">
        <v>138</v>
      </c>
      <c r="C105" s="72"/>
      <c r="D105" s="73">
        <v>8</v>
      </c>
      <c r="E105" s="74" t="s">
        <v>139</v>
      </c>
      <c r="H105" s="92"/>
    </row>
    <row r="106" spans="2:8" x14ac:dyDescent="0.2">
      <c r="B106" s="72" t="s">
        <v>140</v>
      </c>
      <c r="C106" s="72"/>
      <c r="D106" s="73">
        <v>8</v>
      </c>
      <c r="E106" s="74" t="s">
        <v>141</v>
      </c>
      <c r="H106" s="92"/>
    </row>
    <row r="107" spans="2:8" ht="13.5" thickBot="1" x14ac:dyDescent="0.25">
      <c r="B107" s="75" t="s">
        <v>142</v>
      </c>
      <c r="C107" s="75"/>
      <c r="D107" s="76">
        <v>8</v>
      </c>
      <c r="E107" s="77" t="s">
        <v>143</v>
      </c>
      <c r="H107" s="92"/>
    </row>
    <row r="108" spans="2:8" ht="25.5" customHeight="1" thickBot="1" x14ac:dyDescent="0.25">
      <c r="B108" s="78" t="s">
        <v>153</v>
      </c>
      <c r="C108" s="79"/>
      <c r="D108" s="79"/>
      <c r="E108" s="80"/>
      <c r="H108" s="92"/>
    </row>
    <row r="109" spans="2:8" x14ac:dyDescent="0.2">
      <c r="B109" s="61" t="s">
        <v>145</v>
      </c>
      <c r="E109" s="60"/>
    </row>
    <row r="110" spans="2:8" x14ac:dyDescent="0.2">
      <c r="B110" s="84"/>
      <c r="C110" s="62" t="s">
        <v>146</v>
      </c>
      <c r="D110" s="62"/>
      <c r="E110" s="62"/>
    </row>
    <row r="111" spans="2:8" x14ac:dyDescent="0.2">
      <c r="B111" s="61" t="s">
        <v>147</v>
      </c>
      <c r="C111" s="85"/>
      <c r="D111" s="85"/>
      <c r="E111" s="86"/>
    </row>
    <row r="112" spans="2:8" x14ac:dyDescent="0.2">
      <c r="B112" s="84"/>
      <c r="C112" s="62" t="s">
        <v>148</v>
      </c>
      <c r="D112" s="62"/>
      <c r="E112" s="62"/>
    </row>
    <row r="113" spans="2:9" x14ac:dyDescent="0.2">
      <c r="B113" s="61" t="s">
        <v>149</v>
      </c>
      <c r="E113" s="60"/>
    </row>
    <row r="114" spans="2:9" x14ac:dyDescent="0.2">
      <c r="B114" s="61"/>
      <c r="C114" s="87" t="s">
        <v>150</v>
      </c>
      <c r="D114" s="87"/>
      <c r="E114" s="87"/>
    </row>
    <row r="115" spans="2:9" ht="13.5" thickBot="1" x14ac:dyDescent="0.25">
      <c r="B115" s="88"/>
      <c r="C115" s="89"/>
      <c r="D115" s="90"/>
      <c r="E115" s="91"/>
    </row>
    <row r="116" spans="2:9" ht="13.5" thickBot="1" x14ac:dyDescent="0.25"/>
    <row r="117" spans="2:9" x14ac:dyDescent="0.2">
      <c r="B117" s="55" t="s">
        <v>154</v>
      </c>
      <c r="C117" s="56"/>
      <c r="D117" s="57"/>
      <c r="E117" s="58"/>
    </row>
    <row r="118" spans="2:9" x14ac:dyDescent="0.2">
      <c r="B118" s="59"/>
      <c r="E118" s="60"/>
    </row>
    <row r="119" spans="2:9" x14ac:dyDescent="0.2">
      <c r="B119" s="61" t="s">
        <v>98</v>
      </c>
      <c r="E119" s="60"/>
    </row>
    <row r="120" spans="2:9" x14ac:dyDescent="0.2">
      <c r="B120" s="61"/>
      <c r="C120" s="62" t="s">
        <v>155</v>
      </c>
      <c r="D120" s="62"/>
      <c r="E120" s="62"/>
    </row>
    <row r="121" spans="2:9" ht="13.5" thickBot="1" x14ac:dyDescent="0.25">
      <c r="B121" s="61" t="s">
        <v>100</v>
      </c>
      <c r="E121" s="60"/>
    </row>
    <row r="122" spans="2:9" ht="13.5" thickBot="1" x14ac:dyDescent="0.25">
      <c r="B122" s="63" t="s">
        <v>101</v>
      </c>
      <c r="C122" s="64"/>
      <c r="D122" s="64"/>
      <c r="E122" s="65"/>
    </row>
    <row r="123" spans="2:9" ht="13.5" thickBot="1" x14ac:dyDescent="0.25">
      <c r="B123" s="63" t="s">
        <v>102</v>
      </c>
      <c r="C123" s="65"/>
      <c r="D123" s="66" t="s">
        <v>13</v>
      </c>
      <c r="E123" s="66" t="s">
        <v>103</v>
      </c>
    </row>
    <row r="124" spans="2:9" x14ac:dyDescent="0.2">
      <c r="B124" s="67" t="s">
        <v>104</v>
      </c>
      <c r="C124" s="67"/>
      <c r="D124" s="68">
        <v>9</v>
      </c>
      <c r="E124" s="69" t="s">
        <v>105</v>
      </c>
      <c r="G124" s="3"/>
      <c r="I124" s="92"/>
    </row>
    <row r="125" spans="2:9" x14ac:dyDescent="0.2">
      <c r="B125" s="72" t="s">
        <v>106</v>
      </c>
      <c r="C125" s="72"/>
      <c r="D125" s="73">
        <v>21</v>
      </c>
      <c r="E125" s="74" t="s">
        <v>107</v>
      </c>
      <c r="G125" s="3"/>
      <c r="I125" s="92"/>
    </row>
    <row r="126" spans="2:9" x14ac:dyDescent="0.2">
      <c r="B126" s="72" t="s">
        <v>108</v>
      </c>
      <c r="C126" s="72"/>
      <c r="D126" s="73">
        <v>21</v>
      </c>
      <c r="E126" s="74" t="s">
        <v>109</v>
      </c>
      <c r="G126" s="3"/>
      <c r="I126" s="92"/>
    </row>
    <row r="127" spans="2:9" x14ac:dyDescent="0.2">
      <c r="B127" s="72" t="s">
        <v>110</v>
      </c>
      <c r="C127" s="72"/>
      <c r="D127" s="73">
        <v>13</v>
      </c>
      <c r="E127" s="74" t="s">
        <v>111</v>
      </c>
      <c r="G127" s="3"/>
      <c r="I127" s="92"/>
    </row>
    <row r="128" spans="2:9" x14ac:dyDescent="0.2">
      <c r="B128" s="72" t="s">
        <v>112</v>
      </c>
      <c r="C128" s="72"/>
      <c r="D128" s="73">
        <v>11</v>
      </c>
      <c r="E128" s="74" t="s">
        <v>113</v>
      </c>
      <c r="G128" s="3"/>
      <c r="I128" s="92"/>
    </row>
    <row r="129" spans="2:9" x14ac:dyDescent="0.2">
      <c r="B129" s="72" t="s">
        <v>114</v>
      </c>
      <c r="C129" s="72"/>
      <c r="D129" s="73">
        <v>9</v>
      </c>
      <c r="E129" s="74" t="s">
        <v>115</v>
      </c>
      <c r="G129" s="3"/>
      <c r="I129" s="92"/>
    </row>
    <row r="130" spans="2:9" x14ac:dyDescent="0.2">
      <c r="B130" s="72" t="s">
        <v>116</v>
      </c>
      <c r="C130" s="72"/>
      <c r="D130" s="73">
        <v>12</v>
      </c>
      <c r="E130" s="74" t="s">
        <v>117</v>
      </c>
      <c r="G130" s="3"/>
      <c r="I130" s="92"/>
    </row>
    <row r="131" spans="2:9" x14ac:dyDescent="0.2">
      <c r="B131" s="72" t="s">
        <v>118</v>
      </c>
      <c r="C131" s="72"/>
      <c r="D131" s="73">
        <v>12</v>
      </c>
      <c r="E131" s="74" t="s">
        <v>119</v>
      </c>
      <c r="G131" s="3"/>
      <c r="I131" s="92"/>
    </row>
    <row r="132" spans="2:9" x14ac:dyDescent="0.2">
      <c r="B132" s="72" t="s">
        <v>120</v>
      </c>
      <c r="C132" s="72"/>
      <c r="D132" s="73">
        <v>25</v>
      </c>
      <c r="E132" s="74" t="s">
        <v>121</v>
      </c>
      <c r="G132" s="3"/>
      <c r="I132" s="92"/>
    </row>
    <row r="133" spans="2:9" x14ac:dyDescent="0.2">
      <c r="B133" s="72" t="s">
        <v>122</v>
      </c>
      <c r="C133" s="72"/>
      <c r="D133" s="73">
        <v>17</v>
      </c>
      <c r="E133" s="74" t="s">
        <v>123</v>
      </c>
      <c r="G133" s="3"/>
      <c r="I133" s="92"/>
    </row>
    <row r="134" spans="2:9" x14ac:dyDescent="0.2">
      <c r="B134" s="72" t="s">
        <v>124</v>
      </c>
      <c r="C134" s="72"/>
      <c r="D134" s="73">
        <v>8</v>
      </c>
      <c r="E134" s="74" t="s">
        <v>125</v>
      </c>
      <c r="G134" s="3"/>
      <c r="I134" s="92"/>
    </row>
    <row r="135" spans="2:9" x14ac:dyDescent="0.2">
      <c r="B135" s="72" t="s">
        <v>126</v>
      </c>
      <c r="C135" s="72"/>
      <c r="D135" s="73">
        <v>17</v>
      </c>
      <c r="E135" s="74" t="s">
        <v>127</v>
      </c>
      <c r="G135" s="3"/>
      <c r="I135" s="92"/>
    </row>
    <row r="136" spans="2:9" x14ac:dyDescent="0.2">
      <c r="B136" s="72" t="s">
        <v>128</v>
      </c>
      <c r="C136" s="72"/>
      <c r="D136" s="73">
        <v>17</v>
      </c>
      <c r="E136" s="74" t="s">
        <v>129</v>
      </c>
      <c r="G136" s="3"/>
      <c r="I136" s="92"/>
    </row>
    <row r="137" spans="2:9" x14ac:dyDescent="0.2">
      <c r="B137" s="72" t="s">
        <v>130</v>
      </c>
      <c r="C137" s="72"/>
      <c r="D137" s="73">
        <v>11</v>
      </c>
      <c r="E137" s="74" t="s">
        <v>131</v>
      </c>
      <c r="G137" s="3"/>
      <c r="I137" s="92"/>
    </row>
    <row r="138" spans="2:9" x14ac:dyDescent="0.2">
      <c r="B138" s="72" t="s">
        <v>132</v>
      </c>
      <c r="C138" s="72"/>
      <c r="D138" s="73">
        <v>15</v>
      </c>
      <c r="E138" s="74" t="s">
        <v>133</v>
      </c>
      <c r="G138" s="3"/>
      <c r="I138" s="92"/>
    </row>
    <row r="139" spans="2:9" x14ac:dyDescent="0.2">
      <c r="B139" s="72" t="s">
        <v>134</v>
      </c>
      <c r="C139" s="72"/>
      <c r="D139" s="73">
        <v>13</v>
      </c>
      <c r="E139" s="74" t="s">
        <v>135</v>
      </c>
      <c r="G139" s="3"/>
      <c r="I139" s="92"/>
    </row>
    <row r="140" spans="2:9" x14ac:dyDescent="0.2">
      <c r="B140" s="72" t="s">
        <v>136</v>
      </c>
      <c r="C140" s="72"/>
      <c r="D140" s="73">
        <v>13</v>
      </c>
      <c r="E140" s="74" t="s">
        <v>137</v>
      </c>
      <c r="G140" s="3"/>
      <c r="I140" s="92"/>
    </row>
    <row r="141" spans="2:9" x14ac:dyDescent="0.2">
      <c r="B141" s="72" t="s">
        <v>138</v>
      </c>
      <c r="C141" s="72"/>
      <c r="D141" s="73">
        <v>11</v>
      </c>
      <c r="E141" s="74" t="s">
        <v>139</v>
      </c>
      <c r="G141" s="3"/>
      <c r="I141" s="92"/>
    </row>
    <row r="142" spans="2:9" x14ac:dyDescent="0.2">
      <c r="B142" s="72" t="s">
        <v>140</v>
      </c>
      <c r="C142" s="72"/>
      <c r="D142" s="73">
        <v>11</v>
      </c>
      <c r="E142" s="74" t="s">
        <v>141</v>
      </c>
      <c r="G142" s="3"/>
      <c r="I142" s="92"/>
    </row>
    <row r="143" spans="2:9" ht="13.5" thickBot="1" x14ac:dyDescent="0.25">
      <c r="B143" s="72" t="s">
        <v>142</v>
      </c>
      <c r="C143" s="72"/>
      <c r="D143" s="73">
        <v>11</v>
      </c>
      <c r="E143" s="74" t="s">
        <v>143</v>
      </c>
      <c r="G143" s="3"/>
      <c r="I143" s="92"/>
    </row>
    <row r="144" spans="2:9" ht="26.25" customHeight="1" thickBot="1" x14ac:dyDescent="0.25">
      <c r="B144" s="78" t="s">
        <v>156</v>
      </c>
      <c r="C144" s="79"/>
      <c r="D144" s="79"/>
      <c r="E144" s="80"/>
      <c r="I144" s="92"/>
    </row>
    <row r="145" spans="2:9" x14ac:dyDescent="0.2">
      <c r="B145" s="61" t="s">
        <v>145</v>
      </c>
      <c r="E145" s="60"/>
    </row>
    <row r="146" spans="2:9" x14ac:dyDescent="0.2">
      <c r="B146" s="84"/>
      <c r="C146" s="62" t="s">
        <v>146</v>
      </c>
      <c r="D146" s="62"/>
      <c r="E146" s="62"/>
    </row>
    <row r="147" spans="2:9" x14ac:dyDescent="0.2">
      <c r="B147" s="61" t="s">
        <v>147</v>
      </c>
      <c r="C147" s="85"/>
      <c r="D147" s="85"/>
      <c r="E147" s="86"/>
    </row>
    <row r="148" spans="2:9" x14ac:dyDescent="0.2">
      <c r="B148" s="84"/>
      <c r="C148" s="62" t="s">
        <v>148</v>
      </c>
      <c r="D148" s="62"/>
      <c r="E148" s="62"/>
    </row>
    <row r="149" spans="2:9" x14ac:dyDescent="0.2">
      <c r="B149" s="61" t="s">
        <v>149</v>
      </c>
      <c r="E149" s="60"/>
    </row>
    <row r="150" spans="2:9" x14ac:dyDescent="0.2">
      <c r="B150" s="61"/>
      <c r="C150" s="87" t="s">
        <v>150</v>
      </c>
      <c r="D150" s="87"/>
      <c r="E150" s="87"/>
    </row>
    <row r="151" spans="2:9" ht="13.5" thickBot="1" x14ac:dyDescent="0.25">
      <c r="B151" s="88"/>
      <c r="C151" s="89"/>
      <c r="D151" s="90"/>
      <c r="E151" s="91"/>
    </row>
    <row r="152" spans="2:9" ht="13.5" thickBot="1" x14ac:dyDescent="0.25"/>
    <row r="153" spans="2:9" x14ac:dyDescent="0.2">
      <c r="B153" s="55" t="s">
        <v>157</v>
      </c>
      <c r="C153" s="56"/>
      <c r="D153" s="57"/>
      <c r="E153" s="58"/>
    </row>
    <row r="154" spans="2:9" x14ac:dyDescent="0.2">
      <c r="B154" s="59"/>
      <c r="E154" s="60"/>
    </row>
    <row r="155" spans="2:9" x14ac:dyDescent="0.2">
      <c r="B155" s="61" t="s">
        <v>98</v>
      </c>
      <c r="E155" s="60"/>
    </row>
    <row r="156" spans="2:9" x14ac:dyDescent="0.2">
      <c r="B156" s="61"/>
      <c r="C156" s="93" t="s">
        <v>158</v>
      </c>
      <c r="D156" s="93"/>
      <c r="E156" s="94"/>
    </row>
    <row r="157" spans="2:9" ht="13.5" thickBot="1" x14ac:dyDescent="0.25">
      <c r="B157" s="61" t="s">
        <v>100</v>
      </c>
      <c r="E157" s="60"/>
    </row>
    <row r="158" spans="2:9" ht="13.5" thickBot="1" x14ac:dyDescent="0.25">
      <c r="B158" s="95" t="s">
        <v>101</v>
      </c>
      <c r="C158" s="96"/>
      <c r="D158" s="96"/>
      <c r="E158" s="97"/>
    </row>
    <row r="159" spans="2:9" ht="13.5" thickBot="1" x14ac:dyDescent="0.25">
      <c r="B159" s="98" t="s">
        <v>102</v>
      </c>
      <c r="C159" s="99"/>
      <c r="D159" s="66" t="s">
        <v>13</v>
      </c>
      <c r="E159" s="100" t="s">
        <v>103</v>
      </c>
    </row>
    <row r="160" spans="2:9" x14ac:dyDescent="0.2">
      <c r="B160" s="67" t="s">
        <v>104</v>
      </c>
      <c r="C160" s="67"/>
      <c r="D160" s="101">
        <v>3</v>
      </c>
      <c r="E160" s="69" t="s">
        <v>105</v>
      </c>
      <c r="G160" s="102"/>
      <c r="I160" s="92"/>
    </row>
    <row r="161" spans="2:9" x14ac:dyDescent="0.2">
      <c r="B161" s="72" t="s">
        <v>106</v>
      </c>
      <c r="C161" s="72"/>
      <c r="D161" s="101">
        <v>8</v>
      </c>
      <c r="E161" s="74" t="s">
        <v>107</v>
      </c>
      <c r="G161" s="102"/>
      <c r="I161" s="92"/>
    </row>
    <row r="162" spans="2:9" x14ac:dyDescent="0.2">
      <c r="B162" s="72" t="s">
        <v>108</v>
      </c>
      <c r="C162" s="72"/>
      <c r="D162" s="101">
        <v>8</v>
      </c>
      <c r="E162" s="74" t="s">
        <v>109</v>
      </c>
      <c r="G162" s="102"/>
      <c r="I162" s="92"/>
    </row>
    <row r="163" spans="2:9" x14ac:dyDescent="0.2">
      <c r="B163" s="72" t="s">
        <v>110</v>
      </c>
      <c r="C163" s="72"/>
      <c r="D163" s="101">
        <v>5</v>
      </c>
      <c r="E163" s="74" t="s">
        <v>111</v>
      </c>
      <c r="G163" s="102"/>
      <c r="I163" s="92"/>
    </row>
    <row r="164" spans="2:9" x14ac:dyDescent="0.2">
      <c r="B164" s="72" t="s">
        <v>112</v>
      </c>
      <c r="C164" s="72"/>
      <c r="D164" s="101">
        <v>4</v>
      </c>
      <c r="E164" s="74" t="s">
        <v>113</v>
      </c>
      <c r="G164" s="102"/>
      <c r="I164" s="92"/>
    </row>
    <row r="165" spans="2:9" x14ac:dyDescent="0.2">
      <c r="B165" s="72" t="s">
        <v>114</v>
      </c>
      <c r="C165" s="72"/>
      <c r="D165" s="101">
        <v>3</v>
      </c>
      <c r="E165" s="74" t="s">
        <v>115</v>
      </c>
      <c r="G165" s="102"/>
      <c r="I165" s="92"/>
    </row>
    <row r="166" spans="2:9" x14ac:dyDescent="0.2">
      <c r="B166" s="72" t="s">
        <v>116</v>
      </c>
      <c r="C166" s="72"/>
      <c r="D166" s="101">
        <v>5</v>
      </c>
      <c r="E166" s="74" t="s">
        <v>117</v>
      </c>
      <c r="G166" s="102"/>
      <c r="I166" s="92"/>
    </row>
    <row r="167" spans="2:9" x14ac:dyDescent="0.2">
      <c r="B167" s="72" t="s">
        <v>118</v>
      </c>
      <c r="C167" s="72"/>
      <c r="D167" s="101">
        <v>5</v>
      </c>
      <c r="E167" s="74" t="s">
        <v>119</v>
      </c>
      <c r="G167" s="102"/>
      <c r="I167" s="92"/>
    </row>
    <row r="168" spans="2:9" x14ac:dyDescent="0.2">
      <c r="B168" s="72" t="s">
        <v>120</v>
      </c>
      <c r="C168" s="72"/>
      <c r="D168" s="101">
        <v>10</v>
      </c>
      <c r="E168" s="74" t="s">
        <v>121</v>
      </c>
      <c r="G168" s="102"/>
      <c r="I168" s="92"/>
    </row>
    <row r="169" spans="2:9" x14ac:dyDescent="0.2">
      <c r="B169" s="72" t="s">
        <v>122</v>
      </c>
      <c r="C169" s="72"/>
      <c r="D169" s="101">
        <v>7</v>
      </c>
      <c r="E169" s="74" t="s">
        <v>123</v>
      </c>
      <c r="G169" s="102"/>
      <c r="I169" s="92"/>
    </row>
    <row r="170" spans="2:9" x14ac:dyDescent="0.2">
      <c r="B170" s="72" t="s">
        <v>124</v>
      </c>
      <c r="C170" s="72"/>
      <c r="D170" s="101">
        <v>3</v>
      </c>
      <c r="E170" s="74" t="s">
        <v>125</v>
      </c>
      <c r="G170" s="102"/>
      <c r="I170" s="92"/>
    </row>
    <row r="171" spans="2:9" x14ac:dyDescent="0.2">
      <c r="B171" s="72" t="s">
        <v>126</v>
      </c>
      <c r="C171" s="72"/>
      <c r="D171" s="101">
        <v>7</v>
      </c>
      <c r="E171" s="74" t="s">
        <v>127</v>
      </c>
      <c r="G171" s="102"/>
      <c r="I171" s="92"/>
    </row>
    <row r="172" spans="2:9" x14ac:dyDescent="0.2">
      <c r="B172" s="72" t="s">
        <v>128</v>
      </c>
      <c r="C172" s="72"/>
      <c r="D172" s="101">
        <v>7</v>
      </c>
      <c r="E172" s="74" t="s">
        <v>129</v>
      </c>
      <c r="G172" s="102"/>
      <c r="I172" s="92"/>
    </row>
    <row r="173" spans="2:9" x14ac:dyDescent="0.2">
      <c r="B173" s="72" t="s">
        <v>130</v>
      </c>
      <c r="C173" s="72"/>
      <c r="D173" s="101">
        <v>4</v>
      </c>
      <c r="E173" s="74" t="s">
        <v>131</v>
      </c>
      <c r="G173" s="102"/>
      <c r="I173" s="92"/>
    </row>
    <row r="174" spans="2:9" x14ac:dyDescent="0.2">
      <c r="B174" s="72" t="s">
        <v>132</v>
      </c>
      <c r="C174" s="72"/>
      <c r="D174" s="101">
        <v>6</v>
      </c>
      <c r="E174" s="74" t="s">
        <v>133</v>
      </c>
      <c r="G174" s="102"/>
      <c r="I174" s="92"/>
    </row>
    <row r="175" spans="2:9" x14ac:dyDescent="0.2">
      <c r="B175" s="72" t="s">
        <v>134</v>
      </c>
      <c r="C175" s="72"/>
      <c r="D175" s="101">
        <v>5</v>
      </c>
      <c r="E175" s="74" t="s">
        <v>135</v>
      </c>
      <c r="G175" s="102"/>
      <c r="I175" s="92"/>
    </row>
    <row r="176" spans="2:9" x14ac:dyDescent="0.2">
      <c r="B176" s="72" t="s">
        <v>136</v>
      </c>
      <c r="C176" s="72"/>
      <c r="D176" s="101">
        <v>5</v>
      </c>
      <c r="E176" s="74" t="s">
        <v>137</v>
      </c>
      <c r="G176" s="102"/>
      <c r="I176" s="92"/>
    </row>
    <row r="177" spans="2:9" x14ac:dyDescent="0.2">
      <c r="B177" s="72" t="s">
        <v>138</v>
      </c>
      <c r="C177" s="72"/>
      <c r="D177" s="101">
        <v>4</v>
      </c>
      <c r="E177" s="74" t="s">
        <v>139</v>
      </c>
      <c r="G177" s="102"/>
      <c r="I177" s="92"/>
    </row>
    <row r="178" spans="2:9" x14ac:dyDescent="0.2">
      <c r="B178" s="72" t="s">
        <v>140</v>
      </c>
      <c r="C178" s="72"/>
      <c r="D178" s="101">
        <v>4</v>
      </c>
      <c r="E178" s="74" t="s">
        <v>141</v>
      </c>
      <c r="G178" s="102"/>
      <c r="I178" s="92"/>
    </row>
    <row r="179" spans="2:9" ht="13.5" thickBot="1" x14ac:dyDescent="0.25">
      <c r="B179" s="72" t="s">
        <v>142</v>
      </c>
      <c r="C179" s="72"/>
      <c r="D179" s="101">
        <v>4</v>
      </c>
      <c r="E179" s="74" t="s">
        <v>143</v>
      </c>
      <c r="G179" s="102"/>
      <c r="I179" s="92"/>
    </row>
    <row r="180" spans="2:9" ht="26.25" customHeight="1" thickBot="1" x14ac:dyDescent="0.25">
      <c r="B180" s="78" t="s">
        <v>159</v>
      </c>
      <c r="C180" s="79"/>
      <c r="D180" s="79"/>
      <c r="E180" s="80"/>
      <c r="I180" s="92"/>
    </row>
    <row r="181" spans="2:9" x14ac:dyDescent="0.2">
      <c r="B181" s="61" t="s">
        <v>145</v>
      </c>
      <c r="E181" s="60"/>
    </row>
    <row r="182" spans="2:9" x14ac:dyDescent="0.2">
      <c r="B182" s="84"/>
      <c r="C182" s="62" t="s">
        <v>146</v>
      </c>
      <c r="D182" s="62"/>
      <c r="E182" s="62"/>
    </row>
    <row r="183" spans="2:9" x14ac:dyDescent="0.2">
      <c r="B183" s="61" t="s">
        <v>147</v>
      </c>
      <c r="C183" s="85"/>
      <c r="D183" s="85"/>
      <c r="E183" s="86"/>
    </row>
    <row r="184" spans="2:9" x14ac:dyDescent="0.2">
      <c r="B184" s="84"/>
      <c r="C184" s="62" t="s">
        <v>148</v>
      </c>
      <c r="D184" s="62"/>
      <c r="E184" s="62"/>
    </row>
    <row r="185" spans="2:9" x14ac:dyDescent="0.2">
      <c r="B185" s="61" t="s">
        <v>149</v>
      </c>
      <c r="E185" s="60"/>
    </row>
    <row r="186" spans="2:9" x14ac:dyDescent="0.2">
      <c r="B186" s="61"/>
      <c r="C186" s="87" t="s">
        <v>150</v>
      </c>
      <c r="D186" s="87"/>
      <c r="E186" s="87"/>
    </row>
    <row r="187" spans="2:9" ht="13.5" thickBot="1" x14ac:dyDescent="0.25">
      <c r="B187" s="88"/>
      <c r="C187" s="89"/>
      <c r="D187" s="90"/>
      <c r="E187" s="91"/>
    </row>
    <row r="188" spans="2:9" ht="13.5" thickBot="1" x14ac:dyDescent="0.25"/>
    <row r="189" spans="2:9" x14ac:dyDescent="0.2">
      <c r="B189" s="55" t="s">
        <v>160</v>
      </c>
      <c r="C189" s="56"/>
      <c r="D189" s="57"/>
      <c r="E189" s="58"/>
    </row>
    <row r="190" spans="2:9" x14ac:dyDescent="0.2">
      <c r="B190" s="59"/>
      <c r="E190" s="60"/>
    </row>
    <row r="191" spans="2:9" x14ac:dyDescent="0.2">
      <c r="B191" s="61" t="s">
        <v>98</v>
      </c>
      <c r="E191" s="60"/>
    </row>
    <row r="192" spans="2:9" x14ac:dyDescent="0.2">
      <c r="B192" s="61"/>
      <c r="C192" s="62" t="s">
        <v>161</v>
      </c>
      <c r="D192" s="62"/>
      <c r="E192" s="62"/>
    </row>
    <row r="193" spans="2:9" ht="13.5" thickBot="1" x14ac:dyDescent="0.25">
      <c r="B193" s="61" t="s">
        <v>100</v>
      </c>
      <c r="E193" s="60"/>
    </row>
    <row r="194" spans="2:9" ht="13.5" thickBot="1" x14ac:dyDescent="0.25">
      <c r="B194" s="63" t="s">
        <v>101</v>
      </c>
      <c r="C194" s="64"/>
      <c r="D194" s="64"/>
      <c r="E194" s="65"/>
    </row>
    <row r="195" spans="2:9" ht="13.5" thickBot="1" x14ac:dyDescent="0.25">
      <c r="B195" s="63" t="s">
        <v>102</v>
      </c>
      <c r="C195" s="65"/>
      <c r="D195" s="66" t="s">
        <v>13</v>
      </c>
      <c r="E195" s="66" t="s">
        <v>103</v>
      </c>
    </row>
    <row r="196" spans="2:9" x14ac:dyDescent="0.2">
      <c r="B196" s="67" t="s">
        <v>104</v>
      </c>
      <c r="C196" s="67"/>
      <c r="D196" s="68">
        <v>36</v>
      </c>
      <c r="E196" s="69" t="s">
        <v>105</v>
      </c>
      <c r="G196" s="3"/>
      <c r="I196" s="92"/>
    </row>
    <row r="197" spans="2:9" x14ac:dyDescent="0.2">
      <c r="B197" s="72" t="s">
        <v>106</v>
      </c>
      <c r="C197" s="72"/>
      <c r="D197" s="73">
        <v>80</v>
      </c>
      <c r="E197" s="74" t="s">
        <v>107</v>
      </c>
      <c r="G197" s="3"/>
      <c r="I197" s="92"/>
    </row>
    <row r="198" spans="2:9" x14ac:dyDescent="0.2">
      <c r="B198" s="72" t="s">
        <v>108</v>
      </c>
      <c r="C198" s="72"/>
      <c r="D198" s="73">
        <v>80</v>
      </c>
      <c r="E198" s="74" t="s">
        <v>109</v>
      </c>
      <c r="G198" s="3"/>
      <c r="I198" s="92"/>
    </row>
    <row r="199" spans="2:9" x14ac:dyDescent="0.2">
      <c r="B199" s="72" t="s">
        <v>110</v>
      </c>
      <c r="C199" s="72"/>
      <c r="D199" s="73">
        <v>48</v>
      </c>
      <c r="E199" s="74" t="s">
        <v>111</v>
      </c>
      <c r="G199" s="3"/>
      <c r="I199" s="92"/>
    </row>
    <row r="200" spans="2:9" x14ac:dyDescent="0.2">
      <c r="B200" s="72" t="s">
        <v>112</v>
      </c>
      <c r="C200" s="72"/>
      <c r="D200" s="73">
        <v>41</v>
      </c>
      <c r="E200" s="74" t="s">
        <v>113</v>
      </c>
      <c r="G200" s="3"/>
      <c r="I200" s="92"/>
    </row>
    <row r="201" spans="2:9" x14ac:dyDescent="0.2">
      <c r="B201" s="72" t="s">
        <v>114</v>
      </c>
      <c r="C201" s="72"/>
      <c r="D201" s="73">
        <v>36</v>
      </c>
      <c r="E201" s="74" t="s">
        <v>115</v>
      </c>
      <c r="G201" s="3"/>
      <c r="I201" s="92"/>
    </row>
    <row r="202" spans="2:9" x14ac:dyDescent="0.2">
      <c r="B202" s="72" t="s">
        <v>116</v>
      </c>
      <c r="C202" s="72"/>
      <c r="D202" s="73">
        <v>45</v>
      </c>
      <c r="E202" s="74" t="s">
        <v>117</v>
      </c>
      <c r="G202" s="3"/>
      <c r="I202" s="92"/>
    </row>
    <row r="203" spans="2:9" x14ac:dyDescent="0.2">
      <c r="B203" s="72" t="s">
        <v>118</v>
      </c>
      <c r="C203" s="72"/>
      <c r="D203" s="73">
        <v>45</v>
      </c>
      <c r="E203" s="74" t="s">
        <v>119</v>
      </c>
      <c r="G203" s="3"/>
      <c r="I203" s="92"/>
    </row>
    <row r="204" spans="2:9" x14ac:dyDescent="0.2">
      <c r="B204" s="72" t="s">
        <v>120</v>
      </c>
      <c r="C204" s="72"/>
      <c r="D204" s="73">
        <v>96</v>
      </c>
      <c r="E204" s="74" t="s">
        <v>121</v>
      </c>
      <c r="G204" s="3"/>
      <c r="I204" s="92"/>
    </row>
    <row r="205" spans="2:9" x14ac:dyDescent="0.2">
      <c r="B205" s="72" t="s">
        <v>122</v>
      </c>
      <c r="C205" s="72"/>
      <c r="D205" s="73">
        <v>64</v>
      </c>
      <c r="E205" s="74" t="s">
        <v>123</v>
      </c>
      <c r="G205" s="3"/>
      <c r="I205" s="92"/>
    </row>
    <row r="206" spans="2:9" x14ac:dyDescent="0.2">
      <c r="B206" s="72" t="s">
        <v>124</v>
      </c>
      <c r="C206" s="72"/>
      <c r="D206" s="73">
        <v>32</v>
      </c>
      <c r="E206" s="74" t="s">
        <v>125</v>
      </c>
      <c r="G206" s="3"/>
      <c r="I206" s="92"/>
    </row>
    <row r="207" spans="2:9" x14ac:dyDescent="0.2">
      <c r="B207" s="72" t="s">
        <v>126</v>
      </c>
      <c r="C207" s="72"/>
      <c r="D207" s="73">
        <v>64</v>
      </c>
      <c r="E207" s="74" t="s">
        <v>127</v>
      </c>
      <c r="G207" s="3"/>
      <c r="I207" s="92"/>
    </row>
    <row r="208" spans="2:9" x14ac:dyDescent="0.2">
      <c r="B208" s="72" t="s">
        <v>128</v>
      </c>
      <c r="C208" s="72"/>
      <c r="D208" s="73">
        <v>64</v>
      </c>
      <c r="E208" s="74" t="s">
        <v>129</v>
      </c>
      <c r="G208" s="3"/>
      <c r="I208" s="92"/>
    </row>
    <row r="209" spans="2:10" x14ac:dyDescent="0.2">
      <c r="B209" s="72" t="s">
        <v>130</v>
      </c>
      <c r="C209" s="72"/>
      <c r="D209" s="73">
        <v>41</v>
      </c>
      <c r="E209" s="74" t="s">
        <v>131</v>
      </c>
      <c r="G209" s="3"/>
      <c r="I209" s="92"/>
    </row>
    <row r="210" spans="2:10" x14ac:dyDescent="0.2">
      <c r="B210" s="72" t="s">
        <v>132</v>
      </c>
      <c r="C210" s="72"/>
      <c r="D210" s="73">
        <v>57</v>
      </c>
      <c r="E210" s="74" t="s">
        <v>133</v>
      </c>
      <c r="G210" s="3"/>
      <c r="I210" s="92"/>
    </row>
    <row r="211" spans="2:10" x14ac:dyDescent="0.2">
      <c r="B211" s="72" t="s">
        <v>134</v>
      </c>
      <c r="C211" s="72"/>
      <c r="D211" s="73">
        <v>48</v>
      </c>
      <c r="E211" s="74" t="s">
        <v>135</v>
      </c>
      <c r="G211" s="3"/>
      <c r="I211" s="92"/>
    </row>
    <row r="212" spans="2:10" x14ac:dyDescent="0.2">
      <c r="B212" s="72" t="s">
        <v>136</v>
      </c>
      <c r="C212" s="72"/>
      <c r="D212" s="73">
        <v>48</v>
      </c>
      <c r="E212" s="74" t="s">
        <v>137</v>
      </c>
      <c r="G212" s="3"/>
      <c r="I212" s="92"/>
    </row>
    <row r="213" spans="2:10" x14ac:dyDescent="0.2">
      <c r="B213" s="72" t="s">
        <v>138</v>
      </c>
      <c r="C213" s="72"/>
      <c r="D213" s="73">
        <v>41</v>
      </c>
      <c r="E213" s="74" t="s">
        <v>139</v>
      </c>
      <c r="G213" s="3"/>
      <c r="I213" s="92"/>
    </row>
    <row r="214" spans="2:10" x14ac:dyDescent="0.2">
      <c r="B214" s="72" t="s">
        <v>140</v>
      </c>
      <c r="C214" s="72"/>
      <c r="D214" s="73">
        <v>41</v>
      </c>
      <c r="E214" s="74" t="s">
        <v>141</v>
      </c>
      <c r="G214" s="3"/>
      <c r="I214" s="92"/>
    </row>
    <row r="215" spans="2:10" ht="13.5" thickBot="1" x14ac:dyDescent="0.25">
      <c r="B215" s="75" t="s">
        <v>142</v>
      </c>
      <c r="C215" s="75"/>
      <c r="D215" s="76">
        <v>41</v>
      </c>
      <c r="E215" s="77" t="s">
        <v>143</v>
      </c>
      <c r="G215" s="3"/>
      <c r="I215" s="92"/>
    </row>
    <row r="216" spans="2:10" ht="26.25" customHeight="1" thickBot="1" x14ac:dyDescent="0.25">
      <c r="B216" s="78" t="s">
        <v>162</v>
      </c>
      <c r="C216" s="79"/>
      <c r="D216" s="79"/>
      <c r="E216" s="80"/>
      <c r="I216" s="92"/>
      <c r="J216" s="92"/>
    </row>
    <row r="217" spans="2:10" x14ac:dyDescent="0.2">
      <c r="B217" s="61" t="s">
        <v>145</v>
      </c>
      <c r="E217" s="60"/>
    </row>
    <row r="218" spans="2:10" x14ac:dyDescent="0.2">
      <c r="B218" s="84"/>
      <c r="C218" s="62" t="s">
        <v>146</v>
      </c>
      <c r="D218" s="62"/>
      <c r="E218" s="62"/>
    </row>
    <row r="219" spans="2:10" x14ac:dyDescent="0.2">
      <c r="B219" s="61" t="s">
        <v>147</v>
      </c>
      <c r="C219" s="85"/>
      <c r="D219" s="85"/>
      <c r="E219" s="86"/>
    </row>
    <row r="220" spans="2:10" x14ac:dyDescent="0.2">
      <c r="B220" s="84"/>
      <c r="C220" s="62" t="s">
        <v>148</v>
      </c>
      <c r="D220" s="62"/>
      <c r="E220" s="62"/>
    </row>
    <row r="221" spans="2:10" x14ac:dyDescent="0.2">
      <c r="B221" s="61" t="s">
        <v>149</v>
      </c>
      <c r="E221" s="60"/>
    </row>
    <row r="222" spans="2:10" x14ac:dyDescent="0.2">
      <c r="B222" s="61"/>
      <c r="C222" s="87" t="s">
        <v>150</v>
      </c>
      <c r="D222" s="87"/>
      <c r="E222" s="87"/>
    </row>
    <row r="223" spans="2:10" ht="13.5" thickBot="1" x14ac:dyDescent="0.25">
      <c r="B223" s="88"/>
      <c r="C223" s="89"/>
      <c r="D223" s="90"/>
      <c r="E223" s="91"/>
    </row>
    <row r="224" spans="2:10" ht="13.5" thickBot="1" x14ac:dyDescent="0.25"/>
    <row r="225" spans="2:9" x14ac:dyDescent="0.2">
      <c r="B225" s="55" t="s">
        <v>163</v>
      </c>
      <c r="C225" s="56"/>
      <c r="D225" s="57"/>
      <c r="E225" s="58"/>
    </row>
    <row r="226" spans="2:9" x14ac:dyDescent="0.2">
      <c r="B226" s="59"/>
      <c r="E226" s="60"/>
    </row>
    <row r="227" spans="2:9" x14ac:dyDescent="0.2">
      <c r="B227" s="61" t="s">
        <v>98</v>
      </c>
      <c r="E227" s="60"/>
    </row>
    <row r="228" spans="2:9" x14ac:dyDescent="0.2">
      <c r="B228" s="61"/>
      <c r="C228" s="62" t="s">
        <v>164</v>
      </c>
      <c r="D228" s="62"/>
      <c r="E228" s="62"/>
    </row>
    <row r="229" spans="2:9" ht="13.5" thickBot="1" x14ac:dyDescent="0.25">
      <c r="B229" s="61" t="s">
        <v>100</v>
      </c>
      <c r="E229" s="60"/>
    </row>
    <row r="230" spans="2:9" ht="13.5" thickBot="1" x14ac:dyDescent="0.25">
      <c r="B230" s="63" t="s">
        <v>101</v>
      </c>
      <c r="C230" s="64"/>
      <c r="D230" s="64"/>
      <c r="E230" s="65"/>
    </row>
    <row r="231" spans="2:9" ht="13.5" thickBot="1" x14ac:dyDescent="0.25">
      <c r="B231" s="63" t="s">
        <v>102</v>
      </c>
      <c r="C231" s="65"/>
      <c r="D231" s="66" t="s">
        <v>13</v>
      </c>
      <c r="E231" s="66" t="s">
        <v>103</v>
      </c>
    </row>
    <row r="232" spans="2:9" x14ac:dyDescent="0.2">
      <c r="B232" s="67" t="s">
        <v>104</v>
      </c>
      <c r="C232" s="67"/>
      <c r="D232" s="68">
        <v>37</v>
      </c>
      <c r="E232" s="69" t="s">
        <v>105</v>
      </c>
      <c r="G232" s="3"/>
      <c r="I232" s="92"/>
    </row>
    <row r="233" spans="2:9" x14ac:dyDescent="0.2">
      <c r="B233" s="72" t="s">
        <v>106</v>
      </c>
      <c r="C233" s="72"/>
      <c r="D233" s="73">
        <v>85</v>
      </c>
      <c r="E233" s="74" t="s">
        <v>107</v>
      </c>
      <c r="G233" s="3"/>
      <c r="I233" s="92"/>
    </row>
    <row r="234" spans="2:9" x14ac:dyDescent="0.2">
      <c r="B234" s="72" t="s">
        <v>108</v>
      </c>
      <c r="C234" s="72"/>
      <c r="D234" s="73">
        <v>85</v>
      </c>
      <c r="E234" s="74" t="s">
        <v>109</v>
      </c>
      <c r="G234" s="3"/>
      <c r="I234" s="92"/>
    </row>
    <row r="235" spans="2:9" x14ac:dyDescent="0.2">
      <c r="B235" s="72" t="s">
        <v>110</v>
      </c>
      <c r="C235" s="72"/>
      <c r="D235" s="73">
        <v>51</v>
      </c>
      <c r="E235" s="74" t="s">
        <v>111</v>
      </c>
      <c r="G235" s="3"/>
      <c r="I235" s="92"/>
    </row>
    <row r="236" spans="2:9" x14ac:dyDescent="0.2">
      <c r="B236" s="72" t="s">
        <v>112</v>
      </c>
      <c r="C236" s="72"/>
      <c r="D236" s="73">
        <v>42</v>
      </c>
      <c r="E236" s="74" t="s">
        <v>113</v>
      </c>
      <c r="G236" s="3"/>
      <c r="I236" s="92"/>
    </row>
    <row r="237" spans="2:9" x14ac:dyDescent="0.2">
      <c r="B237" s="72" t="s">
        <v>114</v>
      </c>
      <c r="C237" s="72"/>
      <c r="D237" s="73">
        <v>37</v>
      </c>
      <c r="E237" s="74" t="s">
        <v>115</v>
      </c>
      <c r="G237" s="3"/>
      <c r="I237" s="92"/>
    </row>
    <row r="238" spans="2:9" x14ac:dyDescent="0.2">
      <c r="B238" s="72" t="s">
        <v>116</v>
      </c>
      <c r="C238" s="72"/>
      <c r="D238" s="73">
        <v>47</v>
      </c>
      <c r="E238" s="74" t="s">
        <v>117</v>
      </c>
      <c r="G238" s="3"/>
      <c r="I238" s="92"/>
    </row>
    <row r="239" spans="2:9" x14ac:dyDescent="0.2">
      <c r="B239" s="72" t="s">
        <v>118</v>
      </c>
      <c r="C239" s="72"/>
      <c r="D239" s="73">
        <v>47</v>
      </c>
      <c r="E239" s="74" t="s">
        <v>119</v>
      </c>
      <c r="G239" s="3"/>
      <c r="I239" s="92"/>
    </row>
    <row r="240" spans="2:9" x14ac:dyDescent="0.2">
      <c r="B240" s="72" t="s">
        <v>120</v>
      </c>
      <c r="C240" s="72"/>
      <c r="D240" s="73">
        <v>102</v>
      </c>
      <c r="E240" s="74" t="s">
        <v>121</v>
      </c>
      <c r="G240" s="3"/>
      <c r="I240" s="92"/>
    </row>
    <row r="241" spans="2:9" x14ac:dyDescent="0.2">
      <c r="B241" s="72" t="s">
        <v>122</v>
      </c>
      <c r="C241" s="72"/>
      <c r="D241" s="73">
        <v>68</v>
      </c>
      <c r="E241" s="74" t="s">
        <v>123</v>
      </c>
      <c r="G241" s="3"/>
      <c r="I241" s="92"/>
    </row>
    <row r="242" spans="2:9" x14ac:dyDescent="0.2">
      <c r="B242" s="72" t="s">
        <v>124</v>
      </c>
      <c r="C242" s="72"/>
      <c r="D242" s="73">
        <v>34</v>
      </c>
      <c r="E242" s="74" t="s">
        <v>125</v>
      </c>
      <c r="G242" s="3"/>
      <c r="I242" s="92"/>
    </row>
    <row r="243" spans="2:9" x14ac:dyDescent="0.2">
      <c r="B243" s="72" t="s">
        <v>126</v>
      </c>
      <c r="C243" s="72"/>
      <c r="D243" s="73">
        <v>68</v>
      </c>
      <c r="E243" s="74" t="s">
        <v>127</v>
      </c>
      <c r="G243" s="3"/>
      <c r="I243" s="92"/>
    </row>
    <row r="244" spans="2:9" x14ac:dyDescent="0.2">
      <c r="B244" s="72" t="s">
        <v>128</v>
      </c>
      <c r="C244" s="72"/>
      <c r="D244" s="73">
        <v>68</v>
      </c>
      <c r="E244" s="74" t="s">
        <v>129</v>
      </c>
      <c r="G244" s="3"/>
      <c r="I244" s="92"/>
    </row>
    <row r="245" spans="2:9" x14ac:dyDescent="0.2">
      <c r="B245" s="72" t="s">
        <v>130</v>
      </c>
      <c r="C245" s="72"/>
      <c r="D245" s="73">
        <v>42</v>
      </c>
      <c r="E245" s="74" t="s">
        <v>131</v>
      </c>
      <c r="G245" s="3"/>
      <c r="I245" s="92"/>
    </row>
    <row r="246" spans="2:9" x14ac:dyDescent="0.2">
      <c r="B246" s="72" t="s">
        <v>132</v>
      </c>
      <c r="C246" s="72"/>
      <c r="D246" s="73">
        <v>59</v>
      </c>
      <c r="E246" s="74" t="s">
        <v>133</v>
      </c>
      <c r="G246" s="3"/>
      <c r="I246" s="92"/>
    </row>
    <row r="247" spans="2:9" x14ac:dyDescent="0.2">
      <c r="B247" s="72" t="s">
        <v>134</v>
      </c>
      <c r="C247" s="72"/>
      <c r="D247" s="73">
        <v>51</v>
      </c>
      <c r="E247" s="74" t="s">
        <v>135</v>
      </c>
      <c r="G247" s="3"/>
      <c r="I247" s="92"/>
    </row>
    <row r="248" spans="2:9" x14ac:dyDescent="0.2">
      <c r="B248" s="72" t="s">
        <v>136</v>
      </c>
      <c r="C248" s="72"/>
      <c r="D248" s="73">
        <v>51</v>
      </c>
      <c r="E248" s="74" t="s">
        <v>137</v>
      </c>
      <c r="G248" s="3"/>
      <c r="I248" s="92"/>
    </row>
    <row r="249" spans="2:9" x14ac:dyDescent="0.2">
      <c r="B249" s="72" t="s">
        <v>138</v>
      </c>
      <c r="C249" s="72"/>
      <c r="D249" s="73">
        <v>42</v>
      </c>
      <c r="E249" s="74" t="s">
        <v>139</v>
      </c>
      <c r="G249" s="3"/>
      <c r="I249" s="92"/>
    </row>
    <row r="250" spans="2:9" x14ac:dyDescent="0.2">
      <c r="B250" s="72" t="s">
        <v>140</v>
      </c>
      <c r="C250" s="72"/>
      <c r="D250" s="73">
        <v>42</v>
      </c>
      <c r="E250" s="74" t="s">
        <v>141</v>
      </c>
      <c r="G250" s="3"/>
      <c r="I250" s="92"/>
    </row>
    <row r="251" spans="2:9" ht="13.5" thickBot="1" x14ac:dyDescent="0.25">
      <c r="B251" s="75" t="s">
        <v>142</v>
      </c>
      <c r="C251" s="75"/>
      <c r="D251" s="76">
        <v>42</v>
      </c>
      <c r="E251" s="77" t="s">
        <v>143</v>
      </c>
      <c r="G251" s="3"/>
      <c r="I251" s="92"/>
    </row>
    <row r="252" spans="2:9" ht="26.25" customHeight="1" thickBot="1" x14ac:dyDescent="0.25">
      <c r="B252" s="78" t="s">
        <v>165</v>
      </c>
      <c r="C252" s="79"/>
      <c r="D252" s="79"/>
      <c r="E252" s="80"/>
      <c r="I252" s="92"/>
    </row>
    <row r="253" spans="2:9" x14ac:dyDescent="0.2">
      <c r="B253" s="61" t="s">
        <v>145</v>
      </c>
      <c r="E253" s="60"/>
    </row>
    <row r="254" spans="2:9" x14ac:dyDescent="0.2">
      <c r="B254" s="84"/>
      <c r="C254" s="62" t="s">
        <v>146</v>
      </c>
      <c r="D254" s="62"/>
      <c r="E254" s="62"/>
    </row>
    <row r="255" spans="2:9" x14ac:dyDescent="0.2">
      <c r="B255" s="61" t="s">
        <v>147</v>
      </c>
      <c r="C255" s="85"/>
      <c r="D255" s="85"/>
      <c r="E255" s="86"/>
    </row>
    <row r="256" spans="2:9" x14ac:dyDescent="0.2">
      <c r="B256" s="84"/>
      <c r="C256" s="62" t="s">
        <v>148</v>
      </c>
      <c r="D256" s="62"/>
      <c r="E256" s="62"/>
    </row>
    <row r="257" spans="2:9" x14ac:dyDescent="0.2">
      <c r="B257" s="61" t="s">
        <v>149</v>
      </c>
      <c r="E257" s="60"/>
    </row>
    <row r="258" spans="2:9" x14ac:dyDescent="0.2">
      <c r="B258" s="61"/>
      <c r="C258" s="87" t="s">
        <v>150</v>
      </c>
      <c r="D258" s="87"/>
      <c r="E258" s="87"/>
    </row>
    <row r="259" spans="2:9" ht="13.5" thickBot="1" x14ac:dyDescent="0.25">
      <c r="B259" s="88"/>
      <c r="C259" s="89"/>
      <c r="D259" s="90"/>
      <c r="E259" s="91"/>
    </row>
    <row r="260" spans="2:9" ht="13.5" thickBot="1" x14ac:dyDescent="0.25"/>
    <row r="261" spans="2:9" x14ac:dyDescent="0.2">
      <c r="B261" s="55" t="s">
        <v>166</v>
      </c>
      <c r="C261" s="56"/>
      <c r="D261" s="57"/>
      <c r="E261" s="58"/>
    </row>
    <row r="262" spans="2:9" x14ac:dyDescent="0.2">
      <c r="B262" s="59"/>
      <c r="E262" s="60"/>
    </row>
    <row r="263" spans="2:9" x14ac:dyDescent="0.2">
      <c r="B263" s="61" t="s">
        <v>98</v>
      </c>
      <c r="E263" s="60"/>
    </row>
    <row r="264" spans="2:9" x14ac:dyDescent="0.2">
      <c r="B264" s="61"/>
      <c r="C264" s="62" t="s">
        <v>167</v>
      </c>
      <c r="D264" s="62"/>
      <c r="E264" s="62"/>
    </row>
    <row r="265" spans="2:9" ht="13.5" thickBot="1" x14ac:dyDescent="0.25">
      <c r="B265" s="61" t="s">
        <v>100</v>
      </c>
      <c r="E265" s="60"/>
    </row>
    <row r="266" spans="2:9" ht="13.5" thickBot="1" x14ac:dyDescent="0.25">
      <c r="B266" s="63" t="s">
        <v>101</v>
      </c>
      <c r="C266" s="64"/>
      <c r="D266" s="64"/>
      <c r="E266" s="65"/>
    </row>
    <row r="267" spans="2:9" x14ac:dyDescent="0.2">
      <c r="B267" s="95" t="s">
        <v>102</v>
      </c>
      <c r="C267" s="97"/>
      <c r="D267" s="103" t="s">
        <v>13</v>
      </c>
      <c r="E267" s="103" t="s">
        <v>103</v>
      </c>
    </row>
    <row r="268" spans="2:9" x14ac:dyDescent="0.2">
      <c r="B268" s="72" t="s">
        <v>104</v>
      </c>
      <c r="C268" s="72"/>
      <c r="D268" s="73">
        <v>28</v>
      </c>
      <c r="E268" s="74" t="s">
        <v>105</v>
      </c>
      <c r="G268" s="3"/>
      <c r="I268" s="92"/>
    </row>
    <row r="269" spans="2:9" x14ac:dyDescent="0.2">
      <c r="B269" s="72" t="s">
        <v>106</v>
      </c>
      <c r="C269" s="72"/>
      <c r="D269" s="73">
        <v>63</v>
      </c>
      <c r="E269" s="74" t="s">
        <v>107</v>
      </c>
      <c r="G269" s="3"/>
      <c r="I269" s="92"/>
    </row>
    <row r="270" spans="2:9" x14ac:dyDescent="0.2">
      <c r="B270" s="72" t="s">
        <v>108</v>
      </c>
      <c r="C270" s="72"/>
      <c r="D270" s="73">
        <v>63</v>
      </c>
      <c r="E270" s="74" t="s">
        <v>109</v>
      </c>
      <c r="G270" s="3"/>
      <c r="I270" s="92"/>
    </row>
    <row r="271" spans="2:9" x14ac:dyDescent="0.2">
      <c r="B271" s="72" t="s">
        <v>110</v>
      </c>
      <c r="C271" s="72"/>
      <c r="D271" s="73">
        <v>38</v>
      </c>
      <c r="E271" s="74" t="s">
        <v>111</v>
      </c>
      <c r="G271" s="3"/>
      <c r="I271" s="92"/>
    </row>
    <row r="272" spans="2:9" x14ac:dyDescent="0.2">
      <c r="B272" s="72" t="s">
        <v>112</v>
      </c>
      <c r="C272" s="72"/>
      <c r="D272" s="73">
        <v>32</v>
      </c>
      <c r="E272" s="74" t="s">
        <v>113</v>
      </c>
      <c r="G272" s="3"/>
      <c r="I272" s="92"/>
    </row>
    <row r="273" spans="2:10" x14ac:dyDescent="0.2">
      <c r="B273" s="72" t="s">
        <v>114</v>
      </c>
      <c r="C273" s="72"/>
      <c r="D273" s="73">
        <v>28</v>
      </c>
      <c r="E273" s="74" t="s">
        <v>115</v>
      </c>
      <c r="G273" s="3"/>
      <c r="I273" s="92"/>
    </row>
    <row r="274" spans="2:10" x14ac:dyDescent="0.2">
      <c r="B274" s="72" t="s">
        <v>116</v>
      </c>
      <c r="C274" s="72"/>
      <c r="D274" s="73">
        <v>36</v>
      </c>
      <c r="E274" s="74" t="s">
        <v>117</v>
      </c>
      <c r="G274" s="3"/>
      <c r="I274" s="92"/>
    </row>
    <row r="275" spans="2:10" x14ac:dyDescent="0.2">
      <c r="B275" s="72" t="s">
        <v>118</v>
      </c>
      <c r="C275" s="72"/>
      <c r="D275" s="73">
        <v>36</v>
      </c>
      <c r="E275" s="74" t="s">
        <v>119</v>
      </c>
      <c r="G275" s="3"/>
      <c r="I275" s="92"/>
    </row>
    <row r="276" spans="2:10" x14ac:dyDescent="0.2">
      <c r="B276" s="72" t="s">
        <v>120</v>
      </c>
      <c r="C276" s="72"/>
      <c r="D276" s="73">
        <v>76</v>
      </c>
      <c r="E276" s="74" t="s">
        <v>121</v>
      </c>
      <c r="G276" s="3"/>
      <c r="I276" s="92"/>
    </row>
    <row r="277" spans="2:10" x14ac:dyDescent="0.2">
      <c r="B277" s="72" t="s">
        <v>122</v>
      </c>
      <c r="C277" s="72"/>
      <c r="D277" s="73">
        <v>51</v>
      </c>
      <c r="E277" s="74" t="s">
        <v>123</v>
      </c>
      <c r="G277" s="3"/>
      <c r="I277" s="92"/>
    </row>
    <row r="278" spans="2:10" x14ac:dyDescent="0.2">
      <c r="B278" s="72" t="s">
        <v>124</v>
      </c>
      <c r="C278" s="72"/>
      <c r="D278" s="73">
        <v>25</v>
      </c>
      <c r="E278" s="74" t="s">
        <v>125</v>
      </c>
      <c r="G278" s="3"/>
      <c r="I278" s="92"/>
    </row>
    <row r="279" spans="2:10" x14ac:dyDescent="0.2">
      <c r="B279" s="72" t="s">
        <v>126</v>
      </c>
      <c r="C279" s="72"/>
      <c r="D279" s="73">
        <v>51</v>
      </c>
      <c r="E279" s="74" t="s">
        <v>127</v>
      </c>
      <c r="G279" s="3"/>
      <c r="I279" s="92"/>
    </row>
    <row r="280" spans="2:10" x14ac:dyDescent="0.2">
      <c r="B280" s="72" t="s">
        <v>128</v>
      </c>
      <c r="C280" s="72"/>
      <c r="D280" s="73">
        <v>51</v>
      </c>
      <c r="E280" s="74" t="s">
        <v>129</v>
      </c>
      <c r="G280" s="3"/>
      <c r="I280" s="92"/>
    </row>
    <row r="281" spans="2:10" x14ac:dyDescent="0.2">
      <c r="B281" s="72" t="s">
        <v>130</v>
      </c>
      <c r="C281" s="72"/>
      <c r="D281" s="73">
        <v>32</v>
      </c>
      <c r="E281" s="74" t="s">
        <v>131</v>
      </c>
      <c r="G281" s="3"/>
      <c r="I281" s="92"/>
    </row>
    <row r="282" spans="2:10" x14ac:dyDescent="0.2">
      <c r="B282" s="72" t="s">
        <v>132</v>
      </c>
      <c r="C282" s="72"/>
      <c r="D282" s="73">
        <v>45</v>
      </c>
      <c r="E282" s="74" t="s">
        <v>133</v>
      </c>
      <c r="G282" s="3"/>
      <c r="I282" s="92"/>
    </row>
    <row r="283" spans="2:10" x14ac:dyDescent="0.2">
      <c r="B283" s="72" t="s">
        <v>134</v>
      </c>
      <c r="C283" s="72"/>
      <c r="D283" s="73">
        <v>38</v>
      </c>
      <c r="E283" s="74" t="s">
        <v>135</v>
      </c>
      <c r="G283" s="3"/>
      <c r="I283" s="92"/>
    </row>
    <row r="284" spans="2:10" x14ac:dyDescent="0.2">
      <c r="B284" s="72" t="s">
        <v>136</v>
      </c>
      <c r="C284" s="72"/>
      <c r="D284" s="73">
        <v>38</v>
      </c>
      <c r="E284" s="74" t="s">
        <v>137</v>
      </c>
      <c r="G284" s="3"/>
      <c r="I284" s="92"/>
    </row>
    <row r="285" spans="2:10" x14ac:dyDescent="0.2">
      <c r="B285" s="72" t="s">
        <v>138</v>
      </c>
      <c r="C285" s="72"/>
      <c r="D285" s="73">
        <v>32</v>
      </c>
      <c r="E285" s="74" t="s">
        <v>139</v>
      </c>
      <c r="G285" s="3"/>
      <c r="I285" s="92"/>
    </row>
    <row r="286" spans="2:10" x14ac:dyDescent="0.2">
      <c r="B286" s="72" t="s">
        <v>140</v>
      </c>
      <c r="C286" s="72"/>
      <c r="D286" s="73">
        <v>32</v>
      </c>
      <c r="E286" s="74" t="s">
        <v>141</v>
      </c>
      <c r="G286" s="3"/>
      <c r="I286" s="92"/>
    </row>
    <row r="287" spans="2:10" ht="13.5" thickBot="1" x14ac:dyDescent="0.25">
      <c r="B287" s="72" t="s">
        <v>142</v>
      </c>
      <c r="C287" s="72"/>
      <c r="D287" s="73">
        <v>32</v>
      </c>
      <c r="E287" s="74" t="s">
        <v>143</v>
      </c>
      <c r="G287" s="3"/>
      <c r="I287" s="92"/>
    </row>
    <row r="288" spans="2:10" ht="26.25" customHeight="1" thickBot="1" x14ac:dyDescent="0.25">
      <c r="B288" s="78" t="s">
        <v>168</v>
      </c>
      <c r="C288" s="79"/>
      <c r="D288" s="79"/>
      <c r="E288" s="80"/>
      <c r="I288" s="92"/>
      <c r="J288" s="92"/>
    </row>
    <row r="289" spans="2:9" x14ac:dyDescent="0.2">
      <c r="B289" s="61" t="s">
        <v>145</v>
      </c>
      <c r="E289" s="60"/>
    </row>
    <row r="290" spans="2:9" x14ac:dyDescent="0.2">
      <c r="B290" s="84"/>
      <c r="C290" s="62" t="s">
        <v>146</v>
      </c>
      <c r="D290" s="62"/>
      <c r="E290" s="62"/>
    </row>
    <row r="291" spans="2:9" x14ac:dyDescent="0.2">
      <c r="B291" s="61" t="s">
        <v>147</v>
      </c>
      <c r="C291" s="85"/>
      <c r="D291" s="85"/>
      <c r="E291" s="86"/>
    </row>
    <row r="292" spans="2:9" x14ac:dyDescent="0.2">
      <c r="B292" s="84"/>
      <c r="C292" s="62" t="s">
        <v>148</v>
      </c>
      <c r="D292" s="62"/>
      <c r="E292" s="62"/>
    </row>
    <row r="293" spans="2:9" x14ac:dyDescent="0.2">
      <c r="B293" s="61" t="s">
        <v>149</v>
      </c>
      <c r="E293" s="60"/>
    </row>
    <row r="294" spans="2:9" x14ac:dyDescent="0.2">
      <c r="B294" s="61"/>
      <c r="C294" s="87" t="s">
        <v>150</v>
      </c>
      <c r="D294" s="87"/>
      <c r="E294" s="87"/>
    </row>
    <row r="295" spans="2:9" ht="13.5" thickBot="1" x14ac:dyDescent="0.25">
      <c r="B295" s="88"/>
      <c r="C295" s="89"/>
      <c r="D295" s="90"/>
      <c r="E295" s="91"/>
    </row>
    <row r="296" spans="2:9" ht="13.5" thickBot="1" x14ac:dyDescent="0.25"/>
    <row r="297" spans="2:9" x14ac:dyDescent="0.2">
      <c r="B297" s="55" t="s">
        <v>169</v>
      </c>
      <c r="C297" s="56"/>
      <c r="D297" s="57"/>
      <c r="E297" s="58"/>
    </row>
    <row r="298" spans="2:9" x14ac:dyDescent="0.2">
      <c r="B298" s="59"/>
      <c r="E298" s="60"/>
    </row>
    <row r="299" spans="2:9" x14ac:dyDescent="0.2">
      <c r="B299" s="61" t="s">
        <v>98</v>
      </c>
      <c r="E299" s="60"/>
    </row>
    <row r="300" spans="2:9" x14ac:dyDescent="0.2">
      <c r="B300" s="61"/>
      <c r="C300" s="93" t="s">
        <v>170</v>
      </c>
      <c r="D300" s="93"/>
      <c r="E300" s="94"/>
    </row>
    <row r="301" spans="2:9" ht="13.5" thickBot="1" x14ac:dyDescent="0.25">
      <c r="B301" s="61" t="s">
        <v>100</v>
      </c>
      <c r="E301" s="60"/>
    </row>
    <row r="302" spans="2:9" ht="13.5" thickBot="1" x14ac:dyDescent="0.25">
      <c r="B302" s="63" t="s">
        <v>101</v>
      </c>
      <c r="C302" s="64"/>
      <c r="D302" s="64"/>
      <c r="E302" s="65"/>
    </row>
    <row r="303" spans="2:9" ht="13.5" thickBot="1" x14ac:dyDescent="0.25">
      <c r="B303" s="63" t="s">
        <v>102</v>
      </c>
      <c r="C303" s="65"/>
      <c r="D303" s="66" t="s">
        <v>13</v>
      </c>
      <c r="E303" s="66" t="s">
        <v>103</v>
      </c>
    </row>
    <row r="304" spans="2:9" x14ac:dyDescent="0.2">
      <c r="B304" s="67" t="s">
        <v>104</v>
      </c>
      <c r="C304" s="67"/>
      <c r="D304" s="101">
        <v>13</v>
      </c>
      <c r="E304" s="69" t="s">
        <v>105</v>
      </c>
      <c r="G304" s="102"/>
      <c r="I304" s="92"/>
    </row>
    <row r="305" spans="2:9" x14ac:dyDescent="0.2">
      <c r="B305" s="72" t="s">
        <v>106</v>
      </c>
      <c r="C305" s="72"/>
      <c r="D305" s="101">
        <v>30</v>
      </c>
      <c r="E305" s="74" t="s">
        <v>107</v>
      </c>
      <c r="G305" s="102"/>
      <c r="I305" s="92"/>
    </row>
    <row r="306" spans="2:9" x14ac:dyDescent="0.2">
      <c r="B306" s="72" t="s">
        <v>108</v>
      </c>
      <c r="C306" s="72"/>
      <c r="D306" s="101">
        <v>30</v>
      </c>
      <c r="E306" s="74" t="s">
        <v>109</v>
      </c>
      <c r="G306" s="102"/>
      <c r="I306" s="92"/>
    </row>
    <row r="307" spans="2:9" x14ac:dyDescent="0.2">
      <c r="B307" s="72" t="s">
        <v>110</v>
      </c>
      <c r="C307" s="72"/>
      <c r="D307" s="101">
        <v>18</v>
      </c>
      <c r="E307" s="74" t="s">
        <v>111</v>
      </c>
      <c r="G307" s="102"/>
      <c r="I307" s="92"/>
    </row>
    <row r="308" spans="2:9" x14ac:dyDescent="0.2">
      <c r="B308" s="72" t="s">
        <v>112</v>
      </c>
      <c r="C308" s="72"/>
      <c r="D308" s="101">
        <v>15</v>
      </c>
      <c r="E308" s="74" t="s">
        <v>113</v>
      </c>
      <c r="G308" s="102"/>
      <c r="I308" s="92"/>
    </row>
    <row r="309" spans="2:9" x14ac:dyDescent="0.2">
      <c r="B309" s="72" t="s">
        <v>114</v>
      </c>
      <c r="C309" s="72"/>
      <c r="D309" s="101">
        <v>13</v>
      </c>
      <c r="E309" s="74" t="s">
        <v>115</v>
      </c>
      <c r="G309" s="102"/>
      <c r="I309" s="92"/>
    </row>
    <row r="310" spans="2:9" x14ac:dyDescent="0.2">
      <c r="B310" s="72" t="s">
        <v>116</v>
      </c>
      <c r="C310" s="72"/>
      <c r="D310" s="101">
        <v>17</v>
      </c>
      <c r="E310" s="74" t="s">
        <v>117</v>
      </c>
      <c r="G310" s="102"/>
      <c r="I310" s="92"/>
    </row>
    <row r="311" spans="2:9" x14ac:dyDescent="0.2">
      <c r="B311" s="72" t="s">
        <v>118</v>
      </c>
      <c r="C311" s="72"/>
      <c r="D311" s="101">
        <v>17</v>
      </c>
      <c r="E311" s="74" t="s">
        <v>119</v>
      </c>
      <c r="G311" s="102"/>
      <c r="I311" s="92"/>
    </row>
    <row r="312" spans="2:9" x14ac:dyDescent="0.2">
      <c r="B312" s="72" t="s">
        <v>120</v>
      </c>
      <c r="C312" s="72"/>
      <c r="D312" s="101">
        <v>36</v>
      </c>
      <c r="E312" s="74" t="s">
        <v>121</v>
      </c>
      <c r="G312" s="102"/>
      <c r="I312" s="92"/>
    </row>
    <row r="313" spans="2:9" x14ac:dyDescent="0.2">
      <c r="B313" s="72" t="s">
        <v>122</v>
      </c>
      <c r="C313" s="72"/>
      <c r="D313" s="101">
        <v>24</v>
      </c>
      <c r="E313" s="74" t="s">
        <v>123</v>
      </c>
      <c r="G313" s="102"/>
      <c r="I313" s="92"/>
    </row>
    <row r="314" spans="2:9" x14ac:dyDescent="0.2">
      <c r="B314" s="72" t="s">
        <v>124</v>
      </c>
      <c r="C314" s="72"/>
      <c r="D314" s="101">
        <v>12</v>
      </c>
      <c r="E314" s="74" t="s">
        <v>125</v>
      </c>
      <c r="G314" s="102"/>
      <c r="I314" s="92"/>
    </row>
    <row r="315" spans="2:9" x14ac:dyDescent="0.2">
      <c r="B315" s="72" t="s">
        <v>126</v>
      </c>
      <c r="C315" s="72"/>
      <c r="D315" s="101">
        <v>24</v>
      </c>
      <c r="E315" s="74" t="s">
        <v>127</v>
      </c>
      <c r="G315" s="102"/>
      <c r="I315" s="92"/>
    </row>
    <row r="316" spans="2:9" x14ac:dyDescent="0.2">
      <c r="B316" s="72" t="s">
        <v>128</v>
      </c>
      <c r="C316" s="72"/>
      <c r="D316" s="101">
        <v>24</v>
      </c>
      <c r="E316" s="74" t="s">
        <v>129</v>
      </c>
      <c r="G316" s="102"/>
      <c r="I316" s="92"/>
    </row>
    <row r="317" spans="2:9" x14ac:dyDescent="0.2">
      <c r="B317" s="72" t="s">
        <v>130</v>
      </c>
      <c r="C317" s="72"/>
      <c r="D317" s="101">
        <v>15</v>
      </c>
      <c r="E317" s="74" t="s">
        <v>131</v>
      </c>
      <c r="G317" s="102"/>
      <c r="I317" s="92"/>
    </row>
    <row r="318" spans="2:9" x14ac:dyDescent="0.2">
      <c r="B318" s="72" t="s">
        <v>132</v>
      </c>
      <c r="C318" s="72"/>
      <c r="D318" s="101">
        <v>21</v>
      </c>
      <c r="E318" s="74" t="s">
        <v>133</v>
      </c>
      <c r="G318" s="102"/>
      <c r="I318" s="92"/>
    </row>
    <row r="319" spans="2:9" x14ac:dyDescent="0.2">
      <c r="B319" s="72" t="s">
        <v>134</v>
      </c>
      <c r="C319" s="72"/>
      <c r="D319" s="101">
        <v>18</v>
      </c>
      <c r="E319" s="74" t="s">
        <v>135</v>
      </c>
      <c r="G319" s="102"/>
      <c r="I319" s="92"/>
    </row>
    <row r="320" spans="2:9" x14ac:dyDescent="0.2">
      <c r="B320" s="72" t="s">
        <v>136</v>
      </c>
      <c r="C320" s="72"/>
      <c r="D320" s="101">
        <v>18</v>
      </c>
      <c r="E320" s="74" t="s">
        <v>137</v>
      </c>
      <c r="G320" s="102"/>
      <c r="I320" s="92"/>
    </row>
    <row r="321" spans="2:10" x14ac:dyDescent="0.2">
      <c r="B321" s="72" t="s">
        <v>138</v>
      </c>
      <c r="C321" s="72"/>
      <c r="D321" s="101">
        <v>15</v>
      </c>
      <c r="E321" s="74" t="s">
        <v>139</v>
      </c>
      <c r="G321" s="102"/>
      <c r="I321" s="92"/>
    </row>
    <row r="322" spans="2:10" x14ac:dyDescent="0.2">
      <c r="B322" s="72" t="s">
        <v>140</v>
      </c>
      <c r="C322" s="72"/>
      <c r="D322" s="101">
        <v>15</v>
      </c>
      <c r="E322" s="74" t="s">
        <v>141</v>
      </c>
      <c r="G322" s="102"/>
      <c r="I322" s="92"/>
    </row>
    <row r="323" spans="2:10" ht="13.5" thickBot="1" x14ac:dyDescent="0.25">
      <c r="B323" s="72" t="s">
        <v>142</v>
      </c>
      <c r="C323" s="72"/>
      <c r="D323" s="101">
        <v>15</v>
      </c>
      <c r="E323" s="74" t="s">
        <v>143</v>
      </c>
      <c r="G323" s="102"/>
      <c r="I323" s="92"/>
    </row>
    <row r="324" spans="2:10" ht="26.25" customHeight="1" thickBot="1" x14ac:dyDescent="0.25">
      <c r="B324" s="78" t="s">
        <v>171</v>
      </c>
      <c r="C324" s="79"/>
      <c r="D324" s="79"/>
      <c r="E324" s="80"/>
      <c r="I324" s="92"/>
      <c r="J324" s="92"/>
    </row>
    <row r="325" spans="2:10" x14ac:dyDescent="0.2">
      <c r="B325" s="61" t="s">
        <v>145</v>
      </c>
      <c r="E325" s="60"/>
    </row>
    <row r="326" spans="2:10" x14ac:dyDescent="0.2">
      <c r="B326" s="84"/>
      <c r="C326" s="62" t="s">
        <v>146</v>
      </c>
      <c r="D326" s="62"/>
      <c r="E326" s="62"/>
    </row>
    <row r="327" spans="2:10" x14ac:dyDescent="0.2">
      <c r="B327" s="61" t="s">
        <v>147</v>
      </c>
      <c r="C327" s="85"/>
      <c r="D327" s="85"/>
      <c r="E327" s="86"/>
    </row>
    <row r="328" spans="2:10" x14ac:dyDescent="0.2">
      <c r="B328" s="84"/>
      <c r="C328" s="62" t="s">
        <v>148</v>
      </c>
      <c r="D328" s="62"/>
      <c r="E328" s="62"/>
    </row>
    <row r="329" spans="2:10" x14ac:dyDescent="0.2">
      <c r="B329" s="61" t="s">
        <v>149</v>
      </c>
      <c r="E329" s="60"/>
    </row>
    <row r="330" spans="2:10" x14ac:dyDescent="0.2">
      <c r="B330" s="61"/>
      <c r="C330" s="87" t="s">
        <v>150</v>
      </c>
      <c r="D330" s="87"/>
      <c r="E330" s="87"/>
    </row>
    <row r="331" spans="2:10" ht="13.5" thickBot="1" x14ac:dyDescent="0.25">
      <c r="B331" s="88"/>
      <c r="C331" s="89"/>
      <c r="D331" s="90"/>
      <c r="E331" s="91"/>
    </row>
    <row r="332" spans="2:10" ht="13.5" thickBot="1" x14ac:dyDescent="0.25"/>
    <row r="333" spans="2:10" x14ac:dyDescent="0.2">
      <c r="B333" s="55" t="s">
        <v>172</v>
      </c>
      <c r="C333" s="56"/>
      <c r="D333" s="57"/>
      <c r="E333" s="58"/>
    </row>
    <row r="334" spans="2:10" x14ac:dyDescent="0.2">
      <c r="B334" s="59"/>
      <c r="E334" s="60"/>
    </row>
    <row r="335" spans="2:10" x14ac:dyDescent="0.2">
      <c r="B335" s="61" t="s">
        <v>98</v>
      </c>
      <c r="E335" s="60"/>
    </row>
    <row r="336" spans="2:10" x14ac:dyDescent="0.2">
      <c r="B336" s="61"/>
      <c r="C336" s="62" t="s">
        <v>173</v>
      </c>
      <c r="D336" s="62"/>
      <c r="E336" s="62"/>
    </row>
    <row r="337" spans="2:9" ht="13.5" thickBot="1" x14ac:dyDescent="0.25">
      <c r="B337" s="61" t="s">
        <v>100</v>
      </c>
      <c r="E337" s="60"/>
    </row>
    <row r="338" spans="2:9" ht="13.5" thickBot="1" x14ac:dyDescent="0.25">
      <c r="B338" s="63" t="s">
        <v>101</v>
      </c>
      <c r="C338" s="64"/>
      <c r="D338" s="64"/>
      <c r="E338" s="65"/>
    </row>
    <row r="339" spans="2:9" x14ac:dyDescent="0.2">
      <c r="B339" s="95" t="s">
        <v>102</v>
      </c>
      <c r="C339" s="97"/>
      <c r="D339" s="103" t="s">
        <v>13</v>
      </c>
      <c r="E339" s="103" t="s">
        <v>103</v>
      </c>
    </row>
    <row r="340" spans="2:9" x14ac:dyDescent="0.2">
      <c r="B340" s="72" t="s">
        <v>104</v>
      </c>
      <c r="C340" s="72"/>
      <c r="D340" s="73">
        <v>50</v>
      </c>
      <c r="E340" s="74" t="s">
        <v>105</v>
      </c>
      <c r="G340" s="3"/>
      <c r="I340" s="92"/>
    </row>
    <row r="341" spans="2:9" x14ac:dyDescent="0.2">
      <c r="B341" s="72" t="s">
        <v>106</v>
      </c>
      <c r="C341" s="72"/>
      <c r="D341" s="73">
        <v>114</v>
      </c>
      <c r="E341" s="74" t="s">
        <v>107</v>
      </c>
      <c r="G341" s="3"/>
      <c r="I341" s="92"/>
    </row>
    <row r="342" spans="2:9" x14ac:dyDescent="0.2">
      <c r="B342" s="72" t="s">
        <v>108</v>
      </c>
      <c r="C342" s="72"/>
      <c r="D342" s="73">
        <v>114</v>
      </c>
      <c r="E342" s="74" t="s">
        <v>109</v>
      </c>
      <c r="G342" s="3"/>
      <c r="I342" s="92"/>
    </row>
    <row r="343" spans="2:9" x14ac:dyDescent="0.2">
      <c r="B343" s="72" t="s">
        <v>110</v>
      </c>
      <c r="C343" s="72"/>
      <c r="D343" s="73">
        <v>69</v>
      </c>
      <c r="E343" s="74" t="s">
        <v>111</v>
      </c>
      <c r="G343" s="3"/>
      <c r="I343" s="92"/>
    </row>
    <row r="344" spans="2:9" x14ac:dyDescent="0.2">
      <c r="B344" s="72" t="s">
        <v>112</v>
      </c>
      <c r="C344" s="72"/>
      <c r="D344" s="73">
        <v>58</v>
      </c>
      <c r="E344" s="74" t="s">
        <v>113</v>
      </c>
      <c r="G344" s="3"/>
      <c r="I344" s="92"/>
    </row>
    <row r="345" spans="2:9" x14ac:dyDescent="0.2">
      <c r="B345" s="72" t="s">
        <v>114</v>
      </c>
      <c r="C345" s="72"/>
      <c r="D345" s="73">
        <v>50</v>
      </c>
      <c r="E345" s="74" t="s">
        <v>115</v>
      </c>
      <c r="G345" s="3"/>
      <c r="I345" s="92"/>
    </row>
    <row r="346" spans="2:9" x14ac:dyDescent="0.2">
      <c r="B346" s="72" t="s">
        <v>116</v>
      </c>
      <c r="C346" s="72"/>
      <c r="D346" s="73">
        <v>64</v>
      </c>
      <c r="E346" s="74" t="s">
        <v>117</v>
      </c>
      <c r="G346" s="3"/>
      <c r="I346" s="92"/>
    </row>
    <row r="347" spans="2:9" x14ac:dyDescent="0.2">
      <c r="B347" s="72" t="s">
        <v>118</v>
      </c>
      <c r="C347" s="72"/>
      <c r="D347" s="73">
        <v>64</v>
      </c>
      <c r="E347" s="74" t="s">
        <v>119</v>
      </c>
      <c r="G347" s="3"/>
      <c r="I347" s="92"/>
    </row>
    <row r="348" spans="2:9" x14ac:dyDescent="0.2">
      <c r="B348" s="72" t="s">
        <v>120</v>
      </c>
      <c r="C348" s="72"/>
      <c r="D348" s="73">
        <v>137</v>
      </c>
      <c r="E348" s="74" t="s">
        <v>121</v>
      </c>
      <c r="G348" s="3"/>
      <c r="I348" s="92"/>
    </row>
    <row r="349" spans="2:9" x14ac:dyDescent="0.2">
      <c r="B349" s="72" t="s">
        <v>122</v>
      </c>
      <c r="C349" s="72"/>
      <c r="D349" s="73">
        <v>91</v>
      </c>
      <c r="E349" s="74" t="s">
        <v>123</v>
      </c>
      <c r="G349" s="3"/>
      <c r="I349" s="92"/>
    </row>
    <row r="350" spans="2:9" x14ac:dyDescent="0.2">
      <c r="B350" s="72" t="s">
        <v>124</v>
      </c>
      <c r="C350" s="72"/>
      <c r="D350" s="73">
        <v>46</v>
      </c>
      <c r="E350" s="74" t="s">
        <v>125</v>
      </c>
      <c r="G350" s="3"/>
      <c r="I350" s="92"/>
    </row>
    <row r="351" spans="2:9" x14ac:dyDescent="0.2">
      <c r="B351" s="72" t="s">
        <v>126</v>
      </c>
      <c r="C351" s="72"/>
      <c r="D351" s="73">
        <v>91</v>
      </c>
      <c r="E351" s="74" t="s">
        <v>127</v>
      </c>
      <c r="G351" s="3"/>
      <c r="I351" s="92"/>
    </row>
    <row r="352" spans="2:9" x14ac:dyDescent="0.2">
      <c r="B352" s="72" t="s">
        <v>128</v>
      </c>
      <c r="C352" s="72"/>
      <c r="D352" s="73">
        <v>91</v>
      </c>
      <c r="E352" s="74" t="s">
        <v>129</v>
      </c>
      <c r="G352" s="3"/>
      <c r="I352" s="92"/>
    </row>
    <row r="353" spans="2:10" x14ac:dyDescent="0.2">
      <c r="B353" s="72" t="s">
        <v>130</v>
      </c>
      <c r="C353" s="72"/>
      <c r="D353" s="73">
        <v>58</v>
      </c>
      <c r="E353" s="74" t="s">
        <v>131</v>
      </c>
      <c r="G353" s="3"/>
      <c r="I353" s="92"/>
    </row>
    <row r="354" spans="2:10" x14ac:dyDescent="0.2">
      <c r="B354" s="72" t="s">
        <v>132</v>
      </c>
      <c r="C354" s="72"/>
      <c r="D354" s="73">
        <v>80</v>
      </c>
      <c r="E354" s="74" t="s">
        <v>133</v>
      </c>
      <c r="G354" s="3"/>
      <c r="I354" s="92"/>
    </row>
    <row r="355" spans="2:10" x14ac:dyDescent="0.2">
      <c r="B355" s="72" t="s">
        <v>134</v>
      </c>
      <c r="C355" s="72"/>
      <c r="D355" s="73">
        <v>69</v>
      </c>
      <c r="E355" s="74" t="s">
        <v>135</v>
      </c>
      <c r="G355" s="3"/>
      <c r="I355" s="92"/>
    </row>
    <row r="356" spans="2:10" x14ac:dyDescent="0.2">
      <c r="B356" s="72" t="s">
        <v>136</v>
      </c>
      <c r="C356" s="72"/>
      <c r="D356" s="73">
        <v>69</v>
      </c>
      <c r="E356" s="74" t="s">
        <v>137</v>
      </c>
      <c r="G356" s="3"/>
      <c r="I356" s="92"/>
    </row>
    <row r="357" spans="2:10" x14ac:dyDescent="0.2">
      <c r="B357" s="72" t="s">
        <v>138</v>
      </c>
      <c r="C357" s="72"/>
      <c r="D357" s="73">
        <v>58</v>
      </c>
      <c r="E357" s="74" t="s">
        <v>139</v>
      </c>
      <c r="G357" s="3"/>
      <c r="I357" s="92"/>
    </row>
    <row r="358" spans="2:10" x14ac:dyDescent="0.2">
      <c r="B358" s="72" t="s">
        <v>140</v>
      </c>
      <c r="C358" s="72"/>
      <c r="D358" s="73">
        <v>58</v>
      </c>
      <c r="E358" s="74" t="s">
        <v>141</v>
      </c>
      <c r="G358" s="3"/>
      <c r="I358" s="92"/>
    </row>
    <row r="359" spans="2:10" ht="13.5" thickBot="1" x14ac:dyDescent="0.25">
      <c r="B359" s="72" t="s">
        <v>142</v>
      </c>
      <c r="C359" s="72"/>
      <c r="D359" s="73">
        <v>58</v>
      </c>
      <c r="E359" s="74" t="s">
        <v>143</v>
      </c>
      <c r="G359" s="3"/>
      <c r="I359" s="92"/>
    </row>
    <row r="360" spans="2:10" ht="26.25" customHeight="1" thickBot="1" x14ac:dyDescent="0.25">
      <c r="B360" s="78" t="s">
        <v>174</v>
      </c>
      <c r="C360" s="79"/>
      <c r="D360" s="79"/>
      <c r="E360" s="80"/>
      <c r="G360" s="1">
        <f>1489*4</f>
        <v>5956</v>
      </c>
      <c r="I360" s="92"/>
      <c r="J360" s="92"/>
    </row>
    <row r="361" spans="2:10" x14ac:dyDescent="0.2">
      <c r="B361" s="61" t="s">
        <v>145</v>
      </c>
      <c r="E361" s="60"/>
      <c r="G361" s="1">
        <f>+G360*3</f>
        <v>17868</v>
      </c>
    </row>
    <row r="362" spans="2:10" x14ac:dyDescent="0.2">
      <c r="B362" s="84"/>
      <c r="C362" s="62" t="s">
        <v>146</v>
      </c>
      <c r="D362" s="62"/>
      <c r="E362" s="62"/>
    </row>
    <row r="363" spans="2:10" x14ac:dyDescent="0.2">
      <c r="B363" s="61" t="s">
        <v>147</v>
      </c>
      <c r="C363" s="85"/>
      <c r="D363" s="85"/>
      <c r="E363" s="86"/>
    </row>
    <row r="364" spans="2:10" x14ac:dyDescent="0.2">
      <c r="B364" s="84"/>
      <c r="C364" s="62" t="s">
        <v>148</v>
      </c>
      <c r="D364" s="62"/>
      <c r="E364" s="62"/>
    </row>
    <row r="365" spans="2:10" x14ac:dyDescent="0.2">
      <c r="B365" s="61" t="s">
        <v>149</v>
      </c>
      <c r="E365" s="60"/>
    </row>
    <row r="366" spans="2:10" x14ac:dyDescent="0.2">
      <c r="B366" s="61"/>
      <c r="C366" s="87" t="s">
        <v>150</v>
      </c>
      <c r="D366" s="87"/>
      <c r="E366" s="87"/>
    </row>
    <row r="367" spans="2:10" ht="13.5" thickBot="1" x14ac:dyDescent="0.25">
      <c r="B367" s="88"/>
      <c r="C367" s="89"/>
      <c r="D367" s="90"/>
      <c r="E367" s="91"/>
    </row>
    <row r="368" spans="2:10" ht="13.5" thickBot="1" x14ac:dyDescent="0.25"/>
    <row r="369" spans="2:9" x14ac:dyDescent="0.2">
      <c r="B369" s="55" t="s">
        <v>175</v>
      </c>
      <c r="C369" s="56"/>
      <c r="D369" s="57"/>
      <c r="E369" s="58"/>
    </row>
    <row r="370" spans="2:9" x14ac:dyDescent="0.2">
      <c r="B370" s="59"/>
      <c r="E370" s="60"/>
    </row>
    <row r="371" spans="2:9" x14ac:dyDescent="0.2">
      <c r="B371" s="61" t="s">
        <v>98</v>
      </c>
      <c r="E371" s="60"/>
    </row>
    <row r="372" spans="2:9" x14ac:dyDescent="0.2">
      <c r="B372" s="61"/>
      <c r="C372" s="62" t="s">
        <v>176</v>
      </c>
      <c r="D372" s="62"/>
      <c r="E372" s="62"/>
    </row>
    <row r="373" spans="2:9" ht="13.5" thickBot="1" x14ac:dyDescent="0.25">
      <c r="B373" s="61" t="s">
        <v>100</v>
      </c>
      <c r="E373" s="60"/>
    </row>
    <row r="374" spans="2:9" ht="13.5" thickBot="1" x14ac:dyDescent="0.25">
      <c r="B374" s="63" t="s">
        <v>101</v>
      </c>
      <c r="C374" s="64"/>
      <c r="D374" s="64"/>
      <c r="E374" s="65"/>
    </row>
    <row r="375" spans="2:9" ht="13.5" thickBot="1" x14ac:dyDescent="0.25">
      <c r="B375" s="63" t="s">
        <v>102</v>
      </c>
      <c r="C375" s="65"/>
      <c r="D375" s="66" t="s">
        <v>13</v>
      </c>
      <c r="E375" s="66" t="s">
        <v>103</v>
      </c>
    </row>
    <row r="376" spans="2:9" x14ac:dyDescent="0.2">
      <c r="B376" s="67" t="s">
        <v>104</v>
      </c>
      <c r="C376" s="67"/>
      <c r="D376" s="68">
        <v>130</v>
      </c>
      <c r="E376" s="69" t="s">
        <v>105</v>
      </c>
      <c r="G376" s="3"/>
      <c r="I376" s="92"/>
    </row>
    <row r="377" spans="2:9" x14ac:dyDescent="0.2">
      <c r="B377" s="72" t="s">
        <v>106</v>
      </c>
      <c r="C377" s="72"/>
      <c r="D377" s="73">
        <v>296</v>
      </c>
      <c r="E377" s="74" t="s">
        <v>107</v>
      </c>
      <c r="G377" s="3"/>
      <c r="I377" s="92"/>
    </row>
    <row r="378" spans="2:9" x14ac:dyDescent="0.2">
      <c r="B378" s="72" t="s">
        <v>108</v>
      </c>
      <c r="C378" s="72"/>
      <c r="D378" s="73">
        <v>296</v>
      </c>
      <c r="E378" s="74" t="s">
        <v>109</v>
      </c>
      <c r="G378" s="3"/>
      <c r="I378" s="92"/>
    </row>
    <row r="379" spans="2:9" x14ac:dyDescent="0.2">
      <c r="B379" s="72" t="s">
        <v>110</v>
      </c>
      <c r="C379" s="72"/>
      <c r="D379" s="73">
        <v>178</v>
      </c>
      <c r="E379" s="74" t="s">
        <v>111</v>
      </c>
      <c r="G379" s="3"/>
      <c r="I379" s="92"/>
    </row>
    <row r="380" spans="2:9" x14ac:dyDescent="0.2">
      <c r="B380" s="72" t="s">
        <v>112</v>
      </c>
      <c r="C380" s="72"/>
      <c r="D380" s="73">
        <v>148</v>
      </c>
      <c r="E380" s="74" t="s">
        <v>113</v>
      </c>
      <c r="G380" s="3"/>
      <c r="I380" s="92"/>
    </row>
    <row r="381" spans="2:9" x14ac:dyDescent="0.2">
      <c r="B381" s="72" t="s">
        <v>114</v>
      </c>
      <c r="C381" s="72"/>
      <c r="D381" s="73">
        <v>130</v>
      </c>
      <c r="E381" s="74" t="s">
        <v>115</v>
      </c>
      <c r="G381" s="3"/>
      <c r="I381" s="92"/>
    </row>
    <row r="382" spans="2:9" x14ac:dyDescent="0.2">
      <c r="B382" s="72" t="s">
        <v>116</v>
      </c>
      <c r="C382" s="72"/>
      <c r="D382" s="73">
        <v>166</v>
      </c>
      <c r="E382" s="74" t="s">
        <v>117</v>
      </c>
      <c r="G382" s="3"/>
      <c r="I382" s="92"/>
    </row>
    <row r="383" spans="2:9" x14ac:dyDescent="0.2">
      <c r="B383" s="72" t="s">
        <v>118</v>
      </c>
      <c r="C383" s="72"/>
      <c r="D383" s="73">
        <v>166</v>
      </c>
      <c r="E383" s="74" t="s">
        <v>119</v>
      </c>
      <c r="G383" s="3"/>
      <c r="I383" s="92"/>
    </row>
    <row r="384" spans="2:9" x14ac:dyDescent="0.2">
      <c r="B384" s="72" t="s">
        <v>120</v>
      </c>
      <c r="C384" s="72"/>
      <c r="D384" s="73">
        <v>355</v>
      </c>
      <c r="E384" s="74" t="s">
        <v>121</v>
      </c>
      <c r="G384" s="3"/>
      <c r="I384" s="92"/>
    </row>
    <row r="385" spans="2:9" x14ac:dyDescent="0.2">
      <c r="B385" s="72" t="s">
        <v>122</v>
      </c>
      <c r="C385" s="72"/>
      <c r="D385" s="73">
        <v>237</v>
      </c>
      <c r="E385" s="74" t="s">
        <v>123</v>
      </c>
      <c r="G385" s="3"/>
      <c r="I385" s="92"/>
    </row>
    <row r="386" spans="2:9" x14ac:dyDescent="0.2">
      <c r="B386" s="72" t="s">
        <v>124</v>
      </c>
      <c r="C386" s="72"/>
      <c r="D386" s="73">
        <v>118</v>
      </c>
      <c r="E386" s="74" t="s">
        <v>125</v>
      </c>
      <c r="G386" s="3"/>
      <c r="I386" s="92"/>
    </row>
    <row r="387" spans="2:9" x14ac:dyDescent="0.2">
      <c r="B387" s="72" t="s">
        <v>126</v>
      </c>
      <c r="C387" s="72"/>
      <c r="D387" s="73">
        <v>237</v>
      </c>
      <c r="E387" s="74" t="s">
        <v>127</v>
      </c>
      <c r="G387" s="3"/>
      <c r="I387" s="92"/>
    </row>
    <row r="388" spans="2:9" x14ac:dyDescent="0.2">
      <c r="B388" s="72" t="s">
        <v>128</v>
      </c>
      <c r="C388" s="72"/>
      <c r="D388" s="73">
        <v>237</v>
      </c>
      <c r="E388" s="74" t="s">
        <v>129</v>
      </c>
      <c r="G388" s="3"/>
      <c r="I388" s="92"/>
    </row>
    <row r="389" spans="2:9" x14ac:dyDescent="0.2">
      <c r="B389" s="72" t="s">
        <v>130</v>
      </c>
      <c r="C389" s="72"/>
      <c r="D389" s="73">
        <v>148</v>
      </c>
      <c r="E389" s="74" t="s">
        <v>131</v>
      </c>
      <c r="G389" s="3"/>
      <c r="I389" s="92"/>
    </row>
    <row r="390" spans="2:9" x14ac:dyDescent="0.2">
      <c r="B390" s="72" t="s">
        <v>132</v>
      </c>
      <c r="C390" s="72"/>
      <c r="D390" s="73">
        <v>207</v>
      </c>
      <c r="E390" s="74" t="s">
        <v>133</v>
      </c>
      <c r="G390" s="3"/>
      <c r="I390" s="92"/>
    </row>
    <row r="391" spans="2:9" x14ac:dyDescent="0.2">
      <c r="B391" s="72" t="s">
        <v>134</v>
      </c>
      <c r="C391" s="72"/>
      <c r="D391" s="73">
        <v>178</v>
      </c>
      <c r="E391" s="74" t="s">
        <v>135</v>
      </c>
      <c r="G391" s="3"/>
      <c r="I391" s="92"/>
    </row>
    <row r="392" spans="2:9" x14ac:dyDescent="0.2">
      <c r="B392" s="72" t="s">
        <v>136</v>
      </c>
      <c r="C392" s="72"/>
      <c r="D392" s="73">
        <v>178</v>
      </c>
      <c r="E392" s="74" t="s">
        <v>137</v>
      </c>
      <c r="G392" s="3"/>
      <c r="I392" s="92"/>
    </row>
    <row r="393" spans="2:9" x14ac:dyDescent="0.2">
      <c r="B393" s="72" t="s">
        <v>138</v>
      </c>
      <c r="C393" s="72"/>
      <c r="D393" s="73">
        <v>148</v>
      </c>
      <c r="E393" s="74" t="s">
        <v>139</v>
      </c>
      <c r="G393" s="3"/>
      <c r="I393" s="92"/>
    </row>
    <row r="394" spans="2:9" x14ac:dyDescent="0.2">
      <c r="B394" s="72" t="s">
        <v>140</v>
      </c>
      <c r="C394" s="72"/>
      <c r="D394" s="73">
        <v>148</v>
      </c>
      <c r="E394" s="74" t="s">
        <v>141</v>
      </c>
      <c r="G394" s="3"/>
      <c r="I394" s="92"/>
    </row>
    <row r="395" spans="2:9" ht="13.5" thickBot="1" x14ac:dyDescent="0.25">
      <c r="B395" s="72" t="s">
        <v>142</v>
      </c>
      <c r="C395" s="72"/>
      <c r="D395" s="73">
        <v>148</v>
      </c>
      <c r="E395" s="74" t="s">
        <v>143</v>
      </c>
      <c r="G395" s="3"/>
      <c r="I395" s="92"/>
    </row>
    <row r="396" spans="2:9" ht="26.25" customHeight="1" thickBot="1" x14ac:dyDescent="0.25">
      <c r="B396" s="78" t="s">
        <v>177</v>
      </c>
      <c r="C396" s="79"/>
      <c r="D396" s="79"/>
      <c r="E396" s="80"/>
      <c r="I396" s="92"/>
    </row>
    <row r="397" spans="2:9" x14ac:dyDescent="0.2">
      <c r="B397" s="61" t="s">
        <v>145</v>
      </c>
      <c r="E397" s="60"/>
    </row>
    <row r="398" spans="2:9" x14ac:dyDescent="0.2">
      <c r="B398" s="84"/>
      <c r="C398" s="62" t="s">
        <v>146</v>
      </c>
      <c r="D398" s="62"/>
      <c r="E398" s="62"/>
    </row>
    <row r="399" spans="2:9" x14ac:dyDescent="0.2">
      <c r="B399" s="61" t="s">
        <v>147</v>
      </c>
      <c r="C399" s="85"/>
      <c r="D399" s="85"/>
      <c r="E399" s="86"/>
    </row>
    <row r="400" spans="2:9" x14ac:dyDescent="0.2">
      <c r="B400" s="84"/>
      <c r="C400" s="62" t="s">
        <v>148</v>
      </c>
      <c r="D400" s="62"/>
      <c r="E400" s="62"/>
    </row>
    <row r="401" spans="2:9" x14ac:dyDescent="0.2">
      <c r="B401" s="61" t="s">
        <v>149</v>
      </c>
      <c r="E401" s="60"/>
    </row>
    <row r="402" spans="2:9" x14ac:dyDescent="0.2">
      <c r="B402" s="61"/>
      <c r="C402" s="87" t="s">
        <v>150</v>
      </c>
      <c r="D402" s="87"/>
      <c r="E402" s="87"/>
    </row>
    <row r="403" spans="2:9" ht="13.5" thickBot="1" x14ac:dyDescent="0.25">
      <c r="B403" s="88"/>
      <c r="C403" s="89"/>
      <c r="D403" s="90"/>
      <c r="E403" s="91"/>
    </row>
    <row r="404" spans="2:9" ht="13.5" thickBot="1" x14ac:dyDescent="0.25"/>
    <row r="405" spans="2:9" x14ac:dyDescent="0.2">
      <c r="B405" s="55" t="s">
        <v>178</v>
      </c>
      <c r="C405" s="56"/>
      <c r="D405" s="57"/>
      <c r="E405" s="58"/>
    </row>
    <row r="406" spans="2:9" x14ac:dyDescent="0.2">
      <c r="B406" s="59"/>
      <c r="E406" s="60"/>
    </row>
    <row r="407" spans="2:9" x14ac:dyDescent="0.2">
      <c r="B407" s="61" t="s">
        <v>98</v>
      </c>
      <c r="E407" s="60"/>
    </row>
    <row r="408" spans="2:9" x14ac:dyDescent="0.2">
      <c r="B408" s="61"/>
      <c r="C408" s="62" t="s">
        <v>179</v>
      </c>
      <c r="D408" s="62"/>
      <c r="E408" s="62"/>
    </row>
    <row r="409" spans="2:9" ht="13.5" thickBot="1" x14ac:dyDescent="0.25">
      <c r="B409" s="61" t="s">
        <v>100</v>
      </c>
      <c r="E409" s="60"/>
    </row>
    <row r="410" spans="2:9" ht="13.5" thickBot="1" x14ac:dyDescent="0.25">
      <c r="B410" s="63" t="s">
        <v>101</v>
      </c>
      <c r="C410" s="64"/>
      <c r="D410" s="64"/>
      <c r="E410" s="65"/>
    </row>
    <row r="411" spans="2:9" ht="13.5" thickBot="1" x14ac:dyDescent="0.25">
      <c r="B411" s="63" t="s">
        <v>102</v>
      </c>
      <c r="C411" s="65"/>
      <c r="D411" s="66" t="s">
        <v>13</v>
      </c>
      <c r="E411" s="66" t="s">
        <v>103</v>
      </c>
    </row>
    <row r="412" spans="2:9" x14ac:dyDescent="0.2">
      <c r="B412" s="67" t="s">
        <v>104</v>
      </c>
      <c r="C412" s="67"/>
      <c r="D412" s="68">
        <v>25</v>
      </c>
      <c r="E412" s="69" t="s">
        <v>105</v>
      </c>
      <c r="G412" s="3"/>
      <c r="I412" s="92"/>
    </row>
    <row r="413" spans="2:9" x14ac:dyDescent="0.2">
      <c r="B413" s="72" t="s">
        <v>106</v>
      </c>
      <c r="C413" s="72"/>
      <c r="D413" s="73">
        <v>55</v>
      </c>
      <c r="E413" s="74" t="s">
        <v>107</v>
      </c>
      <c r="G413" s="3"/>
      <c r="I413" s="92"/>
    </row>
    <row r="414" spans="2:9" x14ac:dyDescent="0.2">
      <c r="B414" s="72" t="s">
        <v>108</v>
      </c>
      <c r="C414" s="72"/>
      <c r="D414" s="73">
        <v>55</v>
      </c>
      <c r="E414" s="74" t="s">
        <v>109</v>
      </c>
      <c r="G414" s="3"/>
      <c r="I414" s="92"/>
    </row>
    <row r="415" spans="2:9" x14ac:dyDescent="0.2">
      <c r="B415" s="72" t="s">
        <v>110</v>
      </c>
      <c r="C415" s="72"/>
      <c r="D415" s="73">
        <v>33</v>
      </c>
      <c r="E415" s="74" t="s">
        <v>111</v>
      </c>
      <c r="G415" s="3"/>
      <c r="I415" s="92"/>
    </row>
    <row r="416" spans="2:9" x14ac:dyDescent="0.2">
      <c r="B416" s="72" t="s">
        <v>112</v>
      </c>
      <c r="C416" s="72"/>
      <c r="D416" s="73">
        <v>28</v>
      </c>
      <c r="E416" s="74" t="s">
        <v>113</v>
      </c>
      <c r="G416" s="3"/>
      <c r="I416" s="92"/>
    </row>
    <row r="417" spans="2:10" x14ac:dyDescent="0.2">
      <c r="B417" s="72" t="s">
        <v>114</v>
      </c>
      <c r="C417" s="72"/>
      <c r="D417" s="73">
        <v>25</v>
      </c>
      <c r="E417" s="74" t="s">
        <v>115</v>
      </c>
      <c r="G417" s="3"/>
      <c r="I417" s="92"/>
    </row>
    <row r="418" spans="2:10" x14ac:dyDescent="0.2">
      <c r="B418" s="72" t="s">
        <v>116</v>
      </c>
      <c r="C418" s="72"/>
      <c r="D418" s="73">
        <v>30</v>
      </c>
      <c r="E418" s="74" t="s">
        <v>117</v>
      </c>
      <c r="G418" s="3"/>
      <c r="I418" s="92"/>
    </row>
    <row r="419" spans="2:10" x14ac:dyDescent="0.2">
      <c r="B419" s="72" t="s">
        <v>118</v>
      </c>
      <c r="C419" s="72"/>
      <c r="D419" s="73">
        <v>30</v>
      </c>
      <c r="E419" s="74" t="s">
        <v>119</v>
      </c>
      <c r="G419" s="3"/>
      <c r="I419" s="92"/>
    </row>
    <row r="420" spans="2:10" x14ac:dyDescent="0.2">
      <c r="B420" s="72" t="s">
        <v>120</v>
      </c>
      <c r="C420" s="72"/>
      <c r="D420" s="73">
        <v>66</v>
      </c>
      <c r="E420" s="74" t="s">
        <v>121</v>
      </c>
      <c r="G420" s="3"/>
      <c r="I420" s="92"/>
    </row>
    <row r="421" spans="2:10" x14ac:dyDescent="0.2">
      <c r="B421" s="72" t="s">
        <v>122</v>
      </c>
      <c r="C421" s="72"/>
      <c r="D421" s="73">
        <v>44</v>
      </c>
      <c r="E421" s="74" t="s">
        <v>123</v>
      </c>
      <c r="G421" s="3"/>
      <c r="I421" s="92"/>
    </row>
    <row r="422" spans="2:10" x14ac:dyDescent="0.2">
      <c r="B422" s="72" t="s">
        <v>124</v>
      </c>
      <c r="C422" s="72"/>
      <c r="D422" s="73">
        <v>22</v>
      </c>
      <c r="E422" s="74" t="s">
        <v>125</v>
      </c>
      <c r="G422" s="3"/>
      <c r="I422" s="92"/>
    </row>
    <row r="423" spans="2:10" x14ac:dyDescent="0.2">
      <c r="B423" s="72" t="s">
        <v>126</v>
      </c>
      <c r="C423" s="72"/>
      <c r="D423" s="73">
        <v>44</v>
      </c>
      <c r="E423" s="74" t="s">
        <v>127</v>
      </c>
      <c r="G423" s="3"/>
      <c r="I423" s="92"/>
    </row>
    <row r="424" spans="2:10" x14ac:dyDescent="0.2">
      <c r="B424" s="72" t="s">
        <v>128</v>
      </c>
      <c r="C424" s="72"/>
      <c r="D424" s="73">
        <v>44</v>
      </c>
      <c r="E424" s="74" t="s">
        <v>129</v>
      </c>
      <c r="G424" s="3"/>
      <c r="I424" s="92"/>
    </row>
    <row r="425" spans="2:10" x14ac:dyDescent="0.2">
      <c r="B425" s="72" t="s">
        <v>130</v>
      </c>
      <c r="C425" s="72"/>
      <c r="D425" s="73">
        <v>28</v>
      </c>
      <c r="E425" s="74" t="s">
        <v>131</v>
      </c>
      <c r="G425" s="3"/>
      <c r="I425" s="92"/>
    </row>
    <row r="426" spans="2:10" x14ac:dyDescent="0.2">
      <c r="B426" s="72" t="s">
        <v>132</v>
      </c>
      <c r="C426" s="72"/>
      <c r="D426" s="73">
        <v>39</v>
      </c>
      <c r="E426" s="74" t="s">
        <v>133</v>
      </c>
      <c r="G426" s="3"/>
      <c r="I426" s="92"/>
    </row>
    <row r="427" spans="2:10" x14ac:dyDescent="0.2">
      <c r="B427" s="72" t="s">
        <v>134</v>
      </c>
      <c r="C427" s="72"/>
      <c r="D427" s="73">
        <v>33</v>
      </c>
      <c r="E427" s="74" t="s">
        <v>135</v>
      </c>
      <c r="G427" s="3"/>
      <c r="I427" s="92"/>
    </row>
    <row r="428" spans="2:10" x14ac:dyDescent="0.2">
      <c r="B428" s="72" t="s">
        <v>136</v>
      </c>
      <c r="C428" s="72"/>
      <c r="D428" s="73">
        <v>33</v>
      </c>
      <c r="E428" s="74" t="s">
        <v>137</v>
      </c>
      <c r="G428" s="3"/>
      <c r="I428" s="92"/>
    </row>
    <row r="429" spans="2:10" x14ac:dyDescent="0.2">
      <c r="B429" s="72" t="s">
        <v>138</v>
      </c>
      <c r="C429" s="72"/>
      <c r="D429" s="73">
        <v>28</v>
      </c>
      <c r="E429" s="74" t="s">
        <v>139</v>
      </c>
      <c r="G429" s="3"/>
      <c r="I429" s="92"/>
    </row>
    <row r="430" spans="2:10" x14ac:dyDescent="0.2">
      <c r="B430" s="72" t="s">
        <v>140</v>
      </c>
      <c r="C430" s="72"/>
      <c r="D430" s="73">
        <v>28</v>
      </c>
      <c r="E430" s="74" t="s">
        <v>141</v>
      </c>
      <c r="G430" s="3"/>
      <c r="I430" s="92"/>
    </row>
    <row r="431" spans="2:10" ht="13.5" thickBot="1" x14ac:dyDescent="0.25">
      <c r="B431" s="72" t="s">
        <v>142</v>
      </c>
      <c r="C431" s="72"/>
      <c r="D431" s="73">
        <v>28</v>
      </c>
      <c r="E431" s="74" t="s">
        <v>143</v>
      </c>
      <c r="G431" s="3"/>
      <c r="I431" s="92"/>
    </row>
    <row r="432" spans="2:10" ht="26.25" customHeight="1" thickBot="1" x14ac:dyDescent="0.25">
      <c r="B432" s="78" t="s">
        <v>180</v>
      </c>
      <c r="C432" s="79"/>
      <c r="D432" s="79"/>
      <c r="E432" s="80"/>
      <c r="I432" s="92"/>
      <c r="J432" s="92"/>
    </row>
    <row r="433" spans="2:9" x14ac:dyDescent="0.2">
      <c r="B433" s="61" t="s">
        <v>145</v>
      </c>
      <c r="E433" s="60"/>
    </row>
    <row r="434" spans="2:9" x14ac:dyDescent="0.2">
      <c r="B434" s="84"/>
      <c r="C434" s="62" t="s">
        <v>146</v>
      </c>
      <c r="D434" s="62"/>
      <c r="E434" s="62"/>
    </row>
    <row r="435" spans="2:9" x14ac:dyDescent="0.2">
      <c r="B435" s="61" t="s">
        <v>147</v>
      </c>
      <c r="C435" s="85"/>
      <c r="D435" s="85"/>
      <c r="E435" s="86"/>
    </row>
    <row r="436" spans="2:9" x14ac:dyDescent="0.2">
      <c r="B436" s="84"/>
      <c r="C436" s="62" t="s">
        <v>148</v>
      </c>
      <c r="D436" s="62"/>
      <c r="E436" s="62"/>
    </row>
    <row r="437" spans="2:9" x14ac:dyDescent="0.2">
      <c r="B437" s="61" t="s">
        <v>149</v>
      </c>
      <c r="E437" s="60"/>
    </row>
    <row r="438" spans="2:9" x14ac:dyDescent="0.2">
      <c r="B438" s="61"/>
      <c r="C438" s="87" t="s">
        <v>150</v>
      </c>
      <c r="D438" s="87"/>
      <c r="E438" s="87"/>
    </row>
    <row r="439" spans="2:9" ht="13.5" thickBot="1" x14ac:dyDescent="0.25">
      <c r="B439" s="88"/>
      <c r="C439" s="89"/>
      <c r="D439" s="90"/>
      <c r="E439" s="91"/>
    </row>
    <row r="440" spans="2:9" ht="13.5" thickBot="1" x14ac:dyDescent="0.25"/>
    <row r="441" spans="2:9" x14ac:dyDescent="0.2">
      <c r="B441" s="55" t="s">
        <v>181</v>
      </c>
      <c r="C441" s="56"/>
      <c r="D441" s="57"/>
      <c r="E441" s="58"/>
    </row>
    <row r="442" spans="2:9" x14ac:dyDescent="0.2">
      <c r="B442" s="59"/>
      <c r="C442" s="104"/>
      <c r="D442" s="104"/>
      <c r="E442" s="87"/>
    </row>
    <row r="443" spans="2:9" x14ac:dyDescent="0.2">
      <c r="B443" s="61" t="s">
        <v>98</v>
      </c>
      <c r="E443" s="60"/>
    </row>
    <row r="444" spans="2:9" x14ac:dyDescent="0.2">
      <c r="B444" s="61"/>
      <c r="C444" s="104" t="s">
        <v>182</v>
      </c>
      <c r="D444" s="104"/>
      <c r="E444" s="87"/>
    </row>
    <row r="445" spans="2:9" ht="13.5" thickBot="1" x14ac:dyDescent="0.25">
      <c r="B445" s="61" t="s">
        <v>100</v>
      </c>
      <c r="E445" s="60"/>
    </row>
    <row r="446" spans="2:9" ht="13.5" thickBot="1" x14ac:dyDescent="0.25">
      <c r="B446" s="63" t="s">
        <v>101</v>
      </c>
      <c r="C446" s="64"/>
      <c r="D446" s="64"/>
      <c r="E446" s="65"/>
    </row>
    <row r="447" spans="2:9" ht="13.5" thickBot="1" x14ac:dyDescent="0.25">
      <c r="B447" s="63" t="s">
        <v>102</v>
      </c>
      <c r="C447" s="65"/>
      <c r="D447" s="66" t="s">
        <v>13</v>
      </c>
      <c r="E447" s="66" t="s">
        <v>103</v>
      </c>
    </row>
    <row r="448" spans="2:9" x14ac:dyDescent="0.2">
      <c r="B448" s="67" t="s">
        <v>104</v>
      </c>
      <c r="C448" s="67"/>
      <c r="D448" s="68">
        <v>56</v>
      </c>
      <c r="E448" s="69" t="s">
        <v>105</v>
      </c>
      <c r="G448" s="3"/>
      <c r="I448" s="92"/>
    </row>
    <row r="449" spans="2:9" x14ac:dyDescent="0.2">
      <c r="B449" s="72" t="s">
        <v>106</v>
      </c>
      <c r="C449" s="72"/>
      <c r="D449" s="73">
        <v>127</v>
      </c>
      <c r="E449" s="74" t="s">
        <v>107</v>
      </c>
      <c r="G449" s="3"/>
      <c r="I449" s="92"/>
    </row>
    <row r="450" spans="2:9" x14ac:dyDescent="0.2">
      <c r="B450" s="72" t="s">
        <v>108</v>
      </c>
      <c r="C450" s="72"/>
      <c r="D450" s="73">
        <v>127</v>
      </c>
      <c r="E450" s="74" t="s">
        <v>109</v>
      </c>
      <c r="G450" s="3"/>
      <c r="I450" s="92"/>
    </row>
    <row r="451" spans="2:9" x14ac:dyDescent="0.2">
      <c r="B451" s="72" t="s">
        <v>110</v>
      </c>
      <c r="C451" s="72"/>
      <c r="D451" s="73">
        <v>76</v>
      </c>
      <c r="E451" s="74" t="s">
        <v>111</v>
      </c>
      <c r="G451" s="3"/>
      <c r="I451" s="92"/>
    </row>
    <row r="452" spans="2:9" x14ac:dyDescent="0.2">
      <c r="B452" s="72" t="s">
        <v>112</v>
      </c>
      <c r="C452" s="72"/>
      <c r="D452" s="73">
        <v>63</v>
      </c>
      <c r="E452" s="74" t="s">
        <v>113</v>
      </c>
      <c r="G452" s="3"/>
      <c r="I452" s="92"/>
    </row>
    <row r="453" spans="2:9" x14ac:dyDescent="0.2">
      <c r="B453" s="72" t="s">
        <v>114</v>
      </c>
      <c r="C453" s="72"/>
      <c r="D453" s="73">
        <v>56</v>
      </c>
      <c r="E453" s="74" t="s">
        <v>115</v>
      </c>
      <c r="G453" s="3"/>
      <c r="I453" s="92"/>
    </row>
    <row r="454" spans="2:9" x14ac:dyDescent="0.2">
      <c r="B454" s="72" t="s">
        <v>116</v>
      </c>
      <c r="C454" s="72"/>
      <c r="D454" s="73">
        <v>71</v>
      </c>
      <c r="E454" s="74" t="s">
        <v>117</v>
      </c>
      <c r="G454" s="3"/>
      <c r="I454" s="92"/>
    </row>
    <row r="455" spans="2:9" x14ac:dyDescent="0.2">
      <c r="B455" s="72" t="s">
        <v>118</v>
      </c>
      <c r="C455" s="72"/>
      <c r="D455" s="73">
        <v>71</v>
      </c>
      <c r="E455" s="74" t="s">
        <v>119</v>
      </c>
      <c r="G455" s="3"/>
      <c r="I455" s="92"/>
    </row>
    <row r="456" spans="2:9" x14ac:dyDescent="0.2">
      <c r="B456" s="72" t="s">
        <v>120</v>
      </c>
      <c r="C456" s="72"/>
      <c r="D456" s="73">
        <v>152</v>
      </c>
      <c r="E456" s="74" t="s">
        <v>121</v>
      </c>
      <c r="G456" s="3"/>
      <c r="I456" s="92"/>
    </row>
    <row r="457" spans="2:9" x14ac:dyDescent="0.2">
      <c r="B457" s="72" t="s">
        <v>122</v>
      </c>
      <c r="C457" s="72"/>
      <c r="D457" s="73">
        <v>102</v>
      </c>
      <c r="E457" s="74" t="s">
        <v>123</v>
      </c>
      <c r="G457" s="3"/>
      <c r="I457" s="92"/>
    </row>
    <row r="458" spans="2:9" x14ac:dyDescent="0.2">
      <c r="B458" s="72" t="s">
        <v>124</v>
      </c>
      <c r="C458" s="72"/>
      <c r="D458" s="73">
        <v>51</v>
      </c>
      <c r="E458" s="74" t="s">
        <v>125</v>
      </c>
      <c r="G458" s="3"/>
      <c r="I458" s="92"/>
    </row>
    <row r="459" spans="2:9" x14ac:dyDescent="0.2">
      <c r="B459" s="72" t="s">
        <v>126</v>
      </c>
      <c r="C459" s="72"/>
      <c r="D459" s="73">
        <v>102</v>
      </c>
      <c r="E459" s="74" t="s">
        <v>127</v>
      </c>
      <c r="G459" s="3"/>
      <c r="I459" s="92"/>
    </row>
    <row r="460" spans="2:9" x14ac:dyDescent="0.2">
      <c r="B460" s="72" t="s">
        <v>128</v>
      </c>
      <c r="C460" s="72"/>
      <c r="D460" s="73">
        <v>102</v>
      </c>
      <c r="E460" s="74" t="s">
        <v>129</v>
      </c>
      <c r="G460" s="3"/>
      <c r="I460" s="92"/>
    </row>
    <row r="461" spans="2:9" x14ac:dyDescent="0.2">
      <c r="B461" s="72" t="s">
        <v>130</v>
      </c>
      <c r="C461" s="72"/>
      <c r="D461" s="73">
        <v>63</v>
      </c>
      <c r="E461" s="74" t="s">
        <v>131</v>
      </c>
      <c r="G461" s="3"/>
      <c r="I461" s="92"/>
    </row>
    <row r="462" spans="2:9" x14ac:dyDescent="0.2">
      <c r="B462" s="72" t="s">
        <v>132</v>
      </c>
      <c r="C462" s="72"/>
      <c r="D462" s="73">
        <v>89</v>
      </c>
      <c r="E462" s="74" t="s">
        <v>133</v>
      </c>
      <c r="G462" s="3"/>
      <c r="I462" s="92"/>
    </row>
    <row r="463" spans="2:9" x14ac:dyDescent="0.2">
      <c r="B463" s="72" t="s">
        <v>134</v>
      </c>
      <c r="C463" s="72"/>
      <c r="D463" s="73">
        <v>76</v>
      </c>
      <c r="E463" s="74" t="s">
        <v>135</v>
      </c>
      <c r="G463" s="3"/>
      <c r="I463" s="92"/>
    </row>
    <row r="464" spans="2:9" x14ac:dyDescent="0.2">
      <c r="B464" s="72" t="s">
        <v>136</v>
      </c>
      <c r="C464" s="72"/>
      <c r="D464" s="73">
        <v>76</v>
      </c>
      <c r="E464" s="74" t="s">
        <v>137</v>
      </c>
      <c r="G464" s="3"/>
      <c r="I464" s="92"/>
    </row>
    <row r="465" spans="2:9" x14ac:dyDescent="0.2">
      <c r="B465" s="72" t="s">
        <v>138</v>
      </c>
      <c r="C465" s="72"/>
      <c r="D465" s="73">
        <v>63</v>
      </c>
      <c r="E465" s="74" t="s">
        <v>139</v>
      </c>
      <c r="G465" s="3"/>
      <c r="I465" s="92"/>
    </row>
    <row r="466" spans="2:9" x14ac:dyDescent="0.2">
      <c r="B466" s="72" t="s">
        <v>140</v>
      </c>
      <c r="C466" s="72"/>
      <c r="D466" s="73">
        <v>63</v>
      </c>
      <c r="E466" s="74" t="s">
        <v>141</v>
      </c>
      <c r="G466" s="3"/>
      <c r="I466" s="92"/>
    </row>
    <row r="467" spans="2:9" ht="13.5" thickBot="1" x14ac:dyDescent="0.25">
      <c r="B467" s="72" t="s">
        <v>142</v>
      </c>
      <c r="C467" s="72"/>
      <c r="D467" s="73">
        <v>63</v>
      </c>
      <c r="E467" s="74" t="s">
        <v>143</v>
      </c>
      <c r="G467" s="3"/>
      <c r="I467" s="92"/>
    </row>
    <row r="468" spans="2:9" ht="26.25" customHeight="1" thickBot="1" x14ac:dyDescent="0.25">
      <c r="B468" s="78" t="s">
        <v>183</v>
      </c>
      <c r="C468" s="79"/>
      <c r="D468" s="79"/>
      <c r="E468" s="80"/>
      <c r="I468" s="92"/>
    </row>
    <row r="469" spans="2:9" x14ac:dyDescent="0.2">
      <c r="B469" s="61" t="s">
        <v>145</v>
      </c>
      <c r="E469" s="60"/>
    </row>
    <row r="470" spans="2:9" x14ac:dyDescent="0.2">
      <c r="B470" s="84"/>
      <c r="C470" s="62" t="s">
        <v>146</v>
      </c>
      <c r="D470" s="62"/>
      <c r="E470" s="62"/>
    </row>
    <row r="471" spans="2:9" x14ac:dyDescent="0.2">
      <c r="B471" s="61" t="s">
        <v>147</v>
      </c>
      <c r="C471" s="85"/>
      <c r="D471" s="85"/>
      <c r="E471" s="86"/>
    </row>
    <row r="472" spans="2:9" x14ac:dyDescent="0.2">
      <c r="B472" s="84"/>
      <c r="C472" s="62" t="s">
        <v>148</v>
      </c>
      <c r="D472" s="62"/>
      <c r="E472" s="62"/>
    </row>
    <row r="473" spans="2:9" x14ac:dyDescent="0.2">
      <c r="B473" s="61" t="s">
        <v>149</v>
      </c>
      <c r="E473" s="60"/>
    </row>
    <row r="474" spans="2:9" x14ac:dyDescent="0.2">
      <c r="B474" s="61"/>
      <c r="C474" s="87" t="s">
        <v>150</v>
      </c>
      <c r="D474" s="87"/>
      <c r="E474" s="87"/>
    </row>
    <row r="475" spans="2:9" ht="13.5" thickBot="1" x14ac:dyDescent="0.25">
      <c r="B475" s="88"/>
      <c r="C475" s="89"/>
      <c r="D475" s="90"/>
      <c r="E475" s="91"/>
    </row>
    <row r="476" spans="2:9" ht="13.5" thickBot="1" x14ac:dyDescent="0.25"/>
    <row r="477" spans="2:9" x14ac:dyDescent="0.2">
      <c r="B477" s="55" t="s">
        <v>184</v>
      </c>
      <c r="C477" s="56"/>
      <c r="D477" s="57"/>
      <c r="E477" s="58"/>
    </row>
    <row r="478" spans="2:9" x14ac:dyDescent="0.2">
      <c r="B478" s="59"/>
      <c r="E478" s="60"/>
    </row>
    <row r="479" spans="2:9" x14ac:dyDescent="0.2">
      <c r="B479" s="61" t="s">
        <v>98</v>
      </c>
      <c r="E479" s="60"/>
    </row>
    <row r="480" spans="2:9" x14ac:dyDescent="0.2">
      <c r="B480" s="61"/>
      <c r="C480" s="62" t="s">
        <v>185</v>
      </c>
      <c r="D480" s="62"/>
      <c r="E480" s="62"/>
    </row>
    <row r="481" spans="2:9" ht="13.5" thickBot="1" x14ac:dyDescent="0.25">
      <c r="B481" s="61" t="s">
        <v>100</v>
      </c>
      <c r="E481" s="60"/>
    </row>
    <row r="482" spans="2:9" ht="13.5" thickBot="1" x14ac:dyDescent="0.25">
      <c r="B482" s="63" t="s">
        <v>101</v>
      </c>
      <c r="C482" s="64"/>
      <c r="D482" s="64"/>
      <c r="E482" s="65"/>
    </row>
    <row r="483" spans="2:9" ht="13.5" thickBot="1" x14ac:dyDescent="0.25">
      <c r="B483" s="63" t="s">
        <v>102</v>
      </c>
      <c r="C483" s="65"/>
      <c r="D483" s="66" t="s">
        <v>13</v>
      </c>
      <c r="E483" s="66" t="s">
        <v>103</v>
      </c>
    </row>
    <row r="484" spans="2:9" x14ac:dyDescent="0.2">
      <c r="B484" s="67" t="s">
        <v>104</v>
      </c>
      <c r="C484" s="67"/>
      <c r="D484" s="101">
        <v>13</v>
      </c>
      <c r="E484" s="69" t="s">
        <v>105</v>
      </c>
      <c r="G484" s="102"/>
      <c r="I484" s="92"/>
    </row>
    <row r="485" spans="2:9" x14ac:dyDescent="0.2">
      <c r="B485" s="72" t="s">
        <v>106</v>
      </c>
      <c r="C485" s="72"/>
      <c r="D485" s="101">
        <v>30</v>
      </c>
      <c r="E485" s="74" t="s">
        <v>107</v>
      </c>
      <c r="G485" s="102"/>
      <c r="I485" s="92"/>
    </row>
    <row r="486" spans="2:9" x14ac:dyDescent="0.2">
      <c r="B486" s="72" t="s">
        <v>108</v>
      </c>
      <c r="C486" s="72"/>
      <c r="D486" s="101">
        <v>30</v>
      </c>
      <c r="E486" s="74" t="s">
        <v>109</v>
      </c>
      <c r="G486" s="102"/>
      <c r="I486" s="92"/>
    </row>
    <row r="487" spans="2:9" x14ac:dyDescent="0.2">
      <c r="B487" s="72" t="s">
        <v>110</v>
      </c>
      <c r="C487" s="72"/>
      <c r="D487" s="101">
        <v>18</v>
      </c>
      <c r="E487" s="74" t="s">
        <v>111</v>
      </c>
      <c r="G487" s="102"/>
      <c r="I487" s="92"/>
    </row>
    <row r="488" spans="2:9" x14ac:dyDescent="0.2">
      <c r="B488" s="72" t="s">
        <v>112</v>
      </c>
      <c r="C488" s="72"/>
      <c r="D488" s="101">
        <v>15</v>
      </c>
      <c r="E488" s="74" t="s">
        <v>113</v>
      </c>
      <c r="G488" s="102"/>
      <c r="I488" s="92"/>
    </row>
    <row r="489" spans="2:9" x14ac:dyDescent="0.2">
      <c r="B489" s="72" t="s">
        <v>114</v>
      </c>
      <c r="C489" s="72"/>
      <c r="D489" s="101">
        <v>13</v>
      </c>
      <c r="E489" s="74" t="s">
        <v>115</v>
      </c>
      <c r="G489" s="102"/>
      <c r="I489" s="92"/>
    </row>
    <row r="490" spans="2:9" x14ac:dyDescent="0.2">
      <c r="B490" s="72" t="s">
        <v>116</v>
      </c>
      <c r="C490" s="72"/>
      <c r="D490" s="101">
        <v>17</v>
      </c>
      <c r="E490" s="74" t="s">
        <v>117</v>
      </c>
      <c r="G490" s="102"/>
      <c r="I490" s="92"/>
    </row>
    <row r="491" spans="2:9" x14ac:dyDescent="0.2">
      <c r="B491" s="72" t="s">
        <v>118</v>
      </c>
      <c r="C491" s="72"/>
      <c r="D491" s="101">
        <v>17</v>
      </c>
      <c r="E491" s="74" t="s">
        <v>119</v>
      </c>
      <c r="G491" s="102"/>
      <c r="I491" s="92"/>
    </row>
    <row r="492" spans="2:9" x14ac:dyDescent="0.2">
      <c r="B492" s="72" t="s">
        <v>120</v>
      </c>
      <c r="C492" s="72"/>
      <c r="D492" s="101">
        <v>36</v>
      </c>
      <c r="E492" s="74" t="s">
        <v>121</v>
      </c>
      <c r="G492" s="102"/>
      <c r="I492" s="92"/>
    </row>
    <row r="493" spans="2:9" x14ac:dyDescent="0.2">
      <c r="B493" s="72" t="s">
        <v>122</v>
      </c>
      <c r="C493" s="72"/>
      <c r="D493" s="101">
        <v>24</v>
      </c>
      <c r="E493" s="74" t="s">
        <v>123</v>
      </c>
      <c r="G493" s="102"/>
      <c r="I493" s="92"/>
    </row>
    <row r="494" spans="2:9" x14ac:dyDescent="0.2">
      <c r="B494" s="72" t="s">
        <v>124</v>
      </c>
      <c r="C494" s="72"/>
      <c r="D494" s="101">
        <v>12</v>
      </c>
      <c r="E494" s="74" t="s">
        <v>125</v>
      </c>
      <c r="G494" s="102"/>
      <c r="I494" s="92"/>
    </row>
    <row r="495" spans="2:9" x14ac:dyDescent="0.2">
      <c r="B495" s="72" t="s">
        <v>126</v>
      </c>
      <c r="C495" s="72"/>
      <c r="D495" s="101">
        <v>24</v>
      </c>
      <c r="E495" s="74" t="s">
        <v>127</v>
      </c>
      <c r="G495" s="102"/>
      <c r="I495" s="92"/>
    </row>
    <row r="496" spans="2:9" x14ac:dyDescent="0.2">
      <c r="B496" s="72" t="s">
        <v>128</v>
      </c>
      <c r="C496" s="72"/>
      <c r="D496" s="101">
        <v>24</v>
      </c>
      <c r="E496" s="74" t="s">
        <v>129</v>
      </c>
      <c r="G496" s="102"/>
      <c r="I496" s="92"/>
    </row>
    <row r="497" spans="2:10" x14ac:dyDescent="0.2">
      <c r="B497" s="72" t="s">
        <v>130</v>
      </c>
      <c r="C497" s="72"/>
      <c r="D497" s="101">
        <v>15</v>
      </c>
      <c r="E497" s="74" t="s">
        <v>131</v>
      </c>
      <c r="G497" s="102"/>
      <c r="I497" s="92"/>
    </row>
    <row r="498" spans="2:10" x14ac:dyDescent="0.2">
      <c r="B498" s="72" t="s">
        <v>132</v>
      </c>
      <c r="C498" s="72"/>
      <c r="D498" s="101">
        <v>21</v>
      </c>
      <c r="E498" s="74" t="s">
        <v>133</v>
      </c>
      <c r="G498" s="102"/>
      <c r="I498" s="92"/>
    </row>
    <row r="499" spans="2:10" x14ac:dyDescent="0.2">
      <c r="B499" s="72" t="s">
        <v>134</v>
      </c>
      <c r="C499" s="72"/>
      <c r="D499" s="101">
        <v>18</v>
      </c>
      <c r="E499" s="74" t="s">
        <v>135</v>
      </c>
      <c r="G499" s="102"/>
      <c r="I499" s="92"/>
    </row>
    <row r="500" spans="2:10" x14ac:dyDescent="0.2">
      <c r="B500" s="72" t="s">
        <v>136</v>
      </c>
      <c r="C500" s="72"/>
      <c r="D500" s="101">
        <v>18</v>
      </c>
      <c r="E500" s="74" t="s">
        <v>137</v>
      </c>
      <c r="G500" s="102"/>
      <c r="I500" s="92"/>
    </row>
    <row r="501" spans="2:10" x14ac:dyDescent="0.2">
      <c r="B501" s="72" t="s">
        <v>138</v>
      </c>
      <c r="C501" s="72"/>
      <c r="D501" s="101">
        <v>15</v>
      </c>
      <c r="E501" s="74" t="s">
        <v>139</v>
      </c>
      <c r="G501" s="102"/>
      <c r="I501" s="92"/>
    </row>
    <row r="502" spans="2:10" x14ac:dyDescent="0.2">
      <c r="B502" s="72" t="s">
        <v>140</v>
      </c>
      <c r="C502" s="72"/>
      <c r="D502" s="101">
        <v>15</v>
      </c>
      <c r="E502" s="74" t="s">
        <v>141</v>
      </c>
      <c r="G502" s="102"/>
      <c r="I502" s="92"/>
    </row>
    <row r="503" spans="2:10" ht="13.5" thickBot="1" x14ac:dyDescent="0.25">
      <c r="B503" s="72" t="s">
        <v>142</v>
      </c>
      <c r="C503" s="72"/>
      <c r="D503" s="101">
        <v>15</v>
      </c>
      <c r="E503" s="74" t="s">
        <v>143</v>
      </c>
      <c r="G503" s="102"/>
      <c r="I503" s="92"/>
    </row>
    <row r="504" spans="2:10" ht="26.25" customHeight="1" thickBot="1" x14ac:dyDescent="0.25">
      <c r="B504" s="78" t="s">
        <v>171</v>
      </c>
      <c r="C504" s="79"/>
      <c r="D504" s="79"/>
      <c r="E504" s="80"/>
      <c r="I504" s="92"/>
      <c r="J504" s="92"/>
    </row>
    <row r="505" spans="2:10" x14ac:dyDescent="0.2">
      <c r="B505" s="61" t="s">
        <v>145</v>
      </c>
      <c r="E505" s="60"/>
    </row>
    <row r="506" spans="2:10" x14ac:dyDescent="0.2">
      <c r="B506" s="84"/>
      <c r="C506" s="62" t="s">
        <v>146</v>
      </c>
      <c r="D506" s="62"/>
      <c r="E506" s="62"/>
    </row>
    <row r="507" spans="2:10" x14ac:dyDescent="0.2">
      <c r="B507" s="61" t="s">
        <v>147</v>
      </c>
      <c r="C507" s="85"/>
      <c r="D507" s="85"/>
      <c r="E507" s="86"/>
    </row>
    <row r="508" spans="2:10" x14ac:dyDescent="0.2">
      <c r="B508" s="84"/>
      <c r="C508" s="62" t="s">
        <v>148</v>
      </c>
      <c r="D508" s="62"/>
      <c r="E508" s="62"/>
    </row>
    <row r="509" spans="2:10" x14ac:dyDescent="0.2">
      <c r="B509" s="61" t="s">
        <v>149</v>
      </c>
      <c r="E509" s="60"/>
    </row>
    <row r="510" spans="2:10" x14ac:dyDescent="0.2">
      <c r="B510" s="61"/>
      <c r="C510" s="87" t="s">
        <v>150</v>
      </c>
      <c r="D510" s="87"/>
      <c r="E510" s="87"/>
    </row>
    <row r="511" spans="2:10" ht="13.5" thickBot="1" x14ac:dyDescent="0.25">
      <c r="B511" s="88"/>
      <c r="C511" s="89"/>
      <c r="D511" s="90"/>
      <c r="E511" s="91"/>
    </row>
    <row r="512" spans="2:10" ht="13.5" thickBot="1" x14ac:dyDescent="0.25"/>
    <row r="513" spans="2:9" x14ac:dyDescent="0.2">
      <c r="B513" s="55" t="s">
        <v>186</v>
      </c>
      <c r="C513" s="56"/>
      <c r="D513" s="57"/>
      <c r="E513" s="58"/>
    </row>
    <row r="514" spans="2:9" x14ac:dyDescent="0.2">
      <c r="B514" s="59"/>
      <c r="E514" s="60"/>
    </row>
    <row r="515" spans="2:9" x14ac:dyDescent="0.2">
      <c r="B515" s="61" t="s">
        <v>98</v>
      </c>
      <c r="E515" s="60"/>
    </row>
    <row r="516" spans="2:9" x14ac:dyDescent="0.2">
      <c r="B516" s="61"/>
      <c r="C516" s="104" t="s">
        <v>187</v>
      </c>
      <c r="D516" s="104"/>
      <c r="E516" s="87"/>
    </row>
    <row r="517" spans="2:9" ht="13.5" thickBot="1" x14ac:dyDescent="0.25">
      <c r="B517" s="61" t="s">
        <v>100</v>
      </c>
      <c r="E517" s="60"/>
    </row>
    <row r="518" spans="2:9" ht="13.5" thickBot="1" x14ac:dyDescent="0.25">
      <c r="B518" s="63" t="s">
        <v>101</v>
      </c>
      <c r="C518" s="64"/>
      <c r="D518" s="64"/>
      <c r="E518" s="65"/>
    </row>
    <row r="519" spans="2:9" ht="13.5" thickBot="1" x14ac:dyDescent="0.25">
      <c r="B519" s="63" t="s">
        <v>102</v>
      </c>
      <c r="C519" s="65"/>
      <c r="D519" s="66" t="s">
        <v>13</v>
      </c>
      <c r="E519" s="66" t="s">
        <v>103</v>
      </c>
    </row>
    <row r="520" spans="2:9" x14ac:dyDescent="0.2">
      <c r="B520" s="67" t="s">
        <v>104</v>
      </c>
      <c r="C520" s="67"/>
      <c r="D520" s="68">
        <v>19</v>
      </c>
      <c r="E520" s="69" t="s">
        <v>105</v>
      </c>
      <c r="G520" s="3"/>
      <c r="I520" s="92"/>
    </row>
    <row r="521" spans="2:9" x14ac:dyDescent="0.2">
      <c r="B521" s="72" t="s">
        <v>106</v>
      </c>
      <c r="C521" s="72"/>
      <c r="D521" s="73">
        <v>42</v>
      </c>
      <c r="E521" s="74" t="s">
        <v>107</v>
      </c>
      <c r="G521" s="3"/>
      <c r="I521" s="92"/>
    </row>
    <row r="522" spans="2:9" x14ac:dyDescent="0.2">
      <c r="B522" s="72" t="s">
        <v>108</v>
      </c>
      <c r="C522" s="72"/>
      <c r="D522" s="73">
        <v>42</v>
      </c>
      <c r="E522" s="74" t="s">
        <v>109</v>
      </c>
      <c r="G522" s="3"/>
      <c r="I522" s="92"/>
    </row>
    <row r="523" spans="2:9" x14ac:dyDescent="0.2">
      <c r="B523" s="72" t="s">
        <v>110</v>
      </c>
      <c r="C523" s="72"/>
      <c r="D523" s="73">
        <v>25</v>
      </c>
      <c r="E523" s="74" t="s">
        <v>111</v>
      </c>
      <c r="G523" s="3"/>
      <c r="I523" s="92"/>
    </row>
    <row r="524" spans="2:9" x14ac:dyDescent="0.2">
      <c r="B524" s="72" t="s">
        <v>112</v>
      </c>
      <c r="C524" s="72"/>
      <c r="D524" s="73">
        <v>21</v>
      </c>
      <c r="E524" s="74" t="s">
        <v>113</v>
      </c>
      <c r="G524" s="3"/>
      <c r="I524" s="92"/>
    </row>
    <row r="525" spans="2:9" x14ac:dyDescent="0.2">
      <c r="B525" s="72" t="s">
        <v>114</v>
      </c>
      <c r="C525" s="72"/>
      <c r="D525" s="73">
        <v>19</v>
      </c>
      <c r="E525" s="74" t="s">
        <v>115</v>
      </c>
      <c r="G525" s="3"/>
      <c r="I525" s="92"/>
    </row>
    <row r="526" spans="2:9" x14ac:dyDescent="0.2">
      <c r="B526" s="72" t="s">
        <v>116</v>
      </c>
      <c r="C526" s="72"/>
      <c r="D526" s="73">
        <v>24</v>
      </c>
      <c r="E526" s="74" t="s">
        <v>117</v>
      </c>
      <c r="G526" s="3"/>
      <c r="I526" s="92"/>
    </row>
    <row r="527" spans="2:9" x14ac:dyDescent="0.2">
      <c r="B527" s="72" t="s">
        <v>118</v>
      </c>
      <c r="C527" s="72"/>
      <c r="D527" s="73">
        <v>24</v>
      </c>
      <c r="E527" s="74" t="s">
        <v>119</v>
      </c>
      <c r="G527" s="3"/>
      <c r="I527" s="92"/>
    </row>
    <row r="528" spans="2:9" x14ac:dyDescent="0.2">
      <c r="B528" s="72" t="s">
        <v>120</v>
      </c>
      <c r="C528" s="72"/>
      <c r="D528" s="73">
        <v>51</v>
      </c>
      <c r="E528" s="74" t="s">
        <v>121</v>
      </c>
      <c r="G528" s="3"/>
      <c r="I528" s="92"/>
    </row>
    <row r="529" spans="2:9" x14ac:dyDescent="0.2">
      <c r="B529" s="72" t="s">
        <v>122</v>
      </c>
      <c r="C529" s="72"/>
      <c r="D529" s="73">
        <v>34</v>
      </c>
      <c r="E529" s="74" t="s">
        <v>123</v>
      </c>
      <c r="G529" s="3"/>
      <c r="I529" s="92"/>
    </row>
    <row r="530" spans="2:9" x14ac:dyDescent="0.2">
      <c r="B530" s="72" t="s">
        <v>124</v>
      </c>
      <c r="C530" s="72"/>
      <c r="D530" s="73">
        <v>17</v>
      </c>
      <c r="E530" s="74" t="s">
        <v>125</v>
      </c>
      <c r="G530" s="3"/>
      <c r="I530" s="92"/>
    </row>
    <row r="531" spans="2:9" x14ac:dyDescent="0.2">
      <c r="B531" s="72" t="s">
        <v>126</v>
      </c>
      <c r="C531" s="72"/>
      <c r="D531" s="73">
        <v>34</v>
      </c>
      <c r="E531" s="74" t="s">
        <v>127</v>
      </c>
      <c r="G531" s="3"/>
      <c r="I531" s="92"/>
    </row>
    <row r="532" spans="2:9" x14ac:dyDescent="0.2">
      <c r="B532" s="72" t="s">
        <v>128</v>
      </c>
      <c r="C532" s="72"/>
      <c r="D532" s="73">
        <v>34</v>
      </c>
      <c r="E532" s="74" t="s">
        <v>129</v>
      </c>
      <c r="G532" s="3"/>
      <c r="I532" s="92"/>
    </row>
    <row r="533" spans="2:9" x14ac:dyDescent="0.2">
      <c r="B533" s="72" t="s">
        <v>130</v>
      </c>
      <c r="C533" s="72"/>
      <c r="D533" s="73">
        <v>21</v>
      </c>
      <c r="E533" s="74" t="s">
        <v>131</v>
      </c>
      <c r="G533" s="3"/>
      <c r="I533" s="92"/>
    </row>
    <row r="534" spans="2:9" x14ac:dyDescent="0.2">
      <c r="B534" s="72" t="s">
        <v>132</v>
      </c>
      <c r="C534" s="72"/>
      <c r="D534" s="73">
        <v>30</v>
      </c>
      <c r="E534" s="74" t="s">
        <v>133</v>
      </c>
      <c r="G534" s="3"/>
      <c r="I534" s="92"/>
    </row>
    <row r="535" spans="2:9" x14ac:dyDescent="0.2">
      <c r="B535" s="72" t="s">
        <v>134</v>
      </c>
      <c r="C535" s="72"/>
      <c r="D535" s="73">
        <v>25</v>
      </c>
      <c r="E535" s="74" t="s">
        <v>135</v>
      </c>
      <c r="G535" s="3"/>
      <c r="I535" s="92"/>
    </row>
    <row r="536" spans="2:9" x14ac:dyDescent="0.2">
      <c r="B536" s="72" t="s">
        <v>136</v>
      </c>
      <c r="C536" s="72"/>
      <c r="D536" s="73">
        <v>25</v>
      </c>
      <c r="E536" s="74" t="s">
        <v>137</v>
      </c>
      <c r="G536" s="3"/>
      <c r="I536" s="92"/>
    </row>
    <row r="537" spans="2:9" x14ac:dyDescent="0.2">
      <c r="B537" s="72" t="s">
        <v>138</v>
      </c>
      <c r="C537" s="72"/>
      <c r="D537" s="73">
        <v>21</v>
      </c>
      <c r="E537" s="74" t="s">
        <v>139</v>
      </c>
      <c r="G537" s="3"/>
      <c r="I537" s="92"/>
    </row>
    <row r="538" spans="2:9" x14ac:dyDescent="0.2">
      <c r="B538" s="72" t="s">
        <v>140</v>
      </c>
      <c r="C538" s="72"/>
      <c r="D538" s="73">
        <v>21</v>
      </c>
      <c r="E538" s="74" t="s">
        <v>141</v>
      </c>
      <c r="G538" s="3"/>
      <c r="I538" s="92"/>
    </row>
    <row r="539" spans="2:9" ht="13.5" thickBot="1" x14ac:dyDescent="0.25">
      <c r="B539" s="72" t="s">
        <v>142</v>
      </c>
      <c r="C539" s="72"/>
      <c r="D539" s="73">
        <v>21</v>
      </c>
      <c r="E539" s="74" t="s">
        <v>143</v>
      </c>
      <c r="G539" s="3"/>
      <c r="I539" s="92"/>
    </row>
    <row r="540" spans="2:9" ht="25.5" customHeight="1" thickBot="1" x14ac:dyDescent="0.25">
      <c r="B540" s="78" t="s">
        <v>188</v>
      </c>
      <c r="C540" s="79"/>
      <c r="D540" s="79"/>
      <c r="E540" s="80"/>
      <c r="I540" s="92"/>
    </row>
    <row r="541" spans="2:9" x14ac:dyDescent="0.2">
      <c r="B541" s="61" t="s">
        <v>145</v>
      </c>
      <c r="E541" s="60"/>
    </row>
    <row r="542" spans="2:9" x14ac:dyDescent="0.2">
      <c r="B542" s="84"/>
      <c r="C542" s="62" t="s">
        <v>146</v>
      </c>
      <c r="D542" s="62"/>
      <c r="E542" s="62"/>
    </row>
    <row r="543" spans="2:9" x14ac:dyDescent="0.2">
      <c r="B543" s="61" t="s">
        <v>147</v>
      </c>
      <c r="C543" s="85"/>
      <c r="D543" s="85"/>
      <c r="E543" s="86"/>
    </row>
    <row r="544" spans="2:9" x14ac:dyDescent="0.2">
      <c r="B544" s="84"/>
      <c r="C544" s="62" t="s">
        <v>148</v>
      </c>
      <c r="D544" s="62"/>
      <c r="E544" s="62"/>
    </row>
    <row r="545" spans="2:9" x14ac:dyDescent="0.2">
      <c r="B545" s="61" t="s">
        <v>149</v>
      </c>
      <c r="E545" s="60"/>
    </row>
    <row r="546" spans="2:9" x14ac:dyDescent="0.2">
      <c r="B546" s="61"/>
      <c r="C546" s="87" t="s">
        <v>150</v>
      </c>
      <c r="D546" s="87"/>
      <c r="E546" s="87"/>
    </row>
    <row r="547" spans="2:9" ht="13.5" thickBot="1" x14ac:dyDescent="0.25">
      <c r="B547" s="88"/>
      <c r="C547" s="89"/>
      <c r="D547" s="90"/>
      <c r="E547" s="91"/>
    </row>
    <row r="548" spans="2:9" ht="13.5" thickBot="1" x14ac:dyDescent="0.25"/>
    <row r="549" spans="2:9" x14ac:dyDescent="0.2">
      <c r="B549" s="55" t="s">
        <v>189</v>
      </c>
      <c r="C549" s="56"/>
      <c r="D549" s="57"/>
      <c r="E549" s="58"/>
    </row>
    <row r="550" spans="2:9" x14ac:dyDescent="0.2">
      <c r="B550" s="59"/>
      <c r="E550" s="60"/>
    </row>
    <row r="551" spans="2:9" x14ac:dyDescent="0.2">
      <c r="B551" s="61" t="s">
        <v>98</v>
      </c>
      <c r="E551" s="60"/>
    </row>
    <row r="552" spans="2:9" x14ac:dyDescent="0.2">
      <c r="B552" s="61"/>
      <c r="C552" s="62" t="s">
        <v>190</v>
      </c>
      <c r="D552" s="62"/>
      <c r="E552" s="62"/>
    </row>
    <row r="553" spans="2:9" ht="13.5" thickBot="1" x14ac:dyDescent="0.25">
      <c r="B553" s="61" t="s">
        <v>100</v>
      </c>
      <c r="E553" s="60"/>
    </row>
    <row r="554" spans="2:9" ht="13.5" thickBot="1" x14ac:dyDescent="0.25">
      <c r="B554" s="63" t="s">
        <v>101</v>
      </c>
      <c r="C554" s="64"/>
      <c r="D554" s="64"/>
      <c r="E554" s="65"/>
    </row>
    <row r="555" spans="2:9" ht="12.75" customHeight="1" thickBot="1" x14ac:dyDescent="0.25">
      <c r="B555" s="63" t="s">
        <v>102</v>
      </c>
      <c r="C555" s="65"/>
      <c r="D555" s="66" t="s">
        <v>13</v>
      </c>
      <c r="E555" s="66" t="s">
        <v>103</v>
      </c>
    </row>
    <row r="556" spans="2:9" x14ac:dyDescent="0.2">
      <c r="B556" s="67" t="s">
        <v>104</v>
      </c>
      <c r="C556" s="67"/>
      <c r="D556" s="68">
        <v>73</v>
      </c>
      <c r="E556" s="69" t="s">
        <v>105</v>
      </c>
      <c r="G556" s="3"/>
      <c r="I556" s="92"/>
    </row>
    <row r="557" spans="2:9" x14ac:dyDescent="0.2">
      <c r="B557" s="72" t="s">
        <v>106</v>
      </c>
      <c r="C557" s="72"/>
      <c r="D557" s="73">
        <v>165</v>
      </c>
      <c r="E557" s="74" t="s">
        <v>107</v>
      </c>
      <c r="G557" s="3"/>
      <c r="I557" s="92"/>
    </row>
    <row r="558" spans="2:9" x14ac:dyDescent="0.2">
      <c r="B558" s="72" t="s">
        <v>108</v>
      </c>
      <c r="C558" s="72"/>
      <c r="D558" s="73">
        <v>165</v>
      </c>
      <c r="E558" s="74" t="s">
        <v>109</v>
      </c>
      <c r="G558" s="3"/>
      <c r="I558" s="92"/>
    </row>
    <row r="559" spans="2:9" x14ac:dyDescent="0.2">
      <c r="B559" s="72" t="s">
        <v>110</v>
      </c>
      <c r="C559" s="72"/>
      <c r="D559" s="73">
        <v>99</v>
      </c>
      <c r="E559" s="74" t="s">
        <v>111</v>
      </c>
      <c r="G559" s="3"/>
      <c r="I559" s="92"/>
    </row>
    <row r="560" spans="2:9" x14ac:dyDescent="0.2">
      <c r="B560" s="72" t="s">
        <v>112</v>
      </c>
      <c r="C560" s="72"/>
      <c r="D560" s="73">
        <v>83</v>
      </c>
      <c r="E560" s="74" t="s">
        <v>113</v>
      </c>
      <c r="G560" s="3"/>
      <c r="I560" s="92"/>
    </row>
    <row r="561" spans="2:10" x14ac:dyDescent="0.2">
      <c r="B561" s="72" t="s">
        <v>114</v>
      </c>
      <c r="C561" s="72"/>
      <c r="D561" s="73">
        <v>73</v>
      </c>
      <c r="E561" s="74" t="s">
        <v>115</v>
      </c>
      <c r="G561" s="3"/>
      <c r="I561" s="92"/>
    </row>
    <row r="562" spans="2:10" x14ac:dyDescent="0.2">
      <c r="B562" s="72" t="s">
        <v>116</v>
      </c>
      <c r="C562" s="72"/>
      <c r="D562" s="73">
        <v>92</v>
      </c>
      <c r="E562" s="74" t="s">
        <v>117</v>
      </c>
      <c r="G562" s="3"/>
      <c r="I562" s="92"/>
    </row>
    <row r="563" spans="2:10" x14ac:dyDescent="0.2">
      <c r="B563" s="72" t="s">
        <v>118</v>
      </c>
      <c r="C563" s="72"/>
      <c r="D563" s="73">
        <v>92</v>
      </c>
      <c r="E563" s="74" t="s">
        <v>119</v>
      </c>
      <c r="G563" s="3"/>
      <c r="I563" s="92"/>
    </row>
    <row r="564" spans="2:10" x14ac:dyDescent="0.2">
      <c r="B564" s="72" t="s">
        <v>120</v>
      </c>
      <c r="C564" s="72"/>
      <c r="D564" s="73">
        <v>198</v>
      </c>
      <c r="E564" s="74" t="s">
        <v>121</v>
      </c>
      <c r="G564" s="3"/>
      <c r="I564" s="92"/>
    </row>
    <row r="565" spans="2:10" x14ac:dyDescent="0.2">
      <c r="B565" s="72" t="s">
        <v>122</v>
      </c>
      <c r="C565" s="72"/>
      <c r="D565" s="73">
        <v>132</v>
      </c>
      <c r="E565" s="74" t="s">
        <v>123</v>
      </c>
      <c r="G565" s="3"/>
      <c r="I565" s="92"/>
    </row>
    <row r="566" spans="2:10" x14ac:dyDescent="0.2">
      <c r="B566" s="72" t="s">
        <v>124</v>
      </c>
      <c r="C566" s="72"/>
      <c r="D566" s="73">
        <v>66</v>
      </c>
      <c r="E566" s="74" t="s">
        <v>125</v>
      </c>
      <c r="G566" s="3"/>
      <c r="I566" s="92"/>
    </row>
    <row r="567" spans="2:10" x14ac:dyDescent="0.2">
      <c r="B567" s="72" t="s">
        <v>126</v>
      </c>
      <c r="C567" s="72"/>
      <c r="D567" s="73">
        <v>132</v>
      </c>
      <c r="E567" s="74" t="s">
        <v>127</v>
      </c>
      <c r="G567" s="3"/>
      <c r="I567" s="92"/>
    </row>
    <row r="568" spans="2:10" x14ac:dyDescent="0.2">
      <c r="B568" s="72" t="s">
        <v>128</v>
      </c>
      <c r="C568" s="72"/>
      <c r="D568" s="73">
        <v>132</v>
      </c>
      <c r="E568" s="74" t="s">
        <v>129</v>
      </c>
      <c r="G568" s="3"/>
      <c r="I568" s="92"/>
    </row>
    <row r="569" spans="2:10" x14ac:dyDescent="0.2">
      <c r="B569" s="72" t="s">
        <v>130</v>
      </c>
      <c r="C569" s="72"/>
      <c r="D569" s="73">
        <v>83</v>
      </c>
      <c r="E569" s="74" t="s">
        <v>131</v>
      </c>
      <c r="G569" s="3"/>
      <c r="I569" s="92"/>
    </row>
    <row r="570" spans="2:10" x14ac:dyDescent="0.2">
      <c r="B570" s="72" t="s">
        <v>132</v>
      </c>
      <c r="C570" s="72"/>
      <c r="D570" s="73">
        <v>116</v>
      </c>
      <c r="E570" s="74" t="s">
        <v>133</v>
      </c>
      <c r="G570" s="3"/>
      <c r="I570" s="92"/>
    </row>
    <row r="571" spans="2:10" x14ac:dyDescent="0.2">
      <c r="B571" s="72" t="s">
        <v>134</v>
      </c>
      <c r="C571" s="72"/>
      <c r="D571" s="73">
        <v>99</v>
      </c>
      <c r="E571" s="74" t="s">
        <v>135</v>
      </c>
      <c r="G571" s="3"/>
      <c r="I571" s="92"/>
    </row>
    <row r="572" spans="2:10" x14ac:dyDescent="0.2">
      <c r="B572" s="72" t="s">
        <v>136</v>
      </c>
      <c r="C572" s="72"/>
      <c r="D572" s="73">
        <v>99</v>
      </c>
      <c r="E572" s="74" t="s">
        <v>137</v>
      </c>
      <c r="G572" s="3"/>
      <c r="I572" s="92"/>
    </row>
    <row r="573" spans="2:10" x14ac:dyDescent="0.2">
      <c r="B573" s="72" t="s">
        <v>138</v>
      </c>
      <c r="C573" s="72"/>
      <c r="D573" s="73">
        <v>83</v>
      </c>
      <c r="E573" s="74" t="s">
        <v>139</v>
      </c>
      <c r="G573" s="3"/>
      <c r="I573" s="92"/>
    </row>
    <row r="574" spans="2:10" x14ac:dyDescent="0.2">
      <c r="B574" s="72" t="s">
        <v>140</v>
      </c>
      <c r="C574" s="72"/>
      <c r="D574" s="73">
        <v>83</v>
      </c>
      <c r="E574" s="74" t="s">
        <v>141</v>
      </c>
      <c r="G574" s="3"/>
      <c r="I574" s="92"/>
    </row>
    <row r="575" spans="2:10" ht="13.5" thickBot="1" x14ac:dyDescent="0.25">
      <c r="B575" s="72" t="s">
        <v>142</v>
      </c>
      <c r="C575" s="72"/>
      <c r="D575" s="73">
        <v>83</v>
      </c>
      <c r="E575" s="74" t="s">
        <v>143</v>
      </c>
      <c r="G575" s="3"/>
      <c r="I575" s="92"/>
    </row>
    <row r="576" spans="2:10" ht="26.25" customHeight="1" thickBot="1" x14ac:dyDescent="0.25">
      <c r="B576" s="78" t="s">
        <v>191</v>
      </c>
      <c r="C576" s="79"/>
      <c r="D576" s="79"/>
      <c r="E576" s="80"/>
      <c r="I576" s="92"/>
      <c r="J576" s="92"/>
    </row>
    <row r="577" spans="2:9" x14ac:dyDescent="0.2">
      <c r="B577" s="61" t="s">
        <v>145</v>
      </c>
      <c r="E577" s="60"/>
    </row>
    <row r="578" spans="2:9" x14ac:dyDescent="0.2">
      <c r="B578" s="84"/>
      <c r="C578" s="62" t="s">
        <v>146</v>
      </c>
      <c r="D578" s="62"/>
      <c r="E578" s="62"/>
    </row>
    <row r="579" spans="2:9" x14ac:dyDescent="0.2">
      <c r="B579" s="61" t="s">
        <v>147</v>
      </c>
      <c r="C579" s="85"/>
      <c r="D579" s="85"/>
      <c r="E579" s="86"/>
    </row>
    <row r="580" spans="2:9" x14ac:dyDescent="0.2">
      <c r="B580" s="84"/>
      <c r="C580" s="62" t="s">
        <v>148</v>
      </c>
      <c r="D580" s="62"/>
      <c r="E580" s="62"/>
    </row>
    <row r="581" spans="2:9" x14ac:dyDescent="0.2">
      <c r="B581" s="61" t="s">
        <v>149</v>
      </c>
      <c r="E581" s="60"/>
    </row>
    <row r="582" spans="2:9" x14ac:dyDescent="0.2">
      <c r="B582" s="61"/>
      <c r="C582" s="87" t="s">
        <v>150</v>
      </c>
      <c r="D582" s="87"/>
      <c r="E582" s="87"/>
    </row>
    <row r="583" spans="2:9" ht="13.5" thickBot="1" x14ac:dyDescent="0.25">
      <c r="B583" s="88"/>
      <c r="C583" s="89"/>
      <c r="D583" s="90"/>
      <c r="E583" s="91"/>
    </row>
    <row r="584" spans="2:9" ht="13.5" thickBot="1" x14ac:dyDescent="0.25"/>
    <row r="585" spans="2:9" x14ac:dyDescent="0.2">
      <c r="B585" s="55" t="s">
        <v>192</v>
      </c>
      <c r="C585" s="56"/>
      <c r="D585" s="57"/>
      <c r="E585" s="58"/>
    </row>
    <row r="586" spans="2:9" x14ac:dyDescent="0.2">
      <c r="B586" s="59"/>
      <c r="E586" s="60"/>
    </row>
    <row r="587" spans="2:9" x14ac:dyDescent="0.2">
      <c r="B587" s="61" t="s">
        <v>98</v>
      </c>
      <c r="E587" s="60"/>
    </row>
    <row r="588" spans="2:9" x14ac:dyDescent="0.2">
      <c r="B588" s="61"/>
      <c r="C588" s="62" t="s">
        <v>193</v>
      </c>
      <c r="D588" s="62"/>
      <c r="E588" s="62"/>
    </row>
    <row r="589" spans="2:9" ht="13.5" thickBot="1" x14ac:dyDescent="0.25">
      <c r="B589" s="61" t="s">
        <v>100</v>
      </c>
      <c r="E589" s="60"/>
    </row>
    <row r="590" spans="2:9" ht="13.5" thickBot="1" x14ac:dyDescent="0.25">
      <c r="B590" s="63" t="s">
        <v>101</v>
      </c>
      <c r="C590" s="64"/>
      <c r="D590" s="64"/>
      <c r="E590" s="65"/>
    </row>
    <row r="591" spans="2:9" ht="13.5" thickBot="1" x14ac:dyDescent="0.25">
      <c r="B591" s="63" t="s">
        <v>102</v>
      </c>
      <c r="C591" s="65"/>
      <c r="D591" s="66" t="s">
        <v>13</v>
      </c>
      <c r="E591" s="66" t="s">
        <v>103</v>
      </c>
    </row>
    <row r="592" spans="2:9" x14ac:dyDescent="0.2">
      <c r="B592" s="67" t="s">
        <v>104</v>
      </c>
      <c r="C592" s="67"/>
      <c r="D592" s="68">
        <v>28</v>
      </c>
      <c r="E592" s="69" t="s">
        <v>105</v>
      </c>
      <c r="G592" s="3"/>
      <c r="I592" s="92"/>
    </row>
    <row r="593" spans="2:9" x14ac:dyDescent="0.2">
      <c r="B593" s="72" t="s">
        <v>106</v>
      </c>
      <c r="C593" s="72"/>
      <c r="D593" s="73">
        <v>63</v>
      </c>
      <c r="E593" s="74" t="s">
        <v>107</v>
      </c>
      <c r="G593" s="3"/>
      <c r="I593" s="92"/>
    </row>
    <row r="594" spans="2:9" x14ac:dyDescent="0.2">
      <c r="B594" s="72" t="s">
        <v>108</v>
      </c>
      <c r="C594" s="72"/>
      <c r="D594" s="73">
        <v>63</v>
      </c>
      <c r="E594" s="74" t="s">
        <v>109</v>
      </c>
      <c r="G594" s="3"/>
      <c r="I594" s="92"/>
    </row>
    <row r="595" spans="2:9" x14ac:dyDescent="0.2">
      <c r="B595" s="72" t="s">
        <v>110</v>
      </c>
      <c r="C595" s="72"/>
      <c r="D595" s="73">
        <v>38</v>
      </c>
      <c r="E595" s="74" t="s">
        <v>111</v>
      </c>
      <c r="G595" s="3"/>
      <c r="I595" s="92"/>
    </row>
    <row r="596" spans="2:9" x14ac:dyDescent="0.2">
      <c r="B596" s="72" t="s">
        <v>112</v>
      </c>
      <c r="C596" s="72"/>
      <c r="D596" s="73">
        <v>32</v>
      </c>
      <c r="E596" s="74" t="s">
        <v>113</v>
      </c>
      <c r="G596" s="3"/>
      <c r="I596" s="92"/>
    </row>
    <row r="597" spans="2:9" x14ac:dyDescent="0.2">
      <c r="B597" s="72" t="s">
        <v>114</v>
      </c>
      <c r="C597" s="72"/>
      <c r="D597" s="73">
        <v>28</v>
      </c>
      <c r="E597" s="74" t="s">
        <v>115</v>
      </c>
      <c r="G597" s="3"/>
      <c r="I597" s="92"/>
    </row>
    <row r="598" spans="2:9" x14ac:dyDescent="0.2">
      <c r="B598" s="72" t="s">
        <v>116</v>
      </c>
      <c r="C598" s="72"/>
      <c r="D598" s="73">
        <v>36</v>
      </c>
      <c r="E598" s="74" t="s">
        <v>117</v>
      </c>
      <c r="G598" s="3"/>
      <c r="I598" s="92"/>
    </row>
    <row r="599" spans="2:9" x14ac:dyDescent="0.2">
      <c r="B599" s="72" t="s">
        <v>118</v>
      </c>
      <c r="C599" s="72"/>
      <c r="D599" s="73">
        <v>36</v>
      </c>
      <c r="E599" s="74" t="s">
        <v>119</v>
      </c>
      <c r="G599" s="3"/>
      <c r="I599" s="92"/>
    </row>
    <row r="600" spans="2:9" x14ac:dyDescent="0.2">
      <c r="B600" s="72" t="s">
        <v>120</v>
      </c>
      <c r="C600" s="72"/>
      <c r="D600" s="73">
        <v>76</v>
      </c>
      <c r="E600" s="74" t="s">
        <v>121</v>
      </c>
      <c r="G600" s="3"/>
      <c r="I600" s="92"/>
    </row>
    <row r="601" spans="2:9" x14ac:dyDescent="0.2">
      <c r="B601" s="72" t="s">
        <v>122</v>
      </c>
      <c r="C601" s="72"/>
      <c r="D601" s="73">
        <v>51</v>
      </c>
      <c r="E601" s="74" t="s">
        <v>123</v>
      </c>
      <c r="G601" s="3"/>
      <c r="I601" s="92"/>
    </row>
    <row r="602" spans="2:9" x14ac:dyDescent="0.2">
      <c r="B602" s="72" t="s">
        <v>124</v>
      </c>
      <c r="C602" s="72"/>
      <c r="D602" s="73">
        <v>25</v>
      </c>
      <c r="E602" s="74" t="s">
        <v>125</v>
      </c>
      <c r="G602" s="3"/>
      <c r="I602" s="92"/>
    </row>
    <row r="603" spans="2:9" x14ac:dyDescent="0.2">
      <c r="B603" s="72" t="s">
        <v>126</v>
      </c>
      <c r="C603" s="72"/>
      <c r="D603" s="73">
        <v>51</v>
      </c>
      <c r="E603" s="74" t="s">
        <v>127</v>
      </c>
      <c r="G603" s="3"/>
      <c r="I603" s="92"/>
    </row>
    <row r="604" spans="2:9" x14ac:dyDescent="0.2">
      <c r="B604" s="72" t="s">
        <v>128</v>
      </c>
      <c r="C604" s="72"/>
      <c r="D604" s="73">
        <v>51</v>
      </c>
      <c r="E604" s="74" t="s">
        <v>129</v>
      </c>
      <c r="G604" s="3"/>
      <c r="I604" s="92"/>
    </row>
    <row r="605" spans="2:9" x14ac:dyDescent="0.2">
      <c r="B605" s="72" t="s">
        <v>130</v>
      </c>
      <c r="C605" s="72"/>
      <c r="D605" s="73">
        <v>32</v>
      </c>
      <c r="E605" s="74" t="s">
        <v>131</v>
      </c>
      <c r="G605" s="3"/>
      <c r="I605" s="92"/>
    </row>
    <row r="606" spans="2:9" x14ac:dyDescent="0.2">
      <c r="B606" s="72" t="s">
        <v>132</v>
      </c>
      <c r="C606" s="72"/>
      <c r="D606" s="73">
        <v>45</v>
      </c>
      <c r="E606" s="74" t="s">
        <v>133</v>
      </c>
      <c r="G606" s="3"/>
      <c r="I606" s="92"/>
    </row>
    <row r="607" spans="2:9" x14ac:dyDescent="0.2">
      <c r="B607" s="72" t="s">
        <v>134</v>
      </c>
      <c r="C607" s="72"/>
      <c r="D607" s="73">
        <v>38</v>
      </c>
      <c r="E607" s="74" t="s">
        <v>135</v>
      </c>
      <c r="G607" s="3"/>
      <c r="I607" s="92"/>
    </row>
    <row r="608" spans="2:9" x14ac:dyDescent="0.2">
      <c r="B608" s="72" t="s">
        <v>136</v>
      </c>
      <c r="C608" s="72"/>
      <c r="D608" s="73">
        <v>38</v>
      </c>
      <c r="E608" s="74" t="s">
        <v>137</v>
      </c>
      <c r="G608" s="3"/>
      <c r="I608" s="92"/>
    </row>
    <row r="609" spans="2:10" x14ac:dyDescent="0.2">
      <c r="B609" s="72" t="s">
        <v>138</v>
      </c>
      <c r="C609" s="72"/>
      <c r="D609" s="73">
        <v>32</v>
      </c>
      <c r="E609" s="74" t="s">
        <v>139</v>
      </c>
      <c r="G609" s="3"/>
      <c r="I609" s="92"/>
    </row>
    <row r="610" spans="2:10" x14ac:dyDescent="0.2">
      <c r="B610" s="72" t="s">
        <v>140</v>
      </c>
      <c r="C610" s="72"/>
      <c r="D610" s="73">
        <v>32</v>
      </c>
      <c r="E610" s="74" t="s">
        <v>141</v>
      </c>
      <c r="G610" s="3"/>
      <c r="I610" s="92"/>
    </row>
    <row r="611" spans="2:10" ht="13.5" thickBot="1" x14ac:dyDescent="0.25">
      <c r="B611" s="72" t="s">
        <v>142</v>
      </c>
      <c r="C611" s="72"/>
      <c r="D611" s="73">
        <v>32</v>
      </c>
      <c r="E611" s="74" t="s">
        <v>143</v>
      </c>
      <c r="G611" s="3"/>
      <c r="I611" s="92"/>
    </row>
    <row r="612" spans="2:10" ht="26.25" customHeight="1" thickBot="1" x14ac:dyDescent="0.25">
      <c r="B612" s="78" t="s">
        <v>168</v>
      </c>
      <c r="C612" s="79"/>
      <c r="D612" s="79"/>
      <c r="E612" s="80"/>
      <c r="I612" s="92"/>
      <c r="J612" s="92"/>
    </row>
    <row r="613" spans="2:10" x14ac:dyDescent="0.2">
      <c r="B613" s="61" t="s">
        <v>145</v>
      </c>
      <c r="E613" s="60"/>
    </row>
    <row r="614" spans="2:10" x14ac:dyDescent="0.2">
      <c r="B614" s="84"/>
      <c r="C614" s="62" t="s">
        <v>146</v>
      </c>
      <c r="D614" s="62"/>
      <c r="E614" s="62"/>
    </row>
    <row r="615" spans="2:10" x14ac:dyDescent="0.2">
      <c r="B615" s="61" t="s">
        <v>147</v>
      </c>
      <c r="C615" s="85"/>
      <c r="D615" s="85"/>
      <c r="E615" s="86"/>
    </row>
    <row r="616" spans="2:10" x14ac:dyDescent="0.2">
      <c r="B616" s="84"/>
      <c r="C616" s="62" t="s">
        <v>148</v>
      </c>
      <c r="D616" s="62"/>
      <c r="E616" s="62"/>
    </row>
    <row r="617" spans="2:10" x14ac:dyDescent="0.2">
      <c r="B617" s="61" t="s">
        <v>149</v>
      </c>
      <c r="E617" s="60"/>
    </row>
    <row r="618" spans="2:10" x14ac:dyDescent="0.2">
      <c r="B618" s="61"/>
      <c r="C618" s="87" t="s">
        <v>150</v>
      </c>
      <c r="D618" s="87"/>
      <c r="E618" s="87"/>
    </row>
    <row r="619" spans="2:10" ht="13.5" thickBot="1" x14ac:dyDescent="0.25">
      <c r="B619" s="88"/>
      <c r="C619" s="89"/>
      <c r="D619" s="90"/>
      <c r="E619" s="91"/>
    </row>
    <row r="620" spans="2:10" ht="13.5" thickBot="1" x14ac:dyDescent="0.25"/>
    <row r="621" spans="2:10" x14ac:dyDescent="0.2">
      <c r="B621" s="55" t="s">
        <v>194</v>
      </c>
      <c r="C621" s="56"/>
      <c r="D621" s="57"/>
      <c r="E621" s="58"/>
    </row>
    <row r="622" spans="2:10" x14ac:dyDescent="0.2">
      <c r="B622" s="59"/>
      <c r="E622" s="60"/>
    </row>
    <row r="623" spans="2:10" x14ac:dyDescent="0.2">
      <c r="B623" s="61" t="s">
        <v>98</v>
      </c>
      <c r="E623" s="60"/>
    </row>
    <row r="624" spans="2:10" x14ac:dyDescent="0.2">
      <c r="B624" s="61"/>
      <c r="C624" s="62" t="s">
        <v>195</v>
      </c>
      <c r="D624" s="62"/>
      <c r="E624" s="62"/>
    </row>
    <row r="625" spans="2:9" ht="13.5" thickBot="1" x14ac:dyDescent="0.25">
      <c r="B625" s="61" t="s">
        <v>100</v>
      </c>
      <c r="E625" s="60"/>
    </row>
    <row r="626" spans="2:9" ht="13.5" thickBot="1" x14ac:dyDescent="0.25">
      <c r="B626" s="63" t="s">
        <v>101</v>
      </c>
      <c r="C626" s="64"/>
      <c r="D626" s="64"/>
      <c r="E626" s="65"/>
    </row>
    <row r="627" spans="2:9" ht="13.5" thickBot="1" x14ac:dyDescent="0.25">
      <c r="B627" s="63" t="s">
        <v>102</v>
      </c>
      <c r="C627" s="65"/>
      <c r="D627" s="66" t="s">
        <v>13</v>
      </c>
      <c r="E627" s="66" t="s">
        <v>103</v>
      </c>
    </row>
    <row r="628" spans="2:9" x14ac:dyDescent="0.2">
      <c r="B628" s="67" t="s">
        <v>104</v>
      </c>
      <c r="C628" s="67"/>
      <c r="D628" s="68">
        <v>30</v>
      </c>
      <c r="E628" s="69" t="s">
        <v>105</v>
      </c>
      <c r="G628" s="3"/>
      <c r="I628" s="92"/>
    </row>
    <row r="629" spans="2:9" x14ac:dyDescent="0.2">
      <c r="B629" s="72" t="s">
        <v>106</v>
      </c>
      <c r="C629" s="72"/>
      <c r="D629" s="73">
        <v>68</v>
      </c>
      <c r="E629" s="74" t="s">
        <v>107</v>
      </c>
      <c r="G629" s="3"/>
      <c r="I629" s="92"/>
    </row>
    <row r="630" spans="2:9" x14ac:dyDescent="0.2">
      <c r="B630" s="72" t="s">
        <v>108</v>
      </c>
      <c r="C630" s="72"/>
      <c r="D630" s="73">
        <v>68</v>
      </c>
      <c r="E630" s="74" t="s">
        <v>109</v>
      </c>
      <c r="G630" s="3"/>
      <c r="I630" s="92"/>
    </row>
    <row r="631" spans="2:9" x14ac:dyDescent="0.2">
      <c r="B631" s="72" t="s">
        <v>110</v>
      </c>
      <c r="C631" s="72"/>
      <c r="D631" s="73">
        <v>41</v>
      </c>
      <c r="E631" s="74" t="s">
        <v>111</v>
      </c>
      <c r="G631" s="3"/>
      <c r="I631" s="92"/>
    </row>
    <row r="632" spans="2:9" x14ac:dyDescent="0.2">
      <c r="B632" s="72" t="s">
        <v>112</v>
      </c>
      <c r="C632" s="72"/>
      <c r="D632" s="73">
        <v>34</v>
      </c>
      <c r="E632" s="74" t="s">
        <v>113</v>
      </c>
      <c r="G632" s="3"/>
      <c r="I632" s="92"/>
    </row>
    <row r="633" spans="2:9" x14ac:dyDescent="0.2">
      <c r="B633" s="72" t="s">
        <v>114</v>
      </c>
      <c r="C633" s="72"/>
      <c r="D633" s="73">
        <v>30</v>
      </c>
      <c r="E633" s="74" t="s">
        <v>115</v>
      </c>
      <c r="G633" s="3"/>
      <c r="I633" s="92"/>
    </row>
    <row r="634" spans="2:9" x14ac:dyDescent="0.2">
      <c r="B634" s="72" t="s">
        <v>116</v>
      </c>
      <c r="C634" s="72"/>
      <c r="D634" s="73">
        <v>38</v>
      </c>
      <c r="E634" s="74" t="s">
        <v>117</v>
      </c>
      <c r="G634" s="3"/>
      <c r="I634" s="92"/>
    </row>
    <row r="635" spans="2:9" x14ac:dyDescent="0.2">
      <c r="B635" s="72" t="s">
        <v>118</v>
      </c>
      <c r="C635" s="72"/>
      <c r="D635" s="73">
        <v>38</v>
      </c>
      <c r="E635" s="74" t="s">
        <v>119</v>
      </c>
      <c r="G635" s="3"/>
      <c r="I635" s="92"/>
    </row>
    <row r="636" spans="2:9" x14ac:dyDescent="0.2">
      <c r="B636" s="72" t="s">
        <v>120</v>
      </c>
      <c r="C636" s="72"/>
      <c r="D636" s="73">
        <v>81</v>
      </c>
      <c r="E636" s="74" t="s">
        <v>121</v>
      </c>
      <c r="G636" s="3"/>
      <c r="I636" s="92"/>
    </row>
    <row r="637" spans="2:9" x14ac:dyDescent="0.2">
      <c r="B637" s="72" t="s">
        <v>122</v>
      </c>
      <c r="C637" s="72"/>
      <c r="D637" s="73">
        <v>54</v>
      </c>
      <c r="E637" s="74" t="s">
        <v>123</v>
      </c>
      <c r="G637" s="3"/>
      <c r="I637" s="92"/>
    </row>
    <row r="638" spans="2:9" x14ac:dyDescent="0.2">
      <c r="B638" s="72" t="s">
        <v>124</v>
      </c>
      <c r="C638" s="72"/>
      <c r="D638" s="73">
        <v>27</v>
      </c>
      <c r="E638" s="74" t="s">
        <v>125</v>
      </c>
      <c r="G638" s="3"/>
      <c r="I638" s="92"/>
    </row>
    <row r="639" spans="2:9" x14ac:dyDescent="0.2">
      <c r="B639" s="72" t="s">
        <v>126</v>
      </c>
      <c r="C639" s="72"/>
      <c r="D639" s="73">
        <v>54</v>
      </c>
      <c r="E639" s="74" t="s">
        <v>127</v>
      </c>
      <c r="G639" s="3"/>
      <c r="I639" s="92"/>
    </row>
    <row r="640" spans="2:9" x14ac:dyDescent="0.2">
      <c r="B640" s="72" t="s">
        <v>128</v>
      </c>
      <c r="C640" s="72"/>
      <c r="D640" s="73">
        <v>54</v>
      </c>
      <c r="E640" s="74" t="s">
        <v>129</v>
      </c>
      <c r="G640" s="3"/>
      <c r="I640" s="92"/>
    </row>
    <row r="641" spans="2:9" x14ac:dyDescent="0.2">
      <c r="B641" s="72" t="s">
        <v>130</v>
      </c>
      <c r="C641" s="72"/>
      <c r="D641" s="73">
        <v>34</v>
      </c>
      <c r="E641" s="74" t="s">
        <v>131</v>
      </c>
      <c r="G641" s="3"/>
      <c r="I641" s="92"/>
    </row>
    <row r="642" spans="2:9" x14ac:dyDescent="0.2">
      <c r="B642" s="72" t="s">
        <v>132</v>
      </c>
      <c r="C642" s="72"/>
      <c r="D642" s="73">
        <v>47</v>
      </c>
      <c r="E642" s="74" t="s">
        <v>133</v>
      </c>
      <c r="G642" s="3"/>
      <c r="I642" s="92"/>
    </row>
    <row r="643" spans="2:9" x14ac:dyDescent="0.2">
      <c r="B643" s="72" t="s">
        <v>134</v>
      </c>
      <c r="C643" s="72"/>
      <c r="D643" s="73">
        <v>41</v>
      </c>
      <c r="E643" s="74" t="s">
        <v>135</v>
      </c>
      <c r="G643" s="3"/>
      <c r="I643" s="92"/>
    </row>
    <row r="644" spans="2:9" x14ac:dyDescent="0.2">
      <c r="B644" s="72" t="s">
        <v>136</v>
      </c>
      <c r="C644" s="72"/>
      <c r="D644" s="73">
        <v>41</v>
      </c>
      <c r="E644" s="74" t="s">
        <v>137</v>
      </c>
      <c r="G644" s="3"/>
      <c r="I644" s="92"/>
    </row>
    <row r="645" spans="2:9" x14ac:dyDescent="0.2">
      <c r="B645" s="72" t="s">
        <v>138</v>
      </c>
      <c r="C645" s="72"/>
      <c r="D645" s="73">
        <v>34</v>
      </c>
      <c r="E645" s="74" t="s">
        <v>139</v>
      </c>
      <c r="G645" s="3"/>
      <c r="I645" s="92"/>
    </row>
    <row r="646" spans="2:9" x14ac:dyDescent="0.2">
      <c r="B646" s="72" t="s">
        <v>140</v>
      </c>
      <c r="C646" s="72"/>
      <c r="D646" s="73">
        <v>34</v>
      </c>
      <c r="E646" s="74" t="s">
        <v>141</v>
      </c>
      <c r="G646" s="3"/>
      <c r="I646" s="92"/>
    </row>
    <row r="647" spans="2:9" ht="13.5" thickBot="1" x14ac:dyDescent="0.25">
      <c r="B647" s="72" t="s">
        <v>142</v>
      </c>
      <c r="C647" s="72"/>
      <c r="D647" s="73">
        <v>34</v>
      </c>
      <c r="E647" s="74" t="s">
        <v>143</v>
      </c>
      <c r="G647" s="3"/>
      <c r="I647" s="92"/>
    </row>
    <row r="648" spans="2:9" ht="26.25" customHeight="1" thickBot="1" x14ac:dyDescent="0.25">
      <c r="B648" s="78" t="s">
        <v>196</v>
      </c>
      <c r="C648" s="79"/>
      <c r="D648" s="79"/>
      <c r="E648" s="80"/>
      <c r="G648" s="105"/>
      <c r="I648" s="92"/>
    </row>
    <row r="649" spans="2:9" x14ac:dyDescent="0.2">
      <c r="B649" s="61" t="s">
        <v>145</v>
      </c>
      <c r="E649" s="60"/>
    </row>
    <row r="650" spans="2:9" x14ac:dyDescent="0.2">
      <c r="B650" s="84"/>
      <c r="C650" s="62" t="s">
        <v>146</v>
      </c>
      <c r="D650" s="62"/>
      <c r="E650" s="62"/>
    </row>
    <row r="651" spans="2:9" x14ac:dyDescent="0.2">
      <c r="B651" s="61" t="s">
        <v>147</v>
      </c>
      <c r="C651" s="85"/>
      <c r="D651" s="85"/>
      <c r="E651" s="86"/>
    </row>
    <row r="652" spans="2:9" x14ac:dyDescent="0.2">
      <c r="B652" s="84"/>
      <c r="C652" s="62" t="s">
        <v>148</v>
      </c>
      <c r="D652" s="62"/>
      <c r="E652" s="62"/>
    </row>
    <row r="653" spans="2:9" x14ac:dyDescent="0.2">
      <c r="B653" s="61" t="s">
        <v>149</v>
      </c>
      <c r="E653" s="60"/>
    </row>
    <row r="654" spans="2:9" x14ac:dyDescent="0.2">
      <c r="B654" s="61"/>
      <c r="C654" s="87" t="s">
        <v>150</v>
      </c>
      <c r="D654" s="87"/>
      <c r="E654" s="87"/>
    </row>
    <row r="655" spans="2:9" ht="13.5" thickBot="1" x14ac:dyDescent="0.25">
      <c r="B655" s="88"/>
      <c r="C655" s="89"/>
      <c r="D655" s="90"/>
      <c r="E655" s="91"/>
    </row>
    <row r="656" spans="2:9" ht="13.5" thickBot="1" x14ac:dyDescent="0.25"/>
    <row r="657" spans="2:9" x14ac:dyDescent="0.2">
      <c r="B657" s="55" t="s">
        <v>197</v>
      </c>
      <c r="C657" s="56"/>
      <c r="D657" s="57"/>
      <c r="E657" s="58"/>
    </row>
    <row r="658" spans="2:9" x14ac:dyDescent="0.2">
      <c r="B658" s="59"/>
      <c r="E658" s="60"/>
    </row>
    <row r="659" spans="2:9" x14ac:dyDescent="0.2">
      <c r="B659" s="61" t="s">
        <v>98</v>
      </c>
      <c r="E659" s="60"/>
    </row>
    <row r="660" spans="2:9" x14ac:dyDescent="0.2">
      <c r="B660" s="61"/>
      <c r="C660" s="62" t="s">
        <v>198</v>
      </c>
      <c r="D660" s="62"/>
      <c r="E660" s="62"/>
    </row>
    <row r="661" spans="2:9" ht="13.5" thickBot="1" x14ac:dyDescent="0.25">
      <c r="B661" s="61" t="s">
        <v>100</v>
      </c>
      <c r="E661" s="60"/>
    </row>
    <row r="662" spans="2:9" ht="13.5" thickBot="1" x14ac:dyDescent="0.25">
      <c r="B662" s="63" t="s">
        <v>101</v>
      </c>
      <c r="C662" s="64"/>
      <c r="D662" s="64"/>
      <c r="E662" s="65"/>
    </row>
    <row r="663" spans="2:9" ht="13.5" thickBot="1" x14ac:dyDescent="0.25">
      <c r="B663" s="63" t="s">
        <v>102</v>
      </c>
      <c r="C663" s="65"/>
      <c r="D663" s="66" t="s">
        <v>13</v>
      </c>
      <c r="E663" s="66" t="s">
        <v>103</v>
      </c>
    </row>
    <row r="664" spans="2:9" x14ac:dyDescent="0.2">
      <c r="B664" s="67" t="s">
        <v>104</v>
      </c>
      <c r="C664" s="67"/>
      <c r="D664" s="101">
        <v>19</v>
      </c>
      <c r="E664" s="69" t="s">
        <v>105</v>
      </c>
      <c r="G664" s="102"/>
      <c r="I664" s="92"/>
    </row>
    <row r="665" spans="2:9" x14ac:dyDescent="0.2">
      <c r="B665" s="72" t="s">
        <v>106</v>
      </c>
      <c r="C665" s="72"/>
      <c r="D665" s="101">
        <v>42</v>
      </c>
      <c r="E665" s="74" t="s">
        <v>107</v>
      </c>
      <c r="G665" s="102"/>
      <c r="I665" s="92"/>
    </row>
    <row r="666" spans="2:9" x14ac:dyDescent="0.2">
      <c r="B666" s="72" t="s">
        <v>108</v>
      </c>
      <c r="C666" s="72"/>
      <c r="D666" s="101">
        <v>42</v>
      </c>
      <c r="E666" s="74" t="s">
        <v>109</v>
      </c>
      <c r="G666" s="102"/>
      <c r="I666" s="92"/>
    </row>
    <row r="667" spans="2:9" x14ac:dyDescent="0.2">
      <c r="B667" s="72" t="s">
        <v>110</v>
      </c>
      <c r="C667" s="72"/>
      <c r="D667" s="101">
        <v>25</v>
      </c>
      <c r="E667" s="74" t="s">
        <v>111</v>
      </c>
      <c r="G667" s="102"/>
      <c r="I667" s="92"/>
    </row>
    <row r="668" spans="2:9" x14ac:dyDescent="0.2">
      <c r="B668" s="72" t="s">
        <v>112</v>
      </c>
      <c r="C668" s="72"/>
      <c r="D668" s="101">
        <v>21</v>
      </c>
      <c r="E668" s="74" t="s">
        <v>113</v>
      </c>
      <c r="G668" s="102"/>
      <c r="I668" s="92"/>
    </row>
    <row r="669" spans="2:9" x14ac:dyDescent="0.2">
      <c r="B669" s="72" t="s">
        <v>114</v>
      </c>
      <c r="C669" s="72"/>
      <c r="D669" s="101">
        <v>19</v>
      </c>
      <c r="E669" s="74" t="s">
        <v>115</v>
      </c>
      <c r="G669" s="102"/>
      <c r="I669" s="92"/>
    </row>
    <row r="670" spans="2:9" x14ac:dyDescent="0.2">
      <c r="B670" s="72" t="s">
        <v>116</v>
      </c>
      <c r="C670" s="72"/>
      <c r="D670" s="101">
        <v>24</v>
      </c>
      <c r="E670" s="74" t="s">
        <v>117</v>
      </c>
      <c r="G670" s="102"/>
      <c r="I670" s="92"/>
    </row>
    <row r="671" spans="2:9" x14ac:dyDescent="0.2">
      <c r="B671" s="72" t="s">
        <v>118</v>
      </c>
      <c r="C671" s="72"/>
      <c r="D671" s="101">
        <v>24</v>
      </c>
      <c r="E671" s="74" t="s">
        <v>119</v>
      </c>
      <c r="G671" s="102"/>
      <c r="I671" s="92"/>
    </row>
    <row r="672" spans="2:9" x14ac:dyDescent="0.2">
      <c r="B672" s="72" t="s">
        <v>120</v>
      </c>
      <c r="C672" s="72"/>
      <c r="D672" s="101">
        <v>51</v>
      </c>
      <c r="E672" s="74" t="s">
        <v>121</v>
      </c>
      <c r="G672" s="102"/>
      <c r="I672" s="92"/>
    </row>
    <row r="673" spans="2:9" x14ac:dyDescent="0.2">
      <c r="B673" s="72" t="s">
        <v>122</v>
      </c>
      <c r="C673" s="72"/>
      <c r="D673" s="101">
        <v>34</v>
      </c>
      <c r="E673" s="74" t="s">
        <v>123</v>
      </c>
      <c r="G673" s="102"/>
      <c r="I673" s="92"/>
    </row>
    <row r="674" spans="2:9" x14ac:dyDescent="0.2">
      <c r="B674" s="72" t="s">
        <v>124</v>
      </c>
      <c r="C674" s="72"/>
      <c r="D674" s="101">
        <v>17</v>
      </c>
      <c r="E674" s="74" t="s">
        <v>125</v>
      </c>
      <c r="G674" s="102"/>
      <c r="I674" s="92"/>
    </row>
    <row r="675" spans="2:9" x14ac:dyDescent="0.2">
      <c r="B675" s="72" t="s">
        <v>126</v>
      </c>
      <c r="C675" s="72"/>
      <c r="D675" s="101">
        <v>34</v>
      </c>
      <c r="E675" s="74" t="s">
        <v>127</v>
      </c>
      <c r="G675" s="102"/>
      <c r="I675" s="92"/>
    </row>
    <row r="676" spans="2:9" x14ac:dyDescent="0.2">
      <c r="B676" s="72" t="s">
        <v>128</v>
      </c>
      <c r="C676" s="72"/>
      <c r="D676" s="101">
        <v>34</v>
      </c>
      <c r="E676" s="74" t="s">
        <v>129</v>
      </c>
      <c r="G676" s="102"/>
      <c r="I676" s="92"/>
    </row>
    <row r="677" spans="2:9" x14ac:dyDescent="0.2">
      <c r="B677" s="72" t="s">
        <v>130</v>
      </c>
      <c r="C677" s="72"/>
      <c r="D677" s="101">
        <v>21</v>
      </c>
      <c r="E677" s="74" t="s">
        <v>131</v>
      </c>
      <c r="G677" s="102"/>
      <c r="I677" s="92"/>
    </row>
    <row r="678" spans="2:9" x14ac:dyDescent="0.2">
      <c r="B678" s="72" t="s">
        <v>132</v>
      </c>
      <c r="C678" s="72"/>
      <c r="D678" s="101">
        <v>30</v>
      </c>
      <c r="E678" s="74" t="s">
        <v>133</v>
      </c>
      <c r="G678" s="102"/>
      <c r="I678" s="92"/>
    </row>
    <row r="679" spans="2:9" x14ac:dyDescent="0.2">
      <c r="B679" s="72" t="s">
        <v>134</v>
      </c>
      <c r="C679" s="72"/>
      <c r="D679" s="101">
        <v>25</v>
      </c>
      <c r="E679" s="74" t="s">
        <v>135</v>
      </c>
      <c r="G679" s="102"/>
      <c r="I679" s="92"/>
    </row>
    <row r="680" spans="2:9" x14ac:dyDescent="0.2">
      <c r="B680" s="72" t="s">
        <v>136</v>
      </c>
      <c r="C680" s="72"/>
      <c r="D680" s="101">
        <v>25</v>
      </c>
      <c r="E680" s="74" t="s">
        <v>137</v>
      </c>
      <c r="G680" s="102"/>
      <c r="I680" s="92"/>
    </row>
    <row r="681" spans="2:9" x14ac:dyDescent="0.2">
      <c r="B681" s="72" t="s">
        <v>138</v>
      </c>
      <c r="C681" s="72"/>
      <c r="D681" s="101">
        <v>21</v>
      </c>
      <c r="E681" s="74" t="s">
        <v>139</v>
      </c>
      <c r="G681" s="102"/>
      <c r="I681" s="92"/>
    </row>
    <row r="682" spans="2:9" x14ac:dyDescent="0.2">
      <c r="B682" s="72" t="s">
        <v>140</v>
      </c>
      <c r="C682" s="72"/>
      <c r="D682" s="101">
        <v>21</v>
      </c>
      <c r="E682" s="74" t="s">
        <v>141</v>
      </c>
      <c r="G682" s="102"/>
      <c r="I682" s="92"/>
    </row>
    <row r="683" spans="2:9" ht="13.5" thickBot="1" x14ac:dyDescent="0.25">
      <c r="B683" s="72" t="s">
        <v>142</v>
      </c>
      <c r="C683" s="72"/>
      <c r="D683" s="101">
        <v>21</v>
      </c>
      <c r="E683" s="74" t="s">
        <v>143</v>
      </c>
      <c r="G683" s="102"/>
      <c r="I683" s="92"/>
    </row>
    <row r="684" spans="2:9" ht="26.25" customHeight="1" thickBot="1" x14ac:dyDescent="0.25">
      <c r="B684" s="78" t="s">
        <v>199</v>
      </c>
      <c r="C684" s="79"/>
      <c r="D684" s="79"/>
      <c r="E684" s="80"/>
      <c r="I684" s="92"/>
    </row>
    <row r="685" spans="2:9" x14ac:dyDescent="0.2">
      <c r="B685" s="61" t="s">
        <v>145</v>
      </c>
      <c r="E685" s="60"/>
    </row>
    <row r="686" spans="2:9" x14ac:dyDescent="0.2">
      <c r="B686" s="84"/>
      <c r="C686" s="62" t="s">
        <v>146</v>
      </c>
      <c r="D686" s="62"/>
      <c r="E686" s="62"/>
    </row>
    <row r="687" spans="2:9" x14ac:dyDescent="0.2">
      <c r="B687" s="61" t="s">
        <v>147</v>
      </c>
      <c r="C687" s="85"/>
      <c r="D687" s="85"/>
      <c r="E687" s="86"/>
    </row>
    <row r="688" spans="2:9" x14ac:dyDescent="0.2">
      <c r="B688" s="84"/>
      <c r="C688" s="62" t="s">
        <v>148</v>
      </c>
      <c r="D688" s="62"/>
      <c r="E688" s="62"/>
    </row>
    <row r="689" spans="2:9" x14ac:dyDescent="0.2">
      <c r="B689" s="61" t="s">
        <v>149</v>
      </c>
      <c r="E689" s="60"/>
    </row>
    <row r="690" spans="2:9" x14ac:dyDescent="0.2">
      <c r="B690" s="61"/>
      <c r="C690" s="87" t="s">
        <v>150</v>
      </c>
      <c r="D690" s="87"/>
      <c r="E690" s="87"/>
    </row>
    <row r="691" spans="2:9" ht="13.5" thickBot="1" x14ac:dyDescent="0.25">
      <c r="B691" s="88"/>
      <c r="C691" s="89"/>
      <c r="D691" s="90"/>
      <c r="E691" s="91"/>
    </row>
    <row r="692" spans="2:9" ht="13.5" thickBot="1" x14ac:dyDescent="0.25"/>
    <row r="693" spans="2:9" x14ac:dyDescent="0.2">
      <c r="B693" s="55" t="s">
        <v>200</v>
      </c>
      <c r="C693" s="56"/>
      <c r="D693" s="57"/>
      <c r="E693" s="58"/>
    </row>
    <row r="694" spans="2:9" x14ac:dyDescent="0.2">
      <c r="B694" s="59"/>
      <c r="E694" s="60"/>
    </row>
    <row r="695" spans="2:9" x14ac:dyDescent="0.2">
      <c r="B695" s="61" t="s">
        <v>98</v>
      </c>
      <c r="E695" s="60"/>
    </row>
    <row r="696" spans="2:9" x14ac:dyDescent="0.2">
      <c r="B696" s="61"/>
      <c r="C696" s="62" t="s">
        <v>201</v>
      </c>
      <c r="D696" s="62"/>
      <c r="E696" s="62"/>
    </row>
    <row r="697" spans="2:9" ht="13.5" thickBot="1" x14ac:dyDescent="0.25">
      <c r="B697" s="61" t="s">
        <v>100</v>
      </c>
      <c r="E697" s="60"/>
    </row>
    <row r="698" spans="2:9" ht="13.5" thickBot="1" x14ac:dyDescent="0.25">
      <c r="B698" s="63" t="s">
        <v>101</v>
      </c>
      <c r="C698" s="64"/>
      <c r="D698" s="64"/>
      <c r="E698" s="65"/>
    </row>
    <row r="699" spans="2:9" ht="13.5" thickBot="1" x14ac:dyDescent="0.25">
      <c r="B699" s="63" t="s">
        <v>102</v>
      </c>
      <c r="C699" s="65"/>
      <c r="D699" s="66" t="s">
        <v>13</v>
      </c>
      <c r="E699" s="66" t="s">
        <v>103</v>
      </c>
    </row>
    <row r="700" spans="2:9" x14ac:dyDescent="0.2">
      <c r="B700" s="67" t="s">
        <v>104</v>
      </c>
      <c r="C700" s="67"/>
      <c r="D700" s="68">
        <v>47</v>
      </c>
      <c r="E700" s="69" t="s">
        <v>105</v>
      </c>
      <c r="G700" s="3"/>
      <c r="I700" s="92"/>
    </row>
    <row r="701" spans="2:9" x14ac:dyDescent="0.2">
      <c r="B701" s="72" t="s">
        <v>106</v>
      </c>
      <c r="C701" s="72"/>
      <c r="D701" s="73">
        <v>106</v>
      </c>
      <c r="E701" s="74" t="s">
        <v>107</v>
      </c>
      <c r="G701" s="3"/>
      <c r="I701" s="92"/>
    </row>
    <row r="702" spans="2:9" x14ac:dyDescent="0.2">
      <c r="B702" s="72" t="s">
        <v>108</v>
      </c>
      <c r="C702" s="72"/>
      <c r="D702" s="73">
        <v>106</v>
      </c>
      <c r="E702" s="74" t="s">
        <v>109</v>
      </c>
      <c r="G702" s="3"/>
      <c r="I702" s="92"/>
    </row>
    <row r="703" spans="2:9" x14ac:dyDescent="0.2">
      <c r="B703" s="72" t="s">
        <v>110</v>
      </c>
      <c r="C703" s="72"/>
      <c r="D703" s="73">
        <v>63</v>
      </c>
      <c r="E703" s="74" t="s">
        <v>111</v>
      </c>
      <c r="G703" s="3"/>
      <c r="I703" s="92"/>
    </row>
    <row r="704" spans="2:9" x14ac:dyDescent="0.2">
      <c r="B704" s="72" t="s">
        <v>112</v>
      </c>
      <c r="C704" s="72"/>
      <c r="D704" s="73">
        <v>53</v>
      </c>
      <c r="E704" s="74" t="s">
        <v>113</v>
      </c>
      <c r="G704" s="3"/>
      <c r="I704" s="92"/>
    </row>
    <row r="705" spans="2:10" x14ac:dyDescent="0.2">
      <c r="B705" s="72" t="s">
        <v>114</v>
      </c>
      <c r="C705" s="72"/>
      <c r="D705" s="73">
        <v>47</v>
      </c>
      <c r="E705" s="74" t="s">
        <v>115</v>
      </c>
      <c r="G705" s="3"/>
      <c r="I705" s="92"/>
    </row>
    <row r="706" spans="2:10" x14ac:dyDescent="0.2">
      <c r="B706" s="72" t="s">
        <v>116</v>
      </c>
      <c r="C706" s="72"/>
      <c r="D706" s="73">
        <v>59</v>
      </c>
      <c r="E706" s="74" t="s">
        <v>117</v>
      </c>
      <c r="G706" s="3"/>
      <c r="I706" s="92"/>
    </row>
    <row r="707" spans="2:10" x14ac:dyDescent="0.2">
      <c r="B707" s="72" t="s">
        <v>118</v>
      </c>
      <c r="C707" s="72"/>
      <c r="D707" s="73">
        <v>59</v>
      </c>
      <c r="E707" s="74" t="s">
        <v>119</v>
      </c>
      <c r="G707" s="3"/>
      <c r="I707" s="92"/>
    </row>
    <row r="708" spans="2:10" x14ac:dyDescent="0.2">
      <c r="B708" s="72" t="s">
        <v>120</v>
      </c>
      <c r="C708" s="72"/>
      <c r="D708" s="73">
        <v>127</v>
      </c>
      <c r="E708" s="74" t="s">
        <v>121</v>
      </c>
      <c r="G708" s="3"/>
      <c r="I708" s="92"/>
    </row>
    <row r="709" spans="2:10" x14ac:dyDescent="0.2">
      <c r="B709" s="72" t="s">
        <v>122</v>
      </c>
      <c r="C709" s="72"/>
      <c r="D709" s="73">
        <v>85</v>
      </c>
      <c r="E709" s="74" t="s">
        <v>123</v>
      </c>
      <c r="G709" s="3"/>
      <c r="I709" s="92"/>
    </row>
    <row r="710" spans="2:10" x14ac:dyDescent="0.2">
      <c r="B710" s="72" t="s">
        <v>124</v>
      </c>
      <c r="C710" s="72"/>
      <c r="D710" s="73">
        <v>42</v>
      </c>
      <c r="E710" s="74" t="s">
        <v>125</v>
      </c>
      <c r="G710" s="3"/>
      <c r="I710" s="92"/>
    </row>
    <row r="711" spans="2:10" x14ac:dyDescent="0.2">
      <c r="B711" s="72" t="s">
        <v>126</v>
      </c>
      <c r="C711" s="72"/>
      <c r="D711" s="73">
        <v>85</v>
      </c>
      <c r="E711" s="74" t="s">
        <v>127</v>
      </c>
      <c r="G711" s="3"/>
      <c r="I711" s="92"/>
    </row>
    <row r="712" spans="2:10" x14ac:dyDescent="0.2">
      <c r="B712" s="72" t="s">
        <v>128</v>
      </c>
      <c r="C712" s="72"/>
      <c r="D712" s="73">
        <v>85</v>
      </c>
      <c r="E712" s="74" t="s">
        <v>129</v>
      </c>
      <c r="G712" s="3"/>
      <c r="I712" s="92"/>
    </row>
    <row r="713" spans="2:10" x14ac:dyDescent="0.2">
      <c r="B713" s="72" t="s">
        <v>130</v>
      </c>
      <c r="C713" s="72"/>
      <c r="D713" s="73">
        <v>53</v>
      </c>
      <c r="E713" s="74" t="s">
        <v>131</v>
      </c>
      <c r="G713" s="3"/>
      <c r="I713" s="92"/>
    </row>
    <row r="714" spans="2:10" x14ac:dyDescent="0.2">
      <c r="B714" s="72" t="s">
        <v>132</v>
      </c>
      <c r="C714" s="72"/>
      <c r="D714" s="73">
        <v>74</v>
      </c>
      <c r="E714" s="74" t="s">
        <v>133</v>
      </c>
      <c r="G714" s="3"/>
      <c r="I714" s="92"/>
    </row>
    <row r="715" spans="2:10" x14ac:dyDescent="0.2">
      <c r="B715" s="72" t="s">
        <v>134</v>
      </c>
      <c r="C715" s="72"/>
      <c r="D715" s="73">
        <v>63</v>
      </c>
      <c r="E715" s="74" t="s">
        <v>135</v>
      </c>
      <c r="G715" s="3"/>
      <c r="I715" s="92"/>
    </row>
    <row r="716" spans="2:10" x14ac:dyDescent="0.2">
      <c r="B716" s="72" t="s">
        <v>136</v>
      </c>
      <c r="C716" s="72"/>
      <c r="D716" s="73">
        <v>63</v>
      </c>
      <c r="E716" s="74" t="s">
        <v>137</v>
      </c>
      <c r="G716" s="3"/>
      <c r="I716" s="92"/>
    </row>
    <row r="717" spans="2:10" x14ac:dyDescent="0.2">
      <c r="B717" s="72" t="s">
        <v>138</v>
      </c>
      <c r="C717" s="72"/>
      <c r="D717" s="73">
        <v>53</v>
      </c>
      <c r="E717" s="74" t="s">
        <v>139</v>
      </c>
      <c r="G717" s="3"/>
      <c r="I717" s="92"/>
    </row>
    <row r="718" spans="2:10" x14ac:dyDescent="0.2">
      <c r="B718" s="72" t="s">
        <v>140</v>
      </c>
      <c r="C718" s="72"/>
      <c r="D718" s="73">
        <v>53</v>
      </c>
      <c r="E718" s="74" t="s">
        <v>141</v>
      </c>
      <c r="G718" s="3"/>
      <c r="I718" s="92"/>
    </row>
    <row r="719" spans="2:10" ht="13.5" thickBot="1" x14ac:dyDescent="0.25">
      <c r="B719" s="72" t="s">
        <v>142</v>
      </c>
      <c r="C719" s="72"/>
      <c r="D719" s="73">
        <v>53</v>
      </c>
      <c r="E719" s="74" t="s">
        <v>143</v>
      </c>
      <c r="G719" s="3"/>
      <c r="I719" s="92"/>
    </row>
    <row r="720" spans="2:10" ht="25.5" customHeight="1" thickBot="1" x14ac:dyDescent="0.25">
      <c r="B720" s="78" t="s">
        <v>202</v>
      </c>
      <c r="C720" s="79"/>
      <c r="D720" s="79"/>
      <c r="E720" s="80"/>
      <c r="I720" s="92"/>
      <c r="J720" s="92"/>
    </row>
    <row r="721" spans="2:9" x14ac:dyDescent="0.2">
      <c r="B721" s="61" t="s">
        <v>145</v>
      </c>
      <c r="E721" s="60"/>
    </row>
    <row r="722" spans="2:9" x14ac:dyDescent="0.2">
      <c r="B722" s="84"/>
      <c r="C722" s="62" t="s">
        <v>146</v>
      </c>
      <c r="D722" s="62"/>
      <c r="E722" s="62"/>
    </row>
    <row r="723" spans="2:9" x14ac:dyDescent="0.2">
      <c r="B723" s="61" t="s">
        <v>147</v>
      </c>
      <c r="C723" s="85"/>
      <c r="D723" s="85"/>
      <c r="E723" s="86"/>
    </row>
    <row r="724" spans="2:9" x14ac:dyDescent="0.2">
      <c r="B724" s="84"/>
      <c r="C724" s="62" t="s">
        <v>148</v>
      </c>
      <c r="D724" s="62"/>
      <c r="E724" s="62"/>
    </row>
    <row r="725" spans="2:9" x14ac:dyDescent="0.2">
      <c r="B725" s="61" t="s">
        <v>149</v>
      </c>
      <c r="E725" s="60"/>
    </row>
    <row r="726" spans="2:9" x14ac:dyDescent="0.2">
      <c r="B726" s="61"/>
      <c r="C726" s="87" t="s">
        <v>150</v>
      </c>
      <c r="D726" s="87"/>
      <c r="E726" s="87"/>
    </row>
    <row r="727" spans="2:9" ht="13.5" thickBot="1" x14ac:dyDescent="0.25">
      <c r="B727" s="88"/>
      <c r="C727" s="89"/>
      <c r="D727" s="90"/>
      <c r="E727" s="91"/>
    </row>
    <row r="728" spans="2:9" ht="13.5" thickBot="1" x14ac:dyDescent="0.25"/>
    <row r="729" spans="2:9" x14ac:dyDescent="0.2">
      <c r="B729" s="55" t="s">
        <v>203</v>
      </c>
      <c r="C729" s="56"/>
      <c r="D729" s="57"/>
      <c r="E729" s="58"/>
    </row>
    <row r="730" spans="2:9" x14ac:dyDescent="0.2">
      <c r="B730" s="59"/>
      <c r="C730" s="104"/>
      <c r="D730" s="104"/>
      <c r="E730" s="87"/>
    </row>
    <row r="731" spans="2:9" x14ac:dyDescent="0.2">
      <c r="B731" s="61" t="s">
        <v>98</v>
      </c>
      <c r="E731" s="60"/>
    </row>
    <row r="732" spans="2:9" x14ac:dyDescent="0.2">
      <c r="B732" s="61"/>
      <c r="C732" s="104" t="s">
        <v>204</v>
      </c>
      <c r="D732" s="104"/>
      <c r="E732" s="87"/>
    </row>
    <row r="733" spans="2:9" ht="13.5" thickBot="1" x14ac:dyDescent="0.25">
      <c r="B733" s="61" t="s">
        <v>100</v>
      </c>
      <c r="E733" s="60"/>
    </row>
    <row r="734" spans="2:9" ht="13.5" thickBot="1" x14ac:dyDescent="0.25">
      <c r="B734" s="63" t="s">
        <v>205</v>
      </c>
      <c r="C734" s="64"/>
      <c r="D734" s="64"/>
      <c r="E734" s="65"/>
    </row>
    <row r="735" spans="2:9" ht="13.5" thickBot="1" x14ac:dyDescent="0.25">
      <c r="B735" s="63" t="s">
        <v>102</v>
      </c>
      <c r="C735" s="65"/>
      <c r="D735" s="66" t="s">
        <v>13</v>
      </c>
      <c r="E735" s="66" t="s">
        <v>103</v>
      </c>
    </row>
    <row r="736" spans="2:9" x14ac:dyDescent="0.2">
      <c r="B736" s="67" t="s">
        <v>104</v>
      </c>
      <c r="C736" s="67"/>
      <c r="D736" s="106">
        <v>22</v>
      </c>
      <c r="E736" s="69" t="s">
        <v>105</v>
      </c>
      <c r="G736" s="107"/>
      <c r="I736" s="92"/>
    </row>
    <row r="737" spans="2:9" x14ac:dyDescent="0.2">
      <c r="B737" s="72" t="s">
        <v>106</v>
      </c>
      <c r="C737" s="72"/>
      <c r="D737" s="108">
        <v>51</v>
      </c>
      <c r="E737" s="74" t="s">
        <v>107</v>
      </c>
      <c r="G737" s="107"/>
      <c r="I737" s="92"/>
    </row>
    <row r="738" spans="2:9" x14ac:dyDescent="0.2">
      <c r="B738" s="72" t="s">
        <v>108</v>
      </c>
      <c r="C738" s="72"/>
      <c r="D738" s="108">
        <v>51</v>
      </c>
      <c r="E738" s="74" t="s">
        <v>109</v>
      </c>
      <c r="G738" s="107"/>
      <c r="I738" s="92"/>
    </row>
    <row r="739" spans="2:9" x14ac:dyDescent="0.2">
      <c r="B739" s="72" t="s">
        <v>110</v>
      </c>
      <c r="C739" s="72"/>
      <c r="D739" s="108">
        <v>30</v>
      </c>
      <c r="E739" s="74" t="s">
        <v>111</v>
      </c>
      <c r="G739" s="107"/>
      <c r="I739" s="92"/>
    </row>
    <row r="740" spans="2:9" x14ac:dyDescent="0.2">
      <c r="B740" s="72" t="s">
        <v>112</v>
      </c>
      <c r="C740" s="72"/>
      <c r="D740" s="108">
        <v>25</v>
      </c>
      <c r="E740" s="74" t="s">
        <v>113</v>
      </c>
      <c r="G740" s="107"/>
      <c r="I740" s="92"/>
    </row>
    <row r="741" spans="2:9" x14ac:dyDescent="0.2">
      <c r="B741" s="72" t="s">
        <v>114</v>
      </c>
      <c r="C741" s="72"/>
      <c r="D741" s="108">
        <v>22</v>
      </c>
      <c r="E741" s="74" t="s">
        <v>115</v>
      </c>
      <c r="G741" s="107"/>
      <c r="I741" s="92"/>
    </row>
    <row r="742" spans="2:9" x14ac:dyDescent="0.2">
      <c r="B742" s="72" t="s">
        <v>116</v>
      </c>
      <c r="C742" s="72"/>
      <c r="D742" s="108">
        <v>28</v>
      </c>
      <c r="E742" s="74" t="s">
        <v>117</v>
      </c>
      <c r="G742" s="107"/>
      <c r="I742" s="92"/>
    </row>
    <row r="743" spans="2:9" x14ac:dyDescent="0.2">
      <c r="B743" s="72" t="s">
        <v>118</v>
      </c>
      <c r="C743" s="72"/>
      <c r="D743" s="108">
        <v>28</v>
      </c>
      <c r="E743" s="74" t="s">
        <v>119</v>
      </c>
      <c r="G743" s="107"/>
      <c r="I743" s="92"/>
    </row>
    <row r="744" spans="2:9" x14ac:dyDescent="0.2">
      <c r="B744" s="72" t="s">
        <v>120</v>
      </c>
      <c r="C744" s="72"/>
      <c r="D744" s="108">
        <v>61</v>
      </c>
      <c r="E744" s="74" t="s">
        <v>121</v>
      </c>
      <c r="G744" s="107"/>
      <c r="I744" s="92"/>
    </row>
    <row r="745" spans="2:9" x14ac:dyDescent="0.2">
      <c r="B745" s="72" t="s">
        <v>122</v>
      </c>
      <c r="C745" s="72"/>
      <c r="D745" s="108">
        <v>41</v>
      </c>
      <c r="E745" s="74" t="s">
        <v>123</v>
      </c>
      <c r="G745" s="107"/>
      <c r="I745" s="92"/>
    </row>
    <row r="746" spans="2:9" x14ac:dyDescent="0.2">
      <c r="B746" s="72" t="s">
        <v>124</v>
      </c>
      <c r="C746" s="72"/>
      <c r="D746" s="108">
        <v>20</v>
      </c>
      <c r="E746" s="74" t="s">
        <v>125</v>
      </c>
      <c r="G746" s="107"/>
      <c r="I746" s="92"/>
    </row>
    <row r="747" spans="2:9" x14ac:dyDescent="0.2">
      <c r="B747" s="72" t="s">
        <v>126</v>
      </c>
      <c r="C747" s="72"/>
      <c r="D747" s="108">
        <v>41</v>
      </c>
      <c r="E747" s="74" t="s">
        <v>127</v>
      </c>
      <c r="G747" s="107"/>
      <c r="I747" s="92"/>
    </row>
    <row r="748" spans="2:9" x14ac:dyDescent="0.2">
      <c r="B748" s="72" t="s">
        <v>128</v>
      </c>
      <c r="C748" s="72"/>
      <c r="D748" s="108">
        <v>41</v>
      </c>
      <c r="E748" s="74" t="s">
        <v>129</v>
      </c>
      <c r="G748" s="107"/>
      <c r="I748" s="92"/>
    </row>
    <row r="749" spans="2:9" x14ac:dyDescent="0.2">
      <c r="B749" s="72" t="s">
        <v>130</v>
      </c>
      <c r="C749" s="72"/>
      <c r="D749" s="108">
        <v>25</v>
      </c>
      <c r="E749" s="74" t="s">
        <v>131</v>
      </c>
      <c r="G749" s="107"/>
      <c r="I749" s="92"/>
    </row>
    <row r="750" spans="2:9" x14ac:dyDescent="0.2">
      <c r="B750" s="72" t="s">
        <v>132</v>
      </c>
      <c r="C750" s="72"/>
      <c r="D750" s="108">
        <v>36</v>
      </c>
      <c r="E750" s="74" t="s">
        <v>133</v>
      </c>
      <c r="G750" s="107"/>
      <c r="I750" s="92"/>
    </row>
    <row r="751" spans="2:9" x14ac:dyDescent="0.2">
      <c r="B751" s="72" t="s">
        <v>134</v>
      </c>
      <c r="C751" s="72"/>
      <c r="D751" s="108">
        <v>30</v>
      </c>
      <c r="E751" s="74" t="s">
        <v>135</v>
      </c>
      <c r="G751" s="107"/>
      <c r="I751" s="92"/>
    </row>
    <row r="752" spans="2:9" x14ac:dyDescent="0.2">
      <c r="B752" s="72" t="s">
        <v>136</v>
      </c>
      <c r="C752" s="72"/>
      <c r="D752" s="108">
        <v>30</v>
      </c>
      <c r="E752" s="74" t="s">
        <v>137</v>
      </c>
      <c r="G752" s="107"/>
      <c r="I752" s="92"/>
    </row>
    <row r="753" spans="2:9" x14ac:dyDescent="0.2">
      <c r="B753" s="72" t="s">
        <v>138</v>
      </c>
      <c r="C753" s="72"/>
      <c r="D753" s="108">
        <v>25</v>
      </c>
      <c r="E753" s="74" t="s">
        <v>139</v>
      </c>
      <c r="G753" s="107"/>
      <c r="I753" s="92"/>
    </row>
    <row r="754" spans="2:9" x14ac:dyDescent="0.2">
      <c r="B754" s="72" t="s">
        <v>140</v>
      </c>
      <c r="C754" s="72"/>
      <c r="D754" s="108">
        <v>25</v>
      </c>
      <c r="E754" s="74" t="s">
        <v>141</v>
      </c>
      <c r="G754" s="107"/>
      <c r="I754" s="92"/>
    </row>
    <row r="755" spans="2:9" ht="13.5" thickBot="1" x14ac:dyDescent="0.25">
      <c r="B755" s="72" t="s">
        <v>142</v>
      </c>
      <c r="C755" s="72"/>
      <c r="D755" s="108">
        <v>25</v>
      </c>
      <c r="E755" s="74" t="s">
        <v>143</v>
      </c>
      <c r="G755" s="107"/>
      <c r="I755" s="92"/>
    </row>
    <row r="756" spans="2:9" ht="24" customHeight="1" thickBot="1" x14ac:dyDescent="0.25">
      <c r="B756" s="78" t="s">
        <v>206</v>
      </c>
      <c r="C756" s="79"/>
      <c r="D756" s="79"/>
      <c r="E756" s="80"/>
      <c r="I756" s="92"/>
    </row>
    <row r="757" spans="2:9" x14ac:dyDescent="0.2">
      <c r="B757" s="61" t="s">
        <v>145</v>
      </c>
      <c r="E757" s="60"/>
    </row>
    <row r="758" spans="2:9" x14ac:dyDescent="0.2">
      <c r="B758" s="84"/>
      <c r="C758" s="62" t="s">
        <v>146</v>
      </c>
      <c r="D758" s="62"/>
      <c r="E758" s="62"/>
    </row>
    <row r="759" spans="2:9" x14ac:dyDescent="0.2">
      <c r="B759" s="61" t="s">
        <v>147</v>
      </c>
      <c r="C759" s="85"/>
      <c r="D759" s="85"/>
      <c r="E759" s="86"/>
    </row>
    <row r="760" spans="2:9" x14ac:dyDescent="0.2">
      <c r="B760" s="84"/>
      <c r="C760" s="62" t="s">
        <v>148</v>
      </c>
      <c r="D760" s="62"/>
      <c r="E760" s="62"/>
    </row>
    <row r="761" spans="2:9" x14ac:dyDescent="0.2">
      <c r="B761" s="61" t="s">
        <v>149</v>
      </c>
      <c r="E761" s="60"/>
    </row>
    <row r="762" spans="2:9" x14ac:dyDescent="0.2">
      <c r="B762" s="61"/>
      <c r="C762" s="87" t="s">
        <v>150</v>
      </c>
      <c r="D762" s="87"/>
      <c r="E762" s="87"/>
    </row>
    <row r="763" spans="2:9" ht="13.5" thickBot="1" x14ac:dyDescent="0.25">
      <c r="B763" s="88"/>
      <c r="C763" s="89"/>
      <c r="D763" s="90"/>
      <c r="E763" s="91"/>
    </row>
    <row r="764" spans="2:9" ht="13.5" thickBot="1" x14ac:dyDescent="0.25"/>
    <row r="765" spans="2:9" x14ac:dyDescent="0.2">
      <c r="B765" s="55" t="s">
        <v>207</v>
      </c>
      <c r="C765" s="56"/>
      <c r="D765" s="57"/>
      <c r="E765" s="58"/>
    </row>
    <row r="766" spans="2:9" x14ac:dyDescent="0.2">
      <c r="B766" s="59"/>
      <c r="E766" s="60"/>
    </row>
    <row r="767" spans="2:9" x14ac:dyDescent="0.2">
      <c r="B767" s="61" t="s">
        <v>98</v>
      </c>
      <c r="E767" s="60"/>
    </row>
    <row r="768" spans="2:9" x14ac:dyDescent="0.2">
      <c r="B768" s="61"/>
      <c r="C768" s="62" t="s">
        <v>208</v>
      </c>
      <c r="D768" s="62"/>
      <c r="E768" s="62"/>
    </row>
    <row r="769" spans="2:9" ht="13.5" thickBot="1" x14ac:dyDescent="0.25">
      <c r="B769" s="61" t="s">
        <v>100</v>
      </c>
      <c r="E769" s="60"/>
    </row>
    <row r="770" spans="2:9" ht="13.5" thickBot="1" x14ac:dyDescent="0.25">
      <c r="B770" s="63" t="s">
        <v>209</v>
      </c>
      <c r="C770" s="64"/>
      <c r="D770" s="64"/>
      <c r="E770" s="65"/>
    </row>
    <row r="771" spans="2:9" ht="13.5" thickBot="1" x14ac:dyDescent="0.25">
      <c r="B771" s="63" t="s">
        <v>102</v>
      </c>
      <c r="C771" s="65"/>
      <c r="D771" s="66" t="s">
        <v>13</v>
      </c>
      <c r="E771" s="66" t="s">
        <v>103</v>
      </c>
    </row>
    <row r="772" spans="2:9" x14ac:dyDescent="0.2">
      <c r="B772" s="67" t="s">
        <v>104</v>
      </c>
      <c r="C772" s="67"/>
      <c r="D772" s="68" t="s">
        <v>210</v>
      </c>
      <c r="E772" s="69" t="s">
        <v>105</v>
      </c>
      <c r="G772" s="3"/>
      <c r="I772" s="92"/>
    </row>
    <row r="773" spans="2:9" x14ac:dyDescent="0.2">
      <c r="B773" s="72" t="s">
        <v>106</v>
      </c>
      <c r="C773" s="72"/>
      <c r="D773" s="73" t="s">
        <v>210</v>
      </c>
      <c r="E773" s="74" t="s">
        <v>107</v>
      </c>
      <c r="G773" s="3"/>
      <c r="I773" s="92"/>
    </row>
    <row r="774" spans="2:9" x14ac:dyDescent="0.2">
      <c r="B774" s="72" t="s">
        <v>108</v>
      </c>
      <c r="C774" s="72"/>
      <c r="D774" s="73" t="s">
        <v>210</v>
      </c>
      <c r="E774" s="74" t="s">
        <v>109</v>
      </c>
      <c r="G774" s="3"/>
      <c r="I774" s="92"/>
    </row>
    <row r="775" spans="2:9" x14ac:dyDescent="0.2">
      <c r="B775" s="72" t="s">
        <v>110</v>
      </c>
      <c r="C775" s="72"/>
      <c r="D775" s="73" t="s">
        <v>210</v>
      </c>
      <c r="E775" s="74" t="s">
        <v>111</v>
      </c>
      <c r="G775" s="3"/>
      <c r="I775" s="92"/>
    </row>
    <row r="776" spans="2:9" x14ac:dyDescent="0.2">
      <c r="B776" s="72" t="s">
        <v>112</v>
      </c>
      <c r="C776" s="72"/>
      <c r="D776" s="73" t="s">
        <v>210</v>
      </c>
      <c r="E776" s="74" t="s">
        <v>113</v>
      </c>
      <c r="G776" s="3"/>
      <c r="I776" s="92"/>
    </row>
    <row r="777" spans="2:9" x14ac:dyDescent="0.2">
      <c r="B777" s="72" t="s">
        <v>114</v>
      </c>
      <c r="C777" s="72"/>
      <c r="D777" s="73" t="s">
        <v>210</v>
      </c>
      <c r="E777" s="74" t="s">
        <v>115</v>
      </c>
      <c r="G777" s="3"/>
      <c r="I777" s="92"/>
    </row>
    <row r="778" spans="2:9" x14ac:dyDescent="0.2">
      <c r="B778" s="72" t="s">
        <v>116</v>
      </c>
      <c r="C778" s="72"/>
      <c r="D778" s="73" t="s">
        <v>210</v>
      </c>
      <c r="E778" s="74" t="s">
        <v>117</v>
      </c>
      <c r="G778" s="3"/>
      <c r="I778" s="92"/>
    </row>
    <row r="779" spans="2:9" x14ac:dyDescent="0.2">
      <c r="B779" s="72" t="s">
        <v>118</v>
      </c>
      <c r="C779" s="72"/>
      <c r="D779" s="73" t="s">
        <v>210</v>
      </c>
      <c r="E779" s="74" t="s">
        <v>119</v>
      </c>
      <c r="G779" s="3"/>
      <c r="I779" s="92"/>
    </row>
    <row r="780" spans="2:9" x14ac:dyDescent="0.2">
      <c r="B780" s="72" t="s">
        <v>120</v>
      </c>
      <c r="C780" s="72"/>
      <c r="D780" s="73" t="s">
        <v>210</v>
      </c>
      <c r="E780" s="74" t="s">
        <v>121</v>
      </c>
      <c r="G780" s="3"/>
      <c r="I780" s="92"/>
    </row>
    <row r="781" spans="2:9" x14ac:dyDescent="0.2">
      <c r="B781" s="72" t="s">
        <v>122</v>
      </c>
      <c r="C781" s="72"/>
      <c r="D781" s="73" t="s">
        <v>210</v>
      </c>
      <c r="E781" s="74" t="s">
        <v>123</v>
      </c>
      <c r="G781" s="3"/>
      <c r="I781" s="92"/>
    </row>
    <row r="782" spans="2:9" x14ac:dyDescent="0.2">
      <c r="B782" s="72" t="s">
        <v>124</v>
      </c>
      <c r="C782" s="72"/>
      <c r="D782" s="73" t="s">
        <v>210</v>
      </c>
      <c r="E782" s="74" t="s">
        <v>125</v>
      </c>
      <c r="G782" s="3"/>
      <c r="I782" s="92"/>
    </row>
    <row r="783" spans="2:9" x14ac:dyDescent="0.2">
      <c r="B783" s="72" t="s">
        <v>126</v>
      </c>
      <c r="C783" s="72"/>
      <c r="D783" s="73" t="s">
        <v>210</v>
      </c>
      <c r="E783" s="74" t="s">
        <v>127</v>
      </c>
      <c r="G783" s="3"/>
      <c r="I783" s="92"/>
    </row>
    <row r="784" spans="2:9" x14ac:dyDescent="0.2">
      <c r="B784" s="72" t="s">
        <v>128</v>
      </c>
      <c r="C784" s="72"/>
      <c r="D784" s="73" t="s">
        <v>210</v>
      </c>
      <c r="E784" s="74" t="s">
        <v>129</v>
      </c>
      <c r="G784" s="3"/>
      <c r="I784" s="92"/>
    </row>
    <row r="785" spans="2:10" x14ac:dyDescent="0.2">
      <c r="B785" s="72" t="s">
        <v>130</v>
      </c>
      <c r="C785" s="72"/>
      <c r="D785" s="73" t="s">
        <v>210</v>
      </c>
      <c r="E785" s="74" t="s">
        <v>131</v>
      </c>
      <c r="G785" s="3"/>
      <c r="I785" s="92"/>
    </row>
    <row r="786" spans="2:10" x14ac:dyDescent="0.2">
      <c r="B786" s="72" t="s">
        <v>132</v>
      </c>
      <c r="C786" s="72"/>
      <c r="D786" s="73" t="s">
        <v>210</v>
      </c>
      <c r="E786" s="74" t="s">
        <v>133</v>
      </c>
      <c r="G786" s="3"/>
      <c r="I786" s="92"/>
    </row>
    <row r="787" spans="2:10" x14ac:dyDescent="0.2">
      <c r="B787" s="72" t="s">
        <v>134</v>
      </c>
      <c r="C787" s="72"/>
      <c r="D787" s="73" t="s">
        <v>210</v>
      </c>
      <c r="E787" s="74" t="s">
        <v>135</v>
      </c>
      <c r="G787" s="3"/>
      <c r="I787" s="92"/>
    </row>
    <row r="788" spans="2:10" x14ac:dyDescent="0.2">
      <c r="B788" s="72" t="s">
        <v>136</v>
      </c>
      <c r="C788" s="72"/>
      <c r="D788" s="73" t="s">
        <v>210</v>
      </c>
      <c r="E788" s="74" t="s">
        <v>137</v>
      </c>
      <c r="G788" s="3"/>
      <c r="I788" s="92"/>
    </row>
    <row r="789" spans="2:10" x14ac:dyDescent="0.2">
      <c r="B789" s="72" t="s">
        <v>138</v>
      </c>
      <c r="C789" s="72"/>
      <c r="D789" s="73" t="s">
        <v>210</v>
      </c>
      <c r="E789" s="74" t="s">
        <v>139</v>
      </c>
      <c r="G789" s="3"/>
      <c r="I789" s="92"/>
    </row>
    <row r="790" spans="2:10" x14ac:dyDescent="0.2">
      <c r="B790" s="72" t="s">
        <v>140</v>
      </c>
      <c r="C790" s="72"/>
      <c r="D790" s="73" t="s">
        <v>210</v>
      </c>
      <c r="E790" s="74" t="s">
        <v>141</v>
      </c>
      <c r="G790" s="3"/>
      <c r="I790" s="92"/>
    </row>
    <row r="791" spans="2:10" ht="13.5" thickBot="1" x14ac:dyDescent="0.25">
      <c r="B791" s="72" t="s">
        <v>142</v>
      </c>
      <c r="C791" s="72"/>
      <c r="D791" s="73" t="s">
        <v>210</v>
      </c>
      <c r="E791" s="74" t="s">
        <v>143</v>
      </c>
      <c r="G791" s="3"/>
      <c r="I791" s="92"/>
    </row>
    <row r="792" spans="2:10" ht="24.75" customHeight="1" thickBot="1" x14ac:dyDescent="0.25">
      <c r="B792" s="78" t="s">
        <v>211</v>
      </c>
      <c r="C792" s="79"/>
      <c r="D792" s="79"/>
      <c r="E792" s="80"/>
      <c r="I792" s="92"/>
      <c r="J792" s="92"/>
    </row>
    <row r="793" spans="2:10" x14ac:dyDescent="0.2">
      <c r="B793" s="61" t="s">
        <v>145</v>
      </c>
      <c r="E793" s="60"/>
    </row>
    <row r="794" spans="2:10" x14ac:dyDescent="0.2">
      <c r="B794" s="84"/>
      <c r="C794" s="62" t="s">
        <v>146</v>
      </c>
      <c r="D794" s="62"/>
      <c r="E794" s="62"/>
    </row>
    <row r="795" spans="2:10" x14ac:dyDescent="0.2">
      <c r="B795" s="61" t="s">
        <v>147</v>
      </c>
      <c r="C795" s="85"/>
      <c r="D795" s="85"/>
      <c r="E795" s="86"/>
    </row>
    <row r="796" spans="2:10" x14ac:dyDescent="0.2">
      <c r="B796" s="84"/>
      <c r="C796" s="62" t="s">
        <v>148</v>
      </c>
      <c r="D796" s="62"/>
      <c r="E796" s="62"/>
    </row>
    <row r="797" spans="2:10" x14ac:dyDescent="0.2">
      <c r="B797" s="61" t="s">
        <v>149</v>
      </c>
      <c r="E797" s="60"/>
    </row>
    <row r="798" spans="2:10" x14ac:dyDescent="0.2">
      <c r="B798" s="61"/>
      <c r="C798" s="87" t="s">
        <v>150</v>
      </c>
      <c r="D798" s="87"/>
      <c r="E798" s="87"/>
    </row>
    <row r="799" spans="2:10" ht="13.5" thickBot="1" x14ac:dyDescent="0.25">
      <c r="B799" s="88"/>
      <c r="C799" s="89"/>
      <c r="D799" s="90"/>
      <c r="E799" s="91"/>
    </row>
    <row r="800" spans="2:10" ht="13.5" thickBot="1" x14ac:dyDescent="0.25"/>
    <row r="801" spans="2:9" x14ac:dyDescent="0.2">
      <c r="B801" s="55" t="s">
        <v>212</v>
      </c>
      <c r="C801" s="56"/>
      <c r="D801" s="57"/>
      <c r="E801" s="58"/>
    </row>
    <row r="802" spans="2:9" x14ac:dyDescent="0.2">
      <c r="B802" s="59"/>
      <c r="E802" s="60"/>
    </row>
    <row r="803" spans="2:9" x14ac:dyDescent="0.2">
      <c r="B803" s="61" t="s">
        <v>98</v>
      </c>
      <c r="E803" s="60"/>
    </row>
    <row r="804" spans="2:9" x14ac:dyDescent="0.2">
      <c r="B804" s="61"/>
      <c r="C804" s="62" t="s">
        <v>213</v>
      </c>
      <c r="D804" s="62"/>
      <c r="E804" s="62"/>
    </row>
    <row r="805" spans="2:9" ht="13.5" thickBot="1" x14ac:dyDescent="0.25">
      <c r="B805" s="61" t="s">
        <v>100</v>
      </c>
      <c r="E805" s="60"/>
    </row>
    <row r="806" spans="2:9" ht="13.5" thickBot="1" x14ac:dyDescent="0.25">
      <c r="B806" s="63" t="s">
        <v>209</v>
      </c>
      <c r="C806" s="64"/>
      <c r="D806" s="64"/>
      <c r="E806" s="65"/>
    </row>
    <row r="807" spans="2:9" ht="13.5" thickBot="1" x14ac:dyDescent="0.25">
      <c r="B807" s="63" t="s">
        <v>102</v>
      </c>
      <c r="C807" s="65"/>
      <c r="D807" s="66" t="s">
        <v>13</v>
      </c>
      <c r="E807" s="66" t="s">
        <v>103</v>
      </c>
    </row>
    <row r="808" spans="2:9" x14ac:dyDescent="0.2">
      <c r="B808" s="67" t="s">
        <v>104</v>
      </c>
      <c r="C808" s="67"/>
      <c r="D808" s="68" t="s">
        <v>210</v>
      </c>
      <c r="E808" s="69" t="s">
        <v>105</v>
      </c>
      <c r="G808" s="3"/>
      <c r="I808" s="92"/>
    </row>
    <row r="809" spans="2:9" x14ac:dyDescent="0.2">
      <c r="B809" s="72" t="s">
        <v>106</v>
      </c>
      <c r="C809" s="72"/>
      <c r="D809" s="73" t="s">
        <v>210</v>
      </c>
      <c r="E809" s="74" t="s">
        <v>107</v>
      </c>
      <c r="G809" s="3"/>
      <c r="I809" s="92"/>
    </row>
    <row r="810" spans="2:9" x14ac:dyDescent="0.2">
      <c r="B810" s="72" t="s">
        <v>108</v>
      </c>
      <c r="C810" s="72"/>
      <c r="D810" s="73" t="s">
        <v>210</v>
      </c>
      <c r="E810" s="74" t="s">
        <v>109</v>
      </c>
      <c r="G810" s="3"/>
      <c r="I810" s="92"/>
    </row>
    <row r="811" spans="2:9" x14ac:dyDescent="0.2">
      <c r="B811" s="72" t="s">
        <v>110</v>
      </c>
      <c r="C811" s="72"/>
      <c r="D811" s="73" t="s">
        <v>210</v>
      </c>
      <c r="E811" s="74" t="s">
        <v>111</v>
      </c>
      <c r="G811" s="3"/>
      <c r="I811" s="92"/>
    </row>
    <row r="812" spans="2:9" x14ac:dyDescent="0.2">
      <c r="B812" s="72" t="s">
        <v>112</v>
      </c>
      <c r="C812" s="72"/>
      <c r="D812" s="73" t="s">
        <v>210</v>
      </c>
      <c r="E812" s="74" t="s">
        <v>113</v>
      </c>
      <c r="G812" s="3"/>
      <c r="I812" s="92"/>
    </row>
    <row r="813" spans="2:9" x14ac:dyDescent="0.2">
      <c r="B813" s="72" t="s">
        <v>114</v>
      </c>
      <c r="C813" s="72"/>
      <c r="D813" s="73" t="s">
        <v>210</v>
      </c>
      <c r="E813" s="74" t="s">
        <v>115</v>
      </c>
      <c r="G813" s="3"/>
      <c r="I813" s="92"/>
    </row>
    <row r="814" spans="2:9" x14ac:dyDescent="0.2">
      <c r="B814" s="72" t="s">
        <v>116</v>
      </c>
      <c r="C814" s="72"/>
      <c r="D814" s="73" t="s">
        <v>210</v>
      </c>
      <c r="E814" s="74" t="s">
        <v>117</v>
      </c>
      <c r="G814" s="3"/>
      <c r="I814" s="92"/>
    </row>
    <row r="815" spans="2:9" x14ac:dyDescent="0.2">
      <c r="B815" s="72" t="s">
        <v>118</v>
      </c>
      <c r="C815" s="72"/>
      <c r="D815" s="73" t="s">
        <v>210</v>
      </c>
      <c r="E815" s="74" t="s">
        <v>119</v>
      </c>
      <c r="G815" s="3"/>
      <c r="I815" s="92"/>
    </row>
    <row r="816" spans="2:9" x14ac:dyDescent="0.2">
      <c r="B816" s="72" t="s">
        <v>120</v>
      </c>
      <c r="C816" s="72"/>
      <c r="D816" s="73" t="s">
        <v>210</v>
      </c>
      <c r="E816" s="74" t="s">
        <v>121</v>
      </c>
      <c r="G816" s="3"/>
      <c r="I816" s="92"/>
    </row>
    <row r="817" spans="2:9" x14ac:dyDescent="0.2">
      <c r="B817" s="72" t="s">
        <v>122</v>
      </c>
      <c r="C817" s="72"/>
      <c r="D817" s="73" t="s">
        <v>210</v>
      </c>
      <c r="E817" s="74" t="s">
        <v>123</v>
      </c>
      <c r="G817" s="3"/>
      <c r="I817" s="92"/>
    </row>
    <row r="818" spans="2:9" x14ac:dyDescent="0.2">
      <c r="B818" s="72" t="s">
        <v>124</v>
      </c>
      <c r="C818" s="72"/>
      <c r="D818" s="73" t="s">
        <v>210</v>
      </c>
      <c r="E818" s="74" t="s">
        <v>125</v>
      </c>
      <c r="G818" s="3"/>
      <c r="I818" s="92"/>
    </row>
    <row r="819" spans="2:9" x14ac:dyDescent="0.2">
      <c r="B819" s="72" t="s">
        <v>126</v>
      </c>
      <c r="C819" s="72"/>
      <c r="D819" s="73" t="s">
        <v>210</v>
      </c>
      <c r="E819" s="74" t="s">
        <v>127</v>
      </c>
      <c r="G819" s="3"/>
      <c r="I819" s="92"/>
    </row>
    <row r="820" spans="2:9" x14ac:dyDescent="0.2">
      <c r="B820" s="72" t="s">
        <v>128</v>
      </c>
      <c r="C820" s="72"/>
      <c r="D820" s="73" t="s">
        <v>210</v>
      </c>
      <c r="E820" s="74" t="s">
        <v>129</v>
      </c>
      <c r="G820" s="3"/>
      <c r="I820" s="92"/>
    </row>
    <row r="821" spans="2:9" x14ac:dyDescent="0.2">
      <c r="B821" s="72" t="s">
        <v>130</v>
      </c>
      <c r="C821" s="72"/>
      <c r="D821" s="73" t="s">
        <v>210</v>
      </c>
      <c r="E821" s="74" t="s">
        <v>131</v>
      </c>
      <c r="G821" s="3"/>
      <c r="I821" s="92"/>
    </row>
    <row r="822" spans="2:9" x14ac:dyDescent="0.2">
      <c r="B822" s="72" t="s">
        <v>132</v>
      </c>
      <c r="C822" s="72"/>
      <c r="D822" s="73" t="s">
        <v>210</v>
      </c>
      <c r="E822" s="74" t="s">
        <v>133</v>
      </c>
      <c r="G822" s="3"/>
      <c r="I822" s="92"/>
    </row>
    <row r="823" spans="2:9" x14ac:dyDescent="0.2">
      <c r="B823" s="72" t="s">
        <v>134</v>
      </c>
      <c r="C823" s="72"/>
      <c r="D823" s="73" t="s">
        <v>210</v>
      </c>
      <c r="E823" s="74" t="s">
        <v>135</v>
      </c>
      <c r="G823" s="3"/>
      <c r="I823" s="92"/>
    </row>
    <row r="824" spans="2:9" x14ac:dyDescent="0.2">
      <c r="B824" s="72" t="s">
        <v>136</v>
      </c>
      <c r="C824" s="72"/>
      <c r="D824" s="73" t="s">
        <v>210</v>
      </c>
      <c r="E824" s="74" t="s">
        <v>137</v>
      </c>
      <c r="G824" s="3"/>
      <c r="I824" s="92"/>
    </row>
    <row r="825" spans="2:9" x14ac:dyDescent="0.2">
      <c r="B825" s="72" t="s">
        <v>138</v>
      </c>
      <c r="C825" s="72"/>
      <c r="D825" s="73" t="s">
        <v>210</v>
      </c>
      <c r="E825" s="74" t="s">
        <v>139</v>
      </c>
      <c r="G825" s="3"/>
      <c r="I825" s="92"/>
    </row>
    <row r="826" spans="2:9" x14ac:dyDescent="0.2">
      <c r="B826" s="72" t="s">
        <v>140</v>
      </c>
      <c r="C826" s="72"/>
      <c r="D826" s="73" t="s">
        <v>210</v>
      </c>
      <c r="E826" s="74" t="s">
        <v>141</v>
      </c>
      <c r="G826" s="3"/>
      <c r="I826" s="92"/>
    </row>
    <row r="827" spans="2:9" ht="13.5" thickBot="1" x14ac:dyDescent="0.25">
      <c r="B827" s="72" t="s">
        <v>142</v>
      </c>
      <c r="C827" s="72"/>
      <c r="D827" s="73" t="s">
        <v>210</v>
      </c>
      <c r="E827" s="74" t="s">
        <v>143</v>
      </c>
      <c r="G827" s="3"/>
      <c r="I827" s="92"/>
    </row>
    <row r="828" spans="2:9" ht="25.5" customHeight="1" thickBot="1" x14ac:dyDescent="0.25">
      <c r="B828" s="78" t="s">
        <v>211</v>
      </c>
      <c r="C828" s="79"/>
      <c r="D828" s="79"/>
      <c r="E828" s="80"/>
      <c r="I828" s="92"/>
    </row>
    <row r="829" spans="2:9" x14ac:dyDescent="0.2">
      <c r="B829" s="61" t="s">
        <v>145</v>
      </c>
      <c r="E829" s="60"/>
    </row>
    <row r="830" spans="2:9" x14ac:dyDescent="0.2">
      <c r="B830" s="84"/>
      <c r="C830" s="62" t="s">
        <v>146</v>
      </c>
      <c r="D830" s="62"/>
      <c r="E830" s="62"/>
    </row>
    <row r="831" spans="2:9" x14ac:dyDescent="0.2">
      <c r="B831" s="61" t="s">
        <v>147</v>
      </c>
      <c r="C831" s="85"/>
      <c r="D831" s="85"/>
      <c r="E831" s="86"/>
    </row>
    <row r="832" spans="2:9" x14ac:dyDescent="0.2">
      <c r="B832" s="84"/>
      <c r="C832" s="62" t="s">
        <v>148</v>
      </c>
      <c r="D832" s="62"/>
      <c r="E832" s="62"/>
    </row>
    <row r="833" spans="2:7" x14ac:dyDescent="0.2">
      <c r="B833" s="61" t="s">
        <v>149</v>
      </c>
      <c r="E833" s="60"/>
    </row>
    <row r="834" spans="2:7" x14ac:dyDescent="0.2">
      <c r="B834" s="61"/>
      <c r="C834" s="87" t="s">
        <v>150</v>
      </c>
      <c r="D834" s="87"/>
      <c r="E834" s="87"/>
    </row>
    <row r="835" spans="2:7" ht="13.5" thickBot="1" x14ac:dyDescent="0.25">
      <c r="B835" s="88"/>
      <c r="C835" s="89"/>
      <c r="D835" s="90"/>
      <c r="E835" s="91"/>
    </row>
    <row r="836" spans="2:7" ht="13.5" thickBot="1" x14ac:dyDescent="0.25"/>
    <row r="837" spans="2:7" x14ac:dyDescent="0.2">
      <c r="B837" s="55" t="s">
        <v>214</v>
      </c>
      <c r="C837" s="56"/>
      <c r="D837" s="57"/>
      <c r="E837" s="58"/>
    </row>
    <row r="838" spans="2:7" x14ac:dyDescent="0.2">
      <c r="B838" s="59"/>
      <c r="E838" s="60"/>
    </row>
    <row r="839" spans="2:7" x14ac:dyDescent="0.2">
      <c r="B839" s="61" t="s">
        <v>98</v>
      </c>
      <c r="E839" s="60"/>
    </row>
    <row r="840" spans="2:7" x14ac:dyDescent="0.2">
      <c r="B840" s="61"/>
      <c r="C840" s="62" t="s">
        <v>215</v>
      </c>
      <c r="D840" s="62"/>
      <c r="E840" s="62"/>
    </row>
    <row r="841" spans="2:7" ht="13.5" thickBot="1" x14ac:dyDescent="0.25">
      <c r="B841" s="61" t="s">
        <v>100</v>
      </c>
      <c r="E841" s="60"/>
    </row>
    <row r="842" spans="2:7" ht="13.5" thickBot="1" x14ac:dyDescent="0.25">
      <c r="B842" s="63" t="s">
        <v>209</v>
      </c>
      <c r="C842" s="64"/>
      <c r="D842" s="64"/>
      <c r="E842" s="65"/>
    </row>
    <row r="843" spans="2:7" ht="13.5" thickBot="1" x14ac:dyDescent="0.25">
      <c r="B843" s="63" t="s">
        <v>102</v>
      </c>
      <c r="C843" s="65"/>
      <c r="D843" s="66" t="s">
        <v>13</v>
      </c>
      <c r="E843" s="66" t="s">
        <v>103</v>
      </c>
    </row>
    <row r="844" spans="2:7" x14ac:dyDescent="0.2">
      <c r="B844" s="67" t="s">
        <v>104</v>
      </c>
      <c r="C844" s="67"/>
      <c r="D844" s="68" t="s">
        <v>210</v>
      </c>
      <c r="E844" s="69" t="s">
        <v>105</v>
      </c>
      <c r="G844" s="3"/>
    </row>
    <row r="845" spans="2:7" x14ac:dyDescent="0.2">
      <c r="B845" s="72" t="s">
        <v>106</v>
      </c>
      <c r="C845" s="72"/>
      <c r="D845" s="73" t="s">
        <v>210</v>
      </c>
      <c r="E845" s="74" t="s">
        <v>107</v>
      </c>
      <c r="G845" s="3"/>
    </row>
    <row r="846" spans="2:7" x14ac:dyDescent="0.2">
      <c r="B846" s="72" t="s">
        <v>108</v>
      </c>
      <c r="C846" s="72"/>
      <c r="D846" s="73" t="s">
        <v>210</v>
      </c>
      <c r="E846" s="74" t="s">
        <v>109</v>
      </c>
      <c r="G846" s="3"/>
    </row>
    <row r="847" spans="2:7" x14ac:dyDescent="0.2">
      <c r="B847" s="72" t="s">
        <v>110</v>
      </c>
      <c r="C847" s="72"/>
      <c r="D847" s="73" t="s">
        <v>210</v>
      </c>
      <c r="E847" s="74" t="s">
        <v>111</v>
      </c>
      <c r="G847" s="3"/>
    </row>
    <row r="848" spans="2:7" x14ac:dyDescent="0.2">
      <c r="B848" s="72" t="s">
        <v>112</v>
      </c>
      <c r="C848" s="72"/>
      <c r="D848" s="73" t="s">
        <v>210</v>
      </c>
      <c r="E848" s="74" t="s">
        <v>113</v>
      </c>
      <c r="G848" s="3"/>
    </row>
    <row r="849" spans="2:7" x14ac:dyDescent="0.2">
      <c r="B849" s="72" t="s">
        <v>114</v>
      </c>
      <c r="C849" s="72"/>
      <c r="D849" s="73" t="s">
        <v>210</v>
      </c>
      <c r="E849" s="74" t="s">
        <v>115</v>
      </c>
      <c r="G849" s="3"/>
    </row>
    <row r="850" spans="2:7" x14ac:dyDescent="0.2">
      <c r="B850" s="72" t="s">
        <v>116</v>
      </c>
      <c r="C850" s="72"/>
      <c r="D850" s="73" t="s">
        <v>210</v>
      </c>
      <c r="E850" s="74" t="s">
        <v>117</v>
      </c>
      <c r="G850" s="3"/>
    </row>
    <row r="851" spans="2:7" x14ac:dyDescent="0.2">
      <c r="B851" s="72" t="s">
        <v>118</v>
      </c>
      <c r="C851" s="72"/>
      <c r="D851" s="73" t="s">
        <v>210</v>
      </c>
      <c r="E851" s="74" t="s">
        <v>119</v>
      </c>
      <c r="G851" s="3"/>
    </row>
    <row r="852" spans="2:7" x14ac:dyDescent="0.2">
      <c r="B852" s="72" t="s">
        <v>120</v>
      </c>
      <c r="C852" s="72"/>
      <c r="D852" s="73" t="s">
        <v>210</v>
      </c>
      <c r="E852" s="74" t="s">
        <v>121</v>
      </c>
      <c r="G852" s="3"/>
    </row>
    <row r="853" spans="2:7" x14ac:dyDescent="0.2">
      <c r="B853" s="72" t="s">
        <v>122</v>
      </c>
      <c r="C853" s="72"/>
      <c r="D853" s="73" t="s">
        <v>210</v>
      </c>
      <c r="E853" s="74" t="s">
        <v>123</v>
      </c>
      <c r="G853" s="3"/>
    </row>
    <row r="854" spans="2:7" x14ac:dyDescent="0.2">
      <c r="B854" s="72" t="s">
        <v>124</v>
      </c>
      <c r="C854" s="72"/>
      <c r="D854" s="73" t="s">
        <v>210</v>
      </c>
      <c r="E854" s="74" t="s">
        <v>125</v>
      </c>
      <c r="G854" s="3"/>
    </row>
    <row r="855" spans="2:7" x14ac:dyDescent="0.2">
      <c r="B855" s="72" t="s">
        <v>126</v>
      </c>
      <c r="C855" s="72"/>
      <c r="D855" s="73" t="s">
        <v>210</v>
      </c>
      <c r="E855" s="74" t="s">
        <v>127</v>
      </c>
      <c r="G855" s="3"/>
    </row>
    <row r="856" spans="2:7" x14ac:dyDescent="0.2">
      <c r="B856" s="72" t="s">
        <v>128</v>
      </c>
      <c r="C856" s="72"/>
      <c r="D856" s="73" t="s">
        <v>210</v>
      </c>
      <c r="E856" s="74" t="s">
        <v>129</v>
      </c>
      <c r="G856" s="3"/>
    </row>
    <row r="857" spans="2:7" x14ac:dyDescent="0.2">
      <c r="B857" s="72" t="s">
        <v>130</v>
      </c>
      <c r="C857" s="72"/>
      <c r="D857" s="73" t="s">
        <v>210</v>
      </c>
      <c r="E857" s="74" t="s">
        <v>131</v>
      </c>
      <c r="G857" s="3"/>
    </row>
    <row r="858" spans="2:7" x14ac:dyDescent="0.2">
      <c r="B858" s="72" t="s">
        <v>132</v>
      </c>
      <c r="C858" s="72"/>
      <c r="D858" s="73" t="s">
        <v>210</v>
      </c>
      <c r="E858" s="74" t="s">
        <v>133</v>
      </c>
      <c r="G858" s="3"/>
    </row>
    <row r="859" spans="2:7" x14ac:dyDescent="0.2">
      <c r="B859" s="72" t="s">
        <v>134</v>
      </c>
      <c r="C859" s="72"/>
      <c r="D859" s="73" t="s">
        <v>210</v>
      </c>
      <c r="E859" s="74" t="s">
        <v>135</v>
      </c>
      <c r="G859" s="3"/>
    </row>
    <row r="860" spans="2:7" x14ac:dyDescent="0.2">
      <c r="B860" s="72" t="s">
        <v>136</v>
      </c>
      <c r="C860" s="72"/>
      <c r="D860" s="73" t="s">
        <v>210</v>
      </c>
      <c r="E860" s="74" t="s">
        <v>137</v>
      </c>
      <c r="G860" s="3"/>
    </row>
    <row r="861" spans="2:7" x14ac:dyDescent="0.2">
      <c r="B861" s="72" t="s">
        <v>138</v>
      </c>
      <c r="C861" s="72"/>
      <c r="D861" s="73" t="s">
        <v>210</v>
      </c>
      <c r="E861" s="74" t="s">
        <v>139</v>
      </c>
      <c r="G861" s="3"/>
    </row>
    <row r="862" spans="2:7" x14ac:dyDescent="0.2">
      <c r="B862" s="72" t="s">
        <v>140</v>
      </c>
      <c r="C862" s="72"/>
      <c r="D862" s="73" t="s">
        <v>210</v>
      </c>
      <c r="E862" s="74" t="s">
        <v>141</v>
      </c>
      <c r="G862" s="3"/>
    </row>
    <row r="863" spans="2:7" ht="13.5" thickBot="1" x14ac:dyDescent="0.25">
      <c r="B863" s="72" t="s">
        <v>142</v>
      </c>
      <c r="C863" s="72"/>
      <c r="D863" s="73" t="s">
        <v>210</v>
      </c>
      <c r="E863" s="74" t="s">
        <v>143</v>
      </c>
      <c r="G863" s="3"/>
    </row>
    <row r="864" spans="2:7" ht="25.5" customHeight="1" thickBot="1" x14ac:dyDescent="0.25">
      <c r="B864" s="78" t="s">
        <v>211</v>
      </c>
      <c r="C864" s="79"/>
      <c r="D864" s="79"/>
      <c r="E864" s="80"/>
    </row>
    <row r="865" spans="2:7" x14ac:dyDescent="0.2">
      <c r="B865" s="61" t="s">
        <v>145</v>
      </c>
      <c r="E865" s="60"/>
    </row>
    <row r="866" spans="2:7" x14ac:dyDescent="0.2">
      <c r="B866" s="84"/>
      <c r="C866" s="62" t="s">
        <v>146</v>
      </c>
      <c r="D866" s="62"/>
      <c r="E866" s="62"/>
    </row>
    <row r="867" spans="2:7" x14ac:dyDescent="0.2">
      <c r="B867" s="61" t="s">
        <v>147</v>
      </c>
      <c r="C867" s="85"/>
      <c r="D867" s="85"/>
      <c r="E867" s="86"/>
    </row>
    <row r="868" spans="2:7" x14ac:dyDescent="0.2">
      <c r="B868" s="84"/>
      <c r="C868" s="62" t="s">
        <v>148</v>
      </c>
      <c r="D868" s="62"/>
      <c r="E868" s="62"/>
    </row>
    <row r="869" spans="2:7" x14ac:dyDescent="0.2">
      <c r="B869" s="61" t="s">
        <v>149</v>
      </c>
      <c r="E869" s="60"/>
    </row>
    <row r="870" spans="2:7" x14ac:dyDescent="0.2">
      <c r="B870" s="61"/>
      <c r="C870" s="87" t="s">
        <v>150</v>
      </c>
      <c r="D870" s="87"/>
      <c r="E870" s="87"/>
    </row>
    <row r="871" spans="2:7" ht="13.5" thickBot="1" x14ac:dyDescent="0.25">
      <c r="B871" s="88"/>
      <c r="C871" s="89"/>
      <c r="D871" s="90"/>
      <c r="E871" s="91"/>
    </row>
    <row r="872" spans="2:7" ht="13.5" thickBot="1" x14ac:dyDescent="0.25"/>
    <row r="873" spans="2:7" x14ac:dyDescent="0.2">
      <c r="B873" s="55" t="s">
        <v>216</v>
      </c>
      <c r="C873" s="56"/>
      <c r="D873" s="57"/>
      <c r="E873" s="58"/>
    </row>
    <row r="874" spans="2:7" x14ac:dyDescent="0.2">
      <c r="B874" s="59"/>
      <c r="E874" s="60"/>
    </row>
    <row r="875" spans="2:7" x14ac:dyDescent="0.2">
      <c r="B875" s="61" t="s">
        <v>98</v>
      </c>
      <c r="E875" s="60"/>
    </row>
    <row r="876" spans="2:7" x14ac:dyDescent="0.2">
      <c r="B876" s="61"/>
      <c r="C876" s="62" t="s">
        <v>217</v>
      </c>
      <c r="D876" s="62"/>
      <c r="E876" s="62"/>
    </row>
    <row r="877" spans="2:7" ht="13.5" thickBot="1" x14ac:dyDescent="0.25">
      <c r="B877" s="61" t="s">
        <v>100</v>
      </c>
      <c r="E877" s="60"/>
    </row>
    <row r="878" spans="2:7" ht="13.5" thickBot="1" x14ac:dyDescent="0.25">
      <c r="B878" s="63" t="s">
        <v>209</v>
      </c>
      <c r="C878" s="64"/>
      <c r="D878" s="64"/>
      <c r="E878" s="65"/>
    </row>
    <row r="879" spans="2:7" ht="13.5" thickBot="1" x14ac:dyDescent="0.25">
      <c r="B879" s="63" t="s">
        <v>102</v>
      </c>
      <c r="C879" s="65"/>
      <c r="D879" s="66" t="s">
        <v>13</v>
      </c>
      <c r="E879" s="66" t="s">
        <v>103</v>
      </c>
    </row>
    <row r="880" spans="2:7" x14ac:dyDescent="0.2">
      <c r="B880" s="67" t="s">
        <v>104</v>
      </c>
      <c r="C880" s="67"/>
      <c r="D880" s="68" t="s">
        <v>210</v>
      </c>
      <c r="E880" s="69" t="s">
        <v>105</v>
      </c>
      <c r="G880" s="3"/>
    </row>
    <row r="881" spans="2:7" x14ac:dyDescent="0.2">
      <c r="B881" s="72" t="s">
        <v>106</v>
      </c>
      <c r="C881" s="72"/>
      <c r="D881" s="73" t="s">
        <v>210</v>
      </c>
      <c r="E881" s="74" t="s">
        <v>107</v>
      </c>
      <c r="G881" s="3"/>
    </row>
    <row r="882" spans="2:7" x14ac:dyDescent="0.2">
      <c r="B882" s="72" t="s">
        <v>108</v>
      </c>
      <c r="C882" s="72"/>
      <c r="D882" s="73" t="s">
        <v>210</v>
      </c>
      <c r="E882" s="74" t="s">
        <v>109</v>
      </c>
      <c r="G882" s="3"/>
    </row>
    <row r="883" spans="2:7" x14ac:dyDescent="0.2">
      <c r="B883" s="72" t="s">
        <v>110</v>
      </c>
      <c r="C883" s="72"/>
      <c r="D883" s="73" t="s">
        <v>210</v>
      </c>
      <c r="E883" s="74" t="s">
        <v>111</v>
      </c>
      <c r="G883" s="3"/>
    </row>
    <row r="884" spans="2:7" x14ac:dyDescent="0.2">
      <c r="B884" s="72" t="s">
        <v>112</v>
      </c>
      <c r="C884" s="72"/>
      <c r="D884" s="73" t="s">
        <v>210</v>
      </c>
      <c r="E884" s="74" t="s">
        <v>113</v>
      </c>
      <c r="G884" s="3"/>
    </row>
    <row r="885" spans="2:7" x14ac:dyDescent="0.2">
      <c r="B885" s="72" t="s">
        <v>114</v>
      </c>
      <c r="C885" s="72"/>
      <c r="D885" s="73" t="s">
        <v>210</v>
      </c>
      <c r="E885" s="74" t="s">
        <v>115</v>
      </c>
      <c r="G885" s="3"/>
    </row>
    <row r="886" spans="2:7" x14ac:dyDescent="0.2">
      <c r="B886" s="72" t="s">
        <v>116</v>
      </c>
      <c r="C886" s="72"/>
      <c r="D886" s="73" t="s">
        <v>210</v>
      </c>
      <c r="E886" s="74" t="s">
        <v>117</v>
      </c>
      <c r="G886" s="3"/>
    </row>
    <row r="887" spans="2:7" x14ac:dyDescent="0.2">
      <c r="B887" s="72" t="s">
        <v>118</v>
      </c>
      <c r="C887" s="72"/>
      <c r="D887" s="73" t="s">
        <v>210</v>
      </c>
      <c r="E887" s="74" t="s">
        <v>119</v>
      </c>
      <c r="G887" s="3"/>
    </row>
    <row r="888" spans="2:7" x14ac:dyDescent="0.2">
      <c r="B888" s="72" t="s">
        <v>120</v>
      </c>
      <c r="C888" s="72"/>
      <c r="D888" s="73" t="s">
        <v>210</v>
      </c>
      <c r="E888" s="74" t="s">
        <v>121</v>
      </c>
      <c r="G888" s="3"/>
    </row>
    <row r="889" spans="2:7" x14ac:dyDescent="0.2">
      <c r="B889" s="72" t="s">
        <v>122</v>
      </c>
      <c r="C889" s="72"/>
      <c r="D889" s="73" t="s">
        <v>210</v>
      </c>
      <c r="E889" s="74" t="s">
        <v>123</v>
      </c>
      <c r="G889" s="3"/>
    </row>
    <row r="890" spans="2:7" x14ac:dyDescent="0.2">
      <c r="B890" s="72" t="s">
        <v>124</v>
      </c>
      <c r="C890" s="72"/>
      <c r="D890" s="73" t="s">
        <v>210</v>
      </c>
      <c r="E890" s="74" t="s">
        <v>125</v>
      </c>
      <c r="G890" s="3"/>
    </row>
    <row r="891" spans="2:7" x14ac:dyDescent="0.2">
      <c r="B891" s="72" t="s">
        <v>126</v>
      </c>
      <c r="C891" s="72"/>
      <c r="D891" s="73" t="s">
        <v>210</v>
      </c>
      <c r="E891" s="74" t="s">
        <v>127</v>
      </c>
      <c r="G891" s="3"/>
    </row>
    <row r="892" spans="2:7" x14ac:dyDescent="0.2">
      <c r="B892" s="72" t="s">
        <v>128</v>
      </c>
      <c r="C892" s="72"/>
      <c r="D892" s="73" t="s">
        <v>210</v>
      </c>
      <c r="E892" s="74" t="s">
        <v>129</v>
      </c>
      <c r="G892" s="3"/>
    </row>
    <row r="893" spans="2:7" x14ac:dyDescent="0.2">
      <c r="B893" s="72" t="s">
        <v>130</v>
      </c>
      <c r="C893" s="72"/>
      <c r="D893" s="73" t="s">
        <v>210</v>
      </c>
      <c r="E893" s="74" t="s">
        <v>131</v>
      </c>
      <c r="G893" s="3"/>
    </row>
    <row r="894" spans="2:7" x14ac:dyDescent="0.2">
      <c r="B894" s="72" t="s">
        <v>132</v>
      </c>
      <c r="C894" s="72"/>
      <c r="D894" s="73" t="s">
        <v>210</v>
      </c>
      <c r="E894" s="74" t="s">
        <v>133</v>
      </c>
      <c r="G894" s="3"/>
    </row>
    <row r="895" spans="2:7" x14ac:dyDescent="0.2">
      <c r="B895" s="72" t="s">
        <v>134</v>
      </c>
      <c r="C895" s="72"/>
      <c r="D895" s="73" t="s">
        <v>210</v>
      </c>
      <c r="E895" s="74" t="s">
        <v>135</v>
      </c>
      <c r="G895" s="3"/>
    </row>
    <row r="896" spans="2:7" x14ac:dyDescent="0.2">
      <c r="B896" s="72" t="s">
        <v>136</v>
      </c>
      <c r="C896" s="72"/>
      <c r="D896" s="73" t="s">
        <v>210</v>
      </c>
      <c r="E896" s="74" t="s">
        <v>137</v>
      </c>
      <c r="G896" s="3"/>
    </row>
    <row r="897" spans="2:7" x14ac:dyDescent="0.2">
      <c r="B897" s="72" t="s">
        <v>138</v>
      </c>
      <c r="C897" s="72"/>
      <c r="D897" s="73" t="s">
        <v>210</v>
      </c>
      <c r="E897" s="74" t="s">
        <v>139</v>
      </c>
      <c r="G897" s="3"/>
    </row>
    <row r="898" spans="2:7" x14ac:dyDescent="0.2">
      <c r="B898" s="72" t="s">
        <v>140</v>
      </c>
      <c r="C898" s="72"/>
      <c r="D898" s="73" t="s">
        <v>210</v>
      </c>
      <c r="E898" s="74" t="s">
        <v>141</v>
      </c>
      <c r="G898" s="3"/>
    </row>
    <row r="899" spans="2:7" ht="13.5" thickBot="1" x14ac:dyDescent="0.25">
      <c r="B899" s="72" t="s">
        <v>142</v>
      </c>
      <c r="C899" s="72"/>
      <c r="D899" s="73" t="s">
        <v>210</v>
      </c>
      <c r="E899" s="74" t="s">
        <v>143</v>
      </c>
      <c r="G899" s="3"/>
    </row>
    <row r="900" spans="2:7" ht="25.5" customHeight="1" thickBot="1" x14ac:dyDescent="0.25">
      <c r="B900" s="78" t="s">
        <v>211</v>
      </c>
      <c r="C900" s="79"/>
      <c r="D900" s="79"/>
      <c r="E900" s="80"/>
    </row>
    <row r="901" spans="2:7" x14ac:dyDescent="0.2">
      <c r="B901" s="61" t="s">
        <v>145</v>
      </c>
      <c r="E901" s="60"/>
    </row>
    <row r="902" spans="2:7" x14ac:dyDescent="0.2">
      <c r="B902" s="84"/>
      <c r="C902" s="109" t="s">
        <v>146</v>
      </c>
      <c r="D902" s="109"/>
      <c r="E902" s="62"/>
    </row>
    <row r="903" spans="2:7" x14ac:dyDescent="0.2">
      <c r="B903" s="61" t="s">
        <v>147</v>
      </c>
      <c r="C903" s="85"/>
      <c r="D903" s="85"/>
      <c r="E903" s="86"/>
    </row>
    <row r="904" spans="2:7" x14ac:dyDescent="0.2">
      <c r="B904" s="84"/>
      <c r="C904" s="109" t="s">
        <v>148</v>
      </c>
      <c r="D904" s="109"/>
      <c r="E904" s="62"/>
    </row>
    <row r="905" spans="2:7" x14ac:dyDescent="0.2">
      <c r="B905" s="61" t="s">
        <v>149</v>
      </c>
      <c r="E905" s="60"/>
    </row>
    <row r="906" spans="2:7" x14ac:dyDescent="0.2">
      <c r="B906" s="61"/>
      <c r="C906" s="104" t="s">
        <v>150</v>
      </c>
      <c r="D906" s="104"/>
      <c r="E906" s="87"/>
    </row>
    <row r="907" spans="2:7" ht="13.5" thickBot="1" x14ac:dyDescent="0.25">
      <c r="B907" s="88"/>
      <c r="C907" s="89"/>
      <c r="D907" s="90"/>
      <c r="E907" s="91"/>
    </row>
    <row r="908" spans="2:7" ht="13.5" thickBot="1" x14ac:dyDescent="0.25"/>
    <row r="909" spans="2:7" x14ac:dyDescent="0.2">
      <c r="B909" s="55" t="s">
        <v>218</v>
      </c>
      <c r="C909" s="56"/>
      <c r="D909" s="57"/>
      <c r="E909" s="58"/>
    </row>
    <row r="910" spans="2:7" x14ac:dyDescent="0.2">
      <c r="B910" s="59"/>
      <c r="E910" s="60"/>
    </row>
    <row r="911" spans="2:7" x14ac:dyDescent="0.2">
      <c r="B911" s="61" t="s">
        <v>98</v>
      </c>
      <c r="E911" s="60"/>
    </row>
    <row r="912" spans="2:7" x14ac:dyDescent="0.2">
      <c r="B912" s="61"/>
      <c r="C912" s="93" t="s">
        <v>219</v>
      </c>
      <c r="D912" s="93"/>
      <c r="E912" s="94"/>
    </row>
    <row r="913" spans="2:9" ht="13.5" thickBot="1" x14ac:dyDescent="0.25">
      <c r="B913" s="61" t="s">
        <v>100</v>
      </c>
      <c r="E913" s="60"/>
    </row>
    <row r="914" spans="2:9" ht="13.5" thickBot="1" x14ac:dyDescent="0.25">
      <c r="B914" s="63" t="s">
        <v>101</v>
      </c>
      <c r="C914" s="64"/>
      <c r="D914" s="64"/>
      <c r="E914" s="65"/>
    </row>
    <row r="915" spans="2:9" ht="13.5" thickBot="1" x14ac:dyDescent="0.25">
      <c r="B915" s="63" t="s">
        <v>102</v>
      </c>
      <c r="C915" s="65"/>
      <c r="D915" s="66" t="s">
        <v>13</v>
      </c>
      <c r="E915" s="66" t="s">
        <v>103</v>
      </c>
    </row>
    <row r="916" spans="2:9" x14ac:dyDescent="0.2">
      <c r="B916" s="110" t="s">
        <v>104</v>
      </c>
      <c r="C916" s="111"/>
      <c r="D916" s="68">
        <v>3</v>
      </c>
      <c r="E916" s="69" t="s">
        <v>105</v>
      </c>
      <c r="G916" s="3"/>
      <c r="I916" s="92"/>
    </row>
    <row r="917" spans="2:9" x14ac:dyDescent="0.2">
      <c r="B917" s="112" t="s">
        <v>106</v>
      </c>
      <c r="C917" s="113"/>
      <c r="D917" s="73">
        <v>8</v>
      </c>
      <c r="E917" s="74" t="s">
        <v>107</v>
      </c>
      <c r="G917" s="3"/>
      <c r="I917" s="92"/>
    </row>
    <row r="918" spans="2:9" x14ac:dyDescent="0.2">
      <c r="B918" s="112" t="s">
        <v>108</v>
      </c>
      <c r="C918" s="113"/>
      <c r="D918" s="73">
        <v>8</v>
      </c>
      <c r="E918" s="74" t="s">
        <v>109</v>
      </c>
      <c r="G918" s="3"/>
      <c r="I918" s="92"/>
    </row>
    <row r="919" spans="2:9" x14ac:dyDescent="0.2">
      <c r="B919" s="112" t="s">
        <v>110</v>
      </c>
      <c r="C919" s="113"/>
      <c r="D919" s="73">
        <v>5</v>
      </c>
      <c r="E919" s="74" t="s">
        <v>111</v>
      </c>
      <c r="G919" s="3"/>
      <c r="I919" s="92"/>
    </row>
    <row r="920" spans="2:9" x14ac:dyDescent="0.2">
      <c r="B920" s="112" t="s">
        <v>112</v>
      </c>
      <c r="C920" s="113"/>
      <c r="D920" s="73">
        <v>4</v>
      </c>
      <c r="E920" s="74" t="s">
        <v>113</v>
      </c>
      <c r="G920" s="3"/>
      <c r="I920" s="92"/>
    </row>
    <row r="921" spans="2:9" x14ac:dyDescent="0.2">
      <c r="B921" s="112" t="s">
        <v>114</v>
      </c>
      <c r="C921" s="113"/>
      <c r="D921" s="73">
        <v>3</v>
      </c>
      <c r="E921" s="74" t="s">
        <v>115</v>
      </c>
      <c r="G921" s="3"/>
      <c r="I921" s="92"/>
    </row>
    <row r="922" spans="2:9" x14ac:dyDescent="0.2">
      <c r="B922" s="112" t="s">
        <v>116</v>
      </c>
      <c r="C922" s="113"/>
      <c r="D922" s="73">
        <v>5</v>
      </c>
      <c r="E922" s="74" t="s">
        <v>117</v>
      </c>
      <c r="G922" s="3"/>
      <c r="I922" s="92"/>
    </row>
    <row r="923" spans="2:9" x14ac:dyDescent="0.2">
      <c r="B923" s="112" t="s">
        <v>118</v>
      </c>
      <c r="C923" s="113"/>
      <c r="D923" s="73">
        <v>5</v>
      </c>
      <c r="E923" s="74" t="s">
        <v>119</v>
      </c>
      <c r="G923" s="3"/>
      <c r="I923" s="92"/>
    </row>
    <row r="924" spans="2:9" x14ac:dyDescent="0.2">
      <c r="B924" s="112" t="s">
        <v>120</v>
      </c>
      <c r="C924" s="113"/>
      <c r="D924" s="73">
        <v>10</v>
      </c>
      <c r="E924" s="74" t="s">
        <v>121</v>
      </c>
      <c r="G924" s="3"/>
      <c r="I924" s="92"/>
    </row>
    <row r="925" spans="2:9" x14ac:dyDescent="0.2">
      <c r="B925" s="112" t="s">
        <v>122</v>
      </c>
      <c r="C925" s="113"/>
      <c r="D925" s="73">
        <v>7</v>
      </c>
      <c r="E925" s="74" t="s">
        <v>123</v>
      </c>
      <c r="G925" s="3"/>
      <c r="I925" s="92"/>
    </row>
    <row r="926" spans="2:9" x14ac:dyDescent="0.2">
      <c r="B926" s="112" t="s">
        <v>124</v>
      </c>
      <c r="C926" s="113"/>
      <c r="D926" s="73">
        <v>3</v>
      </c>
      <c r="E926" s="74" t="s">
        <v>125</v>
      </c>
      <c r="G926" s="3"/>
      <c r="I926" s="92"/>
    </row>
    <row r="927" spans="2:9" x14ac:dyDescent="0.2">
      <c r="B927" s="112" t="s">
        <v>126</v>
      </c>
      <c r="C927" s="113"/>
      <c r="D927" s="73">
        <v>7</v>
      </c>
      <c r="E927" s="74" t="s">
        <v>127</v>
      </c>
      <c r="G927" s="3"/>
      <c r="I927" s="92"/>
    </row>
    <row r="928" spans="2:9" x14ac:dyDescent="0.2">
      <c r="B928" s="112" t="s">
        <v>128</v>
      </c>
      <c r="C928" s="113"/>
      <c r="D928" s="73">
        <v>7</v>
      </c>
      <c r="E928" s="74" t="s">
        <v>129</v>
      </c>
      <c r="G928" s="3"/>
      <c r="I928" s="92"/>
    </row>
    <row r="929" spans="2:9" x14ac:dyDescent="0.2">
      <c r="B929" s="112" t="s">
        <v>130</v>
      </c>
      <c r="C929" s="113"/>
      <c r="D929" s="73">
        <v>4</v>
      </c>
      <c r="E929" s="74" t="s">
        <v>131</v>
      </c>
      <c r="G929" s="3"/>
      <c r="I929" s="92"/>
    </row>
    <row r="930" spans="2:9" x14ac:dyDescent="0.2">
      <c r="B930" s="112" t="s">
        <v>132</v>
      </c>
      <c r="C930" s="113"/>
      <c r="D930" s="73">
        <v>6</v>
      </c>
      <c r="E930" s="74" t="s">
        <v>133</v>
      </c>
      <c r="G930" s="3"/>
      <c r="I930" s="92"/>
    </row>
    <row r="931" spans="2:9" x14ac:dyDescent="0.2">
      <c r="B931" s="112" t="s">
        <v>134</v>
      </c>
      <c r="C931" s="113"/>
      <c r="D931" s="73">
        <v>5</v>
      </c>
      <c r="E931" s="74" t="s">
        <v>135</v>
      </c>
      <c r="G931" s="3"/>
      <c r="I931" s="92"/>
    </row>
    <row r="932" spans="2:9" x14ac:dyDescent="0.2">
      <c r="B932" s="112" t="s">
        <v>136</v>
      </c>
      <c r="C932" s="113"/>
      <c r="D932" s="73">
        <v>5</v>
      </c>
      <c r="E932" s="74" t="s">
        <v>137</v>
      </c>
      <c r="G932" s="3"/>
      <c r="I932" s="92"/>
    </row>
    <row r="933" spans="2:9" x14ac:dyDescent="0.2">
      <c r="B933" s="112" t="s">
        <v>138</v>
      </c>
      <c r="C933" s="113"/>
      <c r="D933" s="73">
        <v>4</v>
      </c>
      <c r="E933" s="74" t="s">
        <v>139</v>
      </c>
      <c r="G933" s="3"/>
      <c r="I933" s="92"/>
    </row>
    <row r="934" spans="2:9" x14ac:dyDescent="0.2">
      <c r="B934" s="112" t="s">
        <v>140</v>
      </c>
      <c r="C934" s="113"/>
      <c r="D934" s="73">
        <v>4</v>
      </c>
      <c r="E934" s="74" t="s">
        <v>141</v>
      </c>
      <c r="G934" s="3"/>
      <c r="I934" s="92"/>
    </row>
    <row r="935" spans="2:9" ht="13.5" thickBot="1" x14ac:dyDescent="0.25">
      <c r="B935" s="114" t="s">
        <v>142</v>
      </c>
      <c r="C935" s="115"/>
      <c r="D935" s="73">
        <v>4</v>
      </c>
      <c r="E935" s="74" t="s">
        <v>143</v>
      </c>
      <c r="G935" s="3"/>
      <c r="I935" s="92"/>
    </row>
    <row r="936" spans="2:9" ht="25.5" customHeight="1" thickBot="1" x14ac:dyDescent="0.25">
      <c r="B936" s="78" t="s">
        <v>159</v>
      </c>
      <c r="C936" s="79"/>
      <c r="D936" s="79"/>
      <c r="E936" s="80"/>
      <c r="I936" s="92"/>
    </row>
    <row r="937" spans="2:9" x14ac:dyDescent="0.2">
      <c r="B937" s="61" t="s">
        <v>145</v>
      </c>
      <c r="E937" s="60"/>
    </row>
    <row r="938" spans="2:9" x14ac:dyDescent="0.2">
      <c r="B938" s="84"/>
      <c r="C938" s="62" t="s">
        <v>146</v>
      </c>
      <c r="D938" s="62"/>
      <c r="E938" s="62"/>
    </row>
    <row r="939" spans="2:9" x14ac:dyDescent="0.2">
      <c r="B939" s="61" t="s">
        <v>147</v>
      </c>
      <c r="C939" s="85"/>
      <c r="D939" s="85"/>
      <c r="E939" s="86"/>
    </row>
    <row r="940" spans="2:9" x14ac:dyDescent="0.2">
      <c r="B940" s="84"/>
      <c r="C940" s="62" t="s">
        <v>148</v>
      </c>
      <c r="D940" s="62"/>
      <c r="E940" s="62"/>
    </row>
    <row r="941" spans="2:9" x14ac:dyDescent="0.2">
      <c r="B941" s="61" t="s">
        <v>149</v>
      </c>
      <c r="E941" s="60"/>
    </row>
    <row r="942" spans="2:9" x14ac:dyDescent="0.2">
      <c r="B942" s="61"/>
      <c r="C942" s="87" t="s">
        <v>150</v>
      </c>
      <c r="D942" s="87"/>
      <c r="E942" s="87"/>
    </row>
    <row r="943" spans="2:9" ht="13.5" thickBot="1" x14ac:dyDescent="0.25">
      <c r="B943" s="88"/>
      <c r="C943" s="89"/>
      <c r="D943" s="90"/>
      <c r="E943" s="91"/>
    </row>
    <row r="944" spans="2:9" ht="13.5" thickBot="1" x14ac:dyDescent="0.25"/>
    <row r="945" spans="2:9" x14ac:dyDescent="0.2">
      <c r="B945" s="55" t="s">
        <v>220</v>
      </c>
      <c r="C945" s="56"/>
      <c r="D945" s="57"/>
      <c r="E945" s="58"/>
    </row>
    <row r="946" spans="2:9" x14ac:dyDescent="0.2">
      <c r="B946" s="59"/>
      <c r="E946" s="60"/>
    </row>
    <row r="947" spans="2:9" x14ac:dyDescent="0.2">
      <c r="B947" s="61" t="s">
        <v>98</v>
      </c>
      <c r="E947" s="60"/>
    </row>
    <row r="948" spans="2:9" x14ac:dyDescent="0.2">
      <c r="B948" s="61"/>
      <c r="C948" s="62" t="s">
        <v>221</v>
      </c>
      <c r="D948" s="62"/>
      <c r="E948" s="62"/>
    </row>
    <row r="949" spans="2:9" ht="13.5" thickBot="1" x14ac:dyDescent="0.25">
      <c r="B949" s="61" t="s">
        <v>100</v>
      </c>
      <c r="E949" s="60"/>
    </row>
    <row r="950" spans="2:9" ht="13.5" thickBot="1" x14ac:dyDescent="0.25">
      <c r="B950" s="63" t="s">
        <v>101</v>
      </c>
      <c r="C950" s="64"/>
      <c r="D950" s="64"/>
      <c r="E950" s="65"/>
    </row>
    <row r="951" spans="2:9" ht="13.5" thickBot="1" x14ac:dyDescent="0.25">
      <c r="B951" s="63" t="s">
        <v>102</v>
      </c>
      <c r="C951" s="65"/>
      <c r="D951" s="66" t="s">
        <v>13</v>
      </c>
      <c r="E951" s="66" t="s">
        <v>103</v>
      </c>
    </row>
    <row r="952" spans="2:9" x14ac:dyDescent="0.2">
      <c r="B952" s="67" t="s">
        <v>104</v>
      </c>
      <c r="C952" s="67"/>
      <c r="D952" s="101">
        <v>2</v>
      </c>
      <c r="E952" s="69" t="s">
        <v>105</v>
      </c>
      <c r="G952" s="102"/>
      <c r="I952" s="92"/>
    </row>
    <row r="953" spans="2:9" x14ac:dyDescent="0.2">
      <c r="B953" s="72" t="s">
        <v>106</v>
      </c>
      <c r="C953" s="72"/>
      <c r="D953" s="101">
        <v>4</v>
      </c>
      <c r="E953" s="74" t="s">
        <v>107</v>
      </c>
      <c r="G953" s="102"/>
      <c r="I953" s="92"/>
    </row>
    <row r="954" spans="2:9" x14ac:dyDescent="0.2">
      <c r="B954" s="72" t="s">
        <v>108</v>
      </c>
      <c r="C954" s="72"/>
      <c r="D954" s="101">
        <v>4</v>
      </c>
      <c r="E954" s="74" t="s">
        <v>109</v>
      </c>
      <c r="G954" s="102"/>
      <c r="I954" s="92"/>
    </row>
    <row r="955" spans="2:9" x14ac:dyDescent="0.2">
      <c r="B955" s="72" t="s">
        <v>110</v>
      </c>
      <c r="C955" s="72"/>
      <c r="D955" s="101">
        <v>3</v>
      </c>
      <c r="E955" s="74" t="s">
        <v>111</v>
      </c>
      <c r="G955" s="102"/>
      <c r="I955" s="92"/>
    </row>
    <row r="956" spans="2:9" x14ac:dyDescent="0.2">
      <c r="B956" s="72" t="s">
        <v>112</v>
      </c>
      <c r="C956" s="72"/>
      <c r="D956" s="101">
        <v>3</v>
      </c>
      <c r="E956" s="74" t="s">
        <v>113</v>
      </c>
      <c r="G956" s="102"/>
      <c r="I956" s="92"/>
    </row>
    <row r="957" spans="2:9" x14ac:dyDescent="0.2">
      <c r="B957" s="72" t="s">
        <v>114</v>
      </c>
      <c r="C957" s="72"/>
      <c r="D957" s="101">
        <v>2</v>
      </c>
      <c r="E957" s="74" t="s">
        <v>115</v>
      </c>
      <c r="G957" s="102"/>
      <c r="I957" s="92"/>
    </row>
    <row r="958" spans="2:9" x14ac:dyDescent="0.2">
      <c r="B958" s="72" t="s">
        <v>116</v>
      </c>
      <c r="C958" s="72"/>
      <c r="D958" s="101">
        <v>3</v>
      </c>
      <c r="E958" s="74" t="s">
        <v>117</v>
      </c>
      <c r="G958" s="102"/>
      <c r="I958" s="92"/>
    </row>
    <row r="959" spans="2:9" x14ac:dyDescent="0.2">
      <c r="B959" s="72" t="s">
        <v>118</v>
      </c>
      <c r="C959" s="72"/>
      <c r="D959" s="101">
        <v>3</v>
      </c>
      <c r="E959" s="74" t="s">
        <v>119</v>
      </c>
      <c r="G959" s="102"/>
      <c r="I959" s="92"/>
    </row>
    <row r="960" spans="2:9" x14ac:dyDescent="0.2">
      <c r="B960" s="72" t="s">
        <v>120</v>
      </c>
      <c r="C960" s="72"/>
      <c r="D960" s="101">
        <v>5</v>
      </c>
      <c r="E960" s="74" t="s">
        <v>121</v>
      </c>
      <c r="G960" s="102"/>
      <c r="I960" s="92"/>
    </row>
    <row r="961" spans="2:10" x14ac:dyDescent="0.2">
      <c r="B961" s="72" t="s">
        <v>122</v>
      </c>
      <c r="C961" s="72"/>
      <c r="D961" s="101">
        <v>3</v>
      </c>
      <c r="E961" s="74" t="s">
        <v>123</v>
      </c>
      <c r="G961" s="102"/>
      <c r="I961" s="92"/>
    </row>
    <row r="962" spans="2:10" x14ac:dyDescent="0.2">
      <c r="B962" s="72" t="s">
        <v>124</v>
      </c>
      <c r="C962" s="72"/>
      <c r="D962" s="101">
        <v>2</v>
      </c>
      <c r="E962" s="74" t="s">
        <v>125</v>
      </c>
      <c r="G962" s="102"/>
      <c r="I962" s="92"/>
    </row>
    <row r="963" spans="2:10" x14ac:dyDescent="0.2">
      <c r="B963" s="72" t="s">
        <v>126</v>
      </c>
      <c r="C963" s="72"/>
      <c r="D963" s="101">
        <v>3</v>
      </c>
      <c r="E963" s="74" t="s">
        <v>127</v>
      </c>
      <c r="G963" s="102"/>
      <c r="I963" s="92"/>
    </row>
    <row r="964" spans="2:10" x14ac:dyDescent="0.2">
      <c r="B964" s="72" t="s">
        <v>128</v>
      </c>
      <c r="C964" s="72"/>
      <c r="D964" s="101">
        <v>3</v>
      </c>
      <c r="E964" s="74" t="s">
        <v>129</v>
      </c>
      <c r="G964" s="102"/>
      <c r="I964" s="92"/>
    </row>
    <row r="965" spans="2:10" x14ac:dyDescent="0.2">
      <c r="B965" s="72" t="s">
        <v>130</v>
      </c>
      <c r="C965" s="72"/>
      <c r="D965" s="101">
        <v>3</v>
      </c>
      <c r="E965" s="74" t="s">
        <v>131</v>
      </c>
      <c r="G965" s="102"/>
      <c r="I965" s="92"/>
    </row>
    <row r="966" spans="2:10" x14ac:dyDescent="0.2">
      <c r="B966" s="72" t="s">
        <v>132</v>
      </c>
      <c r="C966" s="72"/>
      <c r="D966" s="101">
        <v>3</v>
      </c>
      <c r="E966" s="74" t="s">
        <v>133</v>
      </c>
      <c r="G966" s="102"/>
      <c r="I966" s="92"/>
    </row>
    <row r="967" spans="2:10" x14ac:dyDescent="0.2">
      <c r="B967" s="72" t="s">
        <v>134</v>
      </c>
      <c r="C967" s="72"/>
      <c r="D967" s="101">
        <v>3</v>
      </c>
      <c r="E967" s="74" t="s">
        <v>135</v>
      </c>
      <c r="G967" s="102"/>
      <c r="I967" s="92"/>
    </row>
    <row r="968" spans="2:10" x14ac:dyDescent="0.2">
      <c r="B968" s="72" t="s">
        <v>136</v>
      </c>
      <c r="C968" s="72"/>
      <c r="D968" s="101">
        <v>3</v>
      </c>
      <c r="E968" s="74" t="s">
        <v>137</v>
      </c>
      <c r="G968" s="102"/>
      <c r="I968" s="92"/>
    </row>
    <row r="969" spans="2:10" x14ac:dyDescent="0.2">
      <c r="B969" s="72" t="s">
        <v>138</v>
      </c>
      <c r="C969" s="72"/>
      <c r="D969" s="101">
        <v>3</v>
      </c>
      <c r="E969" s="74" t="s">
        <v>139</v>
      </c>
      <c r="G969" s="102"/>
      <c r="I969" s="92"/>
    </row>
    <row r="970" spans="2:10" x14ac:dyDescent="0.2">
      <c r="B970" s="72" t="s">
        <v>140</v>
      </c>
      <c r="C970" s="72"/>
      <c r="D970" s="101">
        <v>3</v>
      </c>
      <c r="E970" s="74" t="s">
        <v>141</v>
      </c>
      <c r="G970" s="102"/>
      <c r="I970" s="92"/>
    </row>
    <row r="971" spans="2:10" ht="13.5" thickBot="1" x14ac:dyDescent="0.25">
      <c r="B971" s="72" t="s">
        <v>142</v>
      </c>
      <c r="C971" s="72"/>
      <c r="D971" s="101">
        <v>3</v>
      </c>
      <c r="E971" s="74" t="s">
        <v>143</v>
      </c>
      <c r="G971" s="102"/>
      <c r="I971" s="92"/>
    </row>
    <row r="972" spans="2:10" ht="25.5" customHeight="1" thickBot="1" x14ac:dyDescent="0.25">
      <c r="B972" s="78" t="s">
        <v>222</v>
      </c>
      <c r="C972" s="79"/>
      <c r="D972" s="79"/>
      <c r="E972" s="80"/>
      <c r="I972" s="92"/>
      <c r="J972" s="92"/>
    </row>
    <row r="973" spans="2:10" x14ac:dyDescent="0.2">
      <c r="B973" s="61" t="s">
        <v>145</v>
      </c>
      <c r="E973" s="60"/>
    </row>
    <row r="974" spans="2:10" x14ac:dyDescent="0.2">
      <c r="B974" s="84"/>
      <c r="C974" s="62" t="s">
        <v>146</v>
      </c>
      <c r="D974" s="62"/>
      <c r="E974" s="62"/>
    </row>
    <row r="975" spans="2:10" x14ac:dyDescent="0.2">
      <c r="B975" s="61" t="s">
        <v>147</v>
      </c>
      <c r="C975" s="85"/>
      <c r="D975" s="85"/>
      <c r="E975" s="86"/>
    </row>
    <row r="976" spans="2:10" x14ac:dyDescent="0.2">
      <c r="B976" s="84"/>
      <c r="C976" s="62" t="s">
        <v>148</v>
      </c>
      <c r="D976" s="62"/>
      <c r="E976" s="62"/>
    </row>
    <row r="977" spans="2:9" x14ac:dyDescent="0.2">
      <c r="B977" s="61" t="s">
        <v>149</v>
      </c>
      <c r="E977" s="60"/>
    </row>
    <row r="978" spans="2:9" x14ac:dyDescent="0.2">
      <c r="B978" s="61"/>
      <c r="C978" s="87" t="s">
        <v>150</v>
      </c>
      <c r="D978" s="87"/>
      <c r="E978" s="87"/>
    </row>
    <row r="979" spans="2:9" ht="13.5" thickBot="1" x14ac:dyDescent="0.25">
      <c r="B979" s="88"/>
      <c r="C979" s="89"/>
      <c r="D979" s="90"/>
      <c r="E979" s="91"/>
    </row>
    <row r="980" spans="2:9" ht="13.5" thickBot="1" x14ac:dyDescent="0.25"/>
    <row r="981" spans="2:9" x14ac:dyDescent="0.2">
      <c r="B981" s="55" t="s">
        <v>223</v>
      </c>
      <c r="C981" s="56"/>
      <c r="D981" s="57"/>
      <c r="E981" s="58"/>
    </row>
    <row r="982" spans="2:9" x14ac:dyDescent="0.2">
      <c r="B982" s="59"/>
      <c r="C982" s="104" t="s">
        <v>224</v>
      </c>
      <c r="D982" s="104"/>
      <c r="E982" s="87"/>
    </row>
    <row r="983" spans="2:9" x14ac:dyDescent="0.2">
      <c r="B983" s="61" t="s">
        <v>98</v>
      </c>
      <c r="E983" s="60"/>
    </row>
    <row r="984" spans="2:9" x14ac:dyDescent="0.2">
      <c r="B984" s="61"/>
      <c r="C984" s="62"/>
      <c r="D984" s="62"/>
      <c r="E984" s="62"/>
    </row>
    <row r="985" spans="2:9" ht="13.5" thickBot="1" x14ac:dyDescent="0.25">
      <c r="B985" s="61" t="s">
        <v>100</v>
      </c>
      <c r="E985" s="60"/>
    </row>
    <row r="986" spans="2:9" ht="13.5" thickBot="1" x14ac:dyDescent="0.25">
      <c r="B986" s="63" t="s">
        <v>225</v>
      </c>
      <c r="C986" s="64"/>
      <c r="D986" s="64"/>
      <c r="E986" s="65"/>
    </row>
    <row r="987" spans="2:9" x14ac:dyDescent="0.2">
      <c r="B987" s="95" t="s">
        <v>102</v>
      </c>
      <c r="C987" s="97"/>
      <c r="D987" s="103" t="s">
        <v>13</v>
      </c>
      <c r="E987" s="103" t="s">
        <v>103</v>
      </c>
    </row>
    <row r="988" spans="2:9" x14ac:dyDescent="0.2">
      <c r="B988" s="72" t="s">
        <v>104</v>
      </c>
      <c r="C988" s="72"/>
      <c r="D988" s="73">
        <v>2</v>
      </c>
      <c r="E988" s="74" t="s">
        <v>105</v>
      </c>
      <c r="G988" s="3"/>
      <c r="I988" s="92"/>
    </row>
    <row r="989" spans="2:9" x14ac:dyDescent="0.2">
      <c r="B989" s="72" t="s">
        <v>106</v>
      </c>
      <c r="C989" s="72"/>
      <c r="D989" s="73">
        <v>5</v>
      </c>
      <c r="E989" s="74" t="s">
        <v>107</v>
      </c>
      <c r="G989" s="3"/>
      <c r="I989" s="92"/>
    </row>
    <row r="990" spans="2:9" x14ac:dyDescent="0.2">
      <c r="B990" s="72" t="s">
        <v>108</v>
      </c>
      <c r="C990" s="72"/>
      <c r="D990" s="73">
        <v>5</v>
      </c>
      <c r="E990" s="74" t="s">
        <v>109</v>
      </c>
      <c r="G990" s="3"/>
      <c r="I990" s="92"/>
    </row>
    <row r="991" spans="2:9" x14ac:dyDescent="0.2">
      <c r="B991" s="72" t="s">
        <v>110</v>
      </c>
      <c r="C991" s="72"/>
      <c r="D991" s="73">
        <v>3</v>
      </c>
      <c r="E991" s="74" t="s">
        <v>111</v>
      </c>
      <c r="G991" s="3"/>
      <c r="I991" s="92"/>
    </row>
    <row r="992" spans="2:9" x14ac:dyDescent="0.2">
      <c r="B992" s="72" t="s">
        <v>112</v>
      </c>
      <c r="C992" s="72"/>
      <c r="D992" s="73">
        <v>3</v>
      </c>
      <c r="E992" s="74" t="s">
        <v>113</v>
      </c>
      <c r="G992" s="3"/>
      <c r="I992" s="92"/>
    </row>
    <row r="993" spans="2:10" x14ac:dyDescent="0.2">
      <c r="B993" s="72" t="s">
        <v>114</v>
      </c>
      <c r="C993" s="72"/>
      <c r="D993" s="73">
        <v>2</v>
      </c>
      <c r="E993" s="74" t="s">
        <v>115</v>
      </c>
      <c r="G993" s="3"/>
      <c r="I993" s="92"/>
    </row>
    <row r="994" spans="2:10" x14ac:dyDescent="0.2">
      <c r="B994" s="72" t="s">
        <v>116</v>
      </c>
      <c r="C994" s="72"/>
      <c r="D994" s="73">
        <v>3</v>
      </c>
      <c r="E994" s="74" t="s">
        <v>117</v>
      </c>
      <c r="G994" s="3"/>
      <c r="I994" s="92"/>
    </row>
    <row r="995" spans="2:10" x14ac:dyDescent="0.2">
      <c r="B995" s="72" t="s">
        <v>118</v>
      </c>
      <c r="C995" s="72"/>
      <c r="D995" s="73">
        <v>3</v>
      </c>
      <c r="E995" s="74" t="s">
        <v>119</v>
      </c>
      <c r="G995" s="3"/>
      <c r="I995" s="92"/>
    </row>
    <row r="996" spans="2:10" x14ac:dyDescent="0.2">
      <c r="B996" s="72" t="s">
        <v>120</v>
      </c>
      <c r="C996" s="72"/>
      <c r="D996" s="73">
        <v>6</v>
      </c>
      <c r="E996" s="74" t="s">
        <v>121</v>
      </c>
      <c r="G996" s="3"/>
      <c r="I996" s="92"/>
    </row>
    <row r="997" spans="2:10" x14ac:dyDescent="0.2">
      <c r="B997" s="72" t="s">
        <v>122</v>
      </c>
      <c r="C997" s="72"/>
      <c r="D997" s="73">
        <v>3</v>
      </c>
      <c r="E997" s="74" t="s">
        <v>123</v>
      </c>
      <c r="G997" s="3"/>
      <c r="I997" s="92"/>
    </row>
    <row r="998" spans="2:10" x14ac:dyDescent="0.2">
      <c r="B998" s="72" t="s">
        <v>124</v>
      </c>
      <c r="C998" s="72"/>
      <c r="D998" s="73">
        <v>2</v>
      </c>
      <c r="E998" s="74" t="s">
        <v>125</v>
      </c>
      <c r="G998" s="3"/>
      <c r="I998" s="92"/>
    </row>
    <row r="999" spans="2:10" x14ac:dyDescent="0.2">
      <c r="B999" s="72" t="s">
        <v>126</v>
      </c>
      <c r="C999" s="72"/>
      <c r="D999" s="73">
        <v>3</v>
      </c>
      <c r="E999" s="74" t="s">
        <v>127</v>
      </c>
      <c r="G999" s="3"/>
      <c r="I999" s="92"/>
    </row>
    <row r="1000" spans="2:10" x14ac:dyDescent="0.2">
      <c r="B1000" s="72" t="s">
        <v>128</v>
      </c>
      <c r="C1000" s="72"/>
      <c r="D1000" s="73">
        <v>3</v>
      </c>
      <c r="E1000" s="74" t="s">
        <v>129</v>
      </c>
      <c r="G1000" s="3"/>
      <c r="I1000" s="92"/>
    </row>
    <row r="1001" spans="2:10" x14ac:dyDescent="0.2">
      <c r="B1001" s="72" t="s">
        <v>130</v>
      </c>
      <c r="C1001" s="72"/>
      <c r="D1001" s="73">
        <v>3</v>
      </c>
      <c r="E1001" s="74" t="s">
        <v>131</v>
      </c>
      <c r="G1001" s="3"/>
      <c r="I1001" s="92"/>
    </row>
    <row r="1002" spans="2:10" x14ac:dyDescent="0.2">
      <c r="B1002" s="72" t="s">
        <v>132</v>
      </c>
      <c r="C1002" s="72"/>
      <c r="D1002" s="73">
        <v>3</v>
      </c>
      <c r="E1002" s="74" t="s">
        <v>133</v>
      </c>
      <c r="G1002" s="3"/>
      <c r="I1002" s="92"/>
    </row>
    <row r="1003" spans="2:10" x14ac:dyDescent="0.2">
      <c r="B1003" s="72" t="s">
        <v>134</v>
      </c>
      <c r="C1003" s="72"/>
      <c r="D1003" s="73">
        <v>3</v>
      </c>
      <c r="E1003" s="74" t="s">
        <v>135</v>
      </c>
      <c r="G1003" s="3"/>
      <c r="I1003" s="92"/>
    </row>
    <row r="1004" spans="2:10" x14ac:dyDescent="0.2">
      <c r="B1004" s="72" t="s">
        <v>136</v>
      </c>
      <c r="C1004" s="72"/>
      <c r="D1004" s="73">
        <v>3</v>
      </c>
      <c r="E1004" s="74" t="s">
        <v>137</v>
      </c>
      <c r="G1004" s="3"/>
      <c r="I1004" s="92"/>
    </row>
    <row r="1005" spans="2:10" x14ac:dyDescent="0.2">
      <c r="B1005" s="72" t="s">
        <v>138</v>
      </c>
      <c r="C1005" s="72"/>
      <c r="D1005" s="73">
        <v>3</v>
      </c>
      <c r="E1005" s="74" t="s">
        <v>139</v>
      </c>
      <c r="G1005" s="3"/>
      <c r="I1005" s="92"/>
    </row>
    <row r="1006" spans="2:10" x14ac:dyDescent="0.2">
      <c r="B1006" s="72" t="s">
        <v>140</v>
      </c>
      <c r="C1006" s="72"/>
      <c r="D1006" s="73">
        <v>3</v>
      </c>
      <c r="E1006" s="74" t="s">
        <v>141</v>
      </c>
      <c r="G1006" s="3"/>
      <c r="I1006" s="92"/>
    </row>
    <row r="1007" spans="2:10" ht="13.5" thickBot="1" x14ac:dyDescent="0.25">
      <c r="B1007" s="72" t="s">
        <v>142</v>
      </c>
      <c r="C1007" s="72"/>
      <c r="D1007" s="73">
        <v>3</v>
      </c>
      <c r="E1007" s="74" t="s">
        <v>143</v>
      </c>
      <c r="G1007" s="3"/>
      <c r="I1007" s="92"/>
    </row>
    <row r="1008" spans="2:10" ht="27" customHeight="1" thickBot="1" x14ac:dyDescent="0.25">
      <c r="B1008" s="78" t="s">
        <v>226</v>
      </c>
      <c r="C1008" s="79"/>
      <c r="D1008" s="79"/>
      <c r="E1008" s="80"/>
      <c r="I1008" s="92"/>
      <c r="J1008" s="92"/>
    </row>
    <row r="1009" spans="2:10" x14ac:dyDescent="0.2">
      <c r="B1009" s="61" t="s">
        <v>145</v>
      </c>
      <c r="E1009" s="60"/>
    </row>
    <row r="1010" spans="2:10" x14ac:dyDescent="0.2">
      <c r="B1010" s="84"/>
      <c r="C1010" s="62" t="s">
        <v>146</v>
      </c>
      <c r="D1010" s="62"/>
      <c r="E1010" s="62"/>
    </row>
    <row r="1011" spans="2:10" x14ac:dyDescent="0.2">
      <c r="B1011" s="61" t="s">
        <v>147</v>
      </c>
      <c r="C1011" s="85"/>
      <c r="D1011" s="85"/>
      <c r="E1011" s="86"/>
    </row>
    <row r="1012" spans="2:10" x14ac:dyDescent="0.2">
      <c r="B1012" s="84"/>
      <c r="C1012" s="62" t="s">
        <v>148</v>
      </c>
      <c r="D1012" s="62"/>
      <c r="E1012" s="62"/>
    </row>
    <row r="1013" spans="2:10" x14ac:dyDescent="0.2">
      <c r="B1013" s="61" t="s">
        <v>149</v>
      </c>
      <c r="E1013" s="60"/>
    </row>
    <row r="1014" spans="2:10" x14ac:dyDescent="0.2">
      <c r="B1014" s="61"/>
      <c r="C1014" s="87" t="s">
        <v>150</v>
      </c>
      <c r="D1014" s="87"/>
      <c r="E1014" s="87"/>
    </row>
    <row r="1015" spans="2:10" ht="13.5" thickBot="1" x14ac:dyDescent="0.25">
      <c r="B1015" s="88"/>
      <c r="C1015" s="89"/>
      <c r="D1015" s="90"/>
      <c r="E1015" s="91"/>
    </row>
    <row r="1016" spans="2:10" ht="13.5" thickBot="1" x14ac:dyDescent="0.25"/>
    <row r="1017" spans="2:10" x14ac:dyDescent="0.2">
      <c r="B1017" s="55" t="s">
        <v>227</v>
      </c>
      <c r="C1017" s="56"/>
      <c r="D1017" s="57"/>
      <c r="E1017" s="58"/>
    </row>
    <row r="1018" spans="2:10" x14ac:dyDescent="0.2">
      <c r="B1018" s="59"/>
      <c r="C1018" s="104" t="s">
        <v>228</v>
      </c>
      <c r="D1018" s="104"/>
      <c r="E1018" s="87"/>
    </row>
    <row r="1019" spans="2:10" x14ac:dyDescent="0.2">
      <c r="B1019" s="61" t="s">
        <v>98</v>
      </c>
      <c r="E1019" s="60"/>
    </row>
    <row r="1020" spans="2:10" x14ac:dyDescent="0.2">
      <c r="B1020" s="61"/>
      <c r="C1020" s="62"/>
      <c r="D1020" s="62"/>
      <c r="E1020" s="62"/>
    </row>
    <row r="1021" spans="2:10" ht="13.5" thickBot="1" x14ac:dyDescent="0.25">
      <c r="B1021" s="61" t="s">
        <v>100</v>
      </c>
      <c r="E1021" s="60"/>
    </row>
    <row r="1022" spans="2:10" ht="13.5" thickBot="1" x14ac:dyDescent="0.25">
      <c r="B1022" s="63" t="s">
        <v>229</v>
      </c>
      <c r="C1022" s="64"/>
      <c r="D1022" s="64"/>
      <c r="E1022" s="65"/>
    </row>
    <row r="1023" spans="2:10" x14ac:dyDescent="0.2">
      <c r="B1023" s="95" t="s">
        <v>102</v>
      </c>
      <c r="C1023" s="97"/>
      <c r="D1023" s="103" t="s">
        <v>13</v>
      </c>
      <c r="E1023" s="103" t="s">
        <v>103</v>
      </c>
    </row>
    <row r="1024" spans="2:10" x14ac:dyDescent="0.2">
      <c r="B1024" s="72" t="s">
        <v>104</v>
      </c>
      <c r="C1024" s="72"/>
      <c r="D1024" s="73">
        <v>2</v>
      </c>
      <c r="E1024" s="74" t="s">
        <v>105</v>
      </c>
      <c r="G1024" s="3"/>
      <c r="I1024" s="92"/>
      <c r="J1024" s="92"/>
    </row>
    <row r="1025" spans="2:10" x14ac:dyDescent="0.2">
      <c r="B1025" s="72" t="s">
        <v>106</v>
      </c>
      <c r="C1025" s="72"/>
      <c r="D1025" s="73">
        <v>4</v>
      </c>
      <c r="E1025" s="74" t="s">
        <v>107</v>
      </c>
      <c r="G1025" s="3"/>
      <c r="I1025" s="92"/>
      <c r="J1025" s="92"/>
    </row>
    <row r="1026" spans="2:10" x14ac:dyDescent="0.2">
      <c r="B1026" s="72" t="s">
        <v>108</v>
      </c>
      <c r="C1026" s="72"/>
      <c r="D1026" s="73">
        <v>4</v>
      </c>
      <c r="E1026" s="74" t="s">
        <v>109</v>
      </c>
      <c r="G1026" s="3"/>
      <c r="I1026" s="92"/>
      <c r="J1026" s="92"/>
    </row>
    <row r="1027" spans="2:10" x14ac:dyDescent="0.2">
      <c r="B1027" s="72" t="s">
        <v>110</v>
      </c>
      <c r="C1027" s="72"/>
      <c r="D1027" s="73">
        <v>3</v>
      </c>
      <c r="E1027" s="74" t="s">
        <v>111</v>
      </c>
      <c r="G1027" s="3"/>
      <c r="I1027" s="92"/>
      <c r="J1027" s="92"/>
    </row>
    <row r="1028" spans="2:10" x14ac:dyDescent="0.2">
      <c r="B1028" s="72" t="s">
        <v>112</v>
      </c>
      <c r="C1028" s="72"/>
      <c r="D1028" s="73">
        <v>3</v>
      </c>
      <c r="E1028" s="74" t="s">
        <v>113</v>
      </c>
      <c r="G1028" s="3"/>
      <c r="I1028" s="92"/>
      <c r="J1028" s="92"/>
    </row>
    <row r="1029" spans="2:10" x14ac:dyDescent="0.2">
      <c r="B1029" s="72" t="s">
        <v>114</v>
      </c>
      <c r="C1029" s="72"/>
      <c r="D1029" s="73">
        <v>2</v>
      </c>
      <c r="E1029" s="74" t="s">
        <v>115</v>
      </c>
      <c r="G1029" s="3"/>
      <c r="I1029" s="92"/>
      <c r="J1029" s="92"/>
    </row>
    <row r="1030" spans="2:10" x14ac:dyDescent="0.2">
      <c r="B1030" s="72" t="s">
        <v>116</v>
      </c>
      <c r="C1030" s="72"/>
      <c r="D1030" s="73">
        <v>3</v>
      </c>
      <c r="E1030" s="74" t="s">
        <v>117</v>
      </c>
      <c r="G1030" s="3"/>
      <c r="I1030" s="92"/>
      <c r="J1030" s="92"/>
    </row>
    <row r="1031" spans="2:10" x14ac:dyDescent="0.2">
      <c r="B1031" s="72" t="s">
        <v>118</v>
      </c>
      <c r="C1031" s="72"/>
      <c r="D1031" s="73">
        <v>3</v>
      </c>
      <c r="E1031" s="74" t="s">
        <v>119</v>
      </c>
      <c r="G1031" s="3"/>
      <c r="I1031" s="92"/>
      <c r="J1031" s="92"/>
    </row>
    <row r="1032" spans="2:10" x14ac:dyDescent="0.2">
      <c r="B1032" s="72" t="s">
        <v>120</v>
      </c>
      <c r="C1032" s="72"/>
      <c r="D1032" s="73">
        <v>5</v>
      </c>
      <c r="E1032" s="74" t="s">
        <v>121</v>
      </c>
      <c r="G1032" s="3"/>
      <c r="I1032" s="92"/>
      <c r="J1032" s="92"/>
    </row>
    <row r="1033" spans="2:10" x14ac:dyDescent="0.2">
      <c r="B1033" s="72" t="s">
        <v>122</v>
      </c>
      <c r="C1033" s="72"/>
      <c r="D1033" s="73">
        <v>3</v>
      </c>
      <c r="E1033" s="74" t="s">
        <v>123</v>
      </c>
      <c r="G1033" s="3"/>
      <c r="I1033" s="92"/>
      <c r="J1033" s="92"/>
    </row>
    <row r="1034" spans="2:10" x14ac:dyDescent="0.2">
      <c r="B1034" s="72" t="s">
        <v>124</v>
      </c>
      <c r="C1034" s="72"/>
      <c r="D1034" s="73">
        <v>2</v>
      </c>
      <c r="E1034" s="74" t="s">
        <v>125</v>
      </c>
      <c r="G1034" s="3"/>
      <c r="I1034" s="92"/>
      <c r="J1034" s="92"/>
    </row>
    <row r="1035" spans="2:10" x14ac:dyDescent="0.2">
      <c r="B1035" s="72" t="s">
        <v>126</v>
      </c>
      <c r="C1035" s="72"/>
      <c r="D1035" s="73">
        <v>3</v>
      </c>
      <c r="E1035" s="74" t="s">
        <v>127</v>
      </c>
      <c r="G1035" s="3"/>
      <c r="I1035" s="92"/>
      <c r="J1035" s="92"/>
    </row>
    <row r="1036" spans="2:10" x14ac:dyDescent="0.2">
      <c r="B1036" s="72" t="s">
        <v>128</v>
      </c>
      <c r="C1036" s="72"/>
      <c r="D1036" s="73">
        <v>3</v>
      </c>
      <c r="E1036" s="74" t="s">
        <v>129</v>
      </c>
      <c r="G1036" s="3"/>
      <c r="I1036" s="92"/>
      <c r="J1036" s="92"/>
    </row>
    <row r="1037" spans="2:10" x14ac:dyDescent="0.2">
      <c r="B1037" s="72" t="s">
        <v>130</v>
      </c>
      <c r="C1037" s="72"/>
      <c r="D1037" s="73">
        <v>3</v>
      </c>
      <c r="E1037" s="74" t="s">
        <v>131</v>
      </c>
      <c r="G1037" s="3"/>
      <c r="I1037" s="92"/>
      <c r="J1037" s="92"/>
    </row>
    <row r="1038" spans="2:10" x14ac:dyDescent="0.2">
      <c r="B1038" s="72" t="s">
        <v>132</v>
      </c>
      <c r="C1038" s="72"/>
      <c r="D1038" s="73">
        <v>3</v>
      </c>
      <c r="E1038" s="74" t="s">
        <v>133</v>
      </c>
      <c r="G1038" s="3"/>
      <c r="I1038" s="92"/>
      <c r="J1038" s="92"/>
    </row>
    <row r="1039" spans="2:10" x14ac:dyDescent="0.2">
      <c r="B1039" s="72" t="s">
        <v>134</v>
      </c>
      <c r="C1039" s="72"/>
      <c r="D1039" s="73">
        <v>3</v>
      </c>
      <c r="E1039" s="74" t="s">
        <v>135</v>
      </c>
      <c r="G1039" s="3"/>
      <c r="I1039" s="92"/>
      <c r="J1039" s="92"/>
    </row>
    <row r="1040" spans="2:10" x14ac:dyDescent="0.2">
      <c r="B1040" s="72" t="s">
        <v>136</v>
      </c>
      <c r="C1040" s="72"/>
      <c r="D1040" s="73">
        <v>3</v>
      </c>
      <c r="E1040" s="74" t="s">
        <v>137</v>
      </c>
      <c r="G1040" s="3"/>
      <c r="I1040" s="92"/>
      <c r="J1040" s="92"/>
    </row>
    <row r="1041" spans="2:10" x14ac:dyDescent="0.2">
      <c r="B1041" s="72" t="s">
        <v>138</v>
      </c>
      <c r="C1041" s="72"/>
      <c r="D1041" s="73">
        <v>3</v>
      </c>
      <c r="E1041" s="74" t="s">
        <v>139</v>
      </c>
      <c r="G1041" s="3"/>
      <c r="I1041" s="92"/>
      <c r="J1041" s="92"/>
    </row>
    <row r="1042" spans="2:10" x14ac:dyDescent="0.2">
      <c r="B1042" s="72" t="s">
        <v>140</v>
      </c>
      <c r="C1042" s="72"/>
      <c r="D1042" s="73">
        <v>3</v>
      </c>
      <c r="E1042" s="74" t="s">
        <v>141</v>
      </c>
      <c r="G1042" s="3"/>
      <c r="I1042" s="92"/>
      <c r="J1042" s="92"/>
    </row>
    <row r="1043" spans="2:10" ht="13.5" thickBot="1" x14ac:dyDescent="0.25">
      <c r="B1043" s="72" t="s">
        <v>142</v>
      </c>
      <c r="C1043" s="72"/>
      <c r="D1043" s="73">
        <v>3</v>
      </c>
      <c r="E1043" s="74" t="s">
        <v>143</v>
      </c>
      <c r="G1043" s="3"/>
      <c r="I1043" s="92"/>
      <c r="J1043" s="92"/>
    </row>
    <row r="1044" spans="2:10" ht="24.75" customHeight="1" thickBot="1" x14ac:dyDescent="0.25">
      <c r="B1044" s="78" t="s">
        <v>230</v>
      </c>
      <c r="C1044" s="79"/>
      <c r="D1044" s="79"/>
      <c r="E1044" s="80"/>
      <c r="I1044" s="92"/>
      <c r="J1044" s="92"/>
    </row>
    <row r="1045" spans="2:10" x14ac:dyDescent="0.2">
      <c r="B1045" s="61" t="s">
        <v>145</v>
      </c>
      <c r="E1045" s="60"/>
    </row>
    <row r="1046" spans="2:10" x14ac:dyDescent="0.2">
      <c r="B1046" s="84"/>
      <c r="C1046" s="62" t="s">
        <v>146</v>
      </c>
      <c r="D1046" s="62"/>
      <c r="E1046" s="62"/>
    </row>
    <row r="1047" spans="2:10" x14ac:dyDescent="0.2">
      <c r="B1047" s="61" t="s">
        <v>147</v>
      </c>
      <c r="C1047" s="85"/>
      <c r="D1047" s="85"/>
      <c r="E1047" s="86"/>
    </row>
    <row r="1048" spans="2:10" x14ac:dyDescent="0.2">
      <c r="B1048" s="84"/>
      <c r="C1048" s="62" t="s">
        <v>148</v>
      </c>
      <c r="D1048" s="62"/>
      <c r="E1048" s="62"/>
    </row>
    <row r="1049" spans="2:10" x14ac:dyDescent="0.2">
      <c r="B1049" s="61" t="s">
        <v>149</v>
      </c>
      <c r="E1049" s="60"/>
    </row>
    <row r="1050" spans="2:10" x14ac:dyDescent="0.2">
      <c r="B1050" s="61"/>
      <c r="C1050" s="87" t="s">
        <v>150</v>
      </c>
      <c r="D1050" s="87"/>
      <c r="E1050" s="87"/>
    </row>
    <row r="1051" spans="2:10" ht="13.5" thickBot="1" x14ac:dyDescent="0.25">
      <c r="B1051" s="88"/>
      <c r="C1051" s="89"/>
      <c r="D1051" s="90"/>
      <c r="E1051" s="91"/>
    </row>
    <row r="1052" spans="2:10" ht="13.5" thickBot="1" x14ac:dyDescent="0.25"/>
    <row r="1053" spans="2:10" x14ac:dyDescent="0.2">
      <c r="B1053" s="55" t="s">
        <v>231</v>
      </c>
      <c r="C1053" s="56"/>
      <c r="D1053" s="57"/>
      <c r="E1053" s="58"/>
    </row>
    <row r="1054" spans="2:10" x14ac:dyDescent="0.2">
      <c r="B1054" s="59"/>
      <c r="C1054" s="104" t="s">
        <v>232</v>
      </c>
      <c r="D1054" s="104"/>
      <c r="E1054" s="87"/>
    </row>
    <row r="1055" spans="2:10" x14ac:dyDescent="0.2">
      <c r="B1055" s="61" t="s">
        <v>98</v>
      </c>
      <c r="E1055" s="60"/>
    </row>
    <row r="1056" spans="2:10" x14ac:dyDescent="0.2">
      <c r="B1056" s="61"/>
      <c r="C1056" s="62"/>
      <c r="D1056" s="62"/>
      <c r="E1056" s="62"/>
    </row>
    <row r="1057" spans="2:10" ht="13.5" thickBot="1" x14ac:dyDescent="0.25">
      <c r="B1057" s="61" t="s">
        <v>100</v>
      </c>
      <c r="E1057" s="60"/>
    </row>
    <row r="1058" spans="2:10" ht="13.5" thickBot="1" x14ac:dyDescent="0.25">
      <c r="B1058" s="63" t="s">
        <v>225</v>
      </c>
      <c r="C1058" s="64"/>
      <c r="D1058" s="64"/>
      <c r="E1058" s="65"/>
    </row>
    <row r="1059" spans="2:10" x14ac:dyDescent="0.2">
      <c r="B1059" s="95" t="s">
        <v>102</v>
      </c>
      <c r="C1059" s="97"/>
      <c r="D1059" s="103" t="s">
        <v>13</v>
      </c>
      <c r="E1059" s="103" t="s">
        <v>103</v>
      </c>
    </row>
    <row r="1060" spans="2:10" x14ac:dyDescent="0.2">
      <c r="B1060" s="72" t="s">
        <v>104</v>
      </c>
      <c r="C1060" s="72"/>
      <c r="D1060" s="73">
        <v>2</v>
      </c>
      <c r="E1060" s="74" t="s">
        <v>105</v>
      </c>
      <c r="G1060" s="3"/>
      <c r="I1060" s="92"/>
      <c r="J1060" s="92"/>
    </row>
    <row r="1061" spans="2:10" x14ac:dyDescent="0.2">
      <c r="B1061" s="72" t="s">
        <v>106</v>
      </c>
      <c r="C1061" s="72"/>
      <c r="D1061" s="73">
        <v>4</v>
      </c>
      <c r="E1061" s="74" t="s">
        <v>107</v>
      </c>
      <c r="G1061" s="3"/>
      <c r="I1061" s="92"/>
      <c r="J1061" s="92"/>
    </row>
    <row r="1062" spans="2:10" x14ac:dyDescent="0.2">
      <c r="B1062" s="72" t="s">
        <v>108</v>
      </c>
      <c r="C1062" s="72"/>
      <c r="D1062" s="73">
        <v>4</v>
      </c>
      <c r="E1062" s="74" t="s">
        <v>109</v>
      </c>
      <c r="G1062" s="3"/>
      <c r="I1062" s="92"/>
      <c r="J1062" s="92"/>
    </row>
    <row r="1063" spans="2:10" x14ac:dyDescent="0.2">
      <c r="B1063" s="72" t="s">
        <v>110</v>
      </c>
      <c r="C1063" s="72"/>
      <c r="D1063" s="73">
        <v>3</v>
      </c>
      <c r="E1063" s="74" t="s">
        <v>111</v>
      </c>
      <c r="G1063" s="3"/>
      <c r="I1063" s="92"/>
      <c r="J1063" s="92"/>
    </row>
    <row r="1064" spans="2:10" x14ac:dyDescent="0.2">
      <c r="B1064" s="72" t="s">
        <v>112</v>
      </c>
      <c r="C1064" s="72"/>
      <c r="D1064" s="73">
        <v>3</v>
      </c>
      <c r="E1064" s="74" t="s">
        <v>113</v>
      </c>
      <c r="G1064" s="3"/>
      <c r="I1064" s="92"/>
      <c r="J1064" s="92"/>
    </row>
    <row r="1065" spans="2:10" x14ac:dyDescent="0.2">
      <c r="B1065" s="72" t="s">
        <v>114</v>
      </c>
      <c r="C1065" s="72"/>
      <c r="D1065" s="73">
        <v>2</v>
      </c>
      <c r="E1065" s="74" t="s">
        <v>115</v>
      </c>
      <c r="G1065" s="3"/>
      <c r="I1065" s="92"/>
      <c r="J1065" s="92"/>
    </row>
    <row r="1066" spans="2:10" x14ac:dyDescent="0.2">
      <c r="B1066" s="72" t="s">
        <v>116</v>
      </c>
      <c r="C1066" s="72"/>
      <c r="D1066" s="73">
        <v>3</v>
      </c>
      <c r="E1066" s="74" t="s">
        <v>117</v>
      </c>
      <c r="G1066" s="3"/>
      <c r="I1066" s="92"/>
      <c r="J1066" s="92"/>
    </row>
    <row r="1067" spans="2:10" x14ac:dyDescent="0.2">
      <c r="B1067" s="72" t="s">
        <v>118</v>
      </c>
      <c r="C1067" s="72"/>
      <c r="D1067" s="73">
        <v>3</v>
      </c>
      <c r="E1067" s="74" t="s">
        <v>119</v>
      </c>
      <c r="G1067" s="3"/>
      <c r="I1067" s="92"/>
      <c r="J1067" s="92"/>
    </row>
    <row r="1068" spans="2:10" x14ac:dyDescent="0.2">
      <c r="B1068" s="72" t="s">
        <v>120</v>
      </c>
      <c r="C1068" s="72"/>
      <c r="D1068" s="73">
        <v>5</v>
      </c>
      <c r="E1068" s="74" t="s">
        <v>121</v>
      </c>
      <c r="G1068" s="3"/>
      <c r="I1068" s="92"/>
      <c r="J1068" s="92"/>
    </row>
    <row r="1069" spans="2:10" x14ac:dyDescent="0.2">
      <c r="B1069" s="72" t="s">
        <v>122</v>
      </c>
      <c r="C1069" s="72"/>
      <c r="D1069" s="73">
        <v>3</v>
      </c>
      <c r="E1069" s="74" t="s">
        <v>123</v>
      </c>
      <c r="G1069" s="3"/>
      <c r="I1069" s="92"/>
      <c r="J1069" s="92"/>
    </row>
    <row r="1070" spans="2:10" x14ac:dyDescent="0.2">
      <c r="B1070" s="72" t="s">
        <v>124</v>
      </c>
      <c r="C1070" s="72"/>
      <c r="D1070" s="73">
        <v>2</v>
      </c>
      <c r="E1070" s="74" t="s">
        <v>125</v>
      </c>
      <c r="G1070" s="3"/>
      <c r="I1070" s="92"/>
      <c r="J1070" s="92"/>
    </row>
    <row r="1071" spans="2:10" x14ac:dyDescent="0.2">
      <c r="B1071" s="72" t="s">
        <v>126</v>
      </c>
      <c r="C1071" s="72"/>
      <c r="D1071" s="73">
        <v>3</v>
      </c>
      <c r="E1071" s="74" t="s">
        <v>127</v>
      </c>
      <c r="G1071" s="3"/>
      <c r="I1071" s="92"/>
      <c r="J1071" s="92"/>
    </row>
    <row r="1072" spans="2:10" x14ac:dyDescent="0.2">
      <c r="B1072" s="72" t="s">
        <v>128</v>
      </c>
      <c r="C1072" s="72"/>
      <c r="D1072" s="73">
        <v>3</v>
      </c>
      <c r="E1072" s="74" t="s">
        <v>129</v>
      </c>
      <c r="G1072" s="3"/>
      <c r="I1072" s="92"/>
      <c r="J1072" s="92"/>
    </row>
    <row r="1073" spans="2:10" x14ac:dyDescent="0.2">
      <c r="B1073" s="72" t="s">
        <v>130</v>
      </c>
      <c r="C1073" s="72"/>
      <c r="D1073" s="73">
        <v>3</v>
      </c>
      <c r="E1073" s="74" t="s">
        <v>131</v>
      </c>
      <c r="G1073" s="3"/>
      <c r="I1073" s="92"/>
      <c r="J1073" s="92"/>
    </row>
    <row r="1074" spans="2:10" x14ac:dyDescent="0.2">
      <c r="B1074" s="72" t="s">
        <v>132</v>
      </c>
      <c r="C1074" s="72"/>
      <c r="D1074" s="73">
        <v>3</v>
      </c>
      <c r="E1074" s="74" t="s">
        <v>133</v>
      </c>
      <c r="G1074" s="3"/>
      <c r="I1074" s="92"/>
      <c r="J1074" s="92"/>
    </row>
    <row r="1075" spans="2:10" x14ac:dyDescent="0.2">
      <c r="B1075" s="72" t="s">
        <v>134</v>
      </c>
      <c r="C1075" s="72"/>
      <c r="D1075" s="73">
        <v>3</v>
      </c>
      <c r="E1075" s="74" t="s">
        <v>135</v>
      </c>
      <c r="G1075" s="3"/>
      <c r="I1075" s="92"/>
      <c r="J1075" s="92"/>
    </row>
    <row r="1076" spans="2:10" x14ac:dyDescent="0.2">
      <c r="B1076" s="72" t="s">
        <v>136</v>
      </c>
      <c r="C1076" s="72"/>
      <c r="D1076" s="73">
        <v>3</v>
      </c>
      <c r="E1076" s="74" t="s">
        <v>137</v>
      </c>
      <c r="G1076" s="3"/>
      <c r="I1076" s="92"/>
      <c r="J1076" s="92"/>
    </row>
    <row r="1077" spans="2:10" x14ac:dyDescent="0.2">
      <c r="B1077" s="72" t="s">
        <v>138</v>
      </c>
      <c r="C1077" s="72"/>
      <c r="D1077" s="73">
        <v>3</v>
      </c>
      <c r="E1077" s="74" t="s">
        <v>139</v>
      </c>
      <c r="G1077" s="3"/>
      <c r="I1077" s="92"/>
      <c r="J1077" s="92"/>
    </row>
    <row r="1078" spans="2:10" x14ac:dyDescent="0.2">
      <c r="B1078" s="72" t="s">
        <v>140</v>
      </c>
      <c r="C1078" s="72"/>
      <c r="D1078" s="73">
        <v>3</v>
      </c>
      <c r="E1078" s="74" t="s">
        <v>141</v>
      </c>
      <c r="G1078" s="3"/>
      <c r="I1078" s="92"/>
      <c r="J1078" s="92"/>
    </row>
    <row r="1079" spans="2:10" ht="13.5" thickBot="1" x14ac:dyDescent="0.25">
      <c r="B1079" s="72" t="s">
        <v>142</v>
      </c>
      <c r="C1079" s="72"/>
      <c r="D1079" s="73">
        <v>3</v>
      </c>
      <c r="E1079" s="74" t="s">
        <v>143</v>
      </c>
      <c r="G1079" s="3"/>
      <c r="I1079" s="92"/>
      <c r="J1079" s="92"/>
    </row>
    <row r="1080" spans="2:10" ht="25.5" customHeight="1" thickBot="1" x14ac:dyDescent="0.25">
      <c r="B1080" s="78" t="s">
        <v>233</v>
      </c>
      <c r="C1080" s="79"/>
      <c r="D1080" s="79"/>
      <c r="E1080" s="80"/>
      <c r="I1080" s="92"/>
      <c r="J1080" s="92"/>
    </row>
    <row r="1081" spans="2:10" x14ac:dyDescent="0.2">
      <c r="B1081" s="61" t="s">
        <v>145</v>
      </c>
      <c r="E1081" s="60"/>
    </row>
    <row r="1082" spans="2:10" x14ac:dyDescent="0.2">
      <c r="B1082" s="84"/>
      <c r="C1082" s="62" t="s">
        <v>146</v>
      </c>
      <c r="D1082" s="62"/>
      <c r="E1082" s="62"/>
    </row>
    <row r="1083" spans="2:10" x14ac:dyDescent="0.2">
      <c r="B1083" s="61" t="s">
        <v>147</v>
      </c>
      <c r="C1083" s="85"/>
      <c r="D1083" s="85"/>
      <c r="E1083" s="86"/>
    </row>
    <row r="1084" spans="2:10" x14ac:dyDescent="0.2">
      <c r="B1084" s="84"/>
      <c r="C1084" s="62" t="s">
        <v>148</v>
      </c>
      <c r="D1084" s="62"/>
      <c r="E1084" s="62"/>
    </row>
    <row r="1085" spans="2:10" x14ac:dyDescent="0.2">
      <c r="B1085" s="61" t="s">
        <v>149</v>
      </c>
      <c r="E1085" s="60"/>
    </row>
    <row r="1086" spans="2:10" x14ac:dyDescent="0.2">
      <c r="B1086" s="61"/>
      <c r="C1086" s="87" t="s">
        <v>150</v>
      </c>
      <c r="D1086" s="87"/>
      <c r="E1086" s="87"/>
    </row>
    <row r="1087" spans="2:10" ht="13.5" thickBot="1" x14ac:dyDescent="0.25">
      <c r="B1087" s="88"/>
      <c r="C1087" s="89"/>
      <c r="D1087" s="90"/>
      <c r="E1087" s="91"/>
    </row>
    <row r="1088" spans="2:10" ht="13.5" thickBot="1" x14ac:dyDescent="0.25"/>
    <row r="1089" spans="2:10" x14ac:dyDescent="0.2">
      <c r="B1089" s="55" t="s">
        <v>234</v>
      </c>
      <c r="C1089" s="56"/>
      <c r="D1089" s="57"/>
      <c r="E1089" s="58"/>
    </row>
    <row r="1090" spans="2:10" x14ac:dyDescent="0.2">
      <c r="B1090" s="59"/>
      <c r="C1090" s="104"/>
      <c r="D1090" s="104"/>
      <c r="E1090" s="87"/>
    </row>
    <row r="1091" spans="2:10" x14ac:dyDescent="0.2">
      <c r="B1091" s="61" t="s">
        <v>98</v>
      </c>
      <c r="E1091" s="60"/>
    </row>
    <row r="1092" spans="2:10" x14ac:dyDescent="0.2">
      <c r="B1092" s="61"/>
      <c r="C1092" s="104" t="s">
        <v>235</v>
      </c>
      <c r="D1092" s="104"/>
      <c r="E1092" s="87"/>
    </row>
    <row r="1093" spans="2:10" ht="13.5" thickBot="1" x14ac:dyDescent="0.25">
      <c r="B1093" s="61" t="s">
        <v>100</v>
      </c>
      <c r="E1093" s="60"/>
    </row>
    <row r="1094" spans="2:10" ht="13.5" thickBot="1" x14ac:dyDescent="0.25">
      <c r="B1094" s="63" t="s">
        <v>229</v>
      </c>
      <c r="C1094" s="64"/>
      <c r="D1094" s="64"/>
      <c r="E1094" s="65"/>
    </row>
    <row r="1095" spans="2:10" x14ac:dyDescent="0.2">
      <c r="B1095" s="95" t="s">
        <v>102</v>
      </c>
      <c r="C1095" s="97"/>
      <c r="D1095" s="103" t="s">
        <v>13</v>
      </c>
      <c r="E1095" s="103" t="s">
        <v>103</v>
      </c>
    </row>
    <row r="1096" spans="2:10" x14ac:dyDescent="0.2">
      <c r="B1096" s="72" t="s">
        <v>104</v>
      </c>
      <c r="C1096" s="72"/>
      <c r="D1096" s="108">
        <v>2</v>
      </c>
      <c r="E1096" s="74" t="s">
        <v>105</v>
      </c>
      <c r="G1096" s="3"/>
      <c r="I1096" s="92"/>
      <c r="J1096" s="92"/>
    </row>
    <row r="1097" spans="2:10" x14ac:dyDescent="0.2">
      <c r="B1097" s="72" t="s">
        <v>106</v>
      </c>
      <c r="C1097" s="72"/>
      <c r="D1097" s="108">
        <v>4</v>
      </c>
      <c r="E1097" s="74" t="s">
        <v>107</v>
      </c>
      <c r="G1097" s="3"/>
      <c r="I1097" s="92"/>
      <c r="J1097" s="92"/>
    </row>
    <row r="1098" spans="2:10" x14ac:dyDescent="0.2">
      <c r="B1098" s="72" t="s">
        <v>108</v>
      </c>
      <c r="C1098" s="72"/>
      <c r="D1098" s="108">
        <v>4</v>
      </c>
      <c r="E1098" s="74" t="s">
        <v>109</v>
      </c>
      <c r="G1098" s="3"/>
      <c r="I1098" s="92"/>
      <c r="J1098" s="92"/>
    </row>
    <row r="1099" spans="2:10" x14ac:dyDescent="0.2">
      <c r="B1099" s="72" t="s">
        <v>110</v>
      </c>
      <c r="C1099" s="72"/>
      <c r="D1099" s="108">
        <v>3</v>
      </c>
      <c r="E1099" s="74" t="s">
        <v>111</v>
      </c>
      <c r="G1099" s="3"/>
      <c r="I1099" s="92"/>
      <c r="J1099" s="92"/>
    </row>
    <row r="1100" spans="2:10" x14ac:dyDescent="0.2">
      <c r="B1100" s="72" t="s">
        <v>112</v>
      </c>
      <c r="C1100" s="72"/>
      <c r="D1100" s="108">
        <v>2</v>
      </c>
      <c r="E1100" s="74" t="s">
        <v>113</v>
      </c>
      <c r="G1100" s="3"/>
      <c r="I1100" s="92"/>
      <c r="J1100" s="92"/>
    </row>
    <row r="1101" spans="2:10" x14ac:dyDescent="0.2">
      <c r="B1101" s="72" t="s">
        <v>114</v>
      </c>
      <c r="C1101" s="72"/>
      <c r="D1101" s="108">
        <v>2</v>
      </c>
      <c r="E1101" s="74" t="s">
        <v>115</v>
      </c>
      <c r="G1101" s="3"/>
      <c r="I1101" s="92"/>
      <c r="J1101" s="92"/>
    </row>
    <row r="1102" spans="2:10" x14ac:dyDescent="0.2">
      <c r="B1102" s="72" t="s">
        <v>116</v>
      </c>
      <c r="C1102" s="72"/>
      <c r="D1102" s="108">
        <v>3</v>
      </c>
      <c r="E1102" s="74" t="s">
        <v>117</v>
      </c>
      <c r="G1102" s="3"/>
      <c r="I1102" s="92"/>
      <c r="J1102" s="92"/>
    </row>
    <row r="1103" spans="2:10" x14ac:dyDescent="0.2">
      <c r="B1103" s="72" t="s">
        <v>118</v>
      </c>
      <c r="C1103" s="72"/>
      <c r="D1103" s="108">
        <v>3</v>
      </c>
      <c r="E1103" s="74" t="s">
        <v>119</v>
      </c>
      <c r="G1103" s="3"/>
      <c r="I1103" s="92"/>
      <c r="J1103" s="92"/>
    </row>
    <row r="1104" spans="2:10" x14ac:dyDescent="0.2">
      <c r="B1104" s="72" t="s">
        <v>120</v>
      </c>
      <c r="C1104" s="72"/>
      <c r="D1104" s="108">
        <v>5</v>
      </c>
      <c r="E1104" s="74" t="s">
        <v>121</v>
      </c>
      <c r="G1104" s="3"/>
      <c r="I1104" s="92"/>
      <c r="J1104" s="92"/>
    </row>
    <row r="1105" spans="2:10" x14ac:dyDescent="0.2">
      <c r="B1105" s="72" t="s">
        <v>122</v>
      </c>
      <c r="C1105" s="72"/>
      <c r="D1105" s="108">
        <v>3</v>
      </c>
      <c r="E1105" s="74" t="s">
        <v>123</v>
      </c>
      <c r="G1105" s="3"/>
      <c r="I1105" s="92"/>
      <c r="J1105" s="92"/>
    </row>
    <row r="1106" spans="2:10" x14ac:dyDescent="0.2">
      <c r="B1106" s="72" t="s">
        <v>124</v>
      </c>
      <c r="C1106" s="72"/>
      <c r="D1106" s="108">
        <v>2</v>
      </c>
      <c r="E1106" s="74" t="s">
        <v>125</v>
      </c>
      <c r="G1106" s="3"/>
      <c r="I1106" s="92"/>
      <c r="J1106" s="92"/>
    </row>
    <row r="1107" spans="2:10" x14ac:dyDescent="0.2">
      <c r="B1107" s="72" t="s">
        <v>126</v>
      </c>
      <c r="C1107" s="72"/>
      <c r="D1107" s="108">
        <v>3</v>
      </c>
      <c r="E1107" s="74" t="s">
        <v>127</v>
      </c>
      <c r="G1107" s="3"/>
      <c r="I1107" s="92"/>
      <c r="J1107" s="92"/>
    </row>
    <row r="1108" spans="2:10" x14ac:dyDescent="0.2">
      <c r="B1108" s="72" t="s">
        <v>128</v>
      </c>
      <c r="C1108" s="72"/>
      <c r="D1108" s="108">
        <v>3</v>
      </c>
      <c r="E1108" s="74" t="s">
        <v>129</v>
      </c>
      <c r="G1108" s="3"/>
      <c r="I1108" s="92"/>
      <c r="J1108" s="92"/>
    </row>
    <row r="1109" spans="2:10" x14ac:dyDescent="0.2">
      <c r="B1109" s="72" t="s">
        <v>130</v>
      </c>
      <c r="C1109" s="72"/>
      <c r="D1109" s="108">
        <v>2</v>
      </c>
      <c r="E1109" s="74" t="s">
        <v>131</v>
      </c>
      <c r="G1109" s="3"/>
      <c r="I1109" s="92"/>
      <c r="J1109" s="92"/>
    </row>
    <row r="1110" spans="2:10" x14ac:dyDescent="0.2">
      <c r="B1110" s="72" t="s">
        <v>132</v>
      </c>
      <c r="C1110" s="72"/>
      <c r="D1110" s="108">
        <v>3</v>
      </c>
      <c r="E1110" s="74" t="s">
        <v>133</v>
      </c>
      <c r="G1110" s="3"/>
      <c r="I1110" s="92"/>
      <c r="J1110" s="92"/>
    </row>
    <row r="1111" spans="2:10" x14ac:dyDescent="0.2">
      <c r="B1111" s="72" t="s">
        <v>134</v>
      </c>
      <c r="C1111" s="72"/>
      <c r="D1111" s="108">
        <v>3</v>
      </c>
      <c r="E1111" s="74" t="s">
        <v>135</v>
      </c>
      <c r="G1111" s="3"/>
      <c r="I1111" s="92"/>
      <c r="J1111" s="92"/>
    </row>
    <row r="1112" spans="2:10" x14ac:dyDescent="0.2">
      <c r="B1112" s="72" t="s">
        <v>136</v>
      </c>
      <c r="C1112" s="72"/>
      <c r="D1112" s="108">
        <v>3</v>
      </c>
      <c r="E1112" s="74" t="s">
        <v>137</v>
      </c>
      <c r="G1112" s="3"/>
      <c r="I1112" s="92"/>
      <c r="J1112" s="92"/>
    </row>
    <row r="1113" spans="2:10" x14ac:dyDescent="0.2">
      <c r="B1113" s="72" t="s">
        <v>138</v>
      </c>
      <c r="C1113" s="72"/>
      <c r="D1113" s="108">
        <v>2</v>
      </c>
      <c r="E1113" s="74" t="s">
        <v>139</v>
      </c>
      <c r="G1113" s="3"/>
      <c r="I1113" s="92"/>
      <c r="J1113" s="92"/>
    </row>
    <row r="1114" spans="2:10" x14ac:dyDescent="0.2">
      <c r="B1114" s="72" t="s">
        <v>140</v>
      </c>
      <c r="C1114" s="72"/>
      <c r="D1114" s="108">
        <v>2</v>
      </c>
      <c r="E1114" s="74" t="s">
        <v>141</v>
      </c>
      <c r="G1114" s="3"/>
      <c r="I1114" s="92"/>
      <c r="J1114" s="92"/>
    </row>
    <row r="1115" spans="2:10" ht="13.5" thickBot="1" x14ac:dyDescent="0.25">
      <c r="B1115" s="72" t="s">
        <v>142</v>
      </c>
      <c r="C1115" s="72"/>
      <c r="D1115" s="108">
        <v>2</v>
      </c>
      <c r="E1115" s="74" t="s">
        <v>143</v>
      </c>
      <c r="G1115" s="3"/>
      <c r="I1115" s="92"/>
      <c r="J1115" s="92"/>
    </row>
    <row r="1116" spans="2:10" ht="24.75" customHeight="1" thickBot="1" x14ac:dyDescent="0.25">
      <c r="B1116" s="78" t="s">
        <v>236</v>
      </c>
      <c r="C1116" s="79"/>
      <c r="D1116" s="79"/>
      <c r="E1116" s="80"/>
      <c r="I1116" s="92"/>
      <c r="J1116" s="92"/>
    </row>
    <row r="1117" spans="2:10" x14ac:dyDescent="0.2">
      <c r="B1117" s="61" t="s">
        <v>145</v>
      </c>
      <c r="E1117" s="60"/>
    </row>
    <row r="1118" spans="2:10" x14ac:dyDescent="0.2">
      <c r="B1118" s="84"/>
      <c r="C1118" s="62" t="s">
        <v>146</v>
      </c>
      <c r="D1118" s="62"/>
      <c r="E1118" s="62"/>
    </row>
    <row r="1119" spans="2:10" x14ac:dyDescent="0.2">
      <c r="B1119" s="61" t="s">
        <v>147</v>
      </c>
      <c r="C1119" s="85"/>
      <c r="D1119" s="85"/>
      <c r="E1119" s="86"/>
    </row>
    <row r="1120" spans="2:10" x14ac:dyDescent="0.2">
      <c r="B1120" s="84"/>
      <c r="C1120" s="62">
        <f>SUM(F52)</f>
        <v>0</v>
      </c>
      <c r="D1120" s="62"/>
      <c r="E1120" s="62"/>
    </row>
    <row r="1121" spans="2:10" x14ac:dyDescent="0.2">
      <c r="B1121" s="61" t="s">
        <v>149</v>
      </c>
      <c r="E1121" s="60"/>
    </row>
    <row r="1122" spans="2:10" x14ac:dyDescent="0.2">
      <c r="B1122" s="61"/>
      <c r="C1122" s="87" t="s">
        <v>150</v>
      </c>
      <c r="D1122" s="87"/>
      <c r="E1122" s="87"/>
    </row>
    <row r="1123" spans="2:10" ht="13.5" thickBot="1" x14ac:dyDescent="0.25">
      <c r="B1123" s="88"/>
      <c r="C1123" s="89"/>
      <c r="D1123" s="90"/>
      <c r="E1123" s="91"/>
    </row>
    <row r="1124" spans="2:10" ht="13.5" thickBot="1" x14ac:dyDescent="0.25"/>
    <row r="1125" spans="2:10" x14ac:dyDescent="0.2">
      <c r="B1125" s="55" t="s">
        <v>237</v>
      </c>
      <c r="C1125" s="56"/>
      <c r="D1125" s="57"/>
      <c r="E1125" s="58"/>
    </row>
    <row r="1126" spans="2:10" ht="5.25" customHeight="1" x14ac:dyDescent="0.2">
      <c r="B1126" s="59"/>
      <c r="E1126" s="60"/>
    </row>
    <row r="1127" spans="2:10" x14ac:dyDescent="0.2">
      <c r="B1127" s="61" t="s">
        <v>98</v>
      </c>
      <c r="E1127" s="60"/>
    </row>
    <row r="1128" spans="2:10" ht="15.75" customHeight="1" x14ac:dyDescent="0.2">
      <c r="B1128" s="61"/>
      <c r="C1128" s="62" t="s">
        <v>238</v>
      </c>
      <c r="D1128" s="62"/>
      <c r="E1128" s="62"/>
    </row>
    <row r="1129" spans="2:10" ht="13.5" thickBot="1" x14ac:dyDescent="0.25">
      <c r="B1129" s="61" t="s">
        <v>100</v>
      </c>
      <c r="E1129" s="60"/>
    </row>
    <row r="1130" spans="2:10" ht="13.5" thickBot="1" x14ac:dyDescent="0.25">
      <c r="B1130" s="63" t="s">
        <v>101</v>
      </c>
      <c r="C1130" s="64"/>
      <c r="D1130" s="64"/>
      <c r="E1130" s="65"/>
    </row>
    <row r="1131" spans="2:10" ht="13.5" thickBot="1" x14ac:dyDescent="0.25">
      <c r="B1131" s="63" t="s">
        <v>102</v>
      </c>
      <c r="C1131" s="65"/>
      <c r="D1131" s="66" t="s">
        <v>13</v>
      </c>
      <c r="E1131" s="66" t="s">
        <v>103</v>
      </c>
    </row>
    <row r="1132" spans="2:10" x14ac:dyDescent="0.2">
      <c r="B1132" s="67" t="s">
        <v>104</v>
      </c>
      <c r="C1132" s="67"/>
      <c r="D1132" s="68">
        <v>9</v>
      </c>
      <c r="E1132" s="69" t="s">
        <v>105</v>
      </c>
      <c r="G1132" s="3"/>
      <c r="I1132" s="92"/>
      <c r="J1132" s="92"/>
    </row>
    <row r="1133" spans="2:10" x14ac:dyDescent="0.2">
      <c r="B1133" s="72" t="s">
        <v>106</v>
      </c>
      <c r="C1133" s="72"/>
      <c r="D1133" s="73">
        <v>21</v>
      </c>
      <c r="E1133" s="74" t="s">
        <v>107</v>
      </c>
      <c r="G1133" s="3"/>
      <c r="I1133" s="92"/>
      <c r="J1133" s="92"/>
    </row>
    <row r="1134" spans="2:10" x14ac:dyDescent="0.2">
      <c r="B1134" s="72" t="s">
        <v>108</v>
      </c>
      <c r="C1134" s="72"/>
      <c r="D1134" s="73">
        <v>21</v>
      </c>
      <c r="E1134" s="74" t="s">
        <v>109</v>
      </c>
      <c r="G1134" s="3"/>
      <c r="I1134" s="92"/>
      <c r="J1134" s="92"/>
    </row>
    <row r="1135" spans="2:10" x14ac:dyDescent="0.2">
      <c r="B1135" s="72" t="s">
        <v>110</v>
      </c>
      <c r="C1135" s="72"/>
      <c r="D1135" s="73">
        <v>13</v>
      </c>
      <c r="E1135" s="74" t="s">
        <v>111</v>
      </c>
      <c r="G1135" s="3"/>
      <c r="I1135" s="92"/>
      <c r="J1135" s="92"/>
    </row>
    <row r="1136" spans="2:10" x14ac:dyDescent="0.2">
      <c r="B1136" s="72" t="s">
        <v>112</v>
      </c>
      <c r="C1136" s="72"/>
      <c r="D1136" s="73">
        <v>11</v>
      </c>
      <c r="E1136" s="74" t="s">
        <v>113</v>
      </c>
      <c r="G1136" s="3"/>
      <c r="I1136" s="92"/>
      <c r="J1136" s="92"/>
    </row>
    <row r="1137" spans="2:10" x14ac:dyDescent="0.2">
      <c r="B1137" s="72" t="s">
        <v>114</v>
      </c>
      <c r="C1137" s="72"/>
      <c r="D1137" s="73">
        <v>9</v>
      </c>
      <c r="E1137" s="74" t="s">
        <v>115</v>
      </c>
      <c r="G1137" s="3"/>
      <c r="I1137" s="92"/>
      <c r="J1137" s="92"/>
    </row>
    <row r="1138" spans="2:10" x14ac:dyDescent="0.2">
      <c r="B1138" s="72" t="s">
        <v>116</v>
      </c>
      <c r="C1138" s="72"/>
      <c r="D1138" s="73">
        <v>12</v>
      </c>
      <c r="E1138" s="74" t="s">
        <v>117</v>
      </c>
      <c r="G1138" s="3"/>
      <c r="I1138" s="92"/>
      <c r="J1138" s="92"/>
    </row>
    <row r="1139" spans="2:10" x14ac:dyDescent="0.2">
      <c r="B1139" s="72" t="s">
        <v>118</v>
      </c>
      <c r="C1139" s="72"/>
      <c r="D1139" s="73">
        <v>12</v>
      </c>
      <c r="E1139" s="74" t="s">
        <v>119</v>
      </c>
      <c r="G1139" s="3"/>
      <c r="I1139" s="92"/>
      <c r="J1139" s="92"/>
    </row>
    <row r="1140" spans="2:10" x14ac:dyDescent="0.2">
      <c r="B1140" s="72" t="s">
        <v>120</v>
      </c>
      <c r="C1140" s="72"/>
      <c r="D1140" s="73">
        <v>25</v>
      </c>
      <c r="E1140" s="74" t="s">
        <v>121</v>
      </c>
      <c r="G1140" s="3"/>
      <c r="I1140" s="92"/>
      <c r="J1140" s="92"/>
    </row>
    <row r="1141" spans="2:10" x14ac:dyDescent="0.2">
      <c r="B1141" s="72" t="s">
        <v>122</v>
      </c>
      <c r="C1141" s="72"/>
      <c r="D1141" s="73">
        <v>17</v>
      </c>
      <c r="E1141" s="74" t="s">
        <v>123</v>
      </c>
      <c r="G1141" s="3"/>
      <c r="I1141" s="92"/>
      <c r="J1141" s="92"/>
    </row>
    <row r="1142" spans="2:10" x14ac:dyDescent="0.2">
      <c r="B1142" s="72" t="s">
        <v>124</v>
      </c>
      <c r="C1142" s="72"/>
      <c r="D1142" s="73">
        <v>8</v>
      </c>
      <c r="E1142" s="74" t="s">
        <v>125</v>
      </c>
      <c r="G1142" s="3"/>
      <c r="I1142" s="92"/>
      <c r="J1142" s="92"/>
    </row>
    <row r="1143" spans="2:10" x14ac:dyDescent="0.2">
      <c r="B1143" s="72" t="s">
        <v>126</v>
      </c>
      <c r="C1143" s="72"/>
      <c r="D1143" s="73">
        <v>17</v>
      </c>
      <c r="E1143" s="74" t="s">
        <v>127</v>
      </c>
      <c r="G1143" s="3"/>
      <c r="I1143" s="92"/>
      <c r="J1143" s="92"/>
    </row>
    <row r="1144" spans="2:10" x14ac:dyDescent="0.2">
      <c r="B1144" s="72" t="s">
        <v>128</v>
      </c>
      <c r="C1144" s="72"/>
      <c r="D1144" s="73">
        <v>17</v>
      </c>
      <c r="E1144" s="74" t="s">
        <v>129</v>
      </c>
      <c r="G1144" s="3"/>
      <c r="I1144" s="92"/>
      <c r="J1144" s="92"/>
    </row>
    <row r="1145" spans="2:10" x14ac:dyDescent="0.2">
      <c r="B1145" s="72" t="s">
        <v>130</v>
      </c>
      <c r="C1145" s="72"/>
      <c r="D1145" s="73">
        <v>11</v>
      </c>
      <c r="E1145" s="74" t="s">
        <v>131</v>
      </c>
      <c r="G1145" s="3"/>
      <c r="I1145" s="92"/>
      <c r="J1145" s="92"/>
    </row>
    <row r="1146" spans="2:10" x14ac:dyDescent="0.2">
      <c r="B1146" s="72" t="s">
        <v>132</v>
      </c>
      <c r="C1146" s="72"/>
      <c r="D1146" s="73">
        <v>15</v>
      </c>
      <c r="E1146" s="74" t="s">
        <v>133</v>
      </c>
      <c r="G1146" s="3"/>
      <c r="I1146" s="92"/>
      <c r="J1146" s="92"/>
    </row>
    <row r="1147" spans="2:10" x14ac:dyDescent="0.2">
      <c r="B1147" s="72" t="s">
        <v>134</v>
      </c>
      <c r="C1147" s="72"/>
      <c r="D1147" s="73">
        <v>13</v>
      </c>
      <c r="E1147" s="74" t="s">
        <v>135</v>
      </c>
      <c r="G1147" s="3"/>
      <c r="I1147" s="92"/>
      <c r="J1147" s="92"/>
    </row>
    <row r="1148" spans="2:10" x14ac:dyDescent="0.2">
      <c r="B1148" s="72" t="s">
        <v>136</v>
      </c>
      <c r="C1148" s="72"/>
      <c r="D1148" s="73">
        <v>13</v>
      </c>
      <c r="E1148" s="74" t="s">
        <v>137</v>
      </c>
      <c r="G1148" s="3"/>
      <c r="I1148" s="92"/>
      <c r="J1148" s="92"/>
    </row>
    <row r="1149" spans="2:10" x14ac:dyDescent="0.2">
      <c r="B1149" s="72" t="s">
        <v>138</v>
      </c>
      <c r="C1149" s="72"/>
      <c r="D1149" s="73">
        <v>11</v>
      </c>
      <c r="E1149" s="74" t="s">
        <v>139</v>
      </c>
      <c r="G1149" s="3"/>
      <c r="I1149" s="92"/>
      <c r="J1149" s="92"/>
    </row>
    <row r="1150" spans="2:10" x14ac:dyDescent="0.2">
      <c r="B1150" s="72" t="s">
        <v>140</v>
      </c>
      <c r="C1150" s="72"/>
      <c r="D1150" s="73">
        <v>11</v>
      </c>
      <c r="E1150" s="74" t="s">
        <v>141</v>
      </c>
      <c r="G1150" s="3"/>
      <c r="I1150" s="92"/>
      <c r="J1150" s="92"/>
    </row>
    <row r="1151" spans="2:10" ht="13.5" thickBot="1" x14ac:dyDescent="0.25">
      <c r="B1151" s="75" t="s">
        <v>142</v>
      </c>
      <c r="C1151" s="75"/>
      <c r="D1151" s="76">
        <v>11</v>
      </c>
      <c r="E1151" s="77" t="s">
        <v>143</v>
      </c>
      <c r="G1151" s="3"/>
      <c r="I1151" s="92"/>
      <c r="J1151" s="92"/>
    </row>
    <row r="1152" spans="2:10" ht="25.5" customHeight="1" thickBot="1" x14ac:dyDescent="0.25">
      <c r="B1152" s="78" t="s">
        <v>239</v>
      </c>
      <c r="C1152" s="79"/>
      <c r="D1152" s="79"/>
      <c r="E1152" s="80"/>
      <c r="I1152" s="92"/>
      <c r="J1152" s="92"/>
    </row>
    <row r="1153" spans="2:10" x14ac:dyDescent="0.2">
      <c r="B1153" s="61" t="s">
        <v>145</v>
      </c>
      <c r="E1153" s="60"/>
      <c r="I1153" s="92"/>
      <c r="J1153" s="92"/>
    </row>
    <row r="1154" spans="2:10" x14ac:dyDescent="0.2">
      <c r="B1154" s="84"/>
      <c r="C1154" s="62" t="s">
        <v>146</v>
      </c>
      <c r="D1154" s="62"/>
      <c r="E1154" s="62"/>
    </row>
    <row r="1155" spans="2:10" x14ac:dyDescent="0.2">
      <c r="B1155" s="61" t="s">
        <v>147</v>
      </c>
      <c r="C1155" s="85"/>
      <c r="D1155" s="85"/>
      <c r="E1155" s="86"/>
    </row>
    <row r="1156" spans="2:10" x14ac:dyDescent="0.2">
      <c r="B1156" s="84"/>
      <c r="C1156" s="62" t="s">
        <v>148</v>
      </c>
      <c r="D1156" s="62"/>
      <c r="E1156" s="62"/>
    </row>
    <row r="1157" spans="2:10" x14ac:dyDescent="0.2">
      <c r="B1157" s="61" t="s">
        <v>149</v>
      </c>
      <c r="E1157" s="60"/>
    </row>
    <row r="1158" spans="2:10" x14ac:dyDescent="0.2">
      <c r="B1158" s="61"/>
      <c r="C1158" s="87" t="s">
        <v>150</v>
      </c>
      <c r="D1158" s="87"/>
      <c r="E1158" s="87"/>
    </row>
    <row r="1159" spans="2:10" ht="13.5" thickBot="1" x14ac:dyDescent="0.25">
      <c r="B1159" s="88"/>
      <c r="C1159" s="89"/>
      <c r="D1159" s="90"/>
      <c r="E1159" s="91"/>
    </row>
    <row r="1160" spans="2:10" ht="13.5" thickBot="1" x14ac:dyDescent="0.25"/>
    <row r="1161" spans="2:10" x14ac:dyDescent="0.2">
      <c r="B1161" s="55" t="s">
        <v>240</v>
      </c>
      <c r="C1161" s="56"/>
      <c r="D1161" s="57"/>
      <c r="E1161" s="58"/>
    </row>
    <row r="1162" spans="2:10" x14ac:dyDescent="0.2">
      <c r="B1162" s="59"/>
      <c r="E1162" s="60"/>
    </row>
    <row r="1163" spans="2:10" x14ac:dyDescent="0.2">
      <c r="B1163" s="61" t="s">
        <v>98</v>
      </c>
      <c r="E1163" s="60"/>
    </row>
    <row r="1164" spans="2:10" x14ac:dyDescent="0.2">
      <c r="B1164" s="61"/>
      <c r="C1164" s="62" t="s">
        <v>241</v>
      </c>
      <c r="D1164" s="62"/>
      <c r="E1164" s="62"/>
    </row>
    <row r="1165" spans="2:10" ht="13.5" thickBot="1" x14ac:dyDescent="0.25">
      <c r="B1165" s="61" t="s">
        <v>100</v>
      </c>
      <c r="E1165" s="60"/>
    </row>
    <row r="1166" spans="2:10" ht="13.5" thickBot="1" x14ac:dyDescent="0.25">
      <c r="B1166" s="63" t="s">
        <v>101</v>
      </c>
      <c r="C1166" s="64"/>
      <c r="D1166" s="64"/>
      <c r="E1166" s="65"/>
    </row>
    <row r="1167" spans="2:10" ht="13.5" thickBot="1" x14ac:dyDescent="0.25">
      <c r="B1167" s="63" t="s">
        <v>102</v>
      </c>
      <c r="C1167" s="65"/>
      <c r="D1167" s="66" t="s">
        <v>13</v>
      </c>
      <c r="E1167" s="66" t="s">
        <v>103</v>
      </c>
    </row>
    <row r="1168" spans="2:10" x14ac:dyDescent="0.2">
      <c r="B1168" s="67" t="s">
        <v>104</v>
      </c>
      <c r="C1168" s="67"/>
      <c r="D1168" s="68">
        <v>19</v>
      </c>
      <c r="E1168" s="69" t="s">
        <v>105</v>
      </c>
      <c r="G1168" s="3"/>
      <c r="I1168" s="92"/>
      <c r="J1168" s="92"/>
    </row>
    <row r="1169" spans="2:10" x14ac:dyDescent="0.2">
      <c r="B1169" s="72" t="s">
        <v>106</v>
      </c>
      <c r="C1169" s="72"/>
      <c r="D1169" s="73">
        <v>42</v>
      </c>
      <c r="E1169" s="74" t="s">
        <v>107</v>
      </c>
      <c r="G1169" s="3"/>
      <c r="I1169" s="92"/>
      <c r="J1169" s="92"/>
    </row>
    <row r="1170" spans="2:10" x14ac:dyDescent="0.2">
      <c r="B1170" s="72" t="s">
        <v>108</v>
      </c>
      <c r="C1170" s="72"/>
      <c r="D1170" s="73">
        <v>42</v>
      </c>
      <c r="E1170" s="74" t="s">
        <v>109</v>
      </c>
      <c r="G1170" s="3"/>
      <c r="I1170" s="92"/>
      <c r="J1170" s="92"/>
    </row>
    <row r="1171" spans="2:10" x14ac:dyDescent="0.2">
      <c r="B1171" s="72" t="s">
        <v>110</v>
      </c>
      <c r="C1171" s="72"/>
      <c r="D1171" s="73">
        <v>25</v>
      </c>
      <c r="E1171" s="74" t="s">
        <v>111</v>
      </c>
      <c r="G1171" s="3"/>
      <c r="I1171" s="92"/>
      <c r="J1171" s="92"/>
    </row>
    <row r="1172" spans="2:10" x14ac:dyDescent="0.2">
      <c r="B1172" s="72" t="s">
        <v>112</v>
      </c>
      <c r="C1172" s="72"/>
      <c r="D1172" s="73">
        <v>21</v>
      </c>
      <c r="E1172" s="74" t="s">
        <v>113</v>
      </c>
      <c r="G1172" s="3"/>
      <c r="I1172" s="92"/>
      <c r="J1172" s="92"/>
    </row>
    <row r="1173" spans="2:10" x14ac:dyDescent="0.2">
      <c r="B1173" s="72" t="s">
        <v>114</v>
      </c>
      <c r="C1173" s="72"/>
      <c r="D1173" s="73">
        <v>19</v>
      </c>
      <c r="E1173" s="74" t="s">
        <v>115</v>
      </c>
      <c r="G1173" s="3"/>
      <c r="I1173" s="92"/>
      <c r="J1173" s="92"/>
    </row>
    <row r="1174" spans="2:10" x14ac:dyDescent="0.2">
      <c r="B1174" s="72" t="s">
        <v>116</v>
      </c>
      <c r="C1174" s="72"/>
      <c r="D1174" s="73">
        <v>24</v>
      </c>
      <c r="E1174" s="74" t="s">
        <v>117</v>
      </c>
      <c r="G1174" s="3"/>
      <c r="I1174" s="92"/>
      <c r="J1174" s="92"/>
    </row>
    <row r="1175" spans="2:10" x14ac:dyDescent="0.2">
      <c r="B1175" s="72" t="s">
        <v>118</v>
      </c>
      <c r="C1175" s="72"/>
      <c r="D1175" s="73">
        <v>24</v>
      </c>
      <c r="E1175" s="74" t="s">
        <v>119</v>
      </c>
      <c r="G1175" s="3"/>
      <c r="I1175" s="92"/>
      <c r="J1175" s="92"/>
    </row>
    <row r="1176" spans="2:10" x14ac:dyDescent="0.2">
      <c r="B1176" s="72" t="s">
        <v>120</v>
      </c>
      <c r="C1176" s="72"/>
      <c r="D1176" s="73">
        <v>51</v>
      </c>
      <c r="E1176" s="74" t="s">
        <v>121</v>
      </c>
      <c r="G1176" s="3"/>
      <c r="I1176" s="92"/>
      <c r="J1176" s="92"/>
    </row>
    <row r="1177" spans="2:10" x14ac:dyDescent="0.2">
      <c r="B1177" s="72" t="s">
        <v>122</v>
      </c>
      <c r="C1177" s="72"/>
      <c r="D1177" s="73">
        <v>34</v>
      </c>
      <c r="E1177" s="74" t="s">
        <v>123</v>
      </c>
      <c r="G1177" s="3"/>
      <c r="I1177" s="92"/>
      <c r="J1177" s="92"/>
    </row>
    <row r="1178" spans="2:10" x14ac:dyDescent="0.2">
      <c r="B1178" s="72" t="s">
        <v>124</v>
      </c>
      <c r="C1178" s="72"/>
      <c r="D1178" s="73">
        <v>17</v>
      </c>
      <c r="E1178" s="74" t="s">
        <v>125</v>
      </c>
      <c r="G1178" s="3"/>
      <c r="I1178" s="92"/>
      <c r="J1178" s="92"/>
    </row>
    <row r="1179" spans="2:10" x14ac:dyDescent="0.2">
      <c r="B1179" s="72" t="s">
        <v>126</v>
      </c>
      <c r="C1179" s="72"/>
      <c r="D1179" s="73">
        <v>34</v>
      </c>
      <c r="E1179" s="74" t="s">
        <v>127</v>
      </c>
      <c r="G1179" s="3"/>
      <c r="I1179" s="92"/>
      <c r="J1179" s="92"/>
    </row>
    <row r="1180" spans="2:10" x14ac:dyDescent="0.2">
      <c r="B1180" s="72" t="s">
        <v>128</v>
      </c>
      <c r="C1180" s="72"/>
      <c r="D1180" s="73">
        <v>34</v>
      </c>
      <c r="E1180" s="74" t="s">
        <v>129</v>
      </c>
      <c r="G1180" s="3"/>
      <c r="I1180" s="92"/>
      <c r="J1180" s="92"/>
    </row>
    <row r="1181" spans="2:10" x14ac:dyDescent="0.2">
      <c r="B1181" s="72" t="s">
        <v>130</v>
      </c>
      <c r="C1181" s="72"/>
      <c r="D1181" s="73">
        <v>21</v>
      </c>
      <c r="E1181" s="74" t="s">
        <v>131</v>
      </c>
      <c r="G1181" s="3"/>
      <c r="I1181" s="92"/>
      <c r="J1181" s="92"/>
    </row>
    <row r="1182" spans="2:10" x14ac:dyDescent="0.2">
      <c r="B1182" s="72" t="s">
        <v>132</v>
      </c>
      <c r="C1182" s="72"/>
      <c r="D1182" s="73">
        <v>30</v>
      </c>
      <c r="E1182" s="74" t="s">
        <v>133</v>
      </c>
      <c r="G1182" s="3"/>
      <c r="I1182" s="92"/>
      <c r="J1182" s="92"/>
    </row>
    <row r="1183" spans="2:10" x14ac:dyDescent="0.2">
      <c r="B1183" s="72" t="s">
        <v>134</v>
      </c>
      <c r="C1183" s="72"/>
      <c r="D1183" s="73">
        <v>25</v>
      </c>
      <c r="E1183" s="74" t="s">
        <v>135</v>
      </c>
      <c r="G1183" s="3"/>
      <c r="I1183" s="92"/>
      <c r="J1183" s="92"/>
    </row>
    <row r="1184" spans="2:10" x14ac:dyDescent="0.2">
      <c r="B1184" s="72" t="s">
        <v>136</v>
      </c>
      <c r="C1184" s="72"/>
      <c r="D1184" s="73">
        <v>25</v>
      </c>
      <c r="E1184" s="74" t="s">
        <v>137</v>
      </c>
      <c r="G1184" s="3"/>
      <c r="I1184" s="92"/>
      <c r="J1184" s="92"/>
    </row>
    <row r="1185" spans="2:10" x14ac:dyDescent="0.2">
      <c r="B1185" s="72" t="s">
        <v>138</v>
      </c>
      <c r="C1185" s="72"/>
      <c r="D1185" s="73">
        <v>21</v>
      </c>
      <c r="E1185" s="74" t="s">
        <v>139</v>
      </c>
      <c r="G1185" s="3"/>
      <c r="I1185" s="92"/>
      <c r="J1185" s="92"/>
    </row>
    <row r="1186" spans="2:10" x14ac:dyDescent="0.2">
      <c r="B1186" s="72" t="s">
        <v>140</v>
      </c>
      <c r="C1186" s="72"/>
      <c r="D1186" s="73">
        <v>21</v>
      </c>
      <c r="E1186" s="74" t="s">
        <v>141</v>
      </c>
      <c r="G1186" s="3"/>
      <c r="I1186" s="92"/>
      <c r="J1186" s="92"/>
    </row>
    <row r="1187" spans="2:10" ht="13.5" thickBot="1" x14ac:dyDescent="0.25">
      <c r="B1187" s="75" t="s">
        <v>142</v>
      </c>
      <c r="C1187" s="75"/>
      <c r="D1187" s="76">
        <v>21</v>
      </c>
      <c r="E1187" s="77" t="s">
        <v>143</v>
      </c>
      <c r="G1187" s="3"/>
      <c r="I1187" s="92"/>
      <c r="J1187" s="92"/>
    </row>
    <row r="1188" spans="2:10" ht="27" customHeight="1" thickBot="1" x14ac:dyDescent="0.25">
      <c r="B1188" s="78" t="s">
        <v>242</v>
      </c>
      <c r="C1188" s="79"/>
      <c r="D1188" s="79"/>
      <c r="E1188" s="80"/>
      <c r="I1188" s="92"/>
      <c r="J1188" s="92"/>
    </row>
    <row r="1189" spans="2:10" x14ac:dyDescent="0.2">
      <c r="B1189" s="61" t="s">
        <v>145</v>
      </c>
      <c r="E1189" s="60"/>
    </row>
    <row r="1190" spans="2:10" x14ac:dyDescent="0.2">
      <c r="B1190" s="84"/>
      <c r="C1190" s="62" t="s">
        <v>146</v>
      </c>
      <c r="D1190" s="62"/>
      <c r="E1190" s="62"/>
    </row>
    <row r="1191" spans="2:10" x14ac:dyDescent="0.2">
      <c r="B1191" s="61" t="s">
        <v>147</v>
      </c>
      <c r="C1191" s="85"/>
      <c r="D1191" s="85"/>
      <c r="E1191" s="86"/>
    </row>
    <row r="1192" spans="2:10" x14ac:dyDescent="0.2">
      <c r="B1192" s="84"/>
      <c r="C1192" s="62" t="s">
        <v>148</v>
      </c>
      <c r="D1192" s="62"/>
      <c r="E1192" s="62"/>
    </row>
    <row r="1193" spans="2:10" x14ac:dyDescent="0.2">
      <c r="B1193" s="61" t="s">
        <v>149</v>
      </c>
      <c r="E1193" s="60"/>
    </row>
    <row r="1194" spans="2:10" x14ac:dyDescent="0.2">
      <c r="B1194" s="61"/>
      <c r="C1194" s="87" t="s">
        <v>150</v>
      </c>
      <c r="D1194" s="87"/>
      <c r="E1194" s="87"/>
    </row>
    <row r="1195" spans="2:10" ht="13.5" thickBot="1" x14ac:dyDescent="0.25">
      <c r="B1195" s="88"/>
      <c r="C1195" s="89"/>
      <c r="D1195" s="90"/>
      <c r="E1195" s="91"/>
    </row>
    <row r="1196" spans="2:10" ht="13.5" thickBot="1" x14ac:dyDescent="0.25"/>
    <row r="1197" spans="2:10" x14ac:dyDescent="0.2">
      <c r="B1197" s="55" t="s">
        <v>243</v>
      </c>
      <c r="C1197" s="56"/>
      <c r="D1197" s="57"/>
      <c r="E1197" s="58"/>
    </row>
    <row r="1198" spans="2:10" x14ac:dyDescent="0.2">
      <c r="B1198" s="59"/>
      <c r="E1198" s="60"/>
    </row>
    <row r="1199" spans="2:10" x14ac:dyDescent="0.2">
      <c r="B1199" s="61" t="s">
        <v>98</v>
      </c>
      <c r="E1199" s="60"/>
    </row>
    <row r="1200" spans="2:10" x14ac:dyDescent="0.2">
      <c r="B1200" s="61"/>
      <c r="C1200" s="62" t="s">
        <v>244</v>
      </c>
      <c r="D1200" s="62"/>
      <c r="E1200" s="62"/>
    </row>
    <row r="1201" spans="2:10" ht="13.5" thickBot="1" x14ac:dyDescent="0.25">
      <c r="B1201" s="61" t="s">
        <v>100</v>
      </c>
      <c r="E1201" s="60"/>
    </row>
    <row r="1202" spans="2:10" ht="13.5" thickBot="1" x14ac:dyDescent="0.25">
      <c r="B1202" s="63" t="s">
        <v>101</v>
      </c>
      <c r="C1202" s="64"/>
      <c r="D1202" s="64"/>
      <c r="E1202" s="65"/>
    </row>
    <row r="1203" spans="2:10" ht="13.5" thickBot="1" x14ac:dyDescent="0.25">
      <c r="B1203" s="63" t="s">
        <v>102</v>
      </c>
      <c r="C1203" s="65"/>
      <c r="D1203" s="66" t="s">
        <v>13</v>
      </c>
      <c r="E1203" s="66" t="s">
        <v>103</v>
      </c>
    </row>
    <row r="1204" spans="2:10" x14ac:dyDescent="0.2">
      <c r="B1204" s="67" t="s">
        <v>104</v>
      </c>
      <c r="C1204" s="67"/>
      <c r="D1204" s="68">
        <v>3</v>
      </c>
      <c r="E1204" s="69" t="s">
        <v>105</v>
      </c>
      <c r="G1204" s="3"/>
      <c r="I1204" s="92"/>
      <c r="J1204" s="92"/>
    </row>
    <row r="1205" spans="2:10" x14ac:dyDescent="0.2">
      <c r="B1205" s="72" t="s">
        <v>106</v>
      </c>
      <c r="C1205" s="72"/>
      <c r="D1205" s="73">
        <v>8</v>
      </c>
      <c r="E1205" s="74" t="s">
        <v>107</v>
      </c>
      <c r="G1205" s="3"/>
      <c r="I1205" s="92"/>
      <c r="J1205" s="92"/>
    </row>
    <row r="1206" spans="2:10" x14ac:dyDescent="0.2">
      <c r="B1206" s="72" t="s">
        <v>108</v>
      </c>
      <c r="C1206" s="72"/>
      <c r="D1206" s="73">
        <v>8</v>
      </c>
      <c r="E1206" s="74" t="s">
        <v>109</v>
      </c>
      <c r="G1206" s="3"/>
      <c r="I1206" s="92"/>
      <c r="J1206" s="92"/>
    </row>
    <row r="1207" spans="2:10" x14ac:dyDescent="0.2">
      <c r="B1207" s="72" t="s">
        <v>110</v>
      </c>
      <c r="C1207" s="72"/>
      <c r="D1207" s="73">
        <v>5</v>
      </c>
      <c r="E1207" s="74" t="s">
        <v>111</v>
      </c>
      <c r="G1207" s="3"/>
      <c r="I1207" s="92"/>
      <c r="J1207" s="92"/>
    </row>
    <row r="1208" spans="2:10" x14ac:dyDescent="0.2">
      <c r="B1208" s="72" t="s">
        <v>112</v>
      </c>
      <c r="C1208" s="72"/>
      <c r="D1208" s="73">
        <v>4</v>
      </c>
      <c r="E1208" s="74" t="s">
        <v>113</v>
      </c>
      <c r="G1208" s="3"/>
      <c r="I1208" s="92"/>
      <c r="J1208" s="92"/>
    </row>
    <row r="1209" spans="2:10" x14ac:dyDescent="0.2">
      <c r="B1209" s="72" t="s">
        <v>114</v>
      </c>
      <c r="C1209" s="72"/>
      <c r="D1209" s="73">
        <v>3</v>
      </c>
      <c r="E1209" s="74" t="s">
        <v>115</v>
      </c>
      <c r="G1209" s="3"/>
      <c r="I1209" s="92"/>
      <c r="J1209" s="92"/>
    </row>
    <row r="1210" spans="2:10" x14ac:dyDescent="0.2">
      <c r="B1210" s="72" t="s">
        <v>116</v>
      </c>
      <c r="C1210" s="72"/>
      <c r="D1210" s="73">
        <v>5</v>
      </c>
      <c r="E1210" s="74" t="s">
        <v>117</v>
      </c>
      <c r="G1210" s="3"/>
      <c r="I1210" s="92"/>
      <c r="J1210" s="92"/>
    </row>
    <row r="1211" spans="2:10" x14ac:dyDescent="0.2">
      <c r="B1211" s="72" t="s">
        <v>118</v>
      </c>
      <c r="C1211" s="72"/>
      <c r="D1211" s="73">
        <v>5</v>
      </c>
      <c r="E1211" s="74" t="s">
        <v>119</v>
      </c>
      <c r="G1211" s="3"/>
      <c r="I1211" s="92"/>
      <c r="J1211" s="92"/>
    </row>
    <row r="1212" spans="2:10" x14ac:dyDescent="0.2">
      <c r="B1212" s="72" t="s">
        <v>120</v>
      </c>
      <c r="C1212" s="72"/>
      <c r="D1212" s="73">
        <v>10</v>
      </c>
      <c r="E1212" s="74" t="s">
        <v>121</v>
      </c>
      <c r="G1212" s="3"/>
      <c r="I1212" s="92"/>
      <c r="J1212" s="92"/>
    </row>
    <row r="1213" spans="2:10" x14ac:dyDescent="0.2">
      <c r="B1213" s="72" t="s">
        <v>122</v>
      </c>
      <c r="C1213" s="72"/>
      <c r="D1213" s="73">
        <v>7</v>
      </c>
      <c r="E1213" s="74" t="s">
        <v>123</v>
      </c>
      <c r="G1213" s="3"/>
      <c r="I1213" s="92"/>
      <c r="J1213" s="92"/>
    </row>
    <row r="1214" spans="2:10" x14ac:dyDescent="0.2">
      <c r="B1214" s="72" t="s">
        <v>124</v>
      </c>
      <c r="C1214" s="72"/>
      <c r="D1214" s="73">
        <v>3</v>
      </c>
      <c r="E1214" s="74" t="s">
        <v>125</v>
      </c>
      <c r="G1214" s="3"/>
      <c r="I1214" s="92"/>
      <c r="J1214" s="92"/>
    </row>
    <row r="1215" spans="2:10" x14ac:dyDescent="0.2">
      <c r="B1215" s="72" t="s">
        <v>126</v>
      </c>
      <c r="C1215" s="72"/>
      <c r="D1215" s="73">
        <v>7</v>
      </c>
      <c r="E1215" s="74" t="s">
        <v>127</v>
      </c>
      <c r="G1215" s="3"/>
      <c r="I1215" s="92"/>
      <c r="J1215" s="92"/>
    </row>
    <row r="1216" spans="2:10" x14ac:dyDescent="0.2">
      <c r="B1216" s="72" t="s">
        <v>128</v>
      </c>
      <c r="C1216" s="72"/>
      <c r="D1216" s="73">
        <v>7</v>
      </c>
      <c r="E1216" s="74" t="s">
        <v>129</v>
      </c>
      <c r="G1216" s="3"/>
      <c r="I1216" s="92"/>
      <c r="J1216" s="92"/>
    </row>
    <row r="1217" spans="2:10" x14ac:dyDescent="0.2">
      <c r="B1217" s="72" t="s">
        <v>130</v>
      </c>
      <c r="C1217" s="72"/>
      <c r="D1217" s="73">
        <v>4</v>
      </c>
      <c r="E1217" s="74" t="s">
        <v>131</v>
      </c>
      <c r="G1217" s="3"/>
      <c r="I1217" s="92"/>
      <c r="J1217" s="92"/>
    </row>
    <row r="1218" spans="2:10" x14ac:dyDescent="0.2">
      <c r="B1218" s="72" t="s">
        <v>132</v>
      </c>
      <c r="C1218" s="72"/>
      <c r="D1218" s="73">
        <v>6</v>
      </c>
      <c r="E1218" s="74" t="s">
        <v>133</v>
      </c>
      <c r="G1218" s="3"/>
      <c r="I1218" s="92"/>
      <c r="J1218" s="92"/>
    </row>
    <row r="1219" spans="2:10" x14ac:dyDescent="0.2">
      <c r="B1219" s="72" t="s">
        <v>134</v>
      </c>
      <c r="C1219" s="72"/>
      <c r="D1219" s="73">
        <v>5</v>
      </c>
      <c r="E1219" s="74" t="s">
        <v>135</v>
      </c>
      <c r="G1219" s="3"/>
      <c r="I1219" s="92"/>
      <c r="J1219" s="92"/>
    </row>
    <row r="1220" spans="2:10" x14ac:dyDescent="0.2">
      <c r="B1220" s="72" t="s">
        <v>136</v>
      </c>
      <c r="C1220" s="72"/>
      <c r="D1220" s="73">
        <v>5</v>
      </c>
      <c r="E1220" s="74" t="s">
        <v>137</v>
      </c>
      <c r="G1220" s="3"/>
      <c r="I1220" s="92"/>
      <c r="J1220" s="92"/>
    </row>
    <row r="1221" spans="2:10" x14ac:dyDescent="0.2">
      <c r="B1221" s="72" t="s">
        <v>138</v>
      </c>
      <c r="C1221" s="72"/>
      <c r="D1221" s="73">
        <v>4</v>
      </c>
      <c r="E1221" s="74" t="s">
        <v>139</v>
      </c>
      <c r="G1221" s="3"/>
      <c r="I1221" s="92"/>
      <c r="J1221" s="92"/>
    </row>
    <row r="1222" spans="2:10" x14ac:dyDescent="0.2">
      <c r="B1222" s="72" t="s">
        <v>140</v>
      </c>
      <c r="C1222" s="72"/>
      <c r="D1222" s="73">
        <v>4</v>
      </c>
      <c r="E1222" s="74" t="s">
        <v>141</v>
      </c>
      <c r="G1222" s="3"/>
      <c r="I1222" s="92"/>
      <c r="J1222" s="92"/>
    </row>
    <row r="1223" spans="2:10" ht="13.5" thickBot="1" x14ac:dyDescent="0.25">
      <c r="B1223" s="75" t="s">
        <v>142</v>
      </c>
      <c r="C1223" s="75"/>
      <c r="D1223" s="76">
        <v>4</v>
      </c>
      <c r="E1223" s="77" t="s">
        <v>143</v>
      </c>
      <c r="G1223" s="3"/>
      <c r="I1223" s="92"/>
      <c r="J1223" s="92"/>
    </row>
    <row r="1224" spans="2:10" ht="27" customHeight="1" thickBot="1" x14ac:dyDescent="0.25">
      <c r="B1224" s="78" t="s">
        <v>245</v>
      </c>
      <c r="C1224" s="79"/>
      <c r="D1224" s="79"/>
      <c r="E1224" s="80"/>
      <c r="I1224" s="92"/>
      <c r="J1224" s="92"/>
    </row>
    <row r="1225" spans="2:10" x14ac:dyDescent="0.2">
      <c r="B1225" s="61" t="s">
        <v>145</v>
      </c>
      <c r="E1225" s="60"/>
    </row>
    <row r="1226" spans="2:10" x14ac:dyDescent="0.2">
      <c r="B1226" s="84"/>
      <c r="C1226" s="62" t="s">
        <v>146</v>
      </c>
      <c r="D1226" s="62"/>
      <c r="E1226" s="62"/>
    </row>
    <row r="1227" spans="2:10" x14ac:dyDescent="0.2">
      <c r="B1227" s="61" t="s">
        <v>147</v>
      </c>
      <c r="C1227" s="85"/>
      <c r="D1227" s="85"/>
      <c r="E1227" s="86"/>
    </row>
    <row r="1228" spans="2:10" x14ac:dyDescent="0.2">
      <c r="B1228" s="84"/>
      <c r="C1228" s="62" t="s">
        <v>148</v>
      </c>
      <c r="D1228" s="62"/>
      <c r="E1228" s="62"/>
    </row>
    <row r="1229" spans="2:10" x14ac:dyDescent="0.2">
      <c r="B1229" s="61" t="s">
        <v>149</v>
      </c>
      <c r="E1229" s="60"/>
    </row>
    <row r="1230" spans="2:10" x14ac:dyDescent="0.2">
      <c r="B1230" s="61"/>
      <c r="C1230" s="87" t="s">
        <v>150</v>
      </c>
      <c r="D1230" s="87"/>
      <c r="E1230" s="87"/>
    </row>
    <row r="1231" spans="2:10" ht="13.5" thickBot="1" x14ac:dyDescent="0.25">
      <c r="B1231" s="88"/>
      <c r="C1231" s="89"/>
      <c r="D1231" s="90"/>
      <c r="E1231" s="91"/>
    </row>
    <row r="1232" spans="2:10" ht="13.5" thickBot="1" x14ac:dyDescent="0.25"/>
    <row r="1233" spans="2:10" x14ac:dyDescent="0.2">
      <c r="B1233" s="55" t="s">
        <v>246</v>
      </c>
      <c r="C1233" s="56"/>
      <c r="D1233" s="57"/>
      <c r="E1233" s="58"/>
    </row>
    <row r="1234" spans="2:10" x14ac:dyDescent="0.2">
      <c r="B1234" s="59"/>
      <c r="E1234" s="60"/>
    </row>
    <row r="1235" spans="2:10" x14ac:dyDescent="0.2">
      <c r="B1235" s="61" t="s">
        <v>98</v>
      </c>
      <c r="E1235" s="60"/>
    </row>
    <row r="1236" spans="2:10" x14ac:dyDescent="0.2">
      <c r="B1236" s="61"/>
      <c r="C1236" s="62" t="s">
        <v>247</v>
      </c>
      <c r="D1236" s="62"/>
      <c r="E1236" s="62"/>
    </row>
    <row r="1237" spans="2:10" ht="13.5" thickBot="1" x14ac:dyDescent="0.25">
      <c r="B1237" s="61" t="s">
        <v>100</v>
      </c>
      <c r="E1237" s="60"/>
    </row>
    <row r="1238" spans="2:10" ht="13.5" thickBot="1" x14ac:dyDescent="0.25">
      <c r="B1238" s="63" t="s">
        <v>101</v>
      </c>
      <c r="C1238" s="64"/>
      <c r="D1238" s="64"/>
      <c r="E1238" s="65"/>
    </row>
    <row r="1239" spans="2:10" ht="13.5" thickBot="1" x14ac:dyDescent="0.25">
      <c r="B1239" s="63" t="s">
        <v>102</v>
      </c>
      <c r="C1239" s="65"/>
      <c r="D1239" s="66" t="s">
        <v>13</v>
      </c>
      <c r="E1239" s="66" t="s">
        <v>103</v>
      </c>
    </row>
    <row r="1240" spans="2:10" x14ac:dyDescent="0.2">
      <c r="B1240" s="67" t="s">
        <v>104</v>
      </c>
      <c r="C1240" s="67"/>
      <c r="D1240" s="68">
        <v>8</v>
      </c>
      <c r="E1240" s="69" t="s">
        <v>105</v>
      </c>
      <c r="G1240" s="3"/>
      <c r="I1240" s="92"/>
      <c r="J1240" s="92"/>
    </row>
    <row r="1241" spans="2:10" x14ac:dyDescent="0.2">
      <c r="B1241" s="72" t="s">
        <v>106</v>
      </c>
      <c r="C1241" s="72"/>
      <c r="D1241" s="73">
        <v>17</v>
      </c>
      <c r="E1241" s="74" t="s">
        <v>107</v>
      </c>
      <c r="G1241" s="3"/>
      <c r="I1241" s="92"/>
      <c r="J1241" s="92"/>
    </row>
    <row r="1242" spans="2:10" x14ac:dyDescent="0.2">
      <c r="B1242" s="72" t="s">
        <v>108</v>
      </c>
      <c r="C1242" s="72"/>
      <c r="D1242" s="73">
        <v>17</v>
      </c>
      <c r="E1242" s="74" t="s">
        <v>109</v>
      </c>
      <c r="G1242" s="3"/>
      <c r="I1242" s="92"/>
      <c r="J1242" s="92"/>
    </row>
    <row r="1243" spans="2:10" x14ac:dyDescent="0.2">
      <c r="B1243" s="72" t="s">
        <v>110</v>
      </c>
      <c r="C1243" s="72"/>
      <c r="D1243" s="73">
        <v>10</v>
      </c>
      <c r="E1243" s="74" t="s">
        <v>111</v>
      </c>
      <c r="G1243" s="3"/>
      <c r="I1243" s="92"/>
      <c r="J1243" s="92"/>
    </row>
    <row r="1244" spans="2:10" x14ac:dyDescent="0.2">
      <c r="B1244" s="72" t="s">
        <v>112</v>
      </c>
      <c r="C1244" s="72"/>
      <c r="D1244" s="73">
        <v>8</v>
      </c>
      <c r="E1244" s="74" t="s">
        <v>113</v>
      </c>
      <c r="G1244" s="3"/>
      <c r="I1244" s="92"/>
      <c r="J1244" s="92"/>
    </row>
    <row r="1245" spans="2:10" x14ac:dyDescent="0.2">
      <c r="B1245" s="72" t="s">
        <v>114</v>
      </c>
      <c r="C1245" s="72"/>
      <c r="D1245" s="73">
        <v>8</v>
      </c>
      <c r="E1245" s="74" t="s">
        <v>115</v>
      </c>
      <c r="G1245" s="3"/>
      <c r="I1245" s="92"/>
      <c r="J1245" s="92"/>
    </row>
    <row r="1246" spans="2:10" x14ac:dyDescent="0.2">
      <c r="B1246" s="72" t="s">
        <v>116</v>
      </c>
      <c r="C1246" s="72"/>
      <c r="D1246" s="73">
        <v>9</v>
      </c>
      <c r="E1246" s="74" t="s">
        <v>117</v>
      </c>
      <c r="G1246" s="3"/>
      <c r="I1246" s="92"/>
      <c r="J1246" s="92"/>
    </row>
    <row r="1247" spans="2:10" x14ac:dyDescent="0.2">
      <c r="B1247" s="72" t="s">
        <v>118</v>
      </c>
      <c r="C1247" s="72"/>
      <c r="D1247" s="73">
        <v>9</v>
      </c>
      <c r="E1247" s="74" t="s">
        <v>119</v>
      </c>
      <c r="G1247" s="3"/>
      <c r="I1247" s="92"/>
      <c r="J1247" s="92"/>
    </row>
    <row r="1248" spans="2:10" x14ac:dyDescent="0.2">
      <c r="B1248" s="72" t="s">
        <v>120</v>
      </c>
      <c r="C1248" s="72"/>
      <c r="D1248" s="73">
        <v>20</v>
      </c>
      <c r="E1248" s="74" t="s">
        <v>121</v>
      </c>
      <c r="G1248" s="3"/>
      <c r="I1248" s="92"/>
      <c r="J1248" s="92"/>
    </row>
    <row r="1249" spans="2:10" x14ac:dyDescent="0.2">
      <c r="B1249" s="72" t="s">
        <v>122</v>
      </c>
      <c r="C1249" s="72"/>
      <c r="D1249" s="73">
        <v>14</v>
      </c>
      <c r="E1249" s="74" t="s">
        <v>123</v>
      </c>
      <c r="G1249" s="3"/>
      <c r="I1249" s="92"/>
      <c r="J1249" s="92"/>
    </row>
    <row r="1250" spans="2:10" x14ac:dyDescent="0.2">
      <c r="B1250" s="72" t="s">
        <v>124</v>
      </c>
      <c r="C1250" s="72"/>
      <c r="D1250" s="73">
        <v>7</v>
      </c>
      <c r="E1250" s="74" t="s">
        <v>125</v>
      </c>
      <c r="G1250" s="3"/>
      <c r="I1250" s="92"/>
      <c r="J1250" s="92"/>
    </row>
    <row r="1251" spans="2:10" x14ac:dyDescent="0.2">
      <c r="B1251" s="72" t="s">
        <v>126</v>
      </c>
      <c r="C1251" s="72"/>
      <c r="D1251" s="73">
        <v>14</v>
      </c>
      <c r="E1251" s="74" t="s">
        <v>127</v>
      </c>
      <c r="G1251" s="3"/>
      <c r="I1251" s="92"/>
      <c r="J1251" s="92"/>
    </row>
    <row r="1252" spans="2:10" x14ac:dyDescent="0.2">
      <c r="B1252" s="72" t="s">
        <v>128</v>
      </c>
      <c r="C1252" s="72"/>
      <c r="D1252" s="73">
        <v>14</v>
      </c>
      <c r="E1252" s="74" t="s">
        <v>129</v>
      </c>
      <c r="G1252" s="3"/>
      <c r="I1252" s="92"/>
      <c r="J1252" s="92"/>
    </row>
    <row r="1253" spans="2:10" x14ac:dyDescent="0.2">
      <c r="B1253" s="72" t="s">
        <v>130</v>
      </c>
      <c r="C1253" s="72"/>
      <c r="D1253" s="73">
        <v>8</v>
      </c>
      <c r="E1253" s="74" t="s">
        <v>131</v>
      </c>
      <c r="G1253" s="3"/>
      <c r="I1253" s="92"/>
      <c r="J1253" s="92"/>
    </row>
    <row r="1254" spans="2:10" x14ac:dyDescent="0.2">
      <c r="B1254" s="72" t="s">
        <v>132</v>
      </c>
      <c r="C1254" s="72"/>
      <c r="D1254" s="73">
        <v>12</v>
      </c>
      <c r="E1254" s="74" t="s">
        <v>133</v>
      </c>
      <c r="G1254" s="3"/>
      <c r="I1254" s="92"/>
      <c r="J1254" s="92"/>
    </row>
    <row r="1255" spans="2:10" x14ac:dyDescent="0.2">
      <c r="B1255" s="72" t="s">
        <v>134</v>
      </c>
      <c r="C1255" s="72"/>
      <c r="D1255" s="73">
        <v>10</v>
      </c>
      <c r="E1255" s="74" t="s">
        <v>135</v>
      </c>
      <c r="G1255" s="3"/>
      <c r="I1255" s="92"/>
      <c r="J1255" s="92"/>
    </row>
    <row r="1256" spans="2:10" x14ac:dyDescent="0.2">
      <c r="B1256" s="72" t="s">
        <v>136</v>
      </c>
      <c r="C1256" s="72"/>
      <c r="D1256" s="73">
        <v>10</v>
      </c>
      <c r="E1256" s="74" t="s">
        <v>137</v>
      </c>
      <c r="G1256" s="3"/>
      <c r="I1256" s="92"/>
      <c r="J1256" s="92"/>
    </row>
    <row r="1257" spans="2:10" x14ac:dyDescent="0.2">
      <c r="B1257" s="72" t="s">
        <v>138</v>
      </c>
      <c r="C1257" s="72"/>
      <c r="D1257" s="73">
        <v>8</v>
      </c>
      <c r="E1257" s="74" t="s">
        <v>139</v>
      </c>
      <c r="G1257" s="3"/>
      <c r="I1257" s="92"/>
      <c r="J1257" s="92"/>
    </row>
    <row r="1258" spans="2:10" x14ac:dyDescent="0.2">
      <c r="B1258" s="72" t="s">
        <v>140</v>
      </c>
      <c r="C1258" s="72"/>
      <c r="D1258" s="73">
        <v>8</v>
      </c>
      <c r="E1258" s="74" t="s">
        <v>141</v>
      </c>
      <c r="G1258" s="3"/>
      <c r="I1258" s="92"/>
      <c r="J1258" s="92"/>
    </row>
    <row r="1259" spans="2:10" ht="13.5" thickBot="1" x14ac:dyDescent="0.25">
      <c r="B1259" s="75" t="s">
        <v>142</v>
      </c>
      <c r="C1259" s="75"/>
      <c r="D1259" s="76">
        <v>8</v>
      </c>
      <c r="E1259" s="77" t="s">
        <v>143</v>
      </c>
      <c r="G1259" s="3"/>
      <c r="I1259" s="92"/>
      <c r="J1259" s="92"/>
    </row>
    <row r="1260" spans="2:10" ht="27" customHeight="1" thickBot="1" x14ac:dyDescent="0.25">
      <c r="B1260" s="78" t="s">
        <v>248</v>
      </c>
      <c r="C1260" s="79"/>
      <c r="D1260" s="79"/>
      <c r="E1260" s="80"/>
      <c r="I1260" s="92"/>
      <c r="J1260" s="92"/>
    </row>
    <row r="1261" spans="2:10" x14ac:dyDescent="0.2">
      <c r="B1261" s="61" t="s">
        <v>145</v>
      </c>
      <c r="E1261" s="60"/>
    </row>
    <row r="1262" spans="2:10" x14ac:dyDescent="0.2">
      <c r="B1262" s="84"/>
      <c r="C1262" s="62" t="s">
        <v>146</v>
      </c>
      <c r="D1262" s="62"/>
      <c r="E1262" s="62"/>
    </row>
    <row r="1263" spans="2:10" x14ac:dyDescent="0.2">
      <c r="B1263" s="61" t="s">
        <v>147</v>
      </c>
      <c r="C1263" s="85"/>
      <c r="D1263" s="85"/>
      <c r="E1263" s="86"/>
    </row>
    <row r="1264" spans="2:10" x14ac:dyDescent="0.2">
      <c r="B1264" s="84"/>
      <c r="C1264" s="62" t="s">
        <v>148</v>
      </c>
      <c r="D1264" s="62"/>
      <c r="E1264" s="62"/>
    </row>
    <row r="1265" spans="2:5" x14ac:dyDescent="0.2">
      <c r="B1265" s="61" t="s">
        <v>149</v>
      </c>
      <c r="E1265" s="60"/>
    </row>
    <row r="1266" spans="2:5" x14ac:dyDescent="0.2">
      <c r="B1266" s="61"/>
      <c r="C1266" s="87" t="s">
        <v>150</v>
      </c>
      <c r="D1266" s="87"/>
      <c r="E1266" s="87"/>
    </row>
    <row r="1267" spans="2:5" ht="13.5" thickBot="1" x14ac:dyDescent="0.25">
      <c r="B1267" s="88"/>
      <c r="C1267" s="89"/>
      <c r="D1267" s="90"/>
      <c r="E1267" s="91"/>
    </row>
  </sheetData>
  <mergeCells count="931">
    <mergeCell ref="C1266:E1266"/>
    <mergeCell ref="B1257:C1257"/>
    <mergeCell ref="B1258:C1258"/>
    <mergeCell ref="B1259:C1259"/>
    <mergeCell ref="B1260:E1260"/>
    <mergeCell ref="C1262:E1262"/>
    <mergeCell ref="C1264:E1264"/>
    <mergeCell ref="B1251:C1251"/>
    <mergeCell ref="B1252:C1252"/>
    <mergeCell ref="B1253:C1253"/>
    <mergeCell ref="B1254:C1254"/>
    <mergeCell ref="B1255:C1255"/>
    <mergeCell ref="B1256:C1256"/>
    <mergeCell ref="B1245:C1245"/>
    <mergeCell ref="B1246:C1246"/>
    <mergeCell ref="B1247:C1247"/>
    <mergeCell ref="B1248:C1248"/>
    <mergeCell ref="B1249:C1249"/>
    <mergeCell ref="B1250:C1250"/>
    <mergeCell ref="B1239:C1239"/>
    <mergeCell ref="B1240:C1240"/>
    <mergeCell ref="B1241:C1241"/>
    <mergeCell ref="B1242:C1242"/>
    <mergeCell ref="B1243:C1243"/>
    <mergeCell ref="B1244:C1244"/>
    <mergeCell ref="B1224:E1224"/>
    <mergeCell ref="C1226:E1226"/>
    <mergeCell ref="C1228:E1228"/>
    <mergeCell ref="C1230:E1230"/>
    <mergeCell ref="C1236:E1236"/>
    <mergeCell ref="B1238:E1238"/>
    <mergeCell ref="B1218:C1218"/>
    <mergeCell ref="B1219:C1219"/>
    <mergeCell ref="B1220:C1220"/>
    <mergeCell ref="B1221:C1221"/>
    <mergeCell ref="B1222:C1222"/>
    <mergeCell ref="B1223:C1223"/>
    <mergeCell ref="B1212:C1212"/>
    <mergeCell ref="B1213:C1213"/>
    <mergeCell ref="B1214:C1214"/>
    <mergeCell ref="B1215:C1215"/>
    <mergeCell ref="B1216:C1216"/>
    <mergeCell ref="B1217:C1217"/>
    <mergeCell ref="B1206:C1206"/>
    <mergeCell ref="B1207:C1207"/>
    <mergeCell ref="B1208:C1208"/>
    <mergeCell ref="B1209:C1209"/>
    <mergeCell ref="B1210:C1210"/>
    <mergeCell ref="B1211:C1211"/>
    <mergeCell ref="C1194:E1194"/>
    <mergeCell ref="C1200:E1200"/>
    <mergeCell ref="B1202:E1202"/>
    <mergeCell ref="B1203:C1203"/>
    <mergeCell ref="B1204:C1204"/>
    <mergeCell ref="B1205:C1205"/>
    <mergeCell ref="B1185:C1185"/>
    <mergeCell ref="B1186:C1186"/>
    <mergeCell ref="B1187:C1187"/>
    <mergeCell ref="B1188:E1188"/>
    <mergeCell ref="C1190:E1190"/>
    <mergeCell ref="C1192:E1192"/>
    <mergeCell ref="B1179:C1179"/>
    <mergeCell ref="B1180:C1180"/>
    <mergeCell ref="B1181:C1181"/>
    <mergeCell ref="B1182:C1182"/>
    <mergeCell ref="B1183:C1183"/>
    <mergeCell ref="B1184:C1184"/>
    <mergeCell ref="B1173:C1173"/>
    <mergeCell ref="B1174:C1174"/>
    <mergeCell ref="B1175:C1175"/>
    <mergeCell ref="B1176:C1176"/>
    <mergeCell ref="B1177:C1177"/>
    <mergeCell ref="B1178:C1178"/>
    <mergeCell ref="B1167:C1167"/>
    <mergeCell ref="B1168:C1168"/>
    <mergeCell ref="B1169:C1169"/>
    <mergeCell ref="B1170:C1170"/>
    <mergeCell ref="B1171:C1171"/>
    <mergeCell ref="B1172:C1172"/>
    <mergeCell ref="B1152:E1152"/>
    <mergeCell ref="C1154:E1154"/>
    <mergeCell ref="C1156:E1156"/>
    <mergeCell ref="C1158:E1158"/>
    <mergeCell ref="C1164:E1164"/>
    <mergeCell ref="B1166:E1166"/>
    <mergeCell ref="B1146:C1146"/>
    <mergeCell ref="B1147:C1147"/>
    <mergeCell ref="B1148:C1148"/>
    <mergeCell ref="B1149:C1149"/>
    <mergeCell ref="B1150:C1150"/>
    <mergeCell ref="B1151:C1151"/>
    <mergeCell ref="B1140:C1140"/>
    <mergeCell ref="B1141:C1141"/>
    <mergeCell ref="B1142:C1142"/>
    <mergeCell ref="B1143:C1143"/>
    <mergeCell ref="B1144:C1144"/>
    <mergeCell ref="B1145:C1145"/>
    <mergeCell ref="B1134:C1134"/>
    <mergeCell ref="B1135:C1135"/>
    <mergeCell ref="B1136:C1136"/>
    <mergeCell ref="B1137:C1137"/>
    <mergeCell ref="B1138:C1138"/>
    <mergeCell ref="B1139:C1139"/>
    <mergeCell ref="C1122:E1122"/>
    <mergeCell ref="C1128:E1128"/>
    <mergeCell ref="B1130:E1130"/>
    <mergeCell ref="B1131:C1131"/>
    <mergeCell ref="B1132:C1132"/>
    <mergeCell ref="B1133:C1133"/>
    <mergeCell ref="B1113:C1113"/>
    <mergeCell ref="B1114:C1114"/>
    <mergeCell ref="B1115:C1115"/>
    <mergeCell ref="B1116:E1116"/>
    <mergeCell ref="C1118:E1118"/>
    <mergeCell ref="C1120:E1120"/>
    <mergeCell ref="B1107:C1107"/>
    <mergeCell ref="B1108:C1108"/>
    <mergeCell ref="B1109:C1109"/>
    <mergeCell ref="B1110:C1110"/>
    <mergeCell ref="B1111:C1111"/>
    <mergeCell ref="B1112:C1112"/>
    <mergeCell ref="B1101:C1101"/>
    <mergeCell ref="B1102:C1102"/>
    <mergeCell ref="B1103:C1103"/>
    <mergeCell ref="B1104:C1104"/>
    <mergeCell ref="B1105:C1105"/>
    <mergeCell ref="B1106:C1106"/>
    <mergeCell ref="B1095:C1095"/>
    <mergeCell ref="B1096:C1096"/>
    <mergeCell ref="B1097:C1097"/>
    <mergeCell ref="B1098:C1098"/>
    <mergeCell ref="B1099:C1099"/>
    <mergeCell ref="B1100:C1100"/>
    <mergeCell ref="C1082:E1082"/>
    <mergeCell ref="C1084:E1084"/>
    <mergeCell ref="C1086:E1086"/>
    <mergeCell ref="C1090:E1090"/>
    <mergeCell ref="C1092:E1092"/>
    <mergeCell ref="B1094:E1094"/>
    <mergeCell ref="B1075:C1075"/>
    <mergeCell ref="B1076:C1076"/>
    <mergeCell ref="B1077:C1077"/>
    <mergeCell ref="B1078:C1078"/>
    <mergeCell ref="B1079:C1079"/>
    <mergeCell ref="B1080:E1080"/>
    <mergeCell ref="B1069:C1069"/>
    <mergeCell ref="B1070:C1070"/>
    <mergeCell ref="B1071:C1071"/>
    <mergeCell ref="B1072:C1072"/>
    <mergeCell ref="B1073:C1073"/>
    <mergeCell ref="B1074:C1074"/>
    <mergeCell ref="B1063:C1063"/>
    <mergeCell ref="B1064:C1064"/>
    <mergeCell ref="B1065:C1065"/>
    <mergeCell ref="B1066:C1066"/>
    <mergeCell ref="B1067:C1067"/>
    <mergeCell ref="B1068:C1068"/>
    <mergeCell ref="C1056:E1056"/>
    <mergeCell ref="B1058:E1058"/>
    <mergeCell ref="B1059:C1059"/>
    <mergeCell ref="B1060:C1060"/>
    <mergeCell ref="B1061:C1061"/>
    <mergeCell ref="B1062:C1062"/>
    <mergeCell ref="B1043:C1043"/>
    <mergeCell ref="B1044:E1044"/>
    <mergeCell ref="C1046:E1046"/>
    <mergeCell ref="C1048:E1048"/>
    <mergeCell ref="C1050:E1050"/>
    <mergeCell ref="C1054:E1054"/>
    <mergeCell ref="B1037:C1037"/>
    <mergeCell ref="B1038:C1038"/>
    <mergeCell ref="B1039:C1039"/>
    <mergeCell ref="B1040:C1040"/>
    <mergeCell ref="B1041:C1041"/>
    <mergeCell ref="B1042:C1042"/>
    <mergeCell ref="B1031:C1031"/>
    <mergeCell ref="B1032:C1032"/>
    <mergeCell ref="B1033:C1033"/>
    <mergeCell ref="B1034:C1034"/>
    <mergeCell ref="B1035:C1035"/>
    <mergeCell ref="B1036:C1036"/>
    <mergeCell ref="B1025:C1025"/>
    <mergeCell ref="B1026:C1026"/>
    <mergeCell ref="B1027:C1027"/>
    <mergeCell ref="B1028:C1028"/>
    <mergeCell ref="B1029:C1029"/>
    <mergeCell ref="B1030:C1030"/>
    <mergeCell ref="C1014:E1014"/>
    <mergeCell ref="C1018:E1018"/>
    <mergeCell ref="C1020:E1020"/>
    <mergeCell ref="B1022:E1022"/>
    <mergeCell ref="B1023:C1023"/>
    <mergeCell ref="B1024:C1024"/>
    <mergeCell ref="B1005:C1005"/>
    <mergeCell ref="B1006:C1006"/>
    <mergeCell ref="B1007:C1007"/>
    <mergeCell ref="B1008:E1008"/>
    <mergeCell ref="C1010:E1010"/>
    <mergeCell ref="C1012:E1012"/>
    <mergeCell ref="B999:C999"/>
    <mergeCell ref="B1000:C1000"/>
    <mergeCell ref="B1001:C1001"/>
    <mergeCell ref="B1002:C1002"/>
    <mergeCell ref="B1003:C1003"/>
    <mergeCell ref="B1004:C1004"/>
    <mergeCell ref="B993:C993"/>
    <mergeCell ref="B994:C994"/>
    <mergeCell ref="B995:C995"/>
    <mergeCell ref="B996:C996"/>
    <mergeCell ref="B997:C997"/>
    <mergeCell ref="B998:C998"/>
    <mergeCell ref="B987:C987"/>
    <mergeCell ref="B988:C988"/>
    <mergeCell ref="B989:C989"/>
    <mergeCell ref="B990:C990"/>
    <mergeCell ref="B991:C991"/>
    <mergeCell ref="B992:C992"/>
    <mergeCell ref="C974:E974"/>
    <mergeCell ref="C976:E976"/>
    <mergeCell ref="C978:E978"/>
    <mergeCell ref="C982:E982"/>
    <mergeCell ref="C984:E984"/>
    <mergeCell ref="B986:E986"/>
    <mergeCell ref="B967:C967"/>
    <mergeCell ref="B968:C968"/>
    <mergeCell ref="B969:C969"/>
    <mergeCell ref="B970:C970"/>
    <mergeCell ref="B971:C971"/>
    <mergeCell ref="B972:E972"/>
    <mergeCell ref="B961:C961"/>
    <mergeCell ref="B962:C962"/>
    <mergeCell ref="B963:C963"/>
    <mergeCell ref="B964:C964"/>
    <mergeCell ref="B965:C965"/>
    <mergeCell ref="B966:C966"/>
    <mergeCell ref="B955:C955"/>
    <mergeCell ref="B956:C956"/>
    <mergeCell ref="B957:C957"/>
    <mergeCell ref="B958:C958"/>
    <mergeCell ref="B959:C959"/>
    <mergeCell ref="B960:C960"/>
    <mergeCell ref="C948:E948"/>
    <mergeCell ref="B950:E950"/>
    <mergeCell ref="B951:C951"/>
    <mergeCell ref="B952:C952"/>
    <mergeCell ref="B953:C953"/>
    <mergeCell ref="B954:C954"/>
    <mergeCell ref="B934:C934"/>
    <mergeCell ref="B935:C935"/>
    <mergeCell ref="B936:E936"/>
    <mergeCell ref="C938:E938"/>
    <mergeCell ref="C940:E940"/>
    <mergeCell ref="C942:E942"/>
    <mergeCell ref="B928:C928"/>
    <mergeCell ref="B929:C929"/>
    <mergeCell ref="B930:C930"/>
    <mergeCell ref="B931:C931"/>
    <mergeCell ref="B932:C932"/>
    <mergeCell ref="B933:C933"/>
    <mergeCell ref="B922:C922"/>
    <mergeCell ref="B923:C923"/>
    <mergeCell ref="B924:C924"/>
    <mergeCell ref="B925:C925"/>
    <mergeCell ref="B926:C926"/>
    <mergeCell ref="B927:C927"/>
    <mergeCell ref="B916:C916"/>
    <mergeCell ref="B917:C917"/>
    <mergeCell ref="B918:C918"/>
    <mergeCell ref="B919:C919"/>
    <mergeCell ref="B920:C920"/>
    <mergeCell ref="B921:C921"/>
    <mergeCell ref="C902:E902"/>
    <mergeCell ref="C904:E904"/>
    <mergeCell ref="C906:E906"/>
    <mergeCell ref="C912:E912"/>
    <mergeCell ref="B914:E914"/>
    <mergeCell ref="B915:C915"/>
    <mergeCell ref="B895:C895"/>
    <mergeCell ref="B896:C896"/>
    <mergeCell ref="B897:C897"/>
    <mergeCell ref="B898:C898"/>
    <mergeCell ref="B899:C899"/>
    <mergeCell ref="B900:E900"/>
    <mergeCell ref="B889:C889"/>
    <mergeCell ref="B890:C890"/>
    <mergeCell ref="B891:C891"/>
    <mergeCell ref="B892:C892"/>
    <mergeCell ref="B893:C893"/>
    <mergeCell ref="B894:C894"/>
    <mergeCell ref="B883:C883"/>
    <mergeCell ref="B884:C884"/>
    <mergeCell ref="B885:C885"/>
    <mergeCell ref="B886:C886"/>
    <mergeCell ref="B887:C887"/>
    <mergeCell ref="B888:C888"/>
    <mergeCell ref="C876:E876"/>
    <mergeCell ref="B878:E878"/>
    <mergeCell ref="B879:C879"/>
    <mergeCell ref="B880:C880"/>
    <mergeCell ref="B881:C881"/>
    <mergeCell ref="B882:C882"/>
    <mergeCell ref="B862:C862"/>
    <mergeCell ref="B863:C863"/>
    <mergeCell ref="B864:E864"/>
    <mergeCell ref="C866:E866"/>
    <mergeCell ref="C868:E868"/>
    <mergeCell ref="C870:E870"/>
    <mergeCell ref="B856:C856"/>
    <mergeCell ref="B857:C857"/>
    <mergeCell ref="B858:C858"/>
    <mergeCell ref="B859:C859"/>
    <mergeCell ref="B860:C860"/>
    <mergeCell ref="B861:C861"/>
    <mergeCell ref="B850:C850"/>
    <mergeCell ref="B851:C851"/>
    <mergeCell ref="B852:C852"/>
    <mergeCell ref="B853:C853"/>
    <mergeCell ref="B854:C854"/>
    <mergeCell ref="B855:C855"/>
    <mergeCell ref="B844:C844"/>
    <mergeCell ref="B845:C845"/>
    <mergeCell ref="B846:C846"/>
    <mergeCell ref="B847:C847"/>
    <mergeCell ref="B848:C848"/>
    <mergeCell ref="B849:C849"/>
    <mergeCell ref="C830:E830"/>
    <mergeCell ref="C832:E832"/>
    <mergeCell ref="C834:E834"/>
    <mergeCell ref="C840:E840"/>
    <mergeCell ref="B842:E842"/>
    <mergeCell ref="B843:C843"/>
    <mergeCell ref="B823:C823"/>
    <mergeCell ref="B824:C824"/>
    <mergeCell ref="B825:C825"/>
    <mergeCell ref="B826:C826"/>
    <mergeCell ref="B827:C827"/>
    <mergeCell ref="B828:E828"/>
    <mergeCell ref="B817:C817"/>
    <mergeCell ref="B818:C818"/>
    <mergeCell ref="B819:C819"/>
    <mergeCell ref="B820:C820"/>
    <mergeCell ref="B821:C821"/>
    <mergeCell ref="B822:C822"/>
    <mergeCell ref="B811:C811"/>
    <mergeCell ref="B812:C812"/>
    <mergeCell ref="B813:C813"/>
    <mergeCell ref="B814:C814"/>
    <mergeCell ref="B815:C815"/>
    <mergeCell ref="B816:C816"/>
    <mergeCell ref="C804:E804"/>
    <mergeCell ref="B806:E806"/>
    <mergeCell ref="B807:C807"/>
    <mergeCell ref="B808:C808"/>
    <mergeCell ref="B809:C809"/>
    <mergeCell ref="B810:C810"/>
    <mergeCell ref="B790:C790"/>
    <mergeCell ref="B791:C791"/>
    <mergeCell ref="B792:E792"/>
    <mergeCell ref="C794:E794"/>
    <mergeCell ref="C796:E796"/>
    <mergeCell ref="C798:E798"/>
    <mergeCell ref="B784:C784"/>
    <mergeCell ref="B785:C785"/>
    <mergeCell ref="B786:C786"/>
    <mergeCell ref="B787:C787"/>
    <mergeCell ref="B788:C788"/>
    <mergeCell ref="B789:C789"/>
    <mergeCell ref="B778:C778"/>
    <mergeCell ref="B779:C779"/>
    <mergeCell ref="B780:C780"/>
    <mergeCell ref="B781:C781"/>
    <mergeCell ref="B782:C782"/>
    <mergeCell ref="B783:C783"/>
    <mergeCell ref="B772:C772"/>
    <mergeCell ref="B773:C773"/>
    <mergeCell ref="B774:C774"/>
    <mergeCell ref="B775:C775"/>
    <mergeCell ref="B776:C776"/>
    <mergeCell ref="B777:C777"/>
    <mergeCell ref="C758:E758"/>
    <mergeCell ref="C760:E760"/>
    <mergeCell ref="C762:E762"/>
    <mergeCell ref="C768:E768"/>
    <mergeCell ref="B770:E770"/>
    <mergeCell ref="B771:C771"/>
    <mergeCell ref="B751:C751"/>
    <mergeCell ref="B752:C752"/>
    <mergeCell ref="B753:C753"/>
    <mergeCell ref="B754:C754"/>
    <mergeCell ref="B755:C755"/>
    <mergeCell ref="B756:E756"/>
    <mergeCell ref="B745:C745"/>
    <mergeCell ref="B746:C746"/>
    <mergeCell ref="B747:C747"/>
    <mergeCell ref="B748:C748"/>
    <mergeCell ref="B749:C749"/>
    <mergeCell ref="B750:C750"/>
    <mergeCell ref="B739:C739"/>
    <mergeCell ref="B740:C740"/>
    <mergeCell ref="B741:C741"/>
    <mergeCell ref="B742:C742"/>
    <mergeCell ref="B743:C743"/>
    <mergeCell ref="B744:C744"/>
    <mergeCell ref="C732:E732"/>
    <mergeCell ref="B734:E734"/>
    <mergeCell ref="B735:C735"/>
    <mergeCell ref="B736:C736"/>
    <mergeCell ref="B737:C737"/>
    <mergeCell ref="B738:C738"/>
    <mergeCell ref="B719:C719"/>
    <mergeCell ref="B720:E720"/>
    <mergeCell ref="C722:E722"/>
    <mergeCell ref="C724:E724"/>
    <mergeCell ref="C726:E726"/>
    <mergeCell ref="C730:E730"/>
    <mergeCell ref="B713:C713"/>
    <mergeCell ref="B714:C714"/>
    <mergeCell ref="B715:C715"/>
    <mergeCell ref="B716:C716"/>
    <mergeCell ref="B717:C717"/>
    <mergeCell ref="B718:C718"/>
    <mergeCell ref="B707:C707"/>
    <mergeCell ref="B708:C708"/>
    <mergeCell ref="B709:C709"/>
    <mergeCell ref="B710:C710"/>
    <mergeCell ref="B711:C711"/>
    <mergeCell ref="B712:C712"/>
    <mergeCell ref="B701:C701"/>
    <mergeCell ref="B702:C702"/>
    <mergeCell ref="B703:C703"/>
    <mergeCell ref="B704:C704"/>
    <mergeCell ref="B705:C705"/>
    <mergeCell ref="B706:C706"/>
    <mergeCell ref="C688:E688"/>
    <mergeCell ref="C690:E690"/>
    <mergeCell ref="C696:E696"/>
    <mergeCell ref="B698:E698"/>
    <mergeCell ref="B699:C699"/>
    <mergeCell ref="B700:C700"/>
    <mergeCell ref="B680:C680"/>
    <mergeCell ref="B681:C681"/>
    <mergeCell ref="B682:C682"/>
    <mergeCell ref="B683:C683"/>
    <mergeCell ref="B684:E684"/>
    <mergeCell ref="C686:E686"/>
    <mergeCell ref="B674:C674"/>
    <mergeCell ref="B675:C675"/>
    <mergeCell ref="B676:C676"/>
    <mergeCell ref="B677:C677"/>
    <mergeCell ref="B678:C678"/>
    <mergeCell ref="B679:C679"/>
    <mergeCell ref="B668:C668"/>
    <mergeCell ref="B669:C669"/>
    <mergeCell ref="B670:C670"/>
    <mergeCell ref="B671:C671"/>
    <mergeCell ref="B672:C672"/>
    <mergeCell ref="B673:C673"/>
    <mergeCell ref="B662:E662"/>
    <mergeCell ref="B663:C663"/>
    <mergeCell ref="B664:C664"/>
    <mergeCell ref="B665:C665"/>
    <mergeCell ref="B666:C666"/>
    <mergeCell ref="B667:C667"/>
    <mergeCell ref="B647:C647"/>
    <mergeCell ref="B648:E648"/>
    <mergeCell ref="C650:E650"/>
    <mergeCell ref="C652:E652"/>
    <mergeCell ref="C654:E654"/>
    <mergeCell ref="C660:E660"/>
    <mergeCell ref="B641:C641"/>
    <mergeCell ref="B642:C642"/>
    <mergeCell ref="B643:C643"/>
    <mergeCell ref="B644:C644"/>
    <mergeCell ref="B645:C645"/>
    <mergeCell ref="B646:C646"/>
    <mergeCell ref="B635:C635"/>
    <mergeCell ref="B636:C636"/>
    <mergeCell ref="B637:C637"/>
    <mergeCell ref="B638:C638"/>
    <mergeCell ref="B639:C639"/>
    <mergeCell ref="B640:C640"/>
    <mergeCell ref="B629:C629"/>
    <mergeCell ref="B630:C630"/>
    <mergeCell ref="B631:C631"/>
    <mergeCell ref="B632:C632"/>
    <mergeCell ref="B633:C633"/>
    <mergeCell ref="B634:C634"/>
    <mergeCell ref="C616:E616"/>
    <mergeCell ref="C618:E618"/>
    <mergeCell ref="C624:E624"/>
    <mergeCell ref="B626:E626"/>
    <mergeCell ref="B627:C627"/>
    <mergeCell ref="B628:C628"/>
    <mergeCell ref="B608:C608"/>
    <mergeCell ref="B609:C609"/>
    <mergeCell ref="B610:C610"/>
    <mergeCell ref="B611:C611"/>
    <mergeCell ref="B612:E612"/>
    <mergeCell ref="C614:E614"/>
    <mergeCell ref="B602:C602"/>
    <mergeCell ref="B603:C603"/>
    <mergeCell ref="B604:C604"/>
    <mergeCell ref="B605:C605"/>
    <mergeCell ref="B606:C606"/>
    <mergeCell ref="B607:C607"/>
    <mergeCell ref="B596:C596"/>
    <mergeCell ref="B597:C597"/>
    <mergeCell ref="B598:C598"/>
    <mergeCell ref="B599:C599"/>
    <mergeCell ref="B600:C600"/>
    <mergeCell ref="B601:C601"/>
    <mergeCell ref="B590:E590"/>
    <mergeCell ref="B591:C591"/>
    <mergeCell ref="B592:C592"/>
    <mergeCell ref="B593:C593"/>
    <mergeCell ref="B594:C594"/>
    <mergeCell ref="B595:C595"/>
    <mergeCell ref="B575:C575"/>
    <mergeCell ref="B576:E576"/>
    <mergeCell ref="C578:E578"/>
    <mergeCell ref="C580:E580"/>
    <mergeCell ref="C582:E582"/>
    <mergeCell ref="C588:E588"/>
    <mergeCell ref="B569:C569"/>
    <mergeCell ref="B570:C570"/>
    <mergeCell ref="B571:C571"/>
    <mergeCell ref="B572:C572"/>
    <mergeCell ref="B573:C573"/>
    <mergeCell ref="B574:C574"/>
    <mergeCell ref="B563:C563"/>
    <mergeCell ref="B564:C564"/>
    <mergeCell ref="B565:C565"/>
    <mergeCell ref="B566:C566"/>
    <mergeCell ref="B567:C567"/>
    <mergeCell ref="B568:C568"/>
    <mergeCell ref="B557:C557"/>
    <mergeCell ref="B558:C558"/>
    <mergeCell ref="B559:C559"/>
    <mergeCell ref="B560:C560"/>
    <mergeCell ref="B561:C561"/>
    <mergeCell ref="B562:C562"/>
    <mergeCell ref="C544:E544"/>
    <mergeCell ref="C546:E546"/>
    <mergeCell ref="C552:E552"/>
    <mergeCell ref="B554:E554"/>
    <mergeCell ref="B555:C555"/>
    <mergeCell ref="B556:C556"/>
    <mergeCell ref="B536:C536"/>
    <mergeCell ref="B537:C537"/>
    <mergeCell ref="B538:C538"/>
    <mergeCell ref="B539:C539"/>
    <mergeCell ref="B540:E540"/>
    <mergeCell ref="C542:E542"/>
    <mergeCell ref="B530:C530"/>
    <mergeCell ref="B531:C531"/>
    <mergeCell ref="B532:C532"/>
    <mergeCell ref="B533:C533"/>
    <mergeCell ref="B534:C534"/>
    <mergeCell ref="B535:C535"/>
    <mergeCell ref="B524:C524"/>
    <mergeCell ref="B525:C525"/>
    <mergeCell ref="B526:C526"/>
    <mergeCell ref="B527:C527"/>
    <mergeCell ref="B528:C528"/>
    <mergeCell ref="B529:C529"/>
    <mergeCell ref="B518:E518"/>
    <mergeCell ref="B519:C519"/>
    <mergeCell ref="B520:C520"/>
    <mergeCell ref="B521:C521"/>
    <mergeCell ref="B522:C522"/>
    <mergeCell ref="B523:C523"/>
    <mergeCell ref="B503:C503"/>
    <mergeCell ref="B504:E504"/>
    <mergeCell ref="C506:E506"/>
    <mergeCell ref="C508:E508"/>
    <mergeCell ref="C510:E510"/>
    <mergeCell ref="C516:E516"/>
    <mergeCell ref="B497:C497"/>
    <mergeCell ref="B498:C498"/>
    <mergeCell ref="B499:C499"/>
    <mergeCell ref="B500:C500"/>
    <mergeCell ref="B501:C501"/>
    <mergeCell ref="B502:C502"/>
    <mergeCell ref="B491:C491"/>
    <mergeCell ref="B492:C492"/>
    <mergeCell ref="B493:C493"/>
    <mergeCell ref="B494:C494"/>
    <mergeCell ref="B495:C495"/>
    <mergeCell ref="B496:C496"/>
    <mergeCell ref="B485:C485"/>
    <mergeCell ref="B486:C486"/>
    <mergeCell ref="B487:C487"/>
    <mergeCell ref="B488:C488"/>
    <mergeCell ref="B489:C489"/>
    <mergeCell ref="B490:C490"/>
    <mergeCell ref="C472:E472"/>
    <mergeCell ref="C474:E474"/>
    <mergeCell ref="C480:E480"/>
    <mergeCell ref="B482:E482"/>
    <mergeCell ref="B483:C483"/>
    <mergeCell ref="B484:C484"/>
    <mergeCell ref="B464:C464"/>
    <mergeCell ref="B465:C465"/>
    <mergeCell ref="B466:C466"/>
    <mergeCell ref="B467:C467"/>
    <mergeCell ref="B468:E468"/>
    <mergeCell ref="C470:E470"/>
    <mergeCell ref="B458:C458"/>
    <mergeCell ref="B459:C459"/>
    <mergeCell ref="B460:C460"/>
    <mergeCell ref="B461:C461"/>
    <mergeCell ref="B462:C462"/>
    <mergeCell ref="B463:C463"/>
    <mergeCell ref="B452:C452"/>
    <mergeCell ref="B453:C453"/>
    <mergeCell ref="B454:C454"/>
    <mergeCell ref="B455:C455"/>
    <mergeCell ref="B456:C456"/>
    <mergeCell ref="B457:C457"/>
    <mergeCell ref="B446:E446"/>
    <mergeCell ref="B447:C447"/>
    <mergeCell ref="B448:C448"/>
    <mergeCell ref="B449:C449"/>
    <mergeCell ref="B450:C450"/>
    <mergeCell ref="B451:C451"/>
    <mergeCell ref="B432:E432"/>
    <mergeCell ref="C434:E434"/>
    <mergeCell ref="C436:E436"/>
    <mergeCell ref="C438:E438"/>
    <mergeCell ref="C442:E442"/>
    <mergeCell ref="C444:E444"/>
    <mergeCell ref="B426:C426"/>
    <mergeCell ref="B427:C427"/>
    <mergeCell ref="B428:C428"/>
    <mergeCell ref="B429:C429"/>
    <mergeCell ref="B430:C430"/>
    <mergeCell ref="B431:C431"/>
    <mergeCell ref="B420:C420"/>
    <mergeCell ref="B421:C421"/>
    <mergeCell ref="B422:C422"/>
    <mergeCell ref="B423:C423"/>
    <mergeCell ref="B424:C424"/>
    <mergeCell ref="B425:C425"/>
    <mergeCell ref="B414:C414"/>
    <mergeCell ref="B415:C415"/>
    <mergeCell ref="B416:C416"/>
    <mergeCell ref="B417:C417"/>
    <mergeCell ref="B418:C418"/>
    <mergeCell ref="B419:C419"/>
    <mergeCell ref="C402:E402"/>
    <mergeCell ref="C408:E408"/>
    <mergeCell ref="B410:E410"/>
    <mergeCell ref="B411:C411"/>
    <mergeCell ref="B412:C412"/>
    <mergeCell ref="B413:C413"/>
    <mergeCell ref="B393:C393"/>
    <mergeCell ref="B394:C394"/>
    <mergeCell ref="B395:C395"/>
    <mergeCell ref="B396:E396"/>
    <mergeCell ref="C398:E398"/>
    <mergeCell ref="C400:E400"/>
    <mergeCell ref="B387:C387"/>
    <mergeCell ref="B388:C388"/>
    <mergeCell ref="B389:C389"/>
    <mergeCell ref="B390:C390"/>
    <mergeCell ref="B391:C391"/>
    <mergeCell ref="B392:C392"/>
    <mergeCell ref="B381:C381"/>
    <mergeCell ref="B382:C382"/>
    <mergeCell ref="B383:C383"/>
    <mergeCell ref="B384:C384"/>
    <mergeCell ref="B385:C385"/>
    <mergeCell ref="B386:C386"/>
    <mergeCell ref="B375:C375"/>
    <mergeCell ref="B376:C376"/>
    <mergeCell ref="B377:C377"/>
    <mergeCell ref="B378:C378"/>
    <mergeCell ref="B379:C379"/>
    <mergeCell ref="B380:C380"/>
    <mergeCell ref="B360:E360"/>
    <mergeCell ref="C362:E362"/>
    <mergeCell ref="C364:E364"/>
    <mergeCell ref="C366:E366"/>
    <mergeCell ref="C372:E372"/>
    <mergeCell ref="B374:E374"/>
    <mergeCell ref="B354:C354"/>
    <mergeCell ref="B355:C355"/>
    <mergeCell ref="B356:C356"/>
    <mergeCell ref="B357:C357"/>
    <mergeCell ref="B358:C358"/>
    <mergeCell ref="B359:C359"/>
    <mergeCell ref="B348:C348"/>
    <mergeCell ref="B349:C349"/>
    <mergeCell ref="B350:C350"/>
    <mergeCell ref="B351:C351"/>
    <mergeCell ref="B352:C352"/>
    <mergeCell ref="B353:C353"/>
    <mergeCell ref="B342:C342"/>
    <mergeCell ref="B343:C343"/>
    <mergeCell ref="B344:C344"/>
    <mergeCell ref="B345:C345"/>
    <mergeCell ref="B346:C346"/>
    <mergeCell ref="B347:C347"/>
    <mergeCell ref="C330:E330"/>
    <mergeCell ref="C336:E336"/>
    <mergeCell ref="B338:E338"/>
    <mergeCell ref="B339:C339"/>
    <mergeCell ref="B340:C340"/>
    <mergeCell ref="B341:C341"/>
    <mergeCell ref="B321:C321"/>
    <mergeCell ref="B322:C322"/>
    <mergeCell ref="B323:C323"/>
    <mergeCell ref="B324:E324"/>
    <mergeCell ref="C326:E326"/>
    <mergeCell ref="C328:E328"/>
    <mergeCell ref="B315:C315"/>
    <mergeCell ref="B316:C316"/>
    <mergeCell ref="B317:C317"/>
    <mergeCell ref="B318:C318"/>
    <mergeCell ref="B319:C319"/>
    <mergeCell ref="B320:C320"/>
    <mergeCell ref="B309:C309"/>
    <mergeCell ref="B310:C310"/>
    <mergeCell ref="B311:C311"/>
    <mergeCell ref="B312:C312"/>
    <mergeCell ref="B313:C313"/>
    <mergeCell ref="B314:C314"/>
    <mergeCell ref="B303:C303"/>
    <mergeCell ref="B304:C304"/>
    <mergeCell ref="B305:C305"/>
    <mergeCell ref="B306:C306"/>
    <mergeCell ref="B307:C307"/>
    <mergeCell ref="B308:C308"/>
    <mergeCell ref="B288:E288"/>
    <mergeCell ref="C290:E290"/>
    <mergeCell ref="C292:E292"/>
    <mergeCell ref="C294:E294"/>
    <mergeCell ref="C300:E300"/>
    <mergeCell ref="B302:E302"/>
    <mergeCell ref="B282:C282"/>
    <mergeCell ref="B283:C283"/>
    <mergeCell ref="B284:C284"/>
    <mergeCell ref="B285:C285"/>
    <mergeCell ref="B286:C286"/>
    <mergeCell ref="B287:C287"/>
    <mergeCell ref="B276:C276"/>
    <mergeCell ref="B277:C277"/>
    <mergeCell ref="B278:C278"/>
    <mergeCell ref="B279:C279"/>
    <mergeCell ref="B280:C280"/>
    <mergeCell ref="B281:C281"/>
    <mergeCell ref="B270:C270"/>
    <mergeCell ref="B271:C271"/>
    <mergeCell ref="B272:C272"/>
    <mergeCell ref="B273:C273"/>
    <mergeCell ref="B274:C274"/>
    <mergeCell ref="B275:C275"/>
    <mergeCell ref="C258:E258"/>
    <mergeCell ref="C264:E264"/>
    <mergeCell ref="B266:E266"/>
    <mergeCell ref="B267:C267"/>
    <mergeCell ref="B268:C268"/>
    <mergeCell ref="B269:C269"/>
    <mergeCell ref="B249:C249"/>
    <mergeCell ref="B250:C250"/>
    <mergeCell ref="B251:C251"/>
    <mergeCell ref="B252:E252"/>
    <mergeCell ref="C254:E254"/>
    <mergeCell ref="C256:E256"/>
    <mergeCell ref="B243:C243"/>
    <mergeCell ref="B244:C244"/>
    <mergeCell ref="B245:C245"/>
    <mergeCell ref="B246:C246"/>
    <mergeCell ref="B247:C247"/>
    <mergeCell ref="B248:C248"/>
    <mergeCell ref="B237:C237"/>
    <mergeCell ref="B238:C238"/>
    <mergeCell ref="B239:C239"/>
    <mergeCell ref="B240:C240"/>
    <mergeCell ref="B241:C241"/>
    <mergeCell ref="B242:C242"/>
    <mergeCell ref="B231:C231"/>
    <mergeCell ref="B232:C232"/>
    <mergeCell ref="B233:C233"/>
    <mergeCell ref="B234:C234"/>
    <mergeCell ref="B235:C235"/>
    <mergeCell ref="B236:C236"/>
    <mergeCell ref="B216:E216"/>
    <mergeCell ref="C218:E218"/>
    <mergeCell ref="C220:E220"/>
    <mergeCell ref="C222:E222"/>
    <mergeCell ref="C228:E228"/>
    <mergeCell ref="B230:E230"/>
    <mergeCell ref="B210:C210"/>
    <mergeCell ref="B211:C211"/>
    <mergeCell ref="B212:C212"/>
    <mergeCell ref="B213:C213"/>
    <mergeCell ref="B214:C214"/>
    <mergeCell ref="B215:C215"/>
    <mergeCell ref="B204:C204"/>
    <mergeCell ref="B205:C205"/>
    <mergeCell ref="B206:C206"/>
    <mergeCell ref="B207:C207"/>
    <mergeCell ref="B208:C208"/>
    <mergeCell ref="B209:C209"/>
    <mergeCell ref="B198:C198"/>
    <mergeCell ref="B199:C199"/>
    <mergeCell ref="B200:C200"/>
    <mergeCell ref="B201:C201"/>
    <mergeCell ref="B202:C202"/>
    <mergeCell ref="B203:C203"/>
    <mergeCell ref="C186:E186"/>
    <mergeCell ref="C192:E192"/>
    <mergeCell ref="B194:E194"/>
    <mergeCell ref="B195:C195"/>
    <mergeCell ref="B196:C196"/>
    <mergeCell ref="B197:C197"/>
    <mergeCell ref="B177:C177"/>
    <mergeCell ref="B178:C178"/>
    <mergeCell ref="B179:C179"/>
    <mergeCell ref="B180:E180"/>
    <mergeCell ref="C182:E182"/>
    <mergeCell ref="C184:E184"/>
    <mergeCell ref="B171:C171"/>
    <mergeCell ref="B172:C172"/>
    <mergeCell ref="B173:C173"/>
    <mergeCell ref="B174:C174"/>
    <mergeCell ref="B175:C175"/>
    <mergeCell ref="B176:C176"/>
    <mergeCell ref="B165:C165"/>
    <mergeCell ref="B166:C166"/>
    <mergeCell ref="B167:C167"/>
    <mergeCell ref="B168:C168"/>
    <mergeCell ref="B169:C169"/>
    <mergeCell ref="B170:C170"/>
    <mergeCell ref="B159:C159"/>
    <mergeCell ref="B160:C160"/>
    <mergeCell ref="B161:C161"/>
    <mergeCell ref="B162:C162"/>
    <mergeCell ref="B163:C163"/>
    <mergeCell ref="B164:C164"/>
    <mergeCell ref="B144:E144"/>
    <mergeCell ref="C146:E146"/>
    <mergeCell ref="C148:E148"/>
    <mergeCell ref="C150:E150"/>
    <mergeCell ref="C156:E156"/>
    <mergeCell ref="B158:E158"/>
    <mergeCell ref="B138:C138"/>
    <mergeCell ref="B139:C139"/>
    <mergeCell ref="B140:C140"/>
    <mergeCell ref="B141:C141"/>
    <mergeCell ref="B142:C142"/>
    <mergeCell ref="B143:C143"/>
    <mergeCell ref="B132:C132"/>
    <mergeCell ref="B133:C133"/>
    <mergeCell ref="B134:C134"/>
    <mergeCell ref="B135:C135"/>
    <mergeCell ref="B136:C136"/>
    <mergeCell ref="B137:C137"/>
    <mergeCell ref="B126:C126"/>
    <mergeCell ref="B127:C127"/>
    <mergeCell ref="B128:C128"/>
    <mergeCell ref="B129:C129"/>
    <mergeCell ref="B130:C130"/>
    <mergeCell ref="B131:C131"/>
    <mergeCell ref="C114:E114"/>
    <mergeCell ref="C120:E120"/>
    <mergeCell ref="B122:E122"/>
    <mergeCell ref="B123:C123"/>
    <mergeCell ref="B124:C124"/>
    <mergeCell ref="B125:C125"/>
    <mergeCell ref="B105:C105"/>
    <mergeCell ref="B106:C106"/>
    <mergeCell ref="B107:C107"/>
    <mergeCell ref="B108:E108"/>
    <mergeCell ref="C110:E110"/>
    <mergeCell ref="C112:E112"/>
    <mergeCell ref="B99:C99"/>
    <mergeCell ref="B100:C100"/>
    <mergeCell ref="B101:C101"/>
    <mergeCell ref="B102:C102"/>
    <mergeCell ref="B103:C103"/>
    <mergeCell ref="B104:C104"/>
    <mergeCell ref="B93:C93"/>
    <mergeCell ref="B94:C94"/>
    <mergeCell ref="B95:C95"/>
    <mergeCell ref="B96:C96"/>
    <mergeCell ref="B97:C97"/>
    <mergeCell ref="B98:C98"/>
    <mergeCell ref="B87:C87"/>
    <mergeCell ref="B88:C88"/>
    <mergeCell ref="B89:C89"/>
    <mergeCell ref="B90:C90"/>
    <mergeCell ref="B91:C91"/>
    <mergeCell ref="B92:C92"/>
    <mergeCell ref="B72:E72"/>
    <mergeCell ref="C74:E74"/>
    <mergeCell ref="C76:E76"/>
    <mergeCell ref="C78:E78"/>
    <mergeCell ref="C84:E84"/>
    <mergeCell ref="B86:E86"/>
    <mergeCell ref="B66:C66"/>
    <mergeCell ref="B67:C67"/>
    <mergeCell ref="B68:C68"/>
    <mergeCell ref="B69:C69"/>
    <mergeCell ref="B70:C70"/>
    <mergeCell ref="B71:C71"/>
    <mergeCell ref="B60:C60"/>
    <mergeCell ref="B61:C61"/>
    <mergeCell ref="B62:C62"/>
    <mergeCell ref="B63:C63"/>
    <mergeCell ref="B64:C64"/>
    <mergeCell ref="B65:C65"/>
    <mergeCell ref="B54:C54"/>
    <mergeCell ref="B55:C55"/>
    <mergeCell ref="B56:C56"/>
    <mergeCell ref="B57:C57"/>
    <mergeCell ref="B58:C58"/>
    <mergeCell ref="B59:C59"/>
    <mergeCell ref="A6:B6"/>
    <mergeCell ref="C48:E48"/>
    <mergeCell ref="B50:E50"/>
    <mergeCell ref="B51:C51"/>
    <mergeCell ref="B52:C52"/>
    <mergeCell ref="B53:C53"/>
    <mergeCell ref="B1:H1"/>
    <mergeCell ref="A3:B3"/>
    <mergeCell ref="C3:E3"/>
    <mergeCell ref="A4:B4"/>
    <mergeCell ref="C4:E4"/>
    <mergeCell ref="A5:B5"/>
  </mergeCells>
  <pageMargins left="0.25" right="0.25" top="0.75" bottom="0.75" header="0.3" footer="0.3"/>
  <pageSetup paperSize="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ALIM-IMP</vt:lpstr>
      <vt:lpstr>'ALIM-IMP'!Área_de_impresión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dc:creator>
  <cp:lastModifiedBy>ADRIAN</cp:lastModifiedBy>
  <dcterms:created xsi:type="dcterms:W3CDTF">2021-11-16T14:34:15Z</dcterms:created>
  <dcterms:modified xsi:type="dcterms:W3CDTF">2021-11-16T14:34:52Z</dcterms:modified>
</cp:coreProperties>
</file>