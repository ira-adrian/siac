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84B2BEF8-3A6E-47B7-81DE-A8D249D0886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_Gastar" sheetId="3" r:id="rId3"/>
  </sheets>
  <externalReferences>
    <externalReference r:id="rId4"/>
  </externalReferences>
  <definedNames>
    <definedName name="_xlnm.Print_Area" localSheetId="1">' NotaPedido'!$A$1:$K$14</definedName>
  </definedNames>
  <calcPr calcId="181029"/>
</workbook>
</file>

<file path=xl/calcChain.xml><?xml version="1.0" encoding="utf-8"?>
<calcChain xmlns="http://schemas.openxmlformats.org/spreadsheetml/2006/main">
  <c r="D11" i="1" l="1"/>
  <c r="D10" i="1"/>
  <c r="G7" i="3"/>
  <c r="Q24" i="3"/>
  <c r="K23" i="3"/>
  <c r="J23" i="3"/>
  <c r="I23" i="3"/>
  <c r="A10" i="3"/>
  <c r="G6" i="3"/>
  <c r="D1" i="3"/>
  <c r="J13" i="2"/>
  <c r="K13" i="2"/>
  <c r="I11" i="1"/>
  <c r="I10" i="1"/>
  <c r="I12" i="1" l="1"/>
  <c r="D7" i="2"/>
  <c r="D3" i="2"/>
  <c r="G4" i="3" s="1"/>
  <c r="D4" i="2"/>
  <c r="G5" i="3" s="1"/>
  <c r="K12" i="2" l="1"/>
  <c r="J14" i="2" s="1"/>
  <c r="J12" i="2"/>
  <c r="I12" i="2"/>
  <c r="C12" i="2"/>
  <c r="B12" i="2"/>
</calcChain>
</file>

<file path=xl/sharedStrings.xml><?xml version="1.0" encoding="utf-8"?>
<sst xmlns="http://schemas.openxmlformats.org/spreadsheetml/2006/main" count="109" uniqueCount="82">
  <si>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</si>
  <si>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</si>
  <si>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</si>
  <si>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</si>
  <si>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</si>
  <si>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</si>
  <si>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</si>
  <si>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</si>
  <si>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</si>
  <si>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</si>
  <si>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</si>
  <si>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</si>
  <si>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</si>
  <si>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</si>
  <si>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</si>
  <si>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</si>
  <si>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</si>
  <si>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</si>
  <si>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</si>
  <si>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</si>
  <si>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</si>
  <si>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</si>
  <si>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</si>
  <si>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</si>
  <si>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</si>
  <si>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</si>
  <si>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</si>
  <si>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</si>
  <si>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</si>
  <si>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</si>
  <si>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</si>
  <si>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</si>
  <si>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UNIDAD EJECUTORA:</t>
  </si>
  <si>
    <t xml:space="preserve">JURISDICCIÓN: </t>
  </si>
  <si>
    <t>SAF:</t>
  </si>
  <si>
    <t xml:space="preserve">DEPENDENCIA SOLICITANTE: </t>
  </si>
  <si>
    <t>2.7.3-2899.1</t>
  </si>
  <si>
    <t>CARTUCHOS DE BALA; PRESENTACION: CAJA X 50, CALIBRE: 9 X 19 mm</t>
  </si>
  <si>
    <t>INSUMO P/ ARMAMENTO</t>
  </si>
  <si>
    <t>División Armamento y Municiones, Dpto. Logística</t>
  </si>
  <si>
    <t>Adquisición de municiones destinadas a dependencias policiales.</t>
  </si>
  <si>
    <t>90 - Ministerio de Seguridad</t>
  </si>
  <si>
    <t>7 - Direccion Provincial de Administracion de la Policia de Catamarca</t>
  </si>
  <si>
    <t>CARTUCHOS DE ESCOPETA; CALIBRE: 12/70, PRESENTACION: CAJA X 25</t>
  </si>
  <si>
    <t>Especificidades Item N° 1:</t>
  </si>
  <si>
    <t>CARACTERISTICAS: Cartuchos Calibre 9X19 mm. NATO. FMJ (Totalmente encamisada). Peso Punta: 110 a 125 grains. Velocidad: 1100 a 1200 pies /segundo.- Caja por (50) unidades</t>
  </si>
  <si>
    <t>Especificidades Item N° 2:</t>
  </si>
  <si>
    <t>CARACTERÍSTICAS: Cartucho Anti tumulto,  Calibre 12/70mm. AT. Vaina semi metálica. Cápsula iniciadora con sustancia inoxidante. De 15 a 24 Postas esféricas de SBR. Diámetro de 7.8 mm a 8.5 mm. No Letal. Pólvora nitro celulósica tipo Z90.-</t>
  </si>
  <si>
    <r>
      <t xml:space="preserve">a) </t>
    </r>
    <r>
      <rPr>
        <b/>
        <sz val="10"/>
        <rFont val="Times New Roman"/>
        <family val="1"/>
      </rPr>
      <t>LUGAR DE ENTREGA: DIVISIÓN ARMAMENTO Y MUNICIONES (</t>
    </r>
    <r>
      <rPr>
        <sz val="10"/>
        <rFont val="Times New Roman"/>
        <family val="1"/>
      </rPr>
      <t>Dpto Logística), sito en Chacabuco N° 809 -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</si>
  <si>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Que Cumpla con lo Solicitado de Forma Integra.</t>
  </si>
  <si>
    <t>30 (treinta)  días</t>
  </si>
  <si>
    <t>83/2020</t>
  </si>
  <si>
    <t xml:space="preserve">Policia de la Provincia de Catamarca </t>
  </si>
  <si>
    <t>Costo total estimado: son Pesos Cuatrocientos Noventa y Nueve Mil Cuatrocientos Cincuenta con 00/100.-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</si>
  <si>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</si>
  <si>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</si>
  <si>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</si>
  <si>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</si>
  <si>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</si>
  <si>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</si>
  <si>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</si>
  <si>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</si>
  <si>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</si>
  <si>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</si>
  <si>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</si>
  <si>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</si>
  <si>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</si>
  <si>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</si>
  <si>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</si>
  <si>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</si>
  <si>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</si>
  <si>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</si>
  <si>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</si>
  <si>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</si>
  <si>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</si>
  <si>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</si>
  <si>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MATERIAL DE GUERRA</t>
  </si>
  <si>
    <t>TOTAL DE PESOS: Cuatrocientos Noventa y Nueve Mil Cuatrocientos Cincuenta con 00/100.-</t>
  </si>
  <si>
    <t>JUSTIFICACIÓN:</t>
  </si>
  <si>
    <t>Para la adquisición de municiones destinadas a las dependencias policiales</t>
  </si>
  <si>
    <t>CARTUCHO ESCOPETA, CALIBRE: 12/70, PRESENTACION: CAJA X 25</t>
  </si>
  <si>
    <t>2.7.3-2941.3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</si>
</sst>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_ [$$-2C0A]\ * #,##0.00_ ;_ [$$-2C0A]\ * \-#,##0.00_ ;_ [$$-2C0A]\ * &quot;-&quot;??_ ;_ @_ "/>
    <numFmt numFmtId="169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i/>
      <u val="singleAccounting"/>
      <sz val="10"/>
      <name val="Times New Roman"/>
      <family val="1"/>
    </font>
    <font>
      <i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0" fillId="0" borderId="0" applyBorder="0" applyProtection="0"/>
    <xf numFmtId="0" fontId="1" fillId="0" borderId="1" applyProtection="0"/>
    <xf numFmtId="0" fontId="3" fillId="2" borderId="0" applyBorder="0" applyProtection="0"/>
    <xf numFmtId="164" fontId="2" fillId="0" borderId="0" applyBorder="0" applyProtection="0"/>
  </cellStyleXfs>
  <cellXfs count="140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1" fillId="0" borderId="0" xfId="0" applyFont="1"/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0" xfId="0" applyFont="1" applyBorder="1"/>
    <xf numFmtId="0" fontId="11" fillId="0" borderId="12" xfId="0" applyFont="1" applyBorder="1"/>
    <xf numFmtId="0" fontId="18" fillId="0" borderId="11" xfId="0" applyFont="1" applyBorder="1" applyAlignment="1">
      <alignment horizontal="left" indent="3"/>
    </xf>
    <xf numFmtId="0" fontId="11" fillId="0" borderId="11" xfId="0" applyFont="1" applyBorder="1" applyAlignment="1">
      <alignment horizontal="left" indent="3"/>
    </xf>
    <xf numFmtId="0" fontId="11" fillId="0" borderId="0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left" indent="3"/>
    </xf>
    <xf numFmtId="0" fontId="11" fillId="0" borderId="14" xfId="0" applyFont="1" applyBorder="1"/>
    <xf numFmtId="0" fontId="11" fillId="0" borderId="15" xfId="0" applyFont="1" applyBorder="1"/>
    <xf numFmtId="0" fontId="19" fillId="0" borderId="0" xfId="0" applyFont="1" applyFill="1" applyAlignment="1">
      <alignment horizontal="left" wrapText="1" indent="1"/>
    </xf>
    <xf numFmtId="0" fontId="15" fillId="0" borderId="0" xfId="0" applyFont="1" applyFill="1" applyAlignment="1">
      <alignment horizontal="left" wrapText="1"/>
    </xf>
    <xf numFmtId="0" fontId="20" fillId="0" borderId="8" xfId="0" applyFont="1" applyBorder="1"/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1" fillId="0" borderId="27" xfId="0" applyFont="1" applyFill="1" applyBorder="1"/>
    <xf numFmtId="0" fontId="11" fillId="0" borderId="3" xfId="0" applyFont="1" applyFill="1" applyBorder="1"/>
    <xf numFmtId="0" fontId="17" fillId="0" borderId="27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" fontId="16" fillId="0" borderId="3" xfId="0" applyNumberFormat="1" applyFont="1" applyFill="1" applyBorder="1" applyAlignment="1">
      <alignment horizontal="center" vertical="center" wrapText="1"/>
    </xf>
    <xf numFmtId="168" fontId="16" fillId="0" borderId="3" xfId="1" applyNumberFormat="1" applyFont="1" applyFill="1" applyBorder="1" applyAlignment="1" applyProtection="1">
      <alignment horizontal="right" vertical="center" wrapText="1"/>
    </xf>
    <xf numFmtId="168" fontId="16" fillId="0" borderId="4" xfId="1" applyNumberFormat="1" applyFont="1" applyFill="1" applyBorder="1" applyAlignment="1" applyProtection="1">
      <alignment horizontal="right" vertical="center" wrapText="1"/>
    </xf>
    <xf numFmtId="168" fontId="11" fillId="0" borderId="0" xfId="1" applyNumberFormat="1" applyFont="1"/>
    <xf numFmtId="0" fontId="11" fillId="0" borderId="6" xfId="0" applyFont="1" applyFill="1" applyBorder="1"/>
    <xf numFmtId="0" fontId="18" fillId="0" borderId="13" xfId="0" applyFont="1" applyFill="1" applyBorder="1" applyAlignment="1">
      <alignment horizontal="left" indent="3"/>
    </xf>
    <xf numFmtId="0" fontId="11" fillId="0" borderId="14" xfId="0" applyFont="1" applyFill="1" applyBorder="1" applyAlignment="1">
      <alignment horizontal="justify" wrapText="1"/>
    </xf>
    <xf numFmtId="0" fontId="11" fillId="0" borderId="15" xfId="0" applyFont="1" applyFill="1" applyBorder="1" applyAlignment="1">
      <alignment horizontal="justify" wrapText="1"/>
    </xf>
    <xf numFmtId="0" fontId="11" fillId="0" borderId="0" xfId="0" applyFont="1" applyFill="1"/>
    <xf numFmtId="0" fontId="18" fillId="0" borderId="13" xfId="0" applyFont="1" applyBorder="1" applyAlignment="1">
      <alignment horizontal="left" indent="3"/>
    </xf>
    <xf numFmtId="0" fontId="18" fillId="0" borderId="0" xfId="0" applyFont="1" applyBorder="1" applyAlignment="1">
      <alignment horizontal="left" indent="3"/>
    </xf>
    <xf numFmtId="0" fontId="18" fillId="0" borderId="8" xfId="0" applyFont="1" applyBorder="1" applyAlignment="1">
      <alignment horizontal="left" indent="3"/>
    </xf>
    <xf numFmtId="0" fontId="11" fillId="0" borderId="11" xfId="0" applyFont="1" applyFill="1" applyBorder="1" applyAlignment="1">
      <alignment horizontal="left" indent="3"/>
    </xf>
    <xf numFmtId="168" fontId="22" fillId="0" borderId="0" xfId="0" applyNumberFormat="1" applyFont="1"/>
    <xf numFmtId="1" fontId="17" fillId="0" borderId="6" xfId="0" applyNumberFormat="1" applyFont="1" applyBorder="1" applyAlignment="1">
      <alignment horizontal="center" wrapText="1"/>
    </xf>
    <xf numFmtId="168" fontId="17" fillId="0" borderId="6" xfId="0" applyNumberFormat="1" applyFont="1" applyBorder="1" applyAlignment="1">
      <alignment horizontal="center" wrapText="1"/>
    </xf>
    <xf numFmtId="168" fontId="17" fillId="0" borderId="7" xfId="0" applyNumberFormat="1" applyFont="1" applyBorder="1" applyAlignment="1">
      <alignment horizontal="right" wrapText="1"/>
    </xf>
    <xf numFmtId="3" fontId="24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Border="1"/>
    <xf numFmtId="0" fontId="0" fillId="0" borderId="16" xfId="0" applyBorder="1"/>
    <xf numFmtId="0" fontId="0" fillId="0" borderId="43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44" xfId="0" applyBorder="1"/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48" xfId="0" applyFont="1" applyBorder="1" applyAlignment="1">
      <alignment horizontal="left" vertical="center"/>
    </xf>
    <xf numFmtId="0" fontId="28" fillId="0" borderId="49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10" fillId="0" borderId="51" xfId="0" applyFont="1" applyFill="1" applyBorder="1" applyAlignment="1">
      <alignment horizontal="center" vertical="center"/>
    </xf>
    <xf numFmtId="168" fontId="0" fillId="0" borderId="53" xfId="4" applyNumberFormat="1" applyFont="1" applyBorder="1" applyAlignment="1" applyProtection="1">
      <alignment horizontal="center" vertical="center"/>
    </xf>
    <xf numFmtId="166" fontId="28" fillId="0" borderId="54" xfId="0" applyNumberFormat="1" applyFont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 wrapText="1"/>
    </xf>
    <xf numFmtId="166" fontId="4" fillId="0" borderId="25" xfId="1" applyNumberFormat="1" applyFont="1" applyFill="1" applyBorder="1" applyAlignment="1" applyProtection="1">
      <alignment horizontal="right" vertical="center" wrapText="1"/>
    </xf>
    <xf numFmtId="3" fontId="4" fillId="0" borderId="25" xfId="0" applyNumberFormat="1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justify" wrapText="1"/>
    </xf>
    <xf numFmtId="0" fontId="11" fillId="0" borderId="12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1" fillId="0" borderId="12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horizontal="justify" wrapText="1"/>
    </xf>
    <xf numFmtId="0" fontId="11" fillId="0" borderId="12" xfId="0" applyFont="1" applyFill="1" applyBorder="1" applyAlignment="1">
      <alignment horizontal="justify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/>
    </xf>
    <xf numFmtId="0" fontId="19" fillId="0" borderId="0" xfId="0" applyFont="1" applyFill="1" applyBorder="1" applyAlignment="1">
      <alignment horizontal="left" wrapText="1" indent="1"/>
    </xf>
    <xf numFmtId="0" fontId="6" fillId="0" borderId="20" xfId="0" applyFont="1" applyBorder="1" applyAlignment="1">
      <alignment horizontal="left" vertical="center" wrapText="1" indent="1"/>
    </xf>
    <xf numFmtId="167" fontId="23" fillId="0" borderId="20" xfId="0" applyNumberFormat="1" applyFont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 wrapText="1"/>
    </xf>
    <xf numFmtId="0" fontId="4" fillId="0" borderId="28" xfId="0" applyFont="1" applyFill="1" applyBorder="1" applyAlignment="1">
      <alignment horizontal="justify" vertical="center" wrapText="1"/>
    </xf>
    <xf numFmtId="0" fontId="4" fillId="0" borderId="29" xfId="0" applyFont="1" applyFill="1" applyBorder="1" applyAlignment="1">
      <alignment horizontal="justify" vertical="center" wrapText="1"/>
    </xf>
    <xf numFmtId="0" fontId="4" fillId="0" borderId="30" xfId="0" applyFont="1" applyFill="1" applyBorder="1" applyAlignment="1">
      <alignment horizontal="justify" vertical="center" wrapText="1"/>
    </xf>
    <xf numFmtId="0" fontId="7" fillId="0" borderId="22" xfId="0" applyFont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 wrapText="1" indent="1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/>
    </xf>
    <xf numFmtId="0" fontId="6" fillId="0" borderId="20" xfId="0" applyFont="1" applyFill="1" applyBorder="1" applyAlignment="1">
      <alignment horizontal="left" vertical="center" wrapText="1" indent="1"/>
    </xf>
    <xf numFmtId="0" fontId="7" fillId="0" borderId="21" xfId="0" applyFont="1" applyBorder="1" applyAlignment="1">
      <alignment horizontal="left" vertical="center" wrapText="1"/>
    </xf>
    <xf numFmtId="0" fontId="26" fillId="0" borderId="41" xfId="0" applyFont="1" applyBorder="1"/>
    <xf numFmtId="0" fontId="0" fillId="0" borderId="36" xfId="0" applyFont="1" applyBorder="1" applyAlignment="1">
      <alignment horizontal="center"/>
    </xf>
    <xf numFmtId="3" fontId="24" fillId="0" borderId="37" xfId="0" applyNumberFormat="1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" fillId="0" borderId="17" xfId="0" applyFont="1" applyBorder="1"/>
    <xf numFmtId="0" fontId="26" fillId="0" borderId="17" xfId="0" applyFont="1" applyBorder="1" applyAlignment="1">
      <alignment horizontal="left" indent="1"/>
    </xf>
    <xf numFmtId="0" fontId="4" fillId="0" borderId="19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29" fillId="0" borderId="40" xfId="0" applyFont="1" applyFill="1" applyBorder="1" applyAlignment="1">
      <alignment horizontal="left" vertical="center" wrapText="1"/>
    </xf>
    <xf numFmtId="0" fontId="29" fillId="0" borderId="38" xfId="0" applyFont="1" applyFill="1" applyBorder="1" applyAlignment="1">
      <alignment horizontal="left" vertical="center" wrapText="1"/>
    </xf>
    <xf numFmtId="0" fontId="29" fillId="0" borderId="39" xfId="0" applyFont="1" applyFill="1" applyBorder="1" applyAlignment="1">
      <alignment horizontal="left" vertical="center" wrapText="1"/>
    </xf>
    <xf numFmtId="0" fontId="27" fillId="0" borderId="17" xfId="0" applyFont="1" applyBorder="1" applyAlignment="1">
      <alignment horizontal="left"/>
    </xf>
    <xf numFmtId="0" fontId="10" fillId="0" borderId="51" xfId="0" applyFont="1" applyFill="1" applyBorder="1" applyAlignment="1">
      <alignment horizontal="left" vertical="center" wrapText="1"/>
    </xf>
    <xf numFmtId="0" fontId="0" fillId="0" borderId="51" xfId="0" applyFont="1" applyFill="1" applyBorder="1" applyAlignment="1">
      <alignment horizontal="left" vertical="center" wrapText="1"/>
    </xf>
    <xf numFmtId="0" fontId="26" fillId="0" borderId="42" xfId="0" applyFont="1" applyBorder="1" applyAlignment="1">
      <alignment horizontal="left" vertical="center" wrapText="1" indent="1"/>
    </xf>
    <xf numFmtId="0" fontId="28" fillId="0" borderId="45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/>
    </xf>
    <xf numFmtId="0" fontId="26" fillId="0" borderId="54" xfId="0" applyFont="1" applyFill="1" applyBorder="1" applyAlignment="1">
      <alignment horizontal="left" vertical="center" wrapText="1" indent="1"/>
    </xf>
    <xf numFmtId="0" fontId="24" fillId="0" borderId="19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9" xfId="0" applyFont="1" applyBorder="1" applyAlignment="1">
      <alignment horizontal="left" vertical="center" wrapText="1"/>
    </xf>
    <xf numFmtId="0" fontId="0" fillId="0" borderId="45" xfId="0" applyBorder="1"/>
    <xf numFmtId="0" fontId="24" fillId="0" borderId="36" xfId="0" applyFont="1" applyBorder="1" applyAlignment="1">
      <alignment vertical="center" wrapText="1"/>
    </xf>
    <xf numFmtId="0" fontId="24" fillId="0" borderId="55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6" fillId="0" borderId="46" xfId="0" applyFont="1" applyBorder="1" applyAlignment="1">
      <alignment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4" xr:uid="{00000000-0005-0000-0000-000002000000}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NPyE%20-APG%20-%20SAF%2007%20-MUNICIONE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2.7.3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5"/>
  <sheetViews>
    <sheetView tabSelected="1" workbookViewId="0">
      <selection activeCell="C23" sqref="C23:E23"/>
    </sheetView>
  </sheetViews>
  <sheetFormatPr baseColWidth="10" defaultColWidth="11" defaultRowHeight="12.75" x14ac:dyDescent="0.2"/>
  <cols>
    <col min="1" max="1" width="4.5703125" style="10" customWidth="1"/>
    <col min="2" max="2" width="12.85546875" style="10" customWidth="1"/>
    <col min="3" max="3" width="32.42578125" style="10" customWidth="1"/>
    <col min="4" max="4" width="8.42578125" style="10" customWidth="1"/>
    <col min="5" max="5" width="79" style="10" customWidth="1"/>
    <col min="6" max="6" width="11" style="10"/>
    <col min="7" max="7" width="12.7109375" style="10" customWidth="1"/>
    <col min="8" max="8" width="13.85546875" style="10" customWidth="1"/>
    <col min="9" max="9" width="18.5703125" style="10" customWidth="1"/>
    <col min="10" max="10" width="12.85546875" style="10" bestFit="1" customWidth="1"/>
    <col min="11" max="16384" width="11" style="10"/>
  </cols>
  <sheetData>
    <row r="2" spans="1:10" ht="27" x14ac:dyDescent="0.35">
      <c r="B2" s="94" t="s">
        <v>0</v>
      </c>
      <c r="C2" s="94"/>
      <c r="D2" s="94"/>
      <c r="E2" s="94"/>
      <c r="F2" s="94"/>
      <c r="G2" s="94"/>
      <c r="H2" s="94"/>
    </row>
    <row r="4" spans="1:10" ht="18" customHeight="1" x14ac:dyDescent="0.25">
      <c r="A4" s="93" t="s">
        <v>1</v>
      </c>
      <c r="B4" s="93"/>
      <c r="C4" s="95" t="s">
        <v>41</v>
      </c>
      <c r="D4" s="95"/>
      <c r="E4" s="95"/>
      <c r="F4" s="11"/>
      <c r="G4" s="12"/>
      <c r="H4" s="11"/>
    </row>
    <row r="5" spans="1:10" ht="18" customHeight="1" x14ac:dyDescent="0.25">
      <c r="A5" s="93" t="s">
        <v>2</v>
      </c>
      <c r="B5" s="93"/>
      <c r="C5" s="95" t="s">
        <v>42</v>
      </c>
      <c r="D5" s="95"/>
      <c r="E5" s="95"/>
      <c r="F5" s="11"/>
      <c r="G5" s="12"/>
      <c r="H5" s="11"/>
    </row>
    <row r="6" spans="1:10" ht="16.5" customHeight="1" x14ac:dyDescent="0.25">
      <c r="A6" s="93" t="s">
        <v>3</v>
      </c>
      <c r="B6" s="93"/>
      <c r="C6" s="27">
        <v>2020</v>
      </c>
      <c r="D6" s="28"/>
      <c r="E6" s="28"/>
      <c r="F6" s="11"/>
      <c r="G6" s="12"/>
      <c r="H6" s="11"/>
    </row>
    <row r="7" spans="1:10" ht="16.5" customHeight="1" x14ac:dyDescent="0.25">
      <c r="A7" s="93" t="s">
        <v>4</v>
      </c>
      <c r="B7" s="93"/>
      <c r="C7" s="27">
        <v>4</v>
      </c>
      <c r="D7" s="28"/>
      <c r="E7" s="28"/>
      <c r="F7" s="11"/>
      <c r="G7" s="12"/>
      <c r="H7" s="11"/>
    </row>
    <row r="8" spans="1:10" ht="13.5" thickBot="1" x14ac:dyDescent="0.25">
      <c r="B8" s="11"/>
      <c r="C8" s="12"/>
      <c r="D8" s="11"/>
      <c r="E8" s="11"/>
      <c r="F8" s="11"/>
      <c r="G8" s="12"/>
      <c r="H8" s="11"/>
    </row>
    <row r="9" spans="1:10" ht="39.75" thickTop="1" thickBot="1" x14ac:dyDescent="0.25">
      <c r="A9" s="30" t="s">
        <v>5</v>
      </c>
      <c r="B9" s="31" t="s">
        <v>6</v>
      </c>
      <c r="C9" s="32" t="s">
        <v>7</v>
      </c>
      <c r="D9" s="30" t="s">
        <v>8</v>
      </c>
      <c r="E9" s="32" t="s">
        <v>9</v>
      </c>
      <c r="F9" s="33" t="s">
        <v>10</v>
      </c>
      <c r="G9" s="34" t="s">
        <v>11</v>
      </c>
      <c r="H9" s="13" t="s">
        <v>12</v>
      </c>
      <c r="I9" s="13" t="s">
        <v>13</v>
      </c>
    </row>
    <row r="10" spans="1:10" x14ac:dyDescent="0.2">
      <c r="A10" s="35">
        <v>1</v>
      </c>
      <c r="B10" s="36" t="s">
        <v>36</v>
      </c>
      <c r="C10" s="37" t="s">
        <v>38</v>
      </c>
      <c r="D10" s="38" t="str">
        <f>LEFT(B10,5)</f>
        <v>2.7.3</v>
      </c>
      <c r="E10" s="36" t="s">
        <v>37</v>
      </c>
      <c r="F10" s="39" t="s">
        <v>14</v>
      </c>
      <c r="G10" s="40">
        <v>38</v>
      </c>
      <c r="H10" s="41">
        <v>2400</v>
      </c>
      <c r="I10" s="42">
        <f>G10*H10</f>
        <v>91200</v>
      </c>
      <c r="J10" s="43"/>
    </row>
    <row r="11" spans="1:10" x14ac:dyDescent="0.2">
      <c r="A11" s="14">
        <v>2</v>
      </c>
      <c r="B11" s="44" t="s">
        <v>81</v>
      </c>
      <c r="C11" s="36" t="s">
        <v>38</v>
      </c>
      <c r="D11" s="39" t="str">
        <f>LEFT(B11,5)</f>
        <v>2.7.3</v>
      </c>
      <c r="E11" s="44" t="s">
        <v>43</v>
      </c>
      <c r="F11" s="39" t="s">
        <v>14</v>
      </c>
      <c r="G11" s="54">
        <v>230</v>
      </c>
      <c r="H11" s="55">
        <v>1775</v>
      </c>
      <c r="I11" s="56">
        <f>G11*H11</f>
        <v>408250</v>
      </c>
    </row>
    <row r="12" spans="1:10" ht="15.75" x14ac:dyDescent="0.4">
      <c r="I12" s="53">
        <f>SUM(I10:I11)</f>
        <v>499450</v>
      </c>
    </row>
    <row r="13" spans="1:10" ht="13.5" thickBot="1" x14ac:dyDescent="0.25"/>
    <row r="14" spans="1:10" x14ac:dyDescent="0.2">
      <c r="B14" s="29" t="s">
        <v>44</v>
      </c>
      <c r="C14" s="15"/>
      <c r="D14" s="15"/>
      <c r="E14" s="16"/>
    </row>
    <row r="15" spans="1:10" ht="5.25" customHeight="1" x14ac:dyDescent="0.2">
      <c r="B15" s="17"/>
      <c r="C15" s="18"/>
      <c r="D15" s="18"/>
      <c r="E15" s="19"/>
    </row>
    <row r="16" spans="1:10" x14ac:dyDescent="0.2">
      <c r="B16" s="20" t="s">
        <v>15</v>
      </c>
      <c r="C16" s="18"/>
      <c r="D16" s="18"/>
      <c r="E16" s="19"/>
    </row>
    <row r="17" spans="2:5" ht="26.25" customHeight="1" x14ac:dyDescent="0.2">
      <c r="B17" s="20"/>
      <c r="C17" s="89" t="s">
        <v>45</v>
      </c>
      <c r="D17" s="89"/>
      <c r="E17" s="90"/>
    </row>
    <row r="18" spans="2:5" s="48" customFormat="1" ht="5.25" customHeight="1" thickBot="1" x14ac:dyDescent="0.25">
      <c r="B18" s="45"/>
      <c r="C18" s="46"/>
      <c r="D18" s="46"/>
      <c r="E18" s="47"/>
    </row>
    <row r="19" spans="2:5" ht="13.5" thickBot="1" x14ac:dyDescent="0.25"/>
    <row r="20" spans="2:5" ht="41.25" customHeight="1" x14ac:dyDescent="0.2">
      <c r="B20" s="29" t="s">
        <v>46</v>
      </c>
      <c r="C20" s="15"/>
      <c r="D20" s="15"/>
      <c r="E20" s="16"/>
    </row>
    <row r="21" spans="2:5" ht="4.5" customHeight="1" x14ac:dyDescent="0.2">
      <c r="B21" s="17"/>
      <c r="C21" s="18"/>
      <c r="D21" s="18"/>
      <c r="E21" s="19"/>
    </row>
    <row r="22" spans="2:5" ht="16.5" customHeight="1" x14ac:dyDescent="0.2">
      <c r="B22" s="20" t="s">
        <v>15</v>
      </c>
      <c r="C22" s="18"/>
      <c r="D22" s="18"/>
      <c r="E22" s="19"/>
    </row>
    <row r="23" spans="2:5" ht="36" customHeight="1" x14ac:dyDescent="0.2">
      <c r="B23" s="20"/>
      <c r="C23" s="89" t="s">
        <v>47</v>
      </c>
      <c r="D23" s="89"/>
      <c r="E23" s="90"/>
    </row>
    <row r="24" spans="2:5" ht="26.25" customHeight="1" thickBot="1" x14ac:dyDescent="0.25">
      <c r="B24" s="49"/>
      <c r="C24" s="46"/>
      <c r="D24" s="46"/>
      <c r="E24" s="47"/>
    </row>
    <row r="25" spans="2:5" ht="15" customHeight="1" thickBot="1" x14ac:dyDescent="0.25">
      <c r="B25" s="50"/>
      <c r="C25" s="85"/>
      <c r="D25" s="85"/>
      <c r="E25" s="85"/>
    </row>
    <row r="26" spans="2:5" x14ac:dyDescent="0.2">
      <c r="B26" s="51" t="s">
        <v>16</v>
      </c>
      <c r="C26" s="15"/>
      <c r="D26" s="15"/>
      <c r="E26" s="16"/>
    </row>
    <row r="27" spans="2:5" ht="103.5" customHeight="1" x14ac:dyDescent="0.2">
      <c r="B27" s="21"/>
      <c r="C27" s="91" t="s">
        <v>48</v>
      </c>
      <c r="D27" s="91"/>
      <c r="E27" s="92"/>
    </row>
    <row r="28" spans="2:5" s="48" customFormat="1" ht="16.5" customHeight="1" x14ac:dyDescent="0.2">
      <c r="B28" s="52"/>
      <c r="C28" s="86"/>
      <c r="D28" s="86"/>
      <c r="E28" s="86"/>
    </row>
    <row r="29" spans="2:5" ht="24" customHeight="1" x14ac:dyDescent="0.2">
      <c r="B29" s="20" t="s">
        <v>17</v>
      </c>
      <c r="C29" s="18"/>
      <c r="D29" s="18"/>
      <c r="E29" s="19"/>
    </row>
    <row r="30" spans="2:5" ht="26.25" customHeight="1" x14ac:dyDescent="0.2">
      <c r="B30" s="21"/>
      <c r="C30" s="87" t="s">
        <v>49</v>
      </c>
      <c r="D30" s="87"/>
      <c r="E30" s="88"/>
    </row>
    <row r="31" spans="2:5" x14ac:dyDescent="0.2">
      <c r="B31" s="20" t="s">
        <v>18</v>
      </c>
      <c r="C31" s="22"/>
      <c r="D31" s="22"/>
      <c r="E31" s="23"/>
    </row>
    <row r="32" spans="2:5" ht="23.25" customHeight="1" x14ac:dyDescent="0.2">
      <c r="B32" s="21"/>
      <c r="C32" s="87" t="s">
        <v>50</v>
      </c>
      <c r="D32" s="87"/>
      <c r="E32" s="88"/>
    </row>
    <row r="33" spans="2:5" x14ac:dyDescent="0.2">
      <c r="B33" s="20" t="s">
        <v>19</v>
      </c>
      <c r="C33" s="18"/>
      <c r="D33" s="18"/>
      <c r="E33" s="19"/>
    </row>
    <row r="34" spans="2:5" ht="19.5" customHeight="1" x14ac:dyDescent="0.2">
      <c r="B34" s="20"/>
      <c r="C34" s="86"/>
      <c r="D34" s="86"/>
      <c r="E34" s="86"/>
    </row>
    <row r="35" spans="2:5" ht="13.5" thickBot="1" x14ac:dyDescent="0.25">
      <c r="B35" s="24"/>
      <c r="C35" s="25"/>
      <c r="D35" s="25"/>
      <c r="E35" s="26"/>
    </row>
  </sheetData>
  <mergeCells count="14">
    <mergeCell ref="A6:B6"/>
    <mergeCell ref="A7:B7"/>
    <mergeCell ref="B2:H2"/>
    <mergeCell ref="A4:B4"/>
    <mergeCell ref="C4:E4"/>
    <mergeCell ref="A5:B5"/>
    <mergeCell ref="C5:E5"/>
    <mergeCell ref="C34:E34"/>
    <mergeCell ref="C28:E28"/>
    <mergeCell ref="C30:E30"/>
    <mergeCell ref="C32:E32"/>
    <mergeCell ref="C17:E17"/>
    <mergeCell ref="C23:E23"/>
    <mergeCell ref="C27:E2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85" zoomScaleNormal="85" workbookViewId="0">
      <selection activeCell="H20" sqref="H20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2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18" customHeight="1" x14ac:dyDescent="0.2">
      <c r="A1" s="107" t="s">
        <v>20</v>
      </c>
      <c r="B1" s="107"/>
      <c r="C1" s="107"/>
      <c r="D1" s="107"/>
      <c r="E1" s="107"/>
      <c r="F1" s="107"/>
      <c r="G1" s="107"/>
      <c r="H1" s="107"/>
      <c r="I1" s="107"/>
      <c r="J1" s="2" t="s">
        <v>21</v>
      </c>
      <c r="K1" s="3" t="s">
        <v>51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8" t="s">
        <v>33</v>
      </c>
      <c r="B3" s="108"/>
      <c r="C3" s="108"/>
      <c r="D3" s="109" t="str">
        <f>'Necesidades Trimestrales'!C4</f>
        <v>90 - Ministerio de Seguridad</v>
      </c>
      <c r="E3" s="109"/>
      <c r="F3" s="109"/>
      <c r="G3" s="109"/>
      <c r="H3" s="109"/>
      <c r="I3" s="109"/>
      <c r="J3" s="109"/>
      <c r="K3" s="109"/>
    </row>
    <row r="4" spans="1:11" ht="18.75" customHeight="1" thickBot="1" x14ac:dyDescent="0.25">
      <c r="A4" s="110" t="s">
        <v>34</v>
      </c>
      <c r="B4" s="110"/>
      <c r="C4" s="110"/>
      <c r="D4" s="109" t="str">
        <f>'Necesidades Trimestrales'!C5</f>
        <v>7 - Direccion Provincial de Administracion de la Policia de Catamarca</v>
      </c>
      <c r="E4" s="109"/>
      <c r="F4" s="109"/>
      <c r="G4" s="109"/>
      <c r="H4" s="109"/>
      <c r="I4" s="109"/>
      <c r="J4" s="109"/>
      <c r="K4" s="109"/>
    </row>
    <row r="5" spans="1:11" ht="18.75" customHeight="1" thickBot="1" x14ac:dyDescent="0.25">
      <c r="A5" s="110" t="s">
        <v>32</v>
      </c>
      <c r="B5" s="110"/>
      <c r="C5" s="110"/>
      <c r="D5" s="109" t="s">
        <v>52</v>
      </c>
      <c r="E5" s="109"/>
      <c r="F5" s="109"/>
      <c r="G5" s="109"/>
      <c r="H5" s="109"/>
      <c r="I5" s="109"/>
      <c r="J5" s="109"/>
      <c r="K5" s="109"/>
    </row>
    <row r="6" spans="1:11" ht="16.5" customHeight="1" thickBot="1" x14ac:dyDescent="0.25">
      <c r="A6" s="108" t="s">
        <v>35</v>
      </c>
      <c r="B6" s="108"/>
      <c r="C6" s="108"/>
      <c r="D6" s="109" t="s">
        <v>39</v>
      </c>
      <c r="E6" s="109"/>
      <c r="F6" s="109"/>
      <c r="G6" s="109"/>
      <c r="H6" s="109"/>
      <c r="I6" s="109"/>
      <c r="J6" s="109"/>
      <c r="K6" s="109"/>
    </row>
    <row r="7" spans="1:11" ht="16.5" customHeight="1" x14ac:dyDescent="0.2">
      <c r="A7" s="110" t="s">
        <v>22</v>
      </c>
      <c r="B7" s="110"/>
      <c r="C7" s="110"/>
      <c r="D7" s="109" t="str">
        <f>'Necesidades Trimestrales'!C7 &amp; "° Trimestre - Año " &amp; 'Necesidades Trimestrales'!C6</f>
        <v>4° Trimestre - Año 2020</v>
      </c>
      <c r="E7" s="109"/>
      <c r="F7" s="109"/>
      <c r="G7" s="109"/>
      <c r="H7" s="109"/>
      <c r="I7" s="109"/>
      <c r="J7" s="109"/>
      <c r="K7" s="109"/>
    </row>
    <row r="8" spans="1:11" ht="16.5" customHeight="1" x14ac:dyDescent="0.2">
      <c r="A8" s="102" t="s">
        <v>23</v>
      </c>
      <c r="B8" s="102"/>
      <c r="C8" s="102"/>
      <c r="D8" s="103" t="s">
        <v>40</v>
      </c>
      <c r="E8" s="103"/>
      <c r="F8" s="103"/>
      <c r="G8" s="103"/>
      <c r="H8" s="103"/>
      <c r="I8" s="103"/>
      <c r="J8" s="103"/>
      <c r="K8" s="10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4" t="s">
        <v>24</v>
      </c>
      <c r="B10" s="105" t="s">
        <v>25</v>
      </c>
      <c r="C10" s="105" t="s">
        <v>26</v>
      </c>
      <c r="D10" s="105"/>
      <c r="E10" s="105"/>
      <c r="F10" s="105"/>
      <c r="G10" s="105"/>
      <c r="H10" s="105" t="s">
        <v>27</v>
      </c>
      <c r="I10" s="105" t="s">
        <v>28</v>
      </c>
      <c r="J10" s="105" t="s">
        <v>29</v>
      </c>
      <c r="K10" s="106" t="s">
        <v>30</v>
      </c>
    </row>
    <row r="11" spans="1:11" ht="24" customHeight="1" x14ac:dyDescent="0.2">
      <c r="A11" s="104"/>
      <c r="B11" s="105"/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11" ht="24.75" customHeight="1" thickBot="1" x14ac:dyDescent="0.25">
      <c r="A12" s="8">
        <v>1</v>
      </c>
      <c r="B12" s="78" t="str">
        <f>'Necesidades Trimestrales'!B10</f>
        <v>2.7.3-2899.1</v>
      </c>
      <c r="C12" s="98" t="str">
        <f>'Necesidades Trimestrales'!E10</f>
        <v>CARTUCHOS DE BALA; PRESENTACION: CAJA X 50, CALIBRE: 9 X 19 mm</v>
      </c>
      <c r="D12" s="98"/>
      <c r="E12" s="98"/>
      <c r="F12" s="98"/>
      <c r="G12" s="98"/>
      <c r="H12" s="79" t="s">
        <v>31</v>
      </c>
      <c r="I12" s="80" t="str">
        <f>'Necesidades Trimestrales'!F10</f>
        <v>UNIDAD</v>
      </c>
      <c r="J12" s="81">
        <f>'Necesidades Trimestrales'!H10</f>
        <v>2400</v>
      </c>
      <c r="K12" s="82">
        <f>'Necesidades Trimestrales'!G10</f>
        <v>38</v>
      </c>
    </row>
    <row r="13" spans="1:11" ht="28.5" customHeight="1" thickBot="1" x14ac:dyDescent="0.25">
      <c r="A13" s="9">
        <v>2</v>
      </c>
      <c r="B13" s="44" t="s">
        <v>81</v>
      </c>
      <c r="C13" s="99" t="s">
        <v>80</v>
      </c>
      <c r="D13" s="100"/>
      <c r="E13" s="100"/>
      <c r="F13" s="100"/>
      <c r="G13" s="101"/>
      <c r="H13" s="83" t="s">
        <v>31</v>
      </c>
      <c r="I13" s="84" t="s">
        <v>14</v>
      </c>
      <c r="J13" s="81">
        <f>'Necesidades Trimestrales'!H11</f>
        <v>1775</v>
      </c>
      <c r="K13" s="82">
        <f>'Necesidades Trimestrales'!G11</f>
        <v>230</v>
      </c>
    </row>
    <row r="14" spans="1:11" ht="20.25" customHeight="1" thickBot="1" x14ac:dyDescent="0.25">
      <c r="A14" s="96" t="s">
        <v>53</v>
      </c>
      <c r="B14" s="96"/>
      <c r="C14" s="96"/>
      <c r="D14" s="96"/>
      <c r="E14" s="96"/>
      <c r="F14" s="96"/>
      <c r="G14" s="96"/>
      <c r="H14" s="96"/>
      <c r="I14" s="96"/>
      <c r="J14" s="97">
        <f>SUMPRODUCT(J12:J13,K12:K13)</f>
        <v>499450</v>
      </c>
      <c r="K14" s="97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4:I14"/>
    <mergeCell ref="J14:K14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workbookViewId="0">
      <selection activeCell="N30" sqref="N30"/>
    </sheetView>
  </sheetViews>
  <sheetFormatPr baseColWidth="10" defaultColWidth="11" defaultRowHeight="12.75" x14ac:dyDescent="0.2"/>
  <cols>
    <col min="1" max="5" width="4.42578125" customWidth="1"/>
    <col min="6" max="6" width="8.7109375" customWidth="1"/>
    <col min="7" max="7" width="4.42578125" style="5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12" t="s">
        <v>3</v>
      </c>
      <c r="B1" s="112"/>
      <c r="C1" s="112"/>
      <c r="D1" s="113">
        <f>'Necesidades Trimestrales'!C6</f>
        <v>2020</v>
      </c>
      <c r="E1" s="113"/>
      <c r="F1" s="57"/>
      <c r="G1" s="57"/>
      <c r="H1" s="58"/>
      <c r="I1" s="58"/>
      <c r="J1" s="58"/>
      <c r="K1" s="58"/>
      <c r="L1" s="58"/>
      <c r="M1" s="58"/>
      <c r="N1" s="58"/>
      <c r="P1" s="114" t="s">
        <v>54</v>
      </c>
      <c r="Q1" s="114"/>
    </row>
    <row r="2" spans="1:17" ht="15.75" customHeight="1" thickBot="1" x14ac:dyDescent="0.25">
      <c r="H2" s="58"/>
      <c r="I2" s="58"/>
      <c r="J2" s="58"/>
      <c r="K2" s="58"/>
      <c r="L2" s="58"/>
      <c r="M2" s="58"/>
      <c r="N2" s="58"/>
      <c r="P2" s="114"/>
      <c r="Q2" s="114"/>
    </row>
    <row r="4" spans="1:17" s="60" customFormat="1" ht="18" customHeight="1" thickBot="1" x14ac:dyDescent="0.25">
      <c r="A4" s="115" t="s">
        <v>55</v>
      </c>
      <c r="B4" s="115"/>
      <c r="C4" s="115"/>
      <c r="D4" s="115"/>
      <c r="E4" s="115"/>
      <c r="F4" s="115"/>
      <c r="G4" s="116" t="str">
        <f>' NotaPedido'!D3</f>
        <v>90 - Ministerio de Seguridad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60" customFormat="1" ht="18" customHeight="1" thickBot="1" x14ac:dyDescent="0.25">
      <c r="A5" s="117" t="s">
        <v>34</v>
      </c>
      <c r="B5" s="118"/>
      <c r="C5" s="118"/>
      <c r="D5" s="118"/>
      <c r="E5" s="118"/>
      <c r="F5" s="119"/>
      <c r="G5" s="116" t="str">
        <f>' NotaPedido'!D4</f>
        <v>7 - Direccion Provincial de Administracion de la Policia de Catamarca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60" customFormat="1" ht="18" customHeight="1" thickBot="1" x14ac:dyDescent="0.25">
      <c r="A6" s="117" t="s">
        <v>32</v>
      </c>
      <c r="B6" s="118"/>
      <c r="C6" s="118"/>
      <c r="D6" s="118"/>
      <c r="E6" s="118"/>
      <c r="F6" s="119"/>
      <c r="G6" s="116" t="str">
        <f>' NotaPedido'!D5</f>
        <v xml:space="preserve">Policia de la Provincia de Catamarca 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60" customFormat="1" ht="20.25" customHeight="1" thickBot="1" x14ac:dyDescent="0.25">
      <c r="A7" s="117" t="s">
        <v>35</v>
      </c>
      <c r="B7" s="118"/>
      <c r="C7" s="118"/>
      <c r="D7" s="118"/>
      <c r="E7" s="118"/>
      <c r="F7" s="119"/>
      <c r="G7" s="120" t="str">
        <f>' NotaPedido'!D6</f>
        <v>División Armamento y Municiones, Dpto. Logística</v>
      </c>
      <c r="H7" s="121"/>
      <c r="I7" s="121"/>
      <c r="J7" s="121"/>
      <c r="K7" s="121"/>
      <c r="L7" s="121"/>
      <c r="M7" s="121"/>
      <c r="N7" s="121"/>
      <c r="O7" s="121"/>
      <c r="P7" s="121"/>
      <c r="Q7" s="122"/>
    </row>
    <row r="8" spans="1:17" ht="18" customHeight="1" thickBot="1" x14ac:dyDescent="0.25">
      <c r="A8" s="123" t="s">
        <v>56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1:17" ht="18" customHeight="1" x14ac:dyDescent="0.2">
      <c r="A9" s="111" t="s">
        <v>57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61"/>
      <c r="P9" s="61"/>
      <c r="Q9" s="62"/>
    </row>
    <row r="10" spans="1:17" ht="54.75" customHeight="1" x14ac:dyDescent="0.2">
      <c r="A10" s="12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83/2020,  afectando la erogación resultante a los créditos presupuestarios aprobados a favor de esta Unidad Ejecutora, conforme al siguiente detalle: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thickBot="1" x14ac:dyDescent="0.25">
      <c r="A11" s="63"/>
      <c r="B11" s="64"/>
      <c r="C11" s="64"/>
      <c r="D11" s="64"/>
      <c r="E11" s="64"/>
      <c r="F11" s="64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6"/>
    </row>
    <row r="12" spans="1:17" ht="15.75" customHeight="1" thickBot="1" x14ac:dyDescent="0.25">
      <c r="A12" s="127" t="s">
        <v>58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thickBot="1" x14ac:dyDescent="0.25">
      <c r="A13" s="128" t="s">
        <v>59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60</v>
      </c>
      <c r="P13" s="129"/>
      <c r="Q13" s="130" t="s">
        <v>61</v>
      </c>
    </row>
    <row r="14" spans="1:17" ht="15.75" customHeight="1" thickBot="1" x14ac:dyDescent="0.25">
      <c r="A14" s="67" t="s">
        <v>62</v>
      </c>
      <c r="B14" s="68" t="s">
        <v>63</v>
      </c>
      <c r="C14" s="68" t="s">
        <v>64</v>
      </c>
      <c r="D14" s="68" t="s">
        <v>65</v>
      </c>
      <c r="E14" s="68" t="s">
        <v>66</v>
      </c>
      <c r="F14" s="68" t="s">
        <v>67</v>
      </c>
      <c r="G14" s="69" t="s">
        <v>68</v>
      </c>
      <c r="H14" s="68" t="s">
        <v>69</v>
      </c>
      <c r="I14" s="68" t="s">
        <v>70</v>
      </c>
      <c r="J14" s="68" t="s">
        <v>71</v>
      </c>
      <c r="K14" s="68" t="s">
        <v>71</v>
      </c>
      <c r="L14" s="68" t="s">
        <v>72</v>
      </c>
      <c r="M14" s="70" t="s">
        <v>73</v>
      </c>
      <c r="N14" s="71" t="s">
        <v>74</v>
      </c>
      <c r="O14" s="129"/>
      <c r="P14" s="129"/>
      <c r="Q14" s="130"/>
    </row>
    <row r="15" spans="1:17" ht="17.25" customHeight="1" thickBot="1" x14ac:dyDescent="0.25">
      <c r="A15" s="72">
        <v>16</v>
      </c>
      <c r="B15" s="73">
        <v>0</v>
      </c>
      <c r="C15" s="73">
        <v>0</v>
      </c>
      <c r="D15" s="73">
        <v>1</v>
      </c>
      <c r="E15" s="73">
        <v>0</v>
      </c>
      <c r="F15" s="73">
        <v>10</v>
      </c>
      <c r="G15" s="73">
        <v>2</v>
      </c>
      <c r="H15" s="73">
        <v>210</v>
      </c>
      <c r="I15" s="73">
        <v>2</v>
      </c>
      <c r="J15" s="73">
        <v>7</v>
      </c>
      <c r="K15" s="73">
        <v>3</v>
      </c>
      <c r="L15" s="73">
        <v>0</v>
      </c>
      <c r="M15" s="74">
        <v>1</v>
      </c>
      <c r="N15" s="75" t="s">
        <v>75</v>
      </c>
      <c r="O15" s="124" t="s">
        <v>76</v>
      </c>
      <c r="P15" s="125"/>
      <c r="Q15" s="76">
        <v>287880</v>
      </c>
    </row>
    <row r="16" spans="1:17" ht="17.25" customHeight="1" thickBot="1" x14ac:dyDescent="0.25">
      <c r="A16" s="72">
        <v>16</v>
      </c>
      <c r="B16" s="73">
        <v>0</v>
      </c>
      <c r="C16" s="73">
        <v>0</v>
      </c>
      <c r="D16" s="73">
        <v>7</v>
      </c>
      <c r="E16" s="73">
        <v>0</v>
      </c>
      <c r="F16" s="73">
        <v>10</v>
      </c>
      <c r="G16" s="73">
        <v>2</v>
      </c>
      <c r="H16" s="73">
        <v>210</v>
      </c>
      <c r="I16" s="73">
        <v>2</v>
      </c>
      <c r="J16" s="73">
        <v>7</v>
      </c>
      <c r="K16" s="73">
        <v>3</v>
      </c>
      <c r="L16" s="73">
        <v>0</v>
      </c>
      <c r="M16" s="74">
        <v>1</v>
      </c>
      <c r="N16" s="75" t="s">
        <v>75</v>
      </c>
      <c r="O16" s="124" t="s">
        <v>76</v>
      </c>
      <c r="P16" s="125"/>
      <c r="Q16" s="76">
        <v>130303</v>
      </c>
    </row>
    <row r="17" spans="1:17" ht="17.25" customHeight="1" thickBot="1" x14ac:dyDescent="0.25">
      <c r="A17" s="72">
        <v>16</v>
      </c>
      <c r="B17" s="73">
        <v>0</v>
      </c>
      <c r="C17" s="73">
        <v>0</v>
      </c>
      <c r="D17" s="73">
        <v>9</v>
      </c>
      <c r="E17" s="73">
        <v>0</v>
      </c>
      <c r="F17" s="73">
        <v>7001</v>
      </c>
      <c r="G17" s="73">
        <v>2</v>
      </c>
      <c r="H17" s="73">
        <v>210</v>
      </c>
      <c r="I17" s="73">
        <v>2</v>
      </c>
      <c r="J17" s="73">
        <v>7</v>
      </c>
      <c r="K17" s="73">
        <v>3</v>
      </c>
      <c r="L17" s="73">
        <v>0</v>
      </c>
      <c r="M17" s="74">
        <v>1</v>
      </c>
      <c r="N17" s="75" t="s">
        <v>75</v>
      </c>
      <c r="O17" s="124" t="s">
        <v>76</v>
      </c>
      <c r="P17" s="125"/>
      <c r="Q17" s="76">
        <v>11867</v>
      </c>
    </row>
    <row r="18" spans="1:17" ht="17.25" customHeight="1" thickBot="1" x14ac:dyDescent="0.25">
      <c r="A18" s="72">
        <v>16</v>
      </c>
      <c r="B18" s="73">
        <v>0</v>
      </c>
      <c r="C18" s="73">
        <v>0</v>
      </c>
      <c r="D18" s="73">
        <v>10</v>
      </c>
      <c r="E18" s="73">
        <v>0</v>
      </c>
      <c r="F18" s="73">
        <v>3501</v>
      </c>
      <c r="G18" s="73">
        <v>2</v>
      </c>
      <c r="H18" s="73">
        <v>210</v>
      </c>
      <c r="I18" s="73">
        <v>2</v>
      </c>
      <c r="J18" s="73">
        <v>7</v>
      </c>
      <c r="K18" s="73">
        <v>3</v>
      </c>
      <c r="L18" s="73">
        <v>0</v>
      </c>
      <c r="M18" s="74">
        <v>1</v>
      </c>
      <c r="N18" s="75" t="s">
        <v>75</v>
      </c>
      <c r="O18" s="124" t="s">
        <v>76</v>
      </c>
      <c r="P18" s="125"/>
      <c r="Q18" s="76">
        <v>9234</v>
      </c>
    </row>
    <row r="19" spans="1:17" ht="17.25" customHeight="1" thickBot="1" x14ac:dyDescent="0.25">
      <c r="A19" s="72">
        <v>16</v>
      </c>
      <c r="B19" s="73">
        <v>0</v>
      </c>
      <c r="C19" s="73">
        <v>0</v>
      </c>
      <c r="D19" s="73">
        <v>11</v>
      </c>
      <c r="E19" s="73">
        <v>0</v>
      </c>
      <c r="F19" s="73">
        <v>2101</v>
      </c>
      <c r="G19" s="73">
        <v>2</v>
      </c>
      <c r="H19" s="73">
        <v>210</v>
      </c>
      <c r="I19" s="73">
        <v>2</v>
      </c>
      <c r="J19" s="73">
        <v>7</v>
      </c>
      <c r="K19" s="73">
        <v>3</v>
      </c>
      <c r="L19" s="73">
        <v>0</v>
      </c>
      <c r="M19" s="74">
        <v>1</v>
      </c>
      <c r="N19" s="75" t="s">
        <v>75</v>
      </c>
      <c r="O19" s="124" t="s">
        <v>76</v>
      </c>
      <c r="P19" s="125"/>
      <c r="Q19" s="76">
        <v>11867</v>
      </c>
    </row>
    <row r="20" spans="1:17" ht="17.25" customHeight="1" thickBot="1" x14ac:dyDescent="0.25">
      <c r="A20" s="72">
        <v>16</v>
      </c>
      <c r="B20" s="73">
        <v>0</v>
      </c>
      <c r="C20" s="73">
        <v>0</v>
      </c>
      <c r="D20" s="73">
        <v>12</v>
      </c>
      <c r="E20" s="73">
        <v>0</v>
      </c>
      <c r="F20" s="73">
        <v>10501</v>
      </c>
      <c r="G20" s="73">
        <v>2</v>
      </c>
      <c r="H20" s="73">
        <v>210</v>
      </c>
      <c r="I20" s="73">
        <v>2</v>
      </c>
      <c r="J20" s="73">
        <v>7</v>
      </c>
      <c r="K20" s="73">
        <v>3</v>
      </c>
      <c r="L20" s="73">
        <v>0</v>
      </c>
      <c r="M20" s="74">
        <v>1</v>
      </c>
      <c r="N20" s="75" t="s">
        <v>75</v>
      </c>
      <c r="O20" s="124" t="s">
        <v>76</v>
      </c>
      <c r="P20" s="125"/>
      <c r="Q20" s="76">
        <v>11867</v>
      </c>
    </row>
    <row r="21" spans="1:17" ht="17.25" customHeight="1" thickBot="1" x14ac:dyDescent="0.25">
      <c r="A21" s="72">
        <v>16</v>
      </c>
      <c r="B21" s="73">
        <v>0</v>
      </c>
      <c r="C21" s="73">
        <v>0</v>
      </c>
      <c r="D21" s="73">
        <v>13</v>
      </c>
      <c r="E21" s="73">
        <v>0</v>
      </c>
      <c r="F21" s="73">
        <v>5601</v>
      </c>
      <c r="G21" s="73">
        <v>2</v>
      </c>
      <c r="H21" s="73">
        <v>210</v>
      </c>
      <c r="I21" s="73">
        <v>2</v>
      </c>
      <c r="J21" s="73">
        <v>7</v>
      </c>
      <c r="K21" s="73">
        <v>3</v>
      </c>
      <c r="L21" s="73">
        <v>0</v>
      </c>
      <c r="M21" s="74">
        <v>1</v>
      </c>
      <c r="N21" s="75" t="s">
        <v>75</v>
      </c>
      <c r="O21" s="124" t="s">
        <v>76</v>
      </c>
      <c r="P21" s="125"/>
      <c r="Q21" s="76">
        <v>11867</v>
      </c>
    </row>
    <row r="22" spans="1:17" ht="17.25" customHeight="1" thickBot="1" x14ac:dyDescent="0.25">
      <c r="A22" s="72">
        <v>16</v>
      </c>
      <c r="B22" s="73">
        <v>0</v>
      </c>
      <c r="C22" s="73">
        <v>0</v>
      </c>
      <c r="D22" s="73">
        <v>14</v>
      </c>
      <c r="E22" s="73">
        <v>0</v>
      </c>
      <c r="F22" s="73">
        <v>9101</v>
      </c>
      <c r="G22" s="73">
        <v>2</v>
      </c>
      <c r="H22" s="73">
        <v>210</v>
      </c>
      <c r="I22" s="73">
        <v>2</v>
      </c>
      <c r="J22" s="73">
        <v>7</v>
      </c>
      <c r="K22" s="73">
        <v>3</v>
      </c>
      <c r="L22" s="73">
        <v>0</v>
      </c>
      <c r="M22" s="74">
        <v>1</v>
      </c>
      <c r="N22" s="75" t="s">
        <v>75</v>
      </c>
      <c r="O22" s="124" t="s">
        <v>76</v>
      </c>
      <c r="P22" s="125"/>
      <c r="Q22" s="76">
        <v>9234</v>
      </c>
    </row>
    <row r="23" spans="1:17" ht="17.25" customHeight="1" thickBot="1" x14ac:dyDescent="0.25">
      <c r="A23" s="72">
        <v>16</v>
      </c>
      <c r="B23" s="73">
        <v>0</v>
      </c>
      <c r="C23" s="73">
        <v>0</v>
      </c>
      <c r="D23" s="73">
        <v>15</v>
      </c>
      <c r="E23" s="73">
        <v>0</v>
      </c>
      <c r="F23" s="73">
        <v>8401</v>
      </c>
      <c r="G23" s="73">
        <v>2</v>
      </c>
      <c r="H23" s="73">
        <v>210</v>
      </c>
      <c r="I23" s="73" t="str">
        <f>LEFT('[1]Necesidades Trimestrales'!D10,1)</f>
        <v>2</v>
      </c>
      <c r="J23" s="73" t="str">
        <f>MID('[1]Necesidades Trimestrales'!D10,3,1)</f>
        <v>7</v>
      </c>
      <c r="K23" s="73" t="str">
        <f>RIGHT('[1]Necesidades Trimestrales'!D10,1)</f>
        <v>3</v>
      </c>
      <c r="L23" s="73">
        <v>0</v>
      </c>
      <c r="M23" s="74">
        <v>1</v>
      </c>
      <c r="N23" s="75" t="s">
        <v>75</v>
      </c>
      <c r="O23" s="124" t="s">
        <v>76</v>
      </c>
      <c r="P23" s="125"/>
      <c r="Q23" s="76">
        <v>15331</v>
      </c>
    </row>
    <row r="24" spans="1:17" ht="20.25" customHeight="1" thickBot="1" x14ac:dyDescent="0.25">
      <c r="A24" s="132" t="s">
        <v>77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4"/>
      <c r="Q24" s="77">
        <f>SUM(Q15:Q23)</f>
        <v>499450</v>
      </c>
    </row>
    <row r="25" spans="1:17" ht="18" customHeight="1" thickBot="1" x14ac:dyDescent="0.25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</row>
    <row r="26" spans="1:17" ht="17.25" customHeight="1" thickBot="1" x14ac:dyDescent="0.25">
      <c r="A26" s="136" t="s">
        <v>78</v>
      </c>
      <c r="B26" s="137"/>
      <c r="C26" s="137"/>
      <c r="D26" s="137"/>
      <c r="E26" s="137"/>
      <c r="F26" s="138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</row>
    <row r="27" spans="1:17" ht="18" customHeight="1" thickBot="1" x14ac:dyDescent="0.25">
      <c r="A27" s="131" t="s">
        <v>79</v>
      </c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</row>
    <row r="28" spans="1:17" ht="15" customHeight="1" thickBot="1" x14ac:dyDescent="0.25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</row>
  </sheetData>
  <mergeCells count="32">
    <mergeCell ref="A27:Q28"/>
    <mergeCell ref="O22:P22"/>
    <mergeCell ref="O23:P23"/>
    <mergeCell ref="A24:P24"/>
    <mergeCell ref="A25:Q25"/>
    <mergeCell ref="A26:F26"/>
    <mergeCell ref="G26:Q26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 NotaPedido</vt:lpstr>
      <vt:lpstr>Autor_Gastar</vt:lpstr>
      <vt:lpstr>' NotaPedido'!Área_de_impresión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SILVINA ATENCIO</cp:lastModifiedBy>
  <cp:revision>2</cp:revision>
  <cp:lastPrinted>2020-07-17T22:18:48Z</cp:lastPrinted>
  <dcterms:created xsi:type="dcterms:W3CDTF">2020-07-17T23:44:49Z</dcterms:created>
  <dcterms:modified xsi:type="dcterms:W3CDTF">2021-08-18T13:02:11Z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