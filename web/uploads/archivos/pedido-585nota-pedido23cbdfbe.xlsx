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INCLUSION DIGITAL\materiales construccion\"/>
    </mc:Choice>
  </mc:AlternateContent>
  <xr:revisionPtr revIDLastSave="0" documentId="8_{1E302C08-CE5F-4626-B9A4-84EB503068B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Print_Area" localSheetId="1">' NotaPedido'!$A$1:$K$17</definedName>
    <definedName name="_xlnm.Print_Area" localSheetId="2">'Autor Gastar'!$A$1:$Q$39</definedName>
    <definedName name="_xlnm.Print_Area" localSheetId="0">'Necesidades Trimestrales'!$A$1:$I$26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4" l="1"/>
  <c r="I13" i="4"/>
  <c r="I12" i="4"/>
  <c r="I11" i="4"/>
  <c r="I10" i="4"/>
  <c r="Q35" i="2" l="1"/>
</calcChain>
</file>

<file path=xl/sharedStrings.xml><?xml version="1.0" encoding="utf-8"?>
<sst xmlns="http://schemas.openxmlformats.org/spreadsheetml/2006/main" count="123" uniqueCount="87">
  <si>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</si>
  <si>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</si>
  <si>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</si>
  <si>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</si>
  <si>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</si>
  <si>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</si>
  <si>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</si>
  <si>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</si>
  <si>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</si>
  <si>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</si>
  <si>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</si>
  <si>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</si>
  <si>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</si>
  <si>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</si>
  <si>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</si>
  <si>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</si>
  <si>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</si>
  <si>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</si>
  <si>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</si>
  <si>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</si>
  <si>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</si>
  <si>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</si>
  <si>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</si>
  <si>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</si>
  <si>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</si>
  <si>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</si>
  <si>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</si>
  <si>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</si>
  <si>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</si>
  <si>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</si>
  <si>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</si>
  <si>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</si>
  <si>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</si>
  <si>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</si>
  <si>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</si>
  <si>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</si>
  <si>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</si>
  <si>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</si>
  <si>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</si>
  <si>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</si>
  <si>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</si>
  <si>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</si>
  <si>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</si>
  <si>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</si>
  <si>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</si>
  <si>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</si>
  <si>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</si>
  <si>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</si>
  <si>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</si>
  <si>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</si>
  <si>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</si>
  <si>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</si>
  <si>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</si>
  <si>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SI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</si>
  <si>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</si>
  <si>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</si>
  <si>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</si>
  <si>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</si>
  <si>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</si>
  <si>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</si>
  <si>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SAF N°: 33- DIRECCION PROVINCIAL DE ADMINISTRACION GENERAL</t>
  </si>
  <si>
    <t>DEBERA SER DE PRIMERA CALIDAD</t>
  </si>
  <si>
    <t>TRIMESTRE: 04</t>
  </si>
  <si>
    <t>4 - TRIMESTRE 2022</t>
  </si>
  <si>
    <t>MATERIALES DE CONSTRUCCION</t>
  </si>
  <si>
    <t>UNIDAD</t>
  </si>
  <si>
    <t>2.7.1-2673.14</t>
  </si>
  <si>
    <t>FERRETERIA</t>
  </si>
  <si>
    <t xml:space="preserve">BARRAS DE ACERO; TIPO: ALETADA, DIAMETRO: 6 mm, LONG.DE CUERPO: 12 M, CALIDAD: ADN 4200/5000 KG/CM2	
</t>
  </si>
  <si>
    <t>2.7.1-2673.16</t>
  </si>
  <si>
    <t>BARRAS DE ACERO; TIPO: ALETADA, DIAMETRO: 8 mm, LONG.DE CUERPO: 12 M, CALIDAD: ADN 4200/5000 KG/CM2</t>
  </si>
  <si>
    <t>2.7.1-2673.715</t>
  </si>
  <si>
    <t>BARRAS DE ACERO; TIPO: ALETADA, DIAMETRO: 10 MM, LONG.DE CUERPO: 12 M, CALIDAD: DNA 420</t>
  </si>
  <si>
    <t>2.7.1-2673.585</t>
  </si>
  <si>
    <t>BARRAS DE ACERO; TIPO: ALETADA, DIAMETRO: 12 mm, LONG.DE CUERPO: 12 M, CALIDAD: DNA-420</t>
  </si>
  <si>
    <t>Especialidades item N° 1,2,3,4,5,</t>
  </si>
  <si>
    <t>SEGÚN ITEM.</t>
  </si>
  <si>
    <t>a)  FORMA DE LA ENTREGA   : Presentar  Remito que deberá cumplimentar lo dispuesto por la R.G. AFIP 1415/03, sin excepción en las oficinas del Área Compras del Ministerio de Inclusion Digital y Sistemas Productivos, flete y acarreo a cargo del oferente .-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</si>
  <si>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CEMENTO, CAL Y YESO</t>
  </si>
  <si>
    <t>PRODUCTOS FERROSOS</t>
  </si>
  <si>
    <t xml:space="preserve">BARRAS DE ACERO; TIPO: ALETADA, DIAMETRO: 6 mm, LONG.DE CUERPO: 12 M, CALIDAD: ADN 4200/5000 KG/CM2	</t>
  </si>
  <si>
    <t>ADQUISICION DE MATERIALES DE CONSTRUCCION PARA LAS AGRONOMIAS DE ZONA</t>
  </si>
  <si>
    <t>2.6.5-335.18</t>
  </si>
  <si>
    <t>CEMENTO PORTLAND; CANT. PLIEGOS BOLSA: 3, PRESENTACION: BOLSA X 50 Kg, TIPO: NORMAL</t>
  </si>
  <si>
    <t>TOTAL DE PESOS: CUATRO MILLONES QUINIENTOS CINCUENTA Y OCHO MIL TRESCIENTOS SETENTA Y UNO CON 40/100</t>
  </si>
  <si>
    <t>Costo total estimado: CUATRO MILLONES QUINIENTOS CINCUENTA Y OCHO MIL TRESCIENTOS SETENTA Y UNO CON 40/100</t>
  </si>
  <si>
    <t>Autorizo la realización de los  trámites correspondientes, a fin de proveer a  este Organismo los bienes que se detallan en Nota  de Pedido Nº DOCFI-2022-02099019-CAT-MIDSP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</si>
</sst>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[$$-2C0A]\ #,##0.00"/>
    <numFmt numFmtId="168" formatCode="[$$-2C0A]\ #,##0.00;[Red][$$-2C0A]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b/>
      <sz val="10"/>
      <name val="Arial"/>
      <family val="2"/>
    </font>
    <font>
      <sz val="10"/>
      <color rgb="FF333333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165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6" xfId="2" applyNumberFormat="1" applyFont="1" applyBorder="1" applyAlignment="1" applyProtection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166" fontId="16" fillId="0" borderId="38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42" xfId="0" applyBorder="1"/>
    <xf numFmtId="0" fontId="27" fillId="0" borderId="13" xfId="0" applyFont="1" applyBorder="1"/>
    <xf numFmtId="0" fontId="24" fillId="0" borderId="0" xfId="0" applyFont="1"/>
    <xf numFmtId="0" fontId="24" fillId="0" borderId="7" xfId="0" applyFont="1" applyBorder="1"/>
    <xf numFmtId="0" fontId="24" fillId="0" borderId="13" xfId="0" applyFont="1" applyBorder="1"/>
    <xf numFmtId="0" fontId="27" fillId="0" borderId="0" xfId="0" applyFont="1"/>
    <xf numFmtId="0" fontId="28" fillId="0" borderId="0" xfId="0" applyFont="1"/>
    <xf numFmtId="0" fontId="24" fillId="0" borderId="43" xfId="0" applyFont="1" applyBorder="1"/>
    <xf numFmtId="0" fontId="27" fillId="0" borderId="44" xfId="0" applyFont="1" applyBorder="1"/>
    <xf numFmtId="0" fontId="24" fillId="0" borderId="44" xfId="0" applyFont="1" applyBorder="1"/>
    <xf numFmtId="0" fontId="24" fillId="0" borderId="45" xfId="0" applyFont="1" applyBorder="1"/>
    <xf numFmtId="0" fontId="27" fillId="0" borderId="0" xfId="0" applyFont="1" applyAlignment="1">
      <alignment vertical="top" wrapText="1"/>
    </xf>
    <xf numFmtId="0" fontId="25" fillId="0" borderId="0" xfId="0" applyFont="1"/>
    <xf numFmtId="0" fontId="25" fillId="0" borderId="48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2" applyNumberFormat="1" applyFont="1" applyBorder="1" applyAlignment="1" applyProtection="1">
      <alignment horizontal="center" vertical="center"/>
    </xf>
    <xf numFmtId="167" fontId="3" fillId="0" borderId="57" xfId="0" applyNumberFormat="1" applyFont="1" applyBorder="1" applyAlignment="1">
      <alignment vertical="center"/>
    </xf>
    <xf numFmtId="0" fontId="30" fillId="3" borderId="46" xfId="0" applyFont="1" applyFill="1" applyBorder="1" applyAlignment="1">
      <alignment horizontal="center" vertical="center"/>
    </xf>
    <xf numFmtId="0" fontId="31" fillId="3" borderId="46" xfId="0" applyFont="1" applyFill="1" applyBorder="1" applyAlignment="1">
      <alignment horizontal="center" vertical="center"/>
    </xf>
    <xf numFmtId="0" fontId="31" fillId="3" borderId="46" xfId="0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/>
    </xf>
    <xf numFmtId="0" fontId="31" fillId="3" borderId="46" xfId="0" applyFont="1" applyFill="1" applyBorder="1" applyAlignment="1">
      <alignment horizontal="left" vertical="center" wrapText="1"/>
    </xf>
    <xf numFmtId="0" fontId="20" fillId="0" borderId="46" xfId="0" applyFont="1" applyBorder="1" applyAlignment="1">
      <alignment horizontal="center" vertical="center"/>
    </xf>
    <xf numFmtId="44" fontId="18" fillId="3" borderId="46" xfId="5" applyFont="1" applyFill="1" applyBorder="1" applyAlignment="1">
      <alignment horizontal="center" vertical="center" wrapText="1"/>
    </xf>
    <xf numFmtId="44" fontId="20" fillId="3" borderId="46" xfId="5" applyFont="1" applyFill="1" applyBorder="1" applyAlignment="1">
      <alignment horizontal="center" vertical="center"/>
    </xf>
    <xf numFmtId="3" fontId="20" fillId="3" borderId="46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top"/>
    </xf>
    <xf numFmtId="0" fontId="17" fillId="0" borderId="59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168" fontId="0" fillId="0" borderId="51" xfId="2" applyNumberFormat="1" applyFont="1" applyBorder="1" applyAlignment="1" applyProtection="1">
      <alignment horizontal="right" vertical="center"/>
    </xf>
    <xf numFmtId="0" fontId="19" fillId="0" borderId="46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31" fillId="3" borderId="60" xfId="0" applyFont="1" applyFill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44" fontId="18" fillId="3" borderId="60" xfId="5" applyFont="1" applyFill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/>
    </xf>
    <xf numFmtId="0" fontId="31" fillId="3" borderId="62" xfId="0" applyFont="1" applyFill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/>
    </xf>
    <xf numFmtId="44" fontId="20" fillId="3" borderId="62" xfId="5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26" fillId="3" borderId="0" xfId="0" applyFont="1" applyFill="1" applyAlignment="1">
      <alignment horizontal="left" vertical="top" wrapText="1"/>
    </xf>
    <xf numFmtId="0" fontId="26" fillId="3" borderId="7" xfId="0" applyFont="1" applyFill="1" applyBorder="1" applyAlignment="1">
      <alignment horizontal="left" vertical="top" wrapText="1"/>
    </xf>
    <xf numFmtId="0" fontId="19" fillId="0" borderId="46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39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11" fillId="0" borderId="18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44" fontId="23" fillId="0" borderId="40" xfId="5" applyFont="1" applyBorder="1" applyAlignment="1">
      <alignment horizontal="center" vertical="center"/>
    </xf>
    <xf numFmtId="44" fontId="23" fillId="0" borderId="41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9" fillId="0" borderId="62" xfId="0" applyFont="1" applyBorder="1" applyAlignment="1">
      <alignment vertical="center" wrapText="1"/>
    </xf>
    <xf numFmtId="0" fontId="19" fillId="0" borderId="60" xfId="0" applyFont="1" applyBorder="1" applyAlignment="1">
      <alignment vertical="center" wrapText="1"/>
    </xf>
    <xf numFmtId="0" fontId="0" fillId="0" borderId="18" xfId="0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7" fillId="0" borderId="22" xfId="0" applyFont="1" applyBorder="1" applyAlignment="1">
      <alignment horizontal="left" indent="1"/>
    </xf>
    <xf numFmtId="0" fontId="10" fillId="0" borderId="21" xfId="0" applyFont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2" fillId="0" borderId="46" xfId="0" applyFont="1" applyBorder="1" applyAlignment="1">
      <alignment vertical="center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4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12" fillId="0" borderId="37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EBF-F15D-4D98-8E19-105A66B5EF24}">
  <dimension ref="A2:I47"/>
  <sheetViews>
    <sheetView tabSelected="1" workbookViewId="0">
      <selection activeCell="B5" sqref="B5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5.5703125" customWidth="1"/>
  </cols>
  <sheetData>
    <row r="2" spans="1:9" ht="18" x14ac:dyDescent="0.25">
      <c r="A2" s="34"/>
      <c r="B2" s="78" t="s">
        <v>48</v>
      </c>
      <c r="C2" s="78"/>
      <c r="D2" s="78"/>
      <c r="E2" s="78"/>
      <c r="F2" s="78"/>
      <c r="G2" s="78"/>
      <c r="H2" s="78"/>
      <c r="I2" s="78"/>
    </row>
    <row r="3" spans="1:9" ht="13.5" x14ac:dyDescent="0.25">
      <c r="A3" s="34"/>
      <c r="B3" s="34"/>
      <c r="C3" s="34"/>
      <c r="D3" s="34"/>
      <c r="E3" s="34"/>
      <c r="F3" s="34"/>
      <c r="G3" s="34"/>
      <c r="H3" s="34"/>
      <c r="I3" s="34"/>
    </row>
    <row r="4" spans="1:9" x14ac:dyDescent="0.2">
      <c r="A4" s="44" t="s">
        <v>58</v>
      </c>
      <c r="B4" s="44"/>
      <c r="C4" s="44"/>
      <c r="D4" s="44"/>
      <c r="E4" s="44"/>
      <c r="F4" s="44"/>
      <c r="G4" s="44"/>
      <c r="H4" s="44"/>
      <c r="I4" s="44"/>
    </row>
    <row r="5" spans="1:9" x14ac:dyDescent="0.2">
      <c r="A5" s="44" t="s">
        <v>60</v>
      </c>
      <c r="B5" s="44"/>
      <c r="C5" s="44"/>
      <c r="D5" s="44"/>
      <c r="E5" s="44"/>
      <c r="F5" s="44"/>
      <c r="G5" s="44"/>
      <c r="H5" s="44"/>
      <c r="I5" s="44"/>
    </row>
    <row r="6" spans="1:9" x14ac:dyDescent="0.2">
      <c r="A6" s="44" t="s">
        <v>59</v>
      </c>
      <c r="B6" s="44"/>
      <c r="C6" s="44"/>
      <c r="D6" s="44"/>
      <c r="E6" s="44"/>
      <c r="F6" s="44"/>
      <c r="G6" s="44"/>
      <c r="H6" s="44"/>
      <c r="I6" s="44"/>
    </row>
    <row r="7" spans="1:9" x14ac:dyDescent="0.2">
      <c r="A7" s="44" t="s">
        <v>62</v>
      </c>
      <c r="B7" s="44"/>
      <c r="C7" s="44"/>
      <c r="D7" s="44"/>
      <c r="E7" s="44"/>
      <c r="F7" s="44"/>
      <c r="G7" s="44"/>
      <c r="H7" s="44"/>
      <c r="I7" s="44"/>
    </row>
    <row r="8" spans="1:9" ht="13.5" thickBot="1" x14ac:dyDescent="0.25">
      <c r="A8" s="44"/>
      <c r="B8" s="44"/>
      <c r="C8" s="44"/>
      <c r="D8" s="44"/>
      <c r="E8" s="44"/>
      <c r="F8" s="44"/>
      <c r="G8" s="44"/>
      <c r="H8" s="44"/>
      <c r="I8" s="44"/>
    </row>
    <row r="9" spans="1:9" ht="38.25" customHeight="1" x14ac:dyDescent="0.2">
      <c r="A9" s="45" t="s">
        <v>38</v>
      </c>
      <c r="B9" s="46" t="s">
        <v>39</v>
      </c>
      <c r="C9" s="47" t="s">
        <v>40</v>
      </c>
      <c r="D9" s="47" t="s">
        <v>41</v>
      </c>
      <c r="E9" s="47" t="s">
        <v>42</v>
      </c>
      <c r="F9" s="48" t="s">
        <v>43</v>
      </c>
      <c r="G9" s="47" t="s">
        <v>44</v>
      </c>
      <c r="H9" s="48" t="s">
        <v>45</v>
      </c>
      <c r="I9" s="49" t="s">
        <v>49</v>
      </c>
    </row>
    <row r="10" spans="1:9" ht="59.25" customHeight="1" x14ac:dyDescent="0.2">
      <c r="A10" s="55">
        <v>1</v>
      </c>
      <c r="B10" s="56" t="s">
        <v>82</v>
      </c>
      <c r="C10" s="57" t="s">
        <v>64</v>
      </c>
      <c r="D10" s="58">
        <v>265</v>
      </c>
      <c r="E10" s="59" t="s">
        <v>83</v>
      </c>
      <c r="F10" s="60" t="s">
        <v>65</v>
      </c>
      <c r="G10" s="60">
        <v>1300</v>
      </c>
      <c r="H10" s="61">
        <v>1590</v>
      </c>
      <c r="I10" s="61">
        <f>G10*H10</f>
        <v>2067000</v>
      </c>
    </row>
    <row r="11" spans="1:9" ht="63.75" x14ac:dyDescent="0.2">
      <c r="A11" s="55">
        <v>2</v>
      </c>
      <c r="B11" s="56" t="s">
        <v>66</v>
      </c>
      <c r="C11" s="57" t="s">
        <v>67</v>
      </c>
      <c r="D11" s="57">
        <v>271</v>
      </c>
      <c r="E11" s="57" t="s">
        <v>68</v>
      </c>
      <c r="F11" s="58" t="s">
        <v>65</v>
      </c>
      <c r="G11" s="58">
        <v>410</v>
      </c>
      <c r="H11" s="62">
        <v>1103.97</v>
      </c>
      <c r="I11" s="61">
        <f t="shared" ref="I11:I14" si="0">G11*H11</f>
        <v>452627.7</v>
      </c>
    </row>
    <row r="12" spans="1:9" ht="51" x14ac:dyDescent="0.2">
      <c r="A12" s="55">
        <v>3</v>
      </c>
      <c r="B12" s="57" t="s">
        <v>69</v>
      </c>
      <c r="C12" s="57" t="s">
        <v>67</v>
      </c>
      <c r="D12" s="57">
        <v>271</v>
      </c>
      <c r="E12" s="57" t="s">
        <v>70</v>
      </c>
      <c r="F12" s="58" t="s">
        <v>65</v>
      </c>
      <c r="G12" s="63">
        <v>530</v>
      </c>
      <c r="H12" s="62">
        <v>1756.35</v>
      </c>
      <c r="I12" s="61">
        <f t="shared" si="0"/>
        <v>930865.5</v>
      </c>
    </row>
    <row r="13" spans="1:9" ht="38.25" x14ac:dyDescent="0.2">
      <c r="A13" s="55">
        <v>4</v>
      </c>
      <c r="B13" s="57" t="s">
        <v>71</v>
      </c>
      <c r="C13" s="57" t="s">
        <v>67</v>
      </c>
      <c r="D13" s="57">
        <v>271</v>
      </c>
      <c r="E13" s="57" t="s">
        <v>72</v>
      </c>
      <c r="F13" s="58" t="s">
        <v>65</v>
      </c>
      <c r="G13" s="63">
        <v>260</v>
      </c>
      <c r="H13" s="62">
        <v>2747.27</v>
      </c>
      <c r="I13" s="61">
        <f t="shared" si="0"/>
        <v>714290.2</v>
      </c>
    </row>
    <row r="14" spans="1:9" ht="38.25" x14ac:dyDescent="0.2">
      <c r="A14" s="55">
        <v>5</v>
      </c>
      <c r="B14" s="57" t="s">
        <v>73</v>
      </c>
      <c r="C14" s="57" t="s">
        <v>67</v>
      </c>
      <c r="D14" s="57">
        <v>271</v>
      </c>
      <c r="E14" s="57" t="s">
        <v>74</v>
      </c>
      <c r="F14" s="58" t="s">
        <v>65</v>
      </c>
      <c r="G14" s="58">
        <v>100</v>
      </c>
      <c r="H14" s="62">
        <v>3935.88</v>
      </c>
      <c r="I14" s="61">
        <f t="shared" si="0"/>
        <v>393588</v>
      </c>
    </row>
    <row r="15" spans="1:9" ht="13.5" thickBot="1" x14ac:dyDescent="0.25"/>
    <row r="16" spans="1:9" ht="35.25" customHeight="1" x14ac:dyDescent="0.2">
      <c r="B16" s="31"/>
      <c r="C16" s="11"/>
      <c r="D16" s="11"/>
      <c r="E16" s="11"/>
      <c r="F16" s="11"/>
      <c r="G16" s="11"/>
      <c r="H16" s="11"/>
      <c r="I16" s="32"/>
    </row>
    <row r="17" spans="2:9" ht="13.5" x14ac:dyDescent="0.25">
      <c r="B17" s="33" t="s">
        <v>75</v>
      </c>
      <c r="C17" s="34"/>
      <c r="D17" s="34"/>
      <c r="E17" s="34"/>
      <c r="F17" s="34"/>
      <c r="G17" s="34"/>
      <c r="H17" s="34"/>
      <c r="I17" s="35"/>
    </row>
    <row r="18" spans="2:9" ht="13.5" x14ac:dyDescent="0.25">
      <c r="B18" s="36"/>
      <c r="C18" s="34"/>
      <c r="D18" s="34"/>
      <c r="E18" s="34"/>
      <c r="F18" s="34"/>
      <c r="G18" s="34"/>
      <c r="H18" s="34"/>
      <c r="I18" s="35"/>
    </row>
    <row r="19" spans="2:9" ht="13.5" x14ac:dyDescent="0.25">
      <c r="B19" s="36"/>
      <c r="C19" s="37" t="s">
        <v>46</v>
      </c>
      <c r="D19" s="34"/>
      <c r="E19" s="34"/>
      <c r="F19" s="34"/>
      <c r="G19" s="34"/>
      <c r="H19" s="34"/>
      <c r="I19" s="35"/>
    </row>
    <row r="20" spans="2:9" ht="38.25" customHeight="1" x14ac:dyDescent="0.25">
      <c r="B20" s="36"/>
      <c r="C20" s="34"/>
      <c r="D20" s="79" t="s">
        <v>76</v>
      </c>
      <c r="E20" s="79"/>
      <c r="F20" s="79"/>
      <c r="G20" s="79"/>
      <c r="H20" s="79"/>
      <c r="I20" s="80"/>
    </row>
    <row r="21" spans="2:9" ht="13.5" x14ac:dyDescent="0.25">
      <c r="B21" s="36"/>
      <c r="C21" s="34"/>
      <c r="D21" s="79"/>
      <c r="E21" s="79"/>
      <c r="F21" s="79"/>
      <c r="G21" s="79"/>
      <c r="H21" s="79"/>
      <c r="I21" s="80"/>
    </row>
    <row r="22" spans="2:9" ht="13.5" x14ac:dyDescent="0.25">
      <c r="B22" s="36"/>
      <c r="C22" s="34"/>
      <c r="D22" s="64"/>
      <c r="E22" s="34"/>
      <c r="F22" s="34"/>
      <c r="G22" s="34"/>
      <c r="H22" s="34"/>
      <c r="I22" s="35"/>
    </row>
    <row r="23" spans="2:9" ht="35.25" customHeight="1" x14ac:dyDescent="0.25">
      <c r="B23" s="36"/>
      <c r="C23" s="37" t="s">
        <v>47</v>
      </c>
      <c r="D23" s="34"/>
      <c r="E23" s="34"/>
      <c r="F23" s="34"/>
      <c r="G23" s="34"/>
      <c r="H23" s="34"/>
      <c r="I23" s="35"/>
    </row>
    <row r="24" spans="2:9" ht="110.25" customHeight="1" x14ac:dyDescent="0.25">
      <c r="B24" s="36"/>
      <c r="C24" s="34"/>
      <c r="D24" s="81" t="s">
        <v>77</v>
      </c>
      <c r="E24" s="81"/>
      <c r="F24" s="81"/>
      <c r="G24" s="81"/>
      <c r="H24" s="81"/>
      <c r="I24" s="82"/>
    </row>
    <row r="25" spans="2:9" ht="14.25" x14ac:dyDescent="0.3">
      <c r="B25" s="36"/>
      <c r="C25" s="34"/>
      <c r="D25" s="38"/>
      <c r="E25" s="34"/>
      <c r="F25" s="34"/>
      <c r="G25" s="34"/>
      <c r="H25" s="34"/>
      <c r="I25" s="35"/>
    </row>
    <row r="26" spans="2:9" ht="13.5" x14ac:dyDescent="0.25">
      <c r="B26" s="36"/>
      <c r="C26" s="34"/>
      <c r="D26" s="34"/>
      <c r="E26" s="34"/>
      <c r="F26" s="34"/>
      <c r="G26" s="34"/>
      <c r="H26" s="34"/>
      <c r="I26" s="35"/>
    </row>
    <row r="27" spans="2:9" ht="27" x14ac:dyDescent="0.25">
      <c r="B27" s="36"/>
      <c r="C27" s="43" t="s">
        <v>52</v>
      </c>
      <c r="D27" s="79" t="s">
        <v>61</v>
      </c>
      <c r="E27" s="79"/>
      <c r="F27" s="79"/>
      <c r="G27" s="79"/>
      <c r="H27" s="79"/>
      <c r="I27" s="80"/>
    </row>
    <row r="28" spans="2:9" ht="14.25" x14ac:dyDescent="0.3">
      <c r="B28" s="36"/>
      <c r="C28" s="37" t="s">
        <v>51</v>
      </c>
      <c r="D28" s="38" t="s">
        <v>50</v>
      </c>
      <c r="E28" s="34"/>
      <c r="F28" s="34"/>
      <c r="G28" s="34"/>
      <c r="H28" s="34"/>
      <c r="I28" s="35"/>
    </row>
    <row r="29" spans="2:9" ht="14.25" thickBot="1" x14ac:dyDescent="0.3">
      <c r="B29" s="39"/>
      <c r="C29" s="40"/>
      <c r="D29" s="41"/>
      <c r="E29" s="41"/>
      <c r="F29" s="41"/>
      <c r="G29" s="41"/>
      <c r="H29" s="41"/>
      <c r="I29" s="42"/>
    </row>
    <row r="47" ht="135.75" customHeight="1" x14ac:dyDescent="0.2"/>
  </sheetData>
  <mergeCells count="4">
    <mergeCell ref="B2:I2"/>
    <mergeCell ref="D20:I21"/>
    <mergeCell ref="D24:I24"/>
    <mergeCell ref="D27:I27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topLeftCell="D7" zoomScaleNormal="100" workbookViewId="0">
      <selection activeCell="J17" sqref="J17:K1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85" t="s">
        <v>2</v>
      </c>
      <c r="B3" s="85"/>
      <c r="C3" s="85"/>
      <c r="D3" s="86" t="s">
        <v>55</v>
      </c>
      <c r="E3" s="87"/>
      <c r="F3" s="87"/>
      <c r="G3" s="87"/>
      <c r="H3" s="87"/>
      <c r="I3" s="87"/>
      <c r="J3" s="87"/>
      <c r="K3" s="88"/>
    </row>
    <row r="4" spans="1:11" ht="18.75" customHeight="1" thickBot="1" x14ac:dyDescent="0.25">
      <c r="A4" s="89" t="s">
        <v>3</v>
      </c>
      <c r="B4" s="89"/>
      <c r="C4" s="89"/>
      <c r="D4" s="86" t="s">
        <v>56</v>
      </c>
      <c r="E4" s="87"/>
      <c r="F4" s="87"/>
      <c r="G4" s="87"/>
      <c r="H4" s="87"/>
      <c r="I4" s="87"/>
      <c r="J4" s="87"/>
      <c r="K4" s="88"/>
    </row>
    <row r="5" spans="1:11" ht="18.75" customHeight="1" thickBot="1" x14ac:dyDescent="0.25">
      <c r="A5" s="89" t="s">
        <v>4</v>
      </c>
      <c r="B5" s="89"/>
      <c r="C5" s="89"/>
      <c r="D5" s="86" t="s">
        <v>57</v>
      </c>
      <c r="E5" s="87"/>
      <c r="F5" s="87"/>
      <c r="G5" s="87"/>
      <c r="H5" s="87"/>
      <c r="I5" s="87"/>
      <c r="J5" s="87"/>
      <c r="K5" s="88"/>
    </row>
    <row r="6" spans="1:11" ht="16.5" customHeight="1" thickBot="1" x14ac:dyDescent="0.25">
      <c r="A6" s="85" t="s">
        <v>5</v>
      </c>
      <c r="B6" s="85"/>
      <c r="C6" s="85"/>
      <c r="D6" s="86" t="s">
        <v>57</v>
      </c>
      <c r="E6" s="87"/>
      <c r="F6" s="87"/>
      <c r="G6" s="87"/>
      <c r="H6" s="87"/>
      <c r="I6" s="87"/>
      <c r="J6" s="87"/>
      <c r="K6" s="88"/>
    </row>
    <row r="7" spans="1:11" ht="16.5" customHeight="1" thickBot="1" x14ac:dyDescent="0.25">
      <c r="A7" s="89" t="s">
        <v>6</v>
      </c>
      <c r="B7" s="89"/>
      <c r="C7" s="89"/>
      <c r="D7" s="90" t="s">
        <v>63</v>
      </c>
      <c r="E7" s="90"/>
      <c r="F7" s="90"/>
      <c r="G7" s="90"/>
      <c r="H7" s="90"/>
      <c r="I7" s="90"/>
      <c r="J7" s="90"/>
      <c r="K7" s="90"/>
    </row>
    <row r="8" spans="1:11" ht="40.5" customHeight="1" thickBot="1" x14ac:dyDescent="0.25">
      <c r="A8" s="96" t="s">
        <v>7</v>
      </c>
      <c r="B8" s="96"/>
      <c r="C8" s="96"/>
      <c r="D8" s="97" t="s">
        <v>81</v>
      </c>
      <c r="E8" s="97"/>
      <c r="F8" s="97"/>
      <c r="G8" s="97"/>
      <c r="H8" s="97"/>
      <c r="I8" s="97"/>
      <c r="J8" s="97"/>
      <c r="K8" s="97"/>
    </row>
    <row r="9" spans="1:11" ht="16.5" thickBot="1" x14ac:dyDescent="0.25">
      <c r="A9" s="104"/>
      <c r="B9" s="105"/>
      <c r="C9" s="105"/>
      <c r="D9" s="105"/>
      <c r="E9" s="105"/>
      <c r="F9" s="105"/>
      <c r="G9" s="105"/>
      <c r="H9" s="105"/>
      <c r="I9" s="105"/>
      <c r="J9" s="105"/>
      <c r="K9" s="106"/>
    </row>
    <row r="10" spans="1:11" ht="18.75" customHeight="1" thickBot="1" x14ac:dyDescent="0.25">
      <c r="A10" s="98" t="s">
        <v>8</v>
      </c>
      <c r="B10" s="100" t="s">
        <v>9</v>
      </c>
      <c r="C10" s="100" t="s">
        <v>10</v>
      </c>
      <c r="D10" s="100"/>
      <c r="E10" s="100"/>
      <c r="F10" s="100"/>
      <c r="G10" s="100"/>
      <c r="H10" s="100" t="s">
        <v>11</v>
      </c>
      <c r="I10" s="100" t="s">
        <v>12</v>
      </c>
      <c r="J10" s="100" t="s">
        <v>13</v>
      </c>
      <c r="K10" s="102" t="s">
        <v>14</v>
      </c>
    </row>
    <row r="11" spans="1:11" ht="24" customHeight="1" thickBot="1" x14ac:dyDescent="0.25">
      <c r="A11" s="99"/>
      <c r="B11" s="101"/>
      <c r="C11" s="101"/>
      <c r="D11" s="101"/>
      <c r="E11" s="101"/>
      <c r="F11" s="101"/>
      <c r="G11" s="101"/>
      <c r="H11" s="101"/>
      <c r="I11" s="101"/>
      <c r="J11" s="101"/>
      <c r="K11" s="103"/>
    </row>
    <row r="12" spans="1:11" ht="51.75" customHeight="1" x14ac:dyDescent="0.2">
      <c r="A12" s="69">
        <v>1</v>
      </c>
      <c r="B12" s="70" t="s">
        <v>82</v>
      </c>
      <c r="C12" s="108" t="s">
        <v>83</v>
      </c>
      <c r="D12" s="108"/>
      <c r="E12" s="108"/>
      <c r="F12" s="108"/>
      <c r="G12" s="108"/>
      <c r="H12" s="71" t="s">
        <v>53</v>
      </c>
      <c r="I12" s="71" t="s">
        <v>65</v>
      </c>
      <c r="J12" s="72">
        <v>1590</v>
      </c>
      <c r="K12" s="71">
        <v>1300</v>
      </c>
    </row>
    <row r="13" spans="1:11" ht="51.75" customHeight="1" x14ac:dyDescent="0.2">
      <c r="A13" s="68">
        <v>2</v>
      </c>
      <c r="B13" s="56" t="s">
        <v>66</v>
      </c>
      <c r="C13" s="83" t="s">
        <v>80</v>
      </c>
      <c r="D13" s="83"/>
      <c r="E13" s="83"/>
      <c r="F13" s="83"/>
      <c r="G13" s="83"/>
      <c r="H13" s="60" t="s">
        <v>53</v>
      </c>
      <c r="I13" s="60" t="s">
        <v>65</v>
      </c>
      <c r="J13" s="62">
        <v>1103.97</v>
      </c>
      <c r="K13" s="58">
        <v>410</v>
      </c>
    </row>
    <row r="14" spans="1:11" ht="51.75" customHeight="1" x14ac:dyDescent="0.2">
      <c r="A14" s="68">
        <v>3</v>
      </c>
      <c r="B14" s="57" t="s">
        <v>69</v>
      </c>
      <c r="C14" s="83" t="s">
        <v>70</v>
      </c>
      <c r="D14" s="83"/>
      <c r="E14" s="83"/>
      <c r="F14" s="83"/>
      <c r="G14" s="83"/>
      <c r="H14" s="60" t="s">
        <v>53</v>
      </c>
      <c r="I14" s="60" t="s">
        <v>65</v>
      </c>
      <c r="J14" s="62">
        <v>1756.35</v>
      </c>
      <c r="K14" s="63">
        <v>530</v>
      </c>
    </row>
    <row r="15" spans="1:11" ht="51.75" customHeight="1" x14ac:dyDescent="0.2">
      <c r="A15" s="68">
        <v>4</v>
      </c>
      <c r="B15" s="57" t="s">
        <v>71</v>
      </c>
      <c r="C15" s="83" t="s">
        <v>72</v>
      </c>
      <c r="D15" s="83"/>
      <c r="E15" s="83"/>
      <c r="F15" s="83"/>
      <c r="G15" s="83"/>
      <c r="H15" s="60" t="s">
        <v>53</v>
      </c>
      <c r="I15" s="60" t="s">
        <v>65</v>
      </c>
      <c r="J15" s="62">
        <v>2747.27</v>
      </c>
      <c r="K15" s="63">
        <v>260</v>
      </c>
    </row>
    <row r="16" spans="1:11" ht="51.75" customHeight="1" thickBot="1" x14ac:dyDescent="0.25">
      <c r="A16" s="73">
        <v>5</v>
      </c>
      <c r="B16" s="74" t="s">
        <v>73</v>
      </c>
      <c r="C16" s="107" t="s">
        <v>74</v>
      </c>
      <c r="D16" s="107"/>
      <c r="E16" s="107"/>
      <c r="F16" s="107"/>
      <c r="G16" s="107"/>
      <c r="H16" s="75" t="s">
        <v>53</v>
      </c>
      <c r="I16" s="75" t="s">
        <v>65</v>
      </c>
      <c r="J16" s="76">
        <v>3935.88</v>
      </c>
      <c r="K16" s="77">
        <v>100</v>
      </c>
    </row>
    <row r="17" spans="1:11" ht="36.75" customHeight="1" thickBot="1" x14ac:dyDescent="0.25">
      <c r="A17" s="91" t="s">
        <v>85</v>
      </c>
      <c r="B17" s="92"/>
      <c r="C17" s="92"/>
      <c r="D17" s="92"/>
      <c r="E17" s="92"/>
      <c r="F17" s="92"/>
      <c r="G17" s="92"/>
      <c r="H17" s="92"/>
      <c r="I17" s="93"/>
      <c r="J17" s="94">
        <v>4558371.4000000004</v>
      </c>
      <c r="K17" s="95"/>
    </row>
  </sheetData>
  <mergeCells count="28">
    <mergeCell ref="A17:I17"/>
    <mergeCell ref="J17:K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A9:K9"/>
    <mergeCell ref="C16:G16"/>
    <mergeCell ref="C12:G12"/>
    <mergeCell ref="C14:G14"/>
    <mergeCell ref="C15:G15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zoomScale="110" zoomScaleNormal="110" workbookViewId="0">
      <selection activeCell="W9" sqref="W9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5.42578125" customWidth="1"/>
  </cols>
  <sheetData>
    <row r="1" spans="1:17" ht="15.75" customHeight="1" x14ac:dyDescent="0.25">
      <c r="A1" s="109" t="s">
        <v>15</v>
      </c>
      <c r="B1" s="109"/>
      <c r="C1" s="109"/>
      <c r="D1" s="110">
        <v>2022</v>
      </c>
      <c r="E1" s="110"/>
      <c r="F1" s="9"/>
      <c r="G1" s="9"/>
      <c r="H1" s="10"/>
      <c r="I1" s="10"/>
      <c r="J1" s="10"/>
      <c r="K1" s="10"/>
      <c r="L1" s="10"/>
      <c r="M1" s="10"/>
      <c r="N1" s="10"/>
      <c r="O1" s="11"/>
      <c r="P1" s="111" t="s">
        <v>16</v>
      </c>
      <c r="Q1" s="111"/>
    </row>
    <row r="2" spans="1:17" ht="15.75" customHeight="1" x14ac:dyDescent="0.2">
      <c r="A2" s="12"/>
      <c r="H2" s="13"/>
      <c r="I2" s="13"/>
      <c r="J2" s="13"/>
      <c r="K2" s="13"/>
      <c r="L2" s="13"/>
      <c r="M2" s="13"/>
      <c r="N2" s="13"/>
      <c r="P2" s="111"/>
      <c r="Q2" s="111"/>
    </row>
    <row r="3" spans="1:17" ht="13.5" thickBot="1" x14ac:dyDescent="0.25">
      <c r="A3" s="12"/>
      <c r="Q3" s="14"/>
    </row>
    <row r="4" spans="1:17" s="15" customFormat="1" ht="18" customHeight="1" thickBot="1" x14ac:dyDescent="0.25">
      <c r="A4" s="112" t="s">
        <v>17</v>
      </c>
      <c r="B4" s="112"/>
      <c r="C4" s="112"/>
      <c r="D4" s="112"/>
      <c r="E4" s="112"/>
      <c r="F4" s="112"/>
      <c r="G4" s="113" t="s">
        <v>55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15" customFormat="1" ht="18" customHeight="1" thickBot="1" x14ac:dyDescent="0.25">
      <c r="A5" s="114" t="s">
        <v>3</v>
      </c>
      <c r="B5" s="114"/>
      <c r="C5" s="114"/>
      <c r="D5" s="114"/>
      <c r="E5" s="114"/>
      <c r="F5" s="114"/>
      <c r="G5" s="113" t="s">
        <v>56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15" customFormat="1" ht="18" customHeight="1" thickBot="1" x14ac:dyDescent="0.25">
      <c r="A6" s="114" t="s">
        <v>4</v>
      </c>
      <c r="B6" s="114"/>
      <c r="C6" s="114"/>
      <c r="D6" s="114"/>
      <c r="E6" s="114"/>
      <c r="F6" s="114"/>
      <c r="G6" s="113" t="s">
        <v>57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15" customFormat="1" ht="22.5" customHeight="1" thickBot="1" x14ac:dyDescent="0.25">
      <c r="A7" s="114" t="s">
        <v>5</v>
      </c>
      <c r="B7" s="114"/>
      <c r="C7" s="114"/>
      <c r="D7" s="114"/>
      <c r="E7" s="114"/>
      <c r="F7" s="114"/>
      <c r="G7" s="113" t="s">
        <v>57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25">
      <c r="A8" s="117" t="s">
        <v>18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18" t="s">
        <v>19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</row>
    <row r="10" spans="1:17" ht="66" customHeight="1" x14ac:dyDescent="0.2">
      <c r="A10" s="119" t="s">
        <v>86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thickBot="1" x14ac:dyDescent="0.25">
      <c r="A11" s="12"/>
      <c r="Q11" s="14"/>
    </row>
    <row r="12" spans="1:17" ht="15.75" customHeight="1" thickBot="1" x14ac:dyDescent="0.25">
      <c r="A12" s="120" t="s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thickBot="1" x14ac:dyDescent="0.25">
      <c r="A13" s="121" t="s">
        <v>21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22</v>
      </c>
      <c r="P13" s="123"/>
      <c r="Q13" s="120" t="s">
        <v>23</v>
      </c>
    </row>
    <row r="14" spans="1:17" ht="15.75" customHeight="1" thickBot="1" x14ac:dyDescent="0.25">
      <c r="A14" s="16" t="s">
        <v>24</v>
      </c>
      <c r="B14" s="17" t="s">
        <v>25</v>
      </c>
      <c r="C14" s="17" t="s">
        <v>54</v>
      </c>
      <c r="D14" s="17" t="s">
        <v>26</v>
      </c>
      <c r="E14" s="17" t="s">
        <v>27</v>
      </c>
      <c r="F14" s="17" t="s">
        <v>28</v>
      </c>
      <c r="G14" s="18" t="s">
        <v>29</v>
      </c>
      <c r="H14" s="17" t="s">
        <v>30</v>
      </c>
      <c r="I14" s="17" t="s">
        <v>31</v>
      </c>
      <c r="J14" s="17" t="s">
        <v>32</v>
      </c>
      <c r="K14" s="17" t="s">
        <v>32</v>
      </c>
      <c r="L14" s="17" t="s">
        <v>33</v>
      </c>
      <c r="M14" s="19" t="s">
        <v>34</v>
      </c>
      <c r="N14" s="20" t="s">
        <v>35</v>
      </c>
      <c r="O14" s="122"/>
      <c r="P14" s="123"/>
      <c r="Q14" s="124"/>
    </row>
    <row r="15" spans="1:17" ht="31.5" customHeight="1" x14ac:dyDescent="0.2">
      <c r="A15" s="65">
        <v>1</v>
      </c>
      <c r="B15" s="66">
        <v>0</v>
      </c>
      <c r="C15" s="66">
        <v>0</v>
      </c>
      <c r="D15" s="66">
        <v>1</v>
      </c>
      <c r="E15" s="66">
        <v>0</v>
      </c>
      <c r="F15" s="66">
        <v>4901</v>
      </c>
      <c r="G15" s="66">
        <v>1</v>
      </c>
      <c r="H15" s="66">
        <v>3</v>
      </c>
      <c r="I15" s="66">
        <v>2</v>
      </c>
      <c r="J15" s="66">
        <v>6</v>
      </c>
      <c r="K15" s="66">
        <v>5</v>
      </c>
      <c r="L15" s="66">
        <v>0</v>
      </c>
      <c r="M15" s="66">
        <v>1</v>
      </c>
      <c r="N15" s="66" t="s">
        <v>37</v>
      </c>
      <c r="O15" s="115" t="s">
        <v>78</v>
      </c>
      <c r="P15" s="115"/>
      <c r="Q15" s="54">
        <v>2067000</v>
      </c>
    </row>
    <row r="16" spans="1:17" ht="28.5" customHeight="1" x14ac:dyDescent="0.2">
      <c r="A16" s="65">
        <v>1</v>
      </c>
      <c r="B16" s="66">
        <v>0</v>
      </c>
      <c r="C16" s="66">
        <v>0</v>
      </c>
      <c r="D16" s="66">
        <v>1</v>
      </c>
      <c r="E16" s="66">
        <v>0</v>
      </c>
      <c r="F16" s="66">
        <v>4901</v>
      </c>
      <c r="G16" s="66">
        <v>1</v>
      </c>
      <c r="H16" s="66">
        <v>3</v>
      </c>
      <c r="I16" s="66">
        <v>2</v>
      </c>
      <c r="J16" s="66">
        <v>7</v>
      </c>
      <c r="K16" s="66">
        <v>1</v>
      </c>
      <c r="L16" s="66">
        <v>0</v>
      </c>
      <c r="M16" s="66">
        <v>1</v>
      </c>
      <c r="N16" s="66" t="s">
        <v>37</v>
      </c>
      <c r="O16" s="116" t="s">
        <v>79</v>
      </c>
      <c r="P16" s="116"/>
      <c r="Q16" s="67">
        <v>2491371.4</v>
      </c>
    </row>
    <row r="17" spans="1:17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125"/>
      <c r="P17" s="125"/>
      <c r="Q17" s="25"/>
    </row>
    <row r="18" spans="1:17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4"/>
      <c r="O18" s="125"/>
      <c r="P18" s="125"/>
      <c r="Q18" s="25"/>
    </row>
    <row r="19" spans="1:17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4"/>
      <c r="O19" s="125"/>
      <c r="P19" s="125"/>
      <c r="Q19" s="25"/>
    </row>
    <row r="20" spans="1:17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4"/>
      <c r="O20" s="125"/>
      <c r="P20" s="125"/>
      <c r="Q20" s="25"/>
    </row>
    <row r="21" spans="1:17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4"/>
      <c r="O21" s="125"/>
      <c r="P21" s="125"/>
      <c r="Q21" s="25"/>
    </row>
    <row r="22" spans="1:17" ht="17.25" customHeight="1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4"/>
      <c r="O22" s="125"/>
      <c r="P22" s="125"/>
      <c r="Q22" s="25"/>
    </row>
    <row r="23" spans="1:17" ht="17.25" customHeight="1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  <c r="N23" s="24"/>
      <c r="O23" s="125"/>
      <c r="P23" s="125"/>
      <c r="Q23" s="25"/>
    </row>
    <row r="24" spans="1:17" ht="17.25" customHeight="1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  <c r="N24" s="24"/>
      <c r="O24" s="125"/>
      <c r="P24" s="125"/>
      <c r="Q24" s="25"/>
    </row>
    <row r="25" spans="1:17" ht="17.25" customHeight="1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/>
      <c r="N25" s="24"/>
      <c r="O25" s="125"/>
      <c r="P25" s="125"/>
      <c r="Q25" s="25"/>
    </row>
    <row r="26" spans="1:17" ht="17.25" customHeight="1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24"/>
      <c r="O26" s="125"/>
      <c r="P26" s="125"/>
      <c r="Q26" s="25"/>
    </row>
    <row r="27" spans="1:17" ht="17.25" customHeight="1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4"/>
      <c r="O27" s="125"/>
      <c r="P27" s="125"/>
      <c r="Q27" s="25"/>
    </row>
    <row r="28" spans="1:17" ht="17.2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24"/>
      <c r="O28" s="125"/>
      <c r="P28" s="125"/>
      <c r="Q28" s="25"/>
    </row>
    <row r="29" spans="1:17" ht="17.25" customHeight="1" x14ac:dyDescent="0.2">
      <c r="A29" s="21"/>
      <c r="B29" s="22"/>
      <c r="C29" s="22"/>
      <c r="D29" s="22"/>
      <c r="E29" s="22"/>
      <c r="F29" s="24"/>
      <c r="G29" s="22"/>
      <c r="H29" s="22"/>
      <c r="I29" s="22"/>
      <c r="J29" s="22"/>
      <c r="K29" s="22"/>
      <c r="L29" s="22"/>
      <c r="M29" s="23"/>
      <c r="N29" s="24"/>
      <c r="O29" s="126"/>
      <c r="P29" s="126"/>
      <c r="Q29" s="25"/>
    </row>
    <row r="30" spans="1:17" ht="17.25" customHeight="1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24"/>
      <c r="O30" s="126"/>
      <c r="P30" s="126"/>
      <c r="Q30" s="25"/>
    </row>
    <row r="31" spans="1:17" ht="17.25" customHeight="1" x14ac:dyDescent="0.2">
      <c r="A31" s="21"/>
      <c r="B31" s="22"/>
      <c r="C31" s="22"/>
      <c r="D31" s="22"/>
      <c r="E31" s="22"/>
      <c r="F31" s="24"/>
      <c r="G31" s="22"/>
      <c r="H31" s="22"/>
      <c r="I31" s="22"/>
      <c r="J31" s="22"/>
      <c r="K31" s="22"/>
      <c r="L31" s="22"/>
      <c r="M31" s="23"/>
      <c r="N31" s="24"/>
      <c r="O31" s="126"/>
      <c r="P31" s="126"/>
      <c r="Q31" s="25"/>
    </row>
    <row r="32" spans="1:17" ht="17.25" customHeight="1" x14ac:dyDescent="0.2">
      <c r="A32" s="21"/>
      <c r="B32" s="22"/>
      <c r="C32" s="22"/>
      <c r="D32" s="22"/>
      <c r="E32" s="22"/>
      <c r="F32" s="24"/>
      <c r="G32" s="22"/>
      <c r="H32" s="22"/>
      <c r="I32" s="22"/>
      <c r="J32" s="22"/>
      <c r="K32" s="22"/>
      <c r="L32" s="22"/>
      <c r="M32" s="23"/>
      <c r="N32" s="24"/>
      <c r="O32" s="126"/>
      <c r="P32" s="126"/>
      <c r="Q32" s="25"/>
    </row>
    <row r="33" spans="1:17" ht="17.25" customHeight="1" x14ac:dyDescent="0.2">
      <c r="A33" s="26"/>
      <c r="B33" s="27"/>
      <c r="C33" s="27"/>
      <c r="D33" s="27"/>
      <c r="E33" s="27"/>
      <c r="F33" s="24"/>
      <c r="G33" s="27"/>
      <c r="H33" s="27"/>
      <c r="I33" s="27"/>
      <c r="J33" s="27"/>
      <c r="K33" s="27"/>
      <c r="L33" s="27"/>
      <c r="M33" s="28"/>
      <c r="N33" s="29"/>
      <c r="O33" s="126"/>
      <c r="P33" s="126"/>
      <c r="Q33" s="25"/>
    </row>
    <row r="34" spans="1:17" ht="17.25" customHeight="1" x14ac:dyDescent="0.2">
      <c r="A34" s="50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2"/>
      <c r="N34" s="51"/>
      <c r="O34" s="131"/>
      <c r="P34" s="131"/>
      <c r="Q34" s="53"/>
    </row>
    <row r="35" spans="1:17" ht="30.75" customHeight="1" x14ac:dyDescent="0.2">
      <c r="A35" s="132" t="s">
        <v>84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30">
        <f>SUM(Q15:Q34)</f>
        <v>4558371.4000000004</v>
      </c>
    </row>
    <row r="36" spans="1:17" ht="18" customHeight="1" x14ac:dyDescent="0.2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</row>
    <row r="37" spans="1:17" ht="17.25" customHeight="1" x14ac:dyDescent="0.2">
      <c r="A37" s="127" t="s">
        <v>36</v>
      </c>
      <c r="B37" s="127"/>
      <c r="C37" s="127"/>
      <c r="D37" s="127"/>
      <c r="E37" s="127"/>
      <c r="F37" s="127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</row>
    <row r="38" spans="1:17" ht="18" customHeight="1" x14ac:dyDescent="0.2">
      <c r="A38" s="129" t="s">
        <v>81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</row>
    <row r="39" spans="1:17" ht="63.75" customHeight="1" x14ac:dyDescent="0.2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</row>
  </sheetData>
  <mergeCells count="43">
    <mergeCell ref="A37:F37"/>
    <mergeCell ref="G37:Q37"/>
    <mergeCell ref="A38:Q39"/>
    <mergeCell ref="O32:P32"/>
    <mergeCell ref="O33:P33"/>
    <mergeCell ref="O34:P34"/>
    <mergeCell ref="A35:P35"/>
    <mergeCell ref="A36:Q36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2022-05-03T13:20:58Z</cp:lastPrinted>
  <dcterms:created xsi:type="dcterms:W3CDTF">2020-07-17T23:44:49Z</dcterms:created>
  <dcterms:modified xsi:type="dcterms:W3CDTF">2022-11-01T13:52:28Z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