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3 TRIMESTRE 2022\HNEP\leches\"/>
    </mc:Choice>
  </mc:AlternateContent>
  <xr:revisionPtr revIDLastSave="0" documentId="8_{05BA6C00-20BA-4BE0-864F-4E4698EDA684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Trimestrales'!$A$9:$I$16</definedName>
    <definedName name="_xlnm.Print_Area" localSheetId="1">' NotaPedido'!$A$1:$K$19</definedName>
    <definedName name="_xlnm.Print_Area" localSheetId="2">'Autor Gastar'!$A$1:$Q$27</definedName>
    <definedName name="_xlnm.Print_Area" localSheetId="0">'Necesidades Trimestrales'!$E$9:$E$16</definedName>
  </definedNames>
  <calcPr calcId="181029"/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6" i="2"/>
  <c r="K13" i="2" l="1"/>
  <c r="K14" i="2"/>
  <c r="K15" i="2"/>
  <c r="K16" i="2"/>
  <c r="K17" i="2"/>
  <c r="K18" i="2"/>
  <c r="K12" i="2"/>
  <c r="J13" i="2"/>
  <c r="J14" i="2"/>
  <c r="J15" i="2"/>
  <c r="J16" i="2"/>
  <c r="J17" i="2"/>
  <c r="J18" i="2"/>
  <c r="C13" i="2"/>
  <c r="C14" i="2"/>
  <c r="C15" i="2"/>
  <c r="C16" i="2"/>
  <c r="C17" i="2"/>
  <c r="C18" i="2"/>
  <c r="I18" i="2"/>
  <c r="I12" i="2" l="1"/>
  <c r="Q23" i="3" l="1"/>
  <c r="A10" i="3" l="1"/>
  <c r="B14" i="2" l="1"/>
  <c r="B15" i="2"/>
  <c r="B16" i="2"/>
  <c r="B17" i="2"/>
  <c r="B18" i="2"/>
  <c r="I14" i="2"/>
  <c r="I15" i="2"/>
  <c r="I17" i="2"/>
  <c r="I13" i="2"/>
  <c r="B13" i="2"/>
  <c r="G6" i="3" l="1"/>
  <c r="G7" i="3"/>
  <c r="D7" i="2"/>
  <c r="D3" i="2"/>
  <c r="G4" i="3" s="1"/>
  <c r="D4" i="2"/>
  <c r="G5" i="3" s="1"/>
  <c r="D1" i="3" l="1"/>
  <c r="J12" i="2"/>
  <c r="J19" i="2" s="1"/>
  <c r="C12" i="2"/>
  <c r="B12" i="2"/>
  <c r="I10" i="1"/>
  <c r="I15" i="3"/>
  <c r="K15" i="3" l="1"/>
</calcChain>
</file>

<file path=xl/sharedStrings.xml><?xml version="1.0" encoding="utf-8"?>
<sst xmlns="http://schemas.openxmlformats.org/spreadsheetml/2006/main" count="122" uniqueCount="98">
  <si>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</si>
  <si>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</si>
  <si>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</si>
  <si>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</si>
  <si>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</si>
  <si>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</si>
  <si>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</si>
  <si>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</si>
  <si>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</si>
  <si>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</si>
  <si>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</si>
  <si>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</si>
  <si>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</si>
  <si>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</si>
  <si>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</si>
  <si>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Plazos y lugares de entrega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</si>
  <si>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</si>
  <si>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</si>
  <si>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</si>
  <si>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</si>
  <si>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</si>
  <si>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</si>
  <si>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</si>
  <si>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</si>
  <si>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</si>
  <si>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</si>
  <si>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</si>
  <si>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</si>
  <si>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</si>
  <si>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</si>
  <si>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</si>
  <si>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</si>
  <si>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</si>
  <si>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</si>
  <si>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</si>
  <si>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</si>
  <si>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</si>
  <si>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</si>
  <si>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</si>
  <si>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</si>
  <si>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</si>
  <si>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</si>
  <si>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</si>
  <si>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</si>
  <si>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</si>
  <si>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</si>
  <si>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</si>
  <si>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</si>
  <si>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</si>
  <si>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</si>
  <si>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</si>
  <si>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</si>
  <si>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</si>
  <si>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</si>
  <si>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Servicio de Alimentacion y Dietoterapia</t>
  </si>
  <si>
    <t>1.1</t>
  </si>
  <si>
    <t>NO</t>
  </si>
  <si>
    <t>PROD. MEDICO/FARMACEUTICOS/LAB</t>
  </si>
  <si>
    <t>Productos Farmaceuticos y Medicinales</t>
  </si>
  <si>
    <t>Para la adquisición de Leches Nutroterapeuticas destinados al servico de Alimentacion y Dietoterapia del Hospital Interzonal de Niños Eva Peron, para el normal funcionamiento del organismo.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</si>
  <si>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ALIMENTACION Y DIETOTERAPIA -HOSPITAL INT. DE NIÑOS – AV. VIRGEN DEL VALLE N° 1050-CATAMARCA DE 8:00 A 12:00HS., DEBIENDO CORRER LOS GASTOS DE FLETES, ACARREO, CARGA, DESCARGA Y SEGURO A CARGO DEL ADJUDICATARIO.</t>
    </r>
  </si>
  <si>
    <t>Leches Nutroterapeuticas</t>
  </si>
  <si>
    <t xml:space="preserve"> </t>
  </si>
  <si>
    <t>SUPLEMENTOS DIETARIOS; TIPO: MONODROGA, DROGA GENERICA: MALTODEXTRINA, PRESENTACION: ENVASE X 400 GR</t>
  </si>
  <si>
    <t>2.1.1-4227.46</t>
  </si>
  <si>
    <t>SUPLEMENTOS DIETARIOS; TIPO: ASOCIACION, DROGA GENERICA: FORMULA LACTEA SIN LACTOSA, PRESENTACION: ENVASE X 400 GR</t>
  </si>
  <si>
    <t>2.1.1-4227.44</t>
  </si>
  <si>
    <t>024 - Direccion de Administracion del Hospital Interzonal de Niños</t>
  </si>
  <si>
    <t>064/2022</t>
  </si>
  <si>
    <t>TOTAL DE PESOS: NOVECIENTOS CINCUENTA Y NUEVE MIL CUATROCIENTOS CON 00/100.</t>
  </si>
  <si>
    <t>Costo total estimado: Novecientos Cincuenta y Nueve Mil Cuatrocientos con 00/100.</t>
  </si>
  <si>
    <t>2.1.1-4227.42</t>
  </si>
  <si>
    <t>SUPLEMENTOS DIETARIOS; TIPO: ASOCIACIÓN; DROGA GENÉRICA: FÓRMULA LÁCTEA DE INICIO; PRESENTACIÓN: ENVASE X GRS SEGÚN PLIEGO</t>
  </si>
  <si>
    <t>2.1.1-4227.43</t>
  </si>
  <si>
    <t>SUPLEMENTOS DIETARIOS; TIPO: ASOCIACIÓN; DROGA GENÉRICA: FÓRMULA LÁCTEA DE CONTINUACIÓN; PRESENTACIÓN: ENVASE X GRS SEGÚN PLIEGO</t>
  </si>
  <si>
    <t>2.1.1-4227.63</t>
  </si>
  <si>
    <t>SUPLEMENTOS DIETARIOS; TIPO: ASOCIACIÓN; DROGA GENÉRICA: SUPLEMENTO CALÓRICO PEDIÁTRICO; PRESENTACIÓN: ENVASE X GRS SEGÚN PLIEGO</t>
  </si>
  <si>
    <r>
      <t>Mantenimiento de Oferta</t>
    </r>
    <r>
      <rPr>
        <sz val="10"/>
        <rFont val="Times New Roman"/>
        <family val="1"/>
      </rPr>
      <t>: Cuarenta y Cinco (45) dias habiles.</t>
    </r>
  </si>
  <si>
    <t>Especificidades Item N° 1:</t>
  </si>
  <si>
    <t>Especificidades Item N° 2:</t>
  </si>
  <si>
    <t>Especificidades Item N° 3:</t>
  </si>
  <si>
    <t>Especificidades Item N° 4:</t>
  </si>
  <si>
    <t>Especificidades Item N° 6:</t>
  </si>
  <si>
    <r>
      <t>Descripción técnica</t>
    </r>
    <r>
      <rPr>
        <sz val="10"/>
        <rFont val="Times New Roman"/>
        <family val="1"/>
      </rPr>
      <t>: PRESENTACION: ENVASE X 800 GRS.</t>
    </r>
  </si>
  <si>
    <r>
      <t>Descripción técnica</t>
    </r>
    <r>
      <rPr>
        <sz val="10"/>
        <rFont val="Times New Roman"/>
        <family val="1"/>
      </rPr>
      <t>: TIPO POLIMEROSA.</t>
    </r>
  </si>
  <si>
    <t>SI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</si>
  <si>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Se realizara la entrega de lo adjudicado en dos (2) partes del cincuenta por ciento (50%) de cada item en cada una; la primera sera dentro de los diez (10) días habiles de notificada la Orden de Compra y la segunda a los Treinta y Cinco (35) dias posteriores de recepcionada la primera entrega.</t>
    </r>
  </si>
  <si>
    <r>
      <t>Forma de Pago</t>
    </r>
    <r>
      <rPr>
        <sz val="10"/>
        <rFont val="Times New Roman"/>
        <family val="1"/>
      </rPr>
      <t>: se realizara pago parciales dentro de los treinta (30) dias habiles, debiendo presentar la factura correspondiente a cada entrega prevista.</t>
    </r>
  </si>
  <si>
    <t>2.1.1-4227.28</t>
  </si>
  <si>
    <t>SUPLEMENTOS DIETARIOS; TIPO: ASOCIACION, DROGA GENERICA: CASEINATO DE SODIO, PRESENTACION: ENVASE X 400 GR</t>
  </si>
  <si>
    <r>
      <t>Descripción técnica</t>
    </r>
    <r>
      <rPr>
        <sz val="10"/>
        <rFont val="Times New Roman"/>
        <family val="1"/>
      </rPr>
      <t>: BASE CASEINATO DE SODIO HIDROLIZADO , LIBRE DE LACTOSA Y SACAROSA , SIN TACC , TIPO KASS1000</t>
    </r>
  </si>
  <si>
    <r>
      <t>Descripción técnica</t>
    </r>
    <r>
      <rPr>
        <sz val="10"/>
        <rFont val="Times New Roman"/>
        <family val="1"/>
      </rPr>
      <t>: PRESENTACION: ENVASE X 800 GRS.SIN TACC</t>
    </r>
  </si>
  <si>
    <r>
      <t>Descripción técnica</t>
    </r>
    <r>
      <rPr>
        <sz val="10"/>
        <rFont val="Times New Roman"/>
        <family val="1"/>
      </rPr>
      <t>: SUPLEMENTO CALORICO EN POLVO PARA PEDIATRIA  CONTIENE OMEGA 3 Y 6, ADEMAS, DHA Y AA QUE APOYAN EL DESARROLLO CEREBRAL DE 2 A 10 AÑOS, LIBRE DE GLUTEN ,PRESENTACION: LATA X 400 GR ,TIPO PEDIASURE, SABOR A VAINILLA.</t>
    </r>
  </si>
  <si>
    <t>SUPLEMENTOS DIETARIOS; TIPO: ASOCIACION, DROGA GENERICA: PROTEINAS HIDROLIZADAS, PRESENTACION: ENVASE X 400 GR</t>
  </si>
  <si>
    <t>Especificidades Item N° 5:</t>
  </si>
  <si>
    <t>2.1.1-4227.47</t>
  </si>
  <si>
    <r>
      <t>Descripción técnica</t>
    </r>
    <r>
      <rPr>
        <sz val="10"/>
        <rFont val="Times New Roman"/>
        <family val="1"/>
      </rPr>
      <t>: FORMULA LACTEA NUTRICIONALMENTE ADECUADA PARA LACTANTES Y NINOS CON ALERGIA A LA PROTEINA DE LECHE DE VACA , CONTIENE ACIDOS GRASOS POLIINSATURADOS DE CADENA LARGA. TIPO NUTRILON PEPTI JUNIOR HE X 400 grs</t>
    </r>
  </si>
  <si>
    <t>La fecha de vencimiento de los productos adjudicados debe ser mayor a 6 (seis) meses al momento de ser bajada en el lugar de entrega y responder a las marcas y características presentadas en la oferta de la presente contratación. Además, debe presentarse el envase en óptimas condiciones de higiene e integridad del mismo.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</si>
</sst>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#,##0.00"/>
  </numFmts>
  <fonts count="2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Arial"/>
      <family val="2"/>
    </font>
    <font>
      <b/>
      <sz val="10"/>
      <name val="Times New Roman"/>
      <family val="1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5" fillId="0" borderId="0"/>
    <xf numFmtId="0" fontId="26" fillId="0" borderId="0"/>
  </cellStyleXfs>
  <cellXfs count="196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0" xfId="0" applyFont="1" applyBorder="1" applyAlignment="1">
      <alignment horizontal="left" vertical="center"/>
    </xf>
    <xf numFmtId="0" fontId="14" fillId="0" borderId="31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4" fillId="0" borderId="44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0" fillId="0" borderId="2" xfId="0" applyFont="1" applyBorder="1" applyAlignment="1">
      <alignment horizontal="center" vertical="center" wrapText="1"/>
    </xf>
    <xf numFmtId="166" fontId="16" fillId="0" borderId="0" xfId="0" applyNumberFormat="1" applyFont="1"/>
    <xf numFmtId="0" fontId="20" fillId="0" borderId="48" xfId="0" applyFont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right" vertical="center"/>
    </xf>
    <xf numFmtId="0" fontId="7" fillId="4" borderId="1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14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23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0" fillId="4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15" fillId="4" borderId="33" xfId="0" applyFont="1" applyFill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 vertical="center" wrapText="1"/>
    </xf>
    <xf numFmtId="0" fontId="24" fillId="4" borderId="49" xfId="0" applyFont="1" applyFill="1" applyBorder="1" applyAlignment="1">
      <alignment horizontal="center" vertical="center" wrapText="1"/>
    </xf>
    <xf numFmtId="0" fontId="0" fillId="4" borderId="52" xfId="0" applyFont="1" applyFill="1" applyBorder="1" applyAlignment="1">
      <alignment horizontal="center" vertical="center"/>
    </xf>
    <xf numFmtId="0" fontId="0" fillId="4" borderId="38" xfId="0" applyFont="1" applyFill="1" applyBorder="1" applyAlignment="1">
      <alignment horizontal="center" vertical="center"/>
    </xf>
    <xf numFmtId="0" fontId="15" fillId="4" borderId="38" xfId="0" applyFont="1" applyFill="1" applyBorder="1" applyAlignment="1">
      <alignment horizontal="center" vertical="center"/>
    </xf>
    <xf numFmtId="0" fontId="0" fillId="3" borderId="38" xfId="0" applyFont="1" applyFill="1" applyBorder="1" applyAlignment="1">
      <alignment horizontal="center" vertical="center"/>
    </xf>
    <xf numFmtId="0" fontId="0" fillId="4" borderId="36" xfId="0" applyFont="1" applyFill="1" applyBorder="1" applyAlignment="1">
      <alignment horizontal="center" vertical="center"/>
    </xf>
    <xf numFmtId="0" fontId="0" fillId="4" borderId="53" xfId="0" applyFont="1" applyFill="1" applyBorder="1" applyAlignment="1">
      <alignment horizontal="center" vertical="center"/>
    </xf>
    <xf numFmtId="0" fontId="0" fillId="3" borderId="36" xfId="0" applyFont="1" applyFill="1" applyBorder="1" applyAlignment="1">
      <alignment horizontal="center" vertical="center"/>
    </xf>
    <xf numFmtId="0" fontId="0" fillId="3" borderId="53" xfId="0" applyFont="1" applyFill="1" applyBorder="1" applyAlignment="1">
      <alignment horizontal="center" vertical="center"/>
    </xf>
    <xf numFmtId="0" fontId="15" fillId="0" borderId="49" xfId="0" applyFont="1" applyBorder="1" applyAlignment="1">
      <alignment wrapText="1"/>
    </xf>
    <xf numFmtId="0" fontId="5" fillId="4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166" fontId="5" fillId="3" borderId="3" xfId="1" applyNumberFormat="1" applyFont="1" applyFill="1" applyBorder="1" applyAlignment="1" applyProtection="1">
      <alignment horizontal="right" vertical="center" wrapText="1"/>
    </xf>
    <xf numFmtId="3" fontId="5" fillId="3" borderId="4" xfId="0" applyNumberFormat="1" applyFont="1" applyFill="1" applyBorder="1" applyAlignment="1">
      <alignment horizontal="center" vertical="center"/>
    </xf>
    <xf numFmtId="0" fontId="5" fillId="4" borderId="49" xfId="0" applyFont="1" applyFill="1" applyBorder="1" applyAlignment="1">
      <alignment horizontal="center" vertical="center"/>
    </xf>
    <xf numFmtId="0" fontId="5" fillId="3" borderId="49" xfId="0" applyFont="1" applyFill="1" applyBorder="1" applyAlignment="1">
      <alignment horizontal="center" vertical="center" wrapText="1"/>
    </xf>
    <xf numFmtId="166" fontId="5" fillId="3" borderId="49" xfId="1" applyNumberFormat="1" applyFont="1" applyFill="1" applyBorder="1" applyAlignment="1" applyProtection="1">
      <alignment horizontal="right" vertical="center" wrapText="1"/>
    </xf>
    <xf numFmtId="3" fontId="5" fillId="3" borderId="54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57" xfId="0" applyFont="1" applyFill="1" applyBorder="1" applyAlignment="1">
      <alignment horizontal="center" vertical="center"/>
    </xf>
    <xf numFmtId="0" fontId="5" fillId="3" borderId="58" xfId="0" applyFont="1" applyFill="1" applyBorder="1" applyAlignment="1">
      <alignment horizontal="center" vertical="center"/>
    </xf>
    <xf numFmtId="0" fontId="5" fillId="3" borderId="49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169" fontId="21" fillId="4" borderId="49" xfId="1" applyNumberFormat="1" applyFont="1" applyFill="1" applyBorder="1" applyAlignment="1" applyProtection="1">
      <alignment horizontal="right" vertical="center" wrapText="1"/>
    </xf>
    <xf numFmtId="0" fontId="20" fillId="0" borderId="60" xfId="0" applyFont="1" applyBorder="1" applyAlignment="1">
      <alignment horizontal="center" vertical="center" wrapText="1"/>
    </xf>
    <xf numFmtId="0" fontId="20" fillId="0" borderId="61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0" fillId="0" borderId="49" xfId="0" applyBorder="1" applyAlignment="1">
      <alignment vertical="center" wrapText="1"/>
    </xf>
    <xf numFmtId="0" fontId="15" fillId="0" borderId="62" xfId="0" applyFont="1" applyBorder="1" applyAlignment="1">
      <alignment horizontal="center" vertical="center"/>
    </xf>
    <xf numFmtId="0" fontId="15" fillId="0" borderId="63" xfId="0" applyFont="1" applyBorder="1" applyAlignment="1">
      <alignment wrapText="1"/>
    </xf>
    <xf numFmtId="0" fontId="24" fillId="0" borderId="63" xfId="0" applyFont="1" applyBorder="1" applyAlignment="1">
      <alignment horizontal="center" vertical="center" wrapText="1"/>
    </xf>
    <xf numFmtId="0" fontId="0" fillId="0" borderId="63" xfId="0" applyBorder="1" applyAlignment="1">
      <alignment vertical="center" wrapText="1"/>
    </xf>
    <xf numFmtId="0" fontId="24" fillId="4" borderId="63" xfId="0" applyFont="1" applyFill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/>
    </xf>
    <xf numFmtId="169" fontId="21" fillId="4" borderId="63" xfId="1" applyNumberFormat="1" applyFont="1" applyFill="1" applyBorder="1" applyAlignment="1" applyProtection="1">
      <alignment horizontal="right" vertical="center" wrapText="1"/>
    </xf>
    <xf numFmtId="0" fontId="15" fillId="0" borderId="49" xfId="0" applyFont="1" applyBorder="1" applyAlignment="1">
      <alignment horizontal="left" vertical="center"/>
    </xf>
    <xf numFmtId="0" fontId="15" fillId="0" borderId="49" xfId="0" applyFont="1" applyBorder="1" applyAlignment="1">
      <alignment vertical="center" wrapText="1"/>
    </xf>
    <xf numFmtId="0" fontId="15" fillId="0" borderId="63" xfId="0" applyFont="1" applyBorder="1" applyAlignment="1">
      <alignment horizontal="left" vertical="center"/>
    </xf>
    <xf numFmtId="0" fontId="22" fillId="0" borderId="5" xfId="0" applyFont="1" applyBorder="1"/>
    <xf numFmtId="0" fontId="16" fillId="0" borderId="6" xfId="0" applyFont="1" applyFill="1" applyBorder="1"/>
    <xf numFmtId="0" fontId="16" fillId="0" borderId="7" xfId="0" applyFont="1" applyFill="1" applyBorder="1"/>
    <xf numFmtId="0" fontId="16" fillId="0" borderId="0" xfId="0" applyFont="1" applyBorder="1"/>
    <xf numFmtId="0" fontId="16" fillId="0" borderId="9" xfId="0" applyFont="1" applyBorder="1"/>
    <xf numFmtId="166" fontId="21" fillId="4" borderId="65" xfId="1" applyNumberFormat="1" applyFont="1" applyFill="1" applyBorder="1" applyAlignment="1" applyProtection="1">
      <alignment horizontal="right" vertical="center" wrapText="1"/>
    </xf>
    <xf numFmtId="166" fontId="21" fillId="4" borderId="66" xfId="1" applyNumberFormat="1" applyFont="1" applyFill="1" applyBorder="1" applyAlignment="1" applyProtection="1">
      <alignment horizontal="right" vertical="center" wrapText="1"/>
    </xf>
    <xf numFmtId="0" fontId="22" fillId="0" borderId="8" xfId="0" applyFont="1" applyBorder="1" applyAlignment="1">
      <alignment vertical="top"/>
    </xf>
    <xf numFmtId="0" fontId="22" fillId="0" borderId="10" xfId="0" applyFont="1" applyBorder="1" applyAlignment="1">
      <alignment vertical="top"/>
    </xf>
    <xf numFmtId="0" fontId="16" fillId="0" borderId="55" xfId="0" applyFont="1" applyFill="1" applyBorder="1" applyAlignment="1">
      <alignment vertical="top"/>
    </xf>
    <xf numFmtId="0" fontId="16" fillId="0" borderId="11" xfId="0" applyFont="1" applyFill="1" applyBorder="1" applyAlignment="1">
      <alignment vertical="top"/>
    </xf>
    <xf numFmtId="0" fontId="22" fillId="3" borderId="8" xfId="0" applyFont="1" applyFill="1" applyBorder="1" applyAlignment="1"/>
    <xf numFmtId="0" fontId="16" fillId="3" borderId="0" xfId="0" applyFont="1" applyFill="1" applyBorder="1" applyAlignment="1">
      <alignment horizontal="center" wrapText="1"/>
    </xf>
    <xf numFmtId="0" fontId="16" fillId="3" borderId="9" xfId="0" applyFont="1" applyFill="1" applyBorder="1" applyAlignment="1">
      <alignment horizontal="center" wrapText="1"/>
    </xf>
    <xf numFmtId="0" fontId="16" fillId="3" borderId="8" xfId="0" applyFont="1" applyFill="1" applyBorder="1"/>
    <xf numFmtId="0" fontId="16" fillId="3" borderId="0" xfId="0" applyFont="1" applyFill="1" applyBorder="1"/>
    <xf numFmtId="0" fontId="16" fillId="3" borderId="8" xfId="0" applyFont="1" applyFill="1" applyBorder="1" applyAlignment="1">
      <alignment horizontal="center" vertical="center"/>
    </xf>
    <xf numFmtId="0" fontId="15" fillId="3" borderId="0" xfId="6" applyFont="1" applyFill="1" applyBorder="1" applyAlignment="1">
      <alignment horizontal="left" vertical="center" wrapText="1"/>
    </xf>
    <xf numFmtId="0" fontId="15" fillId="3" borderId="50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left" vertical="center"/>
    </xf>
    <xf numFmtId="0" fontId="15" fillId="3" borderId="3" xfId="0" applyFont="1" applyFill="1" applyBorder="1" applyAlignment="1">
      <alignment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vertical="center" wrapText="1"/>
    </xf>
    <xf numFmtId="0" fontId="24" fillId="4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169" fontId="21" fillId="4" borderId="3" xfId="1" applyNumberFormat="1" applyFont="1" applyFill="1" applyBorder="1" applyAlignment="1" applyProtection="1">
      <alignment horizontal="right" vertical="center" wrapText="1"/>
    </xf>
    <xf numFmtId="166" fontId="21" fillId="4" borderId="64" xfId="1" applyNumberFormat="1" applyFont="1" applyFill="1" applyBorder="1" applyAlignment="1" applyProtection="1">
      <alignment horizontal="right" vertical="center" wrapText="1"/>
    </xf>
    <xf numFmtId="0" fontId="15" fillId="3" borderId="51" xfId="0" applyFont="1" applyFill="1" applyBorder="1" applyAlignment="1">
      <alignment horizontal="center" vertical="center"/>
    </xf>
    <xf numFmtId="0" fontId="15" fillId="3" borderId="49" xfId="0" applyFont="1" applyFill="1" applyBorder="1" applyAlignment="1">
      <alignment horizontal="left" vertical="center"/>
    </xf>
    <xf numFmtId="0" fontId="15" fillId="3" borderId="49" xfId="0" applyFont="1" applyFill="1" applyBorder="1" applyAlignment="1">
      <alignment vertical="center" wrapText="1"/>
    </xf>
    <xf numFmtId="0" fontId="24" fillId="3" borderId="49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vertical="center" wrapText="1"/>
    </xf>
    <xf numFmtId="0" fontId="1" fillId="3" borderId="49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left" vertical="top"/>
    </xf>
    <xf numFmtId="0" fontId="22" fillId="0" borderId="55" xfId="0" applyFont="1" applyBorder="1" applyAlignment="1">
      <alignment horizontal="left" vertical="top"/>
    </xf>
    <xf numFmtId="0" fontId="22" fillId="0" borderId="11" xfId="0" applyFont="1" applyBorder="1" applyAlignment="1">
      <alignment horizontal="left" vertical="top"/>
    </xf>
    <xf numFmtId="0" fontId="16" fillId="0" borderId="8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22" fillId="4" borderId="10" xfId="5" applyFont="1" applyFill="1" applyBorder="1" applyAlignment="1">
      <alignment horizontal="left" wrapText="1"/>
    </xf>
    <xf numFmtId="0" fontId="22" fillId="4" borderId="55" xfId="5" applyFont="1" applyFill="1" applyBorder="1" applyAlignment="1">
      <alignment horizontal="left" wrapText="1"/>
    </xf>
    <xf numFmtId="0" fontId="22" fillId="4" borderId="11" xfId="5" applyFont="1" applyFill="1" applyBorder="1" applyAlignment="1">
      <alignment horizontal="left" wrapText="1"/>
    </xf>
    <xf numFmtId="0" fontId="16" fillId="4" borderId="21" xfId="5" applyFont="1" applyFill="1" applyBorder="1" applyAlignment="1">
      <alignment horizontal="left" vertical="top" wrapText="1"/>
    </xf>
    <xf numFmtId="0" fontId="25" fillId="4" borderId="67" xfId="5" applyFont="1" applyFill="1" applyBorder="1" applyAlignment="1">
      <alignment horizontal="left" vertical="top" wrapText="1"/>
    </xf>
    <xf numFmtId="0" fontId="25" fillId="4" borderId="22" xfId="5" applyFont="1" applyFill="1" applyBorder="1" applyAlignment="1">
      <alignment horizontal="left" vertical="top" wrapText="1"/>
    </xf>
    <xf numFmtId="0" fontId="16" fillId="4" borderId="8" xfId="5" applyFont="1" applyFill="1" applyBorder="1" applyAlignment="1">
      <alignment horizontal="left" vertical="top" wrapText="1"/>
    </xf>
    <xf numFmtId="0" fontId="16" fillId="4" borderId="0" xfId="5" applyFont="1" applyFill="1" applyBorder="1" applyAlignment="1">
      <alignment horizontal="left" vertical="top" wrapText="1"/>
    </xf>
    <xf numFmtId="0" fontId="16" fillId="4" borderId="9" xfId="5" applyFont="1" applyFill="1" applyBorder="1" applyAlignment="1">
      <alignment horizontal="left" vertical="top" wrapText="1"/>
    </xf>
    <xf numFmtId="0" fontId="16" fillId="4" borderId="8" xfId="5" applyFont="1" applyFill="1" applyBorder="1" applyAlignment="1">
      <alignment horizontal="left" wrapText="1"/>
    </xf>
    <xf numFmtId="0" fontId="16" fillId="4" borderId="0" xfId="5" applyFont="1" applyFill="1" applyBorder="1" applyAlignment="1">
      <alignment horizontal="left" wrapText="1"/>
    </xf>
    <xf numFmtId="0" fontId="16" fillId="4" borderId="9" xfId="5" applyFont="1" applyFill="1" applyBorder="1" applyAlignment="1">
      <alignment horizontal="left" wrapText="1"/>
    </xf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22" fillId="0" borderId="10" xfId="0" applyFont="1" applyBorder="1" applyAlignment="1">
      <alignment vertical="top" wrapText="1"/>
    </xf>
    <xf numFmtId="0" fontId="0" fillId="0" borderId="55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22" fillId="0" borderId="5" xfId="0" applyFont="1" applyBorder="1" applyAlignment="1">
      <alignment horizontal="left" vertical="top"/>
    </xf>
    <xf numFmtId="0" fontId="22" fillId="0" borderId="6" xfId="0" applyFont="1" applyBorder="1" applyAlignment="1">
      <alignment horizontal="left" vertical="top"/>
    </xf>
    <xf numFmtId="0" fontId="22" fillId="0" borderId="7" xfId="0" applyFont="1" applyBorder="1" applyAlignment="1">
      <alignment horizontal="left" vertical="top"/>
    </xf>
    <xf numFmtId="0" fontId="22" fillId="0" borderId="10" xfId="0" applyFont="1" applyBorder="1" applyAlignment="1">
      <alignment horizontal="left" vertical="top" wrapText="1"/>
    </xf>
    <xf numFmtId="0" fontId="22" fillId="0" borderId="55" xfId="0" applyFont="1" applyBorder="1" applyAlignment="1">
      <alignment horizontal="left" vertical="top" wrapText="1"/>
    </xf>
    <xf numFmtId="0" fontId="22" fillId="0" borderId="11" xfId="0" applyFont="1" applyBorder="1" applyAlignment="1">
      <alignment horizontal="left" vertical="top" wrapText="1"/>
    </xf>
    <xf numFmtId="0" fontId="6" fillId="3" borderId="0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left" vertical="center" wrapText="1"/>
    </xf>
    <xf numFmtId="0" fontId="7" fillId="3" borderId="16" xfId="0" applyFont="1" applyFill="1" applyBorder="1" applyAlignment="1">
      <alignment horizontal="left" vertical="center" wrapText="1" indent="1"/>
    </xf>
    <xf numFmtId="0" fontId="8" fillId="3" borderId="17" xfId="0" applyFont="1" applyFill="1" applyBorder="1" applyAlignment="1">
      <alignment horizontal="left" vertical="center" wrapText="1"/>
    </xf>
    <xf numFmtId="0" fontId="8" fillId="3" borderId="18" xfId="0" applyFont="1" applyFill="1" applyBorder="1" applyAlignment="1">
      <alignment horizontal="left" vertical="center"/>
    </xf>
    <xf numFmtId="0" fontId="7" fillId="4" borderId="19" xfId="0" applyFont="1" applyFill="1" applyBorder="1" applyAlignment="1">
      <alignment horizontal="left" vertical="center" wrapText="1" indent="1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167" fontId="8" fillId="3" borderId="16" xfId="0" applyNumberFormat="1" applyFont="1" applyFill="1" applyBorder="1" applyAlignment="1">
      <alignment horizontal="center" vertical="center"/>
    </xf>
    <xf numFmtId="0" fontId="5" fillId="3" borderId="59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56" xfId="0" applyFont="1" applyFill="1" applyBorder="1" applyAlignment="1">
      <alignment horizontal="left" vertical="center" wrapText="1"/>
    </xf>
    <xf numFmtId="0" fontId="5" fillId="3" borderId="49" xfId="0" applyFont="1" applyFill="1" applyBorder="1" applyAlignment="1">
      <alignment horizontal="left" vertical="center" wrapText="1"/>
    </xf>
    <xf numFmtId="0" fontId="0" fillId="0" borderId="21" xfId="0" applyFont="1" applyBorder="1" applyAlignment="1">
      <alignment horizontal="center"/>
    </xf>
    <xf numFmtId="3" fontId="10" fillId="0" borderId="22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3" fillId="0" borderId="13" xfId="0" applyFont="1" applyBorder="1"/>
    <xf numFmtId="0" fontId="12" fillId="0" borderId="13" xfId="0" applyFont="1" applyBorder="1" applyAlignment="1">
      <alignment horizontal="left" indent="1"/>
    </xf>
    <xf numFmtId="0" fontId="5" fillId="0" borderId="15" xfId="0" applyFont="1" applyBorder="1" applyAlignment="1">
      <alignment horizontal="left" vertical="center" wrapText="1"/>
    </xf>
    <xf numFmtId="0" fontId="5" fillId="0" borderId="46" xfId="0" applyFont="1" applyBorder="1" applyAlignment="1">
      <alignment horizontal="left" vertical="center" wrapText="1"/>
    </xf>
    <xf numFmtId="0" fontId="5" fillId="0" borderId="47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/>
    </xf>
    <xf numFmtId="0" fontId="12" fillId="0" borderId="24" xfId="0" applyFont="1" applyBorder="1"/>
    <xf numFmtId="0" fontId="12" fillId="0" borderId="25" xfId="0" applyFont="1" applyBorder="1" applyAlignment="1">
      <alignment horizontal="left" vertical="center" wrapText="1" indent="1"/>
    </xf>
    <xf numFmtId="0" fontId="14" fillId="0" borderId="2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/>
    </xf>
    <xf numFmtId="0" fontId="15" fillId="0" borderId="33" xfId="0" applyFont="1" applyBorder="1" applyAlignment="1">
      <alignment horizontal="left" vertical="center" wrapText="1"/>
    </xf>
    <xf numFmtId="0" fontId="0" fillId="0" borderId="33" xfId="0" applyFont="1" applyBorder="1" applyAlignment="1">
      <alignment horizontal="left" vertical="center" wrapText="1"/>
    </xf>
    <xf numFmtId="0" fontId="15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10" fillId="0" borderId="21" xfId="0" applyFont="1" applyBorder="1" applyAlignment="1">
      <alignment vertical="center" wrapText="1"/>
    </xf>
    <xf numFmtId="0" fontId="10" fillId="0" borderId="45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10" fillId="0" borderId="44" xfId="0" applyFont="1" applyBorder="1" applyAlignment="1">
      <alignment horizontal="left" vertical="center" wrapText="1"/>
    </xf>
    <xf numFmtId="0" fontId="0" fillId="0" borderId="23" xfId="0" applyBorder="1"/>
    <xf numFmtId="0" fontId="0" fillId="0" borderId="0" xfId="0" applyAlignment="1">
      <alignment wrapText="1"/>
    </xf>
  </cellXfs>
  <cellStyles count="7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35"/>
  <sheetViews>
    <sheetView zoomScale="98" zoomScaleNormal="98" workbookViewId="0">
      <selection activeCell="E15" sqref="E15"/>
    </sheetView>
  </sheetViews>
  <sheetFormatPr baseColWidth="10" defaultColWidth="11" defaultRowHeight="12.75" x14ac:dyDescent="0.2"/>
  <cols>
    <col min="1" max="1" width="4.5703125" style="32" customWidth="1"/>
    <col min="2" max="2" width="13.28515625" style="32" customWidth="1"/>
    <col min="3" max="3" width="17" style="32" customWidth="1"/>
    <col min="4" max="4" width="8.42578125" style="32" customWidth="1"/>
    <col min="5" max="5" width="71.7109375" style="32" customWidth="1"/>
    <col min="6" max="6" width="11" style="32"/>
    <col min="7" max="7" width="10.42578125" style="32" bestFit="1" customWidth="1"/>
    <col min="8" max="8" width="13.85546875" style="32" customWidth="1"/>
    <col min="9" max="9" width="18.5703125" style="32" customWidth="1"/>
    <col min="10" max="10" width="26.7109375" style="32" customWidth="1"/>
    <col min="11" max="11" width="61.7109375" style="32" customWidth="1"/>
    <col min="12" max="16384" width="11" style="32"/>
  </cols>
  <sheetData>
    <row r="2" spans="1:11" ht="27" x14ac:dyDescent="0.35">
      <c r="B2" s="141" t="s">
        <v>0</v>
      </c>
      <c r="C2" s="141"/>
      <c r="D2" s="141"/>
      <c r="E2" s="141"/>
      <c r="F2" s="141"/>
      <c r="G2" s="141"/>
      <c r="H2" s="141"/>
    </row>
    <row r="3" spans="1:11" ht="12" customHeight="1" x14ac:dyDescent="0.2"/>
    <row r="4" spans="1:11" ht="18" customHeight="1" x14ac:dyDescent="0.25">
      <c r="A4" s="142" t="s">
        <v>1</v>
      </c>
      <c r="B4" s="142"/>
      <c r="C4" s="143" t="s">
        <v>53</v>
      </c>
      <c r="D4" s="143"/>
      <c r="E4" s="143"/>
      <c r="F4" s="33"/>
      <c r="G4" s="34" t="s">
        <v>62</v>
      </c>
      <c r="H4" s="33"/>
    </row>
    <row r="5" spans="1:11" ht="18" customHeight="1" x14ac:dyDescent="0.25">
      <c r="A5" s="142" t="s">
        <v>2</v>
      </c>
      <c r="B5" s="142"/>
      <c r="C5" s="143" t="s">
        <v>67</v>
      </c>
      <c r="D5" s="143"/>
      <c r="E5" s="143"/>
      <c r="F5" s="33" t="s">
        <v>62</v>
      </c>
      <c r="G5" s="34"/>
      <c r="H5" s="33"/>
    </row>
    <row r="6" spans="1:11" ht="16.5" customHeight="1" x14ac:dyDescent="0.25">
      <c r="A6" s="142" t="s">
        <v>3</v>
      </c>
      <c r="B6" s="142"/>
      <c r="C6" s="46">
        <v>2022</v>
      </c>
      <c r="D6" s="47"/>
      <c r="E6" s="47"/>
      <c r="F6" s="33"/>
      <c r="G6" s="34"/>
      <c r="H6" s="33"/>
    </row>
    <row r="7" spans="1:11" ht="16.5" customHeight="1" x14ac:dyDescent="0.25">
      <c r="A7" s="142" t="s">
        <v>4</v>
      </c>
      <c r="B7" s="142"/>
      <c r="C7" s="46">
        <v>3</v>
      </c>
      <c r="D7" s="47"/>
      <c r="E7" s="47"/>
      <c r="F7" s="33"/>
      <c r="G7" s="34"/>
      <c r="H7" s="33"/>
    </row>
    <row r="8" spans="1:11" ht="13.5" thickBot="1" x14ac:dyDescent="0.25">
      <c r="B8" s="33"/>
      <c r="C8" s="34"/>
      <c r="D8" s="33"/>
      <c r="E8" s="33"/>
      <c r="F8" s="33"/>
      <c r="G8" s="34"/>
      <c r="H8" s="33"/>
    </row>
    <row r="9" spans="1:11" ht="39.75" thickTop="1" thickBot="1" x14ac:dyDescent="0.25">
      <c r="A9" s="35" t="s">
        <v>5</v>
      </c>
      <c r="B9" s="35" t="s">
        <v>6</v>
      </c>
      <c r="C9" s="35" t="s">
        <v>7</v>
      </c>
      <c r="D9" s="77" t="s">
        <v>8</v>
      </c>
      <c r="E9" s="78" t="s">
        <v>9</v>
      </c>
      <c r="F9" s="37" t="s">
        <v>10</v>
      </c>
      <c r="G9" s="35" t="s">
        <v>11</v>
      </c>
      <c r="H9" s="35" t="s">
        <v>12</v>
      </c>
      <c r="I9" s="77" t="s">
        <v>13</v>
      </c>
      <c r="J9" s="105"/>
      <c r="K9" s="106"/>
    </row>
    <row r="10" spans="1:11" ht="38.25" x14ac:dyDescent="0.2">
      <c r="A10" s="109">
        <v>1</v>
      </c>
      <c r="B10" s="110" t="s">
        <v>88</v>
      </c>
      <c r="C10" s="111" t="s">
        <v>57</v>
      </c>
      <c r="D10" s="112">
        <v>252</v>
      </c>
      <c r="E10" s="113" t="s">
        <v>89</v>
      </c>
      <c r="F10" s="114" t="s">
        <v>14</v>
      </c>
      <c r="G10" s="115">
        <v>100</v>
      </c>
      <c r="H10" s="116">
        <v>3190</v>
      </c>
      <c r="I10" s="117">
        <f>H10*G10</f>
        <v>319000</v>
      </c>
      <c r="J10" s="107"/>
      <c r="K10" s="108"/>
    </row>
    <row r="11" spans="1:11" ht="38.25" x14ac:dyDescent="0.2">
      <c r="A11" s="51">
        <v>2</v>
      </c>
      <c r="B11" s="88" t="s">
        <v>71</v>
      </c>
      <c r="C11" s="62" t="s">
        <v>57</v>
      </c>
      <c r="D11" s="52">
        <v>252</v>
      </c>
      <c r="E11" s="62" t="s">
        <v>72</v>
      </c>
      <c r="F11" s="53" t="s">
        <v>14</v>
      </c>
      <c r="G11" s="79">
        <v>100</v>
      </c>
      <c r="H11" s="76">
        <v>1400</v>
      </c>
      <c r="I11" s="96">
        <f t="shared" ref="I11:I16" si="0">H11*G11</f>
        <v>140000</v>
      </c>
      <c r="J11" s="105"/>
      <c r="K11" s="108"/>
    </row>
    <row r="12" spans="1:11" ht="43.5" customHeight="1" x14ac:dyDescent="0.2">
      <c r="A12" s="51">
        <v>3</v>
      </c>
      <c r="B12" s="88" t="s">
        <v>73</v>
      </c>
      <c r="C12" s="62" t="s">
        <v>57</v>
      </c>
      <c r="D12" s="52">
        <v>252</v>
      </c>
      <c r="E12" s="62" t="s">
        <v>74</v>
      </c>
      <c r="F12" s="53" t="s">
        <v>14</v>
      </c>
      <c r="G12" s="79">
        <v>100</v>
      </c>
      <c r="H12" s="76">
        <v>1400</v>
      </c>
      <c r="I12" s="96">
        <f t="shared" si="0"/>
        <v>140000</v>
      </c>
      <c r="J12" s="105"/>
      <c r="K12" s="108"/>
    </row>
    <row r="13" spans="1:11" ht="45" customHeight="1" x14ac:dyDescent="0.2">
      <c r="A13" s="51">
        <v>4</v>
      </c>
      <c r="B13" s="88" t="s">
        <v>75</v>
      </c>
      <c r="C13" s="89" t="s">
        <v>57</v>
      </c>
      <c r="D13" s="52">
        <v>252</v>
      </c>
      <c r="E13" s="89" t="s">
        <v>76</v>
      </c>
      <c r="F13" s="53" t="s">
        <v>14</v>
      </c>
      <c r="G13" s="79">
        <v>50</v>
      </c>
      <c r="H13" s="76">
        <v>1000</v>
      </c>
      <c r="I13" s="96">
        <f t="shared" si="0"/>
        <v>50000</v>
      </c>
      <c r="J13" s="105"/>
      <c r="K13" s="108"/>
    </row>
    <row r="14" spans="1:11" ht="36" customHeight="1" x14ac:dyDescent="0.2">
      <c r="A14" s="118">
        <v>5</v>
      </c>
      <c r="B14" s="119" t="s">
        <v>95</v>
      </c>
      <c r="C14" s="120" t="s">
        <v>57</v>
      </c>
      <c r="D14" s="121">
        <v>252</v>
      </c>
      <c r="E14" s="122" t="s">
        <v>93</v>
      </c>
      <c r="F14" s="53" t="s">
        <v>14</v>
      </c>
      <c r="G14" s="123">
        <v>30</v>
      </c>
      <c r="H14" s="76">
        <v>2680</v>
      </c>
      <c r="I14" s="96">
        <f t="shared" si="0"/>
        <v>80400</v>
      </c>
      <c r="J14" s="107"/>
      <c r="K14" s="108"/>
    </row>
    <row r="15" spans="1:11" ht="38.25" x14ac:dyDescent="0.2">
      <c r="A15" s="51">
        <v>6</v>
      </c>
      <c r="B15" s="88" t="s">
        <v>64</v>
      </c>
      <c r="C15" s="62" t="s">
        <v>57</v>
      </c>
      <c r="D15" s="52">
        <v>252</v>
      </c>
      <c r="E15" s="80" t="s">
        <v>63</v>
      </c>
      <c r="F15" s="53" t="s">
        <v>14</v>
      </c>
      <c r="G15" s="79">
        <v>50</v>
      </c>
      <c r="H15" s="76">
        <v>1300</v>
      </c>
      <c r="I15" s="96">
        <f t="shared" si="0"/>
        <v>65000</v>
      </c>
      <c r="J15" s="105"/>
      <c r="K15" s="108"/>
    </row>
    <row r="16" spans="1:11" ht="38.25" customHeight="1" thickBot="1" x14ac:dyDescent="0.25">
      <c r="A16" s="81">
        <v>7</v>
      </c>
      <c r="B16" s="90" t="s">
        <v>66</v>
      </c>
      <c r="C16" s="82" t="s">
        <v>57</v>
      </c>
      <c r="D16" s="83">
        <v>252</v>
      </c>
      <c r="E16" s="84" t="s">
        <v>65</v>
      </c>
      <c r="F16" s="85" t="s">
        <v>14</v>
      </c>
      <c r="G16" s="86">
        <v>100</v>
      </c>
      <c r="H16" s="87">
        <v>1650</v>
      </c>
      <c r="I16" s="97">
        <f t="shared" si="0"/>
        <v>165000</v>
      </c>
      <c r="J16" s="105"/>
      <c r="K16" s="108"/>
    </row>
    <row r="17" spans="2:10" ht="13.5" thickBot="1" x14ac:dyDescent="0.25">
      <c r="I17" s="36"/>
    </row>
    <row r="18" spans="2:10" ht="12.75" customHeight="1" x14ac:dyDescent="0.2">
      <c r="B18" s="91" t="s">
        <v>78</v>
      </c>
      <c r="C18" s="92"/>
      <c r="D18" s="92"/>
      <c r="E18" s="93"/>
      <c r="I18" s="36"/>
    </row>
    <row r="19" spans="2:10" ht="23.25" customHeight="1" thickBot="1" x14ac:dyDescent="0.25">
      <c r="B19" s="150" t="s">
        <v>90</v>
      </c>
      <c r="C19" s="151"/>
      <c r="D19" s="151"/>
      <c r="E19" s="152"/>
      <c r="I19" s="36"/>
    </row>
    <row r="20" spans="2:10" x14ac:dyDescent="0.2">
      <c r="B20" s="91" t="s">
        <v>79</v>
      </c>
      <c r="C20" s="92"/>
      <c r="D20" s="92"/>
      <c r="E20" s="93"/>
      <c r="I20" s="36"/>
    </row>
    <row r="21" spans="2:10" ht="21.75" customHeight="1" thickBot="1" x14ac:dyDescent="0.25">
      <c r="B21" s="124" t="s">
        <v>91</v>
      </c>
      <c r="C21" s="125"/>
      <c r="D21" s="125"/>
      <c r="E21" s="126"/>
      <c r="I21" s="36"/>
    </row>
    <row r="22" spans="2:10" x14ac:dyDescent="0.2">
      <c r="B22" s="91" t="s">
        <v>80</v>
      </c>
      <c r="C22" s="92"/>
      <c r="D22" s="92"/>
      <c r="E22" s="93"/>
      <c r="I22" s="36"/>
    </row>
    <row r="23" spans="2:10" ht="21" customHeight="1" thickBot="1" x14ac:dyDescent="0.25">
      <c r="B23" s="99" t="s">
        <v>83</v>
      </c>
      <c r="C23" s="100"/>
      <c r="D23" s="100"/>
      <c r="E23" s="101"/>
      <c r="I23" s="36"/>
    </row>
    <row r="24" spans="2:10" x14ac:dyDescent="0.2">
      <c r="B24" s="91" t="s">
        <v>81</v>
      </c>
      <c r="C24" s="92"/>
      <c r="D24" s="92"/>
      <c r="E24" s="93"/>
      <c r="I24" s="36"/>
    </row>
    <row r="25" spans="2:10" ht="42.75" customHeight="1" thickBot="1" x14ac:dyDescent="0.25">
      <c r="B25" s="144" t="s">
        <v>92</v>
      </c>
      <c r="C25" s="145"/>
      <c r="D25" s="145"/>
      <c r="E25" s="146"/>
      <c r="I25" s="36"/>
    </row>
    <row r="26" spans="2:10" ht="15.75" customHeight="1" x14ac:dyDescent="0.2">
      <c r="B26" s="91" t="s">
        <v>94</v>
      </c>
      <c r="C26" s="92"/>
      <c r="D26" s="92"/>
      <c r="E26" s="93"/>
      <c r="I26" s="36"/>
    </row>
    <row r="27" spans="2:10" ht="43.5" customHeight="1" thickBot="1" x14ac:dyDescent="0.25">
      <c r="B27" s="144" t="s">
        <v>96</v>
      </c>
      <c r="C27" s="145"/>
      <c r="D27" s="145"/>
      <c r="E27" s="146"/>
      <c r="I27" s="36"/>
    </row>
    <row r="28" spans="2:10" ht="15.75" customHeight="1" x14ac:dyDescent="0.2">
      <c r="B28" s="147" t="s">
        <v>82</v>
      </c>
      <c r="C28" s="148"/>
      <c r="D28" s="148"/>
      <c r="E28" s="149"/>
      <c r="I28" s="36"/>
    </row>
    <row r="29" spans="2:10" ht="13.5" thickBot="1" x14ac:dyDescent="0.25">
      <c r="B29" s="124" t="s">
        <v>84</v>
      </c>
      <c r="C29" s="125"/>
      <c r="D29" s="125"/>
      <c r="E29" s="126"/>
    </row>
    <row r="30" spans="2:10" ht="41.25" customHeight="1" thickBot="1" x14ac:dyDescent="0.25">
      <c r="B30" s="132" t="s">
        <v>97</v>
      </c>
      <c r="C30" s="133"/>
      <c r="D30" s="133"/>
      <c r="E30" s="134"/>
      <c r="F30" s="127"/>
      <c r="G30" s="128"/>
      <c r="H30" s="128"/>
      <c r="I30" s="128"/>
      <c r="J30" s="128"/>
    </row>
    <row r="31" spans="2:10" ht="18.75" customHeight="1" x14ac:dyDescent="0.2">
      <c r="B31" s="98" t="s">
        <v>15</v>
      </c>
      <c r="C31" s="94"/>
      <c r="D31" s="94"/>
      <c r="E31" s="95"/>
    </row>
    <row r="32" spans="2:10" ht="39.75" customHeight="1" x14ac:dyDescent="0.2">
      <c r="B32" s="135" t="s">
        <v>60</v>
      </c>
      <c r="C32" s="136"/>
      <c r="D32" s="136"/>
      <c r="E32" s="137"/>
    </row>
    <row r="33" spans="2:5" ht="37.5" customHeight="1" x14ac:dyDescent="0.2">
      <c r="B33" s="138" t="s">
        <v>86</v>
      </c>
      <c r="C33" s="139"/>
      <c r="D33" s="139"/>
      <c r="E33" s="140"/>
    </row>
    <row r="34" spans="2:5" ht="14.25" customHeight="1" x14ac:dyDescent="0.2">
      <c r="B34" s="102" t="s">
        <v>77</v>
      </c>
      <c r="C34" s="103"/>
      <c r="D34" s="103"/>
      <c r="E34" s="104"/>
    </row>
    <row r="35" spans="2:5" ht="26.25" customHeight="1" thickBot="1" x14ac:dyDescent="0.25">
      <c r="B35" s="129" t="s">
        <v>87</v>
      </c>
      <c r="C35" s="130"/>
      <c r="D35" s="130"/>
      <c r="E35" s="131"/>
    </row>
  </sheetData>
  <autoFilter ref="A9:I16" xr:uid="{00000000-0009-0000-0000-000000000000}"/>
  <mergeCells count="18">
    <mergeCell ref="B27:E27"/>
    <mergeCell ref="B28:E28"/>
    <mergeCell ref="A6:B6"/>
    <mergeCell ref="A7:B7"/>
    <mergeCell ref="B19:E19"/>
    <mergeCell ref="B21:E21"/>
    <mergeCell ref="B25:E25"/>
    <mergeCell ref="B2:H2"/>
    <mergeCell ref="A4:B4"/>
    <mergeCell ref="C4:E4"/>
    <mergeCell ref="A5:B5"/>
    <mergeCell ref="C5:E5"/>
    <mergeCell ref="B29:E29"/>
    <mergeCell ref="F30:J30"/>
    <mergeCell ref="B35:E35"/>
    <mergeCell ref="B30:E30"/>
    <mergeCell ref="B32:E32"/>
    <mergeCell ref="B33:E33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9"/>
  <sheetViews>
    <sheetView tabSelected="1" zoomScale="110" zoomScaleNormal="110" workbookViewId="0">
      <selection activeCell="N13" sqref="N13"/>
    </sheetView>
  </sheetViews>
  <sheetFormatPr baseColWidth="10" defaultColWidth="9.140625" defaultRowHeight="12.75" x14ac:dyDescent="0.2"/>
  <cols>
    <col min="1" max="1" width="5.5703125" style="40" customWidth="1"/>
    <col min="2" max="2" width="15.140625" style="40" customWidth="1"/>
    <col min="3" max="3" width="14.140625" style="40" customWidth="1"/>
    <col min="4" max="4" width="26" style="40" customWidth="1"/>
    <col min="5" max="5" width="8" style="40" customWidth="1"/>
    <col min="6" max="6" width="7.85546875" style="40" customWidth="1"/>
    <col min="7" max="7" width="48.5703125" style="40" customWidth="1"/>
    <col min="8" max="8" width="9.28515625" style="40" customWidth="1"/>
    <col min="9" max="9" width="15.5703125" style="40" customWidth="1"/>
    <col min="10" max="10" width="14.7109375" style="40" customWidth="1"/>
    <col min="11" max="11" width="15.5703125" style="40" customWidth="1"/>
    <col min="12" max="13" width="5.85546875" style="40" customWidth="1"/>
    <col min="14" max="14" width="12.7109375" style="40" customWidth="1"/>
    <col min="15" max="15" width="12.5703125" style="40" customWidth="1"/>
    <col min="16" max="1024" width="9.140625" style="40"/>
    <col min="1025" max="16384" width="9.140625" style="41"/>
  </cols>
  <sheetData>
    <row r="1" spans="1:12" ht="18" customHeight="1" x14ac:dyDescent="0.2">
      <c r="A1" s="153" t="s">
        <v>16</v>
      </c>
      <c r="B1" s="153"/>
      <c r="C1" s="153"/>
      <c r="D1" s="153"/>
      <c r="E1" s="153"/>
      <c r="F1" s="153"/>
      <c r="G1" s="153"/>
      <c r="H1" s="153"/>
      <c r="I1" s="153"/>
      <c r="J1" s="38" t="s">
        <v>17</v>
      </c>
      <c r="K1" s="39" t="s">
        <v>68</v>
      </c>
    </row>
    <row r="2" spans="1:12" ht="18.75" customHeight="1" thickBot="1" x14ac:dyDescent="0.25">
      <c r="A2" s="42"/>
      <c r="B2" s="42"/>
      <c r="C2" s="42"/>
      <c r="D2" s="43"/>
      <c r="E2" s="43"/>
      <c r="F2" s="43"/>
      <c r="G2" s="43"/>
      <c r="H2" s="43"/>
      <c r="I2" s="43"/>
      <c r="J2" s="43"/>
      <c r="K2" s="43"/>
    </row>
    <row r="3" spans="1:12" ht="18.75" customHeight="1" thickBot="1" x14ac:dyDescent="0.25">
      <c r="A3" s="154" t="s">
        <v>50</v>
      </c>
      <c r="B3" s="154"/>
      <c r="C3" s="154"/>
      <c r="D3" s="155" t="str">
        <f>'Necesidades Trimestrales'!C4</f>
        <v>040 - Ministerio de Salud</v>
      </c>
      <c r="E3" s="155"/>
      <c r="F3" s="155"/>
      <c r="G3" s="155"/>
      <c r="H3" s="155"/>
      <c r="I3" s="155"/>
      <c r="J3" s="155"/>
      <c r="K3" s="155"/>
    </row>
    <row r="4" spans="1:12" ht="18.75" customHeight="1" thickBot="1" x14ac:dyDescent="0.25">
      <c r="A4" s="156" t="s">
        <v>51</v>
      </c>
      <c r="B4" s="156"/>
      <c r="C4" s="156"/>
      <c r="D4" s="155" t="str">
        <f>'Necesidades Trimestrales'!C5</f>
        <v>024 - Direccion de Administracion del Hospital Interzonal de Niños</v>
      </c>
      <c r="E4" s="155"/>
      <c r="F4" s="155"/>
      <c r="G4" s="155"/>
      <c r="H4" s="155"/>
      <c r="I4" s="155"/>
      <c r="J4" s="155"/>
      <c r="K4" s="155"/>
    </row>
    <row r="5" spans="1:12" ht="18.75" customHeight="1" thickBot="1" x14ac:dyDescent="0.25">
      <c r="A5" s="156" t="s">
        <v>29</v>
      </c>
      <c r="B5" s="156"/>
      <c r="C5" s="156"/>
      <c r="D5" s="155" t="s">
        <v>67</v>
      </c>
      <c r="E5" s="155"/>
      <c r="F5" s="155"/>
      <c r="G5" s="155"/>
      <c r="H5" s="155"/>
      <c r="I5" s="155"/>
      <c r="J5" s="155"/>
      <c r="K5" s="155"/>
    </row>
    <row r="6" spans="1:12" ht="16.5" customHeight="1" thickBot="1" x14ac:dyDescent="0.25">
      <c r="A6" s="154" t="s">
        <v>52</v>
      </c>
      <c r="B6" s="154"/>
      <c r="C6" s="154"/>
      <c r="D6" s="155" t="s">
        <v>54</v>
      </c>
      <c r="E6" s="155"/>
      <c r="F6" s="155"/>
      <c r="G6" s="155"/>
      <c r="H6" s="155"/>
      <c r="I6" s="155"/>
      <c r="J6" s="155"/>
      <c r="K6" s="155"/>
    </row>
    <row r="7" spans="1:12" ht="16.5" customHeight="1" x14ac:dyDescent="0.2">
      <c r="A7" s="156" t="s">
        <v>18</v>
      </c>
      <c r="B7" s="156"/>
      <c r="C7" s="156"/>
      <c r="D7" s="155" t="str">
        <f>'Necesidades Trimestrales'!C7 &amp; "° Trimestre - Año " &amp; 'Necesidades Trimestrales'!C6</f>
        <v>3° Trimestre - Año 2022</v>
      </c>
      <c r="E7" s="155"/>
      <c r="F7" s="155"/>
      <c r="G7" s="155"/>
      <c r="H7" s="155"/>
      <c r="I7" s="155"/>
      <c r="J7" s="155"/>
      <c r="K7" s="155"/>
    </row>
    <row r="8" spans="1:12" ht="16.5" customHeight="1" x14ac:dyDescent="0.2">
      <c r="A8" s="157" t="s">
        <v>19</v>
      </c>
      <c r="B8" s="157"/>
      <c r="C8" s="157"/>
      <c r="D8" s="158" t="s">
        <v>61</v>
      </c>
      <c r="E8" s="158"/>
      <c r="F8" s="158"/>
      <c r="G8" s="158"/>
      <c r="H8" s="158"/>
      <c r="I8" s="158"/>
      <c r="J8" s="158"/>
      <c r="K8" s="158"/>
    </row>
    <row r="9" spans="1:12" ht="15.75" x14ac:dyDescent="0.2">
      <c r="A9" s="44"/>
      <c r="B9" s="44"/>
      <c r="C9" s="44"/>
      <c r="D9" s="45"/>
      <c r="E9" s="45"/>
      <c r="F9" s="45"/>
      <c r="G9" s="45"/>
      <c r="H9" s="45"/>
      <c r="I9" s="45"/>
      <c r="J9" s="45"/>
      <c r="K9" s="45"/>
    </row>
    <row r="10" spans="1:12" ht="18.75" customHeight="1" x14ac:dyDescent="0.2">
      <c r="A10" s="159" t="s">
        <v>20</v>
      </c>
      <c r="B10" s="160" t="s">
        <v>21</v>
      </c>
      <c r="C10" s="160" t="s">
        <v>22</v>
      </c>
      <c r="D10" s="160"/>
      <c r="E10" s="160"/>
      <c r="F10" s="160"/>
      <c r="G10" s="160"/>
      <c r="H10" s="160" t="s">
        <v>23</v>
      </c>
      <c r="I10" s="160" t="s">
        <v>24</v>
      </c>
      <c r="J10" s="160" t="s">
        <v>25</v>
      </c>
      <c r="K10" s="161" t="s">
        <v>26</v>
      </c>
    </row>
    <row r="11" spans="1:12" ht="24" customHeight="1" thickBot="1" x14ac:dyDescent="0.25">
      <c r="A11" s="159"/>
      <c r="B11" s="160"/>
      <c r="C11" s="160"/>
      <c r="D11" s="160"/>
      <c r="E11" s="160"/>
      <c r="F11" s="160"/>
      <c r="G11" s="160"/>
      <c r="H11" s="160"/>
      <c r="I11" s="160"/>
      <c r="J11" s="160"/>
      <c r="K11" s="161"/>
    </row>
    <row r="12" spans="1:12" ht="39" customHeight="1" x14ac:dyDescent="0.2">
      <c r="A12" s="71">
        <v>1</v>
      </c>
      <c r="B12" s="75" t="str">
        <f>'Necesidades Trimestrales'!B10</f>
        <v>2.1.1-4227.28</v>
      </c>
      <c r="C12" s="163" t="str">
        <f>'Necesidades Trimestrales'!E10</f>
        <v>SUPLEMENTOS DIETARIOS; TIPO: ASOCIACION, DROGA GENERICA: CASEINATO DE SODIO, PRESENTACION: ENVASE X 400 GR</v>
      </c>
      <c r="D12" s="164"/>
      <c r="E12" s="164"/>
      <c r="F12" s="164"/>
      <c r="G12" s="164"/>
      <c r="H12" s="63" t="s">
        <v>85</v>
      </c>
      <c r="I12" s="64" t="str">
        <f>'Necesidades Trimestrales'!F10</f>
        <v>UNIDAD</v>
      </c>
      <c r="J12" s="65">
        <f>'Necesidades Trimestrales'!H10</f>
        <v>3190</v>
      </c>
      <c r="K12" s="66">
        <f>'Necesidades Trimestrales'!G10</f>
        <v>100</v>
      </c>
      <c r="L12" s="195"/>
    </row>
    <row r="13" spans="1:12" ht="32.25" customHeight="1" x14ac:dyDescent="0.2">
      <c r="A13" s="72">
        <v>2</v>
      </c>
      <c r="B13" s="74" t="str">
        <f>'Necesidades Trimestrales'!B11</f>
        <v>2.1.1-4227.42</v>
      </c>
      <c r="C13" s="165" t="str">
        <f>'Necesidades Trimestrales'!E11</f>
        <v>SUPLEMENTOS DIETARIOS; TIPO: ASOCIACIÓN; DROGA GENÉRICA: FÓRMULA LÁCTEA DE INICIO; PRESENTACIÓN: ENVASE X GRS SEGÚN PLIEGO</v>
      </c>
      <c r="D13" s="166"/>
      <c r="E13" s="166"/>
      <c r="F13" s="166"/>
      <c r="G13" s="166"/>
      <c r="H13" s="67" t="s">
        <v>85</v>
      </c>
      <c r="I13" s="68" t="str">
        <f>'Necesidades Trimestrales'!F12</f>
        <v>UNIDAD</v>
      </c>
      <c r="J13" s="69">
        <f>'Necesidades Trimestrales'!H11</f>
        <v>1400</v>
      </c>
      <c r="K13" s="70">
        <f>'Necesidades Trimestrales'!G11</f>
        <v>100</v>
      </c>
      <c r="L13" s="195"/>
    </row>
    <row r="14" spans="1:12" ht="35.25" customHeight="1" x14ac:dyDescent="0.2">
      <c r="A14" s="73">
        <v>3</v>
      </c>
      <c r="B14" s="74" t="str">
        <f>'Necesidades Trimestrales'!B12</f>
        <v>2.1.1-4227.43</v>
      </c>
      <c r="C14" s="165" t="str">
        <f>'Necesidades Trimestrales'!E12</f>
        <v>SUPLEMENTOS DIETARIOS; TIPO: ASOCIACIÓN; DROGA GENÉRICA: FÓRMULA LÁCTEA DE CONTINUACIÓN; PRESENTACIÓN: ENVASE X GRS SEGÚN PLIEGO</v>
      </c>
      <c r="D14" s="166"/>
      <c r="E14" s="166"/>
      <c r="F14" s="166"/>
      <c r="G14" s="166"/>
      <c r="H14" s="67" t="s">
        <v>85</v>
      </c>
      <c r="I14" s="68" t="str">
        <f>'Necesidades Trimestrales'!F11</f>
        <v>UNIDAD</v>
      </c>
      <c r="J14" s="69">
        <f>'Necesidades Trimestrales'!H12</f>
        <v>1400</v>
      </c>
      <c r="K14" s="70">
        <f>'Necesidades Trimestrales'!G12</f>
        <v>100</v>
      </c>
      <c r="L14" s="195"/>
    </row>
    <row r="15" spans="1:12" ht="37.5" customHeight="1" x14ac:dyDescent="0.2">
      <c r="A15" s="73">
        <v>4</v>
      </c>
      <c r="B15" s="74" t="str">
        <f>'Necesidades Trimestrales'!B13</f>
        <v>2.1.1-4227.63</v>
      </c>
      <c r="C15" s="165" t="str">
        <f>'Necesidades Trimestrales'!E13</f>
        <v>SUPLEMENTOS DIETARIOS; TIPO: ASOCIACIÓN; DROGA GENÉRICA: SUPLEMENTO CALÓRICO PEDIÁTRICO; PRESENTACIÓN: ENVASE X GRS SEGÚN PLIEGO</v>
      </c>
      <c r="D15" s="166"/>
      <c r="E15" s="166"/>
      <c r="F15" s="166"/>
      <c r="G15" s="166"/>
      <c r="H15" s="67" t="s">
        <v>85</v>
      </c>
      <c r="I15" s="68" t="str">
        <f>'Necesidades Trimestrales'!F15</f>
        <v>UNIDAD</v>
      </c>
      <c r="J15" s="69">
        <f>'Necesidades Trimestrales'!H13</f>
        <v>1000</v>
      </c>
      <c r="K15" s="70">
        <f>'Necesidades Trimestrales'!G13</f>
        <v>50</v>
      </c>
      <c r="L15" s="195"/>
    </row>
    <row r="16" spans="1:12" ht="41.25" customHeight="1" x14ac:dyDescent="0.2">
      <c r="A16" s="73">
        <v>5</v>
      </c>
      <c r="B16" s="74" t="str">
        <f>'Necesidades Trimestrales'!B14</f>
        <v>2.1.1-4227.47</v>
      </c>
      <c r="C16" s="165" t="str">
        <f>'Necesidades Trimestrales'!E14</f>
        <v>SUPLEMENTOS DIETARIOS; TIPO: ASOCIACION, DROGA GENERICA: PROTEINAS HIDROLIZADAS, PRESENTACION: ENVASE X 400 GR</v>
      </c>
      <c r="D16" s="166"/>
      <c r="E16" s="166"/>
      <c r="F16" s="166"/>
      <c r="G16" s="166"/>
      <c r="H16" s="67" t="s">
        <v>85</v>
      </c>
      <c r="I16" s="68" t="str">
        <f>'Necesidades Trimestrales'!F16</f>
        <v>UNIDAD</v>
      </c>
      <c r="J16" s="69">
        <f>'Necesidades Trimestrales'!H14</f>
        <v>2680</v>
      </c>
      <c r="K16" s="70">
        <f>'Necesidades Trimestrales'!G14</f>
        <v>30</v>
      </c>
      <c r="L16" s="195"/>
    </row>
    <row r="17" spans="1:12" ht="27.75" customHeight="1" x14ac:dyDescent="0.2">
      <c r="A17" s="73">
        <v>6</v>
      </c>
      <c r="B17" s="74" t="str">
        <f>'Necesidades Trimestrales'!B15</f>
        <v>2.1.1-4227.46</v>
      </c>
      <c r="C17" s="165" t="str">
        <f>'Necesidades Trimestrales'!E15</f>
        <v>SUPLEMENTOS DIETARIOS; TIPO: MONODROGA, DROGA GENERICA: MALTODEXTRINA, PRESENTACION: ENVASE X 400 GR</v>
      </c>
      <c r="D17" s="166"/>
      <c r="E17" s="166"/>
      <c r="F17" s="166"/>
      <c r="G17" s="166"/>
      <c r="H17" s="67" t="s">
        <v>85</v>
      </c>
      <c r="I17" s="68" t="str">
        <f>'Necesidades Trimestrales'!F14</f>
        <v>UNIDAD</v>
      </c>
      <c r="J17" s="69">
        <f>'Necesidades Trimestrales'!H15</f>
        <v>1300</v>
      </c>
      <c r="K17" s="70">
        <f>'Necesidades Trimestrales'!G15</f>
        <v>50</v>
      </c>
      <c r="L17" s="195"/>
    </row>
    <row r="18" spans="1:12" ht="33.75" customHeight="1" thickBot="1" x14ac:dyDescent="0.25">
      <c r="A18" s="73">
        <v>7</v>
      </c>
      <c r="B18" s="74" t="str">
        <f>'Necesidades Trimestrales'!B16</f>
        <v>2.1.1-4227.44</v>
      </c>
      <c r="C18" s="165" t="str">
        <f>'Necesidades Trimestrales'!E16</f>
        <v>SUPLEMENTOS DIETARIOS; TIPO: ASOCIACION, DROGA GENERICA: FORMULA LACTEA SIN LACTOSA, PRESENTACION: ENVASE X 400 GR</v>
      </c>
      <c r="D18" s="166"/>
      <c r="E18" s="166"/>
      <c r="F18" s="166"/>
      <c r="G18" s="166"/>
      <c r="H18" s="67" t="s">
        <v>56</v>
      </c>
      <c r="I18" s="68" t="str">
        <f>'Necesidades Trimestrales'!F15</f>
        <v>UNIDAD</v>
      </c>
      <c r="J18" s="69">
        <f>'Necesidades Trimestrales'!H16</f>
        <v>1650</v>
      </c>
      <c r="K18" s="70">
        <f>'Necesidades Trimestrales'!G16</f>
        <v>100</v>
      </c>
      <c r="L18" s="195"/>
    </row>
    <row r="19" spans="1:12" ht="20.25" customHeight="1" thickBot="1" x14ac:dyDescent="0.25">
      <c r="A19" s="155" t="s">
        <v>70</v>
      </c>
      <c r="B19" s="155"/>
      <c r="C19" s="155"/>
      <c r="D19" s="155"/>
      <c r="E19" s="155"/>
      <c r="F19" s="155"/>
      <c r="G19" s="155"/>
      <c r="H19" s="155"/>
      <c r="I19" s="155"/>
      <c r="J19" s="162">
        <f>SUMPRODUCT(J12:J18,K12:K18)</f>
        <v>959400</v>
      </c>
      <c r="K19" s="162"/>
    </row>
  </sheetData>
  <mergeCells count="29">
    <mergeCell ref="A19:I19"/>
    <mergeCell ref="J19:K19"/>
    <mergeCell ref="C12:G12"/>
    <mergeCell ref="C13:G13"/>
    <mergeCell ref="C14:G14"/>
    <mergeCell ref="C15:G15"/>
    <mergeCell ref="C16:G16"/>
    <mergeCell ref="C17:G17"/>
    <mergeCell ref="C18:G18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="130" zoomScaleNormal="130" workbookViewId="0">
      <selection activeCell="I19" sqref="I19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67" t="s">
        <v>3</v>
      </c>
      <c r="B1" s="167"/>
      <c r="C1" s="167"/>
      <c r="D1" s="168">
        <f>'Necesidades Trimestrales'!C6</f>
        <v>2022</v>
      </c>
      <c r="E1" s="168"/>
      <c r="F1" s="3"/>
      <c r="G1" s="3"/>
      <c r="H1" s="4"/>
      <c r="I1" s="4"/>
      <c r="J1" s="4"/>
      <c r="K1" s="4"/>
      <c r="L1" s="4"/>
      <c r="M1" s="4"/>
      <c r="N1" s="4"/>
      <c r="P1" s="169" t="s">
        <v>27</v>
      </c>
      <c r="Q1" s="169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69"/>
      <c r="Q2" s="169"/>
    </row>
    <row r="4" spans="1:17" s="5" customFormat="1" ht="18" customHeight="1" thickBot="1" x14ac:dyDescent="0.25">
      <c r="A4" s="170" t="s">
        <v>28</v>
      </c>
      <c r="B4" s="170"/>
      <c r="C4" s="170"/>
      <c r="D4" s="170"/>
      <c r="E4" s="170"/>
      <c r="F4" s="170"/>
      <c r="G4" s="171" t="str">
        <f>' NotaPedido'!D3</f>
        <v>040 - Ministerio de Salud</v>
      </c>
      <c r="H4" s="171"/>
      <c r="I4" s="171"/>
      <c r="J4" s="171"/>
      <c r="K4" s="171"/>
      <c r="L4" s="171"/>
      <c r="M4" s="171"/>
      <c r="N4" s="171"/>
      <c r="O4" s="171"/>
      <c r="P4" s="171"/>
      <c r="Q4" s="171"/>
    </row>
    <row r="5" spans="1:17" s="5" customFormat="1" ht="18" customHeight="1" thickBot="1" x14ac:dyDescent="0.25">
      <c r="A5" s="172" t="s">
        <v>51</v>
      </c>
      <c r="B5" s="173"/>
      <c r="C5" s="173"/>
      <c r="D5" s="173"/>
      <c r="E5" s="173"/>
      <c r="F5" s="174"/>
      <c r="G5" s="171" t="str">
        <f>' NotaPedido'!D4</f>
        <v>024 - Direccion de Administracion del Hospital Interzonal de Niños</v>
      </c>
      <c r="H5" s="171"/>
      <c r="I5" s="171"/>
      <c r="J5" s="171"/>
      <c r="K5" s="171"/>
      <c r="L5" s="171"/>
      <c r="M5" s="171"/>
      <c r="N5" s="171"/>
      <c r="O5" s="171"/>
      <c r="P5" s="171"/>
      <c r="Q5" s="171"/>
    </row>
    <row r="6" spans="1:17" s="5" customFormat="1" ht="18" customHeight="1" thickBot="1" x14ac:dyDescent="0.25">
      <c r="A6" s="172" t="s">
        <v>29</v>
      </c>
      <c r="B6" s="173"/>
      <c r="C6" s="173"/>
      <c r="D6" s="173"/>
      <c r="E6" s="173"/>
      <c r="F6" s="174"/>
      <c r="G6" s="171" t="str">
        <f>' NotaPedido'!D5</f>
        <v>024 - Direccion de Administracion del Hospital Interzonal de Niños</v>
      </c>
      <c r="H6" s="171"/>
      <c r="I6" s="171"/>
      <c r="J6" s="171"/>
      <c r="K6" s="171"/>
      <c r="L6" s="171"/>
      <c r="M6" s="171"/>
      <c r="N6" s="171"/>
      <c r="O6" s="171"/>
      <c r="P6" s="171"/>
      <c r="Q6" s="171"/>
    </row>
    <row r="7" spans="1:17" s="5" customFormat="1" ht="18" customHeight="1" thickBot="1" x14ac:dyDescent="0.25">
      <c r="A7" s="172" t="s">
        <v>52</v>
      </c>
      <c r="B7" s="173"/>
      <c r="C7" s="173"/>
      <c r="D7" s="173"/>
      <c r="E7" s="173"/>
      <c r="F7" s="174"/>
      <c r="G7" s="171" t="str">
        <f>' NotaPedido'!D6</f>
        <v>Servicio de Alimentacion y Dietoterapia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</row>
    <row r="8" spans="1:17" ht="18" customHeight="1" thickBot="1" x14ac:dyDescent="0.25">
      <c r="A8" s="175" t="s">
        <v>30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</row>
    <row r="9" spans="1:17" ht="18" customHeight="1" x14ac:dyDescent="0.2">
      <c r="A9" s="176" t="s">
        <v>31</v>
      </c>
      <c r="B9" s="176"/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"/>
      <c r="P9" s="1"/>
      <c r="Q9" s="6"/>
    </row>
    <row r="10" spans="1:17" ht="54.75" customHeight="1" x14ac:dyDescent="0.2">
      <c r="A10" s="17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064/2022,  afectando la erogación resultante a los créditos presupuestarios aprobados a favor de esta Unidad Ejecutora, conforme al siguiente detalle:</v>
      </c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78" t="s">
        <v>32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</row>
    <row r="13" spans="1:17" ht="15.75" customHeight="1" x14ac:dyDescent="0.2">
      <c r="A13" s="179" t="s">
        <v>33</v>
      </c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80" t="s">
        <v>34</v>
      </c>
      <c r="P13" s="180"/>
      <c r="Q13" s="181" t="s">
        <v>35</v>
      </c>
    </row>
    <row r="14" spans="1:17" ht="15.75" customHeight="1" thickBot="1" x14ac:dyDescent="0.25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80"/>
      <c r="P14" s="180"/>
      <c r="Q14" s="181"/>
    </row>
    <row r="15" spans="1:17" ht="28.5" customHeight="1" x14ac:dyDescent="0.2">
      <c r="A15" s="48">
        <v>36</v>
      </c>
      <c r="B15" s="59"/>
      <c r="C15" s="59"/>
      <c r="D15" s="59">
        <v>1</v>
      </c>
      <c r="E15" s="59"/>
      <c r="F15" s="59">
        <v>4901</v>
      </c>
      <c r="G15" s="59">
        <v>3</v>
      </c>
      <c r="H15" s="59">
        <v>310</v>
      </c>
      <c r="I15" s="61" t="str">
        <f>LEFT('Necesidades Trimestrales'!D10,1)</f>
        <v>2</v>
      </c>
      <c r="J15" s="61">
        <v>5</v>
      </c>
      <c r="K15" s="61" t="str">
        <f>RIGHT('Necesidades Trimestrales'!D10,1)</f>
        <v>2</v>
      </c>
      <c r="L15" s="59"/>
      <c r="M15" s="49">
        <v>1</v>
      </c>
      <c r="N15" s="50" t="s">
        <v>55</v>
      </c>
      <c r="O15" s="182" t="s">
        <v>58</v>
      </c>
      <c r="P15" s="183"/>
      <c r="Q15" s="16">
        <v>959400</v>
      </c>
    </row>
    <row r="16" spans="1:17" ht="17.25" customHeight="1" x14ac:dyDescent="0.2">
      <c r="A16" s="54"/>
      <c r="B16" s="58"/>
      <c r="C16" s="58"/>
      <c r="D16" s="58"/>
      <c r="E16" s="58"/>
      <c r="F16" s="58"/>
      <c r="G16" s="58"/>
      <c r="H16" s="58"/>
      <c r="I16" s="60"/>
      <c r="J16" s="60"/>
      <c r="K16" s="60"/>
      <c r="L16" s="58"/>
      <c r="M16" s="55"/>
      <c r="N16" s="56"/>
      <c r="O16" s="184"/>
      <c r="P16" s="185"/>
      <c r="Q16" s="21"/>
    </row>
    <row r="17" spans="1:18" ht="23.25" customHeight="1" x14ac:dyDescent="0.2">
      <c r="A17" s="54"/>
      <c r="B17" s="55"/>
      <c r="C17" s="55"/>
      <c r="D17" s="55"/>
      <c r="E17" s="55"/>
      <c r="F17" s="55"/>
      <c r="G17" s="55"/>
      <c r="H17" s="55"/>
      <c r="I17" s="57"/>
      <c r="J17" s="57"/>
      <c r="K17" s="57"/>
      <c r="L17" s="55"/>
      <c r="M17" s="55"/>
      <c r="N17" s="56"/>
      <c r="O17" s="185"/>
      <c r="P17" s="185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85"/>
      <c r="P18" s="185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85"/>
      <c r="P19" s="185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85"/>
      <c r="P20" s="185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91"/>
      <c r="P21" s="191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92"/>
      <c r="P22" s="192"/>
      <c r="Q22" s="30"/>
    </row>
    <row r="23" spans="1:18" ht="29.25" customHeight="1" x14ac:dyDescent="0.2">
      <c r="A23" s="193" t="s">
        <v>69</v>
      </c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31">
        <f>SUM(Q15:Q22)</f>
        <v>959400</v>
      </c>
    </row>
    <row r="24" spans="1:18" ht="18" customHeight="1" thickBot="1" x14ac:dyDescent="0.25">
      <c r="A24" s="194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</row>
    <row r="25" spans="1:18" ht="17.25" customHeight="1" thickBot="1" x14ac:dyDescent="0.25">
      <c r="A25" s="186" t="s">
        <v>49</v>
      </c>
      <c r="B25" s="187"/>
      <c r="C25" s="187"/>
      <c r="D25" s="187"/>
      <c r="E25" s="187"/>
      <c r="F25" s="188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</row>
    <row r="26" spans="1:18" ht="18" customHeight="1" thickBot="1" x14ac:dyDescent="0.25">
      <c r="A26" s="190" t="s">
        <v>59</v>
      </c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</row>
    <row r="27" spans="1:18" ht="15" customHeight="1" x14ac:dyDescent="0.2">
      <c r="A27" s="190"/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2022-07-11T11:29:06Z</cp:lastPrinted>
  <dcterms:created xsi:type="dcterms:W3CDTF">2020-07-17T23:44:49Z</dcterms:created>
  <dcterms:modified xsi:type="dcterms:W3CDTF">2022-07-18T14:40:21Z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