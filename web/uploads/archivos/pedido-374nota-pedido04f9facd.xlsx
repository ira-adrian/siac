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NotaPedido!$A$1:$K$18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3" l="1"/>
  <c r="K13" i="2"/>
  <c r="K14" i="2"/>
  <c r="K15" i="2"/>
  <c r="K16" i="2"/>
  <c r="K17" i="2"/>
  <c r="J13" i="2"/>
  <c r="J14" i="2"/>
  <c r="J15" i="2"/>
  <c r="J16" i="2"/>
  <c r="J17" i="2"/>
  <c r="I13" i="2"/>
  <c r="I14" i="2"/>
  <c r="I15" i="2"/>
  <c r="I16" i="2"/>
  <c r="I17" i="2"/>
  <c r="H14" i="1"/>
  <c r="C13" i="2" l="1"/>
  <c r="C14" i="2"/>
  <c r="C15" i="2"/>
  <c r="C16" i="2"/>
  <c r="C17" i="2"/>
  <c r="B13" i="2"/>
  <c r="B14" i="2"/>
  <c r="B15" i="2"/>
  <c r="B16" i="2"/>
  <c r="B17" i="2"/>
  <c r="I14" i="1"/>
  <c r="D11" i="1" l="1"/>
  <c r="D12" i="1"/>
  <c r="D13" i="1"/>
  <c r="D15" i="1"/>
  <c r="D10" i="1"/>
  <c r="A25" i="3"/>
  <c r="A10" i="3"/>
  <c r="K12" i="2"/>
  <c r="J12" i="2"/>
  <c r="I12" i="2"/>
  <c r="C12" i="2"/>
  <c r="B12" i="2"/>
  <c r="I15" i="1"/>
  <c r="I13" i="1"/>
  <c r="I12" i="1"/>
  <c r="I11" i="1"/>
  <c r="I10" i="1"/>
  <c r="J18" i="2" l="1"/>
  <c r="G6" i="3" l="1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<sst xmlns="http://schemas.openxmlformats.org/spreadsheetml/2006/main" count="155" uniqueCount="101">
  <si>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</si>
  <si>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</si>
  <si>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</si>
  <si>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</si>
  <si>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</si>
  <si>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</si>
  <si>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</si>
  <si>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</si>
  <si>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</si>
  <si>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</si>
  <si>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</si>
  <si>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</si>
  <si>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</si>
  <si>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</si>
  <si>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</si>
  <si>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</si>
  <si>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</si>
  <si>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</si>
  <si>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</si>
  <si>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</si>
  <si>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</si>
  <si>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</si>
  <si>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</si>
  <si>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</si>
  <si>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</si>
  <si>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</si>
  <si>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</si>
  <si>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</si>
  <si>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</si>
  <si>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</si>
  <si>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</si>
  <si>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</si>
  <si>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</si>
  <si>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</si>
  <si>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</si>
  <si>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</si>
  <si>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</si>
  <si>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</si>
  <si>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</si>
  <si>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</si>
  <si>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</si>
  <si>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</si>
  <si>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</si>
  <si>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</si>
  <si>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</si>
  <si>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</si>
  <si>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</si>
  <si>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</si>
  <si>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</si>
  <si>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</si>
  <si>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</si>
  <si>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</si>
  <si>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</si>
  <si>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</si>
  <si>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</si>
  <si>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</si>
  <si>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</si>
  <si>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</si>
  <si>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</si>
  <si>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 xml:space="preserve">45 dias habiles </t>
  </si>
  <si>
    <t>3.1</t>
  </si>
  <si>
    <t>1.1</t>
  </si>
  <si>
    <t>INDUMENT TEXTIL Y CONFECCIONES</t>
  </si>
  <si>
    <t>2.2.1-9956.55</t>
  </si>
  <si>
    <t>TELAS TEXTILES; TIPO: GABARDINA 8 OZ, ANCHO: 1,50 M, LARGO: POR METRO</t>
  </si>
  <si>
    <t>Tela para Sabanas 75 % poliester 25 % algodón;  color Blanco</t>
  </si>
  <si>
    <t>Tela Gabardina (8 onzas) color Blanco</t>
  </si>
  <si>
    <t>2.2.1-9956.127</t>
  </si>
  <si>
    <t>TELAS TEXTILES; TIPO: ACROCEL PARA AMBOS, ANCHO: 1.5 M, LARGO: X METRO, MATERIAL: 50% ALGODÓN 50% POLYESTER, COLOR: SIN VALOR</t>
  </si>
  <si>
    <t>Especificidades Item N° 3:</t>
  </si>
  <si>
    <t>Tela Acrocel color Verde tono 592 x 1,5 de ancho</t>
  </si>
  <si>
    <t>2.2.1-9956.117</t>
  </si>
  <si>
    <t>TELAS TEXTILES; TIPO: TOALLA, ANCHO: 1,50 M, LARGO: 1 M</t>
  </si>
  <si>
    <t>Especificidades Item N° 4:</t>
  </si>
  <si>
    <t xml:space="preserve">Metros </t>
  </si>
  <si>
    <t>Tela Toalla color Blanco doble ancho x 1,50 de ancho</t>
  </si>
  <si>
    <t>2.2.1-2617.11</t>
  </si>
  <si>
    <t>2.2.1</t>
  </si>
  <si>
    <t>TELA DE ALGODON; ANCHO: 1,50 M, LARGO ROLLO: 50 M, COLOR: SIN VALOR, LARGO: 50 M</t>
  </si>
  <si>
    <t>Rollo</t>
  </si>
  <si>
    <t>Unidad</t>
  </si>
  <si>
    <t>FRAZADAS; MATERIAL: LANA, POLIESTER Y ACRILICO, TAMAÑO: 1 1/2 PLAZA</t>
  </si>
  <si>
    <t>2.2.3-920.41</t>
  </si>
  <si>
    <t>Especificidades Item N° 5:</t>
  </si>
  <si>
    <t xml:space="preserve">Frazadas doble faz de 2,10 x 1,50 aproximadamente </t>
  </si>
  <si>
    <t>Especificidades Item N° 6:</t>
  </si>
  <si>
    <t>Tela 100% de algodón tipo nido de abeja (grano chico) color blanco</t>
  </si>
  <si>
    <t>SI</t>
  </si>
  <si>
    <t xml:space="preserve">SI </t>
  </si>
  <si>
    <t>TELA ALGODON/POLYESTER; ANCHO: 1,50 M, COLOR: BLANCO,
PRESENTACION: ROLLO X 50 M, USO: ROPA, MOTIVO: SIN VALOR</t>
  </si>
  <si>
    <t>2.2.1-5641.18</t>
  </si>
  <si>
    <t>237 - Direccion de Mantenimiento</t>
  </si>
  <si>
    <t>15 días habiles - Sección Costurero</t>
  </si>
  <si>
    <t xml:space="preserve">Hilados y telas </t>
  </si>
  <si>
    <t xml:space="preserve">Confecciones Textiles </t>
  </si>
  <si>
    <t>Costo total estimado: CINCO MILLONES OCHOCIENTOS SESENTA Y DOS MIL QUINIENTOS CON 00/100.---</t>
  </si>
  <si>
    <t>TOTAL DE PESOS: CINCO MILLONES OCHOCIENTOS SESENTA Y DOS MIL QUINIENTOS CON 00/100.---</t>
  </si>
  <si>
    <t xml:space="preserve">Adquisición de Telas y Frazadas </t>
  </si>
  <si>
    <t>NOTA DE PEDIDO 84</t>
  </si>
  <si>
    <t>DOCFI-2022-01182389-CAT-DMAN#HSJB</t>
  </si>
  <si>
    <t>Sección Costurero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</si>
</sst>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5" fillId="0" borderId="3" xfId="0" applyFont="1" applyBorder="1"/>
    <xf numFmtId="0" fontId="15" fillId="0" borderId="4" xfId="0" applyFont="1" applyBorder="1"/>
    <xf numFmtId="0" fontId="15" fillId="0" borderId="0" xfId="0" applyFont="1" applyBorder="1"/>
    <xf numFmtId="0" fontId="15" fillId="0" borderId="6" xfId="0" applyFont="1" applyBorder="1"/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5" fillId="0" borderId="14" xfId="0" applyFont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166" fontId="24" fillId="4" borderId="14" xfId="1" applyNumberFormat="1" applyFont="1" applyFill="1" applyBorder="1" applyAlignment="1" applyProtection="1">
      <alignment horizontal="center" vertical="center" wrapText="1"/>
    </xf>
    <xf numFmtId="166" fontId="24" fillId="4" borderId="14" xfId="1" applyNumberFormat="1" applyFont="1" applyFill="1" applyBorder="1" applyAlignment="1" applyProtection="1">
      <alignment horizontal="right" vertical="center" wrapText="1"/>
    </xf>
    <xf numFmtId="0" fontId="25" fillId="0" borderId="14" xfId="0" applyFont="1" applyBorder="1" applyAlignment="1">
      <alignment horizontal="left" vertical="center" wrapText="1"/>
    </xf>
    <xf numFmtId="0" fontId="24" fillId="0" borderId="14" xfId="0" applyFont="1" applyFill="1" applyBorder="1" applyAlignment="1">
      <alignment vertical="center" wrapText="1"/>
    </xf>
    <xf numFmtId="0" fontId="24" fillId="0" borderId="14" xfId="0" applyFont="1" applyBorder="1" applyAlignment="1">
      <alignment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vertical="center" wrapText="1"/>
    </xf>
    <xf numFmtId="0" fontId="21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/>
    <xf numFmtId="0" fontId="23" fillId="0" borderId="32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5" fillId="3" borderId="6" xfId="0" applyFont="1" applyFill="1" applyBorder="1" applyAlignment="1">
      <alignment horizontal="left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wrapText="1"/>
    </xf>
    <xf numFmtId="0" fontId="26" fillId="0" borderId="44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9"/>
  <sheetViews>
    <sheetView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9" customWidth="1"/>
    <col min="2" max="2" width="16.42578125" style="81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8" t="s">
        <v>0</v>
      </c>
      <c r="C2" s="88"/>
      <c r="D2" s="88"/>
      <c r="E2" s="88"/>
      <c r="F2" s="88"/>
      <c r="G2" s="88"/>
      <c r="H2" s="88"/>
    </row>
    <row r="4" spans="1:9" ht="18" customHeight="1" x14ac:dyDescent="0.25">
      <c r="A4" s="86" t="s">
        <v>1</v>
      </c>
      <c r="B4" s="86"/>
      <c r="C4" s="89" t="s">
        <v>57</v>
      </c>
      <c r="D4" s="89"/>
      <c r="E4" s="89"/>
      <c r="F4" s="40"/>
      <c r="G4" s="41"/>
      <c r="H4" s="40"/>
    </row>
    <row r="5" spans="1:9" ht="18" customHeight="1" x14ac:dyDescent="0.25">
      <c r="A5" s="86" t="s">
        <v>2</v>
      </c>
      <c r="B5" s="86"/>
      <c r="C5" s="89" t="s">
        <v>58</v>
      </c>
      <c r="D5" s="89"/>
      <c r="E5" s="89"/>
      <c r="F5" s="40"/>
      <c r="G5" s="41"/>
      <c r="H5" s="40"/>
    </row>
    <row r="6" spans="1:9" ht="16.5" customHeight="1" x14ac:dyDescent="0.25">
      <c r="A6" s="86" t="s">
        <v>3</v>
      </c>
      <c r="B6" s="86"/>
      <c r="C6" s="52">
        <v>2022</v>
      </c>
      <c r="D6" s="53"/>
      <c r="E6" s="53"/>
      <c r="F6" s="40"/>
      <c r="G6" s="41"/>
      <c r="H6" s="40"/>
    </row>
    <row r="7" spans="1:9" ht="16.5" customHeight="1" x14ac:dyDescent="0.25">
      <c r="A7" s="86" t="s">
        <v>4</v>
      </c>
      <c r="B7" s="86"/>
      <c r="C7" s="52">
        <v>3</v>
      </c>
      <c r="D7" s="53"/>
      <c r="E7" s="53"/>
      <c r="F7" s="40"/>
      <c r="G7" s="41"/>
      <c r="H7" s="40"/>
    </row>
    <row r="8" spans="1:9" ht="13.5" thickBot="1" x14ac:dyDescent="0.25">
      <c r="B8" s="41"/>
      <c r="C8" s="41"/>
      <c r="D8" s="40"/>
      <c r="E8" s="40"/>
      <c r="F8" s="40"/>
      <c r="G8" s="41"/>
      <c r="H8" s="40"/>
    </row>
    <row r="9" spans="1:9" ht="39" thickBot="1" x14ac:dyDescent="0.25">
      <c r="A9" s="50" t="s">
        <v>5</v>
      </c>
      <c r="B9" s="50" t="s">
        <v>6</v>
      </c>
      <c r="C9" s="50" t="s">
        <v>7</v>
      </c>
      <c r="D9" s="50" t="s">
        <v>8</v>
      </c>
      <c r="E9" s="50" t="s">
        <v>9</v>
      </c>
      <c r="F9" s="50" t="s">
        <v>10</v>
      </c>
      <c r="G9" s="50" t="s">
        <v>11</v>
      </c>
      <c r="H9" s="50" t="s">
        <v>12</v>
      </c>
      <c r="I9" s="50" t="s">
        <v>13</v>
      </c>
    </row>
    <row r="10" spans="1:9" ht="47.25" customHeight="1" thickBot="1" x14ac:dyDescent="0.25">
      <c r="A10" s="51">
        <v>1</v>
      </c>
      <c r="B10" s="135" t="s">
        <v>90</v>
      </c>
      <c r="C10" s="74" t="s">
        <v>62</v>
      </c>
      <c r="D10" s="68" t="str">
        <f>LEFT(B10,5)</f>
        <v>2.2.1</v>
      </c>
      <c r="E10" s="76" t="s">
        <v>89</v>
      </c>
      <c r="F10" s="69" t="s">
        <v>79</v>
      </c>
      <c r="G10" s="69">
        <v>40</v>
      </c>
      <c r="H10" s="70">
        <v>43000</v>
      </c>
      <c r="I10" s="71">
        <f t="shared" ref="I10:I15" si="0">G10*H10</f>
        <v>1720000</v>
      </c>
    </row>
    <row r="11" spans="1:9" ht="31.9" customHeight="1" thickBot="1" x14ac:dyDescent="0.25">
      <c r="A11" s="51">
        <v>2</v>
      </c>
      <c r="B11" s="69" t="s">
        <v>63</v>
      </c>
      <c r="C11" s="72" t="s">
        <v>62</v>
      </c>
      <c r="D11" s="68" t="str">
        <f t="shared" ref="D11:D15" si="1">LEFT(B11,5)</f>
        <v>2.2.1</v>
      </c>
      <c r="E11" s="73" t="s">
        <v>64</v>
      </c>
      <c r="F11" s="69" t="s">
        <v>74</v>
      </c>
      <c r="G11" s="69">
        <v>1000</v>
      </c>
      <c r="H11" s="70">
        <v>1990</v>
      </c>
      <c r="I11" s="71">
        <f t="shared" si="0"/>
        <v>1990000</v>
      </c>
    </row>
    <row r="12" spans="1:9" ht="42" customHeight="1" thickBot="1" x14ac:dyDescent="0.25">
      <c r="A12" s="51">
        <v>3</v>
      </c>
      <c r="B12" s="69" t="s">
        <v>67</v>
      </c>
      <c r="C12" s="72" t="s">
        <v>62</v>
      </c>
      <c r="D12" s="68" t="str">
        <f t="shared" si="1"/>
        <v>2.2.1</v>
      </c>
      <c r="E12" s="73" t="s">
        <v>68</v>
      </c>
      <c r="F12" s="69" t="s">
        <v>74</v>
      </c>
      <c r="G12" s="69">
        <v>500</v>
      </c>
      <c r="H12" s="70">
        <v>1110</v>
      </c>
      <c r="I12" s="71">
        <f t="shared" si="0"/>
        <v>555000</v>
      </c>
    </row>
    <row r="13" spans="1:9" ht="40.5" customHeight="1" thickBot="1" x14ac:dyDescent="0.25">
      <c r="A13" s="51">
        <v>4</v>
      </c>
      <c r="B13" s="134" t="s">
        <v>71</v>
      </c>
      <c r="C13" s="74" t="s">
        <v>62</v>
      </c>
      <c r="D13" s="68" t="str">
        <f t="shared" si="1"/>
        <v>2.2.1</v>
      </c>
      <c r="E13" s="75" t="s">
        <v>72</v>
      </c>
      <c r="F13" s="69" t="s">
        <v>74</v>
      </c>
      <c r="G13" s="69">
        <v>250</v>
      </c>
      <c r="H13" s="70">
        <v>1250</v>
      </c>
      <c r="I13" s="71">
        <f t="shared" si="0"/>
        <v>312500</v>
      </c>
    </row>
    <row r="14" spans="1:9" ht="43.5" customHeight="1" thickBot="1" x14ac:dyDescent="0.25">
      <c r="A14" s="51">
        <v>5</v>
      </c>
      <c r="B14" s="134" t="s">
        <v>76</v>
      </c>
      <c r="C14" s="74" t="s">
        <v>62</v>
      </c>
      <c r="D14" s="68" t="s">
        <v>77</v>
      </c>
      <c r="E14" s="76" t="s">
        <v>78</v>
      </c>
      <c r="F14" s="69" t="s">
        <v>79</v>
      </c>
      <c r="G14" s="69">
        <v>10</v>
      </c>
      <c r="H14" s="70">
        <f>1090*50</f>
        <v>54500</v>
      </c>
      <c r="I14" s="71">
        <f t="shared" si="0"/>
        <v>545000</v>
      </c>
    </row>
    <row r="15" spans="1:9" ht="51.75" customHeight="1" thickBot="1" x14ac:dyDescent="0.25">
      <c r="A15" s="51">
        <v>6</v>
      </c>
      <c r="B15" s="69" t="s">
        <v>82</v>
      </c>
      <c r="C15" s="76" t="s">
        <v>62</v>
      </c>
      <c r="D15" s="68" t="str">
        <f t="shared" si="1"/>
        <v>2.2.3</v>
      </c>
      <c r="E15" s="73" t="s">
        <v>81</v>
      </c>
      <c r="F15" s="69" t="s">
        <v>80</v>
      </c>
      <c r="G15" s="69">
        <v>200</v>
      </c>
      <c r="H15" s="70">
        <v>3700</v>
      </c>
      <c r="I15" s="71">
        <f t="shared" si="0"/>
        <v>740000</v>
      </c>
    </row>
    <row r="18" spans="2:5" x14ac:dyDescent="0.2">
      <c r="B18" s="77" t="s">
        <v>14</v>
      </c>
      <c r="C18" s="42"/>
      <c r="D18" s="42"/>
      <c r="E18" s="43"/>
    </row>
    <row r="19" spans="2:5" ht="5.25" customHeight="1" x14ac:dyDescent="0.2">
      <c r="B19" s="78"/>
      <c r="C19" s="44"/>
      <c r="D19" s="44"/>
      <c r="E19" s="45"/>
    </row>
    <row r="20" spans="2:5" x14ac:dyDescent="0.2">
      <c r="B20" s="79" t="s">
        <v>15</v>
      </c>
      <c r="C20" s="44"/>
      <c r="D20" s="44"/>
      <c r="E20" s="45"/>
    </row>
    <row r="21" spans="2:5" ht="30.75" customHeight="1" x14ac:dyDescent="0.2">
      <c r="B21" s="79"/>
      <c r="C21" s="84" t="s">
        <v>65</v>
      </c>
      <c r="D21" s="84"/>
      <c r="E21" s="85"/>
    </row>
    <row r="22" spans="2:5" x14ac:dyDescent="0.2">
      <c r="B22" s="79" t="s">
        <v>16</v>
      </c>
      <c r="C22" s="44"/>
      <c r="D22" s="44"/>
      <c r="E22" s="45"/>
    </row>
    <row r="23" spans="2:5" ht="24" customHeight="1" x14ac:dyDescent="0.2">
      <c r="B23" s="78"/>
      <c r="C23" s="129" t="s">
        <v>92</v>
      </c>
      <c r="D23" s="129"/>
      <c r="E23" s="129"/>
    </row>
    <row r="24" spans="2:5" x14ac:dyDescent="0.2">
      <c r="B24" s="78"/>
      <c r="C24" s="87"/>
      <c r="D24" s="87"/>
      <c r="E24" s="87"/>
    </row>
    <row r="25" spans="2:5" x14ac:dyDescent="0.2">
      <c r="B25" s="79" t="s">
        <v>17</v>
      </c>
      <c r="C25" s="44"/>
      <c r="D25" s="44"/>
      <c r="E25" s="45"/>
    </row>
    <row r="26" spans="2:5" ht="26.25" customHeight="1" x14ac:dyDescent="0.2">
      <c r="B26" s="78"/>
      <c r="C26" s="82"/>
      <c r="D26" s="82"/>
      <c r="E26" s="82"/>
    </row>
    <row r="27" spans="2:5" x14ac:dyDescent="0.2">
      <c r="B27" s="79" t="s">
        <v>18</v>
      </c>
      <c r="C27" s="46"/>
      <c r="D27" s="46"/>
      <c r="E27" s="47"/>
    </row>
    <row r="28" spans="2:5" ht="26.25" customHeight="1" x14ac:dyDescent="0.2">
      <c r="B28" s="78"/>
      <c r="C28" s="132" t="s">
        <v>59</v>
      </c>
      <c r="D28" s="132"/>
      <c r="E28" s="132"/>
    </row>
    <row r="29" spans="2:5" x14ac:dyDescent="0.2">
      <c r="B29" s="79" t="s">
        <v>19</v>
      </c>
      <c r="C29" s="44"/>
      <c r="D29" s="44"/>
      <c r="E29" s="45"/>
    </row>
    <row r="30" spans="2:5" ht="23.25" customHeight="1" x14ac:dyDescent="0.2">
      <c r="B30" s="79"/>
      <c r="C30" s="83"/>
      <c r="D30" s="83"/>
      <c r="E30" s="83"/>
    </row>
    <row r="31" spans="2:5" x14ac:dyDescent="0.2">
      <c r="B31" s="80"/>
      <c r="C31" s="48"/>
      <c r="D31" s="48"/>
      <c r="E31" s="49"/>
    </row>
    <row r="33" spans="2:5" x14ac:dyDescent="0.2">
      <c r="B33" s="77" t="s">
        <v>20</v>
      </c>
      <c r="C33" s="42"/>
      <c r="D33" s="42"/>
      <c r="E33" s="43"/>
    </row>
    <row r="34" spans="2:5" ht="7.5" customHeight="1" x14ac:dyDescent="0.2">
      <c r="B34" s="78"/>
      <c r="C34" s="44"/>
      <c r="D34" s="44"/>
      <c r="E34" s="45"/>
    </row>
    <row r="35" spans="2:5" x14ac:dyDescent="0.2">
      <c r="B35" s="79" t="s">
        <v>15</v>
      </c>
      <c r="C35" s="44"/>
      <c r="D35" s="44"/>
      <c r="E35" s="45"/>
    </row>
    <row r="36" spans="2:5" ht="32.25" customHeight="1" x14ac:dyDescent="0.2">
      <c r="B36" s="79"/>
      <c r="C36" s="84" t="s">
        <v>66</v>
      </c>
      <c r="D36" s="84"/>
      <c r="E36" s="85"/>
    </row>
    <row r="37" spans="2:5" x14ac:dyDescent="0.2">
      <c r="B37" s="79" t="s">
        <v>16</v>
      </c>
      <c r="C37" s="44"/>
      <c r="D37" s="44"/>
      <c r="E37" s="45"/>
    </row>
    <row r="38" spans="2:5" ht="24.75" customHeight="1" x14ac:dyDescent="0.2">
      <c r="B38" s="78"/>
      <c r="C38" s="129" t="s">
        <v>92</v>
      </c>
      <c r="D38" s="129"/>
      <c r="E38" s="129"/>
    </row>
    <row r="39" spans="2:5" x14ac:dyDescent="0.2">
      <c r="B39" s="78"/>
      <c r="C39" s="83"/>
      <c r="D39" s="83"/>
      <c r="E39" s="83"/>
    </row>
    <row r="40" spans="2:5" x14ac:dyDescent="0.2">
      <c r="B40" s="79" t="s">
        <v>17</v>
      </c>
      <c r="C40" s="44"/>
      <c r="D40" s="44"/>
      <c r="E40" s="45"/>
    </row>
    <row r="41" spans="2:5" x14ac:dyDescent="0.2">
      <c r="B41" s="78"/>
      <c r="C41" s="82"/>
      <c r="D41" s="82"/>
      <c r="E41" s="82"/>
    </row>
    <row r="42" spans="2:5" x14ac:dyDescent="0.2">
      <c r="B42" s="79" t="s">
        <v>18</v>
      </c>
      <c r="C42" s="46"/>
      <c r="D42" s="46"/>
      <c r="E42" s="47"/>
    </row>
    <row r="43" spans="2:5" ht="27" customHeight="1" x14ac:dyDescent="0.2">
      <c r="B43" s="78"/>
      <c r="C43" s="132" t="s">
        <v>59</v>
      </c>
      <c r="D43" s="132"/>
      <c r="E43" s="132"/>
    </row>
    <row r="44" spans="2:5" x14ac:dyDescent="0.2">
      <c r="B44" s="79" t="s">
        <v>19</v>
      </c>
      <c r="C44" s="44"/>
      <c r="D44" s="44"/>
      <c r="E44" s="45"/>
    </row>
    <row r="45" spans="2:5" x14ac:dyDescent="0.2">
      <c r="B45" s="79"/>
      <c r="C45" s="83"/>
      <c r="D45" s="83"/>
      <c r="E45" s="83"/>
    </row>
    <row r="46" spans="2:5" x14ac:dyDescent="0.2">
      <c r="B46" s="80"/>
      <c r="C46" s="48"/>
      <c r="D46" s="48"/>
      <c r="E46" s="49"/>
    </row>
    <row r="47" spans="2:5" ht="13.5" thickBot="1" x14ac:dyDescent="0.25"/>
    <row r="48" spans="2:5" x14ac:dyDescent="0.2">
      <c r="B48" s="77" t="s">
        <v>69</v>
      </c>
      <c r="C48" s="42"/>
      <c r="D48" s="42"/>
      <c r="E48" s="43"/>
    </row>
    <row r="49" spans="2:5" x14ac:dyDescent="0.2">
      <c r="B49" s="78"/>
      <c r="C49" s="44"/>
      <c r="D49" s="44"/>
      <c r="E49" s="45"/>
    </row>
    <row r="50" spans="2:5" x14ac:dyDescent="0.2">
      <c r="B50" s="79" t="s">
        <v>15</v>
      </c>
      <c r="C50" s="44"/>
      <c r="D50" s="44"/>
      <c r="E50" s="45"/>
    </row>
    <row r="51" spans="2:5" ht="28.5" customHeight="1" x14ac:dyDescent="0.2">
      <c r="B51" s="79"/>
      <c r="C51" s="84" t="s">
        <v>70</v>
      </c>
      <c r="D51" s="84"/>
      <c r="E51" s="85"/>
    </row>
    <row r="52" spans="2:5" x14ac:dyDescent="0.2">
      <c r="B52" s="79" t="s">
        <v>16</v>
      </c>
      <c r="C52" s="44"/>
      <c r="D52" s="44"/>
      <c r="E52" s="45"/>
    </row>
    <row r="53" spans="2:5" ht="22.5" customHeight="1" x14ac:dyDescent="0.2">
      <c r="B53" s="78"/>
      <c r="C53" s="129" t="s">
        <v>92</v>
      </c>
      <c r="D53" s="129"/>
      <c r="E53" s="129"/>
    </row>
    <row r="54" spans="2:5" x14ac:dyDescent="0.2">
      <c r="B54" s="78"/>
      <c r="C54" s="83"/>
      <c r="D54" s="83"/>
      <c r="E54" s="83"/>
    </row>
    <row r="55" spans="2:5" x14ac:dyDescent="0.2">
      <c r="B55" s="79" t="s">
        <v>17</v>
      </c>
      <c r="C55" s="44"/>
      <c r="D55" s="44"/>
      <c r="E55" s="45"/>
    </row>
    <row r="56" spans="2:5" x14ac:dyDescent="0.2">
      <c r="B56" s="78"/>
      <c r="C56" s="82"/>
      <c r="D56" s="82"/>
      <c r="E56" s="82"/>
    </row>
    <row r="57" spans="2:5" x14ac:dyDescent="0.2">
      <c r="B57" s="79" t="s">
        <v>18</v>
      </c>
      <c r="C57" s="46"/>
      <c r="D57" s="46"/>
      <c r="E57" s="47"/>
    </row>
    <row r="58" spans="2:5" ht="26.25" customHeight="1" x14ac:dyDescent="0.2">
      <c r="B58" s="78"/>
      <c r="C58" s="132" t="s">
        <v>59</v>
      </c>
      <c r="D58" s="132"/>
      <c r="E58" s="132"/>
    </row>
    <row r="59" spans="2:5" x14ac:dyDescent="0.2">
      <c r="B59" s="79" t="s">
        <v>19</v>
      </c>
      <c r="C59" s="44"/>
      <c r="D59" s="44"/>
      <c r="E59" s="45"/>
    </row>
    <row r="60" spans="2:5" x14ac:dyDescent="0.2">
      <c r="B60" s="79"/>
      <c r="C60" s="83"/>
      <c r="D60" s="83"/>
      <c r="E60" s="83"/>
    </row>
    <row r="61" spans="2:5" ht="13.5" thickBot="1" x14ac:dyDescent="0.25">
      <c r="B61" s="80"/>
      <c r="C61" s="48"/>
      <c r="D61" s="48"/>
      <c r="E61" s="49"/>
    </row>
    <row r="63" spans="2:5" ht="13.5" thickBot="1" x14ac:dyDescent="0.25"/>
    <row r="64" spans="2:5" x14ac:dyDescent="0.2">
      <c r="B64" s="77" t="s">
        <v>73</v>
      </c>
      <c r="C64" s="42"/>
      <c r="D64" s="42"/>
      <c r="E64" s="43"/>
    </row>
    <row r="65" spans="2:5" x14ac:dyDescent="0.2">
      <c r="B65" s="78"/>
      <c r="C65" s="44"/>
      <c r="D65" s="44"/>
      <c r="E65" s="45"/>
    </row>
    <row r="66" spans="2:5" x14ac:dyDescent="0.2">
      <c r="B66" s="79" t="s">
        <v>15</v>
      </c>
      <c r="C66" s="44"/>
      <c r="D66" s="44"/>
      <c r="E66" s="45"/>
    </row>
    <row r="67" spans="2:5" ht="28.5" customHeight="1" x14ac:dyDescent="0.2">
      <c r="B67" s="79"/>
      <c r="C67" s="84" t="s">
        <v>75</v>
      </c>
      <c r="D67" s="84"/>
      <c r="E67" s="85"/>
    </row>
    <row r="68" spans="2:5" x14ac:dyDescent="0.2">
      <c r="B68" s="79" t="s">
        <v>16</v>
      </c>
      <c r="C68" s="44"/>
      <c r="D68" s="44"/>
      <c r="E68" s="45"/>
    </row>
    <row r="69" spans="2:5" ht="21.75" customHeight="1" x14ac:dyDescent="0.2">
      <c r="B69" s="78"/>
      <c r="C69" s="129" t="s">
        <v>92</v>
      </c>
      <c r="D69" s="129"/>
      <c r="E69" s="129"/>
    </row>
    <row r="70" spans="2:5" x14ac:dyDescent="0.2">
      <c r="B70" s="78"/>
      <c r="C70" s="83"/>
      <c r="D70" s="83"/>
      <c r="E70" s="83"/>
    </row>
    <row r="71" spans="2:5" x14ac:dyDescent="0.2">
      <c r="B71" s="79" t="s">
        <v>17</v>
      </c>
      <c r="C71" s="44"/>
      <c r="D71" s="44"/>
      <c r="E71" s="45"/>
    </row>
    <row r="72" spans="2:5" x14ac:dyDescent="0.2">
      <c r="B72" s="78"/>
      <c r="C72" s="82"/>
      <c r="D72" s="82"/>
      <c r="E72" s="82"/>
    </row>
    <row r="73" spans="2:5" x14ac:dyDescent="0.2">
      <c r="B73" s="79" t="s">
        <v>18</v>
      </c>
      <c r="C73" s="46"/>
      <c r="D73" s="46"/>
      <c r="E73" s="47"/>
    </row>
    <row r="74" spans="2:5" ht="24" customHeight="1" x14ac:dyDescent="0.2">
      <c r="B74" s="78"/>
      <c r="C74" s="132" t="s">
        <v>59</v>
      </c>
      <c r="D74" s="132"/>
      <c r="E74" s="132"/>
    </row>
    <row r="75" spans="2:5" x14ac:dyDescent="0.2">
      <c r="B75" s="79" t="s">
        <v>19</v>
      </c>
      <c r="C75" s="44"/>
      <c r="D75" s="44"/>
      <c r="E75" s="45"/>
    </row>
    <row r="76" spans="2:5" x14ac:dyDescent="0.2">
      <c r="B76" s="79"/>
      <c r="C76" s="83"/>
      <c r="D76" s="83"/>
      <c r="E76" s="83"/>
    </row>
    <row r="77" spans="2:5" ht="13.5" thickBot="1" x14ac:dyDescent="0.25">
      <c r="B77" s="80"/>
      <c r="C77" s="48"/>
      <c r="D77" s="48"/>
      <c r="E77" s="49"/>
    </row>
    <row r="79" spans="2:5" ht="13.5" thickBot="1" x14ac:dyDescent="0.25"/>
    <row r="80" spans="2:5" x14ac:dyDescent="0.2">
      <c r="B80" s="77" t="s">
        <v>83</v>
      </c>
      <c r="C80" s="42"/>
      <c r="D80" s="42"/>
      <c r="E80" s="43"/>
    </row>
    <row r="81" spans="2:5" x14ac:dyDescent="0.2">
      <c r="B81" s="78"/>
      <c r="C81" s="44"/>
      <c r="D81" s="44"/>
      <c r="E81" s="45"/>
    </row>
    <row r="82" spans="2:5" x14ac:dyDescent="0.2">
      <c r="B82" s="79" t="s">
        <v>15</v>
      </c>
      <c r="C82" s="44"/>
      <c r="D82" s="44"/>
      <c r="E82" s="45"/>
    </row>
    <row r="83" spans="2:5" ht="21" customHeight="1" x14ac:dyDescent="0.2">
      <c r="B83" s="79"/>
      <c r="C83" s="84" t="s">
        <v>86</v>
      </c>
      <c r="D83" s="84"/>
      <c r="E83" s="85"/>
    </row>
    <row r="84" spans="2:5" x14ac:dyDescent="0.2">
      <c r="B84" s="79" t="s">
        <v>16</v>
      </c>
      <c r="C84" s="44"/>
      <c r="D84" s="44"/>
      <c r="E84" s="45"/>
    </row>
    <row r="85" spans="2:5" ht="21" customHeight="1" x14ac:dyDescent="0.2">
      <c r="B85" s="78"/>
      <c r="C85" s="130" t="s">
        <v>92</v>
      </c>
      <c r="D85" s="130"/>
      <c r="E85" s="131"/>
    </row>
    <row r="86" spans="2:5" x14ac:dyDescent="0.2">
      <c r="B86" s="78"/>
      <c r="C86" s="83"/>
      <c r="D86" s="83"/>
      <c r="E86" s="83"/>
    </row>
    <row r="87" spans="2:5" x14ac:dyDescent="0.2">
      <c r="B87" s="79" t="s">
        <v>17</v>
      </c>
      <c r="C87" s="44"/>
      <c r="D87" s="44"/>
      <c r="E87" s="45"/>
    </row>
    <row r="88" spans="2:5" x14ac:dyDescent="0.2">
      <c r="B88" s="78"/>
      <c r="C88" s="82"/>
      <c r="D88" s="82"/>
      <c r="E88" s="82"/>
    </row>
    <row r="89" spans="2:5" x14ac:dyDescent="0.2">
      <c r="B89" s="79" t="s">
        <v>18</v>
      </c>
      <c r="C89" s="46"/>
      <c r="D89" s="46"/>
      <c r="E89" s="47"/>
    </row>
    <row r="90" spans="2:5" ht="28.5" customHeight="1" x14ac:dyDescent="0.2">
      <c r="B90" s="78"/>
      <c r="C90" s="132" t="s">
        <v>59</v>
      </c>
      <c r="D90" s="132"/>
      <c r="E90" s="132"/>
    </row>
    <row r="91" spans="2:5" x14ac:dyDescent="0.2">
      <c r="B91" s="79" t="s">
        <v>19</v>
      </c>
      <c r="C91" s="44"/>
      <c r="D91" s="44"/>
      <c r="E91" s="45"/>
    </row>
    <row r="92" spans="2:5" x14ac:dyDescent="0.2">
      <c r="B92" s="79"/>
      <c r="C92" s="83"/>
      <c r="D92" s="83"/>
      <c r="E92" s="83"/>
    </row>
    <row r="93" spans="2:5" ht="13.5" thickBot="1" x14ac:dyDescent="0.25">
      <c r="B93" s="80"/>
      <c r="C93" s="48"/>
      <c r="D93" s="48"/>
      <c r="E93" s="49"/>
    </row>
    <row r="95" spans="2:5" ht="13.5" thickBot="1" x14ac:dyDescent="0.25"/>
    <row r="96" spans="2:5" x14ac:dyDescent="0.2">
      <c r="B96" s="77" t="s">
        <v>85</v>
      </c>
      <c r="C96" s="42"/>
      <c r="D96" s="42"/>
      <c r="E96" s="43"/>
    </row>
    <row r="97" spans="2:5" x14ac:dyDescent="0.2">
      <c r="B97" s="78"/>
      <c r="C97" s="44"/>
      <c r="D97" s="44"/>
      <c r="E97" s="45"/>
    </row>
    <row r="98" spans="2:5" x14ac:dyDescent="0.2">
      <c r="B98" s="79" t="s">
        <v>15</v>
      </c>
      <c r="C98" s="44"/>
      <c r="D98" s="44"/>
      <c r="E98" s="45"/>
    </row>
    <row r="99" spans="2:5" ht="22.5" customHeight="1" x14ac:dyDescent="0.2">
      <c r="B99" s="79"/>
      <c r="C99" s="84" t="s">
        <v>84</v>
      </c>
      <c r="D99" s="84"/>
      <c r="E99" s="85"/>
    </row>
    <row r="100" spans="2:5" x14ac:dyDescent="0.2">
      <c r="B100" s="79" t="s">
        <v>16</v>
      </c>
      <c r="C100" s="44"/>
      <c r="D100" s="44"/>
      <c r="E100" s="45"/>
    </row>
    <row r="101" spans="2:5" ht="22.5" customHeight="1" x14ac:dyDescent="0.2">
      <c r="B101" s="78"/>
      <c r="C101" s="130" t="s">
        <v>92</v>
      </c>
      <c r="D101" s="130"/>
      <c r="E101" s="131"/>
    </row>
    <row r="102" spans="2:5" x14ac:dyDescent="0.2">
      <c r="B102" s="78"/>
      <c r="C102" s="83"/>
      <c r="D102" s="83"/>
      <c r="E102" s="83"/>
    </row>
    <row r="103" spans="2:5" x14ac:dyDescent="0.2">
      <c r="B103" s="79" t="s">
        <v>17</v>
      </c>
      <c r="C103" s="44"/>
      <c r="D103" s="44"/>
      <c r="E103" s="45"/>
    </row>
    <row r="104" spans="2:5" x14ac:dyDescent="0.2">
      <c r="B104" s="78"/>
      <c r="C104" s="82"/>
      <c r="D104" s="82"/>
      <c r="E104" s="82"/>
    </row>
    <row r="105" spans="2:5" x14ac:dyDescent="0.2">
      <c r="B105" s="79" t="s">
        <v>18</v>
      </c>
      <c r="C105" s="46"/>
      <c r="D105" s="46"/>
      <c r="E105" s="47"/>
    </row>
    <row r="106" spans="2:5" ht="24" customHeight="1" x14ac:dyDescent="0.2">
      <c r="B106" s="78"/>
      <c r="C106" s="132" t="s">
        <v>59</v>
      </c>
      <c r="D106" s="132"/>
      <c r="E106" s="132"/>
    </row>
    <row r="107" spans="2:5" x14ac:dyDescent="0.2">
      <c r="B107" s="79" t="s">
        <v>19</v>
      </c>
      <c r="C107" s="44"/>
      <c r="D107" s="44"/>
      <c r="E107" s="45"/>
    </row>
    <row r="108" spans="2:5" x14ac:dyDescent="0.2">
      <c r="B108" s="79"/>
      <c r="C108" s="83"/>
      <c r="D108" s="83"/>
      <c r="E108" s="83"/>
    </row>
    <row r="109" spans="2:5" ht="13.5" thickBot="1" x14ac:dyDescent="0.25">
      <c r="B109" s="80"/>
      <c r="C109" s="48"/>
      <c r="D109" s="48"/>
      <c r="E109" s="49"/>
    </row>
  </sheetData>
  <mergeCells count="43">
    <mergeCell ref="B2:H2"/>
    <mergeCell ref="A4:B4"/>
    <mergeCell ref="C4:E4"/>
    <mergeCell ref="A5:B5"/>
    <mergeCell ref="C5:E5"/>
    <mergeCell ref="A6:B6"/>
    <mergeCell ref="A7:B7"/>
    <mergeCell ref="C21:E21"/>
    <mergeCell ref="C23:E23"/>
    <mergeCell ref="C24:E24"/>
    <mergeCell ref="C39:E39"/>
    <mergeCell ref="C41:E41"/>
    <mergeCell ref="C43:E43"/>
    <mergeCell ref="C45:E45"/>
    <mergeCell ref="C26:E26"/>
    <mergeCell ref="C28:E28"/>
    <mergeCell ref="C30:E30"/>
    <mergeCell ref="C36:E36"/>
    <mergeCell ref="C38:E38"/>
    <mergeCell ref="C51:E51"/>
    <mergeCell ref="C53:E53"/>
    <mergeCell ref="C54:E54"/>
    <mergeCell ref="C56:E56"/>
    <mergeCell ref="C58:E58"/>
    <mergeCell ref="C74:E74"/>
    <mergeCell ref="C76:E76"/>
    <mergeCell ref="C60:E60"/>
    <mergeCell ref="C67:E67"/>
    <mergeCell ref="C69:E69"/>
    <mergeCell ref="C70:E70"/>
    <mergeCell ref="C72:E72"/>
    <mergeCell ref="C83:E83"/>
    <mergeCell ref="C85:E85"/>
    <mergeCell ref="C86:E86"/>
    <mergeCell ref="C88:E88"/>
    <mergeCell ref="C90:E90"/>
    <mergeCell ref="C106:E106"/>
    <mergeCell ref="C108:E108"/>
    <mergeCell ref="C92:E92"/>
    <mergeCell ref="C99:E99"/>
    <mergeCell ref="C101:E101"/>
    <mergeCell ref="C102:E102"/>
    <mergeCell ref="C104:E10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8"/>
  <sheetViews>
    <sheetView zoomScale="70" zoomScaleNormal="70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5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8" t="s">
        <v>98</v>
      </c>
      <c r="B1" s="98"/>
      <c r="C1" s="98"/>
      <c r="D1" s="98"/>
      <c r="E1" s="98"/>
      <c r="F1" s="98"/>
      <c r="G1" s="98"/>
      <c r="H1" s="98"/>
      <c r="I1" s="98"/>
      <c r="J1" s="3" t="s">
        <v>21</v>
      </c>
      <c r="K1" s="54" t="s">
        <v>99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9" t="s">
        <v>54</v>
      </c>
      <c r="B3" s="99"/>
      <c r="C3" s="99"/>
      <c r="D3" s="100" t="str">
        <f>'Necesidades Trimestrales'!C4</f>
        <v>40 - Ministerio de Salud</v>
      </c>
      <c r="E3" s="100"/>
      <c r="F3" s="100"/>
      <c r="G3" s="100"/>
      <c r="H3" s="100"/>
      <c r="I3" s="100"/>
      <c r="J3" s="100"/>
      <c r="K3" s="100"/>
    </row>
    <row r="4" spans="1:11" ht="18.75" customHeight="1" thickBot="1" x14ac:dyDescent="0.25">
      <c r="A4" s="101" t="s">
        <v>55</v>
      </c>
      <c r="B4" s="101"/>
      <c r="C4" s="101"/>
      <c r="D4" s="100" t="str">
        <f>'Necesidades Trimestrales'!C5</f>
        <v>23 - Hospital Interzonal San Juan Bautista</v>
      </c>
      <c r="E4" s="100"/>
      <c r="F4" s="100"/>
      <c r="G4" s="100"/>
      <c r="H4" s="100"/>
      <c r="I4" s="100"/>
      <c r="J4" s="100"/>
      <c r="K4" s="100"/>
    </row>
    <row r="5" spans="1:11" ht="18.75" customHeight="1" thickBot="1" x14ac:dyDescent="0.25">
      <c r="A5" s="101" t="s">
        <v>33</v>
      </c>
      <c r="B5" s="101"/>
      <c r="C5" s="101"/>
      <c r="D5" s="100" t="s">
        <v>91</v>
      </c>
      <c r="E5" s="100"/>
      <c r="F5" s="100"/>
      <c r="G5" s="100"/>
      <c r="H5" s="100"/>
      <c r="I5" s="100"/>
      <c r="J5" s="100"/>
      <c r="K5" s="100"/>
    </row>
    <row r="6" spans="1:11" ht="16.5" customHeight="1" thickBot="1" x14ac:dyDescent="0.25">
      <c r="A6" s="99" t="s">
        <v>56</v>
      </c>
      <c r="B6" s="99"/>
      <c r="C6" s="99"/>
      <c r="D6" s="100" t="s">
        <v>100</v>
      </c>
      <c r="E6" s="100"/>
      <c r="F6" s="100"/>
      <c r="G6" s="100"/>
      <c r="H6" s="100"/>
      <c r="I6" s="100"/>
      <c r="J6" s="100"/>
      <c r="K6" s="100"/>
    </row>
    <row r="7" spans="1:11" ht="16.5" customHeight="1" x14ac:dyDescent="0.2">
      <c r="A7" s="101" t="s">
        <v>22</v>
      </c>
      <c r="B7" s="101"/>
      <c r="C7" s="101"/>
      <c r="D7" s="100" t="str">
        <f>'Necesidades Trimestrales'!C7 &amp; "° Trimestre - Año " &amp; 'Necesidades Trimestrales'!C6</f>
        <v>3° Trimestre - Año 2022</v>
      </c>
      <c r="E7" s="100"/>
      <c r="F7" s="100"/>
      <c r="G7" s="100"/>
      <c r="H7" s="100"/>
      <c r="I7" s="100"/>
      <c r="J7" s="100"/>
      <c r="K7" s="100"/>
    </row>
    <row r="8" spans="1:11" ht="16.5" customHeight="1" x14ac:dyDescent="0.2">
      <c r="A8" s="93" t="s">
        <v>23</v>
      </c>
      <c r="B8" s="93"/>
      <c r="C8" s="93"/>
      <c r="D8" s="94" t="s">
        <v>97</v>
      </c>
      <c r="E8" s="94"/>
      <c r="F8" s="94"/>
      <c r="G8" s="94"/>
      <c r="H8" s="94"/>
      <c r="I8" s="94"/>
      <c r="J8" s="94"/>
      <c r="K8" s="9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5" t="s">
        <v>24</v>
      </c>
      <c r="B10" s="96" t="s">
        <v>25</v>
      </c>
      <c r="C10" s="96" t="s">
        <v>26</v>
      </c>
      <c r="D10" s="96"/>
      <c r="E10" s="96"/>
      <c r="F10" s="96"/>
      <c r="G10" s="96"/>
      <c r="H10" s="96" t="s">
        <v>27</v>
      </c>
      <c r="I10" s="96" t="s">
        <v>28</v>
      </c>
      <c r="J10" s="96" t="s">
        <v>29</v>
      </c>
      <c r="K10" s="97" t="s">
        <v>30</v>
      </c>
    </row>
    <row r="11" spans="1:11" ht="24" customHeight="1" thickBot="1" x14ac:dyDescent="0.25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7"/>
    </row>
    <row r="12" spans="1:11" ht="33" customHeight="1" thickBot="1" x14ac:dyDescent="0.25">
      <c r="A12" s="8">
        <v>1</v>
      </c>
      <c r="B12" s="55" t="str">
        <f>'Necesidades Trimestrales'!B10</f>
        <v>2.2.1-5641.18</v>
      </c>
      <c r="C12" s="90" t="str">
        <f>'Necesidades Trimestrales'!E10</f>
        <v>TELA ALGODON/POLYESTER; ANCHO: 1,50 M, COLOR: BLANCO,
PRESENTACION: ROLLO X 50 M, USO: ROPA, MOTIVO: SIN VALOR</v>
      </c>
      <c r="D12" s="90"/>
      <c r="E12" s="90"/>
      <c r="F12" s="90"/>
      <c r="G12" s="90"/>
      <c r="H12" s="56" t="s">
        <v>87</v>
      </c>
      <c r="I12" s="57" t="str">
        <f>'Necesidades Trimestrales'!F10</f>
        <v>Rollo</v>
      </c>
      <c r="J12" s="58">
        <f>'Necesidades Trimestrales'!H10</f>
        <v>43000</v>
      </c>
      <c r="K12" s="59">
        <f>'Necesidades Trimestrales'!G10</f>
        <v>40</v>
      </c>
    </row>
    <row r="13" spans="1:11" ht="33" customHeight="1" thickBot="1" x14ac:dyDescent="0.25">
      <c r="A13" s="8">
        <v>2</v>
      </c>
      <c r="B13" s="55" t="str">
        <f>'Necesidades Trimestrales'!B11</f>
        <v>2.2.1-9956.55</v>
      </c>
      <c r="C13" s="90" t="str">
        <f>'Necesidades Trimestrales'!E11</f>
        <v>TELAS TEXTILES; TIPO: GABARDINA 8 OZ, ANCHO: 1,50 M, LARGO: POR METRO</v>
      </c>
      <c r="D13" s="90"/>
      <c r="E13" s="90"/>
      <c r="F13" s="90"/>
      <c r="G13" s="90"/>
      <c r="H13" s="56" t="s">
        <v>87</v>
      </c>
      <c r="I13" s="57" t="str">
        <f>'Necesidades Trimestrales'!F11</f>
        <v xml:space="preserve">Metros </v>
      </c>
      <c r="J13" s="58">
        <f>'Necesidades Trimestrales'!H11</f>
        <v>1990</v>
      </c>
      <c r="K13" s="59">
        <f>'Necesidades Trimestrales'!G11</f>
        <v>1000</v>
      </c>
    </row>
    <row r="14" spans="1:11" ht="34.5" customHeight="1" thickBot="1" x14ac:dyDescent="0.25">
      <c r="A14" s="8">
        <v>3</v>
      </c>
      <c r="B14" s="55" t="str">
        <f>'Necesidades Trimestrales'!B12</f>
        <v>2.2.1-9956.127</v>
      </c>
      <c r="C14" s="90" t="str">
        <f>'Necesidades Trimestrales'!E12</f>
        <v>TELAS TEXTILES; TIPO: ACROCEL PARA AMBOS, ANCHO: 1.5 M, LARGO: X METRO, MATERIAL: 50% ALGODÓN 50% POLYESTER, COLOR: SIN VALOR</v>
      </c>
      <c r="D14" s="90"/>
      <c r="E14" s="90"/>
      <c r="F14" s="90"/>
      <c r="G14" s="90"/>
      <c r="H14" s="56" t="s">
        <v>88</v>
      </c>
      <c r="I14" s="57" t="str">
        <f>'Necesidades Trimestrales'!F12</f>
        <v xml:space="preserve">Metros </v>
      </c>
      <c r="J14" s="58">
        <f>'Necesidades Trimestrales'!H12</f>
        <v>1110</v>
      </c>
      <c r="K14" s="59">
        <f>'Necesidades Trimestrales'!G12</f>
        <v>500</v>
      </c>
    </row>
    <row r="15" spans="1:11" ht="30.75" customHeight="1" thickBot="1" x14ac:dyDescent="0.25">
      <c r="A15" s="8">
        <v>4</v>
      </c>
      <c r="B15" s="55" t="str">
        <f>'Necesidades Trimestrales'!B13</f>
        <v>2.2.1-9956.117</v>
      </c>
      <c r="C15" s="90" t="str">
        <f>'Necesidades Trimestrales'!E13</f>
        <v>TELAS TEXTILES; TIPO: TOALLA, ANCHO: 1,50 M, LARGO: 1 M</v>
      </c>
      <c r="D15" s="90"/>
      <c r="E15" s="90"/>
      <c r="F15" s="90"/>
      <c r="G15" s="90"/>
      <c r="H15" s="56" t="s">
        <v>88</v>
      </c>
      <c r="I15" s="57" t="str">
        <f>'Necesidades Trimestrales'!F13</f>
        <v xml:space="preserve">Metros </v>
      </c>
      <c r="J15" s="58">
        <f>'Necesidades Trimestrales'!H13</f>
        <v>1250</v>
      </c>
      <c r="K15" s="59">
        <f>'Necesidades Trimestrales'!G13</f>
        <v>250</v>
      </c>
    </row>
    <row r="16" spans="1:11" ht="35.25" customHeight="1" thickBot="1" x14ac:dyDescent="0.25">
      <c r="A16" s="8">
        <v>5</v>
      </c>
      <c r="B16" s="55" t="str">
        <f>'Necesidades Trimestrales'!B14</f>
        <v>2.2.1-2617.11</v>
      </c>
      <c r="C16" s="90" t="str">
        <f>'Necesidades Trimestrales'!E14</f>
        <v>TELA DE ALGODON; ANCHO: 1,50 M, LARGO ROLLO: 50 M, COLOR: SIN VALOR, LARGO: 50 M</v>
      </c>
      <c r="D16" s="90"/>
      <c r="E16" s="90"/>
      <c r="F16" s="90"/>
      <c r="G16" s="90"/>
      <c r="H16" s="56" t="s">
        <v>88</v>
      </c>
      <c r="I16" s="57" t="str">
        <f>'Necesidades Trimestrales'!F14</f>
        <v>Rollo</v>
      </c>
      <c r="J16" s="58">
        <f>'Necesidades Trimestrales'!H14</f>
        <v>54500</v>
      </c>
      <c r="K16" s="59">
        <f>'Necesidades Trimestrales'!G14</f>
        <v>10</v>
      </c>
    </row>
    <row r="17" spans="1:1024" ht="30" customHeight="1" thickBot="1" x14ac:dyDescent="0.25">
      <c r="A17" s="8">
        <v>6</v>
      </c>
      <c r="B17" s="55" t="str">
        <f>'Necesidades Trimestrales'!B15</f>
        <v>2.2.3-920.41</v>
      </c>
      <c r="C17" s="90" t="str">
        <f>'Necesidades Trimestrales'!E15</f>
        <v>FRAZADAS; MATERIAL: LANA, POLIESTER Y ACRILICO, TAMAÑO: 1 1/2 PLAZA</v>
      </c>
      <c r="D17" s="90"/>
      <c r="E17" s="90"/>
      <c r="F17" s="90"/>
      <c r="G17" s="90"/>
      <c r="H17" s="56" t="s">
        <v>88</v>
      </c>
      <c r="I17" s="57" t="str">
        <f>'Necesidades Trimestrales'!F15</f>
        <v>Unidad</v>
      </c>
      <c r="J17" s="58">
        <f>'Necesidades Trimestrales'!H15</f>
        <v>3700</v>
      </c>
      <c r="K17" s="59">
        <f>'Necesidades Trimestrales'!G15</f>
        <v>200</v>
      </c>
    </row>
    <row r="18" spans="1:1024" ht="20.25" customHeight="1" thickBot="1" x14ac:dyDescent="0.25">
      <c r="A18" s="91" t="s">
        <v>95</v>
      </c>
      <c r="B18" s="91"/>
      <c r="C18" s="91"/>
      <c r="D18" s="91"/>
      <c r="E18" s="91"/>
      <c r="F18" s="91"/>
      <c r="G18" s="91"/>
      <c r="H18" s="91"/>
      <c r="I18" s="91"/>
      <c r="J18" s="92">
        <f>SUMPRODUCT(J12:J17,K12:K17)</f>
        <v>5862500</v>
      </c>
      <c r="K18" s="92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</sheetData>
  <mergeCells count="28">
    <mergeCell ref="C15:G1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6:G16"/>
    <mergeCell ref="C17:G17"/>
    <mergeCell ref="A18:I18"/>
    <mergeCell ref="J18:K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topLeftCell="A16" zoomScale="130" zoomScaleNormal="130" workbookViewId="0">
      <selection activeCell="O16" sqref="O16:P1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5" t="s">
        <v>3</v>
      </c>
      <c r="B1" s="125"/>
      <c r="C1" s="125"/>
      <c r="D1" s="126">
        <f>'Necesidades Trimestrales'!C6</f>
        <v>2022</v>
      </c>
      <c r="E1" s="126"/>
      <c r="F1" s="10"/>
      <c r="G1" s="10"/>
      <c r="H1" s="11"/>
      <c r="I1" s="11"/>
      <c r="J1" s="11"/>
      <c r="K1" s="11"/>
      <c r="L1" s="11"/>
      <c r="M1" s="11"/>
      <c r="N1" s="11"/>
      <c r="P1" s="127" t="s">
        <v>31</v>
      </c>
      <c r="Q1" s="127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7"/>
      <c r="Q2" s="127"/>
    </row>
    <row r="4" spans="1:17" s="12" customFormat="1" ht="18" customHeight="1" thickBot="1" x14ac:dyDescent="0.25">
      <c r="A4" s="128" t="s">
        <v>32</v>
      </c>
      <c r="B4" s="128"/>
      <c r="C4" s="128"/>
      <c r="D4" s="128"/>
      <c r="E4" s="128"/>
      <c r="F4" s="128"/>
      <c r="G4" s="123" t="str">
        <f>NotaPedido!D3</f>
        <v>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s="12" customFormat="1" ht="18" customHeight="1" thickBot="1" x14ac:dyDescent="0.25">
      <c r="A5" s="120" t="s">
        <v>55</v>
      </c>
      <c r="B5" s="121"/>
      <c r="C5" s="121"/>
      <c r="D5" s="121"/>
      <c r="E5" s="121"/>
      <c r="F5" s="122"/>
      <c r="G5" s="123" t="str">
        <f>NotaPedido!D4</f>
        <v>23 - Hospital Interzonal San Juan Bautista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7" s="12" customFormat="1" ht="18" customHeight="1" thickBot="1" x14ac:dyDescent="0.25">
      <c r="A6" s="120" t="s">
        <v>33</v>
      </c>
      <c r="B6" s="121"/>
      <c r="C6" s="121"/>
      <c r="D6" s="121"/>
      <c r="E6" s="121"/>
      <c r="F6" s="122"/>
      <c r="G6" s="123" t="str">
        <f>NotaPedido!D5</f>
        <v>237 - Direccion de Mantenimiento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7" s="12" customFormat="1" ht="18" customHeight="1" thickBot="1" x14ac:dyDescent="0.25">
      <c r="A7" s="120" t="s">
        <v>56</v>
      </c>
      <c r="B7" s="121"/>
      <c r="C7" s="121"/>
      <c r="D7" s="121"/>
      <c r="E7" s="121"/>
      <c r="F7" s="122"/>
      <c r="G7" s="123" t="str">
        <f>NotaPedido!D6</f>
        <v>Sección Costurero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ht="18" customHeight="1" thickBot="1" x14ac:dyDescent="0.25">
      <c r="A8" s="124" t="s">
        <v>34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1:17" ht="18" customHeight="1" x14ac:dyDescent="0.2">
      <c r="A9" s="114" t="s">
        <v>35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"/>
      <c r="P9" s="1"/>
      <c r="Q9" s="13"/>
    </row>
    <row r="10" spans="1:17" ht="54.75" customHeight="1" x14ac:dyDescent="0.2">
      <c r="A10" s="115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DOCFI-2022-01182389-CAT-DMAN#HSJB,  afectando la erogación resultante a los créditos presupuestarios aprobados a favor de esta Unidad Ejecutora, conforme al siguiente detalle: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6" t="s">
        <v>36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 x14ac:dyDescent="0.2">
      <c r="A13" s="117" t="s">
        <v>37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38</v>
      </c>
      <c r="P13" s="118"/>
      <c r="Q13" s="119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8"/>
      <c r="P14" s="118"/>
      <c r="Q14" s="119"/>
    </row>
    <row r="15" spans="1:17" ht="17.25" customHeight="1" x14ac:dyDescent="0.2">
      <c r="A15" s="62">
        <v>33</v>
      </c>
      <c r="B15" s="63"/>
      <c r="C15" s="63"/>
      <c r="D15" s="63">
        <v>4</v>
      </c>
      <c r="E15" s="63"/>
      <c r="F15" s="63">
        <v>4901</v>
      </c>
      <c r="G15" s="63">
        <v>3</v>
      </c>
      <c r="H15" s="64" t="s">
        <v>60</v>
      </c>
      <c r="I15" s="65">
        <v>2</v>
      </c>
      <c r="J15" s="65">
        <v>2</v>
      </c>
      <c r="K15" s="65">
        <v>1</v>
      </c>
      <c r="L15" s="63"/>
      <c r="M15" s="66">
        <v>1</v>
      </c>
      <c r="N15" s="64" t="s">
        <v>61</v>
      </c>
      <c r="O15" s="111" t="s">
        <v>93</v>
      </c>
      <c r="P15" s="111"/>
      <c r="Q15" s="23">
        <v>5122500</v>
      </c>
    </row>
    <row r="16" spans="1:17" ht="17.25" customHeight="1" x14ac:dyDescent="0.2">
      <c r="A16" s="24">
        <v>33</v>
      </c>
      <c r="B16" s="25"/>
      <c r="C16" s="25"/>
      <c r="D16" s="25">
        <v>4</v>
      </c>
      <c r="E16" s="25"/>
      <c r="F16" s="25">
        <v>4901</v>
      </c>
      <c r="G16" s="25">
        <v>3</v>
      </c>
      <c r="H16" s="60" t="s">
        <v>60</v>
      </c>
      <c r="I16" s="25">
        <v>2</v>
      </c>
      <c r="J16" s="25">
        <v>2</v>
      </c>
      <c r="K16" s="25">
        <v>3</v>
      </c>
      <c r="L16" s="25"/>
      <c r="M16" s="26">
        <v>1</v>
      </c>
      <c r="N16" s="61" t="s">
        <v>61</v>
      </c>
      <c r="O16" s="112" t="s">
        <v>94</v>
      </c>
      <c r="P16" s="112"/>
      <c r="Q16" s="28">
        <v>740000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0"/>
      <c r="I17" s="25"/>
      <c r="J17" s="25"/>
      <c r="K17" s="25"/>
      <c r="L17" s="25"/>
      <c r="M17" s="26"/>
      <c r="N17" s="61"/>
      <c r="O17" s="112"/>
      <c r="P17" s="112"/>
      <c r="Q17" s="28"/>
      <c r="S17" s="67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0"/>
      <c r="I18" s="25"/>
      <c r="J18" s="25"/>
      <c r="K18" s="25"/>
      <c r="L18" s="25"/>
      <c r="M18" s="26"/>
      <c r="N18" s="61"/>
      <c r="O18" s="113"/>
      <c r="P18" s="107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7"/>
      <c r="P19" s="107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08"/>
      <c r="P20" s="108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09"/>
      <c r="P21" s="109"/>
      <c r="Q21" s="37"/>
    </row>
    <row r="22" spans="1:19" ht="20.25" customHeight="1" x14ac:dyDescent="0.2">
      <c r="A22" s="133" t="s">
        <v>96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38">
        <f>SUM(Q15:Q21)</f>
        <v>5862500</v>
      </c>
    </row>
    <row r="23" spans="1:19" ht="18" customHeight="1" thickBot="1" x14ac:dyDescent="0.25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</row>
    <row r="24" spans="1:19" ht="17.25" customHeight="1" thickBot="1" x14ac:dyDescent="0.25">
      <c r="A24" s="102" t="s">
        <v>53</v>
      </c>
      <c r="B24" s="103"/>
      <c r="C24" s="103"/>
      <c r="D24" s="103"/>
      <c r="E24" s="103"/>
      <c r="F24" s="104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</row>
    <row r="25" spans="1:19" ht="18" customHeight="1" thickBot="1" x14ac:dyDescent="0.25">
      <c r="A25" s="106" t="str">
        <f>"Para la "&amp; NotaPedido!D8 &amp;" para ser destinados al " &amp; NotaPedido!D6 &amp;"  del HISJB del Ministerio de Salud."</f>
        <v>Para la Adquisición de Telas y Frazadas  para ser destinados al Sección Costurero  del HISJB del Ministerio de Salud.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</row>
    <row r="26" spans="1:19" ht="15" customHeight="1" x14ac:dyDescent="0.2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2022-07-05T16:49:32Z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