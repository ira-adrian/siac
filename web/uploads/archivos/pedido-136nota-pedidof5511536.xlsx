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189C614D-C7AC-4732-BADB-63DE7EAA5E7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" sheetId="3" r:id="rId1"/>
    <sheet name=" NotaPedidoBCO SANGRE" sheetId="9" r:id="rId2"/>
    <sheet name="APG BCO DE SANGRE" sheetId="6" r:id="rId3"/>
    <sheet name=" NotaPedido CUR" sheetId="12" r:id="rId4"/>
    <sheet name="APG CUR" sheetId="5" r:id="rId5"/>
    <sheet name="NotaPedido LABORATORIO" sheetId="13" r:id="rId6"/>
    <sheet name="APG LABORATORIO" sheetId="14" r:id="rId7"/>
  </sheets>
  <definedNames>
    <definedName name="_xlnm._FilterDatabase" localSheetId="0" hidden="1">'Necesidades Trimestrales '!$A$9:$AR$9</definedName>
    <definedName name="_xlnm.Print_Area" localSheetId="3">' NotaPedido CUR'!$A$1:$K$28</definedName>
    <definedName name="_xlnm.Print_Area" localSheetId="1">' NotaPedidoBCO SANGRE'!$A$1:$K$32</definedName>
    <definedName name="_xlnm.Print_Area" localSheetId="2">'APG BCO DE SANGRE'!$A$1:$Q$27</definedName>
    <definedName name="_xlnm.Print_Area" localSheetId="4">'APG CUR'!$A$1:$Q$27</definedName>
  </definedNames>
  <calcPr calcId="181029" iterateDelta="1E-4"/>
</workbook>
</file>

<file path=xl/calcChain.xml><?xml version="1.0" encoding="utf-8"?>
<calcChain xmlns="http://schemas.openxmlformats.org/spreadsheetml/2006/main">
  <c r="M12" i="13" l="1"/>
  <c r="I46" i="3" l="1"/>
  <c r="K46" i="3"/>
  <c r="AR46" i="3"/>
  <c r="AP47" i="3"/>
  <c r="Q23" i="14"/>
  <c r="M13" i="13"/>
  <c r="M14" i="13"/>
  <c r="J14" i="13" s="1"/>
  <c r="A24" i="9" l="1"/>
  <c r="A25" i="9" s="1"/>
  <c r="A26" i="9" s="1"/>
  <c r="A27" i="9" s="1"/>
  <c r="A28" i="9" s="1"/>
  <c r="A29" i="9" s="1"/>
  <c r="A30" i="9" s="1"/>
  <c r="A31" i="9" s="1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M13" i="12"/>
  <c r="M14" i="12"/>
  <c r="M15" i="12"/>
  <c r="M16" i="12"/>
  <c r="M17" i="12"/>
  <c r="M28" i="12" s="1"/>
  <c r="J28" i="12" s="1"/>
  <c r="M18" i="12"/>
  <c r="M19" i="12"/>
  <c r="M20" i="12"/>
  <c r="M21" i="12"/>
  <c r="M22" i="12"/>
  <c r="M23" i="12"/>
  <c r="M24" i="12"/>
  <c r="M25" i="12"/>
  <c r="M26" i="12"/>
  <c r="M27" i="12"/>
  <c r="M12" i="12"/>
  <c r="A14" i="12"/>
  <c r="A15" i="12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13" i="12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A13" i="9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K13" i="9" l="1"/>
  <c r="M13" i="9" s="1"/>
  <c r="K12" i="9"/>
  <c r="M12" i="9" s="1"/>
  <c r="N31" i="9" s="1"/>
  <c r="J32" i="9" s="1"/>
  <c r="J11" i="3" l="1"/>
  <c r="J10" i="3"/>
  <c r="AH10" i="3" l="1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I10" i="3"/>
  <c r="I47" i="3" s="1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K47" i="3" l="1"/>
  <c r="AD47" i="3"/>
  <c r="Q23" i="6"/>
  <c r="AH47" i="3"/>
  <c r="Q23" i="5" s="1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7" i="3" l="1"/>
</calcChain>
</file>

<file path=xl/sharedStrings.xml><?xml version="1.0" encoding="utf-8"?>
<sst xmlns="http://schemas.openxmlformats.org/spreadsheetml/2006/main" count="505" uniqueCount="176">
  <si>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</si>
  <si>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</si>
  <si>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</si>
  <si>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</si>
  <si>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</si>
  <si>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</si>
  <si>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</si>
  <si>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</si>
  <si>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</si>
  <si>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</si>
  <si>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</si>
  <si>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</si>
  <si>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</si>
  <si>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 xml:space="preserve">UNIDAD </t>
  </si>
  <si>
    <t>CAJA</t>
  </si>
  <si>
    <t>40 - MINISTERIO DE SALUD</t>
  </si>
  <si>
    <t>SEGUNDO TRIMESTRE</t>
  </si>
  <si>
    <t>Pedido de Necesidades Trimestrales</t>
  </si>
  <si>
    <t>SOLUSION FISIOLOGICA x 100 ml</t>
  </si>
  <si>
    <t>BOLSA</t>
  </si>
  <si>
    <t>DIR. ADM.</t>
  </si>
  <si>
    <t>CANTIDAD TOTAL</t>
  </si>
  <si>
    <t>TOTAL DIR DE ADM</t>
  </si>
  <si>
    <t>BIDON</t>
  </si>
  <si>
    <t>REACTIVOS DE LAB</t>
  </si>
  <si>
    <t>TOTAL DE LAB CENTRAL</t>
  </si>
  <si>
    <t>KIT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</si>
  <si>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</si>
  <si>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</si>
  <si>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</si>
  <si>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</si>
  <si>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</si>
  <si>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</si>
  <si>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</si>
  <si>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</si>
  <si>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</si>
  <si>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</si>
  <si>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</si>
  <si>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</si>
  <si>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</si>
  <si>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</si>
  <si>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</si>
  <si>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</si>
  <si>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</si>
  <si>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</si>
  <si>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</si>
  <si>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</si>
  <si>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</si>
  <si>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TOTAL DE VECT Y ZOON</t>
  </si>
  <si>
    <t>SUMAR</t>
  </si>
  <si>
    <t xml:space="preserve">TOTAL SUMAR </t>
  </si>
  <si>
    <t>CUR</t>
  </si>
  <si>
    <t>TOTAL CUR</t>
  </si>
  <si>
    <t>2.5.1.</t>
  </si>
  <si>
    <t>BOLSAS</t>
  </si>
  <si>
    <t>PLANIFICACION</t>
  </si>
  <si>
    <t>TOTAL PLANIFICA</t>
  </si>
  <si>
    <t>SALUD MENTAL</t>
  </si>
  <si>
    <t>TOTAL SALUD MENTAL</t>
  </si>
  <si>
    <t>AREAS Y DPAS</t>
  </si>
  <si>
    <t>TOTAL DPAS</t>
  </si>
  <si>
    <t xml:space="preserve">11 - DIR. PROV. DE ADMINISTRACION - </t>
  </si>
  <si>
    <t>HVC REACTIVO x 100 det TIPO ABBOTT P/ EQUIPO ARCHITECT</t>
  </si>
  <si>
    <t>SARS-COV-2 IgG Reactivo x 100 det TIPO ABBOTT P/ EQUIPO ARCHITECT</t>
  </si>
  <si>
    <t>SARS-COV-2 IgM Calibrador TIPO ABBOTT P/ EQUIPO ARCHITECT</t>
  </si>
  <si>
    <t>SARS- COV-2 Igm Control TIPO ABBOTT P/ EQUIPO ARCHITECT</t>
  </si>
  <si>
    <t>Trigger TIPO ABBOTT P/ EQUIPO ARCHITECT</t>
  </si>
  <si>
    <t>Pre-trigger TIPO ABBOTT P/ EQUIPO ARCHITECT</t>
  </si>
  <si>
    <t>Buffer TIPO ABBOTT P/ EQUIPO ARCHITECT</t>
  </si>
  <si>
    <t>Celdas de Reaccion TIPO ABBOTT P/ EQUIPO ARCHITECT</t>
  </si>
  <si>
    <t>KITS PARA PLAQUETOFERESIS CON FILTRO 994/995 TIPO GRIFOLS</t>
  </si>
  <si>
    <t>KIT PLASMAFERESIS 980 TIPO GRIFOLS</t>
  </si>
  <si>
    <t>TARJETA DE GEL ABO RH 2d TIPO GRIFOLS</t>
  </si>
  <si>
    <t>TARJETA DE GEL COOMBS TIPO GRIFOLS</t>
  </si>
  <si>
    <t>TARJETA DE GEL PHENO TIPO GRIFOLS</t>
  </si>
  <si>
    <t>PANEL IDENTISERA DIANA TIPO GRIFOLS</t>
  </si>
  <si>
    <t>PANEL SARASCAN DIANA 2 TIPOS GRIFOLS</t>
  </si>
  <si>
    <t>PANEL SERO cyte 0,8%  TIPOS GRIFOLS</t>
  </si>
  <si>
    <t>PANEL SERIGRUP A1/B TIPO GRIFOLS</t>
  </si>
  <si>
    <t>Solucion ACD ( ANTICOAGULANTE PARA EQUIPO DE AFERESIS) TIPO GRIFOLS</t>
  </si>
  <si>
    <t xml:space="preserve">SOLUCION DG SOL X 100ML FLEXIBLE DOBLE TIPO GRIFOLS </t>
  </si>
  <si>
    <t xml:space="preserve"> HIV COMBO RGT X 100 DET. TIPO ARC ABBOT</t>
  </si>
  <si>
    <t xml:space="preserve"> HBSAG RGT X 100 DET. TIPO ARC ABBOT</t>
  </si>
  <si>
    <t xml:space="preserve"> ANTI HBC II RGT X 100 DET. TIPO ARC ABBOTT</t>
  </si>
  <si>
    <t xml:space="preserve"> ANTI HBS RGT X 100 DET.TIPO ARC ABBOTT</t>
  </si>
  <si>
    <t xml:space="preserve"> ANTI HCV RGT X 100 DET.TIPO ARC ABBOTT</t>
  </si>
  <si>
    <t xml:space="preserve"> HAVAB M RGT X 100 DET.TIPO ARC ABBOTT</t>
  </si>
  <si>
    <t>SIFILIS RGT X 100 DET.TIPO ARC ABBOTT</t>
  </si>
  <si>
    <t xml:space="preserve"> CONC BUFFER X 4 LTS. TIPO ARC ABBOTT</t>
  </si>
  <si>
    <t xml:space="preserve"> REACTION VESSELLS X 4000.TIPO ARC ABBOTT</t>
  </si>
  <si>
    <t xml:space="preserve"> TRIGGER X 4 LTS.  ARC ABBOTT</t>
  </si>
  <si>
    <t>PRE TRIGGER X 4 LTS. ARC ABBOTT</t>
  </si>
  <si>
    <t>SAMPLE CUPS X 2000. ARC ABBOTT</t>
  </si>
  <si>
    <t xml:space="preserve"> PROBE CONDITION x 4 BIDONES X 800 ML. ARC ABBOTT</t>
  </si>
  <si>
    <t xml:space="preserve"> DETERMINE SIFILIS  X 100 DETERMINACIONES TIPO ALERE ABBOTT</t>
  </si>
  <si>
    <t>TUBOS CAPILARES C/EDTA X 100 TIPO ALERE ABBOTT</t>
  </si>
  <si>
    <t xml:space="preserve"> DETERMINECHASE BUFFER X 2,5 TIPO ALERE ABBOTT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</si>
  <si>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</si>
  <si>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</si>
  <si>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</si>
  <si>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</si>
  <si>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</si>
  <si>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</si>
  <si>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</si>
  <si>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</si>
  <si>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</si>
  <si>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</si>
  <si>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</si>
  <si>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</si>
  <si>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</si>
  <si>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</si>
  <si>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</si>
  <si>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</si>
  <si>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</si>
  <si>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</si>
  <si>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</si>
  <si>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</si>
  <si>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</si>
  <si>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</si>
  <si>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</si>
  <si>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</si>
  <si>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</si>
  <si>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</si>
  <si>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</si>
  <si>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</si>
  <si>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</si>
  <si>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</si>
  <si>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</si>
  <si>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</si>
  <si>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</si>
  <si>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</si>
  <si>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</si>
  <si>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</si>
  <si>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</si>
  <si>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</si>
  <si>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</si>
  <si>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</si>
  <si>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Compuestos Quimicos</t>
  </si>
  <si>
    <t>160 - DIRECCION PROVINCIAL CENTRO UNICO DE REFERENCIA</t>
  </si>
  <si>
    <t>2° TRIMESTRE</t>
  </si>
  <si>
    <t>Adquisicion de Reactivos</t>
  </si>
  <si>
    <t>747 - DIRECCION PROVINCIAL BANCO DE SANGRE</t>
  </si>
  <si>
    <t>Adquisición de Reactivos.</t>
  </si>
  <si>
    <t>Descripción técnica</t>
  </si>
  <si>
    <t>Calidad Minima esperada</t>
  </si>
  <si>
    <t>Mantenimiento</t>
  </si>
  <si>
    <t>Plazos de entrega</t>
  </si>
  <si>
    <t>veinte (20) dias habiles</t>
  </si>
  <si>
    <t>Lugar de Entrega:</t>
  </si>
  <si>
    <t>no</t>
  </si>
  <si>
    <t xml:space="preserve">Especificidades </t>
  </si>
  <si>
    <t>cuarenta y cinco (45) días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</si>
  <si>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3-Los productos deberán tener un vencimiento posterior a doce (12) meses  a partir de la fecha de su recepción.
</t>
  </si>
  <si>
    <t xml:space="preserve">TOTAL DEL RUBRO DE REACTIVOS </t>
  </si>
  <si>
    <t>Autorizo la realización de los  trámites correspondientes, a fin de proveer a  este Organismo los bienes que se detallan en Nota de pedido y Entrega N°15/2021,  afectando la erogación resultante a los créditos presupuestarios aprobados a favor de esta Unidad Ejecutora, conforme al siguiente detalle:</t>
  </si>
  <si>
    <t xml:space="preserve"> 15/2021</t>
  </si>
  <si>
    <t xml:space="preserve"> 12/2021</t>
  </si>
  <si>
    <t>Autorizo la realización de los  trámites correspondientes, a fin de proveer a  este Organismo los bienes que se detallan en Nota de pedido y Entrega N°12/2021,  afectando la erogación resultante a los créditos presupuestarios aprobados a favor de esta Unidad Ejecutora, conforme al siguiente detalle:</t>
  </si>
  <si>
    <t>TOTAL DE PESOS: Un Millon Cuatrocientos Ochenta y Tres mil Doscientos Veinticuatro con 00/100</t>
  </si>
  <si>
    <t>Costo total estimado: Diez Millones Quinientos mil Trescientos Veintinueve con 00/100</t>
  </si>
  <si>
    <t>TOTAL DE PESOS: Diez millones quinientos mil trescientos veintinueve con 00/100</t>
  </si>
  <si>
    <t>468 - DIRECCION PROVINCIAL DE LABORATORIO</t>
  </si>
  <si>
    <t xml:space="preserve"> TEST RAPIDO DE ANTIGENO SARS COV2 (COVID-19)</t>
  </si>
  <si>
    <t>Determinaciones</t>
  </si>
  <si>
    <t>Costo total estimado: Cincuenta y Cuatro Millones Ciento Setenta y Siete Mil Seiscientos con 00/100</t>
  </si>
  <si>
    <t>TOTAL DE PESOS: Cincuenta y Cuatro Millones Ciento Setenta y Siete Mil Seiscientos con 00/100</t>
  </si>
  <si>
    <t>2.5.1</t>
  </si>
  <si>
    <t>TEST RAPIDO DE ANTIGENO SARS COV2 (COVID-19)</t>
  </si>
  <si>
    <t>DETERMINACIONES</t>
  </si>
  <si>
    <t>LABORATORIO</t>
  </si>
  <si>
    <t>LOS ITEMS DEL 01 AL 20 EN EL BANCO DE SANGRE - Pasaje Boto Gray N°500 (frente la Maternida Provincial 25 de Mayo)</t>
  </si>
  <si>
    <t xml:space="preserve">LOS ITEMS 21 AL 36 EN EL CENTRO UNICO DE REFERENCIA - Dr Julio Herrera N° 250. </t>
  </si>
  <si>
    <t>EL ITEM 37 EN EL LABORATORIO CENTRAL - Chacabuco N° 169.</t>
  </si>
  <si>
    <t xml:space="preserve"> 21/2021</t>
  </si>
  <si>
    <t>Autorizo la realización de los  trámites correspondientes, a fin de proveer a  este Organismo los bienes que se detallan en Nota de pedido y Entrega N° 21/2021,  afectando la erogación resultante a los créditos presupuestarios aprobados a favor de esta Unidad Ejecutora, conforme al siguiente detalle:</t>
  </si>
  <si>
    <t>Costo total estimado: Un Millon Cuatrocientos ochenta y tres mil doscientos veinticuatro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</si>
</sst>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\ #,##0.00;\-&quot;$&quot;\ #,##0.00"/>
    <numFmt numFmtId="44" formatCode="_-&quot;$&quot;\ * #,##0.00_-;\-&quot;$&quot;\ * #,##0.00_-;_-&quot;$&quot;\ 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&quot;$&quot;#,##0.00"/>
    <numFmt numFmtId="172" formatCode="_(\$* #,##0.00_);_(\$* \(#,##0.00\);_(\$* \-??_);_(@_)"/>
    <numFmt numFmtId="173" formatCode="dd\-mm\-yy;@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b/>
      <sz val="12"/>
      <color rgb="FFFF000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name val="Arial"/>
      <family val="2"/>
    </font>
    <font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000000"/>
      <name val="Arial"/>
      <family val="2"/>
    </font>
    <font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6" fontId="4" fillId="0" borderId="0" applyBorder="0" applyProtection="0"/>
    <xf numFmtId="0" fontId="2" fillId="0" borderId="1" applyProtection="0"/>
    <xf numFmtId="0" fontId="3" fillId="2" borderId="0" applyBorder="0" applyProtection="0"/>
    <xf numFmtId="0" fontId="10" fillId="0" borderId="0"/>
    <xf numFmtId="165" fontId="10" fillId="0" borderId="0" applyBorder="0" applyAlignment="0" applyProtection="0"/>
    <xf numFmtId="0" fontId="10" fillId="0" borderId="0"/>
    <xf numFmtId="0" fontId="10" fillId="0" borderId="0"/>
    <xf numFmtId="0" fontId="10" fillId="0" borderId="0"/>
    <xf numFmtId="0" fontId="1" fillId="0" borderId="0"/>
    <xf numFmtId="0" fontId="4" fillId="0" borderId="0"/>
    <xf numFmtId="166" fontId="4" fillId="0" borderId="0" applyBorder="0" applyProtection="0"/>
    <xf numFmtId="0" fontId="2" fillId="0" borderId="1" applyProtection="0"/>
    <xf numFmtId="0" fontId="4" fillId="0" borderId="0"/>
    <xf numFmtId="165" fontId="4" fillId="0" borderId="0" applyBorder="0" applyAlignment="0" applyProtection="0"/>
    <xf numFmtId="0" fontId="4" fillId="0" borderId="0"/>
    <xf numFmtId="0" fontId="4" fillId="0" borderId="0"/>
    <xf numFmtId="0" fontId="4" fillId="0" borderId="0"/>
    <xf numFmtId="166" fontId="20" fillId="0" borderId="0" applyBorder="0" applyProtection="0"/>
    <xf numFmtId="172" fontId="23" fillId="0" borderId="0" applyBorder="0" applyProtection="0"/>
  </cellStyleXfs>
  <cellXfs count="213">
    <xf numFmtId="0" fontId="0" fillId="0" borderId="0" xfId="0"/>
    <xf numFmtId="0" fontId="5" fillId="0" borderId="0" xfId="0" applyFont="1"/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" fontId="7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center"/>
    </xf>
    <xf numFmtId="170" fontId="11" fillId="4" borderId="5" xfId="0" applyNumberFormat="1" applyFont="1" applyFill="1" applyBorder="1" applyAlignment="1">
      <alignment horizontal="center" vertical="center" wrapText="1"/>
    </xf>
    <xf numFmtId="1" fontId="11" fillId="4" borderId="5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3" fontId="11" fillId="4" borderId="5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5" xfId="4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0" fontId="5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 wrapText="1"/>
    </xf>
    <xf numFmtId="3" fontId="11" fillId="0" borderId="5" xfId="4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 wrapText="1"/>
    </xf>
    <xf numFmtId="170" fontId="13" fillId="4" borderId="5" xfId="0" applyNumberFormat="1" applyFont="1" applyFill="1" applyBorder="1" applyAlignment="1">
      <alignment horizontal="center" vertical="center"/>
    </xf>
    <xf numFmtId="3" fontId="13" fillId="4" borderId="5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3" fontId="19" fillId="0" borderId="5" xfId="4" applyNumberFormat="1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/>
    </xf>
    <xf numFmtId="170" fontId="11" fillId="0" borderId="5" xfId="0" applyNumberFormat="1" applyFont="1" applyBorder="1" applyAlignment="1">
      <alignment horizontal="center"/>
    </xf>
    <xf numFmtId="3" fontId="11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169" fontId="11" fillId="0" borderId="5" xfId="0" applyNumberFormat="1" applyFont="1" applyBorder="1" applyAlignment="1">
      <alignment horizontal="center"/>
    </xf>
    <xf numFmtId="0" fontId="12" fillId="0" borderId="5" xfId="13" applyFont="1" applyBorder="1" applyAlignment="1">
      <alignment horizontal="center" vertical="top"/>
    </xf>
    <xf numFmtId="1" fontId="12" fillId="0" borderId="5" xfId="8" applyNumberFormat="1" applyFont="1" applyBorder="1" applyAlignment="1">
      <alignment horizontal="center" vertical="center"/>
    </xf>
    <xf numFmtId="170" fontId="12" fillId="0" borderId="5" xfId="1" applyNumberFormat="1" applyFont="1" applyBorder="1" applyAlignment="1">
      <alignment vertical="center"/>
    </xf>
    <xf numFmtId="170" fontId="12" fillId="0" borderId="5" xfId="1" applyNumberFormat="1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 wrapText="1"/>
    </xf>
    <xf numFmtId="170" fontId="13" fillId="0" borderId="5" xfId="0" applyNumberFormat="1" applyFont="1" applyBorder="1" applyAlignment="1">
      <alignment horizontal="center" vertical="center" wrapText="1"/>
    </xf>
    <xf numFmtId="3" fontId="13" fillId="0" borderId="5" xfId="0" applyNumberFormat="1" applyFont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/>
    </xf>
    <xf numFmtId="170" fontId="11" fillId="0" borderId="0" xfId="1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70" fontId="11" fillId="0" borderId="5" xfId="1" applyNumberFormat="1" applyFont="1" applyBorder="1" applyAlignment="1">
      <alignment vertical="center" wrapText="1"/>
    </xf>
    <xf numFmtId="167" fontId="13" fillId="0" borderId="5" xfId="0" applyNumberFormat="1" applyFont="1" applyBorder="1" applyAlignment="1">
      <alignment vertical="center" wrapText="1"/>
    </xf>
    <xf numFmtId="167" fontId="11" fillId="4" borderId="5" xfId="4" applyNumberFormat="1" applyFont="1" applyFill="1" applyBorder="1" applyAlignment="1">
      <alignment vertical="center" wrapText="1"/>
    </xf>
    <xf numFmtId="164" fontId="11" fillId="0" borderId="5" xfId="1" applyNumberFormat="1" applyFont="1" applyFill="1" applyBorder="1" applyAlignment="1">
      <alignment vertical="center" wrapText="1"/>
    </xf>
    <xf numFmtId="0" fontId="16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12" fillId="4" borderId="5" xfId="9" applyFont="1" applyFill="1" applyBorder="1" applyAlignment="1">
      <alignment horizontal="center" vertical="center"/>
    </xf>
    <xf numFmtId="3" fontId="12" fillId="4" borderId="5" xfId="0" applyNumberFormat="1" applyFont="1" applyFill="1" applyBorder="1" applyAlignment="1">
      <alignment horizontal="center" vertical="center" wrapText="1"/>
    </xf>
    <xf numFmtId="0" fontId="15" fillId="4" borderId="5" xfId="9" applyFont="1" applyFill="1" applyBorder="1" applyAlignment="1">
      <alignment horizontal="center" vertical="center" wrapText="1"/>
    </xf>
    <xf numFmtId="170" fontId="15" fillId="4" borderId="5" xfId="0" applyNumberFormat="1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71" fontId="5" fillId="0" borderId="0" xfId="0" applyNumberFormat="1" applyFont="1" applyAlignment="1">
      <alignment horizontal="center"/>
    </xf>
    <xf numFmtId="3" fontId="5" fillId="0" borderId="0" xfId="0" applyNumberFormat="1" applyFont="1"/>
    <xf numFmtId="0" fontId="9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21" fillId="0" borderId="7" xfId="0" applyFont="1" applyBorder="1" applyAlignment="1">
      <alignment horizontal="right" vertical="center"/>
    </xf>
    <xf numFmtId="17" fontId="22" fillId="3" borderId="8" xfId="0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4" fillId="0" borderId="0" xfId="0" applyFont="1" applyBorder="1" applyAlignment="1">
      <alignment horizontal="left" vertical="center"/>
    </xf>
    <xf numFmtId="0" fontId="26" fillId="4" borderId="16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left" vertical="center"/>
    </xf>
    <xf numFmtId="0" fontId="26" fillId="3" borderId="16" xfId="0" applyFont="1" applyFill="1" applyBorder="1" applyAlignment="1">
      <alignment horizontal="center" vertical="center"/>
    </xf>
    <xf numFmtId="3" fontId="28" fillId="0" borderId="0" xfId="0" applyNumberFormat="1" applyFont="1" applyBorder="1" applyAlignment="1"/>
    <xf numFmtId="17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3" fillId="0" borderId="0" xfId="0" applyFont="1"/>
    <xf numFmtId="0" fontId="0" fillId="0" borderId="0" xfId="0" applyBorder="1"/>
    <xf numFmtId="0" fontId="0" fillId="0" borderId="7" xfId="0" applyBorder="1"/>
    <xf numFmtId="0" fontId="0" fillId="0" borderId="25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26" xfId="0" applyBorder="1"/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30" xfId="0" applyFont="1" applyBorder="1" applyAlignment="1">
      <alignment horizontal="left" vertical="center"/>
    </xf>
    <xf numFmtId="0" fontId="32" fillId="0" borderId="31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168" fontId="0" fillId="0" borderId="36" xfId="19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8" fontId="0" fillId="0" borderId="41" xfId="19" applyNumberFormat="1" applyFont="1" applyBorder="1" applyAlignment="1" applyProtection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8" fontId="0" fillId="0" borderId="45" xfId="19" applyNumberFormat="1" applyFont="1" applyBorder="1" applyAlignment="1" applyProtection="1">
      <alignment horizontal="center" vertical="center"/>
    </xf>
    <xf numFmtId="168" fontId="32" fillId="0" borderId="46" xfId="0" applyNumberFormat="1" applyFont="1" applyBorder="1" applyAlignment="1">
      <alignment horizontal="center" vertical="center"/>
    </xf>
    <xf numFmtId="0" fontId="26" fillId="4" borderId="48" xfId="0" applyFont="1" applyFill="1" applyBorder="1" applyAlignment="1">
      <alignment horizontal="center" vertical="center"/>
    </xf>
    <xf numFmtId="0" fontId="26" fillId="4" borderId="48" xfId="0" applyFont="1" applyFill="1" applyBorder="1" applyAlignment="1">
      <alignment horizontal="left" vertical="center"/>
    </xf>
    <xf numFmtId="168" fontId="0" fillId="0" borderId="0" xfId="0" applyNumberFormat="1"/>
    <xf numFmtId="3" fontId="33" fillId="0" borderId="5" xfId="0" applyNumberFormat="1" applyFont="1" applyBorder="1" applyAlignment="1">
      <alignment horizontal="center" vertical="center" wrapText="1"/>
    </xf>
    <xf numFmtId="0" fontId="22" fillId="0" borderId="0" xfId="0" applyFont="1" applyBorder="1" applyAlignment="1">
      <alignment horizontal="left" vertical="center" wrapText="1" indent="1"/>
    </xf>
    <xf numFmtId="0" fontId="34" fillId="0" borderId="0" xfId="0" applyFont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167" fontId="34" fillId="0" borderId="0" xfId="1" applyNumberFormat="1" applyFont="1" applyBorder="1"/>
    <xf numFmtId="0" fontId="34" fillId="0" borderId="0" xfId="0" applyFont="1"/>
    <xf numFmtId="0" fontId="12" fillId="0" borderId="5" xfId="13" applyFont="1" applyBorder="1" applyAlignment="1">
      <alignment horizontal="center" vertical="center"/>
    </xf>
    <xf numFmtId="3" fontId="11" fillId="4" borderId="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2" fillId="0" borderId="0" xfId="0" applyFont="1" applyBorder="1" applyAlignment="1">
      <alignment horizontal="left" vertical="center" wrapText="1" indent="1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26" xfId="0" applyBorder="1" applyAlignment="1">
      <alignment vertical="center"/>
    </xf>
    <xf numFmtId="0" fontId="13" fillId="4" borderId="5" xfId="0" applyNumberFormat="1" applyFont="1" applyFill="1" applyBorder="1" applyAlignment="1">
      <alignment horizontal="center" vertical="center"/>
    </xf>
    <xf numFmtId="7" fontId="34" fillId="0" borderId="0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9" fillId="0" borderId="0" xfId="0" applyFont="1" applyFill="1" applyBorder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2" fillId="0" borderId="20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44" fontId="17" fillId="0" borderId="2" xfId="0" applyNumberFormat="1" applyFont="1" applyBorder="1" applyAlignment="1">
      <alignment horizontal="center" vertical="center" wrapText="1"/>
    </xf>
    <xf numFmtId="44" fontId="17" fillId="0" borderId="4" xfId="0" applyNumberFormat="1" applyFont="1" applyBorder="1" applyAlignment="1">
      <alignment horizontal="center" vertical="center" wrapText="1"/>
    </xf>
    <xf numFmtId="0" fontId="22" fillId="0" borderId="0" xfId="0" applyFont="1" applyBorder="1" applyAlignment="1">
      <alignment horizontal="left" vertical="center" wrapText="1" indent="1"/>
    </xf>
    <xf numFmtId="169" fontId="24" fillId="0" borderId="0" xfId="0" applyNumberFormat="1" applyFont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25" fillId="0" borderId="14" xfId="0" applyFont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 indent="1"/>
    </xf>
    <xf numFmtId="0" fontId="24" fillId="0" borderId="12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 wrapText="1" indent="1"/>
    </xf>
    <xf numFmtId="0" fontId="21" fillId="0" borderId="0" xfId="0" applyFont="1" applyBorder="1" applyAlignment="1">
      <alignment horizontal="center" vertical="center"/>
    </xf>
    <xf numFmtId="0" fontId="30" fillId="3" borderId="46" xfId="0" applyFont="1" applyFill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/>
    </xf>
    <xf numFmtId="0" fontId="0" fillId="0" borderId="40" xfId="0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0" fillId="0" borderId="27" xfId="0" applyBorder="1"/>
    <xf numFmtId="0" fontId="28" fillId="0" borderId="21" xfId="0" applyFont="1" applyBorder="1" applyAlignment="1">
      <alignment vertical="center" wrapText="1"/>
    </xf>
    <xf numFmtId="0" fontId="28" fillId="0" borderId="47" xfId="0" applyFont="1" applyBorder="1" applyAlignment="1">
      <alignment vertical="center" wrapText="1"/>
    </xf>
    <xf numFmtId="0" fontId="28" fillId="0" borderId="14" xfId="0" applyFont="1" applyBorder="1" applyAlignment="1">
      <alignment vertical="center" wrapText="1"/>
    </xf>
    <xf numFmtId="0" fontId="30" fillId="0" borderId="28" xfId="0" applyFont="1" applyBorder="1" applyAlignment="1">
      <alignment vertical="center" wrapText="1"/>
    </xf>
    <xf numFmtId="0" fontId="0" fillId="0" borderId="34" xfId="0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indent="1"/>
    </xf>
    <xf numFmtId="0" fontId="31" fillId="0" borderId="8" xfId="0" applyFont="1" applyBorder="1" applyAlignment="1">
      <alignment horizontal="left"/>
    </xf>
    <xf numFmtId="0" fontId="30" fillId="0" borderId="24" xfId="0" applyFont="1" applyBorder="1"/>
    <xf numFmtId="0" fontId="30" fillId="4" borderId="24" xfId="0" applyNumberFormat="1" applyFont="1" applyFill="1" applyBorder="1" applyAlignment="1">
      <alignment horizontal="left" vertical="justify" wrapText="1" indent="1"/>
    </xf>
    <xf numFmtId="0" fontId="30" fillId="4" borderId="0" xfId="0" applyNumberFormat="1" applyFont="1" applyFill="1" applyBorder="1" applyAlignment="1">
      <alignment horizontal="left" vertical="justify" wrapText="1" indent="1"/>
    </xf>
    <xf numFmtId="0" fontId="30" fillId="4" borderId="7" xfId="0" applyNumberFormat="1" applyFont="1" applyFill="1" applyBorder="1" applyAlignment="1">
      <alignment horizontal="left" vertical="justify" wrapText="1" indent="1"/>
    </xf>
    <xf numFmtId="0" fontId="32" fillId="0" borderId="2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/>
    </xf>
    <xf numFmtId="0" fontId="28" fillId="0" borderId="4" xfId="0" applyNumberFormat="1" applyFont="1" applyBorder="1" applyAlignment="1">
      <alignment horizontal="center"/>
    </xf>
    <xf numFmtId="0" fontId="29" fillId="0" borderId="8" xfId="0" applyFont="1" applyBorder="1" applyAlignment="1">
      <alignment horizontal="center" vertical="center" wrapText="1"/>
    </xf>
    <xf numFmtId="0" fontId="23" fillId="0" borderId="8" xfId="0" applyFont="1" applyBorder="1"/>
    <xf numFmtId="0" fontId="13" fillId="0" borderId="20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13" fillId="0" borderId="17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13" fillId="0" borderId="19" xfId="0" applyFont="1" applyFill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/>
    </xf>
    <xf numFmtId="0" fontId="23" fillId="0" borderId="8" xfId="0" applyFont="1" applyBorder="1" applyAlignment="1">
      <alignment vertical="center"/>
    </xf>
    <xf numFmtId="0" fontId="0" fillId="0" borderId="49" xfId="0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/>
    </xf>
    <xf numFmtId="0" fontId="30" fillId="0" borderId="24" xfId="0" applyFont="1" applyBorder="1" applyAlignment="1">
      <alignment vertical="center"/>
    </xf>
    <xf numFmtId="0" fontId="30" fillId="4" borderId="24" xfId="0" applyNumberFormat="1" applyFont="1" applyFill="1" applyBorder="1" applyAlignment="1">
      <alignment horizontal="left" vertical="center" wrapText="1"/>
    </xf>
    <xf numFmtId="0" fontId="30" fillId="4" borderId="0" xfId="0" applyNumberFormat="1" applyFont="1" applyFill="1" applyBorder="1" applyAlignment="1">
      <alignment horizontal="left" vertical="center" wrapText="1"/>
    </xf>
    <xf numFmtId="0" fontId="30" fillId="4" borderId="7" xfId="0" applyNumberFormat="1" applyFont="1" applyFill="1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50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8" xfId="0" applyFont="1" applyBorder="1" applyAlignment="1">
      <alignment horizontal="left" vertical="center" wrapText="1"/>
    </xf>
  </cellXfs>
  <cellStyles count="20">
    <cellStyle name="Encabezado 1" xfId="2" xr:uid="{00000000-0005-0000-0000-000000000000}"/>
    <cellStyle name="Encabezado 1 2" xfId="12" xr:uid="{00000000-0005-0000-0000-000001000000}"/>
    <cellStyle name="Moneda" xfId="1" builtinId="4"/>
    <cellStyle name="Moneda 2" xfId="5" xr:uid="{00000000-0005-0000-0000-000003000000}"/>
    <cellStyle name="Moneda 2 2" xfId="14" xr:uid="{00000000-0005-0000-0000-000004000000}"/>
    <cellStyle name="Moneda 3" xfId="11" xr:uid="{00000000-0005-0000-0000-000005000000}"/>
    <cellStyle name="Moneda 4" xfId="18" xr:uid="{00000000-0005-0000-0000-000006000000}"/>
    <cellStyle name="Moneda_AUTORIZACION Y NOTA DE PEDIDO" xfId="19" xr:uid="{00000000-0005-0000-0000-000007000000}"/>
    <cellStyle name="Neutral 1" xfId="3" xr:uid="{00000000-0005-0000-0000-000008000000}"/>
    <cellStyle name="Normal" xfId="0" builtinId="0"/>
    <cellStyle name="Normal 2" xfId="4" xr:uid="{00000000-0005-0000-0000-00000A000000}"/>
    <cellStyle name="Normal 2 2" xfId="13" xr:uid="{00000000-0005-0000-0000-00000B000000}"/>
    <cellStyle name="Normal 3" xfId="6" xr:uid="{00000000-0005-0000-0000-00000C000000}"/>
    <cellStyle name="Normal 3 2" xfId="7" xr:uid="{00000000-0005-0000-0000-00000D000000}"/>
    <cellStyle name="Normal 3 2 2" xfId="16" xr:uid="{00000000-0005-0000-0000-00000E000000}"/>
    <cellStyle name="Normal 3 3" xfId="15" xr:uid="{00000000-0005-0000-0000-00000F000000}"/>
    <cellStyle name="Normal 4" xfId="8" xr:uid="{00000000-0005-0000-0000-000010000000}"/>
    <cellStyle name="Normal 4 2" xfId="17" xr:uid="{00000000-0005-0000-0000-000011000000}"/>
    <cellStyle name="Normal 5" xfId="9" xr:uid="{00000000-0005-0000-0000-000012000000}"/>
    <cellStyle name="Normal 6" xfId="10" xr:uid="{00000000-0005-0000-0000-000013000000}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5"/>
  <sheetViews>
    <sheetView tabSelected="1" zoomScale="80" zoomScaleNormal="80" workbookViewId="0">
      <pane xSplit="1" topLeftCell="B1" activePane="topRight" state="frozen"/>
      <selection pane="topRight" activeCell="E64" sqref="E64"/>
    </sheetView>
  </sheetViews>
  <sheetFormatPr baseColWidth="10" defaultColWidth="11" defaultRowHeight="15" x14ac:dyDescent="0.25"/>
  <cols>
    <col min="1" max="1" width="10.5703125" style="50" customWidth="1"/>
    <col min="2" max="2" width="16" style="49" customWidth="1"/>
    <col min="3" max="3" width="20.5703125" style="50" customWidth="1"/>
    <col min="4" max="4" width="8.42578125" style="3" customWidth="1"/>
    <col min="5" max="5" width="40.28515625" style="57" customWidth="1"/>
    <col min="6" max="6" width="12.85546875" style="3" customWidth="1"/>
    <col min="7" max="7" width="11" style="3" hidden="1" customWidth="1"/>
    <col min="8" max="8" width="14.85546875" style="3" hidden="1" customWidth="1"/>
    <col min="9" max="9" width="24" style="3" hidden="1" customWidth="1"/>
    <col min="10" max="10" width="12.85546875" style="5" customWidth="1"/>
    <col min="11" max="11" width="18.85546875" style="16" hidden="1" customWidth="1"/>
    <col min="12" max="12" width="18.85546875" style="18" hidden="1" customWidth="1"/>
    <col min="13" max="13" width="18.85546875" style="3" hidden="1" customWidth="1"/>
    <col min="14" max="14" width="18.85546875" style="5" hidden="1" customWidth="1"/>
    <col min="15" max="15" width="18.85546875" style="3" hidden="1" customWidth="1"/>
    <col min="16" max="16" width="18.85546875" style="18" hidden="1" customWidth="1"/>
    <col min="17" max="17" width="18.85546875" style="3" hidden="1" customWidth="1"/>
    <col min="18" max="18" width="18.85546875" style="5" hidden="1" customWidth="1"/>
    <col min="19" max="19" width="18.85546875" style="3" hidden="1" customWidth="1"/>
    <col min="20" max="20" width="18.85546875" style="18" hidden="1" customWidth="1"/>
    <col min="21" max="21" width="18.85546875" style="3" hidden="1" customWidth="1"/>
    <col min="22" max="22" width="18.85546875" style="18" hidden="1" customWidth="1"/>
    <col min="23" max="23" width="18.85546875" style="3" hidden="1" customWidth="1"/>
    <col min="24" max="24" width="18.85546875" style="18" hidden="1" customWidth="1"/>
    <col min="25" max="25" width="18.85546875" style="3" hidden="1" customWidth="1"/>
    <col min="26" max="26" width="18.85546875" style="18" hidden="1" customWidth="1"/>
    <col min="27" max="27" width="18.85546875" style="3" hidden="1" customWidth="1"/>
    <col min="28" max="28" width="18.85546875" style="18" hidden="1" customWidth="1"/>
    <col min="29" max="30" width="18.85546875" style="3" hidden="1" customWidth="1"/>
    <col min="31" max="31" width="18.85546875" style="18" hidden="1" customWidth="1"/>
    <col min="32" max="32" width="18.85546875" style="3" hidden="1" customWidth="1"/>
    <col min="33" max="33" width="18.85546875" style="18" customWidth="1"/>
    <col min="34" max="34" width="18.85546875" style="3" hidden="1" customWidth="1"/>
    <col min="35" max="35" width="18.85546875" style="18" hidden="1" customWidth="1"/>
    <col min="36" max="36" width="18.85546875" style="3" hidden="1" customWidth="1"/>
    <col min="37" max="37" width="18.85546875" style="18" hidden="1" customWidth="1"/>
    <col min="38" max="38" width="18.85546875" style="3" hidden="1" customWidth="1"/>
    <col min="39" max="39" width="18.85546875" style="18" hidden="1" customWidth="1"/>
    <col min="40" max="40" width="18.85546875" style="3" hidden="1" customWidth="1"/>
    <col min="41" max="41" width="18.85546875" style="3" customWidth="1"/>
    <col min="42" max="42" width="16.42578125" style="21" customWidth="1"/>
    <col min="43" max="43" width="16.5703125" style="43" bestFit="1" customWidth="1"/>
    <col min="44" max="44" width="22.5703125" style="44" customWidth="1"/>
    <col min="45" max="16384" width="11" style="1"/>
  </cols>
  <sheetData>
    <row r="1" spans="1:45" x14ac:dyDescent="0.25">
      <c r="A1" s="122"/>
    </row>
    <row r="2" spans="1:45" ht="25.5" x14ac:dyDescent="0.35">
      <c r="B2" s="135" t="s">
        <v>17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6"/>
      <c r="AQ2" s="137"/>
    </row>
    <row r="4" spans="1:45" ht="18" customHeight="1" x14ac:dyDescent="0.25">
      <c r="A4" s="134" t="s">
        <v>0</v>
      </c>
      <c r="B4" s="134"/>
      <c r="C4" s="138" t="s">
        <v>15</v>
      </c>
      <c r="D4" s="138"/>
      <c r="E4" s="138"/>
      <c r="F4" s="2"/>
      <c r="G4" s="2"/>
      <c r="H4" s="2"/>
      <c r="I4" s="2"/>
      <c r="J4" s="4"/>
      <c r="K4" s="17"/>
      <c r="L4" s="19"/>
      <c r="M4" s="2"/>
      <c r="N4" s="4"/>
      <c r="O4" s="2"/>
      <c r="P4" s="19"/>
      <c r="Q4" s="2"/>
      <c r="R4" s="4"/>
      <c r="S4" s="2"/>
      <c r="T4" s="19"/>
      <c r="U4" s="2"/>
      <c r="V4" s="19"/>
      <c r="W4" s="2"/>
      <c r="X4" s="19"/>
      <c r="Y4" s="2"/>
      <c r="Z4" s="19"/>
      <c r="AA4" s="2"/>
      <c r="AB4" s="19"/>
      <c r="AC4" s="2"/>
      <c r="AD4" s="2"/>
      <c r="AE4" s="19"/>
      <c r="AF4" s="2"/>
      <c r="AG4" s="19"/>
      <c r="AH4" s="2"/>
      <c r="AI4" s="19"/>
      <c r="AJ4" s="2"/>
      <c r="AK4" s="19"/>
      <c r="AL4" s="2"/>
      <c r="AM4" s="19"/>
      <c r="AN4" s="2"/>
      <c r="AO4" s="2"/>
      <c r="AP4" s="22"/>
    </row>
    <row r="5" spans="1:45" ht="18" customHeight="1" x14ac:dyDescent="0.25">
      <c r="A5" s="134" t="s">
        <v>1</v>
      </c>
      <c r="B5" s="134"/>
      <c r="C5" s="138" t="s">
        <v>61</v>
      </c>
      <c r="D5" s="138"/>
      <c r="E5" s="138"/>
      <c r="F5" s="2"/>
      <c r="G5" s="2"/>
      <c r="H5" s="2"/>
      <c r="I5" s="2"/>
      <c r="J5" s="4"/>
      <c r="K5" s="17"/>
      <c r="L5" s="19"/>
      <c r="M5" s="2"/>
      <c r="N5" s="4"/>
      <c r="O5" s="2"/>
      <c r="P5" s="19"/>
      <c r="Q5" s="2"/>
      <c r="R5" s="4"/>
      <c r="S5" s="2"/>
      <c r="T5" s="19"/>
      <c r="U5" s="2"/>
      <c r="V5" s="19"/>
      <c r="W5" s="2"/>
      <c r="X5" s="19"/>
      <c r="Y5" s="2"/>
      <c r="Z5" s="19"/>
      <c r="AA5" s="2"/>
      <c r="AB5" s="19"/>
      <c r="AC5" s="2"/>
      <c r="AD5" s="2"/>
      <c r="AE5" s="19"/>
      <c r="AF5" s="2"/>
      <c r="AG5" s="19"/>
      <c r="AH5" s="2"/>
      <c r="AI5" s="19"/>
      <c r="AJ5" s="2"/>
      <c r="AK5" s="19"/>
      <c r="AL5" s="2"/>
      <c r="AM5" s="19"/>
      <c r="AN5" s="2"/>
      <c r="AO5" s="2"/>
      <c r="AP5" s="22"/>
    </row>
    <row r="6" spans="1:45" ht="16.5" customHeight="1" x14ac:dyDescent="0.2">
      <c r="A6" s="134" t="s">
        <v>2</v>
      </c>
      <c r="B6" s="134"/>
      <c r="C6" s="60">
        <v>2021</v>
      </c>
      <c r="D6" s="61"/>
      <c r="E6" s="62"/>
      <c r="F6" s="2"/>
      <c r="G6" s="2"/>
      <c r="H6" s="2"/>
      <c r="I6" s="2"/>
      <c r="J6" s="4"/>
      <c r="K6" s="17"/>
      <c r="L6" s="19"/>
      <c r="M6" s="2"/>
      <c r="N6" s="4"/>
      <c r="O6" s="2"/>
      <c r="P6" s="19"/>
      <c r="Q6" s="2"/>
      <c r="R6" s="4"/>
      <c r="S6" s="2"/>
      <c r="T6" s="19"/>
      <c r="U6" s="2"/>
      <c r="V6" s="19"/>
      <c r="W6" s="2"/>
      <c r="X6" s="19"/>
      <c r="Y6" s="2"/>
      <c r="Z6" s="19"/>
      <c r="AA6" s="2"/>
      <c r="AB6" s="19"/>
      <c r="AC6" s="2"/>
      <c r="AD6" s="2"/>
      <c r="AE6" s="19"/>
      <c r="AF6" s="2"/>
      <c r="AG6" s="19"/>
      <c r="AH6" s="2"/>
      <c r="AI6" s="19"/>
      <c r="AJ6" s="2"/>
      <c r="AK6" s="19"/>
      <c r="AL6" s="2"/>
      <c r="AM6" s="19"/>
      <c r="AN6" s="2"/>
      <c r="AO6" s="2"/>
      <c r="AP6" s="22"/>
    </row>
    <row r="7" spans="1:45" ht="31.5" customHeight="1" x14ac:dyDescent="0.2">
      <c r="A7" s="134" t="s">
        <v>3</v>
      </c>
      <c r="B7" s="134"/>
      <c r="C7" s="139" t="s">
        <v>16</v>
      </c>
      <c r="D7" s="139"/>
      <c r="E7" s="139"/>
      <c r="F7" s="2"/>
      <c r="G7" s="2"/>
      <c r="H7" s="2"/>
      <c r="I7" s="2"/>
      <c r="J7" s="4"/>
      <c r="K7" s="17"/>
      <c r="L7" s="19"/>
      <c r="M7" s="2"/>
      <c r="N7" s="4"/>
      <c r="O7" s="2"/>
      <c r="P7" s="19"/>
      <c r="Q7" s="2"/>
      <c r="R7" s="4"/>
      <c r="S7" s="2"/>
      <c r="T7" s="19"/>
      <c r="U7" s="2"/>
      <c r="V7" s="19"/>
      <c r="W7" s="2"/>
      <c r="X7" s="19"/>
      <c r="Y7" s="2"/>
      <c r="Z7" s="19"/>
      <c r="AA7" s="2"/>
      <c r="AB7" s="19"/>
      <c r="AC7" s="2"/>
      <c r="AD7" s="2"/>
      <c r="AE7" s="19"/>
      <c r="AF7" s="2"/>
      <c r="AG7" s="19"/>
      <c r="AH7" s="2"/>
      <c r="AI7" s="19"/>
      <c r="AJ7" s="2"/>
      <c r="AK7" s="19"/>
      <c r="AL7" s="2"/>
      <c r="AM7" s="19"/>
      <c r="AN7" s="2"/>
      <c r="AO7" s="2"/>
      <c r="AP7" s="22"/>
    </row>
    <row r="8" spans="1:45" ht="2.25" customHeight="1" x14ac:dyDescent="0.25">
      <c r="B8" s="51"/>
      <c r="C8" s="52"/>
      <c r="D8" s="2"/>
      <c r="E8" s="52"/>
      <c r="F8" s="2"/>
      <c r="G8" s="2"/>
      <c r="H8" s="2"/>
      <c r="I8" s="2"/>
      <c r="J8" s="4"/>
      <c r="K8" s="17"/>
      <c r="L8" s="19"/>
      <c r="M8" s="2"/>
      <c r="N8" s="4"/>
      <c r="O8" s="2"/>
      <c r="P8" s="19"/>
      <c r="Q8" s="2"/>
      <c r="R8" s="4"/>
      <c r="S8" s="2"/>
      <c r="T8" s="19"/>
      <c r="U8" s="2"/>
      <c r="V8" s="19"/>
      <c r="W8" s="2"/>
      <c r="X8" s="19"/>
      <c r="Y8" s="2"/>
      <c r="Z8" s="19"/>
      <c r="AA8" s="2"/>
      <c r="AB8" s="19"/>
      <c r="AC8" s="2"/>
      <c r="AD8" s="2"/>
      <c r="AE8" s="19"/>
      <c r="AF8" s="2"/>
      <c r="AG8" s="19"/>
      <c r="AH8" s="2"/>
      <c r="AI8" s="19"/>
      <c r="AJ8" s="2"/>
      <c r="AK8" s="19"/>
      <c r="AL8" s="2"/>
      <c r="AM8" s="19"/>
      <c r="AN8" s="2"/>
      <c r="AO8" s="2"/>
      <c r="AP8" s="22"/>
    </row>
    <row r="9" spans="1:45" ht="42.75" x14ac:dyDescent="0.2">
      <c r="A9" s="38" t="s">
        <v>4</v>
      </c>
      <c r="B9" s="38" t="s">
        <v>5</v>
      </c>
      <c r="C9" s="11" t="s">
        <v>6</v>
      </c>
      <c r="D9" s="38" t="s">
        <v>7</v>
      </c>
      <c r="E9" s="11" t="s">
        <v>8</v>
      </c>
      <c r="F9" s="11" t="s">
        <v>9</v>
      </c>
      <c r="G9" s="11" t="s">
        <v>20</v>
      </c>
      <c r="H9" s="11" t="s">
        <v>22</v>
      </c>
      <c r="I9" s="11" t="s">
        <v>25</v>
      </c>
      <c r="J9" s="39" t="s">
        <v>27</v>
      </c>
      <c r="K9" s="40" t="s">
        <v>28</v>
      </c>
      <c r="L9" s="41" t="s">
        <v>29</v>
      </c>
      <c r="M9" s="11" t="s">
        <v>30</v>
      </c>
      <c r="N9" s="39" t="s">
        <v>31</v>
      </c>
      <c r="O9" s="11" t="s">
        <v>32</v>
      </c>
      <c r="P9" s="41" t="s">
        <v>33</v>
      </c>
      <c r="Q9" s="11" t="s">
        <v>34</v>
      </c>
      <c r="R9" s="39" t="s">
        <v>35</v>
      </c>
      <c r="S9" s="11" t="s">
        <v>36</v>
      </c>
      <c r="T9" s="41" t="s">
        <v>38</v>
      </c>
      <c r="U9" s="11" t="s">
        <v>39</v>
      </c>
      <c r="V9" s="41" t="s">
        <v>40</v>
      </c>
      <c r="W9" s="11" t="s">
        <v>41</v>
      </c>
      <c r="X9" s="41" t="s">
        <v>42</v>
      </c>
      <c r="Y9" s="11" t="s">
        <v>43</v>
      </c>
      <c r="Z9" s="41" t="s">
        <v>44</v>
      </c>
      <c r="AA9" s="11" t="s">
        <v>45</v>
      </c>
      <c r="AB9" s="41" t="s">
        <v>46</v>
      </c>
      <c r="AC9" s="11" t="s">
        <v>47</v>
      </c>
      <c r="AD9" s="11" t="s">
        <v>48</v>
      </c>
      <c r="AE9" s="41" t="s">
        <v>49</v>
      </c>
      <c r="AF9" s="11" t="s">
        <v>50</v>
      </c>
      <c r="AG9" s="41" t="s">
        <v>51</v>
      </c>
      <c r="AH9" s="11" t="s">
        <v>52</v>
      </c>
      <c r="AI9" s="41" t="s">
        <v>55</v>
      </c>
      <c r="AJ9" s="11" t="s">
        <v>56</v>
      </c>
      <c r="AK9" s="41" t="s">
        <v>57</v>
      </c>
      <c r="AL9" s="11" t="s">
        <v>58</v>
      </c>
      <c r="AM9" s="41" t="s">
        <v>59</v>
      </c>
      <c r="AN9" s="11" t="s">
        <v>60</v>
      </c>
      <c r="AO9" s="11" t="s">
        <v>169</v>
      </c>
      <c r="AP9" s="113" t="s">
        <v>21</v>
      </c>
      <c r="AQ9" s="45" t="s">
        <v>10</v>
      </c>
      <c r="AR9" s="46" t="s">
        <v>11</v>
      </c>
    </row>
    <row r="10" spans="1:45" ht="28.5" x14ac:dyDescent="0.2">
      <c r="A10" s="10">
        <v>1</v>
      </c>
      <c r="B10" s="54"/>
      <c r="C10" s="12" t="s">
        <v>24</v>
      </c>
      <c r="D10" s="26" t="s">
        <v>53</v>
      </c>
      <c r="E10" s="63" t="s">
        <v>70</v>
      </c>
      <c r="F10" s="34" t="s">
        <v>13</v>
      </c>
      <c r="G10" s="13"/>
      <c r="H10" s="13"/>
      <c r="I10" s="33" t="e">
        <f>+#REF!*AQ10</f>
        <v>#REF!</v>
      </c>
      <c r="J10" s="35">
        <f>72+32</f>
        <v>104</v>
      </c>
      <c r="K10" s="29">
        <f t="shared" ref="K10:K46" si="0">+J10*AQ10</f>
        <v>3712280</v>
      </c>
      <c r="L10" s="30"/>
      <c r="M10" s="33"/>
      <c r="N10" s="28"/>
      <c r="O10" s="33"/>
      <c r="P10" s="30"/>
      <c r="Q10" s="33"/>
      <c r="R10" s="28"/>
      <c r="S10" s="33"/>
      <c r="T10" s="30"/>
      <c r="U10" s="33"/>
      <c r="V10" s="30"/>
      <c r="W10" s="33"/>
      <c r="X10" s="30"/>
      <c r="Y10" s="33"/>
      <c r="Z10" s="30"/>
      <c r="AA10" s="33"/>
      <c r="AB10" s="30"/>
      <c r="AC10" s="33"/>
      <c r="AD10" s="33"/>
      <c r="AE10" s="30"/>
      <c r="AF10" s="33"/>
      <c r="AG10" s="30"/>
      <c r="AH10" s="33">
        <f t="shared" ref="AH10:AH45" si="1">+AG10*AQ10</f>
        <v>0</v>
      </c>
      <c r="AI10" s="30"/>
      <c r="AJ10" s="33"/>
      <c r="AK10" s="30"/>
      <c r="AL10" s="33"/>
      <c r="AM10" s="30"/>
      <c r="AN10" s="33"/>
      <c r="AO10" s="33"/>
      <c r="AP10" s="20">
        <v>104</v>
      </c>
      <c r="AQ10" s="36">
        <v>35695</v>
      </c>
      <c r="AR10" s="47">
        <f t="shared" ref="AR10:AR46" si="2">+AP10*AQ10</f>
        <v>3712280</v>
      </c>
      <c r="AS10" s="59"/>
    </row>
    <row r="11" spans="1:45" ht="28.5" x14ac:dyDescent="0.2">
      <c r="A11" s="10">
        <f>SUM(A10+1)</f>
        <v>2</v>
      </c>
      <c r="B11" s="54"/>
      <c r="C11" s="12" t="s">
        <v>24</v>
      </c>
      <c r="D11" s="26" t="s">
        <v>53</v>
      </c>
      <c r="E11" s="63" t="s">
        <v>71</v>
      </c>
      <c r="F11" s="34" t="s">
        <v>12</v>
      </c>
      <c r="G11" s="13"/>
      <c r="H11" s="13"/>
      <c r="I11" s="33" t="e">
        <f>+#REF!*AQ11</f>
        <v>#REF!</v>
      </c>
      <c r="J11" s="35">
        <f>+(8)*4</f>
        <v>32</v>
      </c>
      <c r="K11" s="29">
        <f t="shared" si="0"/>
        <v>1122880</v>
      </c>
      <c r="L11" s="30"/>
      <c r="M11" s="33"/>
      <c r="N11" s="28"/>
      <c r="O11" s="33"/>
      <c r="P11" s="30"/>
      <c r="Q11" s="33"/>
      <c r="R11" s="28"/>
      <c r="S11" s="33"/>
      <c r="T11" s="30"/>
      <c r="U11" s="33"/>
      <c r="V11" s="30"/>
      <c r="W11" s="33"/>
      <c r="X11" s="30"/>
      <c r="Y11" s="33"/>
      <c r="Z11" s="30"/>
      <c r="AA11" s="33"/>
      <c r="AB11" s="30"/>
      <c r="AC11" s="33"/>
      <c r="AD11" s="33"/>
      <c r="AE11" s="30"/>
      <c r="AF11" s="33"/>
      <c r="AG11" s="30"/>
      <c r="AH11" s="33">
        <f t="shared" si="1"/>
        <v>0</v>
      </c>
      <c r="AI11" s="30"/>
      <c r="AJ11" s="33"/>
      <c r="AK11" s="30"/>
      <c r="AL11" s="33"/>
      <c r="AM11" s="30"/>
      <c r="AN11" s="33"/>
      <c r="AO11" s="33"/>
      <c r="AP11" s="20">
        <v>32</v>
      </c>
      <c r="AQ11" s="36">
        <v>35090</v>
      </c>
      <c r="AR11" s="47">
        <f t="shared" si="2"/>
        <v>1122880</v>
      </c>
      <c r="AS11" s="59"/>
    </row>
    <row r="12" spans="1:45" ht="28.5" x14ac:dyDescent="0.2">
      <c r="A12" s="10">
        <f t="shared" ref="A12:A45" si="3">SUM(A11+1)</f>
        <v>3</v>
      </c>
      <c r="B12" s="54"/>
      <c r="C12" s="12" t="s">
        <v>24</v>
      </c>
      <c r="D12" s="26" t="s">
        <v>53</v>
      </c>
      <c r="E12" s="63" t="s">
        <v>72</v>
      </c>
      <c r="F12" s="34" t="s">
        <v>13</v>
      </c>
      <c r="G12" s="13"/>
      <c r="H12" s="13"/>
      <c r="I12" s="33" t="e">
        <f>+#REF!*AQ12</f>
        <v>#REF!</v>
      </c>
      <c r="J12" s="35">
        <v>1500</v>
      </c>
      <c r="K12" s="29">
        <f t="shared" si="0"/>
        <v>998250</v>
      </c>
      <c r="L12" s="30"/>
      <c r="M12" s="33"/>
      <c r="N12" s="28"/>
      <c r="O12" s="33"/>
      <c r="P12" s="30"/>
      <c r="Q12" s="33"/>
      <c r="R12" s="28"/>
      <c r="S12" s="33"/>
      <c r="T12" s="30"/>
      <c r="U12" s="33"/>
      <c r="V12" s="30"/>
      <c r="W12" s="33"/>
      <c r="X12" s="30"/>
      <c r="Y12" s="33"/>
      <c r="Z12" s="30"/>
      <c r="AA12" s="33"/>
      <c r="AB12" s="30"/>
      <c r="AC12" s="33"/>
      <c r="AD12" s="33"/>
      <c r="AE12" s="30"/>
      <c r="AF12" s="33"/>
      <c r="AG12" s="30"/>
      <c r="AH12" s="33">
        <f t="shared" si="1"/>
        <v>0</v>
      </c>
      <c r="AI12" s="30"/>
      <c r="AJ12" s="33"/>
      <c r="AK12" s="30"/>
      <c r="AL12" s="33"/>
      <c r="AM12" s="30"/>
      <c r="AN12" s="33"/>
      <c r="AO12" s="33"/>
      <c r="AP12" s="20">
        <v>1500</v>
      </c>
      <c r="AQ12" s="36">
        <v>665.5</v>
      </c>
      <c r="AR12" s="47">
        <f t="shared" si="2"/>
        <v>998250</v>
      </c>
      <c r="AS12" s="59"/>
    </row>
    <row r="13" spans="1:45" ht="28.5" x14ac:dyDescent="0.2">
      <c r="A13" s="10">
        <f t="shared" si="3"/>
        <v>4</v>
      </c>
      <c r="B13" s="54"/>
      <c r="C13" s="12" t="s">
        <v>24</v>
      </c>
      <c r="D13" s="26" t="s">
        <v>53</v>
      </c>
      <c r="E13" s="63" t="s">
        <v>73</v>
      </c>
      <c r="F13" s="34" t="s">
        <v>13</v>
      </c>
      <c r="G13" s="13"/>
      <c r="H13" s="13"/>
      <c r="I13" s="33" t="e">
        <f>+#REF!*AQ13</f>
        <v>#REF!</v>
      </c>
      <c r="J13" s="35">
        <v>1200</v>
      </c>
      <c r="K13" s="29">
        <f t="shared" si="0"/>
        <v>1045440</v>
      </c>
      <c r="L13" s="30"/>
      <c r="M13" s="29"/>
      <c r="N13" s="28"/>
      <c r="O13" s="29"/>
      <c r="P13" s="30"/>
      <c r="Q13" s="29"/>
      <c r="R13" s="28"/>
      <c r="S13" s="29"/>
      <c r="T13" s="30"/>
      <c r="U13" s="29"/>
      <c r="V13" s="30"/>
      <c r="W13" s="29"/>
      <c r="X13" s="30"/>
      <c r="Y13" s="29"/>
      <c r="Z13" s="30"/>
      <c r="AA13" s="29"/>
      <c r="AB13" s="30"/>
      <c r="AC13" s="29"/>
      <c r="AD13" s="29"/>
      <c r="AE13" s="30"/>
      <c r="AF13" s="29"/>
      <c r="AG13" s="30"/>
      <c r="AH13" s="33">
        <f t="shared" si="1"/>
        <v>0</v>
      </c>
      <c r="AI13" s="30"/>
      <c r="AJ13" s="29"/>
      <c r="AK13" s="30"/>
      <c r="AL13" s="29"/>
      <c r="AM13" s="30"/>
      <c r="AN13" s="29"/>
      <c r="AO13" s="29"/>
      <c r="AP13" s="20">
        <v>1200</v>
      </c>
      <c r="AQ13" s="36">
        <v>871.2</v>
      </c>
      <c r="AR13" s="47">
        <f t="shared" si="2"/>
        <v>1045440</v>
      </c>
      <c r="AS13" s="59"/>
    </row>
    <row r="14" spans="1:45" ht="28.5" x14ac:dyDescent="0.2">
      <c r="A14" s="10">
        <f t="shared" si="3"/>
        <v>5</v>
      </c>
      <c r="B14" s="54"/>
      <c r="C14" s="12" t="s">
        <v>24</v>
      </c>
      <c r="D14" s="26" t="s">
        <v>53</v>
      </c>
      <c r="E14" s="63" t="s">
        <v>74</v>
      </c>
      <c r="F14" s="34" t="s">
        <v>12</v>
      </c>
      <c r="G14" s="13"/>
      <c r="H14" s="13"/>
      <c r="I14" s="33" t="e">
        <f>+#REF!*AQ14</f>
        <v>#REF!</v>
      </c>
      <c r="J14" s="35">
        <v>900</v>
      </c>
      <c r="K14" s="29">
        <f t="shared" si="0"/>
        <v>858600</v>
      </c>
      <c r="L14" s="30"/>
      <c r="M14" s="33"/>
      <c r="N14" s="28"/>
      <c r="O14" s="33"/>
      <c r="P14" s="30"/>
      <c r="Q14" s="33"/>
      <c r="R14" s="28"/>
      <c r="S14" s="33"/>
      <c r="T14" s="30"/>
      <c r="U14" s="33"/>
      <c r="V14" s="30"/>
      <c r="W14" s="33"/>
      <c r="X14" s="30"/>
      <c r="Y14" s="33"/>
      <c r="Z14" s="30"/>
      <c r="AA14" s="33"/>
      <c r="AB14" s="30"/>
      <c r="AC14" s="33"/>
      <c r="AD14" s="33"/>
      <c r="AE14" s="30"/>
      <c r="AF14" s="33"/>
      <c r="AG14" s="30"/>
      <c r="AH14" s="33">
        <f t="shared" si="1"/>
        <v>0</v>
      </c>
      <c r="AI14" s="30"/>
      <c r="AJ14" s="33"/>
      <c r="AK14" s="30"/>
      <c r="AL14" s="33"/>
      <c r="AM14" s="30"/>
      <c r="AN14" s="33"/>
      <c r="AO14" s="33"/>
      <c r="AP14" s="20">
        <v>900</v>
      </c>
      <c r="AQ14" s="36">
        <v>954</v>
      </c>
      <c r="AR14" s="47">
        <f t="shared" si="2"/>
        <v>858600</v>
      </c>
      <c r="AS14" s="59"/>
    </row>
    <row r="15" spans="1:45" ht="28.5" x14ac:dyDescent="0.2">
      <c r="A15" s="10">
        <f t="shared" si="3"/>
        <v>6</v>
      </c>
      <c r="B15" s="54"/>
      <c r="C15" s="12" t="s">
        <v>24</v>
      </c>
      <c r="D15" s="26" t="s">
        <v>53</v>
      </c>
      <c r="E15" s="63" t="s">
        <v>75</v>
      </c>
      <c r="F15" s="34" t="s">
        <v>12</v>
      </c>
      <c r="G15" s="13"/>
      <c r="H15" s="13"/>
      <c r="I15" s="33" t="e">
        <f>+#REF!*AQ15</f>
        <v>#REF!</v>
      </c>
      <c r="J15" s="35">
        <v>9</v>
      </c>
      <c r="K15" s="29">
        <f t="shared" si="0"/>
        <v>262440</v>
      </c>
      <c r="L15" s="30"/>
      <c r="M15" s="33"/>
      <c r="N15" s="28"/>
      <c r="O15" s="33"/>
      <c r="P15" s="30"/>
      <c r="Q15" s="33"/>
      <c r="R15" s="28"/>
      <c r="S15" s="33"/>
      <c r="T15" s="30"/>
      <c r="U15" s="33"/>
      <c r="V15" s="30"/>
      <c r="W15" s="33"/>
      <c r="X15" s="30"/>
      <c r="Y15" s="33"/>
      <c r="Z15" s="30"/>
      <c r="AA15" s="33"/>
      <c r="AB15" s="30"/>
      <c r="AC15" s="33"/>
      <c r="AD15" s="33"/>
      <c r="AE15" s="30"/>
      <c r="AF15" s="33"/>
      <c r="AG15" s="30"/>
      <c r="AH15" s="33">
        <f t="shared" si="1"/>
        <v>0</v>
      </c>
      <c r="AI15" s="30"/>
      <c r="AJ15" s="33"/>
      <c r="AK15" s="30"/>
      <c r="AL15" s="33"/>
      <c r="AM15" s="30"/>
      <c r="AN15" s="33"/>
      <c r="AO15" s="33"/>
      <c r="AP15" s="20">
        <v>9</v>
      </c>
      <c r="AQ15" s="36">
        <v>29160</v>
      </c>
      <c r="AR15" s="47">
        <f t="shared" si="2"/>
        <v>262440</v>
      </c>
      <c r="AS15" s="59"/>
    </row>
    <row r="16" spans="1:45" ht="28.5" x14ac:dyDescent="0.2">
      <c r="A16" s="10">
        <f t="shared" si="3"/>
        <v>7</v>
      </c>
      <c r="B16" s="54"/>
      <c r="C16" s="12" t="s">
        <v>24</v>
      </c>
      <c r="D16" s="26" t="s">
        <v>53</v>
      </c>
      <c r="E16" s="63" t="s">
        <v>76</v>
      </c>
      <c r="F16" s="34" t="s">
        <v>12</v>
      </c>
      <c r="G16" s="13"/>
      <c r="H16" s="13"/>
      <c r="I16" s="33" t="e">
        <f>+#REF!*AQ16</f>
        <v>#REF!</v>
      </c>
      <c r="J16" s="35">
        <v>9</v>
      </c>
      <c r="K16" s="29">
        <f t="shared" si="0"/>
        <v>202500</v>
      </c>
      <c r="L16" s="30"/>
      <c r="M16" s="33"/>
      <c r="N16" s="28"/>
      <c r="O16" s="33"/>
      <c r="P16" s="30"/>
      <c r="Q16" s="33"/>
      <c r="R16" s="28"/>
      <c r="S16" s="33"/>
      <c r="T16" s="30"/>
      <c r="U16" s="33"/>
      <c r="V16" s="30"/>
      <c r="W16" s="33"/>
      <c r="X16" s="30"/>
      <c r="Y16" s="33"/>
      <c r="Z16" s="30"/>
      <c r="AA16" s="33"/>
      <c r="AB16" s="30"/>
      <c r="AC16" s="33"/>
      <c r="AD16" s="33"/>
      <c r="AE16" s="30"/>
      <c r="AF16" s="33"/>
      <c r="AG16" s="30"/>
      <c r="AH16" s="33">
        <f t="shared" si="1"/>
        <v>0</v>
      </c>
      <c r="AI16" s="30"/>
      <c r="AJ16" s="33"/>
      <c r="AK16" s="30"/>
      <c r="AL16" s="33"/>
      <c r="AM16" s="30"/>
      <c r="AN16" s="33"/>
      <c r="AO16" s="33"/>
      <c r="AP16" s="20">
        <v>9</v>
      </c>
      <c r="AQ16" s="36">
        <v>22500</v>
      </c>
      <c r="AR16" s="47">
        <f t="shared" si="2"/>
        <v>202500</v>
      </c>
      <c r="AS16" s="59"/>
    </row>
    <row r="17" spans="1:45" ht="28.5" x14ac:dyDescent="0.2">
      <c r="A17" s="10">
        <f t="shared" si="3"/>
        <v>8</v>
      </c>
      <c r="B17" s="54"/>
      <c r="C17" s="12" t="s">
        <v>24</v>
      </c>
      <c r="D17" s="26" t="s">
        <v>53</v>
      </c>
      <c r="E17" s="63" t="s">
        <v>77</v>
      </c>
      <c r="F17" s="34" t="s">
        <v>13</v>
      </c>
      <c r="G17" s="13"/>
      <c r="H17" s="13"/>
      <c r="I17" s="33" t="e">
        <f>+#REF!*AQ17</f>
        <v>#REF!</v>
      </c>
      <c r="J17" s="35">
        <v>9</v>
      </c>
      <c r="K17" s="29">
        <f t="shared" si="0"/>
        <v>148500</v>
      </c>
      <c r="L17" s="30"/>
      <c r="M17" s="33"/>
      <c r="N17" s="28"/>
      <c r="O17" s="33"/>
      <c r="P17" s="30"/>
      <c r="Q17" s="33"/>
      <c r="R17" s="28"/>
      <c r="S17" s="33"/>
      <c r="T17" s="30"/>
      <c r="U17" s="33"/>
      <c r="V17" s="30"/>
      <c r="W17" s="33"/>
      <c r="X17" s="30"/>
      <c r="Y17" s="33"/>
      <c r="Z17" s="30"/>
      <c r="AA17" s="33"/>
      <c r="AB17" s="30"/>
      <c r="AC17" s="33"/>
      <c r="AD17" s="33"/>
      <c r="AE17" s="30"/>
      <c r="AF17" s="33"/>
      <c r="AG17" s="30"/>
      <c r="AH17" s="33">
        <f t="shared" si="1"/>
        <v>0</v>
      </c>
      <c r="AI17" s="30"/>
      <c r="AJ17" s="33"/>
      <c r="AK17" s="30"/>
      <c r="AL17" s="33"/>
      <c r="AM17" s="30"/>
      <c r="AN17" s="33"/>
      <c r="AO17" s="33"/>
      <c r="AP17" s="20">
        <v>9</v>
      </c>
      <c r="AQ17" s="36">
        <v>16500</v>
      </c>
      <c r="AR17" s="47">
        <f t="shared" si="2"/>
        <v>148500</v>
      </c>
      <c r="AS17" s="59"/>
    </row>
    <row r="18" spans="1:45" ht="28.5" x14ac:dyDescent="0.2">
      <c r="A18" s="10">
        <f t="shared" si="3"/>
        <v>9</v>
      </c>
      <c r="B18" s="54"/>
      <c r="C18" s="12" t="s">
        <v>24</v>
      </c>
      <c r="D18" s="26" t="s">
        <v>53</v>
      </c>
      <c r="E18" s="63" t="s">
        <v>78</v>
      </c>
      <c r="F18" s="34" t="s">
        <v>13</v>
      </c>
      <c r="G18" s="13"/>
      <c r="H18" s="13"/>
      <c r="I18" s="33" t="e">
        <f>+#REF!*AQ18</f>
        <v>#REF!</v>
      </c>
      <c r="J18" s="35">
        <v>9</v>
      </c>
      <c r="K18" s="29">
        <f t="shared" si="0"/>
        <v>140292</v>
      </c>
      <c r="L18" s="30"/>
      <c r="M18" s="33"/>
      <c r="N18" s="28"/>
      <c r="O18" s="33"/>
      <c r="P18" s="30"/>
      <c r="Q18" s="33"/>
      <c r="R18" s="28"/>
      <c r="S18" s="33"/>
      <c r="T18" s="30"/>
      <c r="U18" s="33"/>
      <c r="V18" s="30"/>
      <c r="W18" s="33"/>
      <c r="X18" s="30"/>
      <c r="Y18" s="33"/>
      <c r="Z18" s="30"/>
      <c r="AA18" s="33"/>
      <c r="AB18" s="30"/>
      <c r="AC18" s="33"/>
      <c r="AD18" s="33"/>
      <c r="AE18" s="30"/>
      <c r="AF18" s="33"/>
      <c r="AG18" s="30"/>
      <c r="AH18" s="33">
        <f t="shared" si="1"/>
        <v>0</v>
      </c>
      <c r="AI18" s="30"/>
      <c r="AJ18" s="33"/>
      <c r="AK18" s="30"/>
      <c r="AL18" s="33"/>
      <c r="AM18" s="30"/>
      <c r="AN18" s="33"/>
      <c r="AO18" s="33"/>
      <c r="AP18" s="20">
        <v>9</v>
      </c>
      <c r="AQ18" s="36">
        <v>15588</v>
      </c>
      <c r="AR18" s="47">
        <f t="shared" si="2"/>
        <v>140292</v>
      </c>
      <c r="AS18" s="59"/>
    </row>
    <row r="19" spans="1:45" ht="42.75" x14ac:dyDescent="0.2">
      <c r="A19" s="10">
        <f t="shared" si="3"/>
        <v>10</v>
      </c>
      <c r="B19" s="54"/>
      <c r="C19" s="12" t="s">
        <v>24</v>
      </c>
      <c r="D19" s="26" t="s">
        <v>53</v>
      </c>
      <c r="E19" s="63" t="s">
        <v>79</v>
      </c>
      <c r="F19" s="34" t="s">
        <v>12</v>
      </c>
      <c r="G19" s="13"/>
      <c r="H19" s="13"/>
      <c r="I19" s="33" t="e">
        <f>+#REF!*AQ19</f>
        <v>#REF!</v>
      </c>
      <c r="J19" s="35">
        <v>81</v>
      </c>
      <c r="K19" s="29">
        <f t="shared" si="0"/>
        <v>352350</v>
      </c>
      <c r="L19" s="30"/>
      <c r="M19" s="33"/>
      <c r="N19" s="28"/>
      <c r="O19" s="33"/>
      <c r="P19" s="30"/>
      <c r="Q19" s="33"/>
      <c r="R19" s="28"/>
      <c r="S19" s="33"/>
      <c r="T19" s="30"/>
      <c r="U19" s="33"/>
      <c r="V19" s="30"/>
      <c r="W19" s="33"/>
      <c r="X19" s="30"/>
      <c r="Y19" s="33"/>
      <c r="Z19" s="30"/>
      <c r="AA19" s="33"/>
      <c r="AB19" s="30"/>
      <c r="AC19" s="33"/>
      <c r="AD19" s="33"/>
      <c r="AE19" s="30"/>
      <c r="AF19" s="33"/>
      <c r="AG19" s="30"/>
      <c r="AH19" s="33">
        <f t="shared" si="1"/>
        <v>0</v>
      </c>
      <c r="AI19" s="30"/>
      <c r="AJ19" s="33"/>
      <c r="AK19" s="30"/>
      <c r="AL19" s="33"/>
      <c r="AM19" s="30"/>
      <c r="AN19" s="33"/>
      <c r="AO19" s="33"/>
      <c r="AP19" s="20">
        <v>81</v>
      </c>
      <c r="AQ19" s="36">
        <v>4350</v>
      </c>
      <c r="AR19" s="47">
        <f t="shared" si="2"/>
        <v>352350</v>
      </c>
      <c r="AS19" s="59"/>
    </row>
    <row r="20" spans="1:45" ht="28.5" x14ac:dyDescent="0.2">
      <c r="A20" s="10">
        <f t="shared" si="3"/>
        <v>11</v>
      </c>
      <c r="B20" s="54"/>
      <c r="C20" s="12" t="s">
        <v>24</v>
      </c>
      <c r="D20" s="26" t="s">
        <v>53</v>
      </c>
      <c r="E20" s="63" t="s">
        <v>80</v>
      </c>
      <c r="F20" s="34" t="s">
        <v>13</v>
      </c>
      <c r="G20" s="13"/>
      <c r="H20" s="13"/>
      <c r="I20" s="33" t="e">
        <f>+#REF!*AQ20</f>
        <v>#REF!</v>
      </c>
      <c r="J20" s="35">
        <v>42</v>
      </c>
      <c r="K20" s="29">
        <f t="shared" si="0"/>
        <v>279279</v>
      </c>
      <c r="L20" s="30"/>
      <c r="M20" s="33"/>
      <c r="N20" s="28"/>
      <c r="O20" s="33"/>
      <c r="P20" s="30"/>
      <c r="Q20" s="33"/>
      <c r="R20" s="28"/>
      <c r="S20" s="33"/>
      <c r="T20" s="30"/>
      <c r="U20" s="33"/>
      <c r="V20" s="30"/>
      <c r="W20" s="33"/>
      <c r="X20" s="30"/>
      <c r="Y20" s="33"/>
      <c r="Z20" s="30"/>
      <c r="AA20" s="33"/>
      <c r="AB20" s="30"/>
      <c r="AC20" s="33"/>
      <c r="AD20" s="33"/>
      <c r="AE20" s="30"/>
      <c r="AF20" s="33"/>
      <c r="AG20" s="30"/>
      <c r="AH20" s="33">
        <f t="shared" si="1"/>
        <v>0</v>
      </c>
      <c r="AI20" s="30"/>
      <c r="AJ20" s="33"/>
      <c r="AK20" s="30"/>
      <c r="AL20" s="33"/>
      <c r="AM20" s="30"/>
      <c r="AN20" s="33"/>
      <c r="AO20" s="33"/>
      <c r="AP20" s="20">
        <v>42</v>
      </c>
      <c r="AQ20" s="36">
        <v>6649.5</v>
      </c>
      <c r="AR20" s="47">
        <f t="shared" si="2"/>
        <v>279279</v>
      </c>
      <c r="AS20" s="59"/>
    </row>
    <row r="21" spans="1:45" ht="28.5" x14ac:dyDescent="0.2">
      <c r="A21" s="10">
        <f t="shared" si="3"/>
        <v>12</v>
      </c>
      <c r="B21" s="54"/>
      <c r="C21" s="12" t="s">
        <v>24</v>
      </c>
      <c r="D21" s="26" t="s">
        <v>53</v>
      </c>
      <c r="E21" s="63" t="s">
        <v>18</v>
      </c>
      <c r="F21" s="34" t="s">
        <v>12</v>
      </c>
      <c r="G21" s="13"/>
      <c r="H21" s="13"/>
      <c r="I21" s="33" t="e">
        <f>+#REF!*AQ21</f>
        <v>#REF!</v>
      </c>
      <c r="J21" s="35">
        <v>90</v>
      </c>
      <c r="K21" s="29">
        <f t="shared" si="0"/>
        <v>16650</v>
      </c>
      <c r="L21" s="30"/>
      <c r="M21" s="33"/>
      <c r="N21" s="28"/>
      <c r="O21" s="33"/>
      <c r="P21" s="30"/>
      <c r="Q21" s="33"/>
      <c r="R21" s="28"/>
      <c r="S21" s="33"/>
      <c r="T21" s="30"/>
      <c r="U21" s="33"/>
      <c r="V21" s="30"/>
      <c r="W21" s="33"/>
      <c r="X21" s="30"/>
      <c r="Y21" s="33"/>
      <c r="Z21" s="30"/>
      <c r="AA21" s="33"/>
      <c r="AB21" s="30"/>
      <c r="AC21" s="33"/>
      <c r="AD21" s="33"/>
      <c r="AE21" s="30"/>
      <c r="AF21" s="33"/>
      <c r="AG21" s="30"/>
      <c r="AH21" s="33">
        <f t="shared" si="1"/>
        <v>0</v>
      </c>
      <c r="AI21" s="30"/>
      <c r="AJ21" s="33"/>
      <c r="AK21" s="30"/>
      <c r="AL21" s="33"/>
      <c r="AM21" s="30"/>
      <c r="AN21" s="33"/>
      <c r="AO21" s="33"/>
      <c r="AP21" s="20">
        <v>90</v>
      </c>
      <c r="AQ21" s="36">
        <v>185</v>
      </c>
      <c r="AR21" s="47">
        <f t="shared" si="2"/>
        <v>16650</v>
      </c>
      <c r="AS21" s="59"/>
    </row>
    <row r="22" spans="1:45" ht="28.5" x14ac:dyDescent="0.2">
      <c r="A22" s="10">
        <f t="shared" si="3"/>
        <v>13</v>
      </c>
      <c r="B22" s="54"/>
      <c r="C22" s="12" t="s">
        <v>24</v>
      </c>
      <c r="D22" s="26" t="s">
        <v>53</v>
      </c>
      <c r="E22" s="63" t="s">
        <v>62</v>
      </c>
      <c r="F22" s="31" t="s">
        <v>14</v>
      </c>
      <c r="G22" s="13"/>
      <c r="H22" s="13"/>
      <c r="I22" s="33" t="e">
        <f>+#REF!*AQ22</f>
        <v>#REF!</v>
      </c>
      <c r="J22" s="25">
        <v>3</v>
      </c>
      <c r="K22" s="29">
        <f t="shared" si="0"/>
        <v>151635</v>
      </c>
      <c r="L22" s="30"/>
      <c r="M22" s="33"/>
      <c r="N22" s="28"/>
      <c r="O22" s="33"/>
      <c r="P22" s="30"/>
      <c r="Q22" s="33"/>
      <c r="R22" s="28"/>
      <c r="S22" s="33"/>
      <c r="T22" s="30"/>
      <c r="U22" s="33"/>
      <c r="V22" s="30"/>
      <c r="W22" s="33"/>
      <c r="X22" s="30"/>
      <c r="Y22" s="33"/>
      <c r="Z22" s="30"/>
      <c r="AA22" s="33"/>
      <c r="AB22" s="30"/>
      <c r="AC22" s="33"/>
      <c r="AD22" s="33"/>
      <c r="AE22" s="30"/>
      <c r="AF22" s="33"/>
      <c r="AG22" s="30"/>
      <c r="AH22" s="33">
        <f t="shared" si="1"/>
        <v>0</v>
      </c>
      <c r="AI22" s="30"/>
      <c r="AJ22" s="33"/>
      <c r="AK22" s="30"/>
      <c r="AL22" s="33"/>
      <c r="AM22" s="30"/>
      <c r="AN22" s="33"/>
      <c r="AO22" s="33"/>
      <c r="AP22" s="20">
        <v>3</v>
      </c>
      <c r="AQ22" s="36">
        <v>50545</v>
      </c>
      <c r="AR22" s="47">
        <f t="shared" si="2"/>
        <v>151635</v>
      </c>
      <c r="AS22" s="59"/>
    </row>
    <row r="23" spans="1:45" ht="28.5" x14ac:dyDescent="0.2">
      <c r="A23" s="10">
        <f t="shared" si="3"/>
        <v>14</v>
      </c>
      <c r="B23" s="54"/>
      <c r="C23" s="12" t="s">
        <v>24</v>
      </c>
      <c r="D23" s="26" t="s">
        <v>53</v>
      </c>
      <c r="E23" s="63" t="s">
        <v>63</v>
      </c>
      <c r="F23" s="31" t="s">
        <v>14</v>
      </c>
      <c r="G23" s="13"/>
      <c r="H23" s="13"/>
      <c r="I23" s="33" t="e">
        <f>+#REF!*AQ23</f>
        <v>#REF!</v>
      </c>
      <c r="J23" s="25">
        <v>15</v>
      </c>
      <c r="K23" s="29">
        <f t="shared" si="0"/>
        <v>970500</v>
      </c>
      <c r="L23" s="30"/>
      <c r="M23" s="33"/>
      <c r="N23" s="28"/>
      <c r="O23" s="33"/>
      <c r="P23" s="30"/>
      <c r="Q23" s="33"/>
      <c r="R23" s="28"/>
      <c r="S23" s="33"/>
      <c r="T23" s="30"/>
      <c r="U23" s="33"/>
      <c r="V23" s="30"/>
      <c r="W23" s="33"/>
      <c r="X23" s="30"/>
      <c r="Y23" s="33"/>
      <c r="Z23" s="30"/>
      <c r="AA23" s="33"/>
      <c r="AB23" s="30"/>
      <c r="AC23" s="33"/>
      <c r="AD23" s="33"/>
      <c r="AE23" s="30"/>
      <c r="AF23" s="33"/>
      <c r="AG23" s="30"/>
      <c r="AH23" s="33">
        <f t="shared" si="1"/>
        <v>0</v>
      </c>
      <c r="AI23" s="30"/>
      <c r="AJ23" s="33"/>
      <c r="AK23" s="30"/>
      <c r="AL23" s="33"/>
      <c r="AM23" s="30"/>
      <c r="AN23" s="33"/>
      <c r="AO23" s="33"/>
      <c r="AP23" s="20">
        <v>15</v>
      </c>
      <c r="AQ23" s="36">
        <v>64700</v>
      </c>
      <c r="AR23" s="47">
        <f t="shared" si="2"/>
        <v>970500</v>
      </c>
      <c r="AS23" s="59"/>
    </row>
    <row r="24" spans="1:45" ht="28.5" x14ac:dyDescent="0.2">
      <c r="A24" s="10">
        <f t="shared" si="3"/>
        <v>15</v>
      </c>
      <c r="B24" s="54"/>
      <c r="C24" s="12" t="s">
        <v>24</v>
      </c>
      <c r="D24" s="26" t="s">
        <v>53</v>
      </c>
      <c r="E24" s="63" t="s">
        <v>64</v>
      </c>
      <c r="F24" s="31" t="s">
        <v>14</v>
      </c>
      <c r="G24" s="13"/>
      <c r="H24" s="13"/>
      <c r="I24" s="33" t="e">
        <f>+#REF!*AQ24</f>
        <v>#REF!</v>
      </c>
      <c r="J24" s="25">
        <v>1</v>
      </c>
      <c r="K24" s="29">
        <f t="shared" si="0"/>
        <v>12540</v>
      </c>
      <c r="L24" s="30"/>
      <c r="M24" s="33"/>
      <c r="N24" s="28"/>
      <c r="O24" s="33"/>
      <c r="P24" s="30"/>
      <c r="Q24" s="33"/>
      <c r="R24" s="28"/>
      <c r="S24" s="33"/>
      <c r="T24" s="30"/>
      <c r="U24" s="33"/>
      <c r="V24" s="30"/>
      <c r="W24" s="33"/>
      <c r="X24" s="30"/>
      <c r="Y24" s="33"/>
      <c r="Z24" s="30"/>
      <c r="AA24" s="33"/>
      <c r="AB24" s="30"/>
      <c r="AC24" s="33"/>
      <c r="AD24" s="33"/>
      <c r="AE24" s="30"/>
      <c r="AF24" s="33"/>
      <c r="AG24" s="30"/>
      <c r="AH24" s="33">
        <f t="shared" si="1"/>
        <v>0</v>
      </c>
      <c r="AI24" s="30"/>
      <c r="AJ24" s="33"/>
      <c r="AK24" s="30"/>
      <c r="AL24" s="33"/>
      <c r="AM24" s="30"/>
      <c r="AN24" s="33"/>
      <c r="AO24" s="33"/>
      <c r="AP24" s="20">
        <v>1</v>
      </c>
      <c r="AQ24" s="36">
        <v>12540</v>
      </c>
      <c r="AR24" s="47">
        <f t="shared" si="2"/>
        <v>12540</v>
      </c>
      <c r="AS24" s="59"/>
    </row>
    <row r="25" spans="1:45" ht="28.5" x14ac:dyDescent="0.2">
      <c r="A25" s="10">
        <f t="shared" si="3"/>
        <v>16</v>
      </c>
      <c r="B25" s="54"/>
      <c r="C25" s="12" t="s">
        <v>24</v>
      </c>
      <c r="D25" s="26" t="s">
        <v>53</v>
      </c>
      <c r="E25" s="63" t="s">
        <v>65</v>
      </c>
      <c r="F25" s="31" t="s">
        <v>14</v>
      </c>
      <c r="G25" s="13"/>
      <c r="H25" s="13"/>
      <c r="I25" s="33" t="e">
        <f>+#REF!*AQ25</f>
        <v>#REF!</v>
      </c>
      <c r="J25" s="25">
        <v>1</v>
      </c>
      <c r="K25" s="29">
        <f t="shared" si="0"/>
        <v>17788</v>
      </c>
      <c r="L25" s="30"/>
      <c r="M25" s="33"/>
      <c r="N25" s="28"/>
      <c r="O25" s="33"/>
      <c r="P25" s="30"/>
      <c r="Q25" s="33"/>
      <c r="R25" s="28"/>
      <c r="S25" s="33"/>
      <c r="T25" s="30"/>
      <c r="U25" s="33"/>
      <c r="V25" s="30"/>
      <c r="W25" s="33"/>
      <c r="X25" s="30"/>
      <c r="Y25" s="33"/>
      <c r="Z25" s="30"/>
      <c r="AA25" s="33"/>
      <c r="AB25" s="30"/>
      <c r="AC25" s="33"/>
      <c r="AD25" s="33"/>
      <c r="AE25" s="30"/>
      <c r="AF25" s="33"/>
      <c r="AG25" s="30"/>
      <c r="AH25" s="33">
        <f t="shared" si="1"/>
        <v>0</v>
      </c>
      <c r="AI25" s="30"/>
      <c r="AJ25" s="33"/>
      <c r="AK25" s="30"/>
      <c r="AL25" s="33"/>
      <c r="AM25" s="30"/>
      <c r="AN25" s="33"/>
      <c r="AO25" s="33"/>
      <c r="AP25" s="20">
        <v>1</v>
      </c>
      <c r="AQ25" s="36">
        <v>17788</v>
      </c>
      <c r="AR25" s="47">
        <f t="shared" si="2"/>
        <v>17788</v>
      </c>
      <c r="AS25" s="59"/>
    </row>
    <row r="26" spans="1:45" ht="28.5" x14ac:dyDescent="0.2">
      <c r="A26" s="10">
        <f t="shared" si="3"/>
        <v>17</v>
      </c>
      <c r="B26" s="54"/>
      <c r="C26" s="12" t="s">
        <v>24</v>
      </c>
      <c r="D26" s="26" t="s">
        <v>53</v>
      </c>
      <c r="E26" s="63" t="s">
        <v>66</v>
      </c>
      <c r="F26" s="31" t="s">
        <v>14</v>
      </c>
      <c r="G26" s="13"/>
      <c r="H26" s="13"/>
      <c r="I26" s="33" t="e">
        <f>+#REF!*AQ26</f>
        <v>#REF!</v>
      </c>
      <c r="J26" s="25">
        <v>4</v>
      </c>
      <c r="K26" s="29">
        <f t="shared" si="0"/>
        <v>29580</v>
      </c>
      <c r="L26" s="30"/>
      <c r="M26" s="33"/>
      <c r="N26" s="28"/>
      <c r="O26" s="33"/>
      <c r="P26" s="30"/>
      <c r="Q26" s="33"/>
      <c r="R26" s="28"/>
      <c r="S26" s="33"/>
      <c r="T26" s="30"/>
      <c r="U26" s="33"/>
      <c r="V26" s="30"/>
      <c r="W26" s="33"/>
      <c r="X26" s="30"/>
      <c r="Y26" s="33"/>
      <c r="Z26" s="30"/>
      <c r="AA26" s="33"/>
      <c r="AB26" s="30"/>
      <c r="AC26" s="33"/>
      <c r="AD26" s="33"/>
      <c r="AE26" s="30"/>
      <c r="AF26" s="33"/>
      <c r="AG26" s="30"/>
      <c r="AH26" s="33">
        <f t="shared" si="1"/>
        <v>0</v>
      </c>
      <c r="AI26" s="30"/>
      <c r="AJ26" s="33"/>
      <c r="AK26" s="30"/>
      <c r="AL26" s="33"/>
      <c r="AM26" s="30"/>
      <c r="AN26" s="33"/>
      <c r="AO26" s="33"/>
      <c r="AP26" s="20">
        <v>4</v>
      </c>
      <c r="AQ26" s="36">
        <v>7395</v>
      </c>
      <c r="AR26" s="47">
        <f t="shared" si="2"/>
        <v>29580</v>
      </c>
      <c r="AS26" s="59"/>
    </row>
    <row r="27" spans="1:45" ht="28.5" x14ac:dyDescent="0.2">
      <c r="A27" s="10">
        <f t="shared" si="3"/>
        <v>18</v>
      </c>
      <c r="B27" s="54"/>
      <c r="C27" s="12" t="s">
        <v>24</v>
      </c>
      <c r="D27" s="26" t="s">
        <v>53</v>
      </c>
      <c r="E27" s="63" t="s">
        <v>67</v>
      </c>
      <c r="F27" s="31" t="s">
        <v>14</v>
      </c>
      <c r="G27" s="13"/>
      <c r="H27" s="13"/>
      <c r="I27" s="33" t="e">
        <f>+#REF!*AQ27</f>
        <v>#REF!</v>
      </c>
      <c r="J27" s="25">
        <v>3</v>
      </c>
      <c r="K27" s="29">
        <f t="shared" si="0"/>
        <v>50940</v>
      </c>
      <c r="L27" s="30"/>
      <c r="M27" s="33"/>
      <c r="N27" s="28"/>
      <c r="O27" s="33"/>
      <c r="P27" s="30"/>
      <c r="Q27" s="33"/>
      <c r="R27" s="28"/>
      <c r="S27" s="33"/>
      <c r="T27" s="30"/>
      <c r="U27" s="33"/>
      <c r="V27" s="30"/>
      <c r="W27" s="33"/>
      <c r="X27" s="30"/>
      <c r="Y27" s="33"/>
      <c r="Z27" s="30"/>
      <c r="AA27" s="33"/>
      <c r="AB27" s="30"/>
      <c r="AC27" s="33"/>
      <c r="AD27" s="33"/>
      <c r="AE27" s="30"/>
      <c r="AF27" s="33"/>
      <c r="AG27" s="30"/>
      <c r="AH27" s="33">
        <f t="shared" si="1"/>
        <v>0</v>
      </c>
      <c r="AI27" s="30"/>
      <c r="AJ27" s="33"/>
      <c r="AK27" s="30"/>
      <c r="AL27" s="33"/>
      <c r="AM27" s="30"/>
      <c r="AN27" s="33"/>
      <c r="AO27" s="33"/>
      <c r="AP27" s="20">
        <v>3</v>
      </c>
      <c r="AQ27" s="36">
        <v>16980</v>
      </c>
      <c r="AR27" s="47">
        <f t="shared" si="2"/>
        <v>50940</v>
      </c>
      <c r="AS27" s="59"/>
    </row>
    <row r="28" spans="1:45" ht="28.5" x14ac:dyDescent="0.2">
      <c r="A28" s="10">
        <f t="shared" si="3"/>
        <v>19</v>
      </c>
      <c r="B28" s="54"/>
      <c r="C28" s="12" t="s">
        <v>24</v>
      </c>
      <c r="D28" s="26" t="s">
        <v>53</v>
      </c>
      <c r="E28" s="63" t="s">
        <v>68</v>
      </c>
      <c r="F28" s="31" t="s">
        <v>14</v>
      </c>
      <c r="G28" s="13"/>
      <c r="H28" s="13"/>
      <c r="I28" s="33" t="e">
        <f>+#REF!*AQ28</f>
        <v>#REF!</v>
      </c>
      <c r="J28" s="25">
        <v>14</v>
      </c>
      <c r="K28" s="29">
        <f t="shared" si="0"/>
        <v>116200</v>
      </c>
      <c r="L28" s="30"/>
      <c r="M28" s="33"/>
      <c r="N28" s="28"/>
      <c r="O28" s="33"/>
      <c r="P28" s="30"/>
      <c r="Q28" s="33"/>
      <c r="R28" s="28"/>
      <c r="S28" s="33"/>
      <c r="T28" s="30"/>
      <c r="U28" s="33"/>
      <c r="V28" s="30"/>
      <c r="W28" s="33"/>
      <c r="X28" s="30"/>
      <c r="Y28" s="33"/>
      <c r="Z28" s="30"/>
      <c r="AA28" s="33"/>
      <c r="AB28" s="30"/>
      <c r="AC28" s="33"/>
      <c r="AD28" s="33"/>
      <c r="AE28" s="30"/>
      <c r="AF28" s="33"/>
      <c r="AG28" s="30"/>
      <c r="AH28" s="33">
        <f t="shared" si="1"/>
        <v>0</v>
      </c>
      <c r="AI28" s="30"/>
      <c r="AJ28" s="33"/>
      <c r="AK28" s="30"/>
      <c r="AL28" s="33"/>
      <c r="AM28" s="30"/>
      <c r="AN28" s="33"/>
      <c r="AO28" s="33"/>
      <c r="AP28" s="20">
        <v>14</v>
      </c>
      <c r="AQ28" s="36">
        <v>8300</v>
      </c>
      <c r="AR28" s="47">
        <f t="shared" si="2"/>
        <v>116200</v>
      </c>
      <c r="AS28" s="59"/>
    </row>
    <row r="29" spans="1:45" ht="28.5" x14ac:dyDescent="0.2">
      <c r="A29" s="10">
        <f t="shared" si="3"/>
        <v>20</v>
      </c>
      <c r="B29" s="54"/>
      <c r="C29" s="12" t="s">
        <v>24</v>
      </c>
      <c r="D29" s="26" t="s">
        <v>53</v>
      </c>
      <c r="E29" s="63" t="s">
        <v>69</v>
      </c>
      <c r="F29" s="31" t="s">
        <v>14</v>
      </c>
      <c r="G29" s="13"/>
      <c r="H29" s="13"/>
      <c r="I29" s="33" t="e">
        <f>+#REF!*AQ29</f>
        <v>#REF!</v>
      </c>
      <c r="J29" s="25">
        <v>1</v>
      </c>
      <c r="K29" s="29">
        <f t="shared" si="0"/>
        <v>11685</v>
      </c>
      <c r="L29" s="30"/>
      <c r="M29" s="33"/>
      <c r="N29" s="28"/>
      <c r="O29" s="33"/>
      <c r="P29" s="30"/>
      <c r="Q29" s="33"/>
      <c r="R29" s="28"/>
      <c r="S29" s="33"/>
      <c r="T29" s="30"/>
      <c r="U29" s="33"/>
      <c r="V29" s="30"/>
      <c r="W29" s="33"/>
      <c r="X29" s="30"/>
      <c r="Y29" s="33"/>
      <c r="Z29" s="30"/>
      <c r="AA29" s="33"/>
      <c r="AB29" s="30"/>
      <c r="AC29" s="33"/>
      <c r="AD29" s="33"/>
      <c r="AE29" s="30"/>
      <c r="AF29" s="33"/>
      <c r="AG29" s="30"/>
      <c r="AH29" s="33">
        <f t="shared" si="1"/>
        <v>0</v>
      </c>
      <c r="AI29" s="30"/>
      <c r="AJ29" s="33"/>
      <c r="AK29" s="30"/>
      <c r="AL29" s="33"/>
      <c r="AM29" s="30"/>
      <c r="AN29" s="33"/>
      <c r="AO29" s="33"/>
      <c r="AP29" s="20">
        <v>1</v>
      </c>
      <c r="AQ29" s="36">
        <v>11685</v>
      </c>
      <c r="AR29" s="47">
        <f t="shared" si="2"/>
        <v>11685</v>
      </c>
      <c r="AS29" s="59"/>
    </row>
    <row r="30" spans="1:45" ht="28.5" x14ac:dyDescent="0.2">
      <c r="A30" s="10">
        <f t="shared" si="3"/>
        <v>21</v>
      </c>
      <c r="B30" s="54"/>
      <c r="C30" s="12" t="s">
        <v>24</v>
      </c>
      <c r="D30" s="26" t="s">
        <v>53</v>
      </c>
      <c r="E30" s="64" t="s">
        <v>81</v>
      </c>
      <c r="F30" s="26" t="s">
        <v>26</v>
      </c>
      <c r="G30" s="14"/>
      <c r="H30" s="14"/>
      <c r="I30" s="33" t="e">
        <f>+#REF!*AQ30</f>
        <v>#REF!</v>
      </c>
      <c r="J30" s="42"/>
      <c r="K30" s="29">
        <f t="shared" si="0"/>
        <v>0</v>
      </c>
      <c r="L30" s="24"/>
      <c r="M30" s="23"/>
      <c r="N30" s="42"/>
      <c r="O30" s="23"/>
      <c r="P30" s="24"/>
      <c r="Q30" s="23"/>
      <c r="R30" s="42"/>
      <c r="S30" s="23"/>
      <c r="T30" s="24"/>
      <c r="U30" s="23"/>
      <c r="V30" s="24"/>
      <c r="W30" s="23"/>
      <c r="X30" s="24"/>
      <c r="Y30" s="23"/>
      <c r="Z30" s="24"/>
      <c r="AA30" s="23"/>
      <c r="AB30" s="24"/>
      <c r="AC30" s="23"/>
      <c r="AD30" s="23"/>
      <c r="AE30" s="24"/>
      <c r="AF30" s="23"/>
      <c r="AG30" s="26">
        <v>4</v>
      </c>
      <c r="AH30" s="33">
        <f t="shared" si="1"/>
        <v>168956</v>
      </c>
      <c r="AI30" s="24"/>
      <c r="AJ30" s="23"/>
      <c r="AK30" s="24"/>
      <c r="AL30" s="23"/>
      <c r="AM30" s="24"/>
      <c r="AN30" s="23"/>
      <c r="AO30" s="23"/>
      <c r="AP30" s="20">
        <v>4</v>
      </c>
      <c r="AQ30" s="48">
        <v>42239</v>
      </c>
      <c r="AR30" s="47">
        <f t="shared" si="2"/>
        <v>168956</v>
      </c>
      <c r="AS30" s="59"/>
    </row>
    <row r="31" spans="1:45" ht="28.5" x14ac:dyDescent="0.2">
      <c r="A31" s="10">
        <f t="shared" si="3"/>
        <v>22</v>
      </c>
      <c r="B31" s="54"/>
      <c r="C31" s="12" t="s">
        <v>24</v>
      </c>
      <c r="D31" s="26" t="s">
        <v>53</v>
      </c>
      <c r="E31" s="64" t="s">
        <v>82</v>
      </c>
      <c r="F31" s="26" t="s">
        <v>26</v>
      </c>
      <c r="G31" s="14"/>
      <c r="H31" s="14"/>
      <c r="I31" s="33" t="e">
        <f>+#REF!*AQ31</f>
        <v>#REF!</v>
      </c>
      <c r="J31" s="42"/>
      <c r="K31" s="29">
        <f t="shared" si="0"/>
        <v>0</v>
      </c>
      <c r="L31" s="24"/>
      <c r="M31" s="23"/>
      <c r="N31" s="42"/>
      <c r="O31" s="23"/>
      <c r="P31" s="24"/>
      <c r="Q31" s="23"/>
      <c r="R31" s="42"/>
      <c r="S31" s="23"/>
      <c r="T31" s="24"/>
      <c r="U31" s="23"/>
      <c r="V31" s="24"/>
      <c r="W31" s="23"/>
      <c r="X31" s="24"/>
      <c r="Y31" s="23"/>
      <c r="Z31" s="24"/>
      <c r="AA31" s="23"/>
      <c r="AB31" s="24"/>
      <c r="AC31" s="23"/>
      <c r="AD31" s="23"/>
      <c r="AE31" s="24"/>
      <c r="AF31" s="23"/>
      <c r="AG31" s="26">
        <v>2</v>
      </c>
      <c r="AH31" s="33">
        <f t="shared" si="1"/>
        <v>48560</v>
      </c>
      <c r="AI31" s="24"/>
      <c r="AJ31" s="23"/>
      <c r="AK31" s="24"/>
      <c r="AL31" s="23"/>
      <c r="AM31" s="24"/>
      <c r="AN31" s="23"/>
      <c r="AO31" s="23"/>
      <c r="AP31" s="20">
        <v>2</v>
      </c>
      <c r="AQ31" s="48">
        <v>24280</v>
      </c>
      <c r="AR31" s="47">
        <f t="shared" si="2"/>
        <v>48560</v>
      </c>
      <c r="AS31" s="59"/>
    </row>
    <row r="32" spans="1:45" ht="28.5" x14ac:dyDescent="0.2">
      <c r="A32" s="10">
        <f t="shared" si="3"/>
        <v>23</v>
      </c>
      <c r="B32" s="54"/>
      <c r="C32" s="12" t="s">
        <v>24</v>
      </c>
      <c r="D32" s="26" t="s">
        <v>53</v>
      </c>
      <c r="E32" s="64" t="s">
        <v>83</v>
      </c>
      <c r="F32" s="26" t="s">
        <v>26</v>
      </c>
      <c r="G32" s="14"/>
      <c r="H32" s="14"/>
      <c r="I32" s="33" t="e">
        <f>+#REF!*AQ32</f>
        <v>#REF!</v>
      </c>
      <c r="J32" s="42"/>
      <c r="K32" s="29">
        <f t="shared" si="0"/>
        <v>0</v>
      </c>
      <c r="L32" s="24"/>
      <c r="M32" s="23"/>
      <c r="N32" s="42"/>
      <c r="O32" s="23"/>
      <c r="P32" s="24"/>
      <c r="Q32" s="23"/>
      <c r="R32" s="42"/>
      <c r="S32" s="23"/>
      <c r="T32" s="24"/>
      <c r="U32" s="23"/>
      <c r="V32" s="24"/>
      <c r="W32" s="23"/>
      <c r="X32" s="24"/>
      <c r="Y32" s="23"/>
      <c r="Z32" s="24"/>
      <c r="AA32" s="23"/>
      <c r="AB32" s="24"/>
      <c r="AC32" s="23"/>
      <c r="AD32" s="23"/>
      <c r="AE32" s="24"/>
      <c r="AF32" s="23"/>
      <c r="AG32" s="26">
        <v>2</v>
      </c>
      <c r="AH32" s="33">
        <f t="shared" si="1"/>
        <v>73500</v>
      </c>
      <c r="AI32" s="24"/>
      <c r="AJ32" s="23"/>
      <c r="AK32" s="24"/>
      <c r="AL32" s="23"/>
      <c r="AM32" s="24"/>
      <c r="AN32" s="23"/>
      <c r="AO32" s="23"/>
      <c r="AP32" s="20">
        <v>2</v>
      </c>
      <c r="AQ32" s="48">
        <v>36750</v>
      </c>
      <c r="AR32" s="47">
        <f t="shared" si="2"/>
        <v>73500</v>
      </c>
      <c r="AS32" s="59"/>
    </row>
    <row r="33" spans="1:45" ht="28.5" x14ac:dyDescent="0.2">
      <c r="A33" s="10">
        <f t="shared" si="3"/>
        <v>24</v>
      </c>
      <c r="B33" s="54"/>
      <c r="C33" s="12" t="s">
        <v>24</v>
      </c>
      <c r="D33" s="26" t="s">
        <v>53</v>
      </c>
      <c r="E33" s="64" t="s">
        <v>84</v>
      </c>
      <c r="F33" s="26" t="s">
        <v>26</v>
      </c>
      <c r="G33" s="14"/>
      <c r="H33" s="14"/>
      <c r="I33" s="33" t="e">
        <f>+#REF!*AQ33</f>
        <v>#REF!</v>
      </c>
      <c r="J33" s="42"/>
      <c r="K33" s="29">
        <f t="shared" si="0"/>
        <v>0</v>
      </c>
      <c r="L33" s="24"/>
      <c r="M33" s="23"/>
      <c r="N33" s="42"/>
      <c r="O33" s="23"/>
      <c r="P33" s="24"/>
      <c r="Q33" s="23"/>
      <c r="R33" s="42"/>
      <c r="S33" s="23"/>
      <c r="T33" s="24"/>
      <c r="U33" s="23"/>
      <c r="V33" s="24"/>
      <c r="W33" s="23"/>
      <c r="X33" s="24"/>
      <c r="Y33" s="23"/>
      <c r="Z33" s="24"/>
      <c r="AA33" s="23"/>
      <c r="AB33" s="24"/>
      <c r="AC33" s="23"/>
      <c r="AD33" s="23"/>
      <c r="AE33" s="24"/>
      <c r="AF33" s="23"/>
      <c r="AG33" s="26">
        <v>2</v>
      </c>
      <c r="AH33" s="33">
        <f t="shared" si="1"/>
        <v>104000</v>
      </c>
      <c r="AI33" s="24"/>
      <c r="AJ33" s="23"/>
      <c r="AK33" s="24"/>
      <c r="AL33" s="23"/>
      <c r="AM33" s="24"/>
      <c r="AN33" s="23"/>
      <c r="AO33" s="23"/>
      <c r="AP33" s="20">
        <v>2</v>
      </c>
      <c r="AQ33" s="48">
        <v>52000</v>
      </c>
      <c r="AR33" s="47">
        <f t="shared" si="2"/>
        <v>104000</v>
      </c>
      <c r="AS33" s="59"/>
    </row>
    <row r="34" spans="1:45" ht="28.5" x14ac:dyDescent="0.2">
      <c r="A34" s="10">
        <f t="shared" si="3"/>
        <v>25</v>
      </c>
      <c r="B34" s="54"/>
      <c r="C34" s="12" t="s">
        <v>24</v>
      </c>
      <c r="D34" s="26" t="s">
        <v>53</v>
      </c>
      <c r="E34" s="64" t="s">
        <v>85</v>
      </c>
      <c r="F34" s="26" t="s">
        <v>26</v>
      </c>
      <c r="G34" s="14"/>
      <c r="H34" s="14"/>
      <c r="I34" s="33" t="e">
        <f>+#REF!*AQ34</f>
        <v>#REF!</v>
      </c>
      <c r="J34" s="42"/>
      <c r="K34" s="29">
        <f t="shared" si="0"/>
        <v>0</v>
      </c>
      <c r="L34" s="24"/>
      <c r="M34" s="23"/>
      <c r="N34" s="42"/>
      <c r="O34" s="23"/>
      <c r="P34" s="24"/>
      <c r="Q34" s="23"/>
      <c r="R34" s="42"/>
      <c r="S34" s="23"/>
      <c r="T34" s="24"/>
      <c r="U34" s="23"/>
      <c r="V34" s="24"/>
      <c r="W34" s="23"/>
      <c r="X34" s="24"/>
      <c r="Y34" s="23"/>
      <c r="Z34" s="24"/>
      <c r="AA34" s="23"/>
      <c r="AB34" s="24"/>
      <c r="AC34" s="23"/>
      <c r="AD34" s="23"/>
      <c r="AE34" s="24"/>
      <c r="AF34" s="23"/>
      <c r="AG34" s="26">
        <v>2</v>
      </c>
      <c r="AH34" s="33">
        <f t="shared" si="1"/>
        <v>143000</v>
      </c>
      <c r="AI34" s="24"/>
      <c r="AJ34" s="23"/>
      <c r="AK34" s="24"/>
      <c r="AL34" s="23"/>
      <c r="AM34" s="24"/>
      <c r="AN34" s="23"/>
      <c r="AO34" s="23"/>
      <c r="AP34" s="20">
        <v>2</v>
      </c>
      <c r="AQ34" s="48">
        <v>71500</v>
      </c>
      <c r="AR34" s="47">
        <f t="shared" si="2"/>
        <v>143000</v>
      </c>
      <c r="AS34" s="59"/>
    </row>
    <row r="35" spans="1:45" ht="28.5" x14ac:dyDescent="0.2">
      <c r="A35" s="10">
        <f t="shared" si="3"/>
        <v>26</v>
      </c>
      <c r="B35" s="54"/>
      <c r="C35" s="12" t="s">
        <v>24</v>
      </c>
      <c r="D35" s="26" t="s">
        <v>53</v>
      </c>
      <c r="E35" s="64" t="s">
        <v>86</v>
      </c>
      <c r="F35" s="26" t="s">
        <v>26</v>
      </c>
      <c r="G35" s="14"/>
      <c r="H35" s="14"/>
      <c r="I35" s="33" t="e">
        <f>+#REF!*AQ35</f>
        <v>#REF!</v>
      </c>
      <c r="J35" s="42"/>
      <c r="K35" s="29">
        <f t="shared" si="0"/>
        <v>0</v>
      </c>
      <c r="L35" s="24"/>
      <c r="M35" s="23"/>
      <c r="N35" s="42"/>
      <c r="O35" s="23"/>
      <c r="P35" s="24"/>
      <c r="Q35" s="23"/>
      <c r="R35" s="42"/>
      <c r="S35" s="23"/>
      <c r="T35" s="24"/>
      <c r="U35" s="23"/>
      <c r="V35" s="24"/>
      <c r="W35" s="23"/>
      <c r="X35" s="24"/>
      <c r="Y35" s="23"/>
      <c r="Z35" s="24"/>
      <c r="AA35" s="23"/>
      <c r="AB35" s="24"/>
      <c r="AC35" s="23"/>
      <c r="AD35" s="23"/>
      <c r="AE35" s="24"/>
      <c r="AF35" s="23"/>
      <c r="AG35" s="26">
        <v>2</v>
      </c>
      <c r="AH35" s="33">
        <f t="shared" si="1"/>
        <v>168000</v>
      </c>
      <c r="AI35" s="24"/>
      <c r="AJ35" s="23"/>
      <c r="AK35" s="24"/>
      <c r="AL35" s="23"/>
      <c r="AM35" s="24"/>
      <c r="AN35" s="23"/>
      <c r="AO35" s="23"/>
      <c r="AP35" s="20">
        <v>2</v>
      </c>
      <c r="AQ35" s="48">
        <v>84000</v>
      </c>
      <c r="AR35" s="47">
        <f t="shared" si="2"/>
        <v>168000</v>
      </c>
      <c r="AS35" s="59"/>
    </row>
    <row r="36" spans="1:45" ht="28.5" x14ac:dyDescent="0.2">
      <c r="A36" s="10">
        <f t="shared" si="3"/>
        <v>27</v>
      </c>
      <c r="B36" s="54"/>
      <c r="C36" s="12" t="s">
        <v>24</v>
      </c>
      <c r="D36" s="26" t="s">
        <v>53</v>
      </c>
      <c r="E36" s="64" t="s">
        <v>87</v>
      </c>
      <c r="F36" s="26" t="s">
        <v>26</v>
      </c>
      <c r="G36" s="14"/>
      <c r="H36" s="14"/>
      <c r="I36" s="33" t="e">
        <f>+#REF!*AQ36</f>
        <v>#REF!</v>
      </c>
      <c r="J36" s="42"/>
      <c r="K36" s="29">
        <f t="shared" si="0"/>
        <v>0</v>
      </c>
      <c r="L36" s="24"/>
      <c r="M36" s="23"/>
      <c r="N36" s="42"/>
      <c r="O36" s="23"/>
      <c r="P36" s="24"/>
      <c r="Q36" s="23"/>
      <c r="R36" s="42"/>
      <c r="S36" s="23"/>
      <c r="T36" s="24"/>
      <c r="U36" s="23"/>
      <c r="V36" s="24"/>
      <c r="W36" s="23"/>
      <c r="X36" s="24"/>
      <c r="Y36" s="23"/>
      <c r="Z36" s="24"/>
      <c r="AA36" s="23"/>
      <c r="AB36" s="24"/>
      <c r="AC36" s="23"/>
      <c r="AD36" s="23"/>
      <c r="AE36" s="24"/>
      <c r="AF36" s="23"/>
      <c r="AG36" s="26">
        <v>2</v>
      </c>
      <c r="AH36" s="33">
        <f t="shared" si="1"/>
        <v>64700</v>
      </c>
      <c r="AI36" s="24"/>
      <c r="AJ36" s="23"/>
      <c r="AK36" s="24"/>
      <c r="AL36" s="23"/>
      <c r="AM36" s="24"/>
      <c r="AN36" s="23"/>
      <c r="AO36" s="23"/>
      <c r="AP36" s="20">
        <v>2</v>
      </c>
      <c r="AQ36" s="48">
        <v>32350</v>
      </c>
      <c r="AR36" s="47">
        <f t="shared" si="2"/>
        <v>64700</v>
      </c>
      <c r="AS36" s="59"/>
    </row>
    <row r="37" spans="1:45" ht="28.5" x14ac:dyDescent="0.2">
      <c r="A37" s="10">
        <f t="shared" si="3"/>
        <v>28</v>
      </c>
      <c r="B37" s="54"/>
      <c r="C37" s="12" t="s">
        <v>24</v>
      </c>
      <c r="D37" s="26" t="s">
        <v>53</v>
      </c>
      <c r="E37" s="64" t="s">
        <v>88</v>
      </c>
      <c r="F37" s="26" t="s">
        <v>23</v>
      </c>
      <c r="G37" s="14"/>
      <c r="H37" s="14"/>
      <c r="I37" s="33" t="e">
        <f>+#REF!*AQ37</f>
        <v>#REF!</v>
      </c>
      <c r="J37" s="42"/>
      <c r="K37" s="29">
        <f t="shared" si="0"/>
        <v>0</v>
      </c>
      <c r="L37" s="24"/>
      <c r="M37" s="23"/>
      <c r="N37" s="42"/>
      <c r="O37" s="23"/>
      <c r="P37" s="24"/>
      <c r="Q37" s="23"/>
      <c r="R37" s="42"/>
      <c r="S37" s="23"/>
      <c r="T37" s="24"/>
      <c r="U37" s="23"/>
      <c r="V37" s="24"/>
      <c r="W37" s="23"/>
      <c r="X37" s="24"/>
      <c r="Y37" s="23"/>
      <c r="Z37" s="24"/>
      <c r="AA37" s="23"/>
      <c r="AB37" s="24"/>
      <c r="AC37" s="23"/>
      <c r="AD37" s="23"/>
      <c r="AE37" s="24"/>
      <c r="AF37" s="23"/>
      <c r="AG37" s="26">
        <v>2</v>
      </c>
      <c r="AH37" s="33">
        <f t="shared" si="1"/>
        <v>25100</v>
      </c>
      <c r="AI37" s="24"/>
      <c r="AJ37" s="23"/>
      <c r="AK37" s="24"/>
      <c r="AL37" s="23"/>
      <c r="AM37" s="24"/>
      <c r="AN37" s="23"/>
      <c r="AO37" s="23"/>
      <c r="AP37" s="20">
        <v>2</v>
      </c>
      <c r="AQ37" s="48">
        <v>12550</v>
      </c>
      <c r="AR37" s="47">
        <f t="shared" si="2"/>
        <v>25100</v>
      </c>
      <c r="AS37" s="59"/>
    </row>
    <row r="38" spans="1:45" ht="28.5" x14ac:dyDescent="0.2">
      <c r="A38" s="10">
        <f t="shared" si="3"/>
        <v>29</v>
      </c>
      <c r="B38" s="54"/>
      <c r="C38" s="12" t="s">
        <v>24</v>
      </c>
      <c r="D38" s="26" t="s">
        <v>53</v>
      </c>
      <c r="E38" s="64" t="s">
        <v>89</v>
      </c>
      <c r="F38" s="26" t="s">
        <v>54</v>
      </c>
      <c r="G38" s="14"/>
      <c r="H38" s="14"/>
      <c r="I38" s="33" t="e">
        <f>+#REF!*AQ38</f>
        <v>#REF!</v>
      </c>
      <c r="J38" s="42"/>
      <c r="K38" s="29">
        <f t="shared" si="0"/>
        <v>0</v>
      </c>
      <c r="L38" s="24"/>
      <c r="M38" s="23"/>
      <c r="N38" s="42"/>
      <c r="O38" s="23"/>
      <c r="P38" s="24"/>
      <c r="Q38" s="23"/>
      <c r="R38" s="42"/>
      <c r="S38" s="23"/>
      <c r="T38" s="24"/>
      <c r="U38" s="23"/>
      <c r="V38" s="24"/>
      <c r="W38" s="23"/>
      <c r="X38" s="24"/>
      <c r="Y38" s="23"/>
      <c r="Z38" s="24"/>
      <c r="AA38" s="23"/>
      <c r="AB38" s="24"/>
      <c r="AC38" s="23"/>
      <c r="AD38" s="23"/>
      <c r="AE38" s="24"/>
      <c r="AF38" s="23"/>
      <c r="AG38" s="26">
        <v>2</v>
      </c>
      <c r="AH38" s="33">
        <f t="shared" si="1"/>
        <v>28448</v>
      </c>
      <c r="AI38" s="24"/>
      <c r="AJ38" s="23"/>
      <c r="AK38" s="24"/>
      <c r="AL38" s="23"/>
      <c r="AM38" s="24"/>
      <c r="AN38" s="23"/>
      <c r="AO38" s="23"/>
      <c r="AP38" s="20">
        <v>2</v>
      </c>
      <c r="AQ38" s="48">
        <v>14224</v>
      </c>
      <c r="AR38" s="47">
        <f t="shared" si="2"/>
        <v>28448</v>
      </c>
      <c r="AS38" s="59"/>
    </row>
    <row r="39" spans="1:45" ht="28.5" x14ac:dyDescent="0.2">
      <c r="A39" s="10">
        <f t="shared" si="3"/>
        <v>30</v>
      </c>
      <c r="B39" s="54"/>
      <c r="C39" s="12" t="s">
        <v>24</v>
      </c>
      <c r="D39" s="26" t="s">
        <v>53</v>
      </c>
      <c r="E39" s="64" t="s">
        <v>90</v>
      </c>
      <c r="F39" s="26" t="s">
        <v>23</v>
      </c>
      <c r="G39" s="14"/>
      <c r="H39" s="14"/>
      <c r="I39" s="33" t="e">
        <f>+#REF!*AQ39</f>
        <v>#REF!</v>
      </c>
      <c r="J39" s="42"/>
      <c r="K39" s="29">
        <f t="shared" si="0"/>
        <v>0</v>
      </c>
      <c r="L39" s="24"/>
      <c r="M39" s="23"/>
      <c r="N39" s="42"/>
      <c r="O39" s="23"/>
      <c r="P39" s="24"/>
      <c r="Q39" s="23"/>
      <c r="R39" s="42"/>
      <c r="S39" s="23"/>
      <c r="T39" s="24"/>
      <c r="U39" s="23"/>
      <c r="V39" s="24"/>
      <c r="W39" s="23"/>
      <c r="X39" s="24"/>
      <c r="Y39" s="23"/>
      <c r="Z39" s="24"/>
      <c r="AA39" s="23"/>
      <c r="AB39" s="24"/>
      <c r="AC39" s="23"/>
      <c r="AD39" s="23"/>
      <c r="AE39" s="24"/>
      <c r="AF39" s="23"/>
      <c r="AG39" s="26">
        <v>2</v>
      </c>
      <c r="AH39" s="33">
        <f t="shared" si="1"/>
        <v>22000</v>
      </c>
      <c r="AI39" s="24"/>
      <c r="AJ39" s="23"/>
      <c r="AK39" s="24"/>
      <c r="AL39" s="23"/>
      <c r="AM39" s="24"/>
      <c r="AN39" s="23"/>
      <c r="AO39" s="23"/>
      <c r="AP39" s="20">
        <v>2</v>
      </c>
      <c r="AQ39" s="48">
        <v>11000</v>
      </c>
      <c r="AR39" s="47">
        <f t="shared" si="2"/>
        <v>22000</v>
      </c>
      <c r="AS39" s="59"/>
    </row>
    <row r="40" spans="1:45" ht="28.5" x14ac:dyDescent="0.2">
      <c r="A40" s="10">
        <f t="shared" si="3"/>
        <v>31</v>
      </c>
      <c r="B40" s="54"/>
      <c r="C40" s="12" t="s">
        <v>24</v>
      </c>
      <c r="D40" s="26" t="s">
        <v>53</v>
      </c>
      <c r="E40" s="64" t="s">
        <v>91</v>
      </c>
      <c r="F40" s="26" t="s">
        <v>23</v>
      </c>
      <c r="G40" s="14"/>
      <c r="H40" s="14"/>
      <c r="I40" s="33" t="e">
        <f>+#REF!*AQ40</f>
        <v>#REF!</v>
      </c>
      <c r="J40" s="42"/>
      <c r="K40" s="29">
        <f t="shared" si="0"/>
        <v>0</v>
      </c>
      <c r="L40" s="24"/>
      <c r="M40" s="23"/>
      <c r="N40" s="42"/>
      <c r="O40" s="23"/>
      <c r="P40" s="24"/>
      <c r="Q40" s="23"/>
      <c r="R40" s="42"/>
      <c r="S40" s="23"/>
      <c r="T40" s="24"/>
      <c r="U40" s="23"/>
      <c r="V40" s="24"/>
      <c r="W40" s="23"/>
      <c r="X40" s="24"/>
      <c r="Y40" s="23"/>
      <c r="Z40" s="24"/>
      <c r="AA40" s="23"/>
      <c r="AB40" s="24"/>
      <c r="AC40" s="23"/>
      <c r="AD40" s="23"/>
      <c r="AE40" s="24"/>
      <c r="AF40" s="23"/>
      <c r="AG40" s="26">
        <v>2</v>
      </c>
      <c r="AH40" s="33">
        <f t="shared" si="1"/>
        <v>51000</v>
      </c>
      <c r="AI40" s="24"/>
      <c r="AJ40" s="23"/>
      <c r="AK40" s="24"/>
      <c r="AL40" s="23"/>
      <c r="AM40" s="24"/>
      <c r="AN40" s="23"/>
      <c r="AO40" s="23"/>
      <c r="AP40" s="20">
        <v>2</v>
      </c>
      <c r="AQ40" s="48">
        <v>25500</v>
      </c>
      <c r="AR40" s="47">
        <f t="shared" si="2"/>
        <v>51000</v>
      </c>
      <c r="AS40" s="59"/>
    </row>
    <row r="41" spans="1:45" ht="28.5" x14ac:dyDescent="0.2">
      <c r="A41" s="10">
        <f t="shared" si="3"/>
        <v>32</v>
      </c>
      <c r="B41" s="54"/>
      <c r="C41" s="12" t="s">
        <v>24</v>
      </c>
      <c r="D41" s="26" t="s">
        <v>53</v>
      </c>
      <c r="E41" s="64" t="s">
        <v>92</v>
      </c>
      <c r="F41" s="26" t="s">
        <v>19</v>
      </c>
      <c r="G41" s="14"/>
      <c r="H41" s="14"/>
      <c r="I41" s="33" t="e">
        <f>+#REF!*AQ41</f>
        <v>#REF!</v>
      </c>
      <c r="J41" s="42"/>
      <c r="K41" s="29">
        <f t="shared" si="0"/>
        <v>0</v>
      </c>
      <c r="L41" s="24"/>
      <c r="M41" s="23"/>
      <c r="N41" s="42"/>
      <c r="O41" s="23"/>
      <c r="P41" s="24"/>
      <c r="Q41" s="23"/>
      <c r="R41" s="42"/>
      <c r="S41" s="23"/>
      <c r="T41" s="24"/>
      <c r="U41" s="23"/>
      <c r="V41" s="24"/>
      <c r="W41" s="23"/>
      <c r="X41" s="24"/>
      <c r="Y41" s="23"/>
      <c r="Z41" s="24"/>
      <c r="AA41" s="23"/>
      <c r="AB41" s="24"/>
      <c r="AC41" s="23"/>
      <c r="AD41" s="23"/>
      <c r="AE41" s="24"/>
      <c r="AF41" s="23"/>
      <c r="AG41" s="26">
        <v>4</v>
      </c>
      <c r="AH41" s="33">
        <f t="shared" si="1"/>
        <v>37800</v>
      </c>
      <c r="AI41" s="24"/>
      <c r="AJ41" s="23"/>
      <c r="AK41" s="24"/>
      <c r="AL41" s="23"/>
      <c r="AM41" s="24"/>
      <c r="AN41" s="23"/>
      <c r="AO41" s="23"/>
      <c r="AP41" s="20">
        <v>4</v>
      </c>
      <c r="AQ41" s="48">
        <v>9450</v>
      </c>
      <c r="AR41" s="47">
        <f t="shared" si="2"/>
        <v>37800</v>
      </c>
      <c r="AS41" s="59"/>
    </row>
    <row r="42" spans="1:45" ht="28.5" x14ac:dyDescent="0.2">
      <c r="A42" s="10">
        <f t="shared" si="3"/>
        <v>33</v>
      </c>
      <c r="B42" s="54"/>
      <c r="C42" s="12" t="s">
        <v>24</v>
      </c>
      <c r="D42" s="26" t="s">
        <v>53</v>
      </c>
      <c r="E42" s="64" t="s">
        <v>93</v>
      </c>
      <c r="F42" s="26" t="s">
        <v>14</v>
      </c>
      <c r="G42" s="14"/>
      <c r="H42" s="14"/>
      <c r="I42" s="33" t="e">
        <f>+#REF!*AQ42</f>
        <v>#REF!</v>
      </c>
      <c r="J42" s="42"/>
      <c r="K42" s="29">
        <f t="shared" si="0"/>
        <v>0</v>
      </c>
      <c r="L42" s="24"/>
      <c r="M42" s="23"/>
      <c r="N42" s="42"/>
      <c r="O42" s="23"/>
      <c r="P42" s="24"/>
      <c r="Q42" s="23"/>
      <c r="R42" s="42"/>
      <c r="S42" s="23"/>
      <c r="T42" s="24"/>
      <c r="U42" s="23"/>
      <c r="V42" s="24"/>
      <c r="W42" s="23"/>
      <c r="X42" s="24"/>
      <c r="Y42" s="23"/>
      <c r="Z42" s="24"/>
      <c r="AA42" s="23"/>
      <c r="AB42" s="24"/>
      <c r="AC42" s="23"/>
      <c r="AD42" s="23"/>
      <c r="AE42" s="24"/>
      <c r="AF42" s="23"/>
      <c r="AG42" s="26">
        <v>2</v>
      </c>
      <c r="AH42" s="33">
        <f t="shared" si="1"/>
        <v>41000</v>
      </c>
      <c r="AI42" s="24"/>
      <c r="AJ42" s="23"/>
      <c r="AK42" s="24"/>
      <c r="AL42" s="23"/>
      <c r="AM42" s="24"/>
      <c r="AN42" s="23"/>
      <c r="AO42" s="23"/>
      <c r="AP42" s="20">
        <v>2</v>
      </c>
      <c r="AQ42" s="48">
        <v>20500</v>
      </c>
      <c r="AR42" s="47">
        <f t="shared" si="2"/>
        <v>41000</v>
      </c>
      <c r="AS42" s="59"/>
    </row>
    <row r="43" spans="1:45" ht="42.75" x14ac:dyDescent="0.2">
      <c r="A43" s="10">
        <f t="shared" si="3"/>
        <v>34</v>
      </c>
      <c r="B43" s="54"/>
      <c r="C43" s="12" t="s">
        <v>24</v>
      </c>
      <c r="D43" s="26" t="s">
        <v>53</v>
      </c>
      <c r="E43" s="64" t="s">
        <v>94</v>
      </c>
      <c r="F43" s="26" t="s">
        <v>26</v>
      </c>
      <c r="G43" s="14"/>
      <c r="H43" s="14"/>
      <c r="I43" s="33" t="e">
        <f>+#REF!*AQ43</f>
        <v>#REF!</v>
      </c>
      <c r="J43" s="42"/>
      <c r="K43" s="29">
        <f t="shared" si="0"/>
        <v>0</v>
      </c>
      <c r="L43" s="24"/>
      <c r="M43" s="23"/>
      <c r="N43" s="42"/>
      <c r="O43" s="23"/>
      <c r="P43" s="24"/>
      <c r="Q43" s="23"/>
      <c r="R43" s="42"/>
      <c r="S43" s="23"/>
      <c r="T43" s="24"/>
      <c r="U43" s="23"/>
      <c r="V43" s="24"/>
      <c r="W43" s="23"/>
      <c r="X43" s="24"/>
      <c r="Y43" s="23"/>
      <c r="Z43" s="24"/>
      <c r="AA43" s="23"/>
      <c r="AB43" s="24"/>
      <c r="AC43" s="23"/>
      <c r="AD43" s="23"/>
      <c r="AE43" s="24"/>
      <c r="AF43" s="23"/>
      <c r="AG43" s="26">
        <v>20</v>
      </c>
      <c r="AH43" s="33">
        <f t="shared" si="1"/>
        <v>441000</v>
      </c>
      <c r="AI43" s="24"/>
      <c r="AJ43" s="23"/>
      <c r="AK43" s="24"/>
      <c r="AL43" s="23"/>
      <c r="AM43" s="24"/>
      <c r="AN43" s="23"/>
      <c r="AO43" s="23"/>
      <c r="AP43" s="20">
        <v>20</v>
      </c>
      <c r="AQ43" s="48">
        <v>22050</v>
      </c>
      <c r="AR43" s="47">
        <f t="shared" si="2"/>
        <v>441000</v>
      </c>
      <c r="AS43" s="59"/>
    </row>
    <row r="44" spans="1:45" ht="28.5" x14ac:dyDescent="0.2">
      <c r="A44" s="10">
        <f t="shared" si="3"/>
        <v>35</v>
      </c>
      <c r="B44" s="54"/>
      <c r="C44" s="12" t="s">
        <v>24</v>
      </c>
      <c r="D44" s="26" t="s">
        <v>53</v>
      </c>
      <c r="E44" s="64" t="s">
        <v>95</v>
      </c>
      <c r="F44" s="26" t="s">
        <v>26</v>
      </c>
      <c r="G44" s="14"/>
      <c r="H44" s="14"/>
      <c r="I44" s="33" t="e">
        <f>+#REF!*AQ44</f>
        <v>#REF!</v>
      </c>
      <c r="J44" s="42"/>
      <c r="K44" s="29">
        <f t="shared" si="0"/>
        <v>0</v>
      </c>
      <c r="L44" s="24"/>
      <c r="M44" s="23"/>
      <c r="N44" s="42"/>
      <c r="O44" s="23"/>
      <c r="P44" s="24"/>
      <c r="Q44" s="23"/>
      <c r="R44" s="42"/>
      <c r="S44" s="23"/>
      <c r="T44" s="24"/>
      <c r="U44" s="23"/>
      <c r="V44" s="24"/>
      <c r="W44" s="23"/>
      <c r="X44" s="24"/>
      <c r="Y44" s="23"/>
      <c r="Z44" s="24"/>
      <c r="AA44" s="23"/>
      <c r="AB44" s="24"/>
      <c r="AC44" s="23"/>
      <c r="AD44" s="23"/>
      <c r="AE44" s="24"/>
      <c r="AF44" s="23"/>
      <c r="AG44" s="26">
        <v>16</v>
      </c>
      <c r="AH44" s="33">
        <f t="shared" si="1"/>
        <v>48160</v>
      </c>
      <c r="AI44" s="24"/>
      <c r="AJ44" s="23"/>
      <c r="AK44" s="24"/>
      <c r="AL44" s="23"/>
      <c r="AM44" s="24"/>
      <c r="AN44" s="23"/>
      <c r="AO44" s="23"/>
      <c r="AP44" s="20">
        <v>16</v>
      </c>
      <c r="AQ44" s="48">
        <v>3010</v>
      </c>
      <c r="AR44" s="47">
        <f t="shared" si="2"/>
        <v>48160</v>
      </c>
      <c r="AS44" s="59"/>
    </row>
    <row r="45" spans="1:45" ht="28.5" x14ac:dyDescent="0.2">
      <c r="A45" s="10">
        <f t="shared" si="3"/>
        <v>36</v>
      </c>
      <c r="B45" s="54"/>
      <c r="C45" s="12" t="s">
        <v>24</v>
      </c>
      <c r="D45" s="26" t="s">
        <v>53</v>
      </c>
      <c r="E45" s="64" t="s">
        <v>96</v>
      </c>
      <c r="F45" s="26" t="s">
        <v>26</v>
      </c>
      <c r="G45" s="14"/>
      <c r="H45" s="14"/>
      <c r="I45" s="33" t="e">
        <f>+#REF!*AQ45</f>
        <v>#REF!</v>
      </c>
      <c r="J45" s="42"/>
      <c r="K45" s="29">
        <f t="shared" si="0"/>
        <v>0</v>
      </c>
      <c r="L45" s="24"/>
      <c r="M45" s="23"/>
      <c r="N45" s="42"/>
      <c r="O45" s="23"/>
      <c r="P45" s="24"/>
      <c r="Q45" s="23"/>
      <c r="R45" s="42"/>
      <c r="S45" s="23"/>
      <c r="T45" s="24"/>
      <c r="U45" s="23"/>
      <c r="V45" s="24"/>
      <c r="W45" s="23"/>
      <c r="X45" s="24"/>
      <c r="Y45" s="23"/>
      <c r="Z45" s="24"/>
      <c r="AA45" s="23"/>
      <c r="AB45" s="24"/>
      <c r="AC45" s="23"/>
      <c r="AD45" s="23"/>
      <c r="AE45" s="24"/>
      <c r="AF45" s="23"/>
      <c r="AG45" s="26">
        <v>20</v>
      </c>
      <c r="AH45" s="33">
        <f t="shared" si="1"/>
        <v>18000</v>
      </c>
      <c r="AI45" s="24"/>
      <c r="AJ45" s="23"/>
      <c r="AK45" s="24"/>
      <c r="AL45" s="23"/>
      <c r="AM45" s="24"/>
      <c r="AN45" s="23"/>
      <c r="AO45" s="23"/>
      <c r="AP45" s="20">
        <v>20</v>
      </c>
      <c r="AQ45" s="48">
        <v>900</v>
      </c>
      <c r="AR45" s="47">
        <f t="shared" si="2"/>
        <v>18000</v>
      </c>
      <c r="AS45" s="59"/>
    </row>
    <row r="46" spans="1:45" ht="44.25" customHeight="1" x14ac:dyDescent="0.2">
      <c r="A46" s="10">
        <v>37</v>
      </c>
      <c r="B46" s="54"/>
      <c r="C46" s="12" t="s">
        <v>24</v>
      </c>
      <c r="D46" s="26" t="s">
        <v>166</v>
      </c>
      <c r="E46" s="64" t="s">
        <v>167</v>
      </c>
      <c r="F46" s="26" t="s">
        <v>168</v>
      </c>
      <c r="G46" s="14"/>
      <c r="H46" s="14"/>
      <c r="I46" s="33" t="e">
        <f>+#REF!*AQ46</f>
        <v>#REF!</v>
      </c>
      <c r="J46" s="42"/>
      <c r="K46" s="29">
        <f t="shared" si="0"/>
        <v>0</v>
      </c>
      <c r="L46" s="24"/>
      <c r="M46" s="23"/>
      <c r="N46" s="42"/>
      <c r="O46" s="23"/>
      <c r="P46" s="24"/>
      <c r="Q46" s="23"/>
      <c r="R46" s="42"/>
      <c r="S46" s="23"/>
      <c r="T46" s="24"/>
      <c r="U46" s="23"/>
      <c r="V46" s="24"/>
      <c r="W46" s="23"/>
      <c r="X46" s="24"/>
      <c r="Y46" s="23"/>
      <c r="Z46" s="24"/>
      <c r="AA46" s="23"/>
      <c r="AB46" s="24"/>
      <c r="AC46" s="23"/>
      <c r="AD46" s="23"/>
      <c r="AE46" s="24"/>
      <c r="AF46" s="23"/>
      <c r="AG46" s="26"/>
      <c r="AH46" s="33"/>
      <c r="AI46" s="24"/>
      <c r="AJ46" s="23"/>
      <c r="AK46" s="24"/>
      <c r="AL46" s="23"/>
      <c r="AM46" s="24"/>
      <c r="AN46" s="23"/>
      <c r="AO46" s="131">
        <v>120000</v>
      </c>
      <c r="AP46" s="20">
        <v>120000</v>
      </c>
      <c r="AQ46" s="48">
        <v>451.48</v>
      </c>
      <c r="AR46" s="47">
        <f t="shared" si="2"/>
        <v>54177600</v>
      </c>
      <c r="AS46" s="59"/>
    </row>
    <row r="47" spans="1:45" ht="31.5" x14ac:dyDescent="0.2">
      <c r="A47" s="12"/>
      <c r="B47" s="53"/>
      <c r="C47" s="32"/>
      <c r="D47" s="14"/>
      <c r="E47" s="55" t="s">
        <v>153</v>
      </c>
      <c r="F47" s="14"/>
      <c r="G47" s="8"/>
      <c r="H47" s="8"/>
      <c r="I47" s="6" t="e">
        <f>SUM(I10:I46)</f>
        <v>#REF!</v>
      </c>
      <c r="J47" s="7"/>
      <c r="K47" s="6">
        <f>SUM(K10:K46)</f>
        <v>10500329</v>
      </c>
      <c r="L47" s="9"/>
      <c r="M47" s="6"/>
      <c r="N47" s="7"/>
      <c r="O47" s="6"/>
      <c r="P47" s="9"/>
      <c r="Q47" s="6"/>
      <c r="R47" s="7"/>
      <c r="S47" s="6"/>
      <c r="T47" s="9"/>
      <c r="U47" s="6"/>
      <c r="V47" s="9"/>
      <c r="W47" s="6"/>
      <c r="X47" s="9"/>
      <c r="Y47" s="6"/>
      <c r="Z47" s="9"/>
      <c r="AA47" s="6"/>
      <c r="AB47" s="9"/>
      <c r="AC47" s="6"/>
      <c r="AD47" s="6">
        <f>SUM(AD10:AD45)</f>
        <v>0</v>
      </c>
      <c r="AE47" s="9"/>
      <c r="AF47" s="6"/>
      <c r="AG47" s="9"/>
      <c r="AH47" s="6">
        <f>SUM(AH10:AH45)</f>
        <v>1483224</v>
      </c>
      <c r="AI47" s="9"/>
      <c r="AJ47" s="6"/>
      <c r="AK47" s="9"/>
      <c r="AL47" s="6"/>
      <c r="AM47" s="9"/>
      <c r="AN47" s="6"/>
      <c r="AO47" s="6"/>
      <c r="AP47" s="27">
        <f>SUM(AP10:AP46)</f>
        <v>124113</v>
      </c>
      <c r="AQ47" s="37"/>
      <c r="AR47" s="56">
        <f>SUM(AR10:AR46)</f>
        <v>66161153</v>
      </c>
      <c r="AS47" s="59"/>
    </row>
    <row r="48" spans="1:45" x14ac:dyDescent="0.25">
      <c r="AH48" s="58"/>
    </row>
    <row r="50" spans="2:29" ht="104.25" customHeight="1" x14ac:dyDescent="0.2">
      <c r="B50" s="116" t="s">
        <v>150</v>
      </c>
      <c r="C50" s="140" t="s">
        <v>152</v>
      </c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</row>
    <row r="52" spans="2:29" ht="30" x14ac:dyDescent="0.25">
      <c r="B52" s="49" t="s">
        <v>143</v>
      </c>
    </row>
    <row r="54" spans="2:29" x14ac:dyDescent="0.25">
      <c r="B54" s="49" t="s">
        <v>146</v>
      </c>
      <c r="C54" s="50" t="s">
        <v>147</v>
      </c>
    </row>
    <row r="56" spans="2:29" ht="30" x14ac:dyDescent="0.25">
      <c r="B56" s="49" t="s">
        <v>148</v>
      </c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</row>
    <row r="57" spans="2:29" x14ac:dyDescent="0.25">
      <c r="C57" s="133" t="s">
        <v>170</v>
      </c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spans="2:29" x14ac:dyDescent="0.25"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59" spans="2:29" x14ac:dyDescent="0.25">
      <c r="C59" s="133" t="s">
        <v>171</v>
      </c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</row>
    <row r="60" spans="2:29" x14ac:dyDescent="0.25"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</row>
    <row r="61" spans="2:29" x14ac:dyDescent="0.25">
      <c r="C61" s="123" t="s">
        <v>172</v>
      </c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</row>
    <row r="62" spans="2:29" x14ac:dyDescent="0.25"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</row>
    <row r="63" spans="2:29" ht="30" x14ac:dyDescent="0.25">
      <c r="B63" s="49" t="s">
        <v>144</v>
      </c>
    </row>
    <row r="65" spans="2:29" x14ac:dyDescent="0.25">
      <c r="B65" s="49" t="s">
        <v>145</v>
      </c>
      <c r="C65" s="133" t="s">
        <v>151</v>
      </c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</row>
  </sheetData>
  <mergeCells count="14">
    <mergeCell ref="C65:AC65"/>
    <mergeCell ref="A7:B7"/>
    <mergeCell ref="A6:B6"/>
    <mergeCell ref="B2:AQ2"/>
    <mergeCell ref="A4:B4"/>
    <mergeCell ref="C4:E4"/>
    <mergeCell ref="A5:B5"/>
    <mergeCell ref="C5:E5"/>
    <mergeCell ref="C56:AC56"/>
    <mergeCell ref="C57:AC57"/>
    <mergeCell ref="C58:AC58"/>
    <mergeCell ref="C59:AC59"/>
    <mergeCell ref="C7:E7"/>
    <mergeCell ref="C50:AC50"/>
  </mergeCells>
  <conditionalFormatting sqref="B14:B16 E14:E16">
    <cfRule type="duplicateValues" dxfId="102" priority="296"/>
  </conditionalFormatting>
  <conditionalFormatting sqref="B14:B16">
    <cfRule type="duplicateValues" dxfId="101" priority="298"/>
  </conditionalFormatting>
  <conditionalFormatting sqref="B17:B18 E17:E18">
    <cfRule type="duplicateValues" dxfId="100" priority="293"/>
  </conditionalFormatting>
  <conditionalFormatting sqref="B19:B21 E19:E21">
    <cfRule type="duplicateValues" dxfId="99" priority="290"/>
  </conditionalFormatting>
  <conditionalFormatting sqref="B19:B21">
    <cfRule type="duplicateValues" dxfId="98" priority="292"/>
  </conditionalFormatting>
  <conditionalFormatting sqref="E45:E46 E30:E31 B30:B31 B45:B46">
    <cfRule type="duplicateValues" dxfId="97" priority="278"/>
  </conditionalFormatting>
  <conditionalFormatting sqref="B32:B33 E32:E33">
    <cfRule type="duplicateValues" dxfId="96" priority="92"/>
  </conditionalFormatting>
  <conditionalFormatting sqref="B32:B33">
    <cfRule type="duplicateValues" dxfId="95" priority="93"/>
  </conditionalFormatting>
  <conditionalFormatting sqref="E32:E33">
    <cfRule type="duplicateValues" dxfId="94" priority="98"/>
    <cfRule type="duplicateValues" dxfId="93" priority="99"/>
  </conditionalFormatting>
  <conditionalFormatting sqref="B34:B35 E34:E35">
    <cfRule type="duplicateValues" dxfId="92" priority="84"/>
  </conditionalFormatting>
  <conditionalFormatting sqref="B34:B35">
    <cfRule type="duplicateValues" dxfId="91" priority="85"/>
  </conditionalFormatting>
  <conditionalFormatting sqref="E34:E35">
    <cfRule type="duplicateValues" dxfId="90" priority="90"/>
    <cfRule type="duplicateValues" dxfId="89" priority="91"/>
  </conditionalFormatting>
  <conditionalFormatting sqref="B36:B37 E36:E37">
    <cfRule type="duplicateValues" dxfId="88" priority="76"/>
  </conditionalFormatting>
  <conditionalFormatting sqref="B36:B37">
    <cfRule type="duplicateValues" dxfId="87" priority="77"/>
  </conditionalFormatting>
  <conditionalFormatting sqref="E36:E37">
    <cfRule type="duplicateValues" dxfId="86" priority="82"/>
    <cfRule type="duplicateValues" dxfId="85" priority="83"/>
  </conditionalFormatting>
  <conditionalFormatting sqref="B38:B39 E38:E39">
    <cfRule type="duplicateValues" dxfId="84" priority="68"/>
  </conditionalFormatting>
  <conditionalFormatting sqref="B38:B39">
    <cfRule type="duplicateValues" dxfId="83" priority="69"/>
  </conditionalFormatting>
  <conditionalFormatting sqref="E38:E39">
    <cfRule type="duplicateValues" dxfId="82" priority="74"/>
    <cfRule type="duplicateValues" dxfId="81" priority="75"/>
  </conditionalFormatting>
  <conditionalFormatting sqref="B40:B41 E40:E41">
    <cfRule type="duplicateValues" dxfId="80" priority="60"/>
  </conditionalFormatting>
  <conditionalFormatting sqref="B40:B41">
    <cfRule type="duplicateValues" dxfId="79" priority="61"/>
  </conditionalFormatting>
  <conditionalFormatting sqref="E40:E41">
    <cfRule type="duplicateValues" dxfId="78" priority="66"/>
    <cfRule type="duplicateValues" dxfId="77" priority="67"/>
  </conditionalFormatting>
  <conditionalFormatting sqref="B43:B44 E43:E44">
    <cfRule type="duplicateValues" dxfId="76" priority="44"/>
  </conditionalFormatting>
  <conditionalFormatting sqref="B43:B44">
    <cfRule type="duplicateValues" dxfId="75" priority="45"/>
  </conditionalFormatting>
  <conditionalFormatting sqref="E43:E44">
    <cfRule type="duplicateValues" dxfId="74" priority="50"/>
    <cfRule type="duplicateValues" dxfId="73" priority="51"/>
  </conditionalFormatting>
  <conditionalFormatting sqref="B1:B1048576">
    <cfRule type="duplicateValues" dxfId="72" priority="2"/>
  </conditionalFormatting>
  <conditionalFormatting sqref="E63:E64 E51:E55 E1:E6 E8:E49 E66:E1048576">
    <cfRule type="duplicateValues" dxfId="71" priority="1"/>
  </conditionalFormatting>
  <conditionalFormatting sqref="E63:E64 E51:E55 E1:E6 E8:E31 E45:E49 E66:E1048576">
    <cfRule type="duplicateValues" dxfId="70" priority="8316"/>
    <cfRule type="duplicateValues" dxfId="69" priority="8317"/>
  </conditionalFormatting>
  <conditionalFormatting sqref="E63:E64 B47:B1048576 E51:E55 B1:B11 E1:E6 E8:E11 E47:E49 E66:E1048576">
    <cfRule type="duplicateValues" dxfId="68" priority="8449"/>
  </conditionalFormatting>
  <conditionalFormatting sqref="B47:B1048576">
    <cfRule type="duplicateValues" dxfId="67" priority="8459"/>
  </conditionalFormatting>
  <conditionalFormatting sqref="E63:E64 E51:E55 B47:B1048576 B1:B11 E1:E6 E8:E11 E47:E49 E66:E1048576">
    <cfRule type="duplicateValues" dxfId="66" priority="8469"/>
  </conditionalFormatting>
  <conditionalFormatting sqref="E22">
    <cfRule type="duplicateValues" dxfId="65" priority="8474"/>
  </conditionalFormatting>
  <conditionalFormatting sqref="B22">
    <cfRule type="duplicateValues" dxfId="64" priority="8477"/>
  </conditionalFormatting>
  <conditionalFormatting sqref="B22">
    <cfRule type="duplicateValues" dxfId="63" priority="8479"/>
  </conditionalFormatting>
  <conditionalFormatting sqref="B12:B13 E12:E13">
    <cfRule type="duplicateValues" dxfId="62" priority="8480"/>
  </conditionalFormatting>
  <conditionalFormatting sqref="B23:B29 E23:E29">
    <cfRule type="duplicateValues" dxfId="61" priority="8482"/>
  </conditionalFormatting>
  <conditionalFormatting sqref="B42 E42">
    <cfRule type="duplicateValues" dxfId="60" priority="8486"/>
  </conditionalFormatting>
  <conditionalFormatting sqref="B42">
    <cfRule type="duplicateValues" dxfId="59" priority="8488"/>
  </conditionalFormatting>
  <conditionalFormatting sqref="E42">
    <cfRule type="duplicateValues" dxfId="58" priority="8489"/>
    <cfRule type="duplicateValues" dxfId="57" priority="8490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C82"/>
  <sheetViews>
    <sheetView topLeftCell="A13" zoomScale="80" zoomScaleNormal="80" workbookViewId="0">
      <selection activeCell="C20" sqref="C20:G20"/>
    </sheetView>
  </sheetViews>
  <sheetFormatPr baseColWidth="10" defaultColWidth="9.140625" defaultRowHeight="12.75" x14ac:dyDescent="0.2"/>
  <cols>
    <col min="1" max="1" width="5.5703125" style="67" customWidth="1"/>
    <col min="2" max="2" width="15.140625" style="67" customWidth="1"/>
    <col min="3" max="3" width="14.140625" style="67" customWidth="1"/>
    <col min="4" max="4" width="26" style="67" customWidth="1"/>
    <col min="5" max="5" width="8" style="67" customWidth="1"/>
    <col min="6" max="6" width="7.85546875" style="67" customWidth="1"/>
    <col min="7" max="7" width="42" style="67" customWidth="1"/>
    <col min="8" max="8" width="9.28515625" style="67" customWidth="1"/>
    <col min="9" max="9" width="14.5703125" style="67" customWidth="1"/>
    <col min="10" max="10" width="16" style="67" customWidth="1"/>
    <col min="11" max="11" width="15.5703125" style="67" customWidth="1"/>
    <col min="12" max="12" width="5.85546875" style="67" customWidth="1"/>
    <col min="13" max="13" width="16.140625" style="115" customWidth="1"/>
    <col min="14" max="14" width="27.5703125" style="115" customWidth="1"/>
    <col min="15" max="1017" width="9.140625" style="67"/>
  </cols>
  <sheetData>
    <row r="1" spans="1:14" ht="18" customHeight="1" thickBot="1" x14ac:dyDescent="0.25">
      <c r="A1" s="164" t="s">
        <v>97</v>
      </c>
      <c r="B1" s="164"/>
      <c r="C1" s="164"/>
      <c r="D1" s="164"/>
      <c r="E1" s="164"/>
      <c r="F1" s="164"/>
      <c r="G1" s="164"/>
      <c r="H1" s="164"/>
      <c r="I1" s="164"/>
      <c r="J1" s="65" t="s">
        <v>98</v>
      </c>
      <c r="K1" s="66" t="s">
        <v>155</v>
      </c>
    </row>
    <row r="2" spans="1:14" ht="18.75" customHeight="1" thickBot="1" x14ac:dyDescent="0.25">
      <c r="A2" s="68"/>
      <c r="B2" s="68"/>
      <c r="C2" s="68"/>
      <c r="D2" s="69"/>
      <c r="E2" s="69"/>
      <c r="F2" s="69"/>
      <c r="G2" s="69"/>
      <c r="H2" s="69"/>
      <c r="I2" s="69"/>
      <c r="J2" s="69"/>
      <c r="K2" s="69"/>
    </row>
    <row r="3" spans="1:14" ht="18.75" customHeight="1" thickBot="1" x14ac:dyDescent="0.25">
      <c r="A3" s="159" t="s">
        <v>99</v>
      </c>
      <c r="B3" s="159"/>
      <c r="C3" s="159"/>
      <c r="D3" s="160" t="s">
        <v>100</v>
      </c>
      <c r="E3" s="160"/>
      <c r="F3" s="160"/>
      <c r="G3" s="160"/>
      <c r="H3" s="160"/>
      <c r="I3" s="160"/>
      <c r="J3" s="160"/>
      <c r="K3" s="160"/>
    </row>
    <row r="4" spans="1:14" ht="18.75" customHeight="1" thickBot="1" x14ac:dyDescent="0.25">
      <c r="A4" s="161" t="s">
        <v>101</v>
      </c>
      <c r="B4" s="161"/>
      <c r="C4" s="161"/>
      <c r="D4" s="160" t="s">
        <v>102</v>
      </c>
      <c r="E4" s="160"/>
      <c r="F4" s="160"/>
      <c r="G4" s="160"/>
      <c r="H4" s="160"/>
      <c r="I4" s="160"/>
      <c r="J4" s="160"/>
      <c r="K4" s="160"/>
    </row>
    <row r="5" spans="1:14" ht="18.75" customHeight="1" thickBot="1" x14ac:dyDescent="0.25">
      <c r="A5" s="161" t="s">
        <v>103</v>
      </c>
      <c r="B5" s="161"/>
      <c r="C5" s="161"/>
      <c r="D5" s="160" t="s">
        <v>141</v>
      </c>
      <c r="E5" s="160"/>
      <c r="F5" s="160"/>
      <c r="G5" s="160"/>
      <c r="H5" s="160"/>
      <c r="I5" s="160"/>
      <c r="J5" s="160"/>
      <c r="K5" s="160"/>
    </row>
    <row r="6" spans="1:14" ht="16.5" customHeight="1" thickBot="1" x14ac:dyDescent="0.25">
      <c r="A6" s="159" t="s">
        <v>104</v>
      </c>
      <c r="B6" s="159"/>
      <c r="C6" s="159"/>
      <c r="D6" s="160" t="s">
        <v>141</v>
      </c>
      <c r="E6" s="160"/>
      <c r="F6" s="160"/>
      <c r="G6" s="160"/>
      <c r="H6" s="160"/>
      <c r="I6" s="160"/>
      <c r="J6" s="160"/>
      <c r="K6" s="160"/>
    </row>
    <row r="7" spans="1:14" ht="16.5" customHeight="1" thickBot="1" x14ac:dyDescent="0.25">
      <c r="A7" s="161" t="s">
        <v>105</v>
      </c>
      <c r="B7" s="161"/>
      <c r="C7" s="161"/>
      <c r="D7" s="160" t="s">
        <v>139</v>
      </c>
      <c r="E7" s="160"/>
      <c r="F7" s="160"/>
      <c r="G7" s="160"/>
      <c r="H7" s="160"/>
      <c r="I7" s="160"/>
      <c r="J7" s="160"/>
      <c r="K7" s="160"/>
    </row>
    <row r="8" spans="1:14" ht="16.5" customHeight="1" thickBot="1" x14ac:dyDescent="0.25">
      <c r="A8" s="162" t="s">
        <v>106</v>
      </c>
      <c r="B8" s="162"/>
      <c r="C8" s="162"/>
      <c r="D8" s="163" t="s">
        <v>140</v>
      </c>
      <c r="E8" s="163"/>
      <c r="F8" s="163"/>
      <c r="G8" s="163"/>
      <c r="H8" s="163"/>
      <c r="I8" s="163"/>
      <c r="J8" s="163"/>
      <c r="K8" s="163"/>
    </row>
    <row r="9" spans="1:14" ht="16.5" thickBot="1" x14ac:dyDescent="0.25">
      <c r="A9" s="70"/>
      <c r="B9" s="70"/>
      <c r="C9" s="70"/>
      <c r="D9" s="114"/>
      <c r="E9" s="114"/>
      <c r="F9" s="114"/>
      <c r="G9" s="114"/>
      <c r="H9" s="114"/>
      <c r="I9" s="114"/>
      <c r="J9" s="114"/>
      <c r="K9" s="114"/>
    </row>
    <row r="10" spans="1:14" ht="18.75" customHeight="1" thickBot="1" x14ac:dyDescent="0.25">
      <c r="A10" s="158" t="s">
        <v>107</v>
      </c>
      <c r="B10" s="157" t="s">
        <v>108</v>
      </c>
      <c r="C10" s="157" t="s">
        <v>109</v>
      </c>
      <c r="D10" s="157"/>
      <c r="E10" s="157"/>
      <c r="F10" s="157"/>
      <c r="G10" s="157"/>
      <c r="H10" s="157" t="s">
        <v>110</v>
      </c>
      <c r="I10" s="157" t="s">
        <v>111</v>
      </c>
      <c r="J10" s="157" t="s">
        <v>112</v>
      </c>
      <c r="K10" s="153" t="s">
        <v>113</v>
      </c>
    </row>
    <row r="11" spans="1:14" ht="24" customHeight="1" thickBot="1" x14ac:dyDescent="0.25">
      <c r="A11" s="158"/>
      <c r="B11" s="157"/>
      <c r="C11" s="157"/>
      <c r="D11" s="157"/>
      <c r="E11" s="157"/>
      <c r="F11" s="157"/>
      <c r="G11" s="157"/>
      <c r="H11" s="157"/>
      <c r="I11" s="157"/>
      <c r="J11" s="157"/>
      <c r="K11" s="153"/>
    </row>
    <row r="12" spans="1:14" s="67" customFormat="1" ht="32.25" customHeight="1" thickBot="1" x14ac:dyDescent="0.25">
      <c r="A12" s="71">
        <v>1</v>
      </c>
      <c r="B12" s="72"/>
      <c r="C12" s="154" t="s">
        <v>70</v>
      </c>
      <c r="D12" s="155"/>
      <c r="E12" s="155"/>
      <c r="F12" s="155"/>
      <c r="G12" s="156"/>
      <c r="H12" s="73" t="s">
        <v>149</v>
      </c>
      <c r="I12" s="121" t="s">
        <v>13</v>
      </c>
      <c r="J12" s="36">
        <v>35695</v>
      </c>
      <c r="K12" s="35">
        <f>72+32</f>
        <v>104</v>
      </c>
      <c r="M12" s="115">
        <f>SUM(J12*K12)</f>
        <v>3712280</v>
      </c>
      <c r="N12" s="115"/>
    </row>
    <row r="13" spans="1:14" s="67" customFormat="1" ht="32.25" customHeight="1" thickBot="1" x14ac:dyDescent="0.25">
      <c r="A13" s="110">
        <f>SUM(A12+1)</f>
        <v>2</v>
      </c>
      <c r="B13" s="111"/>
      <c r="C13" s="141" t="s">
        <v>71</v>
      </c>
      <c r="D13" s="142"/>
      <c r="E13" s="142"/>
      <c r="F13" s="142"/>
      <c r="G13" s="143"/>
      <c r="H13" s="73" t="s">
        <v>149</v>
      </c>
      <c r="I13" s="121" t="s">
        <v>12</v>
      </c>
      <c r="J13" s="36">
        <v>35090</v>
      </c>
      <c r="K13" s="35">
        <f>+(8)*4</f>
        <v>32</v>
      </c>
      <c r="M13" s="115">
        <f t="shared" ref="M13:M31" si="0">SUM(J13*K13)</f>
        <v>1122880</v>
      </c>
      <c r="N13" s="115"/>
    </row>
    <row r="14" spans="1:14" s="67" customFormat="1" ht="32.25" customHeight="1" thickBot="1" x14ac:dyDescent="0.25">
      <c r="A14" s="110">
        <f t="shared" ref="A14:A31" si="1">SUM(A13+1)</f>
        <v>3</v>
      </c>
      <c r="B14" s="111"/>
      <c r="C14" s="141" t="s">
        <v>72</v>
      </c>
      <c r="D14" s="142"/>
      <c r="E14" s="142"/>
      <c r="F14" s="142"/>
      <c r="G14" s="143"/>
      <c r="H14" s="73" t="s">
        <v>149</v>
      </c>
      <c r="I14" s="121" t="s">
        <v>13</v>
      </c>
      <c r="J14" s="36">
        <v>665.5</v>
      </c>
      <c r="K14" s="35">
        <v>1500</v>
      </c>
      <c r="M14" s="115">
        <f t="shared" si="0"/>
        <v>998250</v>
      </c>
      <c r="N14" s="115"/>
    </row>
    <row r="15" spans="1:14" s="67" customFormat="1" ht="32.25" customHeight="1" thickBot="1" x14ac:dyDescent="0.25">
      <c r="A15" s="110">
        <f t="shared" si="1"/>
        <v>4</v>
      </c>
      <c r="B15" s="111"/>
      <c r="C15" s="141" t="s">
        <v>73</v>
      </c>
      <c r="D15" s="142"/>
      <c r="E15" s="142"/>
      <c r="F15" s="142"/>
      <c r="G15" s="143"/>
      <c r="H15" s="73" t="s">
        <v>149</v>
      </c>
      <c r="I15" s="121" t="s">
        <v>13</v>
      </c>
      <c r="J15" s="36">
        <v>871.2</v>
      </c>
      <c r="K15" s="35">
        <v>1200</v>
      </c>
      <c r="M15" s="115">
        <f t="shared" si="0"/>
        <v>1045440</v>
      </c>
      <c r="N15" s="115"/>
    </row>
    <row r="16" spans="1:14" s="67" customFormat="1" ht="32.25" customHeight="1" thickBot="1" x14ac:dyDescent="0.25">
      <c r="A16" s="110">
        <f t="shared" si="1"/>
        <v>5</v>
      </c>
      <c r="B16" s="111"/>
      <c r="C16" s="141" t="s">
        <v>74</v>
      </c>
      <c r="D16" s="142"/>
      <c r="E16" s="142"/>
      <c r="F16" s="142"/>
      <c r="G16" s="143"/>
      <c r="H16" s="73" t="s">
        <v>149</v>
      </c>
      <c r="I16" s="121" t="s">
        <v>12</v>
      </c>
      <c r="J16" s="36">
        <v>954</v>
      </c>
      <c r="K16" s="35">
        <v>900</v>
      </c>
      <c r="M16" s="115">
        <f t="shared" si="0"/>
        <v>858600</v>
      </c>
      <c r="N16" s="115"/>
    </row>
    <row r="17" spans="1:14" s="67" customFormat="1" ht="32.25" customHeight="1" thickBot="1" x14ac:dyDescent="0.25">
      <c r="A17" s="110">
        <f t="shared" si="1"/>
        <v>6</v>
      </c>
      <c r="B17" s="111"/>
      <c r="C17" s="141" t="s">
        <v>75</v>
      </c>
      <c r="D17" s="142"/>
      <c r="E17" s="142"/>
      <c r="F17" s="142"/>
      <c r="G17" s="143"/>
      <c r="H17" s="73" t="s">
        <v>149</v>
      </c>
      <c r="I17" s="121" t="s">
        <v>12</v>
      </c>
      <c r="J17" s="36">
        <v>29160</v>
      </c>
      <c r="K17" s="35">
        <v>9</v>
      </c>
      <c r="M17" s="115">
        <f t="shared" si="0"/>
        <v>262440</v>
      </c>
      <c r="N17" s="115"/>
    </row>
    <row r="18" spans="1:14" s="67" customFormat="1" ht="32.25" customHeight="1" thickBot="1" x14ac:dyDescent="0.25">
      <c r="A18" s="110">
        <f t="shared" si="1"/>
        <v>7</v>
      </c>
      <c r="B18" s="111"/>
      <c r="C18" s="141" t="s">
        <v>76</v>
      </c>
      <c r="D18" s="142"/>
      <c r="E18" s="142"/>
      <c r="F18" s="142"/>
      <c r="G18" s="143"/>
      <c r="H18" s="73" t="s">
        <v>149</v>
      </c>
      <c r="I18" s="121" t="s">
        <v>12</v>
      </c>
      <c r="J18" s="36">
        <v>22500</v>
      </c>
      <c r="K18" s="35">
        <v>9</v>
      </c>
      <c r="M18" s="115">
        <f t="shared" si="0"/>
        <v>202500</v>
      </c>
      <c r="N18" s="115"/>
    </row>
    <row r="19" spans="1:14" s="67" customFormat="1" ht="32.25" customHeight="1" thickBot="1" x14ac:dyDescent="0.25">
      <c r="A19" s="110">
        <f t="shared" si="1"/>
        <v>8</v>
      </c>
      <c r="B19" s="111"/>
      <c r="C19" s="141" t="s">
        <v>77</v>
      </c>
      <c r="D19" s="142"/>
      <c r="E19" s="142"/>
      <c r="F19" s="142"/>
      <c r="G19" s="143"/>
      <c r="H19" s="73" t="s">
        <v>149</v>
      </c>
      <c r="I19" s="121" t="s">
        <v>13</v>
      </c>
      <c r="J19" s="36">
        <v>16500</v>
      </c>
      <c r="K19" s="35">
        <v>9</v>
      </c>
      <c r="M19" s="115">
        <f t="shared" si="0"/>
        <v>148500</v>
      </c>
      <c r="N19" s="115"/>
    </row>
    <row r="20" spans="1:14" s="67" customFormat="1" ht="32.25" customHeight="1" thickBot="1" x14ac:dyDescent="0.25">
      <c r="A20" s="110">
        <f t="shared" si="1"/>
        <v>9</v>
      </c>
      <c r="B20" s="111"/>
      <c r="C20" s="141" t="s">
        <v>78</v>
      </c>
      <c r="D20" s="142"/>
      <c r="E20" s="142"/>
      <c r="F20" s="142"/>
      <c r="G20" s="143"/>
      <c r="H20" s="73" t="s">
        <v>149</v>
      </c>
      <c r="I20" s="121" t="s">
        <v>13</v>
      </c>
      <c r="J20" s="36">
        <v>15588</v>
      </c>
      <c r="K20" s="35">
        <v>9</v>
      </c>
      <c r="M20" s="115">
        <f t="shared" si="0"/>
        <v>140292</v>
      </c>
      <c r="N20" s="115"/>
    </row>
    <row r="21" spans="1:14" s="67" customFormat="1" ht="32.25" customHeight="1" thickBot="1" x14ac:dyDescent="0.25">
      <c r="A21" s="110">
        <f t="shared" si="1"/>
        <v>10</v>
      </c>
      <c r="B21" s="111"/>
      <c r="C21" s="141" t="s">
        <v>79</v>
      </c>
      <c r="D21" s="142"/>
      <c r="E21" s="142"/>
      <c r="F21" s="142"/>
      <c r="G21" s="143"/>
      <c r="H21" s="73" t="s">
        <v>149</v>
      </c>
      <c r="I21" s="121" t="s">
        <v>12</v>
      </c>
      <c r="J21" s="36">
        <v>4350</v>
      </c>
      <c r="K21" s="35">
        <v>81</v>
      </c>
      <c r="M21" s="115">
        <f t="shared" si="0"/>
        <v>352350</v>
      </c>
      <c r="N21" s="115"/>
    </row>
    <row r="22" spans="1:14" s="67" customFormat="1" ht="32.25" customHeight="1" thickBot="1" x14ac:dyDescent="0.25">
      <c r="A22" s="110">
        <f t="shared" si="1"/>
        <v>11</v>
      </c>
      <c r="B22" s="111"/>
      <c r="C22" s="141" t="s">
        <v>80</v>
      </c>
      <c r="D22" s="142"/>
      <c r="E22" s="142"/>
      <c r="F22" s="142"/>
      <c r="G22" s="143"/>
      <c r="H22" s="73" t="s">
        <v>149</v>
      </c>
      <c r="I22" s="121" t="s">
        <v>13</v>
      </c>
      <c r="J22" s="36">
        <v>6649.5</v>
      </c>
      <c r="K22" s="35">
        <v>42</v>
      </c>
      <c r="M22" s="115">
        <f t="shared" si="0"/>
        <v>279279</v>
      </c>
      <c r="N22" s="115"/>
    </row>
    <row r="23" spans="1:14" s="67" customFormat="1" ht="32.25" customHeight="1" thickBot="1" x14ac:dyDescent="0.25">
      <c r="A23" s="110">
        <f t="shared" si="1"/>
        <v>12</v>
      </c>
      <c r="B23" s="111"/>
      <c r="C23" s="141" t="s">
        <v>18</v>
      </c>
      <c r="D23" s="142"/>
      <c r="E23" s="142"/>
      <c r="F23" s="142"/>
      <c r="G23" s="143"/>
      <c r="H23" s="73" t="s">
        <v>149</v>
      </c>
      <c r="I23" s="121" t="s">
        <v>12</v>
      </c>
      <c r="J23" s="36">
        <v>185</v>
      </c>
      <c r="K23" s="35">
        <v>90</v>
      </c>
      <c r="M23" s="115">
        <f t="shared" si="0"/>
        <v>16650</v>
      </c>
      <c r="N23" s="115"/>
    </row>
    <row r="24" spans="1:14" s="67" customFormat="1" ht="32.25" customHeight="1" thickBot="1" x14ac:dyDescent="0.25">
      <c r="A24" s="110">
        <f t="shared" si="1"/>
        <v>13</v>
      </c>
      <c r="B24" s="111"/>
      <c r="C24" s="141" t="s">
        <v>62</v>
      </c>
      <c r="D24" s="142"/>
      <c r="E24" s="142"/>
      <c r="F24" s="142"/>
      <c r="G24" s="143"/>
      <c r="H24" s="73" t="s">
        <v>149</v>
      </c>
      <c r="I24" s="15" t="s">
        <v>14</v>
      </c>
      <c r="J24" s="36">
        <v>50545</v>
      </c>
      <c r="K24" s="25">
        <v>3</v>
      </c>
      <c r="M24" s="115">
        <f t="shared" si="0"/>
        <v>151635</v>
      </c>
      <c r="N24" s="115"/>
    </row>
    <row r="25" spans="1:14" s="67" customFormat="1" ht="32.25" customHeight="1" thickBot="1" x14ac:dyDescent="0.25">
      <c r="A25" s="110">
        <f t="shared" si="1"/>
        <v>14</v>
      </c>
      <c r="B25" s="111"/>
      <c r="C25" s="141" t="s">
        <v>63</v>
      </c>
      <c r="D25" s="142"/>
      <c r="E25" s="142"/>
      <c r="F25" s="142"/>
      <c r="G25" s="143"/>
      <c r="H25" s="73" t="s">
        <v>149</v>
      </c>
      <c r="I25" s="15" t="s">
        <v>14</v>
      </c>
      <c r="J25" s="36">
        <v>64700</v>
      </c>
      <c r="K25" s="25">
        <v>15</v>
      </c>
      <c r="M25" s="115">
        <f t="shared" si="0"/>
        <v>970500</v>
      </c>
      <c r="N25" s="115"/>
    </row>
    <row r="26" spans="1:14" s="67" customFormat="1" ht="32.25" customHeight="1" thickBot="1" x14ac:dyDescent="0.25">
      <c r="A26" s="110">
        <f t="shared" si="1"/>
        <v>15</v>
      </c>
      <c r="B26" s="111"/>
      <c r="C26" s="141" t="s">
        <v>64</v>
      </c>
      <c r="D26" s="142"/>
      <c r="E26" s="142"/>
      <c r="F26" s="142"/>
      <c r="G26" s="143"/>
      <c r="H26" s="73" t="s">
        <v>149</v>
      </c>
      <c r="I26" s="15" t="s">
        <v>14</v>
      </c>
      <c r="J26" s="36">
        <v>12540</v>
      </c>
      <c r="K26" s="25">
        <v>1</v>
      </c>
      <c r="M26" s="115">
        <f t="shared" si="0"/>
        <v>12540</v>
      </c>
      <c r="N26" s="115"/>
    </row>
    <row r="27" spans="1:14" s="67" customFormat="1" ht="32.25" customHeight="1" thickBot="1" x14ac:dyDescent="0.25">
      <c r="A27" s="110">
        <f t="shared" si="1"/>
        <v>16</v>
      </c>
      <c r="B27" s="111"/>
      <c r="C27" s="141" t="s">
        <v>65</v>
      </c>
      <c r="D27" s="142"/>
      <c r="E27" s="142"/>
      <c r="F27" s="142"/>
      <c r="G27" s="143"/>
      <c r="H27" s="73" t="s">
        <v>149</v>
      </c>
      <c r="I27" s="15" t="s">
        <v>14</v>
      </c>
      <c r="J27" s="36">
        <v>17788</v>
      </c>
      <c r="K27" s="25">
        <v>1</v>
      </c>
      <c r="M27" s="115">
        <f t="shared" si="0"/>
        <v>17788</v>
      </c>
      <c r="N27" s="115"/>
    </row>
    <row r="28" spans="1:14" s="67" customFormat="1" ht="32.25" customHeight="1" thickBot="1" x14ac:dyDescent="0.25">
      <c r="A28" s="110">
        <f t="shared" si="1"/>
        <v>17</v>
      </c>
      <c r="B28" s="111"/>
      <c r="C28" s="141" t="s">
        <v>66</v>
      </c>
      <c r="D28" s="142"/>
      <c r="E28" s="142"/>
      <c r="F28" s="142"/>
      <c r="G28" s="143"/>
      <c r="H28" s="73" t="s">
        <v>149</v>
      </c>
      <c r="I28" s="15" t="s">
        <v>14</v>
      </c>
      <c r="J28" s="36">
        <v>7395</v>
      </c>
      <c r="K28" s="25">
        <v>4</v>
      </c>
      <c r="M28" s="115">
        <f t="shared" si="0"/>
        <v>29580</v>
      </c>
      <c r="N28" s="115"/>
    </row>
    <row r="29" spans="1:14" s="67" customFormat="1" ht="32.25" customHeight="1" thickBot="1" x14ac:dyDescent="0.25">
      <c r="A29" s="110">
        <f t="shared" si="1"/>
        <v>18</v>
      </c>
      <c r="B29" s="111"/>
      <c r="C29" s="141" t="s">
        <v>67</v>
      </c>
      <c r="D29" s="151"/>
      <c r="E29" s="151"/>
      <c r="F29" s="151"/>
      <c r="G29" s="152"/>
      <c r="H29" s="73" t="s">
        <v>149</v>
      </c>
      <c r="I29" s="15" t="s">
        <v>14</v>
      </c>
      <c r="J29" s="36">
        <v>16980</v>
      </c>
      <c r="K29" s="25">
        <v>3</v>
      </c>
      <c r="M29" s="115">
        <f t="shared" si="0"/>
        <v>50940</v>
      </c>
      <c r="N29" s="115"/>
    </row>
    <row r="30" spans="1:14" s="67" customFormat="1" ht="32.25" customHeight="1" thickBot="1" x14ac:dyDescent="0.25">
      <c r="A30" s="110">
        <f t="shared" si="1"/>
        <v>19</v>
      </c>
      <c r="B30" s="111"/>
      <c r="C30" s="141" t="s">
        <v>68</v>
      </c>
      <c r="D30" s="151"/>
      <c r="E30" s="151"/>
      <c r="F30" s="151"/>
      <c r="G30" s="152"/>
      <c r="H30" s="73" t="s">
        <v>149</v>
      </c>
      <c r="I30" s="15" t="s">
        <v>14</v>
      </c>
      <c r="J30" s="36">
        <v>8300</v>
      </c>
      <c r="K30" s="25">
        <v>14</v>
      </c>
      <c r="M30" s="115">
        <f t="shared" si="0"/>
        <v>116200</v>
      </c>
      <c r="N30" s="115"/>
    </row>
    <row r="31" spans="1:14" s="67" customFormat="1" ht="32.25" customHeight="1" thickBot="1" x14ac:dyDescent="0.25">
      <c r="A31" s="110">
        <f t="shared" si="1"/>
        <v>20</v>
      </c>
      <c r="B31" s="111"/>
      <c r="C31" s="141" t="s">
        <v>69</v>
      </c>
      <c r="D31" s="142"/>
      <c r="E31" s="142"/>
      <c r="F31" s="142"/>
      <c r="G31" s="143"/>
      <c r="H31" s="73" t="s">
        <v>149</v>
      </c>
      <c r="I31" s="15" t="s">
        <v>14</v>
      </c>
      <c r="J31" s="36">
        <v>11685</v>
      </c>
      <c r="K31" s="25">
        <v>1</v>
      </c>
      <c r="M31" s="115">
        <f t="shared" si="0"/>
        <v>11685</v>
      </c>
      <c r="N31" s="115">
        <f>SUM(M12:M31)</f>
        <v>10500329</v>
      </c>
    </row>
    <row r="32" spans="1:14" s="67" customFormat="1" ht="27.75" customHeight="1" thickBot="1" x14ac:dyDescent="0.25">
      <c r="A32" s="144" t="s">
        <v>159</v>
      </c>
      <c r="B32" s="145"/>
      <c r="C32" s="145"/>
      <c r="D32" s="145"/>
      <c r="E32" s="145"/>
      <c r="F32" s="145"/>
      <c r="G32" s="145"/>
      <c r="H32" s="145"/>
      <c r="I32" s="146"/>
      <c r="J32" s="147">
        <f>+N31</f>
        <v>10500329</v>
      </c>
      <c r="K32" s="148"/>
      <c r="M32" s="115"/>
      <c r="N32" s="115"/>
    </row>
    <row r="33" spans="1:14" s="67" customFormat="1" ht="15.95" customHeight="1" x14ac:dyDescent="0.2">
      <c r="A33" s="149"/>
      <c r="B33" s="149"/>
      <c r="C33" s="149"/>
      <c r="D33" s="149"/>
      <c r="E33" s="149"/>
      <c r="F33" s="149"/>
      <c r="G33" s="149"/>
      <c r="H33" s="149"/>
      <c r="I33" s="149"/>
      <c r="J33" s="150"/>
      <c r="K33" s="150"/>
      <c r="M33" s="115"/>
      <c r="N33" s="115"/>
    </row>
    <row r="34" spans="1:14" s="67" customFormat="1" ht="15.95" customHeight="1" x14ac:dyDescent="0.2">
      <c r="M34" s="115"/>
      <c r="N34" s="115"/>
    </row>
    <row r="35" spans="1:14" s="67" customFormat="1" ht="15.95" customHeight="1" x14ac:dyDescent="0.2">
      <c r="M35" s="115"/>
      <c r="N35" s="115"/>
    </row>
    <row r="36" spans="1:14" s="67" customFormat="1" ht="15.95" customHeight="1" x14ac:dyDescent="0.2">
      <c r="M36" s="115"/>
      <c r="N36" s="115"/>
    </row>
    <row r="37" spans="1:14" s="67" customFormat="1" ht="15.95" customHeight="1" x14ac:dyDescent="0.2">
      <c r="M37" s="115"/>
      <c r="N37" s="115"/>
    </row>
    <row r="38" spans="1:14" s="67" customFormat="1" ht="15.95" customHeight="1" x14ac:dyDescent="0.2">
      <c r="M38" s="115"/>
      <c r="N38" s="115"/>
    </row>
    <row r="39" spans="1:14" s="67" customFormat="1" ht="15.95" customHeight="1" x14ac:dyDescent="0.2">
      <c r="M39" s="115"/>
      <c r="N39" s="115"/>
    </row>
    <row r="40" spans="1:14" s="67" customFormat="1" ht="15.95" customHeight="1" x14ac:dyDescent="0.2">
      <c r="M40" s="115"/>
      <c r="N40" s="115"/>
    </row>
    <row r="41" spans="1:14" s="67" customFormat="1" ht="15.95" customHeight="1" x14ac:dyDescent="0.2">
      <c r="M41" s="115"/>
      <c r="N41" s="115"/>
    </row>
    <row r="42" spans="1:14" s="67" customFormat="1" ht="15.95" customHeight="1" x14ac:dyDescent="0.2">
      <c r="M42" s="115"/>
      <c r="N42" s="115"/>
    </row>
    <row r="43" spans="1:14" s="67" customFormat="1" ht="15.95" customHeight="1" x14ac:dyDescent="0.2">
      <c r="M43" s="115"/>
      <c r="N43" s="115"/>
    </row>
    <row r="44" spans="1:14" s="67" customFormat="1" ht="15.95" customHeight="1" x14ac:dyDescent="0.2">
      <c r="M44" s="115"/>
      <c r="N44" s="115"/>
    </row>
    <row r="45" spans="1:14" s="67" customFormat="1" ht="15.95" customHeight="1" x14ac:dyDescent="0.2">
      <c r="M45" s="115"/>
      <c r="N45" s="115"/>
    </row>
    <row r="46" spans="1:14" s="67" customFormat="1" ht="15.95" customHeight="1" x14ac:dyDescent="0.2">
      <c r="M46" s="115"/>
      <c r="N46" s="115"/>
    </row>
    <row r="47" spans="1:14" s="67" customFormat="1" ht="15.95" customHeight="1" x14ac:dyDescent="0.2">
      <c r="M47" s="115"/>
      <c r="N47" s="115"/>
    </row>
    <row r="48" spans="1:14" s="67" customFormat="1" ht="15.95" customHeight="1" x14ac:dyDescent="0.2">
      <c r="M48" s="115"/>
      <c r="N48" s="115"/>
    </row>
    <row r="49" spans="13:14" s="67" customFormat="1" ht="15.95" customHeight="1" x14ac:dyDescent="0.2">
      <c r="M49" s="115"/>
      <c r="N49" s="115"/>
    </row>
    <row r="50" spans="13:14" s="67" customFormat="1" ht="15.95" customHeight="1" x14ac:dyDescent="0.2">
      <c r="M50" s="115"/>
      <c r="N50" s="115"/>
    </row>
    <row r="51" spans="13:14" s="67" customFormat="1" ht="15.95" customHeight="1" x14ac:dyDescent="0.2">
      <c r="M51" s="115"/>
      <c r="N51" s="115"/>
    </row>
    <row r="52" spans="13:14" s="67" customFormat="1" ht="15.95" customHeight="1" x14ac:dyDescent="0.2">
      <c r="M52" s="115"/>
      <c r="N52" s="115"/>
    </row>
    <row r="53" spans="13:14" s="67" customFormat="1" ht="15.95" customHeight="1" x14ac:dyDescent="0.2">
      <c r="M53" s="115"/>
      <c r="N53" s="115"/>
    </row>
    <row r="54" spans="13:14" s="67" customFormat="1" ht="15.95" customHeight="1" x14ac:dyDescent="0.2">
      <c r="M54" s="115"/>
      <c r="N54" s="115"/>
    </row>
    <row r="55" spans="13:14" s="67" customFormat="1" ht="15.95" customHeight="1" x14ac:dyDescent="0.2">
      <c r="M55" s="115"/>
      <c r="N55" s="115"/>
    </row>
    <row r="56" spans="13:14" s="67" customFormat="1" ht="15.95" customHeight="1" x14ac:dyDescent="0.2">
      <c r="M56" s="115"/>
      <c r="N56" s="115"/>
    </row>
    <row r="57" spans="13:14" s="67" customFormat="1" ht="15.95" customHeight="1" x14ac:dyDescent="0.2">
      <c r="M57" s="115"/>
      <c r="N57" s="115"/>
    </row>
    <row r="58" spans="13:14" s="67" customFormat="1" ht="15.95" customHeight="1" x14ac:dyDescent="0.2">
      <c r="M58" s="115"/>
      <c r="N58" s="115"/>
    </row>
    <row r="59" spans="13:14" s="67" customFormat="1" ht="15.95" customHeight="1" x14ac:dyDescent="0.2">
      <c r="M59" s="115"/>
      <c r="N59" s="115"/>
    </row>
    <row r="60" spans="13:14" s="67" customFormat="1" ht="15.95" customHeight="1" x14ac:dyDescent="0.2">
      <c r="M60" s="115"/>
      <c r="N60" s="115"/>
    </row>
    <row r="61" spans="13:14" s="67" customFormat="1" ht="15.95" customHeight="1" x14ac:dyDescent="0.2">
      <c r="M61" s="115"/>
      <c r="N61" s="115"/>
    </row>
    <row r="62" spans="13:14" s="67" customFormat="1" ht="15.95" customHeight="1" x14ac:dyDescent="0.2">
      <c r="M62" s="115"/>
      <c r="N62" s="115"/>
    </row>
    <row r="63" spans="13:14" s="67" customFormat="1" ht="15.95" customHeight="1" x14ac:dyDescent="0.2">
      <c r="M63" s="115"/>
      <c r="N63" s="115"/>
    </row>
    <row r="64" spans="13:14" s="67" customFormat="1" ht="15.95" customHeight="1" x14ac:dyDescent="0.2">
      <c r="M64" s="115"/>
      <c r="N64" s="115"/>
    </row>
    <row r="65" spans="12:1017" ht="15.95" customHeight="1" x14ac:dyDescent="0.2"/>
    <row r="66" spans="12:1017" ht="15.95" customHeight="1" x14ac:dyDescent="0.2"/>
    <row r="67" spans="12:1017" ht="15.95" customHeight="1" x14ac:dyDescent="0.2"/>
    <row r="68" spans="12:1017" ht="15.95" customHeight="1" x14ac:dyDescent="0.2"/>
    <row r="69" spans="12:1017" ht="15.95" customHeight="1" x14ac:dyDescent="0.2"/>
    <row r="70" spans="12:1017" ht="15.95" customHeight="1" x14ac:dyDescent="0.2">
      <c r="L70"/>
      <c r="M70" s="120"/>
      <c r="N70" s="12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</row>
    <row r="71" spans="12:1017" ht="15.95" customHeight="1" x14ac:dyDescent="0.2">
      <c r="L71"/>
      <c r="M71" s="120"/>
      <c r="N71" s="120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</row>
    <row r="72" spans="12:1017" ht="15.95" customHeight="1" x14ac:dyDescent="0.2">
      <c r="L72"/>
      <c r="M72" s="120"/>
      <c r="N72" s="120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</row>
    <row r="73" spans="12:1017" ht="15.95" customHeight="1" x14ac:dyDescent="0.2">
      <c r="L73"/>
      <c r="M73" s="120"/>
      <c r="N73" s="120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</row>
    <row r="74" spans="12:1017" ht="15.95" customHeight="1" x14ac:dyDescent="0.2">
      <c r="L74"/>
      <c r="M74" s="120"/>
      <c r="N74" s="120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</row>
    <row r="75" spans="12:1017" ht="15.95" customHeight="1" x14ac:dyDescent="0.2">
      <c r="L75"/>
      <c r="M75" s="120"/>
      <c r="N75" s="120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</row>
    <row r="76" spans="12:1017" ht="15.95" customHeight="1" x14ac:dyDescent="0.2">
      <c r="L76"/>
      <c r="M76" s="120"/>
      <c r="N76" s="120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</row>
    <row r="77" spans="12:1017" ht="15.95" customHeight="1" x14ac:dyDescent="0.2">
      <c r="L77"/>
      <c r="M77" s="120"/>
      <c r="N77" s="120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</row>
    <row r="78" spans="12:1017" ht="15.95" customHeight="1" x14ac:dyDescent="0.2">
      <c r="L78"/>
      <c r="M78" s="120"/>
      <c r="N78" s="120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</row>
    <row r="79" spans="12:1017" ht="15.95" customHeight="1" x14ac:dyDescent="0.2">
      <c r="L79"/>
      <c r="M79" s="120"/>
      <c r="N79" s="120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</row>
    <row r="80" spans="12:1017" ht="15.95" customHeight="1" x14ac:dyDescent="0.2">
      <c r="L80"/>
      <c r="M80" s="120"/>
      <c r="N80" s="12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</row>
    <row r="81" spans="12:1017" ht="15.95" customHeight="1" x14ac:dyDescent="0.2">
      <c r="L81"/>
      <c r="M81" s="120"/>
      <c r="N81" s="120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</row>
    <row r="82" spans="12:1017" ht="20.25" customHeight="1" x14ac:dyDescent="0.2">
      <c r="L82"/>
      <c r="M82" s="120"/>
      <c r="N82" s="120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</row>
  </sheetData>
  <mergeCells count="4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C30:G30"/>
    <mergeCell ref="C23:G23"/>
    <mergeCell ref="C24:G24"/>
    <mergeCell ref="C25:G25"/>
    <mergeCell ref="C26:G26"/>
    <mergeCell ref="C27:G27"/>
    <mergeCell ref="C28:G28"/>
    <mergeCell ref="C29:G29"/>
    <mergeCell ref="C31:G31"/>
    <mergeCell ref="A32:I32"/>
    <mergeCell ref="J32:K32"/>
    <mergeCell ref="A33:I33"/>
    <mergeCell ref="J33:K33"/>
  </mergeCells>
  <conditionalFormatting sqref="C16:C18">
    <cfRule type="duplicateValues" dxfId="56" priority="31"/>
  </conditionalFormatting>
  <conditionalFormatting sqref="C19:C20">
    <cfRule type="duplicateValues" dxfId="55" priority="29"/>
  </conditionalFormatting>
  <conditionalFormatting sqref="C21:C23">
    <cfRule type="duplicateValues" dxfId="54" priority="26"/>
  </conditionalFormatting>
  <conditionalFormatting sqref="C12:C13">
    <cfRule type="duplicateValues" dxfId="53" priority="5"/>
  </conditionalFormatting>
  <conditionalFormatting sqref="C24">
    <cfRule type="duplicateValues" dxfId="52" priority="8531"/>
  </conditionalFormatting>
  <conditionalFormatting sqref="C25:C31">
    <cfRule type="duplicateValues" dxfId="51" priority="8608"/>
  </conditionalFormatting>
  <conditionalFormatting sqref="C14:C15">
    <cfRule type="duplicateValues" dxfId="50" priority="8623"/>
  </conditionalFormatting>
  <conditionalFormatting sqref="C24:C31">
    <cfRule type="duplicateValues" dxfId="49" priority="8714"/>
  </conditionalFormatting>
  <conditionalFormatting sqref="C12:C31">
    <cfRule type="duplicateValues" dxfId="48" priority="8818"/>
  </conditionalFormatting>
  <conditionalFormatting sqref="C12:C31">
    <cfRule type="duplicateValues" dxfId="47" priority="8820"/>
    <cfRule type="duplicateValues" dxfId="46" priority="8821"/>
  </conditionalFormatting>
  <conditionalFormatting sqref="C12:C23">
    <cfRule type="duplicateValues" dxfId="45" priority="8824"/>
  </conditionalFormatting>
  <conditionalFormatting sqref="C12:C31">
    <cfRule type="duplicateValues" dxfId="44" priority="882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7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76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90" t="s">
        <v>2</v>
      </c>
      <c r="B1" s="190"/>
      <c r="C1" s="190"/>
      <c r="D1" s="191">
        <v>2021</v>
      </c>
      <c r="E1" s="191"/>
      <c r="F1" s="74"/>
      <c r="G1" s="74"/>
      <c r="H1" s="75"/>
      <c r="I1" s="75"/>
      <c r="J1" s="75"/>
      <c r="K1" s="75"/>
      <c r="L1" s="75"/>
      <c r="M1" s="75"/>
      <c r="N1" s="75"/>
      <c r="P1" s="192" t="s">
        <v>114</v>
      </c>
      <c r="Q1" s="192"/>
    </row>
    <row r="2" spans="1:17" ht="15.75" customHeight="1" thickBot="1" x14ac:dyDescent="0.25">
      <c r="H2" s="75"/>
      <c r="I2" s="75"/>
      <c r="J2" s="75"/>
      <c r="K2" s="75"/>
      <c r="L2" s="75"/>
      <c r="M2" s="75"/>
      <c r="N2" s="75"/>
      <c r="P2" s="192"/>
      <c r="Q2" s="192"/>
    </row>
    <row r="4" spans="1:17" s="77" customFormat="1" ht="18" customHeight="1" thickBot="1" x14ac:dyDescent="0.25">
      <c r="A4" s="193" t="s">
        <v>115</v>
      </c>
      <c r="B4" s="193"/>
      <c r="C4" s="193"/>
      <c r="D4" s="193"/>
      <c r="E4" s="193"/>
      <c r="F4" s="193"/>
      <c r="G4" s="180" t="s">
        <v>100</v>
      </c>
      <c r="H4" s="180"/>
      <c r="I4" s="180"/>
      <c r="J4" s="180"/>
      <c r="K4" s="180"/>
      <c r="L4" s="180"/>
      <c r="M4" s="180"/>
      <c r="N4" s="180"/>
      <c r="O4" s="180"/>
      <c r="P4" s="180"/>
      <c r="Q4" s="180"/>
    </row>
    <row r="5" spans="1:17" s="77" customFormat="1" ht="18" customHeight="1" thickBot="1" x14ac:dyDescent="0.25">
      <c r="A5" s="177" t="s">
        <v>101</v>
      </c>
      <c r="B5" s="178"/>
      <c r="C5" s="178"/>
      <c r="D5" s="178"/>
      <c r="E5" s="178"/>
      <c r="F5" s="179"/>
      <c r="G5" s="180" t="s">
        <v>116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</row>
    <row r="6" spans="1:17" s="77" customFormat="1" ht="18" customHeight="1" thickBot="1" x14ac:dyDescent="0.25">
      <c r="A6" s="177" t="s">
        <v>103</v>
      </c>
      <c r="B6" s="178"/>
      <c r="C6" s="178"/>
      <c r="D6" s="178"/>
      <c r="E6" s="178"/>
      <c r="F6" s="179"/>
      <c r="G6" s="180" t="s">
        <v>141</v>
      </c>
      <c r="H6" s="180"/>
      <c r="I6" s="180"/>
      <c r="J6" s="180"/>
      <c r="K6" s="180"/>
      <c r="L6" s="180"/>
      <c r="M6" s="180"/>
      <c r="N6" s="180"/>
      <c r="O6" s="180"/>
      <c r="P6" s="180"/>
      <c r="Q6" s="180"/>
    </row>
    <row r="7" spans="1:17" s="77" customFormat="1" ht="18" customHeight="1" thickBot="1" x14ac:dyDescent="0.25">
      <c r="A7" s="177" t="s">
        <v>104</v>
      </c>
      <c r="B7" s="178"/>
      <c r="C7" s="178"/>
      <c r="D7" s="178"/>
      <c r="E7" s="178"/>
      <c r="F7" s="179"/>
      <c r="G7" s="180" t="s">
        <v>141</v>
      </c>
      <c r="H7" s="180"/>
      <c r="I7" s="180"/>
      <c r="J7" s="180"/>
      <c r="K7" s="180"/>
      <c r="L7" s="180"/>
      <c r="M7" s="180"/>
      <c r="N7" s="180"/>
      <c r="O7" s="180"/>
      <c r="P7" s="180"/>
      <c r="Q7" s="180"/>
    </row>
    <row r="8" spans="1:17" ht="18" customHeight="1" thickBot="1" x14ac:dyDescent="0.25">
      <c r="A8" s="181" t="s">
        <v>117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</row>
    <row r="9" spans="1:17" ht="18" customHeight="1" x14ac:dyDescent="0.2">
      <c r="A9" s="182" t="s">
        <v>118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78"/>
      <c r="P9" s="78"/>
      <c r="Q9" s="79"/>
    </row>
    <row r="10" spans="1:17" ht="57" customHeight="1" x14ac:dyDescent="0.2">
      <c r="A10" s="183" t="s">
        <v>154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5"/>
    </row>
    <row r="11" spans="1:17" ht="9" customHeight="1" thickBot="1" x14ac:dyDescent="0.25">
      <c r="A11" s="80"/>
      <c r="B11" s="81"/>
      <c r="C11" s="81"/>
      <c r="D11" s="81"/>
      <c r="E11" s="81"/>
      <c r="F11" s="81"/>
      <c r="G11" s="82"/>
      <c r="H11" s="81"/>
      <c r="I11" s="81"/>
      <c r="J11" s="81"/>
      <c r="K11" s="81"/>
      <c r="L11" s="81"/>
      <c r="M11" s="81"/>
      <c r="N11" s="81"/>
      <c r="O11" s="81"/>
      <c r="P11" s="81"/>
      <c r="Q11" s="83"/>
    </row>
    <row r="12" spans="1:17" ht="15.75" customHeight="1" thickBot="1" x14ac:dyDescent="0.25">
      <c r="A12" s="186" t="s">
        <v>119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</row>
    <row r="13" spans="1:17" ht="15.75" customHeight="1" thickBot="1" x14ac:dyDescent="0.25">
      <c r="A13" s="187" t="s">
        <v>120</v>
      </c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8" t="s">
        <v>121</v>
      </c>
      <c r="P13" s="188"/>
      <c r="Q13" s="189" t="s">
        <v>122</v>
      </c>
    </row>
    <row r="14" spans="1:17" ht="15.75" customHeight="1" thickBot="1" x14ac:dyDescent="0.25">
      <c r="A14" s="84" t="s">
        <v>123</v>
      </c>
      <c r="B14" s="85" t="s">
        <v>124</v>
      </c>
      <c r="C14" s="85" t="s">
        <v>125</v>
      </c>
      <c r="D14" s="85" t="s">
        <v>126</v>
      </c>
      <c r="E14" s="85" t="s">
        <v>127</v>
      </c>
      <c r="F14" s="85" t="s">
        <v>128</v>
      </c>
      <c r="G14" s="86" t="s">
        <v>129</v>
      </c>
      <c r="H14" s="85" t="s">
        <v>130</v>
      </c>
      <c r="I14" s="85" t="s">
        <v>131</v>
      </c>
      <c r="J14" s="85" t="s">
        <v>132</v>
      </c>
      <c r="K14" s="85" t="s">
        <v>132</v>
      </c>
      <c r="L14" s="85" t="s">
        <v>133</v>
      </c>
      <c r="M14" s="87" t="s">
        <v>37</v>
      </c>
      <c r="N14" s="88" t="s">
        <v>134</v>
      </c>
      <c r="O14" s="188"/>
      <c r="P14" s="188"/>
      <c r="Q14" s="189"/>
    </row>
    <row r="15" spans="1:17" ht="17.25" customHeight="1" x14ac:dyDescent="0.2">
      <c r="A15" s="89">
        <v>27</v>
      </c>
      <c r="B15" s="90"/>
      <c r="C15" s="90"/>
      <c r="D15" s="90">
        <v>1</v>
      </c>
      <c r="E15" s="90"/>
      <c r="F15" s="90">
        <v>4901</v>
      </c>
      <c r="G15" s="90">
        <v>3</v>
      </c>
      <c r="H15" s="90">
        <v>1</v>
      </c>
      <c r="I15" s="91">
        <v>2</v>
      </c>
      <c r="J15" s="91">
        <v>5</v>
      </c>
      <c r="K15" s="91">
        <v>1</v>
      </c>
      <c r="L15" s="90"/>
      <c r="M15" s="92">
        <v>1</v>
      </c>
      <c r="N15" s="93" t="s">
        <v>135</v>
      </c>
      <c r="O15" s="175" t="s">
        <v>137</v>
      </c>
      <c r="P15" s="176"/>
      <c r="Q15" s="94">
        <v>10500329</v>
      </c>
    </row>
    <row r="16" spans="1:17" ht="17.25" customHeight="1" x14ac:dyDescent="0.2">
      <c r="A16" s="95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7"/>
      <c r="N16" s="98"/>
      <c r="O16" s="166"/>
      <c r="P16" s="167"/>
      <c r="Q16" s="99"/>
    </row>
    <row r="17" spans="1:18" ht="17.25" customHeight="1" x14ac:dyDescent="0.2">
      <c r="A17" s="95"/>
      <c r="B17" s="96"/>
      <c r="C17" s="96"/>
      <c r="D17" s="96"/>
      <c r="E17" s="96"/>
      <c r="F17" s="98"/>
      <c r="G17" s="96"/>
      <c r="H17" s="96"/>
      <c r="I17" s="96"/>
      <c r="J17" s="96"/>
      <c r="K17" s="96"/>
      <c r="L17" s="96"/>
      <c r="M17" s="97"/>
      <c r="N17" s="98"/>
      <c r="O17" s="166"/>
      <c r="P17" s="167"/>
      <c r="Q17" s="99"/>
    </row>
    <row r="18" spans="1:18" ht="17.25" customHeight="1" x14ac:dyDescent="0.2">
      <c r="A18" s="95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7"/>
      <c r="N18" s="98"/>
      <c r="O18" s="167"/>
      <c r="P18" s="167"/>
      <c r="Q18" s="99"/>
    </row>
    <row r="19" spans="1:18" ht="17.25" customHeight="1" x14ac:dyDescent="0.2">
      <c r="A19" s="95"/>
      <c r="B19" s="96"/>
      <c r="C19" s="96"/>
      <c r="D19" s="96"/>
      <c r="E19" s="96"/>
      <c r="F19" s="98"/>
      <c r="G19" s="96"/>
      <c r="H19" s="96"/>
      <c r="I19" s="96"/>
      <c r="J19" s="96"/>
      <c r="K19" s="96"/>
      <c r="L19" s="96"/>
      <c r="M19" s="97"/>
      <c r="N19" s="98"/>
      <c r="O19" s="167"/>
      <c r="P19" s="167"/>
      <c r="Q19" s="99"/>
    </row>
    <row r="20" spans="1:18" ht="17.25" customHeight="1" x14ac:dyDescent="0.2">
      <c r="A20" s="95"/>
      <c r="B20" s="96"/>
      <c r="C20" s="96"/>
      <c r="D20" s="96"/>
      <c r="E20" s="96"/>
      <c r="F20" s="98"/>
      <c r="G20" s="96"/>
      <c r="H20" s="96"/>
      <c r="I20" s="96"/>
      <c r="J20" s="96"/>
      <c r="K20" s="96"/>
      <c r="L20" s="96"/>
      <c r="M20" s="97"/>
      <c r="N20" s="98"/>
      <c r="O20" s="167"/>
      <c r="P20" s="167"/>
      <c r="Q20" s="99"/>
    </row>
    <row r="21" spans="1:18" ht="17.25" customHeight="1" x14ac:dyDescent="0.2">
      <c r="A21" s="100"/>
      <c r="B21" s="101"/>
      <c r="C21" s="101"/>
      <c r="D21" s="101"/>
      <c r="E21" s="101"/>
      <c r="F21" s="102"/>
      <c r="G21" s="101"/>
      <c r="H21" s="101"/>
      <c r="I21" s="101"/>
      <c r="J21" s="101"/>
      <c r="K21" s="101"/>
      <c r="L21" s="101"/>
      <c r="M21" s="103"/>
      <c r="N21" s="104"/>
      <c r="O21" s="166"/>
      <c r="P21" s="166"/>
      <c r="Q21" s="99"/>
      <c r="R21" s="78"/>
    </row>
    <row r="22" spans="1:18" ht="17.25" customHeight="1" thickBot="1" x14ac:dyDescent="0.25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7"/>
      <c r="N22" s="106"/>
      <c r="O22" s="168"/>
      <c r="P22" s="168"/>
      <c r="Q22" s="108"/>
    </row>
    <row r="23" spans="1:18" ht="36" customHeight="1" thickBot="1" x14ac:dyDescent="0.25">
      <c r="A23" s="169" t="s">
        <v>160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09">
        <f>SUM(Q15:Q22)</f>
        <v>10500329</v>
      </c>
    </row>
    <row r="24" spans="1:18" ht="18" customHeight="1" thickBot="1" x14ac:dyDescent="0.25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</row>
    <row r="25" spans="1:18" ht="17.25" customHeight="1" thickBot="1" x14ac:dyDescent="0.25">
      <c r="A25" s="171" t="s">
        <v>136</v>
      </c>
      <c r="B25" s="172"/>
      <c r="C25" s="172"/>
      <c r="D25" s="172"/>
      <c r="E25" s="172"/>
      <c r="F25" s="173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18" ht="18" customHeight="1" thickBot="1" x14ac:dyDescent="0.25">
      <c r="A26" s="165" t="s">
        <v>142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</row>
    <row r="27" spans="1:18" ht="28.5" customHeight="1" thickBot="1" x14ac:dyDescent="0.25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F78"/>
  <sheetViews>
    <sheetView topLeftCell="A12" zoomScaleNormal="100" workbookViewId="0">
      <selection activeCell="A29" sqref="A29:I29"/>
    </sheetView>
  </sheetViews>
  <sheetFormatPr baseColWidth="10" defaultColWidth="9.140625" defaultRowHeight="12.75" x14ac:dyDescent="0.2"/>
  <cols>
    <col min="1" max="1" width="5.5703125" style="67" customWidth="1"/>
    <col min="2" max="2" width="15.140625" style="67" customWidth="1"/>
    <col min="3" max="3" width="14.140625" style="67" customWidth="1"/>
    <col min="4" max="4" width="26" style="67" customWidth="1"/>
    <col min="5" max="5" width="8" style="67" customWidth="1"/>
    <col min="6" max="6" width="7.85546875" style="67" customWidth="1"/>
    <col min="7" max="7" width="42" style="67" customWidth="1"/>
    <col min="8" max="8" width="9.28515625" style="67" customWidth="1"/>
    <col min="9" max="9" width="14.5703125" style="67" customWidth="1"/>
    <col min="10" max="10" width="16" style="67" customWidth="1"/>
    <col min="11" max="11" width="15.5703125" style="67" customWidth="1"/>
    <col min="12" max="12" width="5.85546875" style="67" customWidth="1"/>
    <col min="13" max="13" width="23" style="115" customWidth="1"/>
    <col min="14" max="14" width="9.140625" style="115"/>
    <col min="15" max="15" width="23.5703125" style="115" customWidth="1"/>
    <col min="16" max="1020" width="9.140625" style="67"/>
  </cols>
  <sheetData>
    <row r="1" spans="1:15" ht="18" customHeight="1" thickBot="1" x14ac:dyDescent="0.25">
      <c r="A1" s="164" t="s">
        <v>97</v>
      </c>
      <c r="B1" s="164"/>
      <c r="C1" s="164"/>
      <c r="D1" s="164"/>
      <c r="E1" s="164"/>
      <c r="F1" s="164"/>
      <c r="G1" s="164"/>
      <c r="H1" s="164"/>
      <c r="I1" s="164"/>
      <c r="J1" s="65" t="s">
        <v>98</v>
      </c>
      <c r="K1" s="66" t="s">
        <v>156</v>
      </c>
    </row>
    <row r="2" spans="1:15" ht="18.75" customHeight="1" thickBot="1" x14ac:dyDescent="0.25">
      <c r="A2" s="68"/>
      <c r="B2" s="68"/>
      <c r="C2" s="68"/>
      <c r="D2" s="69"/>
      <c r="E2" s="69"/>
      <c r="F2" s="69"/>
      <c r="G2" s="69"/>
      <c r="H2" s="69"/>
      <c r="I2" s="69"/>
      <c r="J2" s="69"/>
      <c r="K2" s="69"/>
    </row>
    <row r="3" spans="1:15" ht="18.75" customHeight="1" thickBot="1" x14ac:dyDescent="0.25">
      <c r="A3" s="159" t="s">
        <v>99</v>
      </c>
      <c r="B3" s="159"/>
      <c r="C3" s="159"/>
      <c r="D3" s="160" t="s">
        <v>100</v>
      </c>
      <c r="E3" s="160"/>
      <c r="F3" s="160"/>
      <c r="G3" s="160"/>
      <c r="H3" s="160"/>
      <c r="I3" s="160"/>
      <c r="J3" s="160"/>
      <c r="K3" s="160"/>
    </row>
    <row r="4" spans="1:15" ht="18.75" customHeight="1" thickBot="1" x14ac:dyDescent="0.25">
      <c r="A4" s="161" t="s">
        <v>101</v>
      </c>
      <c r="B4" s="161"/>
      <c r="C4" s="161"/>
      <c r="D4" s="160" t="s">
        <v>102</v>
      </c>
      <c r="E4" s="160"/>
      <c r="F4" s="160"/>
      <c r="G4" s="160"/>
      <c r="H4" s="160"/>
      <c r="I4" s="160"/>
      <c r="J4" s="160"/>
      <c r="K4" s="160"/>
    </row>
    <row r="5" spans="1:15" ht="18.75" customHeight="1" thickBot="1" x14ac:dyDescent="0.25">
      <c r="A5" s="161" t="s">
        <v>103</v>
      </c>
      <c r="B5" s="161"/>
      <c r="C5" s="161"/>
      <c r="D5" s="160" t="s">
        <v>138</v>
      </c>
      <c r="E5" s="160"/>
      <c r="F5" s="160"/>
      <c r="G5" s="160"/>
      <c r="H5" s="160"/>
      <c r="I5" s="160"/>
      <c r="J5" s="160"/>
      <c r="K5" s="160"/>
    </row>
    <row r="6" spans="1:15" ht="16.5" customHeight="1" thickBot="1" x14ac:dyDescent="0.25">
      <c r="A6" s="159" t="s">
        <v>104</v>
      </c>
      <c r="B6" s="159"/>
      <c r="C6" s="159"/>
      <c r="D6" s="160" t="s">
        <v>138</v>
      </c>
      <c r="E6" s="160"/>
      <c r="F6" s="160"/>
      <c r="G6" s="160"/>
      <c r="H6" s="160"/>
      <c r="I6" s="160"/>
      <c r="J6" s="160"/>
      <c r="K6" s="160"/>
    </row>
    <row r="7" spans="1:15" ht="16.5" customHeight="1" thickBot="1" x14ac:dyDescent="0.25">
      <c r="A7" s="161" t="s">
        <v>105</v>
      </c>
      <c r="B7" s="161"/>
      <c r="C7" s="161"/>
      <c r="D7" s="160" t="s">
        <v>139</v>
      </c>
      <c r="E7" s="160"/>
      <c r="F7" s="160"/>
      <c r="G7" s="160"/>
      <c r="H7" s="160"/>
      <c r="I7" s="160"/>
      <c r="J7" s="160"/>
      <c r="K7" s="160"/>
    </row>
    <row r="8" spans="1:15" ht="16.5" customHeight="1" thickBot="1" x14ac:dyDescent="0.25">
      <c r="A8" s="162" t="s">
        <v>106</v>
      </c>
      <c r="B8" s="162"/>
      <c r="C8" s="162"/>
      <c r="D8" s="163" t="s">
        <v>140</v>
      </c>
      <c r="E8" s="163"/>
      <c r="F8" s="163"/>
      <c r="G8" s="163"/>
      <c r="H8" s="163"/>
      <c r="I8" s="163"/>
      <c r="J8" s="163"/>
      <c r="K8" s="163"/>
    </row>
    <row r="9" spans="1:15" ht="16.5" thickBot="1" x14ac:dyDescent="0.25">
      <c r="A9" s="70"/>
      <c r="B9" s="70"/>
      <c r="C9" s="70"/>
      <c r="D9" s="114"/>
      <c r="E9" s="114"/>
      <c r="F9" s="114"/>
      <c r="G9" s="114"/>
      <c r="H9" s="114"/>
      <c r="I9" s="114"/>
      <c r="J9" s="114"/>
      <c r="K9" s="114"/>
    </row>
    <row r="10" spans="1:15" ht="18.75" customHeight="1" thickBot="1" x14ac:dyDescent="0.25">
      <c r="A10" s="158" t="s">
        <v>107</v>
      </c>
      <c r="B10" s="157" t="s">
        <v>108</v>
      </c>
      <c r="C10" s="157" t="s">
        <v>109</v>
      </c>
      <c r="D10" s="157"/>
      <c r="E10" s="157"/>
      <c r="F10" s="157"/>
      <c r="G10" s="157"/>
      <c r="H10" s="157" t="s">
        <v>110</v>
      </c>
      <c r="I10" s="157" t="s">
        <v>111</v>
      </c>
      <c r="J10" s="157" t="s">
        <v>112</v>
      </c>
      <c r="K10" s="153" t="s">
        <v>113</v>
      </c>
    </row>
    <row r="11" spans="1:15" ht="24" customHeight="1" thickBot="1" x14ac:dyDescent="0.25">
      <c r="A11" s="158"/>
      <c r="B11" s="157"/>
      <c r="C11" s="157"/>
      <c r="D11" s="157"/>
      <c r="E11" s="157"/>
      <c r="F11" s="157"/>
      <c r="G11" s="157"/>
      <c r="H11" s="157"/>
      <c r="I11" s="157"/>
      <c r="J11" s="157"/>
      <c r="K11" s="153"/>
    </row>
    <row r="12" spans="1:15" s="67" customFormat="1" ht="32.25" customHeight="1" thickBot="1" x14ac:dyDescent="0.25">
      <c r="A12" s="71">
        <v>1</v>
      </c>
      <c r="B12" s="72"/>
      <c r="C12" s="197" t="s">
        <v>81</v>
      </c>
      <c r="D12" s="198"/>
      <c r="E12" s="198"/>
      <c r="F12" s="198"/>
      <c r="G12" s="199"/>
      <c r="H12" s="73" t="s">
        <v>149</v>
      </c>
      <c r="I12" s="26" t="s">
        <v>26</v>
      </c>
      <c r="J12" s="48">
        <v>42239</v>
      </c>
      <c r="K12" s="26">
        <v>4</v>
      </c>
      <c r="M12" s="115">
        <f>SUM(J12*K12)</f>
        <v>168956</v>
      </c>
      <c r="N12" s="115"/>
      <c r="O12" s="115"/>
    </row>
    <row r="13" spans="1:15" s="67" customFormat="1" ht="32.25" customHeight="1" thickBot="1" x14ac:dyDescent="0.25">
      <c r="A13" s="110">
        <f>SUM(A12+1)</f>
        <v>2</v>
      </c>
      <c r="B13" s="111"/>
      <c r="C13" s="194" t="s">
        <v>82</v>
      </c>
      <c r="D13" s="195"/>
      <c r="E13" s="195"/>
      <c r="F13" s="195"/>
      <c r="G13" s="196"/>
      <c r="H13" s="73" t="s">
        <v>149</v>
      </c>
      <c r="I13" s="26" t="s">
        <v>26</v>
      </c>
      <c r="J13" s="48">
        <v>24280</v>
      </c>
      <c r="K13" s="26">
        <v>2</v>
      </c>
      <c r="M13" s="115">
        <f t="shared" ref="M13:M27" si="0">SUM(J13*K13)</f>
        <v>48560</v>
      </c>
      <c r="N13" s="115"/>
      <c r="O13" s="115"/>
    </row>
    <row r="14" spans="1:15" s="67" customFormat="1" ht="32.25" customHeight="1" thickBot="1" x14ac:dyDescent="0.25">
      <c r="A14" s="110">
        <f t="shared" ref="A14:A27" si="1">SUM(A13+1)</f>
        <v>3</v>
      </c>
      <c r="B14" s="111"/>
      <c r="C14" s="194" t="s">
        <v>83</v>
      </c>
      <c r="D14" s="195"/>
      <c r="E14" s="195"/>
      <c r="F14" s="195"/>
      <c r="G14" s="196"/>
      <c r="H14" s="73" t="s">
        <v>149</v>
      </c>
      <c r="I14" s="26" t="s">
        <v>26</v>
      </c>
      <c r="J14" s="48">
        <v>36750</v>
      </c>
      <c r="K14" s="26">
        <v>2</v>
      </c>
      <c r="M14" s="115">
        <f t="shared" si="0"/>
        <v>73500</v>
      </c>
      <c r="N14" s="115"/>
      <c r="O14" s="115"/>
    </row>
    <row r="15" spans="1:15" s="67" customFormat="1" ht="32.25" customHeight="1" thickBot="1" x14ac:dyDescent="0.25">
      <c r="A15" s="110">
        <f t="shared" si="1"/>
        <v>4</v>
      </c>
      <c r="B15" s="111"/>
      <c r="C15" s="194" t="s">
        <v>84</v>
      </c>
      <c r="D15" s="195"/>
      <c r="E15" s="195"/>
      <c r="F15" s="195"/>
      <c r="G15" s="196"/>
      <c r="H15" s="73" t="s">
        <v>149</v>
      </c>
      <c r="I15" s="26" t="s">
        <v>26</v>
      </c>
      <c r="J15" s="48">
        <v>52000</v>
      </c>
      <c r="K15" s="26">
        <v>2</v>
      </c>
      <c r="M15" s="115">
        <f t="shared" si="0"/>
        <v>104000</v>
      </c>
      <c r="N15" s="115"/>
      <c r="O15" s="115"/>
    </row>
    <row r="16" spans="1:15" s="67" customFormat="1" ht="32.25" customHeight="1" thickBot="1" x14ac:dyDescent="0.25">
      <c r="A16" s="110">
        <f t="shared" si="1"/>
        <v>5</v>
      </c>
      <c r="B16" s="111"/>
      <c r="C16" s="194" t="s">
        <v>85</v>
      </c>
      <c r="D16" s="195"/>
      <c r="E16" s="195"/>
      <c r="F16" s="195"/>
      <c r="G16" s="196"/>
      <c r="H16" s="73" t="s">
        <v>149</v>
      </c>
      <c r="I16" s="26" t="s">
        <v>26</v>
      </c>
      <c r="J16" s="48">
        <v>71500</v>
      </c>
      <c r="K16" s="26">
        <v>2</v>
      </c>
      <c r="M16" s="115">
        <f t="shared" si="0"/>
        <v>143000</v>
      </c>
      <c r="N16" s="115"/>
      <c r="O16" s="115"/>
    </row>
    <row r="17" spans="1:15" s="67" customFormat="1" ht="32.25" customHeight="1" thickBot="1" x14ac:dyDescent="0.25">
      <c r="A17" s="110">
        <f t="shared" si="1"/>
        <v>6</v>
      </c>
      <c r="B17" s="111"/>
      <c r="C17" s="194" t="s">
        <v>86</v>
      </c>
      <c r="D17" s="195"/>
      <c r="E17" s="195"/>
      <c r="F17" s="195"/>
      <c r="G17" s="196"/>
      <c r="H17" s="73" t="s">
        <v>149</v>
      </c>
      <c r="I17" s="26" t="s">
        <v>26</v>
      </c>
      <c r="J17" s="48">
        <v>84000</v>
      </c>
      <c r="K17" s="26">
        <v>2</v>
      </c>
      <c r="M17" s="115">
        <f t="shared" si="0"/>
        <v>168000</v>
      </c>
      <c r="N17" s="115"/>
      <c r="O17" s="115"/>
    </row>
    <row r="18" spans="1:15" s="67" customFormat="1" ht="32.25" customHeight="1" thickBot="1" x14ac:dyDescent="0.25">
      <c r="A18" s="110">
        <f t="shared" si="1"/>
        <v>7</v>
      </c>
      <c r="B18" s="111"/>
      <c r="C18" s="194" t="s">
        <v>87</v>
      </c>
      <c r="D18" s="195"/>
      <c r="E18" s="195"/>
      <c r="F18" s="195"/>
      <c r="G18" s="196"/>
      <c r="H18" s="73" t="s">
        <v>149</v>
      </c>
      <c r="I18" s="26" t="s">
        <v>26</v>
      </c>
      <c r="J18" s="48">
        <v>32350</v>
      </c>
      <c r="K18" s="26">
        <v>2</v>
      </c>
      <c r="M18" s="115">
        <f t="shared" si="0"/>
        <v>64700</v>
      </c>
      <c r="N18" s="115"/>
      <c r="O18" s="115"/>
    </row>
    <row r="19" spans="1:15" s="67" customFormat="1" ht="32.25" customHeight="1" thickBot="1" x14ac:dyDescent="0.25">
      <c r="A19" s="110">
        <f t="shared" si="1"/>
        <v>8</v>
      </c>
      <c r="B19" s="111"/>
      <c r="C19" s="194" t="s">
        <v>88</v>
      </c>
      <c r="D19" s="195"/>
      <c r="E19" s="195"/>
      <c r="F19" s="195"/>
      <c r="G19" s="196"/>
      <c r="H19" s="73" t="s">
        <v>149</v>
      </c>
      <c r="I19" s="26" t="s">
        <v>23</v>
      </c>
      <c r="J19" s="48">
        <v>12550</v>
      </c>
      <c r="K19" s="26">
        <v>2</v>
      </c>
      <c r="M19" s="115">
        <f t="shared" si="0"/>
        <v>25100</v>
      </c>
      <c r="N19" s="115"/>
      <c r="O19" s="115"/>
    </row>
    <row r="20" spans="1:15" s="67" customFormat="1" ht="32.25" customHeight="1" thickBot="1" x14ac:dyDescent="0.25">
      <c r="A20" s="110">
        <f t="shared" si="1"/>
        <v>9</v>
      </c>
      <c r="B20" s="111"/>
      <c r="C20" s="194" t="s">
        <v>89</v>
      </c>
      <c r="D20" s="195"/>
      <c r="E20" s="195"/>
      <c r="F20" s="195"/>
      <c r="G20" s="196"/>
      <c r="H20" s="73" t="s">
        <v>149</v>
      </c>
      <c r="I20" s="26" t="s">
        <v>54</v>
      </c>
      <c r="J20" s="48">
        <v>14224</v>
      </c>
      <c r="K20" s="26">
        <v>2</v>
      </c>
      <c r="M20" s="115">
        <f t="shared" si="0"/>
        <v>28448</v>
      </c>
      <c r="N20" s="115"/>
      <c r="O20" s="115"/>
    </row>
    <row r="21" spans="1:15" s="67" customFormat="1" ht="32.25" customHeight="1" thickBot="1" x14ac:dyDescent="0.25">
      <c r="A21" s="110">
        <f t="shared" si="1"/>
        <v>10</v>
      </c>
      <c r="B21" s="111"/>
      <c r="C21" s="194" t="s">
        <v>90</v>
      </c>
      <c r="D21" s="195"/>
      <c r="E21" s="195"/>
      <c r="F21" s="195"/>
      <c r="G21" s="196"/>
      <c r="H21" s="73" t="s">
        <v>149</v>
      </c>
      <c r="I21" s="26" t="s">
        <v>23</v>
      </c>
      <c r="J21" s="48">
        <v>11000</v>
      </c>
      <c r="K21" s="26">
        <v>2</v>
      </c>
      <c r="M21" s="115">
        <f t="shared" si="0"/>
        <v>22000</v>
      </c>
      <c r="N21" s="115"/>
      <c r="O21" s="115"/>
    </row>
    <row r="22" spans="1:15" s="67" customFormat="1" ht="32.25" customHeight="1" thickBot="1" x14ac:dyDescent="0.25">
      <c r="A22" s="110">
        <f t="shared" si="1"/>
        <v>11</v>
      </c>
      <c r="B22" s="111"/>
      <c r="C22" s="194" t="s">
        <v>91</v>
      </c>
      <c r="D22" s="195"/>
      <c r="E22" s="195"/>
      <c r="F22" s="195"/>
      <c r="G22" s="196"/>
      <c r="H22" s="73" t="s">
        <v>149</v>
      </c>
      <c r="I22" s="26" t="s">
        <v>23</v>
      </c>
      <c r="J22" s="48">
        <v>25500</v>
      </c>
      <c r="K22" s="26">
        <v>2</v>
      </c>
      <c r="M22" s="115">
        <f t="shared" si="0"/>
        <v>51000</v>
      </c>
      <c r="N22" s="115"/>
      <c r="O22" s="115"/>
    </row>
    <row r="23" spans="1:15" s="67" customFormat="1" ht="32.25" customHeight="1" thickBot="1" x14ac:dyDescent="0.25">
      <c r="A23" s="110">
        <f t="shared" si="1"/>
        <v>12</v>
      </c>
      <c r="B23" s="111"/>
      <c r="C23" s="194" t="s">
        <v>92</v>
      </c>
      <c r="D23" s="195"/>
      <c r="E23" s="195"/>
      <c r="F23" s="195"/>
      <c r="G23" s="196"/>
      <c r="H23" s="73" t="s">
        <v>149</v>
      </c>
      <c r="I23" s="26" t="s">
        <v>19</v>
      </c>
      <c r="J23" s="48">
        <v>9450</v>
      </c>
      <c r="K23" s="26">
        <v>4</v>
      </c>
      <c r="M23" s="115">
        <f t="shared" si="0"/>
        <v>37800</v>
      </c>
      <c r="N23" s="115"/>
      <c r="O23" s="115"/>
    </row>
    <row r="24" spans="1:15" s="67" customFormat="1" ht="32.25" customHeight="1" thickBot="1" x14ac:dyDescent="0.25">
      <c r="A24" s="110">
        <f t="shared" si="1"/>
        <v>13</v>
      </c>
      <c r="B24" s="111"/>
      <c r="C24" s="194" t="s">
        <v>93</v>
      </c>
      <c r="D24" s="195"/>
      <c r="E24" s="195"/>
      <c r="F24" s="195"/>
      <c r="G24" s="196"/>
      <c r="H24" s="73" t="s">
        <v>149</v>
      </c>
      <c r="I24" s="26" t="s">
        <v>14</v>
      </c>
      <c r="J24" s="48">
        <v>20500</v>
      </c>
      <c r="K24" s="26">
        <v>2</v>
      </c>
      <c r="M24" s="115">
        <f t="shared" si="0"/>
        <v>41000</v>
      </c>
      <c r="N24" s="115"/>
      <c r="O24" s="115"/>
    </row>
    <row r="25" spans="1:15" s="67" customFormat="1" ht="32.25" customHeight="1" thickBot="1" x14ac:dyDescent="0.25">
      <c r="A25" s="110">
        <f t="shared" si="1"/>
        <v>14</v>
      </c>
      <c r="B25" s="111"/>
      <c r="C25" s="194" t="s">
        <v>94</v>
      </c>
      <c r="D25" s="195"/>
      <c r="E25" s="195"/>
      <c r="F25" s="195"/>
      <c r="G25" s="196"/>
      <c r="H25" s="73" t="s">
        <v>149</v>
      </c>
      <c r="I25" s="26" t="s">
        <v>26</v>
      </c>
      <c r="J25" s="48">
        <v>22050</v>
      </c>
      <c r="K25" s="26">
        <v>20</v>
      </c>
      <c r="M25" s="115">
        <f t="shared" si="0"/>
        <v>441000</v>
      </c>
      <c r="N25" s="115"/>
      <c r="O25" s="115"/>
    </row>
    <row r="26" spans="1:15" s="67" customFormat="1" ht="32.25" customHeight="1" thickBot="1" x14ac:dyDescent="0.25">
      <c r="A26" s="110">
        <f t="shared" si="1"/>
        <v>15</v>
      </c>
      <c r="B26" s="111"/>
      <c r="C26" s="194" t="s">
        <v>95</v>
      </c>
      <c r="D26" s="195"/>
      <c r="E26" s="195"/>
      <c r="F26" s="195"/>
      <c r="G26" s="196"/>
      <c r="H26" s="73" t="s">
        <v>149</v>
      </c>
      <c r="I26" s="26" t="s">
        <v>26</v>
      </c>
      <c r="J26" s="48">
        <v>3010</v>
      </c>
      <c r="K26" s="26">
        <v>16</v>
      </c>
      <c r="M26" s="115">
        <f t="shared" si="0"/>
        <v>48160</v>
      </c>
      <c r="N26" s="115"/>
      <c r="O26" s="115"/>
    </row>
    <row r="27" spans="1:15" s="67" customFormat="1" ht="32.25" customHeight="1" thickBot="1" x14ac:dyDescent="0.25">
      <c r="A27" s="110">
        <f t="shared" si="1"/>
        <v>16</v>
      </c>
      <c r="B27" s="111"/>
      <c r="C27" s="194" t="s">
        <v>96</v>
      </c>
      <c r="D27" s="195"/>
      <c r="E27" s="195"/>
      <c r="F27" s="195"/>
      <c r="G27" s="196"/>
      <c r="H27" s="73" t="s">
        <v>149</v>
      </c>
      <c r="I27" s="26" t="s">
        <v>26</v>
      </c>
      <c r="J27" s="48">
        <v>900</v>
      </c>
      <c r="K27" s="26">
        <v>20</v>
      </c>
      <c r="M27" s="115">
        <f t="shared" si="0"/>
        <v>18000</v>
      </c>
      <c r="N27" s="115"/>
      <c r="O27" s="115"/>
    </row>
    <row r="28" spans="1:15" s="67" customFormat="1" ht="30" customHeight="1" thickBot="1" x14ac:dyDescent="0.25">
      <c r="A28" s="144" t="s">
        <v>175</v>
      </c>
      <c r="B28" s="145"/>
      <c r="C28" s="145"/>
      <c r="D28" s="145"/>
      <c r="E28" s="145"/>
      <c r="F28" s="145"/>
      <c r="G28" s="145"/>
      <c r="H28" s="145"/>
      <c r="I28" s="146"/>
      <c r="J28" s="147">
        <f>+M28</f>
        <v>1483224</v>
      </c>
      <c r="K28" s="148"/>
      <c r="M28" s="119">
        <f>SUM(M12:M27)</f>
        <v>1483224</v>
      </c>
      <c r="N28" s="115"/>
      <c r="O28" s="115"/>
    </row>
    <row r="29" spans="1:15" s="67" customFormat="1" ht="15.95" customHeight="1" x14ac:dyDescent="0.2">
      <c r="A29" s="149"/>
      <c r="B29" s="149"/>
      <c r="C29" s="149"/>
      <c r="D29" s="149"/>
      <c r="E29" s="149"/>
      <c r="F29" s="149"/>
      <c r="G29" s="149"/>
      <c r="H29" s="149"/>
      <c r="I29" s="149"/>
      <c r="J29" s="150"/>
      <c r="K29" s="150"/>
      <c r="M29" s="115"/>
      <c r="N29" s="115"/>
      <c r="O29" s="115"/>
    </row>
    <row r="30" spans="1:15" s="67" customFormat="1" ht="15.95" customHeight="1" x14ac:dyDescent="0.2">
      <c r="M30" s="115"/>
      <c r="N30" s="115"/>
      <c r="O30" s="115"/>
    </row>
    <row r="31" spans="1:15" s="67" customFormat="1" ht="15.95" customHeight="1" x14ac:dyDescent="0.2">
      <c r="M31" s="115"/>
      <c r="N31" s="115"/>
      <c r="O31" s="115"/>
    </row>
    <row r="32" spans="1:15" s="67" customFormat="1" ht="15.95" customHeight="1" x14ac:dyDescent="0.2">
      <c r="M32" s="115"/>
      <c r="N32" s="115"/>
      <c r="O32" s="115"/>
    </row>
    <row r="33" spans="13:15" s="67" customFormat="1" ht="15.95" customHeight="1" x14ac:dyDescent="0.2">
      <c r="M33" s="115"/>
      <c r="N33" s="115"/>
      <c r="O33" s="115"/>
    </row>
    <row r="34" spans="13:15" s="67" customFormat="1" ht="15.95" customHeight="1" x14ac:dyDescent="0.2">
      <c r="M34" s="115"/>
      <c r="N34" s="115"/>
      <c r="O34" s="115"/>
    </row>
    <row r="35" spans="13:15" s="67" customFormat="1" ht="15.95" customHeight="1" x14ac:dyDescent="0.2">
      <c r="M35" s="115"/>
      <c r="N35" s="115"/>
      <c r="O35" s="115"/>
    </row>
    <row r="36" spans="13:15" s="67" customFormat="1" ht="15.95" customHeight="1" x14ac:dyDescent="0.2">
      <c r="M36" s="115"/>
      <c r="N36" s="115"/>
      <c r="O36" s="115"/>
    </row>
    <row r="37" spans="13:15" s="67" customFormat="1" ht="15.95" customHeight="1" x14ac:dyDescent="0.2">
      <c r="M37" s="115"/>
      <c r="N37" s="115"/>
      <c r="O37" s="115"/>
    </row>
    <row r="38" spans="13:15" s="67" customFormat="1" ht="15.95" customHeight="1" x14ac:dyDescent="0.2">
      <c r="M38" s="115"/>
      <c r="N38" s="115"/>
      <c r="O38" s="115"/>
    </row>
    <row r="39" spans="13:15" s="67" customFormat="1" ht="15.95" customHeight="1" x14ac:dyDescent="0.2">
      <c r="M39" s="115"/>
      <c r="N39" s="115"/>
      <c r="O39" s="115"/>
    </row>
    <row r="40" spans="13:15" s="67" customFormat="1" ht="15.95" customHeight="1" x14ac:dyDescent="0.2">
      <c r="M40" s="115"/>
      <c r="N40" s="115"/>
      <c r="O40" s="115"/>
    </row>
    <row r="41" spans="13:15" s="67" customFormat="1" ht="15.95" customHeight="1" x14ac:dyDescent="0.2">
      <c r="M41" s="115"/>
      <c r="N41" s="115"/>
      <c r="O41" s="115"/>
    </row>
    <row r="42" spans="13:15" s="67" customFormat="1" ht="15.95" customHeight="1" x14ac:dyDescent="0.2">
      <c r="M42" s="115"/>
      <c r="N42" s="115"/>
      <c r="O42" s="115"/>
    </row>
    <row r="43" spans="13:15" s="67" customFormat="1" ht="15.95" customHeight="1" x14ac:dyDescent="0.2">
      <c r="M43" s="115"/>
      <c r="N43" s="115"/>
      <c r="O43" s="115"/>
    </row>
    <row r="44" spans="13:15" s="67" customFormat="1" ht="15.95" customHeight="1" x14ac:dyDescent="0.2">
      <c r="M44" s="115"/>
      <c r="N44" s="115"/>
      <c r="O44" s="115"/>
    </row>
    <row r="45" spans="13:15" s="67" customFormat="1" ht="15.95" customHeight="1" x14ac:dyDescent="0.2">
      <c r="M45" s="115"/>
      <c r="N45" s="115"/>
      <c r="O45" s="115"/>
    </row>
    <row r="46" spans="13:15" s="67" customFormat="1" ht="15.95" customHeight="1" x14ac:dyDescent="0.2">
      <c r="M46" s="115"/>
      <c r="N46" s="115"/>
      <c r="O46" s="115"/>
    </row>
    <row r="47" spans="13:15" s="67" customFormat="1" ht="15.95" customHeight="1" x14ac:dyDescent="0.2">
      <c r="M47" s="115"/>
      <c r="N47" s="115"/>
      <c r="O47" s="115"/>
    </row>
    <row r="48" spans="13:15" s="67" customFormat="1" ht="15.95" customHeight="1" x14ac:dyDescent="0.2">
      <c r="M48" s="115"/>
      <c r="N48" s="115"/>
      <c r="O48" s="115"/>
    </row>
    <row r="49" spans="13:15" s="67" customFormat="1" ht="15.95" customHeight="1" x14ac:dyDescent="0.2">
      <c r="M49" s="115"/>
      <c r="N49" s="115"/>
      <c r="O49" s="115"/>
    </row>
    <row r="50" spans="13:15" s="67" customFormat="1" ht="15.95" customHeight="1" x14ac:dyDescent="0.2">
      <c r="M50" s="115"/>
      <c r="N50" s="115"/>
      <c r="O50" s="115"/>
    </row>
    <row r="51" spans="13:15" s="67" customFormat="1" ht="15.95" customHeight="1" x14ac:dyDescent="0.2">
      <c r="M51" s="115"/>
      <c r="N51" s="115"/>
      <c r="O51" s="115"/>
    </row>
    <row r="52" spans="13:15" s="67" customFormat="1" ht="15.95" customHeight="1" x14ac:dyDescent="0.2">
      <c r="M52" s="115"/>
      <c r="N52" s="115"/>
      <c r="O52" s="115"/>
    </row>
    <row r="53" spans="13:15" s="67" customFormat="1" ht="15.95" customHeight="1" x14ac:dyDescent="0.2">
      <c r="M53" s="115"/>
      <c r="N53" s="115"/>
      <c r="O53" s="115"/>
    </row>
    <row r="54" spans="13:15" s="67" customFormat="1" ht="15.95" customHeight="1" x14ac:dyDescent="0.2">
      <c r="M54" s="115"/>
      <c r="N54" s="115"/>
      <c r="O54" s="115"/>
    </row>
    <row r="55" spans="13:15" s="67" customFormat="1" ht="15.95" customHeight="1" x14ac:dyDescent="0.2">
      <c r="M55" s="115"/>
      <c r="N55" s="115"/>
      <c r="O55" s="115"/>
    </row>
    <row r="56" spans="13:15" s="67" customFormat="1" ht="15.95" customHeight="1" x14ac:dyDescent="0.2">
      <c r="M56" s="115"/>
      <c r="N56" s="115"/>
      <c r="O56" s="115"/>
    </row>
    <row r="57" spans="13:15" s="67" customFormat="1" ht="15.95" customHeight="1" x14ac:dyDescent="0.2">
      <c r="M57" s="115"/>
      <c r="N57" s="115"/>
      <c r="O57" s="115"/>
    </row>
    <row r="58" spans="13:15" s="67" customFormat="1" ht="15.95" customHeight="1" x14ac:dyDescent="0.2">
      <c r="M58" s="115"/>
      <c r="N58" s="115"/>
      <c r="O58" s="115"/>
    </row>
    <row r="59" spans="13:15" s="67" customFormat="1" ht="15.95" customHeight="1" x14ac:dyDescent="0.2">
      <c r="M59" s="115"/>
      <c r="N59" s="115"/>
      <c r="O59" s="115"/>
    </row>
    <row r="60" spans="13:15" s="67" customFormat="1" ht="15.95" customHeight="1" x14ac:dyDescent="0.2">
      <c r="M60" s="115"/>
      <c r="N60" s="115"/>
      <c r="O60" s="115"/>
    </row>
    <row r="61" spans="13:15" ht="15.95" customHeight="1" x14ac:dyDescent="0.2"/>
    <row r="62" spans="13:15" ht="15.95" customHeight="1" x14ac:dyDescent="0.2"/>
    <row r="63" spans="13:15" ht="15.95" customHeight="1" x14ac:dyDescent="0.2"/>
    <row r="64" spans="13:15" ht="15.95" customHeight="1" x14ac:dyDescent="0.2"/>
    <row r="65" spans="12:1020" ht="15.95" customHeight="1" x14ac:dyDescent="0.2"/>
    <row r="66" spans="12:1020" ht="15.95" customHeight="1" x14ac:dyDescent="0.2">
      <c r="L66"/>
      <c r="M66" s="120"/>
      <c r="N66" s="120"/>
      <c r="O66" s="120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</row>
    <row r="67" spans="12:1020" ht="15.95" customHeight="1" x14ac:dyDescent="0.2">
      <c r="L67"/>
      <c r="M67" s="120"/>
      <c r="N67" s="120"/>
      <c r="O67" s="120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</row>
    <row r="68" spans="12:1020" ht="15.95" customHeight="1" x14ac:dyDescent="0.2">
      <c r="L68"/>
      <c r="M68" s="120"/>
      <c r="N68" s="120"/>
      <c r="O68" s="120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</row>
    <row r="69" spans="12:1020" ht="15.95" customHeight="1" x14ac:dyDescent="0.2">
      <c r="L69"/>
      <c r="M69" s="120"/>
      <c r="N69" s="120"/>
      <c r="O69" s="12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</row>
    <row r="70" spans="12:1020" ht="15.95" customHeight="1" x14ac:dyDescent="0.2">
      <c r="L70"/>
      <c r="M70" s="120"/>
      <c r="N70" s="120"/>
      <c r="O70" s="12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</row>
    <row r="71" spans="12:1020" ht="15.95" customHeight="1" x14ac:dyDescent="0.2">
      <c r="L71"/>
      <c r="M71" s="120"/>
      <c r="N71" s="120"/>
      <c r="O71" s="120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</row>
    <row r="72" spans="12:1020" ht="15.95" customHeight="1" x14ac:dyDescent="0.2">
      <c r="L72"/>
      <c r="M72" s="120"/>
      <c r="N72" s="120"/>
      <c r="O72" s="120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</row>
    <row r="73" spans="12:1020" ht="15.95" customHeight="1" x14ac:dyDescent="0.2">
      <c r="L73"/>
      <c r="M73" s="120"/>
      <c r="N73" s="120"/>
      <c r="O73" s="120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</row>
    <row r="74" spans="12:1020" ht="15.95" customHeight="1" x14ac:dyDescent="0.2">
      <c r="L74"/>
      <c r="M74" s="120"/>
      <c r="N74" s="120"/>
      <c r="O74" s="120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</row>
    <row r="75" spans="12:1020" ht="15.95" customHeight="1" x14ac:dyDescent="0.2">
      <c r="L75"/>
      <c r="M75" s="120"/>
      <c r="N75" s="120"/>
      <c r="O75" s="120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</row>
    <row r="76" spans="12:1020" ht="15.95" customHeight="1" x14ac:dyDescent="0.2">
      <c r="L76"/>
      <c r="M76" s="120"/>
      <c r="N76" s="120"/>
      <c r="O76" s="120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</row>
    <row r="77" spans="12:1020" ht="15.95" customHeight="1" x14ac:dyDescent="0.2">
      <c r="L77"/>
      <c r="M77" s="120"/>
      <c r="N77" s="120"/>
      <c r="O77" s="120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</row>
    <row r="78" spans="12:1020" ht="20.25" customHeight="1" x14ac:dyDescent="0.2">
      <c r="L78"/>
      <c r="M78" s="120"/>
      <c r="N78" s="120"/>
      <c r="O78" s="120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</row>
  </sheetData>
  <mergeCells count="40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2:G22"/>
    <mergeCell ref="C23:G23"/>
    <mergeCell ref="C24:G24"/>
    <mergeCell ref="C25:G25"/>
    <mergeCell ref="C26:G26"/>
    <mergeCell ref="C17:G17"/>
    <mergeCell ref="C18:G18"/>
    <mergeCell ref="C19:G19"/>
    <mergeCell ref="C20:G20"/>
    <mergeCell ref="C21:G21"/>
    <mergeCell ref="A28:I28"/>
    <mergeCell ref="J28:K28"/>
    <mergeCell ref="A29:I29"/>
    <mergeCell ref="J29:K29"/>
    <mergeCell ref="C27:G27"/>
  </mergeCells>
  <conditionalFormatting sqref="C16:C18">
    <cfRule type="duplicateValues" dxfId="43" priority="48"/>
  </conditionalFormatting>
  <conditionalFormatting sqref="C19:C20">
    <cfRule type="duplicateValues" dxfId="42" priority="47"/>
  </conditionalFormatting>
  <conditionalFormatting sqref="C21:C23">
    <cfRule type="duplicateValues" dxfId="41" priority="46"/>
  </conditionalFormatting>
  <conditionalFormatting sqref="C25:C27">
    <cfRule type="duplicateValues" dxfId="40" priority="45"/>
  </conditionalFormatting>
  <conditionalFormatting sqref="C12:C13">
    <cfRule type="duplicateValues" dxfId="39" priority="38"/>
  </conditionalFormatting>
  <conditionalFormatting sqref="C27 C12:C13">
    <cfRule type="duplicateValues" dxfId="38" priority="29"/>
  </conditionalFormatting>
  <conditionalFormatting sqref="C14:C15">
    <cfRule type="duplicateValues" dxfId="37" priority="27"/>
  </conditionalFormatting>
  <conditionalFormatting sqref="C14:C15">
    <cfRule type="duplicateValues" dxfId="36" priority="25"/>
    <cfRule type="duplicateValues" dxfId="35" priority="26"/>
  </conditionalFormatting>
  <conditionalFormatting sqref="C16:C17">
    <cfRule type="duplicateValues" dxfId="34" priority="24"/>
  </conditionalFormatting>
  <conditionalFormatting sqref="C16:C17">
    <cfRule type="duplicateValues" dxfId="33" priority="22"/>
    <cfRule type="duplicateValues" dxfId="32" priority="23"/>
  </conditionalFormatting>
  <conditionalFormatting sqref="C18:C19">
    <cfRule type="duplicateValues" dxfId="31" priority="21"/>
  </conditionalFormatting>
  <conditionalFormatting sqref="C18:C19">
    <cfRule type="duplicateValues" dxfId="30" priority="19"/>
    <cfRule type="duplicateValues" dxfId="29" priority="20"/>
  </conditionalFormatting>
  <conditionalFormatting sqref="C20:C21">
    <cfRule type="duplicateValues" dxfId="28" priority="18"/>
  </conditionalFormatting>
  <conditionalFormatting sqref="C20:C21">
    <cfRule type="duplicateValues" dxfId="27" priority="16"/>
    <cfRule type="duplicateValues" dxfId="26" priority="17"/>
  </conditionalFormatting>
  <conditionalFormatting sqref="C22:C23">
    <cfRule type="duplicateValues" dxfId="25" priority="15"/>
  </conditionalFormatting>
  <conditionalFormatting sqref="C22:C23">
    <cfRule type="duplicateValues" dxfId="24" priority="13"/>
    <cfRule type="duplicateValues" dxfId="23" priority="14"/>
  </conditionalFormatting>
  <conditionalFormatting sqref="C25:C26">
    <cfRule type="duplicateValues" dxfId="22" priority="9"/>
  </conditionalFormatting>
  <conditionalFormatting sqref="C25:C26">
    <cfRule type="duplicateValues" dxfId="21" priority="7"/>
    <cfRule type="duplicateValues" dxfId="20" priority="8"/>
  </conditionalFormatting>
  <conditionalFormatting sqref="C27 C12:C13">
    <cfRule type="duplicateValues" dxfId="19" priority="1"/>
    <cfRule type="duplicateValues" dxfId="18" priority="2"/>
  </conditionalFormatting>
  <conditionalFormatting sqref="C14:C15">
    <cfRule type="duplicateValues" dxfId="17" priority="55"/>
  </conditionalFormatting>
  <conditionalFormatting sqref="C24">
    <cfRule type="duplicateValues" dxfId="16" priority="8786"/>
  </conditionalFormatting>
  <conditionalFormatting sqref="C24">
    <cfRule type="duplicateValues" dxfId="15" priority="8788"/>
    <cfRule type="duplicateValues" dxfId="14" priority="8789"/>
  </conditionalFormatting>
  <conditionalFormatting sqref="C12:C24">
    <cfRule type="duplicateValues" dxfId="13" priority="8800"/>
  </conditionalFormatting>
  <conditionalFormatting sqref="C12:C27">
    <cfRule type="duplicateValues" dxfId="12" priority="8805"/>
  </conditionalFormatting>
  <conditionalFormatting sqref="C12:C27">
    <cfRule type="duplicateValues" dxfId="11" priority="8815"/>
    <cfRule type="duplicateValues" dxfId="10" priority="8816"/>
  </conditionalFormatting>
  <conditionalFormatting sqref="C12:C27">
    <cfRule type="duplicateValues" dxfId="9" priority="8817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4" workbookViewId="0">
      <selection activeCell="Q18" sqref="Q18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76" customWidth="1"/>
    <col min="8" max="14" width="4.42578125" customWidth="1"/>
    <col min="15" max="16" width="14.85546875" customWidth="1"/>
    <col min="17" max="17" width="14.7109375" customWidth="1"/>
    <col min="18" max="18" width="15.28515625" bestFit="1" customWidth="1"/>
  </cols>
  <sheetData>
    <row r="1" spans="1:17" ht="15.75" customHeight="1" thickBot="1" x14ac:dyDescent="0.3">
      <c r="A1" s="190" t="s">
        <v>2</v>
      </c>
      <c r="B1" s="190"/>
      <c r="C1" s="190"/>
      <c r="D1" s="191">
        <v>2021</v>
      </c>
      <c r="E1" s="191"/>
      <c r="F1" s="74"/>
      <c r="G1" s="74"/>
      <c r="H1" s="75"/>
      <c r="I1" s="75"/>
      <c r="J1" s="75"/>
      <c r="K1" s="75"/>
      <c r="L1" s="75"/>
      <c r="M1" s="75"/>
      <c r="N1" s="75"/>
      <c r="P1" s="192" t="s">
        <v>114</v>
      </c>
      <c r="Q1" s="192"/>
    </row>
    <row r="2" spans="1:17" ht="15.75" customHeight="1" thickBot="1" x14ac:dyDescent="0.25">
      <c r="H2" s="75"/>
      <c r="I2" s="75"/>
      <c r="J2" s="75"/>
      <c r="K2" s="75"/>
      <c r="L2" s="75"/>
      <c r="M2" s="75"/>
      <c r="N2" s="75"/>
      <c r="P2" s="192"/>
      <c r="Q2" s="192"/>
    </row>
    <row r="4" spans="1:17" s="77" customFormat="1" ht="18" customHeight="1" thickBot="1" x14ac:dyDescent="0.25">
      <c r="A4" s="193" t="s">
        <v>115</v>
      </c>
      <c r="B4" s="193"/>
      <c r="C4" s="193"/>
      <c r="D4" s="193"/>
      <c r="E4" s="193"/>
      <c r="F4" s="193"/>
      <c r="G4" s="180" t="s">
        <v>100</v>
      </c>
      <c r="H4" s="180"/>
      <c r="I4" s="180"/>
      <c r="J4" s="180"/>
      <c r="K4" s="180"/>
      <c r="L4" s="180"/>
      <c r="M4" s="180"/>
      <c r="N4" s="180"/>
      <c r="O4" s="180"/>
      <c r="P4" s="180"/>
      <c r="Q4" s="180"/>
    </row>
    <row r="5" spans="1:17" s="77" customFormat="1" ht="18" customHeight="1" thickBot="1" x14ac:dyDescent="0.25">
      <c r="A5" s="177" t="s">
        <v>101</v>
      </c>
      <c r="B5" s="178"/>
      <c r="C5" s="178"/>
      <c r="D5" s="178"/>
      <c r="E5" s="178"/>
      <c r="F5" s="179"/>
      <c r="G5" s="180" t="s">
        <v>116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</row>
    <row r="6" spans="1:17" s="77" customFormat="1" ht="18" customHeight="1" thickBot="1" x14ac:dyDescent="0.25">
      <c r="A6" s="177" t="s">
        <v>103</v>
      </c>
      <c r="B6" s="178"/>
      <c r="C6" s="178"/>
      <c r="D6" s="178"/>
      <c r="E6" s="178"/>
      <c r="F6" s="179"/>
      <c r="G6" s="180" t="s">
        <v>138</v>
      </c>
      <c r="H6" s="180"/>
      <c r="I6" s="180"/>
      <c r="J6" s="180"/>
      <c r="K6" s="180"/>
      <c r="L6" s="180"/>
      <c r="M6" s="180"/>
      <c r="N6" s="180"/>
      <c r="O6" s="180"/>
      <c r="P6" s="180"/>
      <c r="Q6" s="180"/>
    </row>
    <row r="7" spans="1:17" s="77" customFormat="1" ht="18" customHeight="1" thickBot="1" x14ac:dyDescent="0.25">
      <c r="A7" s="177" t="s">
        <v>104</v>
      </c>
      <c r="B7" s="178"/>
      <c r="C7" s="178"/>
      <c r="D7" s="178"/>
      <c r="E7" s="178"/>
      <c r="F7" s="179"/>
      <c r="G7" s="180" t="s">
        <v>138</v>
      </c>
      <c r="H7" s="180"/>
      <c r="I7" s="180"/>
      <c r="J7" s="180"/>
      <c r="K7" s="180"/>
      <c r="L7" s="180"/>
      <c r="M7" s="180"/>
      <c r="N7" s="180"/>
      <c r="O7" s="180"/>
      <c r="P7" s="180"/>
      <c r="Q7" s="180"/>
    </row>
    <row r="8" spans="1:17" ht="18" customHeight="1" thickBot="1" x14ac:dyDescent="0.25">
      <c r="A8" s="181" t="s">
        <v>117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</row>
    <row r="9" spans="1:17" ht="18" customHeight="1" x14ac:dyDescent="0.2">
      <c r="A9" s="182" t="s">
        <v>118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78"/>
      <c r="P9" s="78"/>
      <c r="Q9" s="79"/>
    </row>
    <row r="10" spans="1:17" ht="57" customHeight="1" x14ac:dyDescent="0.2">
      <c r="A10" s="183" t="s">
        <v>157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5"/>
    </row>
    <row r="11" spans="1:17" ht="9" customHeight="1" thickBot="1" x14ac:dyDescent="0.25">
      <c r="A11" s="80"/>
      <c r="B11" s="81"/>
      <c r="C11" s="81"/>
      <c r="D11" s="81"/>
      <c r="E11" s="81"/>
      <c r="F11" s="81"/>
      <c r="G11" s="82"/>
      <c r="H11" s="81"/>
      <c r="I11" s="81"/>
      <c r="J11" s="81"/>
      <c r="K11" s="81"/>
      <c r="L11" s="81"/>
      <c r="M11" s="81"/>
      <c r="N11" s="81"/>
      <c r="O11" s="81"/>
      <c r="P11" s="81"/>
      <c r="Q11" s="83"/>
    </row>
    <row r="12" spans="1:17" ht="15.75" customHeight="1" thickBot="1" x14ac:dyDescent="0.25">
      <c r="A12" s="186" t="s">
        <v>119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</row>
    <row r="13" spans="1:17" ht="15.75" customHeight="1" thickBot="1" x14ac:dyDescent="0.25">
      <c r="A13" s="187" t="s">
        <v>120</v>
      </c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8" t="s">
        <v>121</v>
      </c>
      <c r="P13" s="188"/>
      <c r="Q13" s="189" t="s">
        <v>122</v>
      </c>
    </row>
    <row r="14" spans="1:17" ht="15.75" customHeight="1" thickBot="1" x14ac:dyDescent="0.25">
      <c r="A14" s="84" t="s">
        <v>123</v>
      </c>
      <c r="B14" s="85" t="s">
        <v>124</v>
      </c>
      <c r="C14" s="85" t="s">
        <v>125</v>
      </c>
      <c r="D14" s="85" t="s">
        <v>126</v>
      </c>
      <c r="E14" s="85" t="s">
        <v>127</v>
      </c>
      <c r="F14" s="85" t="s">
        <v>128</v>
      </c>
      <c r="G14" s="86" t="s">
        <v>129</v>
      </c>
      <c r="H14" s="85" t="s">
        <v>130</v>
      </c>
      <c r="I14" s="85" t="s">
        <v>131</v>
      </c>
      <c r="J14" s="85" t="s">
        <v>132</v>
      </c>
      <c r="K14" s="85" t="s">
        <v>132</v>
      </c>
      <c r="L14" s="85" t="s">
        <v>133</v>
      </c>
      <c r="M14" s="87" t="s">
        <v>37</v>
      </c>
      <c r="N14" s="88" t="s">
        <v>134</v>
      </c>
      <c r="O14" s="188"/>
      <c r="P14" s="188"/>
      <c r="Q14" s="189"/>
    </row>
    <row r="15" spans="1:17" ht="17.25" customHeight="1" thickBot="1" x14ac:dyDescent="0.25">
      <c r="A15" s="117">
        <v>35</v>
      </c>
      <c r="B15" s="118"/>
      <c r="C15" s="118"/>
      <c r="D15" s="118">
        <v>1</v>
      </c>
      <c r="E15" s="90"/>
      <c r="F15" s="90">
        <v>4901</v>
      </c>
      <c r="G15" s="90">
        <v>3</v>
      </c>
      <c r="H15" s="90">
        <v>1</v>
      </c>
      <c r="I15" s="91">
        <v>2</v>
      </c>
      <c r="J15" s="91">
        <v>5</v>
      </c>
      <c r="K15" s="91">
        <v>1</v>
      </c>
      <c r="L15" s="90"/>
      <c r="M15" s="92">
        <v>1</v>
      </c>
      <c r="N15" s="93" t="s">
        <v>135</v>
      </c>
      <c r="O15" s="175" t="s">
        <v>137</v>
      </c>
      <c r="P15" s="176"/>
      <c r="Q15" s="94">
        <v>550000</v>
      </c>
    </row>
    <row r="16" spans="1:17" ht="17.25" customHeight="1" thickBot="1" x14ac:dyDescent="0.25">
      <c r="A16" s="95">
        <v>35</v>
      </c>
      <c r="B16" s="96"/>
      <c r="C16" s="96"/>
      <c r="D16" s="96">
        <v>2</v>
      </c>
      <c r="E16" s="96"/>
      <c r="F16" s="96">
        <v>4901</v>
      </c>
      <c r="G16" s="96">
        <v>3</v>
      </c>
      <c r="H16" s="96">
        <v>1</v>
      </c>
      <c r="I16" s="96">
        <v>2</v>
      </c>
      <c r="J16" s="96">
        <v>5</v>
      </c>
      <c r="K16" s="96">
        <v>1</v>
      </c>
      <c r="L16" s="96"/>
      <c r="M16" s="97">
        <v>1</v>
      </c>
      <c r="N16" s="102" t="s">
        <v>135</v>
      </c>
      <c r="O16" s="175" t="s">
        <v>137</v>
      </c>
      <c r="P16" s="176"/>
      <c r="Q16" s="99">
        <v>783224</v>
      </c>
    </row>
    <row r="17" spans="1:18" ht="17.25" customHeight="1" x14ac:dyDescent="0.2">
      <c r="A17" s="95">
        <v>35</v>
      </c>
      <c r="B17" s="96"/>
      <c r="C17" s="96"/>
      <c r="D17" s="96">
        <v>3</v>
      </c>
      <c r="E17" s="96"/>
      <c r="F17" s="98">
        <v>4901</v>
      </c>
      <c r="G17" s="96">
        <v>3</v>
      </c>
      <c r="H17" s="96">
        <v>1</v>
      </c>
      <c r="I17" s="96">
        <v>2</v>
      </c>
      <c r="J17" s="96">
        <v>5</v>
      </c>
      <c r="K17" s="96">
        <v>1</v>
      </c>
      <c r="L17" s="96"/>
      <c r="M17" s="97">
        <v>1</v>
      </c>
      <c r="N17" s="102" t="s">
        <v>135</v>
      </c>
      <c r="O17" s="175" t="s">
        <v>137</v>
      </c>
      <c r="P17" s="176"/>
      <c r="Q17" s="99">
        <v>150000</v>
      </c>
    </row>
    <row r="18" spans="1:18" ht="17.25" customHeight="1" x14ac:dyDescent="0.2">
      <c r="A18" s="95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7"/>
      <c r="N18" s="98"/>
      <c r="O18" s="167"/>
      <c r="P18" s="167"/>
      <c r="Q18" s="99"/>
    </row>
    <row r="19" spans="1:18" ht="17.25" customHeight="1" x14ac:dyDescent="0.2">
      <c r="A19" s="95"/>
      <c r="B19" s="96"/>
      <c r="C19" s="96"/>
      <c r="D19" s="96"/>
      <c r="E19" s="96"/>
      <c r="F19" s="98"/>
      <c r="G19" s="96"/>
      <c r="H19" s="96"/>
      <c r="I19" s="96"/>
      <c r="J19" s="96"/>
      <c r="K19" s="96"/>
      <c r="L19" s="96"/>
      <c r="M19" s="97"/>
      <c r="N19" s="98"/>
      <c r="O19" s="167"/>
      <c r="P19" s="167"/>
      <c r="Q19" s="99"/>
    </row>
    <row r="20" spans="1:18" ht="17.25" customHeight="1" x14ac:dyDescent="0.2">
      <c r="A20" s="95"/>
      <c r="B20" s="96"/>
      <c r="C20" s="96"/>
      <c r="D20" s="96"/>
      <c r="E20" s="96"/>
      <c r="F20" s="98"/>
      <c r="G20" s="96"/>
      <c r="H20" s="96"/>
      <c r="I20" s="96"/>
      <c r="J20" s="96"/>
      <c r="K20" s="96"/>
      <c r="L20" s="96"/>
      <c r="M20" s="97"/>
      <c r="N20" s="98"/>
      <c r="O20" s="167"/>
      <c r="P20" s="167"/>
      <c r="Q20" s="99"/>
    </row>
    <row r="21" spans="1:18" ht="17.25" customHeight="1" x14ac:dyDescent="0.2">
      <c r="A21" s="100"/>
      <c r="B21" s="101"/>
      <c r="C21" s="101"/>
      <c r="D21" s="101"/>
      <c r="E21" s="101"/>
      <c r="F21" s="102"/>
      <c r="G21" s="101"/>
      <c r="H21" s="101"/>
      <c r="I21" s="101"/>
      <c r="J21" s="101"/>
      <c r="K21" s="101"/>
      <c r="L21" s="101"/>
      <c r="M21" s="103"/>
      <c r="N21" s="104"/>
      <c r="O21" s="166"/>
      <c r="P21" s="166"/>
      <c r="Q21" s="99"/>
      <c r="R21" s="78"/>
    </row>
    <row r="22" spans="1:18" ht="17.25" customHeight="1" thickBot="1" x14ac:dyDescent="0.25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7"/>
      <c r="N22" s="106"/>
      <c r="O22" s="168"/>
      <c r="P22" s="168"/>
      <c r="Q22" s="108"/>
    </row>
    <row r="23" spans="1:18" ht="40.15" customHeight="1" thickBot="1" x14ac:dyDescent="0.25">
      <c r="A23" s="169" t="s">
        <v>158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09">
        <f>SUM(Q15:Q22)</f>
        <v>1483224</v>
      </c>
      <c r="R23" s="112"/>
    </row>
    <row r="24" spans="1:18" ht="18" customHeight="1" thickBot="1" x14ac:dyDescent="0.25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</row>
    <row r="25" spans="1:18" ht="17.25" customHeight="1" thickBot="1" x14ac:dyDescent="0.25">
      <c r="A25" s="171" t="s">
        <v>136</v>
      </c>
      <c r="B25" s="172"/>
      <c r="C25" s="172"/>
      <c r="D25" s="172"/>
      <c r="E25" s="172"/>
      <c r="F25" s="173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18" ht="18" customHeight="1" thickBot="1" x14ac:dyDescent="0.25">
      <c r="A26" s="165" t="s">
        <v>142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</row>
    <row r="27" spans="1:18" ht="28.5" customHeight="1" thickBot="1" x14ac:dyDescent="0.25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"/>
  <sheetViews>
    <sheetView workbookViewId="0">
      <selection activeCell="M13" sqref="M13"/>
    </sheetView>
  </sheetViews>
  <sheetFormatPr baseColWidth="10" defaultRowHeight="12.75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2" customWidth="1"/>
    <col min="8" max="8" width="9.28515625" customWidth="1"/>
    <col min="9" max="9" width="18" customWidth="1"/>
    <col min="10" max="10" width="16" customWidth="1"/>
    <col min="11" max="11" width="15.5703125" customWidth="1"/>
    <col min="12" max="12" width="5.85546875" customWidth="1"/>
    <col min="13" max="13" width="23" customWidth="1"/>
  </cols>
  <sheetData>
    <row r="1" spans="1:13" ht="16.5" thickBot="1" x14ac:dyDescent="0.25">
      <c r="A1" s="164" t="s">
        <v>97</v>
      </c>
      <c r="B1" s="164"/>
      <c r="C1" s="164"/>
      <c r="D1" s="164"/>
      <c r="E1" s="164"/>
      <c r="F1" s="164"/>
      <c r="G1" s="164"/>
      <c r="H1" s="164"/>
      <c r="I1" s="164"/>
      <c r="J1" s="65" t="s">
        <v>98</v>
      </c>
      <c r="K1" s="66" t="s">
        <v>173</v>
      </c>
      <c r="L1" s="67"/>
      <c r="M1" s="115"/>
    </row>
    <row r="2" spans="1:13" ht="16.5" thickBot="1" x14ac:dyDescent="0.25">
      <c r="A2" s="68"/>
      <c r="B2" s="68"/>
      <c r="C2" s="68"/>
      <c r="D2" s="69"/>
      <c r="E2" s="69"/>
      <c r="F2" s="69"/>
      <c r="G2" s="69"/>
      <c r="H2" s="69"/>
      <c r="I2" s="69"/>
      <c r="J2" s="69"/>
      <c r="K2" s="69"/>
      <c r="L2" s="67"/>
      <c r="M2" s="115"/>
    </row>
    <row r="3" spans="1:13" ht="19.5" customHeight="1" thickBot="1" x14ac:dyDescent="0.25">
      <c r="A3" s="159" t="s">
        <v>99</v>
      </c>
      <c r="B3" s="159"/>
      <c r="C3" s="159"/>
      <c r="D3" s="160" t="s">
        <v>100</v>
      </c>
      <c r="E3" s="160"/>
      <c r="F3" s="160"/>
      <c r="G3" s="160"/>
      <c r="H3" s="160"/>
      <c r="I3" s="160"/>
      <c r="J3" s="160"/>
      <c r="K3" s="160"/>
      <c r="L3" s="67"/>
      <c r="M3" s="115"/>
    </row>
    <row r="4" spans="1:13" ht="19.5" customHeight="1" thickBot="1" x14ac:dyDescent="0.25">
      <c r="A4" s="161" t="s">
        <v>101</v>
      </c>
      <c r="B4" s="161"/>
      <c r="C4" s="161"/>
      <c r="D4" s="160" t="s">
        <v>102</v>
      </c>
      <c r="E4" s="160"/>
      <c r="F4" s="160"/>
      <c r="G4" s="160"/>
      <c r="H4" s="160"/>
      <c r="I4" s="160"/>
      <c r="J4" s="160"/>
      <c r="K4" s="160"/>
      <c r="L4" s="67"/>
      <c r="M4" s="115"/>
    </row>
    <row r="5" spans="1:13" ht="19.5" customHeight="1" thickBot="1" x14ac:dyDescent="0.25">
      <c r="A5" s="161" t="s">
        <v>103</v>
      </c>
      <c r="B5" s="161"/>
      <c r="C5" s="161"/>
      <c r="D5" s="160" t="s">
        <v>161</v>
      </c>
      <c r="E5" s="160"/>
      <c r="F5" s="160"/>
      <c r="G5" s="160"/>
      <c r="H5" s="160"/>
      <c r="I5" s="160"/>
      <c r="J5" s="160"/>
      <c r="K5" s="160"/>
      <c r="L5" s="67"/>
      <c r="M5" s="115"/>
    </row>
    <row r="6" spans="1:13" ht="19.5" customHeight="1" thickBot="1" x14ac:dyDescent="0.25">
      <c r="A6" s="159" t="s">
        <v>104</v>
      </c>
      <c r="B6" s="159"/>
      <c r="C6" s="159"/>
      <c r="D6" s="160" t="s">
        <v>161</v>
      </c>
      <c r="E6" s="160"/>
      <c r="F6" s="160"/>
      <c r="G6" s="160"/>
      <c r="H6" s="160"/>
      <c r="I6" s="160"/>
      <c r="J6" s="160"/>
      <c r="K6" s="160"/>
      <c r="L6" s="67"/>
      <c r="M6" s="115"/>
    </row>
    <row r="7" spans="1:13" ht="19.5" customHeight="1" thickBot="1" x14ac:dyDescent="0.25">
      <c r="A7" s="161" t="s">
        <v>105</v>
      </c>
      <c r="B7" s="161"/>
      <c r="C7" s="161"/>
      <c r="D7" s="160" t="s">
        <v>139</v>
      </c>
      <c r="E7" s="160"/>
      <c r="F7" s="160"/>
      <c r="G7" s="160"/>
      <c r="H7" s="160"/>
      <c r="I7" s="160"/>
      <c r="J7" s="160"/>
      <c r="K7" s="160"/>
      <c r="L7" s="67"/>
      <c r="M7" s="115"/>
    </row>
    <row r="8" spans="1:13" ht="19.5" customHeight="1" thickBot="1" x14ac:dyDescent="0.25">
      <c r="A8" s="162" t="s">
        <v>106</v>
      </c>
      <c r="B8" s="162"/>
      <c r="C8" s="162"/>
      <c r="D8" s="163" t="s">
        <v>140</v>
      </c>
      <c r="E8" s="163"/>
      <c r="F8" s="163"/>
      <c r="G8" s="163"/>
      <c r="H8" s="163"/>
      <c r="I8" s="163"/>
      <c r="J8" s="163"/>
      <c r="K8" s="163"/>
      <c r="L8" s="67"/>
      <c r="M8" s="115"/>
    </row>
    <row r="9" spans="1:13" ht="19.5" customHeight="1" thickBot="1" x14ac:dyDescent="0.25">
      <c r="A9" s="70"/>
      <c r="B9" s="70"/>
      <c r="C9" s="70"/>
      <c r="D9" s="124"/>
      <c r="E9" s="124"/>
      <c r="F9" s="124"/>
      <c r="G9" s="124"/>
      <c r="H9" s="124"/>
      <c r="I9" s="124"/>
      <c r="J9" s="124"/>
      <c r="K9" s="124"/>
      <c r="L9" s="67"/>
      <c r="M9" s="115"/>
    </row>
    <row r="10" spans="1:13" ht="13.5" thickBot="1" x14ac:dyDescent="0.25">
      <c r="A10" s="158" t="s">
        <v>107</v>
      </c>
      <c r="B10" s="157" t="s">
        <v>108</v>
      </c>
      <c r="C10" s="157" t="s">
        <v>109</v>
      </c>
      <c r="D10" s="157"/>
      <c r="E10" s="157"/>
      <c r="F10" s="157"/>
      <c r="G10" s="157"/>
      <c r="H10" s="157" t="s">
        <v>110</v>
      </c>
      <c r="I10" s="157" t="s">
        <v>111</v>
      </c>
      <c r="J10" s="157" t="s">
        <v>112</v>
      </c>
      <c r="K10" s="153" t="s">
        <v>113</v>
      </c>
      <c r="L10" s="67"/>
      <c r="M10" s="115"/>
    </row>
    <row r="11" spans="1:13" ht="13.5" thickBot="1" x14ac:dyDescent="0.25">
      <c r="A11" s="158"/>
      <c r="B11" s="157"/>
      <c r="C11" s="157"/>
      <c r="D11" s="157"/>
      <c r="E11" s="157"/>
      <c r="F11" s="157"/>
      <c r="G11" s="157"/>
      <c r="H11" s="157"/>
      <c r="I11" s="157"/>
      <c r="J11" s="157"/>
      <c r="K11" s="153"/>
      <c r="L11" s="67"/>
      <c r="M11" s="115"/>
    </row>
    <row r="12" spans="1:13" ht="30.75" customHeight="1" thickBot="1" x14ac:dyDescent="0.25">
      <c r="A12" s="71">
        <v>1</v>
      </c>
      <c r="B12" s="72"/>
      <c r="C12" s="197" t="s">
        <v>162</v>
      </c>
      <c r="D12" s="198"/>
      <c r="E12" s="198"/>
      <c r="F12" s="198"/>
      <c r="G12" s="199"/>
      <c r="H12" s="73" t="s">
        <v>149</v>
      </c>
      <c r="I12" s="26" t="s">
        <v>163</v>
      </c>
      <c r="J12" s="48">
        <v>451.48</v>
      </c>
      <c r="K12" s="26">
        <v>120000</v>
      </c>
      <c r="L12" s="67"/>
      <c r="M12" s="132">
        <f>SUM(J12*K12)</f>
        <v>54177600</v>
      </c>
    </row>
    <row r="13" spans="1:13" ht="15" thickBot="1" x14ac:dyDescent="0.25">
      <c r="A13" s="110"/>
      <c r="B13" s="111"/>
      <c r="C13" s="194"/>
      <c r="D13" s="195"/>
      <c r="E13" s="195"/>
      <c r="F13" s="195"/>
      <c r="G13" s="196"/>
      <c r="H13" s="73"/>
      <c r="I13" s="26"/>
      <c r="J13" s="48"/>
      <c r="K13" s="26"/>
      <c r="L13" s="67"/>
      <c r="M13" s="115">
        <f t="shared" ref="M13" si="0">SUM(J13*K13)</f>
        <v>0</v>
      </c>
    </row>
    <row r="14" spans="1:13" ht="42.75" customHeight="1" thickBot="1" x14ac:dyDescent="0.25">
      <c r="A14" s="144" t="s">
        <v>164</v>
      </c>
      <c r="B14" s="145"/>
      <c r="C14" s="145"/>
      <c r="D14" s="145"/>
      <c r="E14" s="145"/>
      <c r="F14" s="145"/>
      <c r="G14" s="145"/>
      <c r="H14" s="145"/>
      <c r="I14" s="146"/>
      <c r="J14" s="147">
        <f>+M14</f>
        <v>54177600</v>
      </c>
      <c r="K14" s="148"/>
      <c r="L14" s="67"/>
      <c r="M14" s="119">
        <f>SUM(M12:M13)</f>
        <v>54177600</v>
      </c>
    </row>
  </sheetData>
  <mergeCells count="24">
    <mergeCell ref="J14:K14"/>
    <mergeCell ref="C13:G13"/>
    <mergeCell ref="A14:I14"/>
    <mergeCell ref="K10:K11"/>
    <mergeCell ref="C12:G12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13">
    <cfRule type="duplicateValues" dxfId="8" priority="1"/>
  </conditionalFormatting>
  <conditionalFormatting sqref="C12:C13">
    <cfRule type="duplicateValues" dxfId="7" priority="21"/>
  </conditionalFormatting>
  <conditionalFormatting sqref="C12:C13">
    <cfRule type="duplicateValues" dxfId="6" priority="22"/>
    <cfRule type="duplicateValues" dxfId="5" priority="2"/>
  </conditionalFormatting>
  <conditionalFormatting sqref="C13">
    <cfRule type="duplicateValues" dxfId="4" priority="8826"/>
  </conditionalFormatting>
  <conditionalFormatting sqref="C12">
    <cfRule type="duplicateValues" dxfId="3" priority="8827"/>
  </conditionalFormatting>
  <conditionalFormatting sqref="C12:C13">
    <cfRule type="duplicateValues" dxfId="2" priority="8832"/>
  </conditionalFormatting>
  <conditionalFormatting sqref="C12:C13">
    <cfRule type="duplicateValues" dxfId="1" priority="8834"/>
    <cfRule type="duplicateValues" dxfId="0" priority="883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7"/>
  <sheetViews>
    <sheetView topLeftCell="A4" zoomScale="110" zoomScaleNormal="110" workbookViewId="0">
      <selection activeCell="A11" sqref="A11"/>
    </sheetView>
  </sheetViews>
  <sheetFormatPr baseColWidth="10" defaultRowHeight="12.75" x14ac:dyDescent="0.2"/>
  <cols>
    <col min="1" max="5" width="4.42578125" customWidth="1"/>
    <col min="6" max="6" width="5.57031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0" t="s">
        <v>2</v>
      </c>
      <c r="B1" s="190"/>
      <c r="C1" s="190"/>
      <c r="D1" s="191">
        <v>2021</v>
      </c>
      <c r="E1" s="191"/>
      <c r="F1" s="74"/>
      <c r="G1" s="74"/>
      <c r="H1" s="75"/>
      <c r="I1" s="75"/>
      <c r="J1" s="75"/>
      <c r="K1" s="75"/>
      <c r="L1" s="75"/>
      <c r="M1" s="75"/>
      <c r="N1" s="75"/>
      <c r="P1" s="192" t="s">
        <v>114</v>
      </c>
      <c r="Q1" s="192"/>
    </row>
    <row r="2" spans="1:17" ht="13.5" thickBot="1" x14ac:dyDescent="0.25">
      <c r="G2" s="76"/>
      <c r="H2" s="75"/>
      <c r="I2" s="75"/>
      <c r="J2" s="75"/>
      <c r="K2" s="75"/>
      <c r="L2" s="75"/>
      <c r="M2" s="75"/>
      <c r="N2" s="75"/>
      <c r="P2" s="192"/>
      <c r="Q2" s="192"/>
    </row>
    <row r="3" spans="1:17" ht="13.5" thickBot="1" x14ac:dyDescent="0.25">
      <c r="G3" s="76"/>
    </row>
    <row r="4" spans="1:17" ht="23.25" customHeight="1" thickBot="1" x14ac:dyDescent="0.25">
      <c r="A4" s="201" t="s">
        <v>115</v>
      </c>
      <c r="B4" s="201"/>
      <c r="C4" s="201"/>
      <c r="D4" s="201"/>
      <c r="E4" s="201"/>
      <c r="F4" s="201"/>
      <c r="G4" s="200" t="s">
        <v>100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</row>
    <row r="5" spans="1:17" ht="24" customHeight="1" thickBot="1" x14ac:dyDescent="0.25">
      <c r="A5" s="177" t="s">
        <v>101</v>
      </c>
      <c r="B5" s="178"/>
      <c r="C5" s="178"/>
      <c r="D5" s="178"/>
      <c r="E5" s="178"/>
      <c r="F5" s="179"/>
      <c r="G5" s="200" t="s">
        <v>116</v>
      </c>
      <c r="H5" s="200"/>
      <c r="I5" s="200"/>
      <c r="J5" s="200"/>
      <c r="K5" s="200"/>
      <c r="L5" s="200"/>
      <c r="M5" s="200"/>
      <c r="N5" s="200"/>
      <c r="O5" s="200"/>
      <c r="P5" s="200"/>
      <c r="Q5" s="200"/>
    </row>
    <row r="6" spans="1:17" ht="22.5" customHeight="1" thickBot="1" x14ac:dyDescent="0.25">
      <c r="A6" s="177" t="s">
        <v>103</v>
      </c>
      <c r="B6" s="178"/>
      <c r="C6" s="178"/>
      <c r="D6" s="178"/>
      <c r="E6" s="178"/>
      <c r="F6" s="179"/>
      <c r="G6" s="200" t="s">
        <v>161</v>
      </c>
      <c r="H6" s="200"/>
      <c r="I6" s="200"/>
      <c r="J6" s="200"/>
      <c r="K6" s="200"/>
      <c r="L6" s="200"/>
      <c r="M6" s="200"/>
      <c r="N6" s="200"/>
      <c r="O6" s="200"/>
      <c r="P6" s="200"/>
      <c r="Q6" s="200"/>
    </row>
    <row r="7" spans="1:17" ht="29.25" customHeight="1" thickBot="1" x14ac:dyDescent="0.25">
      <c r="A7" s="177" t="s">
        <v>104</v>
      </c>
      <c r="B7" s="178"/>
      <c r="C7" s="178"/>
      <c r="D7" s="178"/>
      <c r="E7" s="178"/>
      <c r="F7" s="179"/>
      <c r="G7" s="200" t="s">
        <v>161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</row>
    <row r="8" spans="1:17" ht="13.5" thickBot="1" x14ac:dyDescent="0.25">
      <c r="A8" s="204" t="s">
        <v>117</v>
      </c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</row>
    <row r="9" spans="1:17" ht="14.25" x14ac:dyDescent="0.2">
      <c r="A9" s="205" t="s">
        <v>118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125"/>
      <c r="P9" s="125"/>
      <c r="Q9" s="126"/>
    </row>
    <row r="10" spans="1:17" ht="44.25" customHeight="1" x14ac:dyDescent="0.2">
      <c r="A10" s="206" t="s">
        <v>174</v>
      </c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8"/>
    </row>
    <row r="11" spans="1:17" ht="13.5" thickBot="1" x14ac:dyDescent="0.25">
      <c r="A11" s="127"/>
      <c r="B11" s="128"/>
      <c r="C11" s="128"/>
      <c r="D11" s="128"/>
      <c r="E11" s="128"/>
      <c r="F11" s="128"/>
      <c r="G11" s="129"/>
      <c r="H11" s="128"/>
      <c r="I11" s="128"/>
      <c r="J11" s="128"/>
      <c r="K11" s="128"/>
      <c r="L11" s="128"/>
      <c r="M11" s="128"/>
      <c r="N11" s="128"/>
      <c r="O11" s="128"/>
      <c r="P11" s="128"/>
      <c r="Q11" s="130"/>
    </row>
    <row r="12" spans="1:17" ht="15.75" customHeight="1" thickBot="1" x14ac:dyDescent="0.25">
      <c r="A12" s="186" t="s">
        <v>119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</row>
    <row r="13" spans="1:17" ht="15.75" customHeight="1" thickBot="1" x14ac:dyDescent="0.25">
      <c r="A13" s="187" t="s">
        <v>120</v>
      </c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8" t="s">
        <v>121</v>
      </c>
      <c r="P13" s="188"/>
      <c r="Q13" s="189" t="s">
        <v>122</v>
      </c>
    </row>
    <row r="14" spans="1:17" ht="15.75" customHeight="1" thickBot="1" x14ac:dyDescent="0.25">
      <c r="A14" s="84" t="s">
        <v>123</v>
      </c>
      <c r="B14" s="85" t="s">
        <v>124</v>
      </c>
      <c r="C14" s="85" t="s">
        <v>125</v>
      </c>
      <c r="D14" s="85" t="s">
        <v>126</v>
      </c>
      <c r="E14" s="85" t="s">
        <v>127</v>
      </c>
      <c r="F14" s="85" t="s">
        <v>128</v>
      </c>
      <c r="G14" s="86" t="s">
        <v>129</v>
      </c>
      <c r="H14" s="85" t="s">
        <v>130</v>
      </c>
      <c r="I14" s="85" t="s">
        <v>131</v>
      </c>
      <c r="J14" s="85" t="s">
        <v>132</v>
      </c>
      <c r="K14" s="85" t="s">
        <v>132</v>
      </c>
      <c r="L14" s="85" t="s">
        <v>133</v>
      </c>
      <c r="M14" s="87" t="s">
        <v>37</v>
      </c>
      <c r="N14" s="88" t="s">
        <v>134</v>
      </c>
      <c r="O14" s="188"/>
      <c r="P14" s="188"/>
      <c r="Q14" s="189"/>
    </row>
    <row r="15" spans="1:17" ht="15.75" customHeight="1" x14ac:dyDescent="0.2">
      <c r="A15" s="117">
        <v>62</v>
      </c>
      <c r="B15" s="118"/>
      <c r="C15" s="118"/>
      <c r="D15" s="118">
        <v>1</v>
      </c>
      <c r="E15" s="90"/>
      <c r="F15" s="90">
        <v>4901</v>
      </c>
      <c r="G15" s="90">
        <v>3</v>
      </c>
      <c r="H15" s="90">
        <v>1</v>
      </c>
      <c r="I15" s="91">
        <v>2</v>
      </c>
      <c r="J15" s="91">
        <v>5</v>
      </c>
      <c r="K15" s="91">
        <v>1</v>
      </c>
      <c r="L15" s="90"/>
      <c r="M15" s="92">
        <v>1</v>
      </c>
      <c r="N15" s="93" t="s">
        <v>135</v>
      </c>
      <c r="O15" s="202" t="s">
        <v>137</v>
      </c>
      <c r="P15" s="203"/>
      <c r="Q15" s="94">
        <v>54177600</v>
      </c>
    </row>
    <row r="16" spans="1:17" ht="15.75" customHeight="1" x14ac:dyDescent="0.2">
      <c r="A16" s="95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7"/>
      <c r="N16" s="102"/>
      <c r="O16" s="209"/>
      <c r="P16" s="210"/>
      <c r="Q16" s="99"/>
    </row>
    <row r="17" spans="1:17" ht="15.75" customHeight="1" x14ac:dyDescent="0.2">
      <c r="A17" s="95"/>
      <c r="B17" s="96"/>
      <c r="C17" s="96"/>
      <c r="D17" s="96"/>
      <c r="E17" s="96"/>
      <c r="F17" s="98"/>
      <c r="G17" s="96"/>
      <c r="H17" s="96"/>
      <c r="I17" s="96"/>
      <c r="J17" s="96"/>
      <c r="K17" s="96"/>
      <c r="L17" s="96"/>
      <c r="M17" s="97"/>
      <c r="N17" s="102"/>
      <c r="O17" s="211"/>
      <c r="P17" s="212"/>
      <c r="Q17" s="99"/>
    </row>
    <row r="18" spans="1:17" ht="15.75" customHeight="1" x14ac:dyDescent="0.2">
      <c r="A18" s="95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7"/>
      <c r="N18" s="98"/>
      <c r="O18" s="167"/>
      <c r="P18" s="167"/>
      <c r="Q18" s="99"/>
    </row>
    <row r="19" spans="1:17" ht="15.75" customHeight="1" x14ac:dyDescent="0.2">
      <c r="A19" s="95"/>
      <c r="B19" s="96"/>
      <c r="C19" s="96"/>
      <c r="D19" s="96"/>
      <c r="E19" s="96"/>
      <c r="F19" s="98"/>
      <c r="G19" s="96"/>
      <c r="H19" s="96"/>
      <c r="I19" s="96"/>
      <c r="J19" s="96"/>
      <c r="K19" s="96"/>
      <c r="L19" s="96"/>
      <c r="M19" s="97"/>
      <c r="N19" s="98"/>
      <c r="O19" s="167"/>
      <c r="P19" s="167"/>
      <c r="Q19" s="99"/>
    </row>
    <row r="20" spans="1:17" ht="15.75" customHeight="1" x14ac:dyDescent="0.2">
      <c r="A20" s="95"/>
      <c r="B20" s="96"/>
      <c r="C20" s="96"/>
      <c r="D20" s="96"/>
      <c r="E20" s="96"/>
      <c r="F20" s="98"/>
      <c r="G20" s="96"/>
      <c r="H20" s="96"/>
      <c r="I20" s="96"/>
      <c r="J20" s="96"/>
      <c r="K20" s="96"/>
      <c r="L20" s="96"/>
      <c r="M20" s="97"/>
      <c r="N20" s="98"/>
      <c r="O20" s="167"/>
      <c r="P20" s="167"/>
      <c r="Q20" s="99"/>
    </row>
    <row r="21" spans="1:17" ht="15.75" customHeight="1" x14ac:dyDescent="0.2">
      <c r="A21" s="100"/>
      <c r="B21" s="101"/>
      <c r="C21" s="101"/>
      <c r="D21" s="101"/>
      <c r="E21" s="101"/>
      <c r="F21" s="102"/>
      <c r="G21" s="101"/>
      <c r="H21" s="101"/>
      <c r="I21" s="101"/>
      <c r="J21" s="101"/>
      <c r="K21" s="101"/>
      <c r="L21" s="101"/>
      <c r="M21" s="103"/>
      <c r="N21" s="104"/>
      <c r="O21" s="166"/>
      <c r="P21" s="166"/>
      <c r="Q21" s="99"/>
    </row>
    <row r="22" spans="1:17" ht="15.75" customHeight="1" thickBot="1" x14ac:dyDescent="0.25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7"/>
      <c r="N22" s="106"/>
      <c r="O22" s="168"/>
      <c r="P22" s="168"/>
      <c r="Q22" s="108"/>
    </row>
    <row r="23" spans="1:17" ht="29.25" customHeight="1" thickBot="1" x14ac:dyDescent="0.25">
      <c r="A23" s="169" t="s">
        <v>165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09">
        <f>SUM(Q15:Q22)</f>
        <v>54177600</v>
      </c>
    </row>
    <row r="24" spans="1:17" ht="13.5" thickBot="1" x14ac:dyDescent="0.25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</row>
    <row r="25" spans="1:17" ht="15.75" thickBot="1" x14ac:dyDescent="0.25">
      <c r="A25" s="171" t="s">
        <v>136</v>
      </c>
      <c r="B25" s="172"/>
      <c r="C25" s="172"/>
      <c r="D25" s="172"/>
      <c r="E25" s="172"/>
      <c r="F25" s="173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17" ht="13.5" thickBot="1" x14ac:dyDescent="0.25">
      <c r="A26" s="165" t="s">
        <v>142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</row>
    <row r="27" spans="1:17" ht="32.25" customHeight="1" thickBot="1" x14ac:dyDescent="0.25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Necesidades Trimestrales </vt:lpstr>
      <vt:lpstr> NotaPedidoBCO SANGRE</vt:lpstr>
      <vt:lpstr>APG BCO DE SANGRE</vt:lpstr>
      <vt:lpstr> NotaPedido CUR</vt:lpstr>
      <vt:lpstr>APG CUR</vt:lpstr>
      <vt:lpstr>NotaPedido LABORATORIO</vt:lpstr>
      <vt:lpstr>APG LABORATORIO</vt:lpstr>
      <vt:lpstr>' NotaPedido CUR'!Área_de_impresión</vt:lpstr>
      <vt:lpstr>' NotaPedidoBCO SANGRE'!Área_de_impresión</vt:lpstr>
      <vt:lpstr>'APG BCO DE SANGRE'!Área_de_impresión</vt:lpstr>
      <vt:lpstr>'APG CUR'!Área_de_impresión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2021-05-13T15:22:17Z</cp:lastPrinted>
  <dcterms:created xsi:type="dcterms:W3CDTF">2020-07-17T23:44:49Z</dcterms:created>
  <dcterms:modified xsi:type="dcterms:W3CDTF">2021-08-12T12:16:13Z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