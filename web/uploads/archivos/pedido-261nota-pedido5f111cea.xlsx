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8_{8E166689-EA22-458F-A23D-9EBE27328272}" xr6:coauthVersionLast="46" xr6:coauthVersionMax="46" xr10:uidLastSave="{00000000-0000-0000-0000-000000000000}"/>
  <bookViews>
    <workbookView xWindow="-120" yWindow="-120" windowWidth="29040" windowHeight="15840" tabRatio="500" xr2:uid="{00000000-000D-0000-FFFF-FFFF00000000}"/>
  </bookViews>
  <sheets>
    <sheet name="Necesidades Trimestrales" sheetId="1" r:id="rId1"/>
    <sheet name=" NotaPedido" sheetId="2" r:id="rId2"/>
    <sheet name="Autor Gastar" sheetId="3" r:id="rId3"/>
  </sheets>
  <definedNames>
    <definedName name="_xlnm.Print_Area" localSheetId="1">' NotaPedido'!$A$1:$K$19</definedName>
    <definedName name="_xlnm.Print_Area" localSheetId="2">'Autor Gastar'!$A$1:$Q$29</definedName>
    <definedName name="_xlnm.Print_Area" localSheetId="0">'Necesidades Trimestrales'!$A$1:$I$81</definedName>
  </definedNames>
  <calcPr calcId="181029"/>
</workbook>
</file>

<file path=xl/calcChain.xml><?xml version="1.0" encoding="utf-8"?>
<calcChain xmlns="http://schemas.openxmlformats.org/spreadsheetml/2006/main">
  <c r="I11" i="1" l="1"/>
  <c r="I12" i="1"/>
  <c r="I13" i="1"/>
  <c r="I14" i="1"/>
  <c r="I15" i="1"/>
  <c r="I16" i="1"/>
  <c r="I10" i="1"/>
  <c r="Q22" i="3" l="1"/>
  <c r="D16" i="1" l="1"/>
  <c r="D15" i="1"/>
  <c r="D14" i="1"/>
  <c r="D13" i="1"/>
  <c r="D12" i="1" l="1"/>
  <c r="D11" i="1" l="1"/>
  <c r="D10" i="1" l="1"/>
  <c r="J19" i="2" l="1"/>
  <c r="G4" i="3" l="1"/>
  <c r="G6" i="3" l="1"/>
  <c r="G7" i="3"/>
  <c r="G5" i="3"/>
  <c r="A10" i="3" l="1"/>
  <c r="D1" i="3"/>
</calcChain>
</file>

<file path=xl/sharedStrings.xml><?xml version="1.0" encoding="utf-8"?>
<sst xmlns="http://schemas.openxmlformats.org/spreadsheetml/2006/main" count="211" uniqueCount="106">
  <si>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</si>
  <si>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</si>
  <si>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</si>
  <si>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</si>
  <si>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</si>
  <si>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</si>
  <si>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</si>
  <si>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</si>
  <si>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</si>
  <si>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</si>
  <si>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</si>
  <si>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</si>
  <si>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</si>
  <si>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</si>
  <si>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</si>
  <si>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</si>
  <si>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</si>
  <si>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</si>
  <si>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</si>
  <si>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Especificidades Item N° 2:</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</si>
  <si>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</si>
  <si>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</si>
  <si>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</si>
  <si>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</si>
  <si>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</si>
  <si>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</si>
  <si>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</si>
  <si>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</si>
  <si>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</si>
  <si>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</si>
  <si>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</si>
  <si>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</si>
  <si>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</si>
  <si>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</si>
  <si>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</si>
  <si>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</si>
  <si>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</si>
  <si>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</si>
  <si>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</si>
  <si>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</si>
  <si>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</si>
  <si>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</si>
  <si>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</si>
  <si>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</si>
  <si>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</si>
  <si>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</si>
  <si>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</si>
  <si>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</si>
  <si>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</si>
  <si>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</si>
  <si>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</si>
  <si>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</si>
  <si>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</si>
  <si>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</si>
  <si>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</si>
  <si>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</si>
  <si>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</si>
  <si>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</si>
  <si>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</si>
  <si>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</si>
  <si>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 xml:space="preserve"> MINISTERIO DE CIENCIA E INNOVACION TECNOLOGICA</t>
  </si>
  <si>
    <t>1.1</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</si>
  <si>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Republica de Venezuela S/N° - CAPE- Pabellón N° 26 San Fernando del Valle de Catamarca.  Se presentará Remito que deberá cumplimentar lo dispuesto por la R.G. AFIP  1415/03, sin excepción.</t>
  </si>
  <si>
    <r>
      <t xml:space="preserve">Mantenimiento: </t>
    </r>
    <r>
      <rPr>
        <sz val="10"/>
        <rFont val="Times New Roman"/>
        <family val="1"/>
      </rPr>
      <t>Treinta (30) Días Hábiles.-</t>
    </r>
  </si>
  <si>
    <r>
      <t>Mantenimiento:</t>
    </r>
    <r>
      <rPr>
        <sz val="10"/>
        <rFont val="Times New Roman"/>
        <family val="1"/>
      </rPr>
      <t xml:space="preserve"> Treinta (30) Días Hábiles.-</t>
    </r>
  </si>
  <si>
    <t>4.3.6-9707.8</t>
  </si>
  <si>
    <t>2 TRIMESTRE 2021</t>
  </si>
  <si>
    <t>Equipos para Computacion</t>
  </si>
  <si>
    <r>
      <t xml:space="preserve">Garantia: </t>
    </r>
    <r>
      <rPr>
        <sz val="10"/>
        <rFont val="Times New Roman"/>
        <family val="1"/>
      </rPr>
      <t>Garantía del fabricante minima de un (1) año.</t>
    </r>
  </si>
  <si>
    <r>
      <t>Garantia:</t>
    </r>
    <r>
      <rPr>
        <sz val="10"/>
        <rFont val="Times New Roman"/>
        <family val="1"/>
      </rPr>
      <t xml:space="preserve"> Garantía del fabricante minima de un (1) año.</t>
    </r>
  </si>
  <si>
    <t>4.3.6-6160.208</t>
  </si>
  <si>
    <t>INFORMATICA</t>
  </si>
  <si>
    <t>COMPUTADORAS; TIPO: NOTEBOOK, CODIGO ETAP: PC-008, VERSION ETAP: 22.0</t>
  </si>
  <si>
    <t>ESCANERS; TIPO: 3D PORTATIL, RESOLUCION: SIN VALOR mm, ALIMENTACION: USB</t>
  </si>
  <si>
    <t>TABLETA PC; RESOLUCION: 1280 X 800 PXL, PANTALLA: 9,4 pulg, MEMORIA: 32 Gb, MEMORIA RAM: 32 Gb</t>
  </si>
  <si>
    <t xml:space="preserve">Procesador i3.  1tb de almacenamiento.  120 disco solido.  4 memoria RAM. </t>
  </si>
  <si>
    <t>Sistema operativo: Android.  Con procesador de 2GHz. ○ Resolución de pantalla de 1280px x 800px.  Con lector microSD.  32 gb de almacenamiento ○ Memoria expandible. ○Sistema de altavoces.</t>
  </si>
  <si>
    <t>4.3.6-9181.33</t>
  </si>
  <si>
    <t>EQUIPO DE OFICINA Y MUEBLES</t>
  </si>
  <si>
    <t>Sistemas operativos compatibles: Windows de 64 bits 8 o posteriores.  Volumen de escaneo: Min: 0.2m x 0.2m x 0.2m Max: 2m x 2m x 2m. Dimensiones: 12,9 (c) x 17,8 (h) x 3,3 (d) cm ○ Rango de operación: Min: 0.2m Max: 1,6 m. Profundidad de la imagen: 640 (w) x 480 (h) px. Color de la imagen: 1920 (w) x 1080 (h) px.  Campo de visión: Horizontal: 45 ° Vertical: 57,5 ° Diagonal: 69 °. Resolución espacial x / y @ 0,5 m: 0,9 mm ○ Resolución de profundidad @ 0,5 m: 1mm. Temperatura de funcionamiento: 10-40 ° C.  Interfaz de datos: USB 3.0. Longitud del cable USB: 6 pies ○ Rendimiento de imagen máximo: 30 fps . Debe escanear a color.</t>
  </si>
  <si>
    <t>Especificidades Item N° 3:</t>
  </si>
  <si>
    <t>IMPRESORA 3D; TIPO: DE PRECISION, DIMENSION: 200 X 200 X 200 mm, RESOLUCION: 0,1 mm, PRECISION: 0,1 mm, ESPESOR CAPA: 1,75 mm</t>
  </si>
  <si>
    <t>4.3.6-9707.15</t>
  </si>
  <si>
    <t>IMPRESORA 3D; TIPO: FDM, DIMENSION: 150 X 200 X 200 mm, RESOLUCION: 100 Mn, PRECISION: 0,1 mm, ESPESOR CAPA: 1,2 mm</t>
  </si>
  <si>
    <t>4.3.6-9707.16</t>
  </si>
  <si>
    <t>IMPRESORA 3D; TIPO: FDM, DIMENSION: 100 X 100 X 125 mm, RESOLUCION: 100 Mn, PRECISION: 0,1 mm, ESPESOR CAPA: 1,2 mm</t>
  </si>
  <si>
    <t>4.3.5-1589.80</t>
  </si>
  <si>
    <t>PANTALLAS DE PROYECCION; DIMENSION: 100 pulg, ALTURA: REGULABLE, TIPO: MANUAL, MATERIAL: TELA</t>
  </si>
  <si>
    <t>NO</t>
  </si>
  <si>
    <t>EQUIPOS</t>
  </si>
  <si>
    <t>Equipo Educacional y Recreativo</t>
  </si>
  <si>
    <t>Volumen de Impresión: 200x200x400 mm.  Extrusores: 1 ○ Temperaturas de trabajo de Extrusor: Hasta 255 grados. Temperatura Cama Caliente: hasta 120 grados. Precisión de posicionamiento: 0.0125mm XY / 0.0012mm Z. Sensor inductivo para Autonivelación Z. Sensor de filamento detectando falta del mismo el equipo se pause automáticamente. Filamento: Diámetro 1.75mm. Distintos tipos de Filamento como PLA, ABS, sCold, Flexible, PET, PETG, Nylon y más. Pantalla led</t>
  </si>
  <si>
    <t xml:space="preserve"> Tecnología de impresión: FDM. Tamaño de la zona de impresión: 135mm de largo, 120 mm de ancho y 100mm de alto.  Que no requiera ensamblaje.  Diámetro del filamento: 1.75mm. ○ Peso de la impresora: 7kg. 1 extrusor.  Que admita PLA, Nylon y ABS.
</t>
  </si>
  <si>
    <t>Especificidades Item N°4:</t>
  </si>
  <si>
    <t>Especificidades Item N° 5:</t>
  </si>
  <si>
    <t xml:space="preserve">Lápiz 3D:  Modo de extrusión: automático.  Temperatura de calentamiento: PCL (50 - 60 grados) PLA (160 - 180 grados). Debe tener un Diseño ergonómico. Debe ser Fácil de usar, práctico y liviano. Área de impresión: ilimitada. Debe ser utilizado con filamento PLA de 1,75 mm.
</t>
  </si>
  <si>
    <r>
      <t>Mantenimiento</t>
    </r>
    <r>
      <rPr>
        <sz val="10"/>
        <rFont val="Times New Roman"/>
        <family val="1"/>
      </rPr>
      <t>: Treinta (30) Días Hábiles.-</t>
    </r>
  </si>
  <si>
    <t>Especificidades Item N° 6:</t>
  </si>
  <si>
    <t>Costo total estimado:  PESOS TRES MILLONES TRESCIENTOS TREINTA MIL QUINIENTOS CON 00/100.-</t>
  </si>
  <si>
    <t>PESOS: TRES MILLONES TRESCIENTOS TREINTA MIL QUINIENTOS CON 00/100.-</t>
  </si>
  <si>
    <t>SECRETARIA DE INNOVACION</t>
  </si>
  <si>
    <t>4.3.6-9604.3</t>
  </si>
  <si>
    <t>008/2021</t>
  </si>
  <si>
    <t>ADQUISICIÓN DE  EQUIPOS INFORMATICOS   DESTINADO  A LA CREACIÓN DEL CENTRO DE INNOVACIÓN ITINERANTE.</t>
  </si>
  <si>
    <t xml:space="preserve">ADQUISICIÓN DE  EQUIPOS INFORMÁTICOS DESTINADO  A LA CREACIÓN DEL CENTRO DE INNOVACIÓN ITINERANTE.- </t>
  </si>
  <si>
    <t>Especificidades Item N°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</si>
</sst>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_);_(@_)"/>
    <numFmt numFmtId="165" formatCode="[$$-2C0A]\ #,##0.00;[$$-2C0A]&quot; -&quot;#,##0.00"/>
    <numFmt numFmtId="166" formatCode="[$$-2C0A]\ #,##0.00"/>
    <numFmt numFmtId="167" formatCode="dd\-mm\-yy;@"/>
    <numFmt numFmtId="168" formatCode="_-&quot;$&quot;* #,##0.00_-;\-&quot;$&quot;* #,##0.00_-;_-&quot;$&quot;* &quot;-&quot;??_-;_-@_-"/>
    <numFmt numFmtId="169" formatCode="_-[$$-2C0A]\ * #,##0.00_-;\-[$$-2C0A]\ * #,##0.00_-;_-[$$-2C0A]\ * &quot;-&quot;??_-;_-@_-"/>
  </numFmts>
  <fonts count="25"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u/>
      <sz val="10"/>
      <name val="Times New Roman"/>
      <family val="1"/>
    </font>
    <font>
      <b/>
      <sz val="12"/>
      <color rgb="FF000000"/>
      <name val="Times New Roman"/>
      <family val="1"/>
    </font>
    <font>
      <sz val="8"/>
      <name val="Arial"/>
      <family val="2"/>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58">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ck">
        <color auto="1"/>
      </left>
      <right style="thick">
        <color auto="1"/>
      </right>
      <top style="thick">
        <color auto="1"/>
      </top>
      <bottom style="thin">
        <color indexed="64"/>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s>
  <cellStyleXfs count="6">
    <xf numFmtId="0" fontId="0" fillId="0" borderId="0"/>
    <xf numFmtId="0" fontId="1" fillId="0" borderId="1" applyProtection="0"/>
    <xf numFmtId="164" fontId="2" fillId="0" borderId="0" applyBorder="0" applyProtection="0"/>
    <xf numFmtId="0" fontId="3" fillId="2" borderId="0" applyBorder="0" applyProtection="0"/>
    <xf numFmtId="0" fontId="15" fillId="0" borderId="0"/>
    <xf numFmtId="168" fontId="15" fillId="0" borderId="0" applyFont="0" applyFill="0" applyBorder="0" applyAlignment="0" applyProtection="0"/>
  </cellStyleXfs>
  <cellXfs count="144">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9" fillId="0" borderId="20" xfId="0" applyFont="1" applyBorder="1" applyAlignment="1">
      <alignment horizontal="center" vertical="center"/>
    </xf>
    <xf numFmtId="0" fontId="0" fillId="0" borderId="0" xfId="0" applyAlignment="1">
      <alignment horizontal="left"/>
    </xf>
    <xf numFmtId="3" fontId="10" fillId="0" borderId="0" xfId="0" applyNumberFormat="1" applyFont="1" applyBorder="1" applyAlignment="1"/>
    <xf numFmtId="167" fontId="0" fillId="0" borderId="0" xfId="0" applyNumberFormat="1" applyAlignment="1">
      <alignment horizontal="left"/>
    </xf>
    <xf numFmtId="0" fontId="2" fillId="0" borderId="0" xfId="0" applyFont="1"/>
    <xf numFmtId="0" fontId="0" fillId="0" borderId="10" xfId="0" applyBorder="1"/>
    <xf numFmtId="0" fontId="0" fillId="0" borderId="26" xfId="0" applyBorder="1"/>
    <xf numFmtId="0" fontId="0" fillId="0" borderId="12" xfId="0" applyBorder="1"/>
    <xf numFmtId="0" fontId="0" fillId="0" borderId="12" xfId="0" applyBorder="1" applyAlignment="1">
      <alignment horizontal="left"/>
    </xf>
    <xf numFmtId="0" fontId="0" fillId="0" borderId="27" xfId="0" applyBorder="1"/>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0" xfId="0" applyFont="1" applyBorder="1" applyAlignment="1">
      <alignment horizontal="left" vertical="center"/>
    </xf>
    <xf numFmtId="0" fontId="14" fillId="0" borderId="31" xfId="0" applyFont="1" applyBorder="1" applyAlignment="1">
      <alignment horizontal="center" vertical="center"/>
    </xf>
    <xf numFmtId="0" fontId="14" fillId="0" borderId="25" xfId="0" applyFont="1" applyBorder="1" applyAlignment="1">
      <alignment horizontal="center" vertical="center"/>
    </xf>
    <xf numFmtId="0" fontId="0" fillId="0" borderId="32" xfId="0" applyFont="1" applyBorder="1" applyAlignment="1">
      <alignment horizontal="center" vertical="center"/>
    </xf>
    <xf numFmtId="0" fontId="0" fillId="0" borderId="33" xfId="0" applyFont="1" applyBorder="1" applyAlignment="1">
      <alignment horizontal="center" vertical="center"/>
    </xf>
    <xf numFmtId="0" fontId="0" fillId="0" borderId="34" xfId="0" applyFont="1" applyBorder="1" applyAlignment="1">
      <alignment horizontal="center" vertical="center"/>
    </xf>
    <xf numFmtId="0" fontId="0" fillId="0" borderId="35" xfId="0" applyFont="1" applyBorder="1" applyAlignment="1">
      <alignment horizontal="center" vertical="center"/>
    </xf>
    <xf numFmtId="165" fontId="0" fillId="0" borderId="36" xfId="2" applyNumberFormat="1" applyFont="1" applyBorder="1" applyAlignment="1" applyProtection="1">
      <alignment horizontal="center" vertical="center"/>
    </xf>
    <xf numFmtId="0" fontId="12" fillId="0" borderId="32" xfId="0" applyFont="1" applyBorder="1" applyAlignment="1">
      <alignment horizontal="center" vertical="center"/>
    </xf>
    <xf numFmtId="0" fontId="12" fillId="0" borderId="33" xfId="0" applyFont="1" applyBorder="1" applyAlignment="1">
      <alignment horizontal="center" vertical="center"/>
    </xf>
    <xf numFmtId="0" fontId="0" fillId="0" borderId="35" xfId="0" applyBorder="1" applyAlignment="1">
      <alignment horizontal="center" vertical="center"/>
    </xf>
    <xf numFmtId="0" fontId="12" fillId="0" borderId="34" xfId="0" applyFont="1" applyBorder="1" applyAlignment="1">
      <alignment horizontal="center" vertical="center"/>
    </xf>
    <xf numFmtId="0" fontId="12" fillId="0" borderId="35" xfId="0" applyFont="1"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165" fontId="0" fillId="0" borderId="40" xfId="2" applyNumberFormat="1" applyFont="1" applyBorder="1" applyAlignment="1" applyProtection="1">
      <alignment horizontal="center" vertical="center"/>
    </xf>
    <xf numFmtId="165" fontId="14" fillId="0" borderId="41" xfId="0" applyNumberFormat="1" applyFont="1" applyBorder="1" applyAlignment="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2" fillId="0" borderId="2" xfId="0" applyFont="1" applyBorder="1"/>
    <xf numFmtId="0" fontId="16" fillId="0" borderId="3" xfId="0" applyFont="1" applyBorder="1"/>
    <xf numFmtId="0" fontId="16" fillId="0" borderId="4" xfId="0" applyFont="1" applyBorder="1"/>
    <xf numFmtId="0" fontId="16" fillId="0" borderId="5" xfId="0" applyFont="1" applyBorder="1"/>
    <xf numFmtId="0" fontId="16" fillId="0" borderId="0" xfId="0" applyFont="1" applyBorder="1"/>
    <xf numFmtId="0" fontId="16" fillId="0" borderId="6" xfId="0" applyFont="1" applyBorder="1"/>
    <xf numFmtId="0" fontId="22" fillId="0" borderId="5" xfId="0" applyFont="1" applyBorder="1" applyAlignment="1">
      <alignment horizontal="left" indent="3"/>
    </xf>
    <xf numFmtId="0" fontId="16" fillId="0" borderId="5" xfId="0" applyFont="1" applyBorder="1" applyAlignment="1">
      <alignment horizontal="left" indent="3"/>
    </xf>
    <xf numFmtId="0" fontId="16" fillId="0" borderId="0" xfId="0" applyFont="1" applyBorder="1" applyAlignment="1">
      <alignment horizontal="center" wrapText="1"/>
    </xf>
    <xf numFmtId="0" fontId="16" fillId="0" borderId="6" xfId="0" applyFont="1" applyBorder="1" applyAlignment="1">
      <alignment horizontal="center" wrapText="1"/>
    </xf>
    <xf numFmtId="0" fontId="16" fillId="0" borderId="7" xfId="0" applyFont="1" applyBorder="1" applyAlignment="1">
      <alignment horizontal="left" indent="3"/>
    </xf>
    <xf numFmtId="0" fontId="16" fillId="0" borderId="8" xfId="0" applyFont="1" applyBorder="1"/>
    <xf numFmtId="0" fontId="16" fillId="0" borderId="9" xfId="0" applyFont="1" applyBorder="1"/>
    <xf numFmtId="0" fontId="6" fillId="4" borderId="11" xfId="0" applyFont="1" applyFill="1" applyBorder="1" applyAlignment="1">
      <alignment horizontal="center" vertical="center"/>
    </xf>
    <xf numFmtId="0" fontId="4" fillId="4" borderId="19" xfId="0" applyFont="1" applyFill="1" applyBorder="1" applyAlignment="1">
      <alignment horizontal="center" vertical="center"/>
    </xf>
    <xf numFmtId="0" fontId="4" fillId="3" borderId="19" xfId="0" applyFont="1" applyFill="1" applyBorder="1" applyAlignment="1">
      <alignment horizontal="center" vertical="center" wrapText="1"/>
    </xf>
    <xf numFmtId="0" fontId="15" fillId="0" borderId="0" xfId="0" applyFont="1"/>
    <xf numFmtId="0" fontId="23" fillId="4" borderId="0" xfId="0" applyFont="1" applyFill="1" applyAlignment="1">
      <alignment horizontal="left" wrapText="1" indent="1"/>
    </xf>
    <xf numFmtId="0" fontId="20" fillId="3" borderId="0" xfId="0" applyFont="1" applyFill="1" applyAlignment="1">
      <alignment horizontal="left" wrapText="1"/>
    </xf>
    <xf numFmtId="0" fontId="20" fillId="0" borderId="45" xfId="0" applyFont="1" applyBorder="1" applyAlignment="1">
      <alignment horizontal="center" vertical="center" wrapText="1"/>
    </xf>
    <xf numFmtId="166" fontId="2" fillId="0" borderId="0" xfId="0" applyNumberFormat="1" applyFont="1" applyBorder="1" applyAlignment="1">
      <alignment vertical="center"/>
    </xf>
    <xf numFmtId="0" fontId="16" fillId="0" borderId="0" xfId="0" applyFont="1" applyAlignment="1">
      <alignment horizontal="left" vertical="center"/>
    </xf>
    <xf numFmtId="0" fontId="16" fillId="3" borderId="21" xfId="4" applyFont="1" applyFill="1" applyBorder="1" applyAlignment="1">
      <alignment horizontal="center" vertical="center"/>
    </xf>
    <xf numFmtId="0" fontId="16" fillId="3" borderId="14" xfId="4" applyFont="1" applyFill="1" applyBorder="1" applyAlignment="1">
      <alignment horizontal="center" vertical="center" wrapText="1"/>
    </xf>
    <xf numFmtId="0" fontId="19" fillId="3" borderId="49" xfId="4" applyFont="1" applyFill="1" applyBorder="1" applyAlignment="1">
      <alignment horizontal="center" vertical="center" wrapText="1"/>
    </xf>
    <xf numFmtId="0" fontId="19" fillId="3" borderId="14" xfId="4" applyFont="1" applyFill="1" applyBorder="1" applyAlignment="1">
      <alignment horizontal="center" vertical="center" wrapText="1"/>
    </xf>
    <xf numFmtId="165" fontId="16" fillId="4" borderId="14" xfId="5" applyNumberFormat="1" applyFont="1" applyFill="1" applyBorder="1" applyAlignment="1" applyProtection="1">
      <alignment horizontal="right" vertical="center" wrapText="1"/>
    </xf>
    <xf numFmtId="169" fontId="21" fillId="0" borderId="0" xfId="0" applyNumberFormat="1" applyFont="1"/>
    <xf numFmtId="166" fontId="16" fillId="0" borderId="0" xfId="0" applyNumberFormat="1" applyFont="1"/>
    <xf numFmtId="0" fontId="16" fillId="3" borderId="14" xfId="0" applyFont="1" applyFill="1" applyBorder="1" applyAlignment="1">
      <alignment horizontal="center" vertical="center" wrapText="1"/>
    </xf>
    <xf numFmtId="0" fontId="16" fillId="3" borderId="14" xfId="0" applyFont="1" applyFill="1" applyBorder="1" applyAlignment="1">
      <alignment horizontal="left" vertical="center" wrapText="1"/>
    </xf>
    <xf numFmtId="0" fontId="16" fillId="3" borderId="49" xfId="0" applyFont="1" applyFill="1" applyBorder="1" applyAlignment="1">
      <alignment horizontal="center" vertical="center" wrapText="1"/>
    </xf>
    <xf numFmtId="0" fontId="19" fillId="3" borderId="14" xfId="0" applyFont="1" applyFill="1" applyBorder="1" applyAlignment="1">
      <alignment horizontal="center" vertical="center" wrapText="1"/>
    </xf>
    <xf numFmtId="165" fontId="21" fillId="4" borderId="14" xfId="5" applyNumberFormat="1" applyFont="1" applyFill="1" applyBorder="1" applyAlignment="1" applyProtection="1">
      <alignment vertical="center" wrapText="1"/>
    </xf>
    <xf numFmtId="166" fontId="19" fillId="3" borderId="22" xfId="0" applyNumberFormat="1" applyFont="1" applyFill="1" applyBorder="1" applyAlignment="1">
      <alignment vertical="center" wrapText="1"/>
    </xf>
    <xf numFmtId="0" fontId="21" fillId="3" borderId="14" xfId="0" applyFont="1" applyFill="1" applyBorder="1" applyAlignment="1">
      <alignment horizontal="center" vertical="center" wrapText="1"/>
    </xf>
    <xf numFmtId="0" fontId="16" fillId="3" borderId="14" xfId="4" applyFont="1" applyFill="1" applyBorder="1" applyAlignment="1">
      <alignment horizontal="left" vertical="center" wrapText="1"/>
    </xf>
    <xf numFmtId="0" fontId="16" fillId="3" borderId="49" xfId="4" applyFont="1" applyFill="1" applyBorder="1" applyAlignment="1">
      <alignment horizontal="center" vertical="center" wrapText="1"/>
    </xf>
    <xf numFmtId="0" fontId="22" fillId="0" borderId="5" xfId="0" applyFont="1" applyBorder="1" applyAlignment="1">
      <alignment horizontal="left" vertical="center"/>
    </xf>
    <xf numFmtId="0" fontId="16" fillId="0" borderId="14" xfId="4" applyFont="1" applyBorder="1" applyAlignment="1">
      <alignment vertical="center"/>
    </xf>
    <xf numFmtId="0" fontId="16" fillId="4" borderId="0" xfId="0" applyFont="1" applyFill="1" applyBorder="1" applyAlignment="1">
      <alignment horizontal="left" wrapText="1"/>
    </xf>
    <xf numFmtId="0" fontId="0" fillId="0" borderId="0" xfId="0" applyAlignment="1"/>
    <xf numFmtId="0" fontId="0" fillId="0" borderId="6" xfId="0" applyBorder="1" applyAlignment="1"/>
    <xf numFmtId="0" fontId="16" fillId="4" borderId="0" xfId="0" applyFont="1" applyFill="1" applyBorder="1" applyAlignment="1">
      <alignment horizontal="left" vertical="center" wrapText="1"/>
    </xf>
    <xf numFmtId="0" fontId="16" fillId="4" borderId="6" xfId="0" applyFont="1" applyFill="1" applyBorder="1" applyAlignment="1">
      <alignment horizontal="left" vertical="center" wrapText="1"/>
    </xf>
    <xf numFmtId="0" fontId="16" fillId="4" borderId="6" xfId="0" applyFont="1" applyFill="1" applyBorder="1" applyAlignment="1">
      <alignment horizontal="left" wrapText="1"/>
    </xf>
    <xf numFmtId="0" fontId="16" fillId="4" borderId="0" xfId="0" applyFont="1" applyFill="1" applyBorder="1" applyAlignment="1">
      <alignment horizontal="left"/>
    </xf>
    <xf numFmtId="0" fontId="16" fillId="4" borderId="6" xfId="0" applyFont="1" applyFill="1" applyBorder="1" applyAlignment="1">
      <alignment horizontal="left"/>
    </xf>
    <xf numFmtId="0" fontId="0" fillId="0" borderId="0" xfId="0"/>
    <xf numFmtId="0" fontId="0" fillId="0" borderId="6" xfId="0" applyBorder="1"/>
    <xf numFmtId="0" fontId="18" fillId="0" borderId="0" xfId="0" applyFont="1" applyBorder="1" applyAlignment="1">
      <alignment horizontal="left" vertical="center" wrapText="1"/>
    </xf>
    <xf numFmtId="0" fontId="17" fillId="0" borderId="0" xfId="0" applyFont="1" applyBorder="1" applyAlignment="1">
      <alignment horizontal="center"/>
    </xf>
    <xf numFmtId="0" fontId="23" fillId="4" borderId="0" xfId="0" applyFont="1" applyFill="1" applyBorder="1" applyAlignment="1">
      <alignment horizontal="left" wrapText="1" indent="1"/>
    </xf>
    <xf numFmtId="0" fontId="0" fillId="0" borderId="0" xfId="0" applyAlignment="1">
      <alignment vertical="center"/>
    </xf>
    <xf numFmtId="0" fontId="0" fillId="0" borderId="6" xfId="0" applyBorder="1" applyAlignment="1">
      <alignment vertical="center"/>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3"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7" fillId="0" borderId="16" xfId="0" applyFont="1" applyBorder="1" applyAlignment="1">
      <alignment horizontal="left" vertical="center"/>
    </xf>
    <xf numFmtId="0" fontId="1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4" xfId="0" applyFont="1" applyBorder="1" applyAlignment="1">
      <alignment horizontal="left" vertical="center" wrapText="1" indent="1"/>
    </xf>
    <xf numFmtId="166" fontId="7" fillId="0" borderId="14" xfId="0" applyNumberFormat="1" applyFont="1" applyBorder="1" applyAlignment="1">
      <alignment horizontal="center" vertical="center"/>
    </xf>
    <xf numFmtId="0" fontId="4" fillId="0" borderId="50" xfId="0" applyFont="1" applyBorder="1" applyAlignment="1">
      <alignment horizontal="left" vertical="center" wrapText="1"/>
    </xf>
    <xf numFmtId="0" fontId="4" fillId="0" borderId="51" xfId="0" applyFont="1" applyBorder="1" applyAlignment="1">
      <alignment horizontal="left" vertical="center" wrapText="1"/>
    </xf>
    <xf numFmtId="0" fontId="4" fillId="0" borderId="52" xfId="0" applyFont="1" applyBorder="1" applyAlignment="1">
      <alignment horizontal="left" vertical="center" wrapText="1"/>
    </xf>
    <xf numFmtId="0" fontId="4" fillId="0" borderId="55" xfId="0" applyFont="1" applyBorder="1" applyAlignment="1">
      <alignment horizontal="left" vertical="center" wrapText="1"/>
    </xf>
    <xf numFmtId="0" fontId="4" fillId="0" borderId="56" xfId="0" applyFont="1" applyBorder="1" applyAlignment="1">
      <alignment horizontal="left" vertical="center" wrapText="1"/>
    </xf>
    <xf numFmtId="0" fontId="4" fillId="0" borderId="57" xfId="0" applyFont="1" applyBorder="1" applyAlignment="1">
      <alignment horizontal="left" vertical="center" wrapText="1"/>
    </xf>
    <xf numFmtId="0" fontId="4" fillId="0" borderId="46" xfId="0" applyFont="1" applyBorder="1" applyAlignment="1">
      <alignment horizontal="left" vertical="center" wrapText="1"/>
    </xf>
    <xf numFmtId="0" fontId="4" fillId="0" borderId="47" xfId="0" applyFont="1" applyBorder="1" applyAlignment="1">
      <alignment horizontal="left" vertical="center" wrapText="1"/>
    </xf>
    <xf numFmtId="0" fontId="4" fillId="0" borderId="48" xfId="0" applyFont="1" applyBorder="1" applyAlignment="1">
      <alignment horizontal="left" vertical="center" wrapText="1"/>
    </xf>
    <xf numFmtId="0" fontId="0" fillId="0" borderId="21" xfId="0" applyFont="1" applyBorder="1" applyAlignment="1">
      <alignment horizontal="center"/>
    </xf>
    <xf numFmtId="3" fontId="10" fillId="0" borderId="22" xfId="0" applyNumberFormat="1" applyFont="1" applyBorder="1" applyAlignment="1">
      <alignment horizontal="center"/>
    </xf>
    <xf numFmtId="0" fontId="11" fillId="0" borderId="11" xfId="0" applyFont="1" applyBorder="1" applyAlignment="1">
      <alignment horizontal="center" vertical="center" wrapText="1"/>
    </xf>
    <xf numFmtId="0" fontId="2" fillId="0" borderId="11" xfId="0" applyFont="1" applyBorder="1"/>
    <xf numFmtId="0" fontId="12" fillId="0" borderId="11" xfId="0" applyFont="1" applyBorder="1" applyAlignment="1">
      <alignment horizontal="left" indent="1"/>
    </xf>
    <xf numFmtId="0" fontId="4" fillId="0" borderId="13" xfId="0" applyFont="1" applyBorder="1" applyAlignment="1">
      <alignment horizontal="left" vertical="center" wrapText="1"/>
    </xf>
    <xf numFmtId="0" fontId="4" fillId="0" borderId="43" xfId="0" applyFont="1" applyBorder="1" applyAlignment="1">
      <alignment horizontal="left" vertical="center" wrapText="1"/>
    </xf>
    <xf numFmtId="0" fontId="4" fillId="0" borderId="44" xfId="0" applyFont="1" applyBorder="1" applyAlignment="1">
      <alignment horizontal="left" vertical="center" wrapText="1"/>
    </xf>
    <xf numFmtId="0" fontId="13" fillId="0" borderId="11" xfId="0" applyFont="1" applyBorder="1" applyAlignment="1">
      <alignment horizontal="left"/>
    </xf>
    <xf numFmtId="0" fontId="12" fillId="0" borderId="24" xfId="0" applyFont="1" applyBorder="1"/>
    <xf numFmtId="0" fontId="12" fillId="0" borderId="25" xfId="0" applyFont="1" applyBorder="1" applyAlignment="1">
      <alignment horizontal="left" vertical="center" wrapText="1" indent="1"/>
    </xf>
    <xf numFmtId="0" fontId="14" fillId="0" borderId="23" xfId="0" applyFont="1" applyBorder="1" applyAlignment="1">
      <alignment horizontal="center" vertical="center"/>
    </xf>
    <xf numFmtId="0" fontId="14" fillId="0" borderId="11" xfId="0" applyFont="1" applyBorder="1" applyAlignment="1">
      <alignment horizontal="center" vertical="center"/>
    </xf>
    <xf numFmtId="0" fontId="14" fillId="0" borderId="23" xfId="0" applyFont="1" applyBorder="1" applyAlignment="1">
      <alignment horizontal="center" vertical="center" wrapText="1"/>
    </xf>
    <xf numFmtId="0" fontId="14" fillId="0" borderId="28" xfId="0" applyFont="1" applyBorder="1" applyAlignment="1">
      <alignment horizontal="center" vertical="center"/>
    </xf>
    <xf numFmtId="0" fontId="15" fillId="0" borderId="35" xfId="0" applyFont="1" applyBorder="1" applyAlignment="1">
      <alignment horizontal="left" vertical="center"/>
    </xf>
    <xf numFmtId="0" fontId="0" fillId="0" borderId="35" xfId="0" applyFont="1" applyBorder="1" applyAlignment="1">
      <alignment horizontal="left" vertical="center"/>
    </xf>
    <xf numFmtId="0" fontId="24" fillId="0" borderId="53" xfId="0" applyFont="1" applyBorder="1" applyAlignment="1">
      <alignment horizontal="left" vertical="center" wrapText="1"/>
    </xf>
    <xf numFmtId="0" fontId="24" fillId="0" borderId="54" xfId="0" applyFont="1" applyBorder="1" applyAlignment="1">
      <alignment horizontal="left" vertical="center" wrapText="1"/>
    </xf>
    <xf numFmtId="0" fontId="10" fillId="0" borderId="21" xfId="0" applyFont="1" applyBorder="1" applyAlignment="1">
      <alignment vertical="center" wrapText="1"/>
    </xf>
    <xf numFmtId="0" fontId="10" fillId="0" borderId="42" xfId="0" applyFont="1" applyBorder="1" applyAlignment="1">
      <alignment vertical="center" wrapText="1"/>
    </xf>
    <xf numFmtId="0" fontId="10" fillId="0" borderId="17" xfId="0" applyFont="1" applyBorder="1" applyAlignment="1">
      <alignment vertical="center" wrapText="1"/>
    </xf>
    <xf numFmtId="0" fontId="12" fillId="0" borderId="28" xfId="0" applyFont="1" applyBorder="1" applyAlignment="1">
      <alignment vertical="center" wrapText="1"/>
    </xf>
    <xf numFmtId="0" fontId="2" fillId="4" borderId="41" xfId="0" applyFont="1" applyFill="1" applyBorder="1" applyAlignment="1">
      <alignment horizontal="left" vertical="center" wrapText="1" indent="1"/>
    </xf>
    <xf numFmtId="0" fontId="0" fillId="0" borderId="35" xfId="0" applyBorder="1" applyAlignment="1">
      <alignment horizontal="left" vertical="center"/>
    </xf>
    <xf numFmtId="0" fontId="0" fillId="0" borderId="38" xfId="0" applyBorder="1" applyAlignment="1">
      <alignment horizontal="left" vertical="center"/>
    </xf>
    <xf numFmtId="0" fontId="10" fillId="0" borderId="41" xfId="0" applyFont="1" applyBorder="1" applyAlignment="1">
      <alignment horizontal="left" vertical="center" wrapText="1"/>
    </xf>
    <xf numFmtId="0" fontId="0" fillId="0" borderId="23" xfId="0" applyBorder="1"/>
  </cellXfs>
  <cellStyles count="6">
    <cellStyle name="Encabezado 1" xfId="1" xr:uid="{00000000-0005-0000-0000-000000000000}"/>
    <cellStyle name="Moneda 2" xfId="5" xr:uid="{00000000-0005-0000-0000-000001000000}"/>
    <cellStyle name="Moneda_AUTORIZACION Y NOTA DE PEDIDO" xfId="2" xr:uid="{00000000-0005-0000-0000-000002000000}"/>
    <cellStyle name="Neutral 1" xfId="3" xr:uid="{00000000-0005-0000-0000-000003000000}"/>
    <cellStyle name="Normal" xfId="0" builtinId="0"/>
    <cellStyle name="Normal 2" xfId="4"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135"/>
  <sheetViews>
    <sheetView tabSelected="1" zoomScale="130" zoomScaleNormal="130" workbookViewId="0">
      <selection activeCell="C5" sqref="C5:E5"/>
    </sheetView>
  </sheetViews>
  <sheetFormatPr baseColWidth="10" defaultColWidth="11" defaultRowHeight="12.75" x14ac:dyDescent="0.2"/>
  <cols>
    <col min="1" max="1" width="4.5703125" style="38" customWidth="1"/>
    <col min="2" max="2" width="12.5703125" style="38" customWidth="1"/>
    <col min="3" max="3" width="19.7109375" style="38" customWidth="1"/>
    <col min="4" max="4" width="7.140625" style="38" customWidth="1"/>
    <col min="5" max="5" width="59.42578125" style="38" customWidth="1"/>
    <col min="6" max="6" width="11" style="38"/>
    <col min="7" max="7" width="10.85546875" style="38" customWidth="1"/>
    <col min="8" max="8" width="12.7109375" style="38" customWidth="1"/>
    <col min="9" max="9" width="13.42578125" style="38" customWidth="1"/>
    <col min="10" max="10" width="11" style="38"/>
    <col min="11" max="11" width="11.28515625" style="38" bestFit="1" customWidth="1"/>
    <col min="12" max="12" width="12.7109375" style="38" bestFit="1" customWidth="1"/>
    <col min="13" max="16384" width="11" style="38"/>
  </cols>
  <sheetData>
    <row r="2" spans="1:11" ht="27" x14ac:dyDescent="0.35">
      <c r="B2" s="92" t="s">
        <v>0</v>
      </c>
      <c r="C2" s="92"/>
      <c r="D2" s="92"/>
      <c r="E2" s="92"/>
      <c r="F2" s="92"/>
      <c r="G2" s="92"/>
      <c r="H2" s="92"/>
    </row>
    <row r="3" spans="1:11" ht="8.25" customHeight="1" x14ac:dyDescent="0.2"/>
    <row r="4" spans="1:11" ht="27.75" customHeight="1" x14ac:dyDescent="0.25">
      <c r="A4" s="91" t="s">
        <v>1</v>
      </c>
      <c r="B4" s="91"/>
      <c r="C4" s="93" t="s">
        <v>58</v>
      </c>
      <c r="D4" s="93"/>
      <c r="E4" s="93"/>
      <c r="F4" s="39"/>
      <c r="G4" s="40"/>
      <c r="H4" s="39"/>
    </row>
    <row r="5" spans="1:11" ht="18" customHeight="1" x14ac:dyDescent="0.25">
      <c r="A5" s="91" t="s">
        <v>2</v>
      </c>
      <c r="B5" s="91"/>
      <c r="C5" s="93" t="s">
        <v>59</v>
      </c>
      <c r="D5" s="93"/>
      <c r="E5" s="93"/>
      <c r="F5" s="39"/>
      <c r="G5" s="40"/>
      <c r="H5" s="39"/>
    </row>
    <row r="6" spans="1:11" ht="16.5" customHeight="1" x14ac:dyDescent="0.25">
      <c r="A6" s="91" t="s">
        <v>3</v>
      </c>
      <c r="B6" s="91"/>
      <c r="C6" s="58">
        <v>2021</v>
      </c>
      <c r="D6" s="59"/>
      <c r="E6" s="59"/>
      <c r="F6" s="39"/>
      <c r="G6" s="40"/>
      <c r="H6" s="39"/>
    </row>
    <row r="7" spans="1:11" ht="16.5" customHeight="1" x14ac:dyDescent="0.25">
      <c r="A7" s="91" t="s">
        <v>4</v>
      </c>
      <c r="B7" s="91"/>
      <c r="C7" s="58">
        <v>2</v>
      </c>
      <c r="D7" s="59"/>
      <c r="E7" s="59"/>
      <c r="F7" s="39"/>
      <c r="G7" s="40"/>
      <c r="H7" s="39"/>
    </row>
    <row r="8" spans="1:11" x14ac:dyDescent="0.2">
      <c r="B8" s="39"/>
      <c r="C8" s="40"/>
      <c r="D8" s="39"/>
      <c r="E8" s="39"/>
      <c r="F8" s="39"/>
      <c r="G8" s="40"/>
      <c r="H8" s="39"/>
    </row>
    <row r="9" spans="1:11" ht="39.75" thickTop="1" thickBot="1" x14ac:dyDescent="0.25">
      <c r="A9" s="60" t="s">
        <v>5</v>
      </c>
      <c r="B9" s="60" t="s">
        <v>6</v>
      </c>
      <c r="C9" s="60" t="s">
        <v>7</v>
      </c>
      <c r="D9" s="60" t="s">
        <v>8</v>
      </c>
      <c r="E9" s="60" t="s">
        <v>9</v>
      </c>
      <c r="F9" s="60" t="s">
        <v>10</v>
      </c>
      <c r="G9" s="60" t="s">
        <v>11</v>
      </c>
      <c r="H9" s="60" t="s">
        <v>12</v>
      </c>
      <c r="I9" s="60" t="s">
        <v>13</v>
      </c>
    </row>
    <row r="10" spans="1:11" ht="51" customHeight="1" thickBot="1" x14ac:dyDescent="0.25">
      <c r="A10" s="63">
        <v>1</v>
      </c>
      <c r="B10" s="76" t="s">
        <v>70</v>
      </c>
      <c r="C10" s="71" t="s">
        <v>71</v>
      </c>
      <c r="D10" s="65" t="str">
        <f t="shared" ref="D10" si="0">LEFT(B10,5)</f>
        <v>4.3.6</v>
      </c>
      <c r="E10" s="71" t="s">
        <v>72</v>
      </c>
      <c r="F10" s="72" t="s">
        <v>14</v>
      </c>
      <c r="G10" s="73">
        <v>20</v>
      </c>
      <c r="H10" s="74">
        <v>95000</v>
      </c>
      <c r="I10" s="75">
        <f>G10*H10</f>
        <v>1900000</v>
      </c>
      <c r="K10" s="69"/>
    </row>
    <row r="11" spans="1:11" ht="51" customHeight="1" thickBot="1" x14ac:dyDescent="0.25">
      <c r="A11" s="63">
        <v>2</v>
      </c>
      <c r="B11" s="70" t="s">
        <v>101</v>
      </c>
      <c r="C11" s="71" t="s">
        <v>71</v>
      </c>
      <c r="D11" s="65" t="str">
        <f t="shared" ref="D11" si="1">LEFT(B11,5)</f>
        <v>4.3.6</v>
      </c>
      <c r="E11" s="71" t="s">
        <v>74</v>
      </c>
      <c r="F11" s="72" t="s">
        <v>14</v>
      </c>
      <c r="G11" s="73">
        <v>10</v>
      </c>
      <c r="H11" s="74">
        <v>28000</v>
      </c>
      <c r="I11" s="75">
        <f t="shared" ref="I11:I16" si="2">G11*H11</f>
        <v>280000</v>
      </c>
      <c r="K11" s="69"/>
    </row>
    <row r="12" spans="1:11" ht="51" customHeight="1" thickBot="1" x14ac:dyDescent="0.25">
      <c r="A12" s="63">
        <v>3</v>
      </c>
      <c r="B12" s="64" t="s">
        <v>77</v>
      </c>
      <c r="C12" s="77" t="s">
        <v>78</v>
      </c>
      <c r="D12" s="65" t="str">
        <f t="shared" ref="D12:D16" si="3">LEFT(B12,5)</f>
        <v>4.3.6</v>
      </c>
      <c r="E12" s="77" t="s">
        <v>73</v>
      </c>
      <c r="F12" s="78" t="s">
        <v>14</v>
      </c>
      <c r="G12" s="66">
        <v>2</v>
      </c>
      <c r="H12" s="67">
        <v>130000</v>
      </c>
      <c r="I12" s="75">
        <f t="shared" si="2"/>
        <v>260000</v>
      </c>
      <c r="K12" s="69"/>
    </row>
    <row r="13" spans="1:11" ht="51" customHeight="1" thickBot="1" x14ac:dyDescent="0.25">
      <c r="A13" s="63">
        <v>4</v>
      </c>
      <c r="B13" s="64" t="s">
        <v>65</v>
      </c>
      <c r="C13" s="77" t="s">
        <v>89</v>
      </c>
      <c r="D13" s="65" t="str">
        <f t="shared" si="3"/>
        <v>4.3.6</v>
      </c>
      <c r="E13" s="77" t="s">
        <v>81</v>
      </c>
      <c r="F13" s="78" t="s">
        <v>14</v>
      </c>
      <c r="G13" s="66">
        <v>5</v>
      </c>
      <c r="H13" s="67">
        <v>65000</v>
      </c>
      <c r="I13" s="75">
        <f t="shared" si="2"/>
        <v>325000</v>
      </c>
      <c r="K13" s="69"/>
    </row>
    <row r="14" spans="1:11" ht="51" customHeight="1" thickBot="1" x14ac:dyDescent="0.25">
      <c r="A14" s="63">
        <v>5</v>
      </c>
      <c r="B14" s="64" t="s">
        <v>82</v>
      </c>
      <c r="C14" s="77" t="s">
        <v>89</v>
      </c>
      <c r="D14" s="65" t="str">
        <f t="shared" si="3"/>
        <v>4.3.6</v>
      </c>
      <c r="E14" s="77" t="s">
        <v>83</v>
      </c>
      <c r="F14" s="78" t="s">
        <v>14</v>
      </c>
      <c r="G14" s="66">
        <v>10</v>
      </c>
      <c r="H14" s="67">
        <v>42200</v>
      </c>
      <c r="I14" s="75">
        <f t="shared" si="2"/>
        <v>422000</v>
      </c>
      <c r="K14" s="69"/>
    </row>
    <row r="15" spans="1:11" ht="51" customHeight="1" thickBot="1" x14ac:dyDescent="0.25">
      <c r="A15" s="63">
        <v>6</v>
      </c>
      <c r="B15" s="64" t="s">
        <v>84</v>
      </c>
      <c r="C15" s="80" t="s">
        <v>89</v>
      </c>
      <c r="D15" s="65" t="str">
        <f t="shared" si="3"/>
        <v>4.3.6</v>
      </c>
      <c r="E15" s="77" t="s">
        <v>85</v>
      </c>
      <c r="F15" s="78" t="s">
        <v>14</v>
      </c>
      <c r="G15" s="66">
        <v>20</v>
      </c>
      <c r="H15" s="67">
        <v>5900</v>
      </c>
      <c r="I15" s="75">
        <f t="shared" si="2"/>
        <v>118000</v>
      </c>
      <c r="K15" s="69"/>
    </row>
    <row r="16" spans="1:11" ht="49.5" customHeight="1" thickBot="1" x14ac:dyDescent="0.25">
      <c r="A16" s="63">
        <v>7</v>
      </c>
      <c r="B16" s="64" t="s">
        <v>86</v>
      </c>
      <c r="C16" s="80" t="s">
        <v>89</v>
      </c>
      <c r="D16" s="65" t="str">
        <f t="shared" si="3"/>
        <v>4.3.5</v>
      </c>
      <c r="E16" s="77" t="s">
        <v>87</v>
      </c>
      <c r="F16" s="78" t="s">
        <v>14</v>
      </c>
      <c r="G16" s="66">
        <v>3</v>
      </c>
      <c r="H16" s="67">
        <v>8500</v>
      </c>
      <c r="I16" s="75">
        <f t="shared" si="2"/>
        <v>25500</v>
      </c>
      <c r="K16" s="69"/>
    </row>
    <row r="17" spans="2:12" ht="13.5" thickBot="1" x14ac:dyDescent="0.25">
      <c r="I17" s="68"/>
    </row>
    <row r="18" spans="2:12" x14ac:dyDescent="0.2">
      <c r="B18" s="41" t="s">
        <v>15</v>
      </c>
      <c r="C18" s="42"/>
      <c r="D18" s="42"/>
      <c r="E18" s="43"/>
      <c r="L18" s="69"/>
    </row>
    <row r="19" spans="2:12" ht="7.5" customHeight="1" x14ac:dyDescent="0.2">
      <c r="B19" s="44"/>
      <c r="C19" s="45"/>
      <c r="D19" s="45"/>
      <c r="E19" s="46"/>
    </row>
    <row r="20" spans="2:12" x14ac:dyDescent="0.2">
      <c r="B20" s="47" t="s">
        <v>16</v>
      </c>
      <c r="C20" s="45"/>
      <c r="D20" s="45"/>
      <c r="E20" s="46"/>
    </row>
    <row r="21" spans="2:12" ht="39" customHeight="1" x14ac:dyDescent="0.2">
      <c r="B21" s="47"/>
      <c r="C21" s="84" t="s">
        <v>75</v>
      </c>
      <c r="D21" s="94"/>
      <c r="E21" s="95"/>
    </row>
    <row r="22" spans="2:12" x14ac:dyDescent="0.2">
      <c r="B22" s="47" t="s">
        <v>17</v>
      </c>
      <c r="C22" s="45"/>
      <c r="D22" s="45"/>
      <c r="E22" s="46"/>
    </row>
    <row r="23" spans="2:12" x14ac:dyDescent="0.2">
      <c r="B23" s="48"/>
      <c r="C23" s="84" t="s">
        <v>62</v>
      </c>
      <c r="D23" s="84"/>
      <c r="E23" s="85"/>
    </row>
    <row r="24" spans="2:12" ht="64.5" customHeight="1" x14ac:dyDescent="0.2">
      <c r="B24" s="48"/>
      <c r="C24" s="84"/>
      <c r="D24" s="84"/>
      <c r="E24" s="85"/>
    </row>
    <row r="25" spans="2:12" x14ac:dyDescent="0.2">
      <c r="B25" s="47" t="s">
        <v>18</v>
      </c>
      <c r="C25" s="45"/>
      <c r="D25" s="45"/>
      <c r="E25" s="46"/>
    </row>
    <row r="26" spans="2:12" ht="6" customHeight="1" x14ac:dyDescent="0.2">
      <c r="B26" s="48"/>
      <c r="C26" s="81"/>
      <c r="D26" s="81"/>
      <c r="E26" s="86"/>
    </row>
    <row r="27" spans="2:12" x14ac:dyDescent="0.2">
      <c r="B27" s="47" t="s">
        <v>63</v>
      </c>
      <c r="C27" s="49"/>
      <c r="D27" s="49"/>
      <c r="E27" s="50"/>
    </row>
    <row r="28" spans="2:12" ht="7.5" customHeight="1" x14ac:dyDescent="0.2">
      <c r="B28" s="48"/>
      <c r="C28" s="81"/>
      <c r="D28" s="81"/>
      <c r="E28" s="86"/>
    </row>
    <row r="29" spans="2:12" x14ac:dyDescent="0.2">
      <c r="B29" s="47" t="s">
        <v>68</v>
      </c>
      <c r="C29" s="45"/>
      <c r="D29" s="45"/>
      <c r="E29" s="46"/>
    </row>
    <row r="30" spans="2:12" ht="15" customHeight="1" x14ac:dyDescent="0.2">
      <c r="B30" s="47"/>
      <c r="C30" s="81"/>
      <c r="D30" s="87"/>
      <c r="E30" s="88"/>
    </row>
    <row r="31" spans="2:12" ht="13.5" thickBot="1" x14ac:dyDescent="0.25">
      <c r="B31" s="51"/>
      <c r="C31" s="52"/>
      <c r="D31" s="52"/>
      <c r="E31" s="53"/>
    </row>
    <row r="32" spans="2:12" ht="13.5" thickBot="1" x14ac:dyDescent="0.25"/>
    <row r="33" spans="2:5" x14ac:dyDescent="0.2">
      <c r="B33" s="41" t="s">
        <v>19</v>
      </c>
      <c r="C33" s="42"/>
      <c r="D33" s="42"/>
      <c r="E33" s="43"/>
    </row>
    <row r="34" spans="2:5" ht="6.75" customHeight="1" x14ac:dyDescent="0.2">
      <c r="B34" s="44"/>
      <c r="C34" s="45"/>
      <c r="D34" s="45"/>
      <c r="E34" s="46"/>
    </row>
    <row r="35" spans="2:5" x14ac:dyDescent="0.2">
      <c r="B35" s="47" t="s">
        <v>16</v>
      </c>
      <c r="C35" s="45"/>
      <c r="D35" s="45"/>
      <c r="E35" s="46"/>
    </row>
    <row r="36" spans="2:5" ht="48.75" customHeight="1" x14ac:dyDescent="0.2">
      <c r="B36" s="47"/>
      <c r="C36" s="84" t="s">
        <v>76</v>
      </c>
      <c r="D36" s="84"/>
      <c r="E36" s="85"/>
    </row>
    <row r="37" spans="2:5" x14ac:dyDescent="0.2">
      <c r="B37" s="47" t="s">
        <v>17</v>
      </c>
      <c r="C37" s="45"/>
      <c r="D37" s="45"/>
      <c r="E37" s="46"/>
    </row>
    <row r="38" spans="2:5" ht="24" customHeight="1" x14ac:dyDescent="0.2">
      <c r="B38" s="48"/>
      <c r="C38" s="84" t="s">
        <v>62</v>
      </c>
      <c r="D38" s="84"/>
      <c r="E38" s="85"/>
    </row>
    <row r="39" spans="2:5" ht="48.75" customHeight="1" x14ac:dyDescent="0.2">
      <c r="B39" s="48"/>
      <c r="C39" s="84"/>
      <c r="D39" s="84"/>
      <c r="E39" s="85"/>
    </row>
    <row r="40" spans="2:5" x14ac:dyDescent="0.2">
      <c r="B40" s="47" t="s">
        <v>18</v>
      </c>
      <c r="C40" s="45"/>
      <c r="D40" s="45"/>
      <c r="E40" s="46"/>
    </row>
    <row r="41" spans="2:5" ht="4.5" customHeight="1" x14ac:dyDescent="0.2">
      <c r="B41" s="48"/>
      <c r="C41" s="81"/>
      <c r="D41" s="81"/>
      <c r="E41" s="86"/>
    </row>
    <row r="42" spans="2:5" x14ac:dyDescent="0.2">
      <c r="B42" s="47" t="s">
        <v>64</v>
      </c>
      <c r="C42" s="49"/>
      <c r="D42" s="49"/>
      <c r="E42" s="50"/>
    </row>
    <row r="43" spans="2:5" ht="7.5" customHeight="1" x14ac:dyDescent="0.2">
      <c r="B43" s="48"/>
      <c r="C43" s="81"/>
      <c r="D43" s="81"/>
      <c r="E43" s="86"/>
    </row>
    <row r="44" spans="2:5" x14ac:dyDescent="0.2">
      <c r="B44" s="47" t="s">
        <v>69</v>
      </c>
      <c r="C44" s="45"/>
      <c r="D44" s="45"/>
      <c r="E44" s="46"/>
    </row>
    <row r="45" spans="2:5" x14ac:dyDescent="0.2">
      <c r="B45" s="47"/>
      <c r="C45" s="81"/>
      <c r="D45" s="87"/>
      <c r="E45" s="88"/>
    </row>
    <row r="46" spans="2:5" ht="2.25" customHeight="1" thickBot="1" x14ac:dyDescent="0.25">
      <c r="B46" s="51"/>
      <c r="C46" s="52"/>
      <c r="D46" s="52"/>
      <c r="E46" s="53"/>
    </row>
    <row r="48" spans="2:5" ht="13.5" thickBot="1" x14ac:dyDescent="0.25"/>
    <row r="49" spans="2:5" x14ac:dyDescent="0.2">
      <c r="B49" s="41" t="s">
        <v>80</v>
      </c>
      <c r="C49" s="42"/>
      <c r="D49" s="42"/>
      <c r="E49" s="43"/>
    </row>
    <row r="50" spans="2:5" x14ac:dyDescent="0.2">
      <c r="B50" s="44"/>
      <c r="C50" s="45"/>
      <c r="D50" s="45"/>
      <c r="E50" s="46"/>
    </row>
    <row r="51" spans="2:5" x14ac:dyDescent="0.2">
      <c r="B51" s="47" t="s">
        <v>16</v>
      </c>
      <c r="C51" s="45"/>
      <c r="D51" s="45"/>
      <c r="E51" s="46"/>
    </row>
    <row r="52" spans="2:5" s="62" customFormat="1" ht="84.75" customHeight="1" x14ac:dyDescent="0.2">
      <c r="B52" s="79"/>
      <c r="C52" s="84" t="s">
        <v>79</v>
      </c>
      <c r="D52" s="84"/>
      <c r="E52" s="85"/>
    </row>
    <row r="53" spans="2:5" x14ac:dyDescent="0.2">
      <c r="B53" s="47" t="s">
        <v>17</v>
      </c>
      <c r="C53" s="45"/>
      <c r="D53" s="45"/>
      <c r="E53" s="46"/>
    </row>
    <row r="54" spans="2:5" ht="12.75" customHeight="1" x14ac:dyDescent="0.2">
      <c r="B54" s="48"/>
      <c r="C54" s="84" t="s">
        <v>62</v>
      </c>
      <c r="D54" s="84"/>
      <c r="E54" s="85"/>
    </row>
    <row r="55" spans="2:5" ht="55.5" customHeight="1" x14ac:dyDescent="0.2">
      <c r="B55" s="48"/>
      <c r="C55" s="84"/>
      <c r="D55" s="84"/>
      <c r="E55" s="85"/>
    </row>
    <row r="56" spans="2:5" x14ac:dyDescent="0.2">
      <c r="B56" s="47" t="s">
        <v>18</v>
      </c>
      <c r="C56" s="45"/>
      <c r="D56" s="45"/>
      <c r="E56" s="46"/>
    </row>
    <row r="57" spans="2:5" x14ac:dyDescent="0.2">
      <c r="B57" s="48"/>
      <c r="C57" s="81"/>
      <c r="D57" s="81"/>
      <c r="E57" s="86"/>
    </row>
    <row r="58" spans="2:5" x14ac:dyDescent="0.2">
      <c r="B58" s="47" t="s">
        <v>63</v>
      </c>
      <c r="C58" s="49"/>
      <c r="D58" s="49"/>
      <c r="E58" s="50"/>
    </row>
    <row r="59" spans="2:5" x14ac:dyDescent="0.2">
      <c r="B59" s="48"/>
      <c r="C59" s="81"/>
      <c r="D59" s="81"/>
      <c r="E59" s="86"/>
    </row>
    <row r="60" spans="2:5" x14ac:dyDescent="0.2">
      <c r="B60" s="47" t="s">
        <v>68</v>
      </c>
      <c r="C60" s="45"/>
      <c r="D60" s="45"/>
      <c r="E60" s="46"/>
    </row>
    <row r="61" spans="2:5" x14ac:dyDescent="0.2">
      <c r="B61" s="47"/>
      <c r="C61" s="81"/>
      <c r="D61" s="87"/>
      <c r="E61" s="88"/>
    </row>
    <row r="62" spans="2:5" ht="13.5" thickBot="1" x14ac:dyDescent="0.25">
      <c r="B62" s="51"/>
      <c r="C62" s="52"/>
      <c r="D62" s="52"/>
      <c r="E62" s="53"/>
    </row>
    <row r="63" spans="2:5" ht="20.25" customHeight="1" thickBot="1" x14ac:dyDescent="0.25"/>
    <row r="64" spans="2:5" x14ac:dyDescent="0.2">
      <c r="B64" s="41" t="s">
        <v>93</v>
      </c>
      <c r="C64" s="42"/>
      <c r="D64" s="42"/>
      <c r="E64" s="43"/>
    </row>
    <row r="65" spans="2:5" x14ac:dyDescent="0.2">
      <c r="B65" s="44"/>
      <c r="C65" s="45"/>
      <c r="D65" s="45"/>
      <c r="E65" s="46"/>
    </row>
    <row r="66" spans="2:5" ht="13.5" customHeight="1" x14ac:dyDescent="0.2">
      <c r="B66" s="47" t="s">
        <v>16</v>
      </c>
      <c r="C66" s="45"/>
      <c r="D66" s="45"/>
      <c r="E66" s="46"/>
    </row>
    <row r="67" spans="2:5" ht="86.25" customHeight="1" x14ac:dyDescent="0.2">
      <c r="B67" s="79"/>
      <c r="C67" s="84" t="s">
        <v>91</v>
      </c>
      <c r="D67" s="89"/>
      <c r="E67" s="90"/>
    </row>
    <row r="68" spans="2:5" ht="18" customHeight="1" x14ac:dyDescent="0.2">
      <c r="B68" s="47" t="s">
        <v>17</v>
      </c>
      <c r="C68" s="45"/>
      <c r="D68" s="45"/>
      <c r="E68" s="46"/>
    </row>
    <row r="69" spans="2:5" ht="12.75" customHeight="1" x14ac:dyDescent="0.2">
      <c r="B69" s="48"/>
      <c r="C69" s="84" t="s">
        <v>62</v>
      </c>
      <c r="D69" s="84"/>
      <c r="E69" s="85"/>
    </row>
    <row r="70" spans="2:5" ht="59.25" customHeight="1" x14ac:dyDescent="0.2">
      <c r="B70" s="48"/>
      <c r="C70" s="84"/>
      <c r="D70" s="84"/>
      <c r="E70" s="85"/>
    </row>
    <row r="71" spans="2:5" ht="15.75" customHeight="1" x14ac:dyDescent="0.2">
      <c r="B71" s="47" t="s">
        <v>18</v>
      </c>
      <c r="C71" s="45"/>
      <c r="D71" s="45"/>
      <c r="E71" s="46"/>
    </row>
    <row r="72" spans="2:5" x14ac:dyDescent="0.2">
      <c r="B72" s="48"/>
      <c r="C72" s="81"/>
      <c r="D72" s="81"/>
      <c r="E72" s="86"/>
    </row>
    <row r="73" spans="2:5" ht="12.75" customHeight="1" x14ac:dyDescent="0.2">
      <c r="B73" s="47" t="s">
        <v>63</v>
      </c>
      <c r="C73" s="49"/>
      <c r="D73" s="49"/>
      <c r="E73" s="50"/>
    </row>
    <row r="74" spans="2:5" x14ac:dyDescent="0.2">
      <c r="B74" s="48"/>
      <c r="C74" s="81"/>
      <c r="D74" s="81"/>
      <c r="E74" s="86"/>
    </row>
    <row r="75" spans="2:5" x14ac:dyDescent="0.2">
      <c r="B75" s="47" t="s">
        <v>68</v>
      </c>
      <c r="C75" s="45"/>
      <c r="D75" s="45"/>
      <c r="E75" s="46"/>
    </row>
    <row r="76" spans="2:5" x14ac:dyDescent="0.2">
      <c r="B76" s="47"/>
      <c r="C76" s="81"/>
      <c r="D76" s="87"/>
      <c r="E76" s="88"/>
    </row>
    <row r="77" spans="2:5" ht="4.5" customHeight="1" thickBot="1" x14ac:dyDescent="0.25">
      <c r="B77" s="51"/>
      <c r="C77" s="52"/>
      <c r="D77" s="52"/>
      <c r="E77" s="53"/>
    </row>
    <row r="79" spans="2:5" ht="4.5" customHeight="1" thickBot="1" x14ac:dyDescent="0.25"/>
    <row r="80" spans="2:5" ht="16.5" customHeight="1" x14ac:dyDescent="0.2">
      <c r="B80" s="41" t="s">
        <v>94</v>
      </c>
      <c r="C80" s="42"/>
      <c r="D80" s="42"/>
      <c r="E80" s="43"/>
    </row>
    <row r="81" spans="2:5" ht="12.75" customHeight="1" x14ac:dyDescent="0.2">
      <c r="B81" s="44"/>
      <c r="C81" s="45"/>
      <c r="D81" s="45"/>
      <c r="E81" s="46"/>
    </row>
    <row r="82" spans="2:5" x14ac:dyDescent="0.2">
      <c r="B82" s="47" t="s">
        <v>16</v>
      </c>
      <c r="C82" s="45"/>
      <c r="D82" s="45"/>
      <c r="E82" s="46"/>
    </row>
    <row r="83" spans="2:5" ht="63.75" customHeight="1" x14ac:dyDescent="0.2">
      <c r="B83" s="47"/>
      <c r="C83" s="84" t="s">
        <v>92</v>
      </c>
      <c r="D83" s="84"/>
      <c r="E83" s="85"/>
    </row>
    <row r="84" spans="2:5" x14ac:dyDescent="0.2">
      <c r="B84" s="47" t="s">
        <v>17</v>
      </c>
      <c r="C84" s="45"/>
      <c r="D84" s="45"/>
      <c r="E84" s="46"/>
    </row>
    <row r="85" spans="2:5" ht="75" customHeight="1" x14ac:dyDescent="0.2">
      <c r="B85" s="48"/>
      <c r="C85" s="84" t="s">
        <v>62</v>
      </c>
      <c r="D85" s="84"/>
      <c r="E85" s="85"/>
    </row>
    <row r="86" spans="2:5" x14ac:dyDescent="0.2">
      <c r="B86" s="48"/>
      <c r="C86" s="84"/>
      <c r="D86" s="84"/>
      <c r="E86" s="85"/>
    </row>
    <row r="87" spans="2:5" x14ac:dyDescent="0.2">
      <c r="B87" s="47" t="s">
        <v>18</v>
      </c>
      <c r="C87" s="45"/>
      <c r="D87" s="45"/>
      <c r="E87" s="46"/>
    </row>
    <row r="88" spans="2:5" ht="20.25" customHeight="1" x14ac:dyDescent="0.2">
      <c r="B88" s="48"/>
      <c r="C88" s="81"/>
      <c r="D88" s="81"/>
      <c r="E88" s="86"/>
    </row>
    <row r="89" spans="2:5" x14ac:dyDescent="0.2">
      <c r="B89" s="47" t="s">
        <v>63</v>
      </c>
      <c r="C89" s="49"/>
      <c r="D89" s="49"/>
      <c r="E89" s="50"/>
    </row>
    <row r="90" spans="2:5" ht="12.75" customHeight="1" x14ac:dyDescent="0.2">
      <c r="B90" s="48"/>
      <c r="C90" s="81"/>
      <c r="D90" s="81"/>
      <c r="E90" s="86"/>
    </row>
    <row r="91" spans="2:5" x14ac:dyDescent="0.2">
      <c r="B91" s="47" t="s">
        <v>68</v>
      </c>
      <c r="C91" s="45"/>
      <c r="D91" s="45"/>
      <c r="E91" s="46"/>
    </row>
    <row r="92" spans="2:5" x14ac:dyDescent="0.2">
      <c r="B92" s="47"/>
      <c r="C92" s="81"/>
      <c r="D92" s="87"/>
      <c r="E92" s="88"/>
    </row>
    <row r="93" spans="2:5" ht="13.5" thickBot="1" x14ac:dyDescent="0.25">
      <c r="B93" s="51"/>
      <c r="C93" s="52"/>
      <c r="D93" s="52"/>
      <c r="E93" s="53"/>
    </row>
    <row r="94" spans="2:5" ht="13.5" thickBot="1" x14ac:dyDescent="0.25"/>
    <row r="95" spans="2:5" x14ac:dyDescent="0.2">
      <c r="B95" s="41" t="s">
        <v>97</v>
      </c>
      <c r="C95" s="42"/>
      <c r="D95" s="42"/>
      <c r="E95" s="43"/>
    </row>
    <row r="96" spans="2:5" ht="4.5" customHeight="1" x14ac:dyDescent="0.2">
      <c r="B96" s="44"/>
      <c r="C96" s="45"/>
      <c r="D96" s="45"/>
      <c r="E96" s="46"/>
    </row>
    <row r="97" spans="2:5" x14ac:dyDescent="0.2">
      <c r="B97" s="47" t="s">
        <v>16</v>
      </c>
      <c r="C97" s="45"/>
      <c r="D97" s="45"/>
      <c r="E97" s="46"/>
    </row>
    <row r="98" spans="2:5" ht="65.25" customHeight="1" x14ac:dyDescent="0.2">
      <c r="B98" s="47"/>
      <c r="C98" s="81" t="s">
        <v>95</v>
      </c>
      <c r="D98" s="82"/>
      <c r="E98" s="83"/>
    </row>
    <row r="99" spans="2:5" x14ac:dyDescent="0.2">
      <c r="B99" s="47" t="s">
        <v>17</v>
      </c>
      <c r="C99" s="45"/>
      <c r="D99" s="45"/>
      <c r="E99" s="46"/>
    </row>
    <row r="100" spans="2:5" ht="3.75" customHeight="1" x14ac:dyDescent="0.2">
      <c r="B100" s="48"/>
      <c r="C100" s="84" t="s">
        <v>62</v>
      </c>
      <c r="D100" s="84"/>
      <c r="E100" s="85"/>
    </row>
    <row r="101" spans="2:5" ht="63" customHeight="1" x14ac:dyDescent="0.2">
      <c r="B101" s="48"/>
      <c r="C101" s="84"/>
      <c r="D101" s="84"/>
      <c r="E101" s="85"/>
    </row>
    <row r="102" spans="2:5" ht="11.25" customHeight="1" x14ac:dyDescent="0.2">
      <c r="B102" s="47" t="s">
        <v>18</v>
      </c>
      <c r="C102" s="45"/>
      <c r="D102" s="45"/>
      <c r="E102" s="46"/>
    </row>
    <row r="103" spans="2:5" ht="12.75" customHeight="1" x14ac:dyDescent="0.2">
      <c r="B103" s="48"/>
      <c r="C103" s="81"/>
      <c r="D103" s="81"/>
      <c r="E103" s="86"/>
    </row>
    <row r="104" spans="2:5" x14ac:dyDescent="0.2">
      <c r="B104" s="47" t="s">
        <v>96</v>
      </c>
      <c r="C104" s="49"/>
      <c r="D104" s="49"/>
      <c r="E104" s="50"/>
    </row>
    <row r="105" spans="2:5" ht="16.5" customHeight="1" x14ac:dyDescent="0.2">
      <c r="B105" s="48"/>
      <c r="C105" s="81"/>
      <c r="D105" s="81"/>
      <c r="E105" s="86"/>
    </row>
    <row r="106" spans="2:5" x14ac:dyDescent="0.2">
      <c r="B106" s="47" t="s">
        <v>68</v>
      </c>
      <c r="C106" s="45"/>
      <c r="D106" s="45"/>
      <c r="E106" s="46"/>
    </row>
    <row r="107" spans="2:5" ht="4.5" customHeight="1" x14ac:dyDescent="0.2">
      <c r="B107" s="47"/>
      <c r="C107" s="81"/>
      <c r="D107" s="87"/>
      <c r="E107" s="88"/>
    </row>
    <row r="108" spans="2:5" ht="13.5" thickBot="1" x14ac:dyDescent="0.25">
      <c r="B108" s="51"/>
      <c r="C108" s="52"/>
      <c r="D108" s="52"/>
      <c r="E108" s="53"/>
    </row>
    <row r="109" spans="2:5" ht="13.5" thickBot="1" x14ac:dyDescent="0.25"/>
    <row r="110" spans="2:5" x14ac:dyDescent="0.2">
      <c r="B110" s="41" t="s">
        <v>105</v>
      </c>
      <c r="C110" s="42"/>
      <c r="D110" s="42"/>
      <c r="E110" s="43"/>
    </row>
    <row r="111" spans="2:5" x14ac:dyDescent="0.2">
      <c r="B111" s="44"/>
      <c r="C111" s="45"/>
      <c r="D111" s="45"/>
      <c r="E111" s="46"/>
    </row>
    <row r="112" spans="2:5" x14ac:dyDescent="0.2">
      <c r="B112" s="47" t="s">
        <v>16</v>
      </c>
      <c r="C112" s="45"/>
      <c r="D112" s="45"/>
      <c r="E112" s="46"/>
    </row>
    <row r="113" spans="2:5" x14ac:dyDescent="0.2">
      <c r="B113" s="47"/>
      <c r="C113" s="81"/>
      <c r="D113" s="82"/>
      <c r="E113" s="83"/>
    </row>
    <row r="114" spans="2:5" x14ac:dyDescent="0.2">
      <c r="B114" s="47" t="s">
        <v>17</v>
      </c>
      <c r="C114" s="45"/>
      <c r="D114" s="45"/>
      <c r="E114" s="46"/>
    </row>
    <row r="115" spans="2:5" x14ac:dyDescent="0.2">
      <c r="B115" s="48"/>
      <c r="C115" s="84" t="s">
        <v>62</v>
      </c>
      <c r="D115" s="84"/>
      <c r="E115" s="85"/>
    </row>
    <row r="116" spans="2:5" ht="48.75" customHeight="1" x14ac:dyDescent="0.2">
      <c r="B116" s="48"/>
      <c r="C116" s="84"/>
      <c r="D116" s="84"/>
      <c r="E116" s="85"/>
    </row>
    <row r="117" spans="2:5" ht="17.25" customHeight="1" x14ac:dyDescent="0.2">
      <c r="B117" s="47" t="s">
        <v>18</v>
      </c>
      <c r="C117" s="45"/>
      <c r="D117" s="45"/>
      <c r="E117" s="46"/>
    </row>
    <row r="118" spans="2:5" ht="12.75" customHeight="1" x14ac:dyDescent="0.2">
      <c r="B118" s="48"/>
      <c r="C118" s="81"/>
      <c r="D118" s="81"/>
      <c r="E118" s="86"/>
    </row>
    <row r="119" spans="2:5" ht="9.75" customHeight="1" x14ac:dyDescent="0.2">
      <c r="B119" s="47" t="s">
        <v>96</v>
      </c>
      <c r="C119" s="49"/>
      <c r="D119" s="49"/>
      <c r="E119" s="50"/>
    </row>
    <row r="120" spans="2:5" x14ac:dyDescent="0.2">
      <c r="B120" s="48"/>
      <c r="C120" s="81"/>
      <c r="D120" s="81"/>
      <c r="E120" s="86"/>
    </row>
    <row r="121" spans="2:5" x14ac:dyDescent="0.2">
      <c r="B121" s="47" t="s">
        <v>68</v>
      </c>
      <c r="C121" s="45"/>
      <c r="D121" s="45"/>
      <c r="E121" s="46"/>
    </row>
    <row r="122" spans="2:5" x14ac:dyDescent="0.2">
      <c r="B122" s="47"/>
      <c r="C122" s="81"/>
      <c r="D122" s="87"/>
      <c r="E122" s="88"/>
    </row>
    <row r="123" spans="2:5" ht="13.5" thickBot="1" x14ac:dyDescent="0.25">
      <c r="B123" s="51"/>
      <c r="C123" s="52"/>
      <c r="D123" s="52"/>
      <c r="E123" s="53"/>
    </row>
    <row r="132" ht="81.75" customHeight="1" x14ac:dyDescent="0.2"/>
    <row r="135" ht="90.75" customHeight="1" x14ac:dyDescent="0.2"/>
  </sheetData>
  <mergeCells count="42">
    <mergeCell ref="C26:E26"/>
    <mergeCell ref="C28:E28"/>
    <mergeCell ref="C30:E30"/>
    <mergeCell ref="C21:E21"/>
    <mergeCell ref="C23:E24"/>
    <mergeCell ref="A6:B6"/>
    <mergeCell ref="A7:B7"/>
    <mergeCell ref="B2:H2"/>
    <mergeCell ref="A4:B4"/>
    <mergeCell ref="C4:E4"/>
    <mergeCell ref="A5:B5"/>
    <mergeCell ref="C5:E5"/>
    <mergeCell ref="C52:E52"/>
    <mergeCell ref="C54:E55"/>
    <mergeCell ref="C57:E57"/>
    <mergeCell ref="C59:E59"/>
    <mergeCell ref="C36:E36"/>
    <mergeCell ref="C38:E39"/>
    <mergeCell ref="C41:E41"/>
    <mergeCell ref="C43:E43"/>
    <mergeCell ref="C45:E45"/>
    <mergeCell ref="C61:E61"/>
    <mergeCell ref="C67:E67"/>
    <mergeCell ref="C69:E70"/>
    <mergeCell ref="C72:E72"/>
    <mergeCell ref="C74:E74"/>
    <mergeCell ref="C76:E76"/>
    <mergeCell ref="C83:E83"/>
    <mergeCell ref="C85:E86"/>
    <mergeCell ref="C88:E88"/>
    <mergeCell ref="C90:E90"/>
    <mergeCell ref="C107:E107"/>
    <mergeCell ref="C92:E92"/>
    <mergeCell ref="C98:E98"/>
    <mergeCell ref="C100:E101"/>
    <mergeCell ref="C103:E103"/>
    <mergeCell ref="C105:E105"/>
    <mergeCell ref="C113:E113"/>
    <mergeCell ref="C115:E116"/>
    <mergeCell ref="C118:E118"/>
    <mergeCell ref="C120:E120"/>
    <mergeCell ref="C122:E122"/>
  </mergeCells>
  <pageMargins left="0.70866141732283472" right="0.70866141732283472" top="0.74803149606299213" bottom="0.74803149606299213" header="0.51181102362204722" footer="0.51181102362204722"/>
  <pageSetup paperSize="5" firstPageNumber="0" fitToHeight="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19"/>
  <sheetViews>
    <sheetView topLeftCell="A16" zoomScaleNormal="100" workbookViewId="0">
      <selection activeCell="L5" sqref="L5"/>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2" width="12.28515625" style="2" customWidth="1"/>
    <col min="13" max="14" width="5.85546875" style="2" customWidth="1"/>
    <col min="15" max="15" width="12.5703125" style="2" customWidth="1"/>
    <col min="16" max="1024" width="9.140625" style="2"/>
  </cols>
  <sheetData>
    <row r="1" spans="1:12" ht="18" customHeight="1" x14ac:dyDescent="0.2">
      <c r="A1" s="96" t="s">
        <v>20</v>
      </c>
      <c r="B1" s="96"/>
      <c r="C1" s="96"/>
      <c r="D1" s="96"/>
      <c r="E1" s="96"/>
      <c r="F1" s="96"/>
      <c r="G1" s="96"/>
      <c r="H1" s="96"/>
      <c r="I1" s="96"/>
      <c r="J1" s="3" t="s">
        <v>21</v>
      </c>
      <c r="K1" s="54" t="s">
        <v>102</v>
      </c>
    </row>
    <row r="2" spans="1:12" ht="18.75" customHeight="1" thickBot="1" x14ac:dyDescent="0.25">
      <c r="A2" s="4"/>
      <c r="B2" s="4"/>
      <c r="C2" s="4"/>
      <c r="D2" s="5"/>
      <c r="E2" s="5"/>
      <c r="F2" s="5"/>
      <c r="G2" s="5"/>
      <c r="H2" s="5"/>
      <c r="I2" s="5"/>
      <c r="J2" s="5"/>
      <c r="K2" s="5"/>
    </row>
    <row r="3" spans="1:12" ht="18.75" customHeight="1" thickBot="1" x14ac:dyDescent="0.25">
      <c r="A3" s="97" t="s">
        <v>55</v>
      </c>
      <c r="B3" s="97"/>
      <c r="C3" s="97"/>
      <c r="D3" s="98" t="s">
        <v>58</v>
      </c>
      <c r="E3" s="98"/>
      <c r="F3" s="98"/>
      <c r="G3" s="98"/>
      <c r="H3" s="98"/>
      <c r="I3" s="98"/>
      <c r="J3" s="98"/>
      <c r="K3" s="98"/>
    </row>
    <row r="4" spans="1:12" ht="18.75" customHeight="1" thickBot="1" x14ac:dyDescent="0.25">
      <c r="A4" s="99" t="s">
        <v>56</v>
      </c>
      <c r="B4" s="99"/>
      <c r="C4" s="99"/>
      <c r="D4" s="98" t="s">
        <v>59</v>
      </c>
      <c r="E4" s="98"/>
      <c r="F4" s="98"/>
      <c r="G4" s="98"/>
      <c r="H4" s="98"/>
      <c r="I4" s="98"/>
      <c r="J4" s="98"/>
      <c r="K4" s="98"/>
    </row>
    <row r="5" spans="1:12" ht="18.75" customHeight="1" thickBot="1" x14ac:dyDescent="0.25">
      <c r="A5" s="99" t="s">
        <v>34</v>
      </c>
      <c r="B5" s="99"/>
      <c r="C5" s="99"/>
      <c r="D5" s="98" t="s">
        <v>60</v>
      </c>
      <c r="E5" s="98"/>
      <c r="F5" s="98"/>
      <c r="G5" s="98"/>
      <c r="H5" s="98"/>
      <c r="I5" s="98"/>
      <c r="J5" s="98"/>
      <c r="K5" s="98"/>
    </row>
    <row r="6" spans="1:12" ht="17.25" customHeight="1" thickBot="1" x14ac:dyDescent="0.25">
      <c r="A6" s="97" t="s">
        <v>57</v>
      </c>
      <c r="B6" s="97"/>
      <c r="C6" s="97"/>
      <c r="D6" s="98" t="s">
        <v>100</v>
      </c>
      <c r="E6" s="98"/>
      <c r="F6" s="98"/>
      <c r="G6" s="98"/>
      <c r="H6" s="98"/>
      <c r="I6" s="98"/>
      <c r="J6" s="98"/>
      <c r="K6" s="98"/>
    </row>
    <row r="7" spans="1:12" ht="20.25" customHeight="1" x14ac:dyDescent="0.2">
      <c r="A7" s="99" t="s">
        <v>22</v>
      </c>
      <c r="B7" s="99"/>
      <c r="C7" s="99"/>
      <c r="D7" s="98" t="s">
        <v>66</v>
      </c>
      <c r="E7" s="98"/>
      <c r="F7" s="98"/>
      <c r="G7" s="98"/>
      <c r="H7" s="98"/>
      <c r="I7" s="98"/>
      <c r="J7" s="98"/>
      <c r="K7" s="98"/>
    </row>
    <row r="8" spans="1:12" ht="40.5" customHeight="1" x14ac:dyDescent="0.2">
      <c r="A8" s="100" t="s">
        <v>23</v>
      </c>
      <c r="B8" s="100"/>
      <c r="C8" s="100"/>
      <c r="D8" s="101" t="s">
        <v>103</v>
      </c>
      <c r="E8" s="101"/>
      <c r="F8" s="101"/>
      <c r="G8" s="101"/>
      <c r="H8" s="101"/>
      <c r="I8" s="101"/>
      <c r="J8" s="101"/>
      <c r="K8" s="101"/>
    </row>
    <row r="9" spans="1:12" ht="15.75" x14ac:dyDescent="0.2">
      <c r="A9" s="6"/>
      <c r="B9" s="6"/>
      <c r="C9" s="6"/>
      <c r="D9" s="7"/>
      <c r="E9" s="7"/>
      <c r="F9" s="7"/>
      <c r="G9" s="7"/>
      <c r="H9" s="7"/>
      <c r="I9" s="7"/>
      <c r="J9" s="7"/>
      <c r="K9" s="7"/>
    </row>
    <row r="10" spans="1:12" ht="18.75" customHeight="1" x14ac:dyDescent="0.2">
      <c r="A10" s="102" t="s">
        <v>24</v>
      </c>
      <c r="B10" s="103" t="s">
        <v>25</v>
      </c>
      <c r="C10" s="103" t="s">
        <v>26</v>
      </c>
      <c r="D10" s="103"/>
      <c r="E10" s="103"/>
      <c r="F10" s="103"/>
      <c r="G10" s="103"/>
      <c r="H10" s="103" t="s">
        <v>27</v>
      </c>
      <c r="I10" s="103" t="s">
        <v>28</v>
      </c>
      <c r="J10" s="103" t="s">
        <v>29</v>
      </c>
      <c r="K10" s="104" t="s">
        <v>30</v>
      </c>
    </row>
    <row r="11" spans="1:12" ht="24" customHeight="1" thickBot="1" x14ac:dyDescent="0.25">
      <c r="A11" s="102"/>
      <c r="B11" s="103"/>
      <c r="C11" s="103"/>
      <c r="D11" s="103"/>
      <c r="E11" s="103"/>
      <c r="F11" s="103"/>
      <c r="G11" s="103"/>
      <c r="H11" s="103"/>
      <c r="I11" s="103"/>
      <c r="J11" s="103"/>
      <c r="K11" s="104"/>
    </row>
    <row r="12" spans="1:12" ht="49.5" customHeight="1" thickBot="1" x14ac:dyDescent="0.25">
      <c r="A12" s="8">
        <v>1</v>
      </c>
      <c r="B12" s="76" t="s">
        <v>70</v>
      </c>
      <c r="C12" s="107" t="s">
        <v>72</v>
      </c>
      <c r="D12" s="108" t="s">
        <v>72</v>
      </c>
      <c r="E12" s="108" t="s">
        <v>72</v>
      </c>
      <c r="F12" s="108" t="s">
        <v>72</v>
      </c>
      <c r="G12" s="109" t="s">
        <v>72</v>
      </c>
      <c r="H12" s="55" t="s">
        <v>31</v>
      </c>
      <c r="I12" s="56" t="s">
        <v>14</v>
      </c>
      <c r="J12" s="74">
        <v>95000</v>
      </c>
      <c r="K12" s="73">
        <v>20</v>
      </c>
      <c r="L12" s="61"/>
    </row>
    <row r="13" spans="1:12" ht="49.5" customHeight="1" thickBot="1" x14ac:dyDescent="0.25">
      <c r="A13" s="8">
        <v>2</v>
      </c>
      <c r="B13" s="70" t="s">
        <v>101</v>
      </c>
      <c r="C13" s="107" t="s">
        <v>74</v>
      </c>
      <c r="D13" s="108" t="s">
        <v>74</v>
      </c>
      <c r="E13" s="108" t="s">
        <v>74</v>
      </c>
      <c r="F13" s="108" t="s">
        <v>74</v>
      </c>
      <c r="G13" s="109" t="s">
        <v>74</v>
      </c>
      <c r="H13" s="55" t="s">
        <v>31</v>
      </c>
      <c r="I13" s="56" t="s">
        <v>14</v>
      </c>
      <c r="J13" s="74">
        <v>28000</v>
      </c>
      <c r="K13" s="73">
        <v>10</v>
      </c>
      <c r="L13" s="61"/>
    </row>
    <row r="14" spans="1:12" ht="49.5" customHeight="1" thickBot="1" x14ac:dyDescent="0.25">
      <c r="A14" s="8">
        <v>3</v>
      </c>
      <c r="B14" s="64" t="s">
        <v>65</v>
      </c>
      <c r="C14" s="113" t="s">
        <v>73</v>
      </c>
      <c r="D14" s="114" t="s">
        <v>73</v>
      </c>
      <c r="E14" s="114" t="s">
        <v>73</v>
      </c>
      <c r="F14" s="114" t="s">
        <v>73</v>
      </c>
      <c r="G14" s="115" t="s">
        <v>73</v>
      </c>
      <c r="H14" s="55" t="s">
        <v>31</v>
      </c>
      <c r="I14" s="56" t="s">
        <v>14</v>
      </c>
      <c r="J14" s="67">
        <v>130000</v>
      </c>
      <c r="K14" s="66">
        <v>2</v>
      </c>
      <c r="L14" s="61"/>
    </row>
    <row r="15" spans="1:12" ht="49.5" customHeight="1" thickBot="1" x14ac:dyDescent="0.25">
      <c r="A15" s="8">
        <v>4</v>
      </c>
      <c r="B15" s="64" t="s">
        <v>65</v>
      </c>
      <c r="C15" s="110" t="s">
        <v>81</v>
      </c>
      <c r="D15" s="111" t="s">
        <v>81</v>
      </c>
      <c r="E15" s="111" t="s">
        <v>81</v>
      </c>
      <c r="F15" s="111" t="s">
        <v>81</v>
      </c>
      <c r="G15" s="112" t="s">
        <v>81</v>
      </c>
      <c r="H15" s="55" t="s">
        <v>31</v>
      </c>
      <c r="I15" s="56" t="s">
        <v>14</v>
      </c>
      <c r="J15" s="67">
        <v>65000</v>
      </c>
      <c r="K15" s="66">
        <v>5</v>
      </c>
      <c r="L15" s="61"/>
    </row>
    <row r="16" spans="1:12" ht="49.5" customHeight="1" thickBot="1" x14ac:dyDescent="0.25">
      <c r="A16" s="8">
        <v>5</v>
      </c>
      <c r="B16" s="64" t="s">
        <v>82</v>
      </c>
      <c r="C16" s="110" t="s">
        <v>83</v>
      </c>
      <c r="D16" s="111" t="s">
        <v>83</v>
      </c>
      <c r="E16" s="111" t="s">
        <v>83</v>
      </c>
      <c r="F16" s="111" t="s">
        <v>83</v>
      </c>
      <c r="G16" s="112" t="s">
        <v>83</v>
      </c>
      <c r="H16" s="55" t="s">
        <v>31</v>
      </c>
      <c r="I16" s="56" t="s">
        <v>14</v>
      </c>
      <c r="J16" s="67">
        <v>42200</v>
      </c>
      <c r="K16" s="66">
        <v>10</v>
      </c>
      <c r="L16" s="61"/>
    </row>
    <row r="17" spans="1:12" ht="49.5" customHeight="1" thickBot="1" x14ac:dyDescent="0.25">
      <c r="A17" s="8">
        <v>6</v>
      </c>
      <c r="B17" s="64" t="s">
        <v>84</v>
      </c>
      <c r="C17" s="110" t="s">
        <v>85</v>
      </c>
      <c r="D17" s="111" t="s">
        <v>85</v>
      </c>
      <c r="E17" s="111" t="s">
        <v>85</v>
      </c>
      <c r="F17" s="111" t="s">
        <v>85</v>
      </c>
      <c r="G17" s="112" t="s">
        <v>85</v>
      </c>
      <c r="H17" s="55" t="s">
        <v>31</v>
      </c>
      <c r="I17" s="56" t="s">
        <v>14</v>
      </c>
      <c r="J17" s="67">
        <v>5900</v>
      </c>
      <c r="K17" s="66">
        <v>20</v>
      </c>
      <c r="L17" s="61"/>
    </row>
    <row r="18" spans="1:12" ht="50.25" customHeight="1" thickBot="1" x14ac:dyDescent="0.25">
      <c r="A18" s="8">
        <v>7</v>
      </c>
      <c r="B18" s="64" t="s">
        <v>86</v>
      </c>
      <c r="C18" s="110" t="s">
        <v>87</v>
      </c>
      <c r="D18" s="111" t="s">
        <v>87</v>
      </c>
      <c r="E18" s="111" t="s">
        <v>87</v>
      </c>
      <c r="F18" s="111" t="s">
        <v>87</v>
      </c>
      <c r="G18" s="112" t="s">
        <v>87</v>
      </c>
      <c r="H18" s="55" t="s">
        <v>88</v>
      </c>
      <c r="I18" s="56" t="s">
        <v>14</v>
      </c>
      <c r="J18" s="67">
        <v>8500</v>
      </c>
      <c r="K18" s="66">
        <v>3</v>
      </c>
      <c r="L18" s="61"/>
    </row>
    <row r="19" spans="1:12" ht="31.5" customHeight="1" thickBot="1" x14ac:dyDescent="0.25">
      <c r="A19" s="105" t="s">
        <v>98</v>
      </c>
      <c r="B19" s="105"/>
      <c r="C19" s="105"/>
      <c r="D19" s="105"/>
      <c r="E19" s="105"/>
      <c r="F19" s="105"/>
      <c r="G19" s="105"/>
      <c r="H19" s="105"/>
      <c r="I19" s="105"/>
      <c r="J19" s="106">
        <f>SUMPRODUCT(J12:J18,K12:K18)</f>
        <v>3330500</v>
      </c>
      <c r="K19" s="106"/>
      <c r="L19" s="61"/>
    </row>
  </sheetData>
  <mergeCells count="29">
    <mergeCell ref="A19:I19"/>
    <mergeCell ref="J19:K19"/>
    <mergeCell ref="C12:G12"/>
    <mergeCell ref="C18:G18"/>
    <mergeCell ref="C14:G14"/>
    <mergeCell ref="C13:G13"/>
    <mergeCell ref="C15:G15"/>
    <mergeCell ref="C16:G16"/>
    <mergeCell ref="C17:G17"/>
    <mergeCell ref="A8:C8"/>
    <mergeCell ref="D8:K8"/>
    <mergeCell ref="A10:A11"/>
    <mergeCell ref="B10:B11"/>
    <mergeCell ref="C10:G11"/>
    <mergeCell ref="H10:H11"/>
    <mergeCell ref="I10:I11"/>
    <mergeCell ref="J10:J11"/>
    <mergeCell ref="K10:K11"/>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5" scale="79" firstPageNumber="0" orientation="landscape"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9"/>
  <sheetViews>
    <sheetView topLeftCell="A13" zoomScale="130" zoomScaleNormal="130" workbookViewId="0">
      <selection activeCell="R21" sqref="R21"/>
    </sheetView>
  </sheetViews>
  <sheetFormatPr baseColWidth="10" defaultColWidth="11" defaultRowHeight="12.75" x14ac:dyDescent="0.2"/>
  <cols>
    <col min="1" max="4" width="4.42578125" customWidth="1"/>
    <col min="5" max="5" width="4.140625" customWidth="1"/>
    <col min="6" max="6" width="5.42578125" customWidth="1"/>
    <col min="7" max="7" width="4.42578125" style="9" customWidth="1"/>
    <col min="8" max="14" width="4.42578125" customWidth="1"/>
    <col min="15" max="15" width="14.85546875" customWidth="1"/>
    <col min="16" max="16" width="14" customWidth="1"/>
    <col min="17" max="17" width="14.7109375" customWidth="1"/>
  </cols>
  <sheetData>
    <row r="1" spans="1:17" ht="15.75" customHeight="1" x14ac:dyDescent="0.25">
      <c r="A1" s="116" t="s">
        <v>3</v>
      </c>
      <c r="B1" s="116"/>
      <c r="C1" s="116"/>
      <c r="D1" s="117">
        <f>'Necesidades Trimestrales'!C6</f>
        <v>2021</v>
      </c>
      <c r="E1" s="117"/>
      <c r="F1" s="10"/>
      <c r="G1" s="10"/>
      <c r="H1" s="11"/>
      <c r="I1" s="11"/>
      <c r="J1" s="11"/>
      <c r="K1" s="11"/>
      <c r="L1" s="11"/>
      <c r="M1" s="11"/>
      <c r="N1" s="11"/>
      <c r="P1" s="118" t="s">
        <v>32</v>
      </c>
      <c r="Q1" s="118"/>
    </row>
    <row r="2" spans="1:17" ht="15.75" customHeight="1" x14ac:dyDescent="0.2">
      <c r="H2" s="11"/>
      <c r="I2" s="11"/>
      <c r="J2" s="11"/>
      <c r="K2" s="11"/>
      <c r="L2" s="11"/>
      <c r="M2" s="11"/>
      <c r="N2" s="11"/>
      <c r="P2" s="118"/>
      <c r="Q2" s="118"/>
    </row>
    <row r="4" spans="1:17" s="12" customFormat="1" ht="18" customHeight="1" thickBot="1" x14ac:dyDescent="0.25">
      <c r="A4" s="119" t="s">
        <v>33</v>
      </c>
      <c r="B4" s="119"/>
      <c r="C4" s="119"/>
      <c r="D4" s="119"/>
      <c r="E4" s="119"/>
      <c r="F4" s="119"/>
      <c r="G4" s="120" t="str">
        <f>' NotaPedido'!D3</f>
        <v>70 - MINISTERIO DE CIENCIA E INNOVACION TECNOLOGICA</v>
      </c>
      <c r="H4" s="120"/>
      <c r="I4" s="120"/>
      <c r="J4" s="120"/>
      <c r="K4" s="120"/>
      <c r="L4" s="120"/>
      <c r="M4" s="120"/>
      <c r="N4" s="120"/>
      <c r="O4" s="120"/>
      <c r="P4" s="120"/>
      <c r="Q4" s="120"/>
    </row>
    <row r="5" spans="1:17" s="12" customFormat="1" ht="18" customHeight="1" thickBot="1" x14ac:dyDescent="0.25">
      <c r="A5" s="121" t="s">
        <v>56</v>
      </c>
      <c r="B5" s="122"/>
      <c r="C5" s="122"/>
      <c r="D5" s="122"/>
      <c r="E5" s="122"/>
      <c r="F5" s="123"/>
      <c r="G5" s="120" t="str">
        <f>' NotaPedido'!D4</f>
        <v>20 - MINISTERIO DE CIENCIA E INNOVACION TECNOLOGICA</v>
      </c>
      <c r="H5" s="120"/>
      <c r="I5" s="120"/>
      <c r="J5" s="120"/>
      <c r="K5" s="120"/>
      <c r="L5" s="120"/>
      <c r="M5" s="120"/>
      <c r="N5" s="120"/>
      <c r="O5" s="120"/>
      <c r="P5" s="120"/>
      <c r="Q5" s="120"/>
    </row>
    <row r="6" spans="1:17" s="12" customFormat="1" ht="18" customHeight="1" thickBot="1" x14ac:dyDescent="0.25">
      <c r="A6" s="121" t="s">
        <v>34</v>
      </c>
      <c r="B6" s="122"/>
      <c r="C6" s="122"/>
      <c r="D6" s="122"/>
      <c r="E6" s="122"/>
      <c r="F6" s="123"/>
      <c r="G6" s="120" t="str">
        <f>' NotaPedido'!D5</f>
        <v xml:space="preserve"> MINISTERIO DE CIENCIA E INNOVACION TECNOLOGICA</v>
      </c>
      <c r="H6" s="120"/>
      <c r="I6" s="120"/>
      <c r="J6" s="120"/>
      <c r="K6" s="120"/>
      <c r="L6" s="120"/>
      <c r="M6" s="120"/>
      <c r="N6" s="120"/>
      <c r="O6" s="120"/>
      <c r="P6" s="120"/>
      <c r="Q6" s="120"/>
    </row>
    <row r="7" spans="1:17" s="12" customFormat="1" ht="18" customHeight="1" thickBot="1" x14ac:dyDescent="0.25">
      <c r="A7" s="121" t="s">
        <v>57</v>
      </c>
      <c r="B7" s="122"/>
      <c r="C7" s="122"/>
      <c r="D7" s="122"/>
      <c r="E7" s="122"/>
      <c r="F7" s="123"/>
      <c r="G7" s="120" t="str">
        <f>' NotaPedido'!D6</f>
        <v>SECRETARIA DE INNOVACION</v>
      </c>
      <c r="H7" s="120"/>
      <c r="I7" s="120"/>
      <c r="J7" s="120"/>
      <c r="K7" s="120"/>
      <c r="L7" s="120"/>
      <c r="M7" s="120"/>
      <c r="N7" s="120"/>
      <c r="O7" s="120"/>
      <c r="P7" s="120"/>
      <c r="Q7" s="120"/>
    </row>
    <row r="8" spans="1:17" ht="18" customHeight="1" thickBot="1" x14ac:dyDescent="0.25">
      <c r="A8" s="124" t="s">
        <v>35</v>
      </c>
      <c r="B8" s="124"/>
      <c r="C8" s="124"/>
      <c r="D8" s="124"/>
      <c r="E8" s="124"/>
      <c r="F8" s="124"/>
      <c r="G8" s="124"/>
      <c r="H8" s="124"/>
      <c r="I8" s="124"/>
      <c r="J8" s="124"/>
      <c r="K8" s="124"/>
      <c r="L8" s="124"/>
      <c r="M8" s="124"/>
      <c r="N8" s="124"/>
      <c r="O8" s="124"/>
      <c r="P8" s="124"/>
      <c r="Q8" s="124"/>
    </row>
    <row r="9" spans="1:17" ht="18" customHeight="1" x14ac:dyDescent="0.2">
      <c r="A9" s="125" t="s">
        <v>36</v>
      </c>
      <c r="B9" s="125"/>
      <c r="C9" s="125"/>
      <c r="D9" s="125"/>
      <c r="E9" s="125"/>
      <c r="F9" s="125"/>
      <c r="G9" s="125"/>
      <c r="H9" s="125"/>
      <c r="I9" s="125"/>
      <c r="J9" s="125"/>
      <c r="K9" s="125"/>
      <c r="L9" s="125"/>
      <c r="M9" s="125"/>
      <c r="N9" s="125"/>
      <c r="O9" s="1"/>
      <c r="P9" s="1"/>
      <c r="Q9" s="13"/>
    </row>
    <row r="10" spans="1:17" ht="54.75" customHeight="1" x14ac:dyDescent="0.2">
      <c r="A10" s="126"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008/2021,  afectando la erogación resultante a los créditos presupuestarios aprobados a favor de esta Unidad Ejecutora, conforme al siguiente detalle:</v>
      </c>
      <c r="B10" s="126"/>
      <c r="C10" s="126"/>
      <c r="D10" s="126"/>
      <c r="E10" s="126"/>
      <c r="F10" s="126"/>
      <c r="G10" s="126"/>
      <c r="H10" s="126"/>
      <c r="I10" s="126"/>
      <c r="J10" s="126"/>
      <c r="K10" s="126"/>
      <c r="L10" s="126"/>
      <c r="M10" s="126"/>
      <c r="N10" s="126"/>
      <c r="O10" s="126"/>
      <c r="P10" s="126"/>
      <c r="Q10" s="126"/>
    </row>
    <row r="11" spans="1:17" ht="9" customHeight="1" x14ac:dyDescent="0.2">
      <c r="A11" s="14"/>
      <c r="B11" s="15"/>
      <c r="C11" s="15"/>
      <c r="D11" s="15"/>
      <c r="E11" s="15"/>
      <c r="F11" s="15"/>
      <c r="G11" s="16"/>
      <c r="H11" s="15"/>
      <c r="I11" s="15"/>
      <c r="J11" s="15"/>
      <c r="K11" s="15"/>
      <c r="L11" s="15"/>
      <c r="M11" s="15"/>
      <c r="N11" s="15"/>
      <c r="O11" s="15"/>
      <c r="P11" s="15"/>
      <c r="Q11" s="17"/>
    </row>
    <row r="12" spans="1:17" ht="15.75" customHeight="1" x14ac:dyDescent="0.2">
      <c r="A12" s="127" t="s">
        <v>37</v>
      </c>
      <c r="B12" s="127"/>
      <c r="C12" s="127"/>
      <c r="D12" s="127"/>
      <c r="E12" s="127"/>
      <c r="F12" s="127"/>
      <c r="G12" s="127"/>
      <c r="H12" s="127"/>
      <c r="I12" s="127"/>
      <c r="J12" s="127"/>
      <c r="K12" s="127"/>
      <c r="L12" s="127"/>
      <c r="M12" s="127"/>
      <c r="N12" s="127"/>
      <c r="O12" s="127"/>
      <c r="P12" s="127"/>
      <c r="Q12" s="127"/>
    </row>
    <row r="13" spans="1:17" ht="15.75" customHeight="1" x14ac:dyDescent="0.2">
      <c r="A13" s="128" t="s">
        <v>38</v>
      </c>
      <c r="B13" s="128"/>
      <c r="C13" s="128"/>
      <c r="D13" s="128"/>
      <c r="E13" s="128"/>
      <c r="F13" s="128"/>
      <c r="G13" s="128"/>
      <c r="H13" s="128"/>
      <c r="I13" s="128"/>
      <c r="J13" s="128"/>
      <c r="K13" s="128"/>
      <c r="L13" s="128"/>
      <c r="M13" s="128"/>
      <c r="N13" s="128"/>
      <c r="O13" s="129" t="s">
        <v>39</v>
      </c>
      <c r="P13" s="129"/>
      <c r="Q13" s="130" t="s">
        <v>40</v>
      </c>
    </row>
    <row r="14" spans="1:17" ht="15.75" customHeight="1" x14ac:dyDescent="0.2">
      <c r="A14" s="18" t="s">
        <v>41</v>
      </c>
      <c r="B14" s="19" t="s">
        <v>42</v>
      </c>
      <c r="C14" s="19" t="s">
        <v>43</v>
      </c>
      <c r="D14" s="19" t="s">
        <v>44</v>
      </c>
      <c r="E14" s="19" t="s">
        <v>45</v>
      </c>
      <c r="F14" s="19" t="s">
        <v>46</v>
      </c>
      <c r="G14" s="20" t="s">
        <v>47</v>
      </c>
      <c r="H14" s="19" t="s">
        <v>48</v>
      </c>
      <c r="I14" s="19" t="s">
        <v>49</v>
      </c>
      <c r="J14" s="19" t="s">
        <v>50</v>
      </c>
      <c r="K14" s="19" t="s">
        <v>50</v>
      </c>
      <c r="L14" s="19" t="s">
        <v>51</v>
      </c>
      <c r="M14" s="21" t="s">
        <v>52</v>
      </c>
      <c r="N14" s="22" t="s">
        <v>53</v>
      </c>
      <c r="O14" s="129"/>
      <c r="P14" s="129"/>
      <c r="Q14" s="130"/>
    </row>
    <row r="15" spans="1:17" ht="22.5" customHeight="1" x14ac:dyDescent="0.2">
      <c r="A15" s="23">
        <v>3</v>
      </c>
      <c r="B15" s="24">
        <v>0</v>
      </c>
      <c r="C15" s="24">
        <v>0</v>
      </c>
      <c r="D15" s="24">
        <v>1</v>
      </c>
      <c r="E15" s="24">
        <v>0</v>
      </c>
      <c r="F15" s="26">
        <v>4901</v>
      </c>
      <c r="G15" s="24">
        <v>3</v>
      </c>
      <c r="H15" s="24">
        <v>5</v>
      </c>
      <c r="I15" s="24">
        <v>4</v>
      </c>
      <c r="J15" s="24">
        <v>3</v>
      </c>
      <c r="K15" s="24">
        <v>6</v>
      </c>
      <c r="L15" s="24">
        <v>0</v>
      </c>
      <c r="M15" s="25">
        <v>1</v>
      </c>
      <c r="N15" s="26" t="s">
        <v>61</v>
      </c>
      <c r="O15" s="131" t="s">
        <v>67</v>
      </c>
      <c r="P15" s="132"/>
      <c r="Q15" s="27">
        <v>3305000</v>
      </c>
    </row>
    <row r="16" spans="1:17" ht="22.5" customHeight="1" x14ac:dyDescent="0.2">
      <c r="A16" s="23">
        <v>3</v>
      </c>
      <c r="B16" s="24">
        <v>0</v>
      </c>
      <c r="C16" s="24">
        <v>0</v>
      </c>
      <c r="D16" s="24">
        <v>1</v>
      </c>
      <c r="E16" s="24">
        <v>0</v>
      </c>
      <c r="F16" s="26">
        <v>4901</v>
      </c>
      <c r="G16" s="24">
        <v>3</v>
      </c>
      <c r="H16" s="24">
        <v>2</v>
      </c>
      <c r="I16" s="24">
        <v>4</v>
      </c>
      <c r="J16" s="24">
        <v>3</v>
      </c>
      <c r="K16" s="24">
        <v>5</v>
      </c>
      <c r="L16" s="24">
        <v>0</v>
      </c>
      <c r="M16" s="25">
        <v>1</v>
      </c>
      <c r="N16" s="26" t="s">
        <v>61</v>
      </c>
      <c r="O16" s="133" t="s">
        <v>90</v>
      </c>
      <c r="P16" s="134"/>
      <c r="Q16" s="27">
        <v>25500</v>
      </c>
    </row>
    <row r="17" spans="1:18" ht="17.25" customHeight="1" x14ac:dyDescent="0.2">
      <c r="A17" s="23"/>
      <c r="B17" s="24"/>
      <c r="C17" s="24"/>
      <c r="D17" s="24"/>
      <c r="E17" s="24"/>
      <c r="F17" s="24"/>
      <c r="G17" s="24"/>
      <c r="H17" s="24"/>
      <c r="I17" s="24"/>
      <c r="J17" s="24"/>
      <c r="K17" s="24"/>
      <c r="L17" s="24"/>
      <c r="M17" s="25"/>
      <c r="N17" s="26"/>
      <c r="O17" s="132"/>
      <c r="P17" s="132"/>
      <c r="Q17" s="27"/>
    </row>
    <row r="18" spans="1:18" ht="17.25" customHeight="1" x14ac:dyDescent="0.2">
      <c r="A18" s="23"/>
      <c r="B18" s="24"/>
      <c r="C18" s="24"/>
      <c r="D18" s="24"/>
      <c r="E18" s="24"/>
      <c r="F18" s="26"/>
      <c r="G18" s="24"/>
      <c r="H18" s="24"/>
      <c r="I18" s="24"/>
      <c r="J18" s="24"/>
      <c r="K18" s="24"/>
      <c r="L18" s="24"/>
      <c r="M18" s="25"/>
      <c r="N18" s="26"/>
      <c r="O18" s="132"/>
      <c r="P18" s="132"/>
      <c r="Q18" s="27"/>
    </row>
    <row r="19" spans="1:18" ht="17.25" customHeight="1" x14ac:dyDescent="0.2">
      <c r="A19" s="23"/>
      <c r="B19" s="24"/>
      <c r="C19" s="24"/>
      <c r="D19" s="24"/>
      <c r="E19" s="24"/>
      <c r="F19" s="26"/>
      <c r="G19" s="24"/>
      <c r="H19" s="24"/>
      <c r="I19" s="24"/>
      <c r="J19" s="24"/>
      <c r="K19" s="24"/>
      <c r="L19" s="24"/>
      <c r="M19" s="25"/>
      <c r="N19" s="26"/>
      <c r="O19" s="132"/>
      <c r="P19" s="132"/>
      <c r="Q19" s="27"/>
    </row>
    <row r="20" spans="1:18" ht="8.25" customHeight="1" x14ac:dyDescent="0.2">
      <c r="A20" s="28"/>
      <c r="B20" s="29"/>
      <c r="C20" s="29"/>
      <c r="D20" s="29"/>
      <c r="E20" s="29"/>
      <c r="F20" s="30"/>
      <c r="G20" s="29"/>
      <c r="H20" s="29"/>
      <c r="I20" s="29"/>
      <c r="J20" s="29"/>
      <c r="K20" s="29"/>
      <c r="L20" s="29"/>
      <c r="M20" s="31"/>
      <c r="N20" s="32"/>
      <c r="O20" s="140"/>
      <c r="P20" s="140"/>
      <c r="Q20" s="27"/>
      <c r="R20" s="1"/>
    </row>
    <row r="21" spans="1:18" ht="17.25" customHeight="1" x14ac:dyDescent="0.2">
      <c r="A21" s="33"/>
      <c r="B21" s="34"/>
      <c r="C21" s="34"/>
      <c r="D21" s="34"/>
      <c r="E21" s="34"/>
      <c r="F21" s="34"/>
      <c r="G21" s="34"/>
      <c r="H21" s="34"/>
      <c r="I21" s="34"/>
      <c r="J21" s="34"/>
      <c r="K21" s="34"/>
      <c r="L21" s="34"/>
      <c r="M21" s="35"/>
      <c r="N21" s="34"/>
      <c r="O21" s="141"/>
      <c r="P21" s="141"/>
      <c r="Q21" s="36"/>
    </row>
    <row r="22" spans="1:18" ht="32.25" customHeight="1" x14ac:dyDescent="0.2">
      <c r="A22" s="142" t="s">
        <v>99</v>
      </c>
      <c r="B22" s="142"/>
      <c r="C22" s="142"/>
      <c r="D22" s="142"/>
      <c r="E22" s="142"/>
      <c r="F22" s="142"/>
      <c r="G22" s="142"/>
      <c r="H22" s="142"/>
      <c r="I22" s="142"/>
      <c r="J22" s="142"/>
      <c r="K22" s="142"/>
      <c r="L22" s="142"/>
      <c r="M22" s="142"/>
      <c r="N22" s="142"/>
      <c r="O22" s="142"/>
      <c r="P22" s="142"/>
      <c r="Q22" s="37">
        <f>SUM(Q15:Q21)</f>
        <v>3330500</v>
      </c>
    </row>
    <row r="23" spans="1:18" ht="18" customHeight="1" thickBot="1" x14ac:dyDescent="0.25">
      <c r="A23" s="143"/>
      <c r="B23" s="143"/>
      <c r="C23" s="143"/>
      <c r="D23" s="143"/>
      <c r="E23" s="143"/>
      <c r="F23" s="143"/>
      <c r="G23" s="143"/>
      <c r="H23" s="143"/>
      <c r="I23" s="143"/>
      <c r="J23" s="143"/>
      <c r="K23" s="143"/>
      <c r="L23" s="143"/>
      <c r="M23" s="143"/>
      <c r="N23" s="143"/>
      <c r="O23" s="143"/>
      <c r="P23" s="143"/>
      <c r="Q23" s="143"/>
    </row>
    <row r="24" spans="1:18" ht="17.25" customHeight="1" thickBot="1" x14ac:dyDescent="0.25">
      <c r="A24" s="135" t="s">
        <v>54</v>
      </c>
      <c r="B24" s="136"/>
      <c r="C24" s="136"/>
      <c r="D24" s="136"/>
      <c r="E24" s="136"/>
      <c r="F24" s="137"/>
      <c r="G24" s="138"/>
      <c r="H24" s="138"/>
      <c r="I24" s="138"/>
      <c r="J24" s="138"/>
      <c r="K24" s="138"/>
      <c r="L24" s="138"/>
      <c r="M24" s="138"/>
      <c r="N24" s="138"/>
      <c r="O24" s="138"/>
      <c r="P24" s="138"/>
      <c r="Q24" s="138"/>
    </row>
    <row r="25" spans="1:18" ht="18" customHeight="1" thickBot="1" x14ac:dyDescent="0.25">
      <c r="A25" s="139" t="s">
        <v>104</v>
      </c>
      <c r="B25" s="139"/>
      <c r="C25" s="139"/>
      <c r="D25" s="139"/>
      <c r="E25" s="139"/>
      <c r="F25" s="139"/>
      <c r="G25" s="139"/>
      <c r="H25" s="139"/>
      <c r="I25" s="139"/>
      <c r="J25" s="139"/>
      <c r="K25" s="139"/>
      <c r="L25" s="139"/>
      <c r="M25" s="139"/>
      <c r="N25" s="139"/>
      <c r="O25" s="139"/>
      <c r="P25" s="139"/>
      <c r="Q25" s="139"/>
    </row>
    <row r="26" spans="1:18" ht="21.75" customHeight="1" x14ac:dyDescent="0.2">
      <c r="A26" s="139"/>
      <c r="B26" s="139"/>
      <c r="C26" s="139"/>
      <c r="D26" s="139"/>
      <c r="E26" s="139"/>
      <c r="F26" s="139"/>
      <c r="G26" s="139"/>
      <c r="H26" s="139"/>
      <c r="I26" s="139"/>
      <c r="J26" s="139"/>
      <c r="K26" s="139"/>
      <c r="L26" s="139"/>
      <c r="M26" s="139"/>
      <c r="N26" s="139"/>
      <c r="O26" s="139"/>
      <c r="P26" s="139"/>
      <c r="Q26" s="139"/>
    </row>
    <row r="29" spans="1:18" x14ac:dyDescent="0.2">
      <c r="A29" s="57"/>
    </row>
  </sheetData>
  <mergeCells count="30">
    <mergeCell ref="A25:Q26"/>
    <mergeCell ref="O19:P19"/>
    <mergeCell ref="O20:P20"/>
    <mergeCell ref="O21:P21"/>
    <mergeCell ref="A22:P22"/>
    <mergeCell ref="A23:Q23"/>
    <mergeCell ref="O15:P15"/>
    <mergeCell ref="O16:P16"/>
    <mergeCell ref="O17:P17"/>
    <mergeCell ref="O18:P18"/>
    <mergeCell ref="A24:F24"/>
    <mergeCell ref="G24:Q24"/>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5"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Necesidades Trimestrales</vt:lpstr>
      <vt:lpstr> NotaPedido</vt:lpstr>
      <vt:lpstr>Autor Gastar</vt:lpstr>
      <vt:lpstr>' NotaPedido'!Área_de_impresión</vt:lpstr>
      <vt:lpstr>'Autor Gastar'!Área_de_impresión</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2021-04-08T16:01:46Z</cp:lastPrinted>
  <dcterms:created xsi:type="dcterms:W3CDTF">2020-07-17T23:44:49Z</dcterms:created>
  <dcterms:modified xsi:type="dcterms:W3CDTF">2021-08-13T12:59:33Z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