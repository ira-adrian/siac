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02019E3-53D6-4F4C-95CB-02CAF07C434B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Trimestrales'!$A$9:$I$24</definedName>
    <definedName name="_xlnm.Print_Area" localSheetId="1">' NotaPedido'!$A$1:$K$27</definedName>
    <definedName name="_xlnm.Print_Area" localSheetId="2">'Autor Gastar'!$A$1:$Q$24</definedName>
  </definedNames>
  <calcPr calcId="181029"/>
</workbook>
</file>

<file path=xl/calcChain.xml><?xml version="1.0" encoding="utf-8"?>
<calcChain xmlns="http://schemas.openxmlformats.org/spreadsheetml/2006/main">
  <c r="Q20" i="3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13" i="2"/>
  <c r="K12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13" i="2"/>
  <c r="J12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13" i="2"/>
  <c r="I12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13" i="2"/>
  <c r="C12" i="2"/>
  <c r="I23" i="1"/>
  <c r="I22" i="1"/>
  <c r="I10" i="1"/>
  <c r="D5" i="2" l="1"/>
  <c r="I11" i="1" l="1"/>
  <c r="I12" i="1"/>
  <c r="I13" i="1"/>
  <c r="I14" i="1"/>
  <c r="I15" i="1"/>
  <c r="I16" i="1"/>
  <c r="I17" i="1"/>
  <c r="I18" i="1"/>
  <c r="I19" i="1"/>
  <c r="I20" i="1"/>
  <c r="I21" i="1"/>
  <c r="I24" i="1"/>
  <c r="J27" i="2" l="1"/>
  <c r="G6" i="3" l="1"/>
  <c r="G7" i="3"/>
  <c r="D7" i="2"/>
  <c r="G4" i="3"/>
  <c r="D4" i="2"/>
  <c r="G5" i="3" s="1"/>
  <c r="A10" i="3" l="1"/>
  <c r="D1" i="3"/>
</calcChain>
</file>

<file path=xl/sharedStrings.xml><?xml version="1.0" encoding="utf-8"?>
<sst xmlns="http://schemas.openxmlformats.org/spreadsheetml/2006/main" count="195" uniqueCount="90">
  <si>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</si>
  <si>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</si>
  <si>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</si>
  <si>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</si>
  <si>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</si>
  <si>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</si>
  <si>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</si>
  <si>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</si>
  <si>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</si>
  <si>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</si>
  <si>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</si>
  <si>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</si>
  <si>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</si>
  <si>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</si>
  <si>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</si>
  <si>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</si>
  <si>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</si>
  <si>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</si>
  <si>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</si>
  <si>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</si>
  <si>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</si>
  <si>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</si>
  <si>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</si>
  <si>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</si>
  <si>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</si>
  <si>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</si>
  <si>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</si>
  <si>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</si>
  <si>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</si>
  <si>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</si>
  <si>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</si>
  <si>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</si>
  <si>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</si>
  <si>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</si>
  <si>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</si>
  <si>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</si>
  <si>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</si>
  <si>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</si>
  <si>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</si>
  <si>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</si>
  <si>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</si>
  <si>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</si>
  <si>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</si>
  <si>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</si>
  <si>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</si>
  <si>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</si>
  <si>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</si>
  <si>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</si>
  <si>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</si>
  <si>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</si>
  <si>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</si>
  <si>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</si>
  <si>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</si>
  <si>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</si>
  <si>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</si>
  <si>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</si>
  <si>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 xml:space="preserve">40 - Ministerio de Salud </t>
  </si>
  <si>
    <t xml:space="preserve">45 dias habiles </t>
  </si>
  <si>
    <t>1.1</t>
  </si>
  <si>
    <t>COMPUESTOS QUIMICOS</t>
  </si>
  <si>
    <t>40 - Ministerio de Salud</t>
  </si>
  <si>
    <t>CAJA</t>
  </si>
  <si>
    <t>CHAGAS ELISA RECOMBINANTE 4.0 TIPO WIENER</t>
  </si>
  <si>
    <t>UNIDAD</t>
  </si>
  <si>
    <t>NO</t>
  </si>
  <si>
    <t xml:space="preserve">Adquisicion de Descartables y Reactivos </t>
  </si>
  <si>
    <t>UT. MENORES MEDICOS, QUIRUR. Y DE LAB.</t>
  </si>
  <si>
    <t xml:space="preserve">24 - HOSPITAL DE NIÑOS </t>
  </si>
  <si>
    <t>CHAGAS HAI TIPO POLYCHACO</t>
  </si>
  <si>
    <t>CLCA 0,025M X 10ML HEMOMEDICA</t>
  </si>
  <si>
    <t>TIRAS REACTIVAS P/ ORINA- TIPO WIENNER</t>
  </si>
  <si>
    <t>TROMBOPLASTINA 10X4ML HEMOMEDICA O SOLUPLASTIN</t>
  </si>
  <si>
    <t xml:space="preserve">AGAR MUELLER HINTON X 500 GR. T/BRITANIA </t>
  </si>
  <si>
    <t>FRASCO</t>
  </si>
  <si>
    <t>PROD. MEDICO/FARMACEUTICOS/LAB</t>
  </si>
  <si>
    <t>10 dias - Servicio de Laboratorio Hospital Interzonal de Niños Eva Perón</t>
  </si>
  <si>
    <t>SERVICIO DE LABORATORIO - HOSPITAL INTERZONAL DE NIÑOS EVA PERON</t>
  </si>
  <si>
    <t>Para la adquisición de Descartbles y reactivos, para ser destinados a Servicio de Laboratorio Hospital de Niños Eva Perón.</t>
  </si>
  <si>
    <t>Ansas estériles descartables de 20 ul x 10 u</t>
  </si>
  <si>
    <t>CUBETAS COATRON SERIE X 500 U –TECO</t>
  </si>
  <si>
    <t>Fosfato de Potasio monobásico x   250 grs tipo Cicarelli</t>
  </si>
  <si>
    <t>Glucocurve 75 grs. X 10 sobres Tipo SDA</t>
  </si>
  <si>
    <t>Impronta FTA (  bolsa de 5 improntas x 7 pocillos)  -Tipo Biocientifica o alternativa</t>
  </si>
  <si>
    <t>Improntas  DNA ”Crithidia Luciliae” (x 7 pocillos) –Tipo ”BIOCIENTIFICA” o Alternativa</t>
  </si>
  <si>
    <t>Improntas Esófago de Mono  (X 8 áreas) -Tipo Biocientifica  o alternativa</t>
  </si>
  <si>
    <t>Lápiz demográfico Rojo – tipo Mitsubishi o alternativa</t>
  </si>
  <si>
    <t>541/2020</t>
  </si>
  <si>
    <t>ANCA Kits (IFI)- Tipo Biocientifica o alternativa</t>
  </si>
  <si>
    <t>ENA Kit- Determinaciones individuales (8 Anticuerpos)(ELISA)–Tipo ENA  PROFILE  HUMAN ,IMTEC o alternativa</t>
  </si>
  <si>
    <t>TOTAL DE PESOS:NOVECIENTOS TREINTA Y DOS MIL CUARENTA Y SEIS CON 50/100.-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</si>
</sst>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3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  <xf numFmtId="44" fontId="25" fillId="0" borderId="0" applyFont="0" applyFill="0" applyBorder="0" applyAlignment="0" applyProtection="0"/>
    <xf numFmtId="0" fontId="14" fillId="0" borderId="0"/>
    <xf numFmtId="0" fontId="14" fillId="0" borderId="0"/>
  </cellStyleXfs>
  <cellXfs count="16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28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29" xfId="0" applyBorder="1"/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6" fontId="0" fillId="0" borderId="42" xfId="2" applyNumberFormat="1" applyFont="1" applyBorder="1" applyAlignment="1" applyProtection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6" xfId="2" applyNumberFormat="1" applyFont="1" applyBorder="1" applyAlignment="1" applyProtection="1">
      <alignment horizontal="center" vertical="center"/>
    </xf>
    <xf numFmtId="166" fontId="13" fillId="0" borderId="47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2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0" xfId="0" applyFont="1" applyBorder="1"/>
    <xf numFmtId="0" fontId="15" fillId="0" borderId="10" xfId="0" applyFont="1" applyBorder="1"/>
    <xf numFmtId="0" fontId="22" fillId="0" borderId="9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5" fillId="0" borderId="11" xfId="0" applyFont="1" applyBorder="1" applyAlignment="1">
      <alignment horizontal="left" indent="3"/>
    </xf>
    <xf numFmtId="0" fontId="15" fillId="0" borderId="12" xfId="0" applyFont="1" applyBorder="1"/>
    <xf numFmtId="0" fontId="15" fillId="0" borderId="13" xfId="0" applyFont="1" applyBorder="1"/>
    <xf numFmtId="0" fontId="21" fillId="3" borderId="4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26" fillId="4" borderId="5" xfId="0" applyFont="1" applyFill="1" applyBorder="1" applyAlignment="1">
      <alignment horizontal="center" vertical="center"/>
    </xf>
    <xf numFmtId="169" fontId="15" fillId="0" borderId="0" xfId="0" applyNumberFormat="1" applyFont="1"/>
    <xf numFmtId="0" fontId="19" fillId="0" borderId="53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6" fillId="4" borderId="5" xfId="7" applyFont="1" applyFill="1" applyBorder="1" applyAlignment="1">
      <alignment horizontal="center" vertical="center" wrapText="1"/>
    </xf>
    <xf numFmtId="44" fontId="27" fillId="0" borderId="5" xfId="5" applyFont="1" applyBorder="1" applyAlignment="1">
      <alignment vertical="center"/>
    </xf>
    <xf numFmtId="3" fontId="27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left" vertical="center" wrapText="1"/>
    </xf>
    <xf numFmtId="0" fontId="22" fillId="0" borderId="9" xfId="0" applyFont="1" applyFill="1" applyBorder="1" applyAlignment="1">
      <alignment horizontal="left" indent="3"/>
    </xf>
    <xf numFmtId="0" fontId="15" fillId="0" borderId="0" xfId="0" applyFont="1" applyFill="1" applyBorder="1"/>
    <xf numFmtId="0" fontId="15" fillId="0" borderId="10" xfId="0" applyFont="1" applyFill="1" applyBorder="1"/>
    <xf numFmtId="0" fontId="15" fillId="0" borderId="9" xfId="0" applyFont="1" applyFill="1" applyBorder="1" applyAlignment="1">
      <alignment horizontal="left" indent="3"/>
    </xf>
    <xf numFmtId="0" fontId="19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left" wrapText="1"/>
    </xf>
    <xf numFmtId="0" fontId="19" fillId="0" borderId="2" xfId="0" applyFont="1" applyFill="1" applyBorder="1" applyAlignment="1">
      <alignment horizontal="center" vertical="center" wrapText="1"/>
    </xf>
    <xf numFmtId="0" fontId="21" fillId="0" borderId="52" xfId="0" applyFont="1" applyFill="1" applyBorder="1" applyAlignment="1">
      <alignment horizontal="center" vertical="center" wrapText="1"/>
    </xf>
    <xf numFmtId="0" fontId="15" fillId="0" borderId="0" xfId="0" applyFont="1" applyFill="1"/>
    <xf numFmtId="0" fontId="15" fillId="0" borderId="7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2" xfId="0" applyFont="1" applyFill="1" applyBorder="1"/>
    <xf numFmtId="167" fontId="15" fillId="0" borderId="0" xfId="0" applyNumberFormat="1" applyFont="1"/>
    <xf numFmtId="0" fontId="6" fillId="0" borderId="15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14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166" fontId="0" fillId="0" borderId="37" xfId="2" applyNumberFormat="1" applyFont="1" applyFill="1" applyBorder="1" applyAlignment="1" applyProtection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 vertical="center"/>
    </xf>
    <xf numFmtId="166" fontId="0" fillId="0" borderId="42" xfId="2" applyNumberFormat="1" applyFont="1" applyFill="1" applyBorder="1" applyAlignment="1" applyProtection="1">
      <alignment horizontal="center" vertical="center"/>
    </xf>
    <xf numFmtId="0" fontId="30" fillId="0" borderId="5" xfId="4" applyFont="1" applyFill="1" applyBorder="1" applyAlignment="1">
      <alignment vertical="center"/>
    </xf>
    <xf numFmtId="0" fontId="30" fillId="0" borderId="5" xfId="0" applyFont="1" applyFill="1" applyBorder="1" applyAlignment="1">
      <alignment vertical="center"/>
    </xf>
    <xf numFmtId="0" fontId="30" fillId="0" borderId="5" xfId="0" applyFont="1" applyFill="1" applyBorder="1" applyAlignment="1">
      <alignment vertical="center" wrapText="1"/>
    </xf>
    <xf numFmtId="0" fontId="31" fillId="0" borderId="5" xfId="4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/>
    </xf>
    <xf numFmtId="0" fontId="30" fillId="0" borderId="59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/>
    </xf>
    <xf numFmtId="164" fontId="0" fillId="0" borderId="5" xfId="0" applyNumberFormat="1" applyBorder="1"/>
    <xf numFmtId="164" fontId="0" fillId="0" borderId="5" xfId="0" applyNumberFormat="1" applyBorder="1" applyAlignment="1">
      <alignment vertical="center"/>
    </xf>
    <xf numFmtId="164" fontId="24" fillId="0" borderId="51" xfId="4" applyNumberFormat="1" applyFont="1" applyFill="1" applyBorder="1" applyAlignment="1">
      <alignment vertical="center" wrapText="1"/>
    </xf>
    <xf numFmtId="164" fontId="0" fillId="0" borderId="5" xfId="0" applyNumberFormat="1" applyFill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3" borderId="0" xfId="0" applyFont="1" applyFill="1" applyBorder="1" applyAlignment="1">
      <alignment horizontal="left" wrapText="1" indent="1"/>
    </xf>
    <xf numFmtId="0" fontId="17" fillId="4" borderId="0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wrapText="1"/>
    </xf>
    <xf numFmtId="0" fontId="15" fillId="3" borderId="10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left"/>
    </xf>
    <xf numFmtId="0" fontId="15" fillId="3" borderId="1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/>
    </xf>
    <xf numFmtId="0" fontId="7" fillId="0" borderId="19" xfId="0" applyFont="1" applyFill="1" applyBorder="1" applyAlignment="1">
      <alignment horizontal="left" vertical="center" wrapText="1"/>
    </xf>
    <xf numFmtId="0" fontId="28" fillId="0" borderId="58" xfId="0" applyFont="1" applyBorder="1" applyAlignment="1">
      <alignment horizontal="left" vertical="center" wrapText="1" indent="1"/>
    </xf>
    <xf numFmtId="167" fontId="28" fillId="0" borderId="58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 wrapText="1" indent="1"/>
    </xf>
    <xf numFmtId="0" fontId="8" fillId="0" borderId="20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11" fillId="0" borderId="15" xfId="0" applyFont="1" applyBorder="1" applyAlignment="1">
      <alignment horizontal="left" indent="1"/>
    </xf>
    <xf numFmtId="0" fontId="4" fillId="0" borderId="17" xfId="0" applyFont="1" applyFill="1" applyBorder="1" applyAlignment="1">
      <alignment horizontal="left" vertical="center" wrapText="1"/>
    </xf>
    <xf numFmtId="0" fontId="4" fillId="0" borderId="49" xfId="0" applyFont="1" applyFill="1" applyBorder="1" applyAlignment="1">
      <alignment horizontal="left" vertical="center" wrapText="1"/>
    </xf>
    <xf numFmtId="0" fontId="4" fillId="0" borderId="50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indent="1"/>
    </xf>
    <xf numFmtId="0" fontId="12" fillId="0" borderId="15" xfId="0" applyFont="1" applyBorder="1" applyAlignment="1">
      <alignment horizontal="left"/>
    </xf>
    <xf numFmtId="0" fontId="2" fillId="0" borderId="15" xfId="0" applyFont="1" applyFill="1" applyBorder="1" applyAlignment="1">
      <alignment horizontal="left" indent="1"/>
    </xf>
    <xf numFmtId="0" fontId="29" fillId="0" borderId="35" xfId="0" applyFont="1" applyFill="1" applyBorder="1" applyAlignment="1">
      <alignment horizontal="left" vertical="center" wrapText="1"/>
    </xf>
    <xf numFmtId="0" fontId="29" fillId="0" borderId="41" xfId="0" applyFont="1" applyFill="1" applyBorder="1" applyAlignment="1">
      <alignment horizontal="left" vertical="center" wrapText="1"/>
    </xf>
    <xf numFmtId="0" fontId="11" fillId="0" borderId="26" xfId="0" applyFont="1" applyBorder="1"/>
    <xf numFmtId="0" fontId="11" fillId="0" borderId="27" xfId="0" applyFont="1" applyFill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9" fillId="0" borderId="23" xfId="0" applyFont="1" applyBorder="1" applyAlignment="1">
      <alignment vertical="center" wrapText="1"/>
    </xf>
    <xf numFmtId="0" fontId="9" fillId="0" borderId="48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47" xfId="0" applyFont="1" applyFill="1" applyBorder="1" applyAlignment="1">
      <alignment horizontal="left" vertical="center" wrapText="1" indent="1"/>
    </xf>
    <xf numFmtId="0" fontId="0" fillId="0" borderId="41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0" fillId="0" borderId="25" xfId="0" applyBorder="1"/>
  </cellXfs>
  <cellStyles count="8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  <cellStyle name="Normal 4" xfId="7" xr:uid="{00000000-0005-0000-0000-000007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J38"/>
  <sheetViews>
    <sheetView tabSelected="1" zoomScale="90" zoomScaleNormal="90" workbookViewId="0">
      <selection activeCell="E17" sqref="E17"/>
    </sheetView>
  </sheetViews>
  <sheetFormatPr baseColWidth="10" defaultColWidth="11" defaultRowHeight="12.75" x14ac:dyDescent="0.2"/>
  <cols>
    <col min="1" max="1" width="4.5703125" style="37" customWidth="1"/>
    <col min="2" max="2" width="12.85546875" style="37" customWidth="1"/>
    <col min="3" max="3" width="32.42578125" style="37" customWidth="1"/>
    <col min="4" max="4" width="8.42578125" style="78" customWidth="1"/>
    <col min="5" max="5" width="79" style="37" customWidth="1"/>
    <col min="6" max="6" width="11" style="37"/>
    <col min="7" max="7" width="12.7109375" style="37" customWidth="1"/>
    <col min="8" max="8" width="15.42578125" style="37" customWidth="1"/>
    <col min="9" max="9" width="18.5703125" style="37" customWidth="1"/>
    <col min="10" max="10" width="11.140625" style="37" bestFit="1" customWidth="1"/>
    <col min="11" max="16384" width="11" style="37"/>
  </cols>
  <sheetData>
    <row r="2" spans="1:10" ht="27" x14ac:dyDescent="0.35">
      <c r="B2" s="106" t="s">
        <v>0</v>
      </c>
      <c r="C2" s="106"/>
      <c r="D2" s="106"/>
      <c r="E2" s="106"/>
      <c r="F2" s="106"/>
      <c r="G2" s="106"/>
      <c r="H2" s="106"/>
    </row>
    <row r="4" spans="1:10" ht="18" customHeight="1" x14ac:dyDescent="0.25">
      <c r="A4" s="107" t="s">
        <v>1</v>
      </c>
      <c r="B4" s="107"/>
      <c r="C4" s="108" t="s">
        <v>60</v>
      </c>
      <c r="D4" s="108"/>
      <c r="E4" s="108"/>
      <c r="F4" s="38"/>
      <c r="G4" s="39"/>
      <c r="H4" s="38"/>
      <c r="J4" s="82"/>
    </row>
    <row r="5" spans="1:10" ht="18" customHeight="1" x14ac:dyDescent="0.25">
      <c r="A5" s="109" t="s">
        <v>2</v>
      </c>
      <c r="B5" s="109"/>
      <c r="C5" s="108" t="s">
        <v>67</v>
      </c>
      <c r="D5" s="108"/>
      <c r="E5" s="108"/>
      <c r="F5" s="38"/>
      <c r="G5" s="39"/>
      <c r="H5" s="38"/>
      <c r="J5" s="82"/>
    </row>
    <row r="6" spans="1:10" ht="16.5" customHeight="1" x14ac:dyDescent="0.25">
      <c r="A6" s="107" t="s">
        <v>3</v>
      </c>
      <c r="B6" s="107"/>
      <c r="C6" s="57">
        <v>2020</v>
      </c>
      <c r="D6" s="74"/>
      <c r="E6" s="58"/>
      <c r="F6" s="38"/>
      <c r="G6" s="39"/>
      <c r="H6" s="38"/>
      <c r="J6" s="82"/>
    </row>
    <row r="7" spans="1:10" ht="16.5" customHeight="1" x14ac:dyDescent="0.25">
      <c r="A7" s="107" t="s">
        <v>4</v>
      </c>
      <c r="B7" s="107"/>
      <c r="C7" s="57">
        <v>4</v>
      </c>
      <c r="D7" s="74"/>
      <c r="E7" s="58"/>
      <c r="F7" s="38"/>
      <c r="G7" s="39"/>
      <c r="H7" s="38"/>
    </row>
    <row r="8" spans="1:10" ht="13.5" thickBot="1" x14ac:dyDescent="0.25">
      <c r="B8" s="38"/>
      <c r="C8" s="39"/>
      <c r="D8" s="75"/>
      <c r="E8" s="38"/>
      <c r="F8" s="38"/>
      <c r="G8" s="39"/>
      <c r="H8" s="38"/>
    </row>
    <row r="9" spans="1:10" ht="39.75" thickTop="1" thickBot="1" x14ac:dyDescent="0.25">
      <c r="A9" s="40" t="s">
        <v>5</v>
      </c>
      <c r="B9" s="40" t="s">
        <v>6</v>
      </c>
      <c r="C9" s="40" t="s">
        <v>7</v>
      </c>
      <c r="D9" s="76" t="s">
        <v>8</v>
      </c>
      <c r="E9" s="40" t="s">
        <v>9</v>
      </c>
      <c r="F9" s="40" t="s">
        <v>10</v>
      </c>
      <c r="G9" s="40" t="s">
        <v>11</v>
      </c>
      <c r="H9" s="61" t="s">
        <v>12</v>
      </c>
      <c r="I9" s="62" t="s">
        <v>13</v>
      </c>
    </row>
    <row r="10" spans="1:10" ht="25.5" hidden="1" thickTop="1" thickBot="1" x14ac:dyDescent="0.25">
      <c r="A10" s="41">
        <v>1</v>
      </c>
      <c r="B10" s="56"/>
      <c r="C10" s="69" t="s">
        <v>74</v>
      </c>
      <c r="D10" s="77">
        <v>295</v>
      </c>
      <c r="E10" s="95" t="s">
        <v>78</v>
      </c>
      <c r="F10" s="98" t="s">
        <v>63</v>
      </c>
      <c r="G10" s="101">
        <v>50</v>
      </c>
      <c r="H10" s="102">
        <v>7950</v>
      </c>
      <c r="I10" s="104">
        <f>+G10*H10</f>
        <v>397500</v>
      </c>
    </row>
    <row r="11" spans="1:10" ht="25.5" thickTop="1" thickBot="1" x14ac:dyDescent="0.25">
      <c r="A11" s="41">
        <v>2</v>
      </c>
      <c r="B11" s="42"/>
      <c r="C11" s="69" t="s">
        <v>74</v>
      </c>
      <c r="D11" s="77">
        <v>251</v>
      </c>
      <c r="E11" s="96" t="s">
        <v>62</v>
      </c>
      <c r="F11" s="99" t="s">
        <v>61</v>
      </c>
      <c r="G11" s="100">
        <v>5</v>
      </c>
      <c r="H11" s="102">
        <v>7650</v>
      </c>
      <c r="I11" s="104">
        <f t="shared" ref="I11:I24" si="0">+G11*H11</f>
        <v>38250</v>
      </c>
    </row>
    <row r="12" spans="1:10" ht="25.5" thickTop="1" thickBot="1" x14ac:dyDescent="0.25">
      <c r="A12" s="41">
        <v>3</v>
      </c>
      <c r="B12" s="42"/>
      <c r="C12" s="69" t="s">
        <v>74</v>
      </c>
      <c r="D12" s="77">
        <v>251</v>
      </c>
      <c r="E12" s="96" t="s">
        <v>68</v>
      </c>
      <c r="F12" s="99" t="s">
        <v>61</v>
      </c>
      <c r="G12" s="100">
        <v>5</v>
      </c>
      <c r="H12" s="102">
        <v>7943</v>
      </c>
      <c r="I12" s="104">
        <f t="shared" si="0"/>
        <v>39715</v>
      </c>
    </row>
    <row r="13" spans="1:10" ht="25.5" thickTop="1" thickBot="1" x14ac:dyDescent="0.25">
      <c r="A13" s="41">
        <v>4</v>
      </c>
      <c r="B13" s="42"/>
      <c r="C13" s="69" t="s">
        <v>74</v>
      </c>
      <c r="D13" s="77">
        <v>251</v>
      </c>
      <c r="E13" s="96" t="s">
        <v>69</v>
      </c>
      <c r="F13" s="99" t="s">
        <v>73</v>
      </c>
      <c r="G13" s="100">
        <v>5</v>
      </c>
      <c r="H13" s="102">
        <v>3875.5</v>
      </c>
      <c r="I13" s="104">
        <f t="shared" si="0"/>
        <v>19377.5</v>
      </c>
    </row>
    <row r="14" spans="1:10" ht="25.5" hidden="1" thickTop="1" thickBot="1" x14ac:dyDescent="0.25">
      <c r="A14" s="41">
        <v>5</v>
      </c>
      <c r="B14" s="42"/>
      <c r="C14" s="69" t="s">
        <v>74</v>
      </c>
      <c r="D14" s="77">
        <v>295</v>
      </c>
      <c r="E14" s="96" t="s">
        <v>79</v>
      </c>
      <c r="F14" s="99" t="s">
        <v>61</v>
      </c>
      <c r="G14" s="100">
        <v>3</v>
      </c>
      <c r="H14" s="102">
        <v>8289</v>
      </c>
      <c r="I14" s="104">
        <f t="shared" si="0"/>
        <v>24867</v>
      </c>
    </row>
    <row r="15" spans="1:10" ht="25.5" thickTop="1" thickBot="1" x14ac:dyDescent="0.25">
      <c r="A15" s="41">
        <v>6</v>
      </c>
      <c r="B15" s="42"/>
      <c r="C15" s="69" t="s">
        <v>74</v>
      </c>
      <c r="D15" s="77">
        <v>251</v>
      </c>
      <c r="E15" s="96" t="s">
        <v>80</v>
      </c>
      <c r="F15" s="99" t="s">
        <v>73</v>
      </c>
      <c r="G15" s="100">
        <v>1</v>
      </c>
      <c r="H15" s="102">
        <v>2367</v>
      </c>
      <c r="I15" s="104">
        <f t="shared" si="0"/>
        <v>2367</v>
      </c>
    </row>
    <row r="16" spans="1:10" ht="25.5" thickTop="1" thickBot="1" x14ac:dyDescent="0.25">
      <c r="A16" s="41">
        <v>7</v>
      </c>
      <c r="B16" s="42"/>
      <c r="C16" s="69" t="s">
        <v>74</v>
      </c>
      <c r="D16" s="77">
        <v>251</v>
      </c>
      <c r="E16" s="96" t="s">
        <v>81</v>
      </c>
      <c r="F16" s="99" t="s">
        <v>61</v>
      </c>
      <c r="G16" s="100">
        <v>10</v>
      </c>
      <c r="H16" s="102">
        <v>490</v>
      </c>
      <c r="I16" s="104">
        <f t="shared" si="0"/>
        <v>4900</v>
      </c>
    </row>
    <row r="17" spans="1:9" ht="25.5" thickTop="1" thickBot="1" x14ac:dyDescent="0.25">
      <c r="A17" s="41">
        <v>8</v>
      </c>
      <c r="B17" s="42"/>
      <c r="C17" s="69" t="s">
        <v>74</v>
      </c>
      <c r="D17" s="77">
        <v>251</v>
      </c>
      <c r="E17" s="97" t="s">
        <v>82</v>
      </c>
      <c r="F17" s="99" t="s">
        <v>63</v>
      </c>
      <c r="G17" s="100">
        <v>10</v>
      </c>
      <c r="H17" s="103">
        <v>12445</v>
      </c>
      <c r="I17" s="104">
        <f t="shared" si="0"/>
        <v>124450</v>
      </c>
    </row>
    <row r="18" spans="1:9" ht="25.5" thickTop="1" thickBot="1" x14ac:dyDescent="0.25">
      <c r="A18" s="41">
        <v>9</v>
      </c>
      <c r="B18" s="42"/>
      <c r="C18" s="69" t="s">
        <v>74</v>
      </c>
      <c r="D18" s="77">
        <v>251</v>
      </c>
      <c r="E18" s="97" t="s">
        <v>83</v>
      </c>
      <c r="F18" s="99" t="s">
        <v>63</v>
      </c>
      <c r="G18" s="100">
        <v>6</v>
      </c>
      <c r="H18" s="102">
        <v>1653</v>
      </c>
      <c r="I18" s="104">
        <f t="shared" si="0"/>
        <v>9918</v>
      </c>
    </row>
    <row r="19" spans="1:9" ht="25.5" thickTop="1" thickBot="1" x14ac:dyDescent="0.25">
      <c r="A19" s="41">
        <v>10</v>
      </c>
      <c r="B19" s="42"/>
      <c r="C19" s="69" t="s">
        <v>74</v>
      </c>
      <c r="D19" s="77">
        <v>251</v>
      </c>
      <c r="E19" s="96" t="s">
        <v>84</v>
      </c>
      <c r="F19" s="99" t="s">
        <v>63</v>
      </c>
      <c r="G19" s="100">
        <v>12</v>
      </c>
      <c r="H19" s="102">
        <v>3382</v>
      </c>
      <c r="I19" s="104">
        <f t="shared" si="0"/>
        <v>40584</v>
      </c>
    </row>
    <row r="20" spans="1:9" ht="25.5" hidden="1" thickTop="1" thickBot="1" x14ac:dyDescent="0.25">
      <c r="A20" s="41">
        <v>11</v>
      </c>
      <c r="B20" s="42"/>
      <c r="C20" s="69" t="s">
        <v>74</v>
      </c>
      <c r="D20" s="77">
        <v>295</v>
      </c>
      <c r="E20" s="96" t="s">
        <v>85</v>
      </c>
      <c r="F20" s="99" t="s">
        <v>63</v>
      </c>
      <c r="G20" s="100">
        <v>2</v>
      </c>
      <c r="H20" s="102">
        <v>313</v>
      </c>
      <c r="I20" s="104">
        <f t="shared" si="0"/>
        <v>626</v>
      </c>
    </row>
    <row r="21" spans="1:9" ht="25.5" thickTop="1" thickBot="1" x14ac:dyDescent="0.25">
      <c r="A21" s="41">
        <v>12</v>
      </c>
      <c r="B21" s="42"/>
      <c r="C21" s="69" t="s">
        <v>74</v>
      </c>
      <c r="D21" s="77">
        <v>251</v>
      </c>
      <c r="E21" s="96" t="s">
        <v>70</v>
      </c>
      <c r="F21" s="99" t="s">
        <v>61</v>
      </c>
      <c r="G21" s="100">
        <v>15</v>
      </c>
      <c r="H21" s="102">
        <v>998</v>
      </c>
      <c r="I21" s="104">
        <f t="shared" si="0"/>
        <v>14970</v>
      </c>
    </row>
    <row r="22" spans="1:9" ht="25.5" thickTop="1" thickBot="1" x14ac:dyDescent="0.25">
      <c r="A22" s="41">
        <v>13</v>
      </c>
      <c r="B22" s="42"/>
      <c r="C22" s="69" t="s">
        <v>74</v>
      </c>
      <c r="D22" s="77">
        <v>251</v>
      </c>
      <c r="E22" s="95" t="s">
        <v>87</v>
      </c>
      <c r="F22" s="99" t="s">
        <v>61</v>
      </c>
      <c r="G22" s="100">
        <v>2</v>
      </c>
      <c r="H22" s="105">
        <v>69866</v>
      </c>
      <c r="I22" s="104">
        <f t="shared" ref="I22:I23" si="1">+G22*H22</f>
        <v>139732</v>
      </c>
    </row>
    <row r="23" spans="1:9" ht="25.5" thickTop="1" thickBot="1" x14ac:dyDescent="0.25">
      <c r="A23" s="41">
        <v>14</v>
      </c>
      <c r="B23" s="42"/>
      <c r="C23" s="69" t="s">
        <v>74</v>
      </c>
      <c r="D23" s="77">
        <v>251</v>
      </c>
      <c r="E23" s="97" t="s">
        <v>88</v>
      </c>
      <c r="F23" s="99" t="s">
        <v>61</v>
      </c>
      <c r="G23" s="100">
        <v>2</v>
      </c>
      <c r="H23" s="105">
        <v>32370</v>
      </c>
      <c r="I23" s="104">
        <f t="shared" si="1"/>
        <v>64740</v>
      </c>
    </row>
    <row r="24" spans="1:9" ht="24.75" thickTop="1" x14ac:dyDescent="0.2">
      <c r="A24" s="41">
        <v>15</v>
      </c>
      <c r="B24" s="42"/>
      <c r="C24" s="69" t="s">
        <v>74</v>
      </c>
      <c r="D24" s="77">
        <v>251</v>
      </c>
      <c r="E24" s="96" t="s">
        <v>71</v>
      </c>
      <c r="F24" s="99" t="s">
        <v>61</v>
      </c>
      <c r="G24" s="100">
        <v>3</v>
      </c>
      <c r="H24" s="102">
        <v>3350</v>
      </c>
      <c r="I24" s="104">
        <f t="shared" si="0"/>
        <v>10050</v>
      </c>
    </row>
    <row r="25" spans="1:9" x14ac:dyDescent="0.2">
      <c r="I25" s="60"/>
    </row>
    <row r="26" spans="1:9" ht="13.5" thickBot="1" x14ac:dyDescent="0.25"/>
    <row r="27" spans="1:9" x14ac:dyDescent="0.2">
      <c r="B27" s="43"/>
      <c r="C27" s="44"/>
      <c r="D27" s="79"/>
      <c r="E27" s="45"/>
    </row>
    <row r="28" spans="1:9" ht="5.25" customHeight="1" x14ac:dyDescent="0.2">
      <c r="B28" s="46"/>
      <c r="C28" s="47"/>
      <c r="D28" s="71"/>
      <c r="E28" s="48"/>
    </row>
    <row r="29" spans="1:9" x14ac:dyDescent="0.2">
      <c r="B29" s="70" t="s">
        <v>14</v>
      </c>
      <c r="C29" s="71"/>
      <c r="D29" s="71"/>
      <c r="E29" s="72"/>
    </row>
    <row r="30" spans="1:9" x14ac:dyDescent="0.2">
      <c r="B30" s="73"/>
      <c r="C30" s="112" t="s">
        <v>75</v>
      </c>
      <c r="D30" s="112"/>
      <c r="E30" s="112"/>
    </row>
    <row r="31" spans="1:9" x14ac:dyDescent="0.2">
      <c r="B31" s="73"/>
      <c r="C31" s="112"/>
      <c r="D31" s="112"/>
      <c r="E31" s="112"/>
    </row>
    <row r="32" spans="1:9" x14ac:dyDescent="0.2">
      <c r="B32" s="49" t="s">
        <v>15</v>
      </c>
      <c r="C32" s="47"/>
      <c r="D32" s="71"/>
      <c r="E32" s="48"/>
    </row>
    <row r="33" spans="2:5" ht="26.25" customHeight="1" x14ac:dyDescent="0.2">
      <c r="B33" s="50"/>
      <c r="C33" s="113"/>
      <c r="D33" s="113"/>
      <c r="E33" s="113"/>
    </row>
    <row r="34" spans="2:5" x14ac:dyDescent="0.2">
      <c r="B34" s="49" t="s">
        <v>16</v>
      </c>
      <c r="C34" s="51"/>
      <c r="D34" s="80"/>
      <c r="E34" s="52"/>
    </row>
    <row r="35" spans="2:5" ht="26.25" customHeight="1" x14ac:dyDescent="0.2">
      <c r="B35" s="50"/>
      <c r="C35" s="110" t="s">
        <v>57</v>
      </c>
      <c r="D35" s="110"/>
      <c r="E35" s="110"/>
    </row>
    <row r="36" spans="2:5" x14ac:dyDescent="0.2">
      <c r="B36" s="49" t="s">
        <v>17</v>
      </c>
      <c r="C36" s="47"/>
      <c r="D36" s="71"/>
      <c r="E36" s="48"/>
    </row>
    <row r="37" spans="2:5" ht="23.25" customHeight="1" x14ac:dyDescent="0.2">
      <c r="B37" s="49"/>
      <c r="C37" s="111"/>
      <c r="D37" s="111"/>
      <c r="E37" s="111"/>
    </row>
    <row r="38" spans="2:5" x14ac:dyDescent="0.2">
      <c r="B38" s="53"/>
      <c r="C38" s="54"/>
      <c r="D38" s="81"/>
      <c r="E38" s="55"/>
    </row>
  </sheetData>
  <autoFilter ref="A9:I24" xr:uid="{00000000-0009-0000-0000-000000000000}">
    <filterColumn colId="3">
      <filters>
        <filter val="251"/>
      </filters>
    </filterColumn>
  </autoFilter>
  <mergeCells count="12">
    <mergeCell ref="C35:E35"/>
    <mergeCell ref="C37:E37"/>
    <mergeCell ref="A6:B6"/>
    <mergeCell ref="A7:B7"/>
    <mergeCell ref="C30:E30"/>
    <mergeCell ref="C31:E31"/>
    <mergeCell ref="C33:E33"/>
    <mergeCell ref="B2:H2"/>
    <mergeCell ref="A4:B4"/>
    <mergeCell ref="C4:E4"/>
    <mergeCell ref="A5:B5"/>
    <mergeCell ref="C5:E5"/>
  </mergeCells>
  <conditionalFormatting sqref="E24">
    <cfRule type="cellIs" dxfId="7" priority="75" operator="equal">
      <formula>"duplicar"</formula>
    </cfRule>
  </conditionalFormatting>
  <conditionalFormatting sqref="E24">
    <cfRule type="duplicateValues" dxfId="6" priority="92"/>
    <cfRule type="duplicateValues" dxfId="5" priority="93"/>
    <cfRule type="cellIs" dxfId="4" priority="94" operator="equal">
      <formula>"calibra"</formula>
    </cfRule>
  </conditionalFormatting>
  <conditionalFormatting sqref="E23">
    <cfRule type="cellIs" dxfId="3" priority="4" operator="equal">
      <formula>"duplicar"</formula>
    </cfRule>
  </conditionalFormatting>
  <conditionalFormatting sqref="E23">
    <cfRule type="duplicateValues" dxfId="2" priority="1"/>
    <cfRule type="duplicateValues" dxfId="1" priority="2"/>
    <cfRule type="cellIs" dxfId="0" priority="3" operator="equal">
      <formula>"calibra"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7"/>
  <sheetViews>
    <sheetView topLeftCell="A14" zoomScaleNormal="100" workbookViewId="0">
      <selection activeCell="M25" sqref="M2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4" t="s">
        <v>18</v>
      </c>
      <c r="B1" s="114"/>
      <c r="C1" s="114"/>
      <c r="D1" s="114"/>
      <c r="E1" s="114"/>
      <c r="F1" s="114"/>
      <c r="G1" s="114"/>
      <c r="H1" s="114"/>
      <c r="I1" s="114"/>
      <c r="J1" s="3" t="s">
        <v>19</v>
      </c>
      <c r="K1" s="83" t="s">
        <v>86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9" t="s">
        <v>52</v>
      </c>
      <c r="B3" s="119"/>
      <c r="C3" s="119"/>
      <c r="D3" s="118" t="s">
        <v>56</v>
      </c>
      <c r="E3" s="118"/>
      <c r="F3" s="118"/>
      <c r="G3" s="118"/>
      <c r="H3" s="118"/>
      <c r="I3" s="118"/>
      <c r="J3" s="118"/>
      <c r="K3" s="118"/>
    </row>
    <row r="4" spans="1:11" ht="18.75" customHeight="1" thickBot="1" x14ac:dyDescent="0.25">
      <c r="A4" s="120" t="s">
        <v>53</v>
      </c>
      <c r="B4" s="120"/>
      <c r="C4" s="120"/>
      <c r="D4" s="116" t="str">
        <f>'Necesidades Trimestrales'!C5</f>
        <v xml:space="preserve">24 - HOSPITAL DE NIÑOS 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25">
      <c r="A5" s="120" t="s">
        <v>31</v>
      </c>
      <c r="B5" s="120"/>
      <c r="C5" s="120"/>
      <c r="D5" s="116">
        <f>'Necesidades Trimestrales'!C6</f>
        <v>2020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25">
      <c r="A6" s="115" t="s">
        <v>54</v>
      </c>
      <c r="B6" s="115"/>
      <c r="C6" s="115"/>
      <c r="D6" s="116" t="s">
        <v>76</v>
      </c>
      <c r="E6" s="116"/>
      <c r="F6" s="116"/>
      <c r="G6" s="116"/>
      <c r="H6" s="116"/>
      <c r="I6" s="116"/>
      <c r="J6" s="116"/>
      <c r="K6" s="116"/>
    </row>
    <row r="7" spans="1:11" ht="16.5" customHeight="1" x14ac:dyDescent="0.2">
      <c r="A7" s="117" t="s">
        <v>20</v>
      </c>
      <c r="B7" s="117"/>
      <c r="C7" s="117"/>
      <c r="D7" s="118" t="str">
        <f>'Necesidades Trimestrales'!C7 &amp; "° Trimestre - Año " &amp; 'Necesidades Trimestrales'!C6</f>
        <v>4° Trimestre - Año 2020</v>
      </c>
      <c r="E7" s="118"/>
      <c r="F7" s="118"/>
      <c r="G7" s="118"/>
      <c r="H7" s="118"/>
      <c r="I7" s="118"/>
      <c r="J7" s="118"/>
      <c r="K7" s="118"/>
    </row>
    <row r="8" spans="1:11" ht="16.5" customHeight="1" x14ac:dyDescent="0.2">
      <c r="A8" s="123" t="s">
        <v>21</v>
      </c>
      <c r="B8" s="123"/>
      <c r="C8" s="123"/>
      <c r="D8" s="124" t="s">
        <v>65</v>
      </c>
      <c r="E8" s="124"/>
      <c r="F8" s="124"/>
      <c r="G8" s="124"/>
      <c r="H8" s="124"/>
      <c r="I8" s="124"/>
      <c r="J8" s="124"/>
      <c r="K8" s="12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25">
      <c r="A10" s="125" t="s">
        <v>22</v>
      </c>
      <c r="B10" s="127" t="s">
        <v>23</v>
      </c>
      <c r="C10" s="127" t="s">
        <v>24</v>
      </c>
      <c r="D10" s="127"/>
      <c r="E10" s="127"/>
      <c r="F10" s="127"/>
      <c r="G10" s="127"/>
      <c r="H10" s="127" t="s">
        <v>25</v>
      </c>
      <c r="I10" s="127" t="s">
        <v>26</v>
      </c>
      <c r="J10" s="127" t="s">
        <v>27</v>
      </c>
      <c r="K10" s="129" t="s">
        <v>28</v>
      </c>
    </row>
    <row r="11" spans="1:11" ht="24" customHeight="1" x14ac:dyDescent="0.2">
      <c r="A11" s="126"/>
      <c r="B11" s="128"/>
      <c r="C11" s="128"/>
      <c r="D11" s="128"/>
      <c r="E11" s="128"/>
      <c r="F11" s="128"/>
      <c r="G11" s="128"/>
      <c r="H11" s="128"/>
      <c r="I11" s="128"/>
      <c r="J11" s="128"/>
      <c r="K11" s="130"/>
    </row>
    <row r="12" spans="1:11" ht="24" customHeight="1" x14ac:dyDescent="0.2">
      <c r="A12" s="66">
        <v>1</v>
      </c>
      <c r="B12" s="67"/>
      <c r="C12" s="131" t="str">
        <f>+'Necesidades Trimestrales'!E10</f>
        <v>Ansas estériles descartables de 20 ul x 10 u</v>
      </c>
      <c r="D12" s="132" t="s">
        <v>72</v>
      </c>
      <c r="E12" s="132" t="s">
        <v>72</v>
      </c>
      <c r="F12" s="132" t="s">
        <v>72</v>
      </c>
      <c r="G12" s="133" t="s">
        <v>72</v>
      </c>
      <c r="H12" s="68" t="s">
        <v>64</v>
      </c>
      <c r="I12" s="59" t="str">
        <f>+'Necesidades Trimestrales'!F10</f>
        <v>UNIDAD</v>
      </c>
      <c r="J12" s="64">
        <f>+'Necesidades Trimestrales'!H10</f>
        <v>7950</v>
      </c>
      <c r="K12" s="65">
        <f>+'Necesidades Trimestrales'!G10</f>
        <v>50</v>
      </c>
    </row>
    <row r="13" spans="1:11" ht="24" customHeight="1" x14ac:dyDescent="0.2">
      <c r="A13" s="66">
        <v>2</v>
      </c>
      <c r="B13" s="67"/>
      <c r="C13" s="131" t="str">
        <f>+'Necesidades Trimestrales'!E11</f>
        <v>CHAGAS ELISA RECOMBINANTE 4.0 TIPO WIENER</v>
      </c>
      <c r="D13" s="132" t="s">
        <v>62</v>
      </c>
      <c r="E13" s="132" t="s">
        <v>62</v>
      </c>
      <c r="F13" s="132" t="s">
        <v>62</v>
      </c>
      <c r="G13" s="133" t="s">
        <v>62</v>
      </c>
      <c r="H13" s="68" t="s">
        <v>64</v>
      </c>
      <c r="I13" s="63" t="str">
        <f>+'Necesidades Trimestrales'!F11</f>
        <v>CAJA</v>
      </c>
      <c r="J13" s="64">
        <f>+'Necesidades Trimestrales'!H11</f>
        <v>7650</v>
      </c>
      <c r="K13" s="65">
        <f>+'Necesidades Trimestrales'!G11</f>
        <v>5</v>
      </c>
    </row>
    <row r="14" spans="1:11" ht="24" customHeight="1" x14ac:dyDescent="0.2">
      <c r="A14" s="66">
        <v>3</v>
      </c>
      <c r="B14" s="67"/>
      <c r="C14" s="131" t="str">
        <f>+'Necesidades Trimestrales'!E12</f>
        <v>CHAGAS HAI TIPO POLYCHACO</v>
      </c>
      <c r="D14" s="132" t="s">
        <v>62</v>
      </c>
      <c r="E14" s="132" t="s">
        <v>62</v>
      </c>
      <c r="F14" s="132" t="s">
        <v>62</v>
      </c>
      <c r="G14" s="133" t="s">
        <v>62</v>
      </c>
      <c r="H14" s="68" t="s">
        <v>64</v>
      </c>
      <c r="I14" s="63" t="str">
        <f>+'Necesidades Trimestrales'!F12</f>
        <v>CAJA</v>
      </c>
      <c r="J14" s="64">
        <f>+'Necesidades Trimestrales'!H12</f>
        <v>7943</v>
      </c>
      <c r="K14" s="65">
        <f>+'Necesidades Trimestrales'!G12</f>
        <v>5</v>
      </c>
    </row>
    <row r="15" spans="1:11" ht="24" customHeight="1" x14ac:dyDescent="0.2">
      <c r="A15" s="66">
        <v>4</v>
      </c>
      <c r="B15" s="67"/>
      <c r="C15" s="131" t="str">
        <f>+'Necesidades Trimestrales'!E13</f>
        <v>CLCA 0,025M X 10ML HEMOMEDICA</v>
      </c>
      <c r="D15" s="132" t="s">
        <v>62</v>
      </c>
      <c r="E15" s="132" t="s">
        <v>62</v>
      </c>
      <c r="F15" s="132" t="s">
        <v>62</v>
      </c>
      <c r="G15" s="133" t="s">
        <v>62</v>
      </c>
      <c r="H15" s="68" t="s">
        <v>64</v>
      </c>
      <c r="I15" s="63" t="str">
        <f>+'Necesidades Trimestrales'!F13</f>
        <v>FRASCO</v>
      </c>
      <c r="J15" s="64">
        <f>+'Necesidades Trimestrales'!H13</f>
        <v>3875.5</v>
      </c>
      <c r="K15" s="65">
        <f>+'Necesidades Trimestrales'!G13</f>
        <v>5</v>
      </c>
    </row>
    <row r="16" spans="1:11" ht="24" customHeight="1" x14ac:dyDescent="0.2">
      <c r="A16" s="66">
        <v>5</v>
      </c>
      <c r="B16" s="67"/>
      <c r="C16" s="131" t="str">
        <f>+'Necesidades Trimestrales'!E14</f>
        <v>CUBETAS COATRON SERIE X 500 U –TECO</v>
      </c>
      <c r="D16" s="132" t="s">
        <v>62</v>
      </c>
      <c r="E16" s="132" t="s">
        <v>62</v>
      </c>
      <c r="F16" s="132" t="s">
        <v>62</v>
      </c>
      <c r="G16" s="133" t="s">
        <v>62</v>
      </c>
      <c r="H16" s="68" t="s">
        <v>64</v>
      </c>
      <c r="I16" s="63" t="str">
        <f>+'Necesidades Trimestrales'!F14</f>
        <v>CAJA</v>
      </c>
      <c r="J16" s="64">
        <f>+'Necesidades Trimestrales'!H14</f>
        <v>8289</v>
      </c>
      <c r="K16" s="65">
        <f>+'Necesidades Trimestrales'!G14</f>
        <v>3</v>
      </c>
    </row>
    <row r="17" spans="1:11" ht="24" customHeight="1" x14ac:dyDescent="0.2">
      <c r="A17" s="66">
        <v>6</v>
      </c>
      <c r="B17" s="67"/>
      <c r="C17" s="131" t="str">
        <f>+'Necesidades Trimestrales'!E15</f>
        <v>Fosfato de Potasio monobásico x   250 grs tipo Cicarelli</v>
      </c>
      <c r="D17" s="132" t="s">
        <v>62</v>
      </c>
      <c r="E17" s="132" t="s">
        <v>62</v>
      </c>
      <c r="F17" s="132" t="s">
        <v>62</v>
      </c>
      <c r="G17" s="133" t="s">
        <v>62</v>
      </c>
      <c r="H17" s="68" t="s">
        <v>64</v>
      </c>
      <c r="I17" s="63" t="str">
        <f>+'Necesidades Trimestrales'!F15</f>
        <v>FRASCO</v>
      </c>
      <c r="J17" s="64">
        <f>+'Necesidades Trimestrales'!H15</f>
        <v>2367</v>
      </c>
      <c r="K17" s="65">
        <f>+'Necesidades Trimestrales'!G15</f>
        <v>1</v>
      </c>
    </row>
    <row r="18" spans="1:11" ht="24" customHeight="1" x14ac:dyDescent="0.2">
      <c r="A18" s="66">
        <v>7</v>
      </c>
      <c r="B18" s="67"/>
      <c r="C18" s="131" t="str">
        <f>+'Necesidades Trimestrales'!E16</f>
        <v>Glucocurve 75 grs. X 10 sobres Tipo SDA</v>
      </c>
      <c r="D18" s="132" t="s">
        <v>62</v>
      </c>
      <c r="E18" s="132" t="s">
        <v>62</v>
      </c>
      <c r="F18" s="132" t="s">
        <v>62</v>
      </c>
      <c r="G18" s="133" t="s">
        <v>62</v>
      </c>
      <c r="H18" s="68" t="s">
        <v>64</v>
      </c>
      <c r="I18" s="63" t="str">
        <f>+'Necesidades Trimestrales'!F16</f>
        <v>CAJA</v>
      </c>
      <c r="J18" s="64">
        <f>+'Necesidades Trimestrales'!H16</f>
        <v>490</v>
      </c>
      <c r="K18" s="65">
        <f>+'Necesidades Trimestrales'!G16</f>
        <v>10</v>
      </c>
    </row>
    <row r="19" spans="1:11" ht="24" customHeight="1" x14ac:dyDescent="0.2">
      <c r="A19" s="66">
        <v>8</v>
      </c>
      <c r="B19" s="67"/>
      <c r="C19" s="131" t="str">
        <f>+'Necesidades Trimestrales'!E17</f>
        <v>Impronta FTA (  bolsa de 5 improntas x 7 pocillos)  -Tipo Biocientifica o alternativa</v>
      </c>
      <c r="D19" s="132" t="s">
        <v>62</v>
      </c>
      <c r="E19" s="132" t="s">
        <v>62</v>
      </c>
      <c r="F19" s="132" t="s">
        <v>62</v>
      </c>
      <c r="G19" s="133" t="s">
        <v>62</v>
      </c>
      <c r="H19" s="68" t="s">
        <v>64</v>
      </c>
      <c r="I19" s="63" t="str">
        <f>+'Necesidades Trimestrales'!F17</f>
        <v>UNIDAD</v>
      </c>
      <c r="J19" s="64">
        <f>+'Necesidades Trimestrales'!H17</f>
        <v>12445</v>
      </c>
      <c r="K19" s="65">
        <f>+'Necesidades Trimestrales'!G17</f>
        <v>10</v>
      </c>
    </row>
    <row r="20" spans="1:11" ht="30" customHeight="1" x14ac:dyDescent="0.2">
      <c r="A20" s="66">
        <v>9</v>
      </c>
      <c r="B20" s="67"/>
      <c r="C20" s="131" t="str">
        <f>+'Necesidades Trimestrales'!E18</f>
        <v>Improntas  DNA ”Crithidia Luciliae” (x 7 pocillos) –Tipo ”BIOCIENTIFICA” o Alternativa</v>
      </c>
      <c r="D20" s="132" t="s">
        <v>62</v>
      </c>
      <c r="E20" s="132" t="s">
        <v>62</v>
      </c>
      <c r="F20" s="132" t="s">
        <v>62</v>
      </c>
      <c r="G20" s="133" t="s">
        <v>62</v>
      </c>
      <c r="H20" s="68" t="s">
        <v>64</v>
      </c>
      <c r="I20" s="63" t="str">
        <f>+'Necesidades Trimestrales'!F18</f>
        <v>UNIDAD</v>
      </c>
      <c r="J20" s="64">
        <f>+'Necesidades Trimestrales'!H18</f>
        <v>1653</v>
      </c>
      <c r="K20" s="65">
        <f>+'Necesidades Trimestrales'!G18</f>
        <v>6</v>
      </c>
    </row>
    <row r="21" spans="1:11" ht="32.25" customHeight="1" x14ac:dyDescent="0.2">
      <c r="A21" s="66">
        <v>10</v>
      </c>
      <c r="B21" s="67"/>
      <c r="C21" s="131" t="str">
        <f>+'Necesidades Trimestrales'!E19</f>
        <v>Improntas Esófago de Mono  (X 8 áreas) -Tipo Biocientifica  o alternativa</v>
      </c>
      <c r="D21" s="132" t="s">
        <v>62</v>
      </c>
      <c r="E21" s="132" t="s">
        <v>62</v>
      </c>
      <c r="F21" s="132" t="s">
        <v>62</v>
      </c>
      <c r="G21" s="133" t="s">
        <v>62</v>
      </c>
      <c r="H21" s="68" t="s">
        <v>64</v>
      </c>
      <c r="I21" s="63" t="str">
        <f>+'Necesidades Trimestrales'!F19</f>
        <v>UNIDAD</v>
      </c>
      <c r="J21" s="64">
        <f>+'Necesidades Trimestrales'!H19</f>
        <v>3382</v>
      </c>
      <c r="K21" s="65">
        <f>+'Necesidades Trimestrales'!G19</f>
        <v>12</v>
      </c>
    </row>
    <row r="22" spans="1:11" ht="24" customHeight="1" x14ac:dyDescent="0.2">
      <c r="A22" s="66">
        <v>11</v>
      </c>
      <c r="B22" s="67"/>
      <c r="C22" s="131" t="str">
        <f>+'Necesidades Trimestrales'!E20</f>
        <v>Lápiz demográfico Rojo – tipo Mitsubishi o alternativa</v>
      </c>
      <c r="D22" s="132" t="s">
        <v>62</v>
      </c>
      <c r="E22" s="132" t="s">
        <v>62</v>
      </c>
      <c r="F22" s="132" t="s">
        <v>62</v>
      </c>
      <c r="G22" s="133" t="s">
        <v>62</v>
      </c>
      <c r="H22" s="68" t="s">
        <v>64</v>
      </c>
      <c r="I22" s="63" t="str">
        <f>+'Necesidades Trimestrales'!F20</f>
        <v>UNIDAD</v>
      </c>
      <c r="J22" s="64">
        <f>+'Necesidades Trimestrales'!H20</f>
        <v>313</v>
      </c>
      <c r="K22" s="65">
        <f>+'Necesidades Trimestrales'!G20</f>
        <v>2</v>
      </c>
    </row>
    <row r="23" spans="1:11" ht="24" customHeight="1" x14ac:dyDescent="0.2">
      <c r="A23" s="66">
        <v>12</v>
      </c>
      <c r="B23" s="67"/>
      <c r="C23" s="131" t="str">
        <f>+'Necesidades Trimestrales'!E21</f>
        <v>TIRAS REACTIVAS P/ ORINA- TIPO WIENNER</v>
      </c>
      <c r="D23" s="132" t="s">
        <v>62</v>
      </c>
      <c r="E23" s="132" t="s">
        <v>62</v>
      </c>
      <c r="F23" s="132" t="s">
        <v>62</v>
      </c>
      <c r="G23" s="133" t="s">
        <v>62</v>
      </c>
      <c r="H23" s="68" t="s">
        <v>64</v>
      </c>
      <c r="I23" s="63" t="str">
        <f>+'Necesidades Trimestrales'!F21</f>
        <v>CAJA</v>
      </c>
      <c r="J23" s="64">
        <f>+'Necesidades Trimestrales'!H21</f>
        <v>998</v>
      </c>
      <c r="K23" s="65">
        <f>+'Necesidades Trimestrales'!G21</f>
        <v>15</v>
      </c>
    </row>
    <row r="24" spans="1:11" ht="24" customHeight="1" x14ac:dyDescent="0.2">
      <c r="A24" s="66">
        <v>13</v>
      </c>
      <c r="B24" s="67"/>
      <c r="C24" s="131" t="str">
        <f>+'Necesidades Trimestrales'!E22</f>
        <v>ANCA Kits (IFI)- Tipo Biocientifica o alternativa</v>
      </c>
      <c r="D24" s="132" t="s">
        <v>62</v>
      </c>
      <c r="E24" s="132" t="s">
        <v>62</v>
      </c>
      <c r="F24" s="132" t="s">
        <v>62</v>
      </c>
      <c r="G24" s="133" t="s">
        <v>62</v>
      </c>
      <c r="H24" s="68" t="s">
        <v>64</v>
      </c>
      <c r="I24" s="63" t="str">
        <f>+'Necesidades Trimestrales'!F22</f>
        <v>CAJA</v>
      </c>
      <c r="J24" s="64">
        <f>+'Necesidades Trimestrales'!H22</f>
        <v>69866</v>
      </c>
      <c r="K24" s="65">
        <f>+'Necesidades Trimestrales'!G22</f>
        <v>2</v>
      </c>
    </row>
    <row r="25" spans="1:11" ht="30.75" customHeight="1" x14ac:dyDescent="0.2">
      <c r="A25" s="66">
        <v>14</v>
      </c>
      <c r="B25" s="67"/>
      <c r="C25" s="131" t="str">
        <f>+'Necesidades Trimestrales'!E23</f>
        <v>ENA Kit- Determinaciones individuales (8 Anticuerpos)(ELISA)–Tipo ENA  PROFILE  HUMAN ,IMTEC o alternativa</v>
      </c>
      <c r="D25" s="132" t="s">
        <v>62</v>
      </c>
      <c r="E25" s="132" t="s">
        <v>62</v>
      </c>
      <c r="F25" s="132" t="s">
        <v>62</v>
      </c>
      <c r="G25" s="133" t="s">
        <v>62</v>
      </c>
      <c r="H25" s="68" t="s">
        <v>64</v>
      </c>
      <c r="I25" s="63" t="str">
        <f>+'Necesidades Trimestrales'!F23</f>
        <v>CAJA</v>
      </c>
      <c r="J25" s="64">
        <f>+'Necesidades Trimestrales'!H23</f>
        <v>32370</v>
      </c>
      <c r="K25" s="65">
        <f>+'Necesidades Trimestrales'!G23</f>
        <v>2</v>
      </c>
    </row>
    <row r="26" spans="1:11" ht="24" customHeight="1" x14ac:dyDescent="0.2">
      <c r="A26" s="66">
        <v>15</v>
      </c>
      <c r="B26" s="67"/>
      <c r="C26" s="131" t="str">
        <f>+'Necesidades Trimestrales'!E24</f>
        <v>TROMBOPLASTINA 10X4ML HEMOMEDICA O SOLUPLASTIN</v>
      </c>
      <c r="D26" s="132" t="s">
        <v>62</v>
      </c>
      <c r="E26" s="132" t="s">
        <v>62</v>
      </c>
      <c r="F26" s="132" t="s">
        <v>62</v>
      </c>
      <c r="G26" s="133" t="s">
        <v>62</v>
      </c>
      <c r="H26" s="68" t="s">
        <v>64</v>
      </c>
      <c r="I26" s="63" t="str">
        <f>+'Necesidades Trimestrales'!F24</f>
        <v>CAJA</v>
      </c>
      <c r="J26" s="64">
        <f>+'Necesidades Trimestrales'!H24</f>
        <v>3350</v>
      </c>
      <c r="K26" s="65">
        <f>+'Necesidades Trimestrales'!G24</f>
        <v>3</v>
      </c>
    </row>
    <row r="27" spans="1:11" ht="20.25" customHeight="1" thickBot="1" x14ac:dyDescent="0.25">
      <c r="A27" s="121" t="s">
        <v>55</v>
      </c>
      <c r="B27" s="121"/>
      <c r="C27" s="121"/>
      <c r="D27" s="121"/>
      <c r="E27" s="121"/>
      <c r="F27" s="121"/>
      <c r="G27" s="121"/>
      <c r="H27" s="121"/>
      <c r="I27" s="121"/>
      <c r="J27" s="122">
        <f>SUMPRODUCT(J12:J26,K12:K26)</f>
        <v>932046.5</v>
      </c>
      <c r="K27" s="122"/>
    </row>
  </sheetData>
  <mergeCells count="37">
    <mergeCell ref="C22:G22"/>
    <mergeCell ref="C23:G23"/>
    <mergeCell ref="C24:G24"/>
    <mergeCell ref="C25:G25"/>
    <mergeCell ref="C26:G26"/>
    <mergeCell ref="C17:G17"/>
    <mergeCell ref="C18:G18"/>
    <mergeCell ref="C19:G19"/>
    <mergeCell ref="C20:G20"/>
    <mergeCell ref="C21:G21"/>
    <mergeCell ref="A27:I27"/>
    <mergeCell ref="J27:K2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2:G12"/>
    <mergeCell ref="C14:G14"/>
    <mergeCell ref="C15:G15"/>
    <mergeCell ref="C16:G1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topLeftCell="A7" zoomScale="130" zoomScaleNormal="130" workbookViewId="0">
      <selection activeCell="S10" sqref="S10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4" t="s">
        <v>3</v>
      </c>
      <c r="B1" s="134"/>
      <c r="C1" s="134"/>
      <c r="D1" s="135">
        <f>'Necesidades Trimestrales'!C6</f>
        <v>2020</v>
      </c>
      <c r="E1" s="135"/>
      <c r="F1" s="9"/>
      <c r="G1" s="9"/>
      <c r="H1" s="10"/>
      <c r="I1" s="10"/>
      <c r="J1" s="10"/>
      <c r="K1" s="10"/>
      <c r="L1" s="10"/>
      <c r="M1" s="10"/>
      <c r="N1" s="10"/>
      <c r="P1" s="136" t="s">
        <v>29</v>
      </c>
      <c r="Q1" s="136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6"/>
      <c r="Q2" s="136"/>
    </row>
    <row r="4" spans="1:17" s="11" customFormat="1" ht="18" customHeight="1" thickBot="1" x14ac:dyDescent="0.25">
      <c r="A4" s="137" t="s">
        <v>30</v>
      </c>
      <c r="B4" s="137"/>
      <c r="C4" s="137"/>
      <c r="D4" s="137"/>
      <c r="E4" s="137"/>
      <c r="F4" s="137"/>
      <c r="G4" s="138" t="str">
        <f>' NotaPedido'!D3</f>
        <v xml:space="preserve">40 - Ministerio de Salud 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11" customFormat="1" ht="18" customHeight="1" thickBot="1" x14ac:dyDescent="0.25">
      <c r="A5" s="139" t="s">
        <v>53</v>
      </c>
      <c r="B5" s="140"/>
      <c r="C5" s="140"/>
      <c r="D5" s="140"/>
      <c r="E5" s="140"/>
      <c r="F5" s="141"/>
      <c r="G5" s="142" t="str">
        <f>' NotaPedido'!D4</f>
        <v xml:space="preserve">24 - HOSPITAL DE NIÑOS 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11" customFormat="1" ht="18" customHeight="1" thickBot="1" x14ac:dyDescent="0.25">
      <c r="A6" s="139" t="s">
        <v>31</v>
      </c>
      <c r="B6" s="140"/>
      <c r="C6" s="140"/>
      <c r="D6" s="140"/>
      <c r="E6" s="140"/>
      <c r="F6" s="141"/>
      <c r="G6" s="142">
        <f>' NotaPedido'!D5</f>
        <v>2020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11" customFormat="1" ht="18" customHeight="1" thickBot="1" x14ac:dyDescent="0.25">
      <c r="A7" s="139" t="s">
        <v>54</v>
      </c>
      <c r="B7" s="140"/>
      <c r="C7" s="140"/>
      <c r="D7" s="140"/>
      <c r="E7" s="140"/>
      <c r="F7" s="141"/>
      <c r="G7" s="144" t="str">
        <f>' NotaPedido'!D6</f>
        <v>SERVICIO DE LABORATORIO - HOSPITAL INTERZONAL DE NIÑOS EVA PERON</v>
      </c>
      <c r="H7" s="144"/>
      <c r="I7" s="144"/>
      <c r="J7" s="144"/>
      <c r="K7" s="144"/>
      <c r="L7" s="144"/>
      <c r="M7" s="144"/>
      <c r="N7" s="144"/>
      <c r="O7" s="144"/>
      <c r="P7" s="144"/>
      <c r="Q7" s="144"/>
    </row>
    <row r="8" spans="1:17" ht="18" customHeight="1" thickBot="1" x14ac:dyDescent="0.25">
      <c r="A8" s="143" t="s">
        <v>32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47" t="s">
        <v>33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"/>
      <c r="P9" s="1"/>
      <c r="Q9" s="12"/>
    </row>
    <row r="10" spans="1:17" ht="54.75" customHeight="1" x14ac:dyDescent="0.2">
      <c r="A10" s="14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541/2020,  afectando la erogación resultante a los créditos presupuestarios aprobados a favor de esta Unidad Ejecutora, conforme al siguiente detalle: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49" t="s">
        <v>34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 x14ac:dyDescent="0.2">
      <c r="A13" s="150" t="s">
        <v>35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36</v>
      </c>
      <c r="P13" s="151"/>
      <c r="Q13" s="152" t="s">
        <v>37</v>
      </c>
    </row>
    <row r="14" spans="1:17" ht="15.75" customHeight="1" x14ac:dyDescent="0.2">
      <c r="A14" s="17" t="s">
        <v>38</v>
      </c>
      <c r="B14" s="18" t="s">
        <v>39</v>
      </c>
      <c r="C14" s="18" t="s">
        <v>40</v>
      </c>
      <c r="D14" s="18" t="s">
        <v>41</v>
      </c>
      <c r="E14" s="18" t="s">
        <v>42</v>
      </c>
      <c r="F14" s="18" t="s">
        <v>43</v>
      </c>
      <c r="G14" s="19" t="s">
        <v>44</v>
      </c>
      <c r="H14" s="18" t="s">
        <v>45</v>
      </c>
      <c r="I14" s="18" t="s">
        <v>46</v>
      </c>
      <c r="J14" s="18" t="s">
        <v>47</v>
      </c>
      <c r="K14" s="18" t="s">
        <v>47</v>
      </c>
      <c r="L14" s="18" t="s">
        <v>48</v>
      </c>
      <c r="M14" s="20" t="s">
        <v>49</v>
      </c>
      <c r="N14" s="21" t="s">
        <v>50</v>
      </c>
      <c r="O14" s="151"/>
      <c r="P14" s="151"/>
      <c r="Q14" s="152"/>
    </row>
    <row r="15" spans="1:17" ht="17.25" customHeight="1" x14ac:dyDescent="0.2">
      <c r="A15" s="84">
        <v>36</v>
      </c>
      <c r="B15" s="85"/>
      <c r="C15" s="85"/>
      <c r="D15" s="85">
        <v>1</v>
      </c>
      <c r="E15" s="85"/>
      <c r="F15" s="85">
        <v>4901</v>
      </c>
      <c r="G15" s="85">
        <v>3</v>
      </c>
      <c r="H15" s="86">
        <v>310</v>
      </c>
      <c r="I15" s="85">
        <v>2</v>
      </c>
      <c r="J15" s="85">
        <v>5</v>
      </c>
      <c r="K15" s="85">
        <v>1</v>
      </c>
      <c r="L15" s="85"/>
      <c r="M15" s="87"/>
      <c r="N15" s="86" t="s">
        <v>58</v>
      </c>
      <c r="O15" s="145" t="s">
        <v>59</v>
      </c>
      <c r="P15" s="145"/>
      <c r="Q15" s="88">
        <v>509053.5</v>
      </c>
    </row>
    <row r="16" spans="1:17" ht="26.25" customHeight="1" x14ac:dyDescent="0.2">
      <c r="A16" s="89">
        <v>36</v>
      </c>
      <c r="B16" s="90"/>
      <c r="C16" s="90"/>
      <c r="D16" s="90">
        <v>1</v>
      </c>
      <c r="E16" s="90"/>
      <c r="F16" s="91">
        <v>4901</v>
      </c>
      <c r="G16" s="90">
        <v>3</v>
      </c>
      <c r="H16" s="90">
        <v>310</v>
      </c>
      <c r="I16" s="90">
        <v>2</v>
      </c>
      <c r="J16" s="90">
        <v>9</v>
      </c>
      <c r="K16" s="90">
        <v>5</v>
      </c>
      <c r="L16" s="90"/>
      <c r="M16" s="92"/>
      <c r="N16" s="93" t="s">
        <v>58</v>
      </c>
      <c r="O16" s="146" t="s">
        <v>66</v>
      </c>
      <c r="P16" s="146"/>
      <c r="Q16" s="94">
        <v>422993</v>
      </c>
    </row>
    <row r="17" spans="1:18" ht="17.25" customHeight="1" x14ac:dyDescent="0.2">
      <c r="A17" s="22"/>
      <c r="B17" s="23"/>
      <c r="C17" s="23"/>
      <c r="D17" s="23"/>
      <c r="E17" s="23"/>
      <c r="F17" s="25"/>
      <c r="G17" s="23"/>
      <c r="H17" s="23"/>
      <c r="I17" s="23"/>
      <c r="J17" s="23"/>
      <c r="K17" s="23"/>
      <c r="L17" s="23"/>
      <c r="M17" s="24"/>
      <c r="N17" s="25"/>
      <c r="O17" s="158"/>
      <c r="P17" s="158"/>
      <c r="Q17" s="26"/>
    </row>
    <row r="18" spans="1:18" ht="17.25" customHeight="1" x14ac:dyDescent="0.2">
      <c r="A18" s="27"/>
      <c r="B18" s="28"/>
      <c r="C18" s="28"/>
      <c r="D18" s="28"/>
      <c r="E18" s="28"/>
      <c r="F18" s="29"/>
      <c r="G18" s="28"/>
      <c r="H18" s="28"/>
      <c r="I18" s="28"/>
      <c r="J18" s="28"/>
      <c r="K18" s="28"/>
      <c r="L18" s="28"/>
      <c r="M18" s="30"/>
      <c r="N18" s="31"/>
      <c r="O18" s="159"/>
      <c r="P18" s="159"/>
      <c r="Q18" s="26"/>
      <c r="R18" s="1"/>
    </row>
    <row r="19" spans="1:18" ht="17.25" customHeight="1" x14ac:dyDescent="0.2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  <c r="N19" s="33"/>
      <c r="O19" s="160"/>
      <c r="P19" s="160"/>
      <c r="Q19" s="35"/>
    </row>
    <row r="20" spans="1:18" ht="24.75" customHeight="1" x14ac:dyDescent="0.2">
      <c r="A20" s="161" t="s">
        <v>89</v>
      </c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36">
        <f>SUM(Q15:Q19)</f>
        <v>932046.5</v>
      </c>
    </row>
    <row r="21" spans="1:18" ht="18" customHeight="1" thickBot="1" x14ac:dyDescent="0.25">
      <c r="A21" s="162"/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</row>
    <row r="22" spans="1:18" ht="17.25" customHeight="1" thickBot="1" x14ac:dyDescent="0.25">
      <c r="A22" s="153" t="s">
        <v>51</v>
      </c>
      <c r="B22" s="154"/>
      <c r="C22" s="154"/>
      <c r="D22" s="154"/>
      <c r="E22" s="154"/>
      <c r="F22" s="155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</row>
    <row r="23" spans="1:18" ht="18" customHeight="1" thickBot="1" x14ac:dyDescent="0.25">
      <c r="A23" s="157" t="s">
        <v>77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</row>
    <row r="24" spans="1:18" ht="15" customHeight="1" x14ac:dyDescent="0.2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</sheetData>
  <mergeCells count="28">
    <mergeCell ref="A22:F22"/>
    <mergeCell ref="G22:Q22"/>
    <mergeCell ref="A23:Q24"/>
    <mergeCell ref="O17:P17"/>
    <mergeCell ref="O18:P18"/>
    <mergeCell ref="O19:P19"/>
    <mergeCell ref="A20:P20"/>
    <mergeCell ref="A21:Q21"/>
    <mergeCell ref="O15:P15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2021-08-17T15:35:02Z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