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Nair\PEDIDOS 2025\2 TRIMESTRE\MATERNIDAD\reactivos\"/>
    </mc:Choice>
  </mc:AlternateContent>
  <xr:revisionPtr revIDLastSave="0" documentId="13_ncr:1_{9D3C7CC4-F759-4AF9-8A0A-DCEFEF692844}" xr6:coauthVersionLast="47" xr6:coauthVersionMax="47" xr10:uidLastSave="{00000000-0000-0000-0000-000000000000}"/>
  <bookViews>
    <workbookView xWindow="-120" yWindow="-120" windowWidth="29040" windowHeight="15840" tabRatio="47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Trimestrales'!$A$4:$E$7</definedName>
    <definedName name="A">'Necesidades Trimestrales'!#REF!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" i="1"/>
</calcChain>
</file>

<file path=xl/sharedStrings.xml><?xml version="1.0" encoding="utf-8"?>
<sst xmlns="http://schemas.openxmlformats.org/spreadsheetml/2006/main" count="494" uniqueCount="230">
  <si>
    <t xml:space="preserve">Pedido de Necesidades Trimestrales
</t>
  </si>
  <si>
    <t>JURISDICCION:</t>
  </si>
  <si>
    <t>40 - Ministerio de Salud</t>
  </si>
  <si>
    <t xml:space="preserve">SAF N°: </t>
  </si>
  <si>
    <t>28 - MATERNIDAD PROVINCIAL 25 DE MAYO</t>
  </si>
  <si>
    <t>EJERCICIO:</t>
  </si>
  <si>
    <t>TRIMESTRE:</t>
  </si>
  <si>
    <t>ID</t>
  </si>
  <si>
    <t>CODIGO DE ITEMS</t>
  </si>
  <si>
    <t>RUBRO DE COMPRA</t>
  </si>
  <si>
    <t>I.P.P</t>
  </si>
  <si>
    <t>DESCRIPCION</t>
  </si>
  <si>
    <t>UNIDAD DE MEDIDA</t>
  </si>
  <si>
    <t>CANTIDAD</t>
  </si>
  <si>
    <t>PRECIO UNITARIO ESTIMADO</t>
  </si>
  <si>
    <t xml:space="preserve">IMPORTE TOTAL ESTIMADO </t>
  </si>
  <si>
    <t>ESPECIFICACIONES</t>
  </si>
  <si>
    <t>2.5.1</t>
  </si>
  <si>
    <t>UNIDAD</t>
  </si>
  <si>
    <t>QUIMICOS</t>
  </si>
  <si>
    <t>CAJA</t>
  </si>
  <si>
    <t>2.5.1-8988.930</t>
  </si>
  <si>
    <t>REACTIVOS P/EQUIPO; EQUIPO: AUTOANA. QUIMICA CLINICA, MARCA EQUIPO: COBAS ROCHE, NOMBRE DEL PRODUCTO: ALBUMINA, PRESENTACION: ENVASE X 300 DETERM.</t>
  </si>
  <si>
    <t>CASETTE</t>
  </si>
  <si>
    <t>2.5.1-8988.2438</t>
  </si>
  <si>
    <t>REACTIVOS P/EQUIPO; EQUIPO: AUTOANA. X QUIMIOLUMINISCENCIA, MARCA EQUIPO: ROCHE, NOMBRE DEL PRODUCTO: CLEAN CELL M, PRESENTACION: 6 X380ML</t>
  </si>
  <si>
    <t>CASSETTE</t>
  </si>
  <si>
    <t>2.5.1-8988.2472</t>
  </si>
  <si>
    <t>REACTIVOS P/EQUIPO; EQUIPO: AUTOANA. X QUIMIOLUMINISCENCIA, MARCA EQUIPO: ROCHE, NOMBRE DEL PRODUCTO: PRO CELL, PRESENTACION: 6 X 380 ML</t>
  </si>
  <si>
    <t>2.5.1-8988.969</t>
  </si>
  <si>
    <t>REACTIVOS P/EQUIPO; EQUIPO: AUTOANA. QUIMICA CLINICA, MARCA EQUIPO: COBAS ROCHE, NOMBRE DEL PRODUCTO: GLUCOSA, PRESENTACION: ENVASE X 800 DETERM.</t>
  </si>
  <si>
    <t>2.5.1-8988.2496</t>
  </si>
  <si>
    <t>REACTIVOS P/EQUIPO; EQUIPO: PARA GASES EN SANGRE, MARCA EQUIPO: ROCHE, NOMBRE DEL PRODUCTO: FLUID PACK S2 , PRESENTACION: UNIDAD</t>
  </si>
  <si>
    <t>2.5.1-9019.119</t>
  </si>
  <si>
    <t>HIDRATOS DE CARBONO; COMPUESTO QUIMICO: GLUCOCURVE 75 GR, ESTADO: SOLIDO, CALIDAD: PRO ANALISIS, CONCENTRACION/PUREZA: SIN VALOR, PRESENTACION: ENVASE X 10 SOBRES</t>
  </si>
  <si>
    <t>2.5.1-8988.472</t>
  </si>
  <si>
    <t>REACTIVOS P/EQUIPO; EQUIPO: AUTOANA. X QUIMIOLUMINISCENCIA, MARCA EQUIPO: ROCHE, NOMBRE DEL PRODUCTO: DET. ANTIC. ANTIPEROXIDASA, PRESENTACION: ENVASE X 100 DETERM.</t>
  </si>
  <si>
    <t>2.5.1-8988.1097</t>
  </si>
  <si>
    <t>REACTIVOS P/EQUIPO; EQUIPO: ELECTROQUIMIOLUMINISCENCIA, MARCA EQUIPO: ELECSYS ROCHE, NOMBRE DEL PRODUCTO: ATG SUPERFICIE HEPATITIS B, PRESENTACION: ENVASE X 100 DETERM.</t>
  </si>
  <si>
    <t>2.5.1-8988.953</t>
  </si>
  <si>
    <t>REACTIVOS P/EQUIPO; EQUIPO: AUTOANA. QUIMICA CLINICA, MARCA EQUIPO: COBAS ROCHE, NOMBRE DEL PRODUCTO: AC. URICO, PRESENTACION: ENVASE X 400 DETERM.</t>
  </si>
  <si>
    <t>2.5.1-8988.943</t>
  </si>
  <si>
    <t>REACTIVOS P/EQUIPO; EQUIPO: AUTOANA. QUIMICA CLINICA, MARCA EQUIPO: COBAS ROCHE, NOMBRE DEL PRODUCTO: ALP2L (IFCC), PRESENTACION: ENVASE X 400 DETERM.</t>
  </si>
  <si>
    <t>2.5.1-8988.971</t>
  </si>
  <si>
    <t>REACTIVOS P/EQUIPO; EQUIPO: AUTOANA. QUIMICA CLINICA, MARCA EQUIPO: COBAS ROCHE, NOMBRE DEL PRODUCTO: LDH OPTIMIZADA, PRESENTACION: ENVASE X 300 DETERM.</t>
  </si>
  <si>
    <t>2.5.1-8988.444</t>
  </si>
  <si>
    <t>REACTIVOS P/EQUIPO; EQUIPO: AUTOANA. X QUIMIOLUMINISCENCIA, MARCA EQUIPO: ROCHE, NOMBRE DEL PRODUCTO: KIT P/CUANT. TIROIDE T4 LIBRE, PRESENTACION: ENVASE X 200 DETERM.</t>
  </si>
  <si>
    <t>2.5.1-8988.1103</t>
  </si>
  <si>
    <t>REACTIVOS P/EQUIPO; EQUIPO: ELECTROQUIMIOLUMINISCENCIA, MARCA EQUIPO: ELECSYS ROCHE, NOMBRE DEL PRODUCTO: ANTI TOXOPLASMA IG G, PRESENTACION: ENVASE X 100 DETERM.</t>
  </si>
  <si>
    <t>2.5.1-8988.440</t>
  </si>
  <si>
    <t>REACTIVOS P/EQUIPO; EQUIPO: AUTOANA. X QUIMIOLUMINISCENCIA, MARCA EQUIPO: ROCHE, NOMBRE DEL PRODUCTO: KIT P/CUANT. TIROTROFICA TSH, PRESENTACION: ENVASE X 200 DETERM.</t>
  </si>
  <si>
    <t>Tipo Wiener Lab</t>
  </si>
  <si>
    <t>2.5.1-9052.648</t>
  </si>
  <si>
    <t>REACTIVOS P/LAB. TEC. MANUAL ; NOMBRE: HEMAGLUTINACION P/CHAGAS, USO: DETERMINACION, PRESENTACION: ENVASE X 96 DETERM.</t>
  </si>
  <si>
    <t>2.5.1-8988.2459</t>
  </si>
  <si>
    <t>REACTIVOS P/EQUIPO; EQUIPO: AUTOANALIZADOR, MARCA EQUIPO: ROCHE, NOMBRE DEL PRODUCTO: ECODETERGENTE, PRESENTACION:CASSETTE</t>
  </si>
  <si>
    <t>2.5.1-8988.1602</t>
  </si>
  <si>
    <t>REACTIVOS P/EQUIPO; EQUIPO: AUTOANA. QUIMICA CLINICA, MARCA EQUIPO: COBAS ROCHE, NOMBRE DEL PRODUCTO: PCR, PRESENTACION: ENVASE X 100 DETERM.</t>
  </si>
  <si>
    <t>Equipo Sysmex xnl 550</t>
  </si>
  <si>
    <t>2.5.1-8988.952</t>
  </si>
  <si>
    <t>REACTIVOS P/EQUIPO; EQUIPO: AUTOANA. QUIMICA CLINICA, MARCA EQUIPO: COBAS ROCHE, NOMBRE DEL PRODUCTO: UREA (BUN), PRESENTACION: ENVASE X 500 DETERM.</t>
  </si>
  <si>
    <t>2.5.1-8988.2528</t>
  </si>
  <si>
    <t>REACTIVOS P/EQUIPO; EQUIPO: COAGULOMETRO, MARCA EQUIPO: ERBA ECL 412, NOMBRE DEL PRODUCTO: ERBA ACTIME 30, PRESENTACION: 6 X 5 ML</t>
  </si>
  <si>
    <t>2.5.1-8988.2529</t>
  </si>
  <si>
    <t>REACTIVOS P/EQUIPO; EQUIPO: COAGULOMETRO, MARCA EQUIPO: ERBA ECL 412, NOMBRE DEL PRODUCTO: ERBA CALCIUM CHLORIDE, PRESENTACION: 10 X 10 ML</t>
  </si>
  <si>
    <t>REACTIVOS P/EQUIPO; EQUIPO: COAGULOMETRO, MARCA EQUIPO: ERBA ECL 412, NOMBRE DEL PRODUCTO: ERBA PROTIME 24, PRESENTACION: 6 X 4 ML</t>
  </si>
  <si>
    <t>2.5.1-8988.2530</t>
  </si>
  <si>
    <t>2.5.1-8988.2531</t>
  </si>
  <si>
    <t>REACTIVOS P/EQUIPO; EQUIPO: COAGULOMETRO, MARCA EQUIPO: ERBA ECL 412, NOMBRE DEL PRODUCTO: CUVETTES 1000 ECL105/412, PRESENTACION: 500 UNIDADES</t>
  </si>
  <si>
    <t>2.5.1-8988.1356</t>
  </si>
  <si>
    <t>REACTIVOS P/EQUIPO; EQUIPO: ANALIZADOR MULTIPARAMETRICO, MARCA EQUIPO: COBAS ROCHE, NOMBRE DEL PRODUCTO: DET. DE AST/TGO, PRESENTACION: UNIDAD</t>
  </si>
  <si>
    <t>2.5.1-8988.1357</t>
  </si>
  <si>
    <t>REACTIVOS P/EQUIPO; EQUIPO: ANALIZADOR MULTIPARAMETRICO, MARCA EQUIPO: COBAS ROCHE, NOMBRE DEL PRODUCTO: DET. DE ALT/TGP, PRESENTACION: UNIDAD</t>
  </si>
  <si>
    <t>2.5.1-8988.1335</t>
  </si>
  <si>
    <t>REACTIVOS P/EQUIPO; EQUIPO: ANALIZADOR MULTIPARAMETRICO, MARCA EQUIPO: COBAS ROCHE, NOMBRE DEL PRODUCTO: DET. DE BILIRUBINA TOTAL, PRESENTACION: UNIDAD</t>
  </si>
  <si>
    <t>2.5.1-8988.1334</t>
  </si>
  <si>
    <t>REACTIVOS P/EQUIPO; EQUIPO: ANALIZADOR MULTIPARAMETRICO, MARCA EQUIPO: COBAS ROCHE, NOMBRE DEL PRODUCTO: DET. DE BILIRUBINA DIRECTA, PRESENTACION: UNIDAD</t>
  </si>
  <si>
    <t>2.5.1-9052.1136</t>
  </si>
  <si>
    <t>REACTIVOS P/LAB. TEC. MANUAL ; NOMBRE: VDRL, USO: DETECCION DE SIFILIS, PRESENTACION: ENVASE X 5,5 mL</t>
  </si>
  <si>
    <t>2.5.1-8988.2480</t>
  </si>
  <si>
    <t>REACTIVOS P/EQUIPO; EQUIPO: SYSMEX XN-L, MARCA EQUIPO: SYSMEX, NOMBRE DEL PRODUCTO: CELL PACK DCL , PRESENTACION: 20 LITROS</t>
  </si>
  <si>
    <t>2.5.1-8988.2490</t>
  </si>
  <si>
    <t>REACTIVOS P/EQUIPO; EQUIPO: SYSMEX XN-L, MARCA EQUIPO: SYSMEX, NOMBRE DEL PRODUCTO: LYSERCELL WDF , PRESENTACION: 5 L</t>
  </si>
  <si>
    <t>INFORMACION ADICIONAL:</t>
  </si>
  <si>
    <t>1-Para oferentes de la Provincia de Catamarca deberán presentar Habilitación Provincial para comercializar el producto que cotizan.</t>
  </si>
  <si>
    <t>2-Para el resto de oferentes deberán presentar Certificado de Inscripción de ANMAT vigente al momento de la oferta, el mismo deberá ser correspondiente al objeto de la contratación y de encontrarse vencido adjuntar la solicitud de renovación.</t>
  </si>
  <si>
    <t>3-No se aceptarán ofertas de productos no registrados y autorizada su venta por ANMAT. Se deberá especificar en cada ítem de la propuesta, marca y número de certificado otorgado por dicho ente regulador.</t>
  </si>
  <si>
    <t>4-Los productos deberán tener un vencimiento posterior a doce (12) meses a partir de la fecha de su recepción.</t>
  </si>
  <si>
    <t>2.5.1-9052.652</t>
  </si>
  <si>
    <t>2.5.1-8988.2387</t>
  </si>
  <si>
    <t>2.5.1-8988.2485</t>
  </si>
  <si>
    <t>2.5.1-8988.936</t>
  </si>
  <si>
    <t>REACTIVOS P/LAB. TEC. MANUAL ; NOMBRE: TIRAS REACTIVAS ANALISIS ORINA, USO: LABORATORIO, PRESENTACION: ENVASE X 100 DETERM.</t>
  </si>
  <si>
    <t>REACTIVOS P/EQUIPO; EQUIPO: COBAS C311, MARCA EQUIPO: COBAS ROCHE, NOMBRE DEL PRODUCTO: NAOH-D, PRESENTACION: CASSETTE</t>
  </si>
  <si>
    <t>REACTIVOS P/EQUIPO; EQUIPO: AUTOANALIZADOR, MARCA EQUIPO: COBAS E411, NOMBRE DEL PRODUCTO: SYSWASH, PRESENTACION: ENVASE X 500 ML</t>
  </si>
  <si>
    <t>REACTIVOS P/EQUIPO; EQUIPO: AUTOANA. QUIMICA CLINICA, MARCA EQUIPO: COBAS ROCHE, NOMBRE DEL PRODUCTO: CALCIO, PRESENTACION: ENVASE X 300 DETERM.</t>
  </si>
  <si>
    <t>2.5.1-8988.950</t>
  </si>
  <si>
    <t>REACTIVOS P/EQUIPO; EQUIPO: AUTOANA. QUIMICA CLINICA, MARCA EQUIPO: COBAS ROCHE, NOMBRE DEL PRODUCTO: TRIGLICERIDOS, PRESENTACION: ENVASE X 250 DETERM.</t>
  </si>
  <si>
    <t>Plazos y lugares de entrega:</t>
  </si>
  <si>
    <r>
      <t xml:space="preserve">b) </t>
    </r>
    <r>
      <rPr>
        <b/>
        <sz val="11"/>
        <color rgb="FF000000"/>
        <rFont val="Calibri"/>
        <family val="2"/>
      </rPr>
      <t>FORMA DE ENTREGA</t>
    </r>
    <r>
      <rPr>
        <sz val="11"/>
        <color rgb="FF000000"/>
        <rFont val="Calibri"/>
        <family val="2"/>
      </rPr>
      <t xml:space="preserve">: </t>
    </r>
    <r>
      <rPr>
        <b/>
        <sz val="11"/>
        <color rgb="FF000000"/>
        <rFont val="Calibri"/>
        <family val="2"/>
      </rPr>
      <t>UNA SOLA ENTREGA</t>
    </r>
    <r>
      <rPr>
        <sz val="11"/>
        <color rgb="FF000000"/>
        <rFont val="Calibri"/>
        <family val="2"/>
      </rPr>
      <t>- Libre de flete, acarreo y embalaje, como así también, de todo riesgo de pérdida o destrucción total o parcial, por causas ajenas a la Institución</t>
    </r>
  </si>
  <si>
    <r>
      <t xml:space="preserve">C) </t>
    </r>
    <r>
      <rPr>
        <b/>
        <sz val="11"/>
        <color rgb="FF000000"/>
        <rFont val="Calibri"/>
        <family val="2"/>
      </rPr>
      <t>PLAZO DE ENTREGA</t>
    </r>
    <r>
      <rPr>
        <sz val="11"/>
        <color rgb="FF000000"/>
        <rFont val="Calibri"/>
        <family val="2"/>
      </rPr>
      <t>: 10 (diez) dias habiles.</t>
    </r>
  </si>
  <si>
    <r>
      <rPr>
        <b/>
        <u/>
        <sz val="11"/>
        <color rgb="FF000000"/>
        <rFont val="Calibri"/>
        <family val="2"/>
      </rPr>
      <t>CALIDAD MINIMA ESPERADA</t>
    </r>
    <r>
      <rPr>
        <u/>
        <sz val="11"/>
        <color rgb="FF000000"/>
        <rFont val="Calibri"/>
        <family val="2"/>
      </rPr>
      <t>: Que cumpla en forma integra con lo solicitado.</t>
    </r>
  </si>
  <si>
    <r>
      <rPr>
        <b/>
        <u/>
        <sz val="11"/>
        <color rgb="FF000000"/>
        <rFont val="Calibri"/>
        <family val="2"/>
      </rPr>
      <t>MANTENIMIENTO DE OFERTA</t>
    </r>
    <r>
      <rPr>
        <u/>
        <sz val="11"/>
        <color rgb="FF000000"/>
        <rFont val="Calibri"/>
        <family val="2"/>
      </rPr>
      <t xml:space="preserve">: </t>
    </r>
    <r>
      <rPr>
        <sz val="11"/>
        <color rgb="FF000000"/>
        <rFont val="Calibri"/>
        <family val="2"/>
      </rPr>
      <t xml:space="preserve"> 40(CUARENTA) DIAS HABILES</t>
    </r>
  </si>
  <si>
    <r>
      <rPr>
        <b/>
        <u/>
        <sz val="11"/>
        <color rgb="FF000000"/>
        <rFont val="Calibri"/>
        <family val="2"/>
      </rPr>
      <t>GARANTIA</t>
    </r>
    <r>
      <rPr>
        <u/>
        <sz val="11"/>
        <color rgb="FF000000"/>
        <rFont val="Calibri"/>
        <family val="2"/>
      </rPr>
      <t>:</t>
    </r>
  </si>
  <si>
    <r>
      <t xml:space="preserve">a) </t>
    </r>
    <r>
      <rPr>
        <b/>
        <sz val="11"/>
        <color rgb="FF000000"/>
        <rFont val="Calibri"/>
        <family val="2"/>
      </rPr>
      <t>LUGAR DE ENTREGA</t>
    </r>
    <r>
      <rPr>
        <sz val="11"/>
        <color rgb="FF000000"/>
        <rFont val="Calibri"/>
        <family val="2"/>
      </rPr>
      <t>:  SERVICIO DE LABORATORIO -MATERNIDAD PROVINCIAL 25 DE MAYO-HERNANDO DE PEDRAZA N° 1650- SAN FERNANDO DEL VALLE DE CATAMARCA -DE LUNES A VIERNES EN EL HORARIO DE 8:00 a 10:00 HS</t>
    </r>
  </si>
  <si>
    <t>2.5.1-8988.2508</t>
  </si>
  <si>
    <t>REACTIVOS P/EQUIPO; EQUIPO: AUTOANA. QUIMICA CLINICA, MARCA EQUIPO: COBAS ROCHE, NOMBRE DEL PRODUCTO: SMS (SELECTIVE MODE SOLUTION)/ ACID WASH, PRESENTACION: ENVASE X 12 FRASCOS X 70 ML</t>
  </si>
  <si>
    <t>2.5.1-8988.433</t>
  </si>
  <si>
    <t>REACTIVOS P/EQUIPO; EQUIPO: AUTOANA. X QUIMIOLUMINISCENCIA, MARCA EQUIPO: ROCHE, NOMBRE DEL PRODUCTO: KIT P/CUANT. HORMONA FSH, PRESENTACION: ENVASE X 100 DETERM.</t>
  </si>
  <si>
    <t>2.5.1-8988.944</t>
  </si>
  <si>
    <t>REACTIVOS P/EQUIPO; EQUIPO: AUTOANA. QUIMICA CLINICA, MARCA EQUIPO: COBAS ROCHE, NOMBRE DEL PRODUCTO: FRUCTOSAMINA, PRESENTACION: ENVASE X 150 DETERM.</t>
  </si>
  <si>
    <t>2.5.1-9052.28</t>
  </si>
  <si>
    <t>REACTIVOS P/LAB. TEC. MANUAL ; NOMBRE: CFAS CKMB, USO: CKMB, PRESENTACION: 3 X ENVASE X 1 mL</t>
  </si>
  <si>
    <t>2.5.1-8988.2406</t>
  </si>
  <si>
    <t>2.5.1-8988.441</t>
  </si>
  <si>
    <t>REACTIVOS P/EQUIPO; EQUIPO: AUTOANA. X QUIMIOLUMINISCENCIA, MARCA EQUIPO: ROCHE, NOMBRE DEL PRODUCTO: KIT P/CUANT. HORM. TIROIDE T3 TOTAL, PRESENTACIÓN: ENVASE X 200 DETERM.</t>
  </si>
  <si>
    <t>2.5.1-8988.2495</t>
  </si>
  <si>
    <t>REACTIVOS P/EQUIPO; EQUIPO: PARA GASES EN SANGRE, MARCA EQUIPO: ROCHE, NOMBRE DEL PRODUCTO: RINSE SOLUTION S1 , PRESENTACION: 2 ENVASE X 1850 ML</t>
  </si>
  <si>
    <t>2.5.1-8988.2493</t>
  </si>
  <si>
    <t>2.5.1-8988.2441</t>
  </si>
  <si>
    <t>REACTIVOS P/EQUIPO; EQUIPO: ELECTROQUIMIOLUMINISCENCIA, MARCA EQUIPO: ROCHE, NOMBRE DEL PRODUCTO: HIV COMBI PT -CALIBRADOR INCLUIDO-, PRESENTACION: 100 DET</t>
  </si>
  <si>
    <t>2.5.1-9052.500</t>
  </si>
  <si>
    <t>REACTIVOS P/LAB. TEC. MANUAL ; NOMBRE: TEST EMBARAZO, USO: DIAGNOSTICO, PRESENTACION: ENVASE X 50 DETERM.</t>
  </si>
  <si>
    <t>ALL TEST</t>
  </si>
  <si>
    <t>2.5.1-8988.949</t>
  </si>
  <si>
    <t>REACTIVOS P/EQUIPO; EQUIPO: AUTOANA. QUIMICA CLINICA, MARCA EQUIPO: COBAS ROCHE, NOMBRE DEL PRODUCTO: PROTEINAS TOTALES, PRESENTACION: ENVASE X 300 DETERM.</t>
  </si>
  <si>
    <t>2.5.1-8988.972</t>
  </si>
  <si>
    <t>REACTIVOS P/EQUIPO; EQUIPO: AUTOANA. QUIMICA CLINICA, MARCA EQUIPO: COBAS ROCHE, NOMBRE DEL PRODUCTO: ALBUMINA P/MICROALBUMINURIA, PRESENTACION: ENVASE X 100 DETERM.</t>
  </si>
  <si>
    <t>FRASCO</t>
  </si>
  <si>
    <t>Año 2025</t>
  </si>
  <si>
    <t>PATRON/ESTANDAR P/CALIBRACION; EQUIPO: AUTOANAL. X QUIMIOLUMINISCENCIA, MARCA EQUIPO: ROCHE, NOMBRE DEL PRODUCTO: CONTROL PUC NORMAL</t>
  </si>
  <si>
    <t>PATRON/ESTANDAR P/CALIBRACION; EQUIPO: AUTOANAL. X QUIMIOLUMINISCENCIA, MARCA EQUIPO: ROCHE, NOMBRE DEL PRODUCTO: CONTROL PUC PATOLOGICO</t>
  </si>
  <si>
    <t>PATRON/ESTANDAR P/CALIBRACION; EQUIPO: AUTOANA. QUIMICA CLINICA, MARCA EQUIPO: COBAS ROCHE, NOMBRE DEL PRODUCTO: CALIBRADOR PROTEINAS, PRESENTACION: ENVASE X 5 FRASCOS X 1 ML.</t>
  </si>
  <si>
    <t>REACTIVOS P/EQUIPO; EQUIPO: ELECTROLUMINISCENCIA, MARCA EQUIPO: COBAS ROCHE, NOMBRE DEL PRODUCTO: REACTIVO CHAGAS, PRESENTACION: ENVASE X 100 DETERM.</t>
  </si>
  <si>
    <t>REACTIVOS P/EQUIPO; EQUIPO: SYSMEX XN-L, MARCA EQUIPO: SYSMEX, NOMBRE DEL PRODUCTO: SULFOLYSER, PRESENTACION: BIDON X 5L</t>
  </si>
  <si>
    <t>2.5.1-8937.221</t>
  </si>
  <si>
    <t>PATRON/ESTANDAR P/CALIBRACION; EQUIPO: AUTOANA. X QUIMIOLUMINISCENCIA, MARCA EQUIPO: ROCHE, NOMBRE DEL PRODUCTO: CALIBRADOR HORMONA FSH, PRESENTACION: ENVASE X 10 DETERM.</t>
  </si>
  <si>
    <t>2.5.1-8988.1104</t>
  </si>
  <si>
    <t>REACTIVOS P/EQUIPO; EQUIPO: ELECTROQUIMIOLUMINISCENCIA, MARCA EQUIPO: ELECSYS ROCHE, NOMBRE DEL PRODUCTO: ANTI TOXOPLASMA IG M, PRESENTACION: ENVASE X 100 DETERM.</t>
  </si>
  <si>
    <t>2.5.1-8988.439</t>
  </si>
  <si>
    <t>REACTIVOS P/EQUIPO; EQUIPO: AUTOANA. X QUIMIOLUMINISCENCIA, MARCA EQUIPO: ROCHE, NOMBRE DEL PRODUCTO: KIT P/CUANT. TESTOSTERONA, PRESENTACION: ENVASE X 100 DETERM.</t>
  </si>
  <si>
    <t>2.5.1-8937.968</t>
  </si>
  <si>
    <t>PATRON/ESTANDAR P/CALIBRACION; EQUIPO: AUTOANA. ELECTROQUIMIOLUMINISCENCIA, MARCA EQUIPO: ROCHE, NOMBRE DEL PRODUCTO: CALIBRADOR SHBG, PRESENTACION: ENVASE X 10</t>
  </si>
  <si>
    <t>2.5.1-8988.468</t>
  </si>
  <si>
    <t>REACTIVOS P/EQUIPO; EQUIPO: AUTOANA. X QUIMIOLUMINISCENCIA, MARCA EQUIPO: ROCHE, NOMBRE DEL PRODUCTO: DETERMINACION SHBG, PRESENTACION: ENVASE X 100 DETERM.</t>
  </si>
  <si>
    <t>2.5.1-8988.465</t>
  </si>
  <si>
    <t>REACTIVOS P/EQUIPO; EQUIPO: AUTOANA. X QUIMIOLUMINISCENCIA, MARCA EQUIPO: ROCHE, NOMBRE DEL PRODUCTO: DILUYENTE UNIVERSAL, PRESENTACION: 2 X ENVASE X 40 mL</t>
  </si>
  <si>
    <t>2.5.1-8988.2402</t>
  </si>
  <si>
    <t>REACTIVOS P/EQUIPO; REACTIVO: MAGNESIO, EQUIPO: COBAS C311, MARCA: ROCHE, PRESENTACION: X 250 DET</t>
  </si>
  <si>
    <t>2.5.1-8988.582</t>
  </si>
  <si>
    <t>REACTIVOS P/EQUIPO; EQUIPO: AUTOANA. X QUIMIOLUMINISCENCIA, MARCA EQUIPO: ROCHE, NOMBRE DEL PRODUCTO: KIT P/CUANT. VITAMINA D, PRESENTACION: ENVASE X 100 DETERM.</t>
  </si>
  <si>
    <t>2.5.1-8988.2505</t>
  </si>
  <si>
    <t>REACTIVOS P/EQUIPO; EQUIPO: AUTOANALIZADOR, MARCA EQUIPO: COBAS E-411, NOMBRE DEL PRODUCTO: REACTIVO HAM (H. ANTIMULLERIANA ), PRESENTACION: ENVASE X 100 DETERM.</t>
  </si>
  <si>
    <t>2.5.1-8988.1793</t>
  </si>
  <si>
    <t>REACTIVOS P/EQUIPO; EQUIPO: AUTOANA. X QUIMIOLUMINISCENCIA, MARCA EQUIPO: ROCHE, NOMBRE DEL PRODUCTO: TRANSFERRINA, PRESENTACION: ENVASE X 100 DETERM.</t>
  </si>
  <si>
    <t>2.5.1-8988.946</t>
  </si>
  <si>
    <t>REACTIVOS P/EQUIPO; EQUIPO: AUTOANA. QUIMICA CLINICA, MARCA EQUIPO: COBAS ROCHE, NOMBRE DEL PRODUCTO: LIPASA, PRESENTACION: ENVASE X 200 DETERM.</t>
  </si>
  <si>
    <t>2.5.1-8937.910</t>
  </si>
  <si>
    <t>PATRON/ESTANDAR P/CALIBRACION; EQUIPO: AUTOANALIZADOR, MARCA EQUIPO: ROCHE, NOMBRE DEL PRODUCTO:CALIBRADOR DIMERO GEN 2, PRESENTACION:6 X 0,5 ML</t>
  </si>
  <si>
    <t>2 trimestre</t>
  </si>
  <si>
    <t>2.5.1-8937.986</t>
  </si>
  <si>
    <t>PATRON/ESTANDAR P/CALIBRACION; EQUIPO: AUTOANAL. X QUIMIOLUMINISCENCIA, MARCA EQUIPO: ROCHE, NOMBRE DEL PRODUCTO: PRECICONTROL CLINCHEM MULTI 1, PRESENTACION: 20 X 5 ML.</t>
  </si>
  <si>
    <t>2.5.1-8937.983</t>
  </si>
  <si>
    <t>2.5.1-8937.984</t>
  </si>
  <si>
    <t>PATRON/ESTANDAR P/CALIBRACION; EQUIPO: AUTOANAL. X QUIMIOLUMINISCENCIA, MARCA EQUIPO: ROCHE, NOMBRE DEL PRODUCTO: PRECICONTROL CLINCHEM MULTI 2, PRESENTACION: 20 X 5 ML.</t>
  </si>
  <si>
    <t>2.5.1-8937.982</t>
  </si>
  <si>
    <t>PATRON/ESTANDAR P/CALIBRACION; EQUIPO: AUTOANAL. X QUIMIOLUMINISCENCIA, MARCA EQUIPO: ROCHE, NOMBRE DEL PRODUCTO: PRECINORM FRUCTOSAMINA, PRESENTACION: 3 ENVASES X 1 ML.</t>
  </si>
  <si>
    <t>2.5.1-8937.985</t>
  </si>
  <si>
    <t>ESPECIFICACIONES ITEMS DEL 1 AL 71:</t>
  </si>
  <si>
    <t>TOTAL</t>
  </si>
  <si>
    <t>2.5.1-8988.940</t>
  </si>
  <si>
    <t>REACTIVOS P/EQUIPO; EQUIPO: AUTOANA. QUIMICA CLINICA, MARCA EQUIPO: COBAS ROCHE, NOMBRE DEL PRODUCTO: CK- MB, PRESENTACION: ENVASE X 100 DETERM.</t>
  </si>
  <si>
    <t>2.5.1-8988.942</t>
  </si>
  <si>
    <t>REACTIVOS P/EQUIPO; EQUIPO: AUTOANA. QUIMICA CLINICA, MARCA EQUIPO: COBAS ROCHE, NOMBRE DEL PRODUCTO: CREATININA JAFFE, PRESENTACION: ENVASE X 700 DETERM.</t>
  </si>
  <si>
    <t>2.5.1-8988.2443</t>
  </si>
  <si>
    <t>2.5.1-8988.2477</t>
  </si>
  <si>
    <t>REACTIVOS P/EQUIPO; EQUIPO: COBAS C311, MARCA EQUIPO: COBAS ROCHE, NOMBRE DEL PRODUCTO: SMS, PRESENTACION: CASSETTE</t>
  </si>
  <si>
    <t>2.5.1-8988.945</t>
  </si>
  <si>
    <t>REACTIVOS P/EQUIPO; EQUIPO: AUTOANA. QUIMICA CLINICA, MARCA EQUIPO: COBAS ROCHE, NOMBRE DEL PRODUCTO: HIERRO, PRESENTACION: ENVASE X 200 DETERM.</t>
  </si>
  <si>
    <t>2.5.1-8988.956</t>
  </si>
  <si>
    <t>REACTIVOS P/EQUIPO; EQUIPO: AUTOANA. QUIMICA CLINICA, MARCA EQUIPO: COBAS ROCHE, NOMBRE DEL PRODUCTO: U/CSF, PRESENTACION: ENVASE X 150 DETERM.</t>
  </si>
  <si>
    <t>2.5.1-8988.1108</t>
  </si>
  <si>
    <t>REACTIVOS P/EQUIPO; EQUIPO: ELECTROQUIMIOLUMINISCENCIA, MARCA EQUIPO: ELECSYS ROCHE, NOMBRE DEL PRODUCTO: ANTI HEPATITIS C, PRESENTACION: ENVASE X 100 DETERM.</t>
  </si>
  <si>
    <t>2.5.1-8988.2086</t>
  </si>
  <si>
    <t>REACTIVOS P/EQUIPO; EQUIPO: AUTOMATIZADO, MARCA EQUIPO: A DEFINIR, NOMBRE DEL PRODUCTO: CA 125, PRESENTACION: DETERMINACION</t>
  </si>
  <si>
    <t>PATRON/ESTANDAR P/CALIBRACION; EQUIPO: AUTOANAL. X QUIMIOLUMINISCENCIA, MARCA EQUIPO: ROCHE, NOMBRE DEL PRODUCTO: PRECIPATH FRUCTOSAMINE, PRESENTACION: 3 ENVASES X 1 ML</t>
  </si>
  <si>
    <t>PATRON/ESTANDAR P/CALIBRACION; EQUIPO: AUTOANAL. X QUIMIOLUMINISCENCIA, MARCA EQUIPO: ROCHE, NOMBRE DEL PRODUCTO: CFAS MULTICALIBRADOR, PRESENTACION: 12 X 3 ML</t>
  </si>
  <si>
    <t xml:space="preserve">REACTIVOS P/EQUIPO; EQUIPO: AUTOANALIZADOR, MARCA EQUIPO: ROCHE, NOMBRE DEL PRODUCTO: CONTROL DIMERO D GEN 2 CONTROL I/II, PRESENTACION: D-DIMER GEN.2 CONTROL I: 2 FRASCOS X 1 ML Y D-DIMER GEM.2 CONTROL II: 2 FRASCOS X 1 ML </t>
  </si>
  <si>
    <t>2.5.1-8988.1624</t>
  </si>
  <si>
    <t>REACTIVOS P/EQUIPO; EQUIPO: SISTEMA AUTOMATIZADO HEMOCULTI, MARCA EQUIPO: BACT ALERT, NOMBRE DEL PRODUCTO: HEMOCULTIVO PEDIATRICO, PRESENTACION: ENVASE X 100 UN</t>
  </si>
  <si>
    <t>ENVASE</t>
  </si>
  <si>
    <t>2.5.1-9052.2195</t>
  </si>
  <si>
    <t>REACTIVOS P/LAB. TEC. MANUAL; NOMBRE: EQUIPO PARA INMUNOCROMATOGRAFIA DE CHLAMYDIA, USO: INMUNOCROMATOGRAFIA, ESTADO: SOLIDO, PRESENTACION: ENVASE X 20 DETERMINACIONES, TIPO: CHLAMY-CHEK 1 STRIP VEDA LAB</t>
  </si>
  <si>
    <t>2.5.1-9016.1021</t>
  </si>
  <si>
    <t>MEDIOS DE CULTIVO Y SUPLEMENTO; NOMBRE DEL PRODUCTO: EQUIPO DE DIAGNOSTICO DE MYCOPLASMA DE UROGENITALES, ESTADO: LÍQUIDO, PRESENTACION: ENVASE X 20 DETERMINACIONES, TIPO: MYCOFAST REVOLUTION 2</t>
  </si>
  <si>
    <t>2.5.1-9016.222</t>
  </si>
  <si>
    <t>MEDIOS DE CULTIVO Y SUPLEMENTO; NOMBRE DEL PRODUCTO: AGAR MULLER HILTON, ESTADO: SOLIDO, PRESENTACION: ENVASE X 500 GR</t>
  </si>
  <si>
    <t>2.5.1-9016.383</t>
  </si>
  <si>
    <t>MEDIOS DE CULTIVO Y SUPLEMENTO; NOMBRE DEL PRODUCTO: AGAR C.L.D.E, ESTADO: SOLIDO, PRESENTACION: ENVASE X 500 GR</t>
  </si>
  <si>
    <t>2.5.1-9016.429</t>
  </si>
  <si>
    <t>MEDIOS DE CULTIVO Y SUPLEMENTO; NOMBRE DEL PRODUCTO: CROMAGAR ESTREPTO B, ESTADO: SOLIDO EN PLACA, PRESENTACION: ENVASE X 20 UN</t>
  </si>
  <si>
    <t>2.5.1-9016.621</t>
  </si>
  <si>
    <t>MEDIOS DE CULTIVO Y SUPLEMENTO; NOMBRE DEL PRODUCTO: PYR-A-ENTEROCOCOS C/REVELADOR, ESTADO: DISCO, PRESENTACION: ENVASE X 25 UN</t>
  </si>
  <si>
    <t>2.5.1-9016.713</t>
  </si>
  <si>
    <t>MEDIOS DE CULTIVO Y SUPLEMENTO; NOMBRE DEL PRODUCTO: AGAR LEVINE, ESTADO: SOLIDO, PRESENTACION: ENVASE X 500 GR</t>
  </si>
  <si>
    <t>2.5.1-9022.95</t>
  </si>
  <si>
    <t>ANTIBIOTICOS; COMPUESTO QUIMICO: ETILENDIAMINOTETRAACETICO, ESTADO: DISCO, CALIDAD: PRO ANALISIS, PRESENTACION: ENVASE X 50 UN</t>
  </si>
  <si>
    <t>2.5.1-9038.131</t>
  </si>
  <si>
    <t>REACTIVO INDICADOR-COLORANTE; COMPUESTO QUIMICO: LUGOL, ESTADO: LIQUIDO, CALIDAD: PRO ANALISIS, PRESENTACION: ENVASE X 500 mL</t>
  </si>
  <si>
    <t>2.5.1-9038.342</t>
  </si>
  <si>
    <t>REACTIVO INDICADOR-COLORANTE; COMPUESTO QUIMICO: DECOLORANTE GRAM, ESTADO: SOLUCION, CALIDAD: PRO ANALISIS, PRESENTACION: ENVASE X 500 mL</t>
  </si>
  <si>
    <t>2.5.1-9052.1612</t>
  </si>
  <si>
    <t>REACTIVOS P/LAB. TEC. MANUAL ; NOMBRE: AC. BORONICO 300 UG, USO: ANTIBIOGRAMA, PRESENTACION: ENVASE X 50 DISCO</t>
  </si>
  <si>
    <t>2.5.1-9016.491</t>
  </si>
  <si>
    <t>MEDIOS DE CULTIVO Y SUPLEMENTO; NOMBRE DEL PRODUCTO: BUENOS AIRES MEDIO CON UREA, ESTADO: POLVO, PRESENTACION: ENVASE X 100 GR</t>
  </si>
  <si>
    <t>2.5.1-9016.346</t>
  </si>
  <si>
    <t>MEDIOS DE CULTIVO Y SUPLEMENTO; NOMBRE DEL PRODUCTO: CALDO MULLER HINTON, ESTADO: SOLIDO, PRESENTACION: ENVASE X 100 GR</t>
  </si>
  <si>
    <t>ESPECIFICACIONES ITEMS DEL 1 AL 90:</t>
  </si>
  <si>
    <t>2.5.1-8937.932</t>
  </si>
  <si>
    <t>2.5.1-8937.933</t>
  </si>
  <si>
    <t>2.5.1-8937.967</t>
  </si>
  <si>
    <r>
      <t xml:space="preserve">d) </t>
    </r>
    <r>
      <rPr>
        <b/>
        <sz val="11"/>
        <color rgb="FF000000"/>
        <rFont val="Calibri"/>
        <family val="2"/>
      </rPr>
      <t>PLAZO DE PAGO</t>
    </r>
    <r>
      <rPr>
        <sz val="11"/>
        <color rgb="FF000000"/>
        <rFont val="Calibri"/>
        <family val="2"/>
      </rPr>
      <t>: Dentro de los 60(sesenta) dias habiles de efectuada la recepcion definitiva de los bienes solicitados.</t>
    </r>
  </si>
  <si>
    <t>CAJA X 4 UNIDADAES</t>
  </si>
  <si>
    <t>PARA EQUIPO COBAS 411 ROCHE-</t>
  </si>
  <si>
    <t>BOLSA</t>
  </si>
  <si>
    <t>REACTIVOS P/LAB. TEC. MANUAL ; NOMBRE: TIRA P/DETERMINACION HIV 1 Y 2, USO: DIAGNOSTICO, PRESENTACION: ENVASE X 100 UN</t>
  </si>
  <si>
    <t>2.5.1-9052.144</t>
  </si>
  <si>
    <t xml:space="preserve">DETERMINE TIPO ABBOTT </t>
  </si>
  <si>
    <t>REACTIVOS P/EQUIPO; EQUIPO: METROLAB, MARCA EQUIPO: ABBOTT ALERE DETERMINE, NOMBRE DEL PRODUCTO: TEST RAPIDO PARA SIFILIS ANTIGENOS TREPONEMICOS, PRESENTACION: 100 UNIDADES</t>
  </si>
  <si>
    <t>2.5.1-8988.2555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</si>
</sst>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&quot;$&quot;\ #,##0.00"/>
    <numFmt numFmtId="167" formatCode="_-&quot;$&quot;* #,##0.00_-;\-&quot;$&quot;* #,##0.00_-;_-&quot;$&quot;* &quot;-&quot;??_-;_-@_-"/>
    <numFmt numFmtId="168" formatCode="_ * #,##0_ ;_ * \-#,##0_ ;_ * &quot;-&quot;_ ;_ @_ 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&quot;$&quot;#,##0\ ;\(&quot;$&quot;#,##0\)"/>
    <numFmt numFmtId="172" formatCode="[$-409]d\-mmm\-yy;@"/>
    <numFmt numFmtId="173" formatCode="_-&quot;R$&quot;\ * #,##0.00_-;\-&quot;R$&quot;\ * #,##0.00_-;_-&quot;R$&quot;\ * &quot;-&quot;??_-;_-@_-"/>
    <numFmt numFmtId="174" formatCode="&quot;¥&quot;#,##0;[Red]&quot;¥&quot;\-#,##0"/>
    <numFmt numFmtId="175" formatCode="_(&quot;R$ &quot;* #,##0.00_);_(&quot;R$ &quot;* \(#,##0.00\);_(&quot;R$ &quot;* &quot;-&quot;??_);_(@_)"/>
  </numFmts>
  <fonts count="7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u/>
      <sz val="11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1"/>
      <color indexed="8"/>
      <name val="宋体"/>
    </font>
    <font>
      <sz val="11"/>
      <color indexed="8"/>
      <name val="宋体"/>
      <charset val="134"/>
    </font>
    <font>
      <sz val="11"/>
      <color indexed="9"/>
      <name val="宋体"/>
    </font>
    <font>
      <sz val="11"/>
      <color indexed="9"/>
      <name val="宋体"/>
      <charset val="134"/>
    </font>
    <font>
      <sz val="11"/>
      <color rgb="FF9C0006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indexed="17"/>
      <name val="宋体"/>
    </font>
    <font>
      <sz val="11"/>
      <color indexed="17"/>
      <name val="宋体"/>
      <charset val="134"/>
    </font>
    <font>
      <sz val="11"/>
      <color indexed="20"/>
      <name val="宋体"/>
    </font>
    <font>
      <sz val="11"/>
      <color indexed="20"/>
      <name val="宋体"/>
      <charset val="134"/>
    </font>
    <font>
      <b/>
      <sz val="18"/>
      <color indexed="56"/>
      <name val="宋体"/>
    </font>
    <font>
      <b/>
      <sz val="15"/>
      <color indexed="56"/>
      <name val="宋体"/>
    </font>
    <font>
      <b/>
      <sz val="15"/>
      <color indexed="56"/>
      <name val="宋体"/>
      <charset val="134"/>
    </font>
    <font>
      <b/>
      <sz val="13"/>
      <color indexed="56"/>
      <name val="宋体"/>
    </font>
    <font>
      <b/>
      <sz val="13"/>
      <color indexed="56"/>
      <name val="宋体"/>
      <charset val="134"/>
    </font>
    <font>
      <b/>
      <sz val="11"/>
      <color indexed="56"/>
      <name val="宋体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</font>
    <font>
      <b/>
      <sz val="11"/>
      <color indexed="9"/>
      <name val="宋体"/>
      <charset val="134"/>
    </font>
    <font>
      <b/>
      <sz val="11"/>
      <color indexed="8"/>
      <name val="宋体"/>
    </font>
    <font>
      <b/>
      <sz val="11"/>
      <color indexed="8"/>
      <name val="宋体"/>
      <charset val="134"/>
    </font>
    <font>
      <i/>
      <sz val="11"/>
      <color indexed="23"/>
      <name val="宋体"/>
    </font>
    <font>
      <i/>
      <sz val="11"/>
      <color indexed="23"/>
      <name val="宋体"/>
      <charset val="134"/>
    </font>
    <font>
      <sz val="11"/>
      <color indexed="10"/>
      <name val="宋体"/>
    </font>
    <font>
      <sz val="11"/>
      <color indexed="10"/>
      <name val="宋体"/>
      <charset val="134"/>
    </font>
    <font>
      <b/>
      <sz val="11"/>
      <color indexed="52"/>
      <name val="宋体"/>
    </font>
    <font>
      <b/>
      <sz val="11"/>
      <color indexed="52"/>
      <name val="宋体"/>
      <charset val="134"/>
    </font>
    <font>
      <sz val="11"/>
      <color indexed="62"/>
      <name val="宋体"/>
    </font>
    <font>
      <sz val="11"/>
      <color indexed="62"/>
      <name val="宋体"/>
      <charset val="134"/>
    </font>
    <font>
      <b/>
      <sz val="11"/>
      <color indexed="63"/>
      <name val="宋体"/>
    </font>
    <font>
      <b/>
      <sz val="11"/>
      <color indexed="63"/>
      <name val="宋体"/>
      <charset val="134"/>
    </font>
    <font>
      <sz val="11"/>
      <color indexed="60"/>
      <name val="宋体"/>
    </font>
    <font>
      <sz val="11"/>
      <color indexed="60"/>
      <name val="宋体"/>
      <charset val="134"/>
    </font>
    <font>
      <sz val="11"/>
      <color indexed="52"/>
      <name val="宋体"/>
    </font>
    <font>
      <sz val="11"/>
      <color indexed="52"/>
      <name val="宋体"/>
      <charset val="134"/>
    </font>
    <font>
      <sz val="11"/>
      <name val="Calibri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3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96">
    <xf numFmtId="0" fontId="0" fillId="0" borderId="0"/>
    <xf numFmtId="0" fontId="3" fillId="0" borderId="1" applyProtection="0"/>
    <xf numFmtId="0" fontId="4" fillId="2" borderId="0" applyBorder="0" applyProtection="0"/>
    <xf numFmtId="0" fontId="5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2" fillId="5" borderId="0" applyNumberFormat="0" applyBorder="0" applyAlignment="0" applyProtection="0"/>
    <xf numFmtId="165" fontId="5" fillId="0" borderId="0" applyBorder="0" applyProtection="0"/>
    <xf numFmtId="164" fontId="14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12" fillId="7" borderId="16" applyNumberFormat="0" applyProtection="0">
      <alignment horizontal="left" vertical="center" indent="1"/>
    </xf>
    <xf numFmtId="0" fontId="28" fillId="0" borderId="0"/>
    <xf numFmtId="0" fontId="5" fillId="0" borderId="17" applyNumberFormat="0" applyFont="0" applyFill="0" applyAlignment="0" applyProtection="0"/>
    <xf numFmtId="0" fontId="1" fillId="0" borderId="0"/>
    <xf numFmtId="9" fontId="1" fillId="0" borderId="0" applyFont="0" applyFill="0" applyBorder="0" applyAlignment="0" applyProtection="0"/>
    <xf numFmtId="172" fontId="30" fillId="8" borderId="0" applyNumberFormat="0" applyBorder="0" applyAlignment="0" applyProtection="0">
      <alignment vertical="center"/>
    </xf>
    <xf numFmtId="172" fontId="30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38" fontId="3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36" fillId="0" borderId="0" applyFont="0" applyFill="0" applyBorder="0" applyAlignment="0" applyProtection="0">
      <alignment vertical="center"/>
    </xf>
    <xf numFmtId="17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37" fillId="0" borderId="0"/>
    <xf numFmtId="172" fontId="37" fillId="0" borderId="0"/>
    <xf numFmtId="172" fontId="37" fillId="0" borderId="0"/>
    <xf numFmtId="0" fontId="37" fillId="0" borderId="0"/>
    <xf numFmtId="172" fontId="37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1" fillId="0" borderId="0"/>
    <xf numFmtId="172" fontId="1" fillId="0" borderId="0"/>
    <xf numFmtId="172" fontId="5" fillId="0" borderId="0"/>
    <xf numFmtId="172" fontId="1" fillId="0" borderId="0"/>
    <xf numFmtId="0" fontId="5" fillId="0" borderId="0"/>
    <xf numFmtId="0" fontId="36" fillId="0" borderId="0">
      <alignment vertical="center"/>
    </xf>
    <xf numFmtId="0" fontId="5" fillId="0" borderId="0"/>
    <xf numFmtId="172" fontId="35" fillId="0" borderId="0">
      <alignment vertical="center"/>
    </xf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5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1" fillId="0" borderId="0"/>
    <xf numFmtId="172" fontId="5" fillId="0" borderId="0"/>
    <xf numFmtId="172" fontId="5" fillId="0" borderId="0"/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1" fillId="0" borderId="0"/>
    <xf numFmtId="172" fontId="37" fillId="0" borderId="0"/>
    <xf numFmtId="172" fontId="1" fillId="0" borderId="0"/>
    <xf numFmtId="0" fontId="5" fillId="0" borderId="0"/>
    <xf numFmtId="0" fontId="5" fillId="0" borderId="0"/>
    <xf numFmtId="172" fontId="1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4" fontId="26" fillId="21" borderId="18" applyNumberFormat="0" applyProtection="0">
      <alignment horizontal="left" vertical="center" indent="1"/>
    </xf>
    <xf numFmtId="38" fontId="37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172" fontId="35" fillId="0" borderId="0">
      <alignment vertical="center"/>
    </xf>
    <xf numFmtId="172" fontId="35" fillId="0" borderId="0"/>
    <xf numFmtId="0" fontId="36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0" fontId="35" fillId="0" borderId="0"/>
    <xf numFmtId="172" fontId="35" fillId="0" borderId="0"/>
    <xf numFmtId="172" fontId="35" fillId="0" borderId="0"/>
    <xf numFmtId="0" fontId="35" fillId="0" borderId="0"/>
    <xf numFmtId="172" fontId="35" fillId="0" borderId="0"/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0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0" fontId="35" fillId="0" borderId="0"/>
    <xf numFmtId="172" fontId="52" fillId="0" borderId="23" applyNumberFormat="0" applyFill="0" applyAlignment="0" applyProtection="0">
      <alignment vertical="center"/>
    </xf>
    <xf numFmtId="172" fontId="52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/>
    <xf numFmtId="172" fontId="66" fillId="0" borderId="27" applyNumberFormat="0" applyFill="0" applyAlignment="0" applyProtection="0">
      <alignment vertical="center"/>
    </xf>
    <xf numFmtId="172" fontId="66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25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44" fontId="5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0" xfId="0" applyFont="1" applyFill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7" fillId="3" borderId="2" xfId="3" applyFont="1" applyFill="1" applyBorder="1"/>
    <xf numFmtId="0" fontId="17" fillId="3" borderId="6" xfId="3" applyFont="1" applyFill="1" applyBorder="1"/>
    <xf numFmtId="0" fontId="17" fillId="3" borderId="5" xfId="3" applyFont="1" applyFill="1" applyBorder="1"/>
    <xf numFmtId="0" fontId="19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left"/>
    </xf>
    <xf numFmtId="0" fontId="20" fillId="0" borderId="11" xfId="0" applyFont="1" applyBorder="1"/>
    <xf numFmtId="0" fontId="20" fillId="0" borderId="13" xfId="0" applyFont="1" applyBorder="1"/>
    <xf numFmtId="167" fontId="17" fillId="3" borderId="0" xfId="3" applyNumberFormat="1" applyFont="1" applyFill="1"/>
    <xf numFmtId="0" fontId="6" fillId="0" borderId="7" xfId="0" applyFont="1" applyBorder="1"/>
    <xf numFmtId="0" fontId="69" fillId="3" borderId="31" xfId="0" applyFont="1" applyFill="1" applyBorder="1" applyAlignment="1">
      <alignment horizontal="center" vertical="center" wrapText="1"/>
    </xf>
    <xf numFmtId="0" fontId="71" fillId="3" borderId="31" xfId="0" applyFont="1" applyFill="1" applyBorder="1" applyAlignment="1">
      <alignment horizontal="center" vertical="center" wrapText="1"/>
    </xf>
    <xf numFmtId="1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/>
    </xf>
    <xf numFmtId="166" fontId="70" fillId="3" borderId="31" xfId="0" applyNumberFormat="1" applyFont="1" applyFill="1" applyBorder="1" applyAlignment="1">
      <alignment horizontal="center" vertical="center"/>
    </xf>
    <xf numFmtId="0" fontId="72" fillId="3" borderId="31" xfId="0" applyFont="1" applyFill="1" applyBorder="1" applyAlignment="1">
      <alignment horizontal="center" vertical="center" wrapText="1"/>
    </xf>
    <xf numFmtId="0" fontId="70" fillId="3" borderId="31" xfId="5" applyFont="1" applyFill="1" applyBorder="1" applyAlignment="1">
      <alignment horizontal="center" vertical="center" wrapText="1"/>
    </xf>
    <xf numFmtId="0" fontId="69" fillId="3" borderId="31" xfId="7" applyFont="1" applyFill="1" applyBorder="1" applyAlignment="1">
      <alignment horizontal="center" vertical="center"/>
    </xf>
    <xf numFmtId="1" fontId="69" fillId="3" borderId="31" xfId="6" applyNumberFormat="1" applyFont="1" applyFill="1" applyBorder="1" applyAlignment="1">
      <alignment horizontal="center" vertical="center"/>
    </xf>
    <xf numFmtId="166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 wrapText="1"/>
    </xf>
    <xf numFmtId="166" fontId="70" fillId="3" borderId="31" xfId="9" applyNumberFormat="1" applyFont="1" applyFill="1" applyBorder="1" applyAlignment="1">
      <alignment horizontal="center" vertical="center"/>
    </xf>
    <xf numFmtId="1" fontId="69" fillId="3" borderId="31" xfId="0" applyNumberFormat="1" applyFont="1" applyFill="1" applyBorder="1" applyAlignment="1">
      <alignment horizontal="center" vertical="center"/>
    </xf>
    <xf numFmtId="1" fontId="70" fillId="3" borderId="31" xfId="0" applyNumberFormat="1" applyFont="1" applyFill="1" applyBorder="1" applyAlignment="1">
      <alignment horizontal="center" vertical="center" wrapText="1"/>
    </xf>
    <xf numFmtId="166" fontId="69" fillId="3" borderId="31" xfId="0" applyNumberFormat="1" applyFont="1" applyFill="1" applyBorder="1" applyAlignment="1">
      <alignment horizontal="center" vertical="center"/>
    </xf>
    <xf numFmtId="0" fontId="70" fillId="3" borderId="31" xfId="5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9" fillId="3" borderId="0" xfId="0" applyFont="1" applyFill="1" applyAlignment="1">
      <alignment horizontal="center" vertical="center" wrapText="1"/>
    </xf>
    <xf numFmtId="166" fontId="69" fillId="3" borderId="0" xfId="0" applyNumberFormat="1" applyFont="1" applyFill="1" applyAlignment="1">
      <alignment horizontal="center" vertical="center" wrapText="1"/>
    </xf>
    <xf numFmtId="0" fontId="70" fillId="3" borderId="0" xfId="0" applyFont="1" applyFill="1" applyAlignment="1">
      <alignment horizontal="center" vertic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vertical="center"/>
    </xf>
    <xf numFmtId="0" fontId="17" fillId="3" borderId="0" xfId="3" applyFont="1" applyFill="1"/>
    <xf numFmtId="0" fontId="17" fillId="3" borderId="4" xfId="3" applyFont="1" applyFill="1" applyBorder="1" applyAlignment="1">
      <alignment horizontal="left" vertical="center"/>
    </xf>
    <xf numFmtId="167" fontId="17" fillId="3" borderId="3" xfId="3" applyNumberFormat="1" applyFont="1" applyFill="1" applyBorder="1"/>
    <xf numFmtId="167" fontId="17" fillId="3" borderId="7" xfId="3" applyNumberFormat="1" applyFont="1" applyFill="1" applyBorder="1"/>
    <xf numFmtId="0" fontId="17" fillId="3" borderId="36" xfId="3" applyFont="1" applyFill="1" applyBorder="1"/>
    <xf numFmtId="0" fontId="6" fillId="0" borderId="37" xfId="0" applyFont="1" applyBorder="1"/>
    <xf numFmtId="0" fontId="17" fillId="3" borderId="0" xfId="3" applyFont="1" applyFill="1" applyAlignment="1">
      <alignment horizontal="left" vertical="center"/>
    </xf>
    <xf numFmtId="0" fontId="17" fillId="3" borderId="36" xfId="3" applyFont="1" applyFill="1" applyBorder="1" applyAlignment="1">
      <alignment horizontal="left" vertical="center"/>
    </xf>
    <xf numFmtId="0" fontId="6" fillId="0" borderId="4" xfId="0" applyFont="1" applyBorder="1"/>
    <xf numFmtId="0" fontId="16" fillId="3" borderId="6" xfId="3" applyFont="1" applyFill="1" applyBorder="1"/>
    <xf numFmtId="0" fontId="17" fillId="3" borderId="35" xfId="3" applyFont="1" applyFill="1" applyBorder="1"/>
    <xf numFmtId="0" fontId="71" fillId="3" borderId="0" xfId="0" applyFont="1" applyFill="1" applyAlignment="1">
      <alignment horizontal="center" vertical="center" wrapText="1"/>
    </xf>
    <xf numFmtId="8" fontId="70" fillId="3" borderId="31" xfId="0" applyNumberFormat="1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 wrapText="1" shrinkToFit="1"/>
    </xf>
    <xf numFmtId="0" fontId="71" fillId="0" borderId="31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 wrapText="1"/>
    </xf>
    <xf numFmtId="0" fontId="74" fillId="3" borderId="31" xfId="0" applyFont="1" applyFill="1" applyBorder="1" applyAlignment="1">
      <alignment horizontal="center" vertical="center"/>
    </xf>
    <xf numFmtId="166" fontId="73" fillId="3" borderId="3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20" fillId="0" borderId="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4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0" fillId="0" borderId="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4" xfId="0" applyFont="1" applyBorder="1" applyAlignment="1">
      <alignment horizontal="left" wrapText="1"/>
    </xf>
    <xf numFmtId="0" fontId="20" fillId="3" borderId="9" xfId="0" applyFont="1" applyFill="1" applyBorder="1" applyAlignment="1">
      <alignment horizontal="left"/>
    </xf>
    <xf numFmtId="0" fontId="20" fillId="3" borderId="0" xfId="0" applyFont="1" applyFill="1" applyAlignment="1">
      <alignment horizontal="left"/>
    </xf>
    <xf numFmtId="0" fontId="20" fillId="3" borderId="14" xfId="0" applyFont="1" applyFill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4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0" fillId="0" borderId="30" xfId="0" applyFont="1" applyBorder="1" applyAlignment="1">
      <alignment wrapText="1"/>
    </xf>
    <xf numFmtId="0" fontId="73" fillId="3" borderId="0" xfId="0" applyFont="1" applyFill="1" applyAlignment="1">
      <alignment horizontal="left" vertical="center" wrapText="1"/>
    </xf>
  </cellXfs>
  <cellStyles count="596">
    <cellStyle name="20% - Énfasis5" xfId="7" builtinId="46"/>
    <cellStyle name="20% - 强调文字颜色 1" xfId="45" xr:uid="{00000000-0005-0000-0000-000001000000}"/>
    <cellStyle name="20% - 强调文字颜色 1 2" xfId="46" xr:uid="{00000000-0005-0000-0000-000002000000}"/>
    <cellStyle name="20% - 强调文字颜色 1 3" xfId="47" xr:uid="{00000000-0005-0000-0000-000003000000}"/>
    <cellStyle name="20% - 强调文字颜色 1 3 2" xfId="48" xr:uid="{00000000-0005-0000-0000-000004000000}"/>
    <cellStyle name="20% - 强调文字颜色 1 3 3" xfId="49" xr:uid="{00000000-0005-0000-0000-000005000000}"/>
    <cellStyle name="20% - 强调文字颜色 1 3 4" xfId="50" xr:uid="{00000000-0005-0000-0000-000006000000}"/>
    <cellStyle name="20% - 强调文字颜色 1 3 5" xfId="51" xr:uid="{00000000-0005-0000-0000-000007000000}"/>
    <cellStyle name="20% - 强调文字颜色 2" xfId="52" xr:uid="{00000000-0005-0000-0000-000008000000}"/>
    <cellStyle name="20% - 强调文字颜色 2 2" xfId="53" xr:uid="{00000000-0005-0000-0000-000009000000}"/>
    <cellStyle name="20% - 强调文字颜色 2 3" xfId="54" xr:uid="{00000000-0005-0000-0000-00000A000000}"/>
    <cellStyle name="20% - 强调文字颜色 2 3 2" xfId="55" xr:uid="{00000000-0005-0000-0000-00000B000000}"/>
    <cellStyle name="20% - 强调文字颜色 2 3 3" xfId="56" xr:uid="{00000000-0005-0000-0000-00000C000000}"/>
    <cellStyle name="20% - 强调文字颜色 2 3 4" xfId="57" xr:uid="{00000000-0005-0000-0000-00000D000000}"/>
    <cellStyle name="20% - 强调文字颜色 2 3 5" xfId="58" xr:uid="{00000000-0005-0000-0000-00000E000000}"/>
    <cellStyle name="20% - 强调文字颜色 3" xfId="59" xr:uid="{00000000-0005-0000-0000-00000F000000}"/>
    <cellStyle name="20% - 强调文字颜色 3 2" xfId="60" xr:uid="{00000000-0005-0000-0000-000010000000}"/>
    <cellStyle name="20% - 强调文字颜色 3 3" xfId="61" xr:uid="{00000000-0005-0000-0000-000011000000}"/>
    <cellStyle name="20% - 强调文字颜色 3 3 2" xfId="62" xr:uid="{00000000-0005-0000-0000-000012000000}"/>
    <cellStyle name="20% - 强调文字颜色 3 3 3" xfId="63" xr:uid="{00000000-0005-0000-0000-000013000000}"/>
    <cellStyle name="20% - 强调文字颜色 3 3 4" xfId="64" xr:uid="{00000000-0005-0000-0000-000014000000}"/>
    <cellStyle name="20% - 强调文字颜色 3 3 5" xfId="65" xr:uid="{00000000-0005-0000-0000-000015000000}"/>
    <cellStyle name="20% - 强调文字颜色 4" xfId="66" xr:uid="{00000000-0005-0000-0000-000016000000}"/>
    <cellStyle name="20% - 强调文字颜色 4 2" xfId="67" xr:uid="{00000000-0005-0000-0000-000017000000}"/>
    <cellStyle name="20% - 强调文字颜色 4 3" xfId="68" xr:uid="{00000000-0005-0000-0000-000018000000}"/>
    <cellStyle name="20% - 强调文字颜色 4 3 2" xfId="69" xr:uid="{00000000-0005-0000-0000-000019000000}"/>
    <cellStyle name="20% - 强调文字颜色 4 3 3" xfId="70" xr:uid="{00000000-0005-0000-0000-00001A000000}"/>
    <cellStyle name="20% - 强调文字颜色 4 3 4" xfId="71" xr:uid="{00000000-0005-0000-0000-00001B000000}"/>
    <cellStyle name="20% - 强调文字颜色 4 3 5" xfId="72" xr:uid="{00000000-0005-0000-0000-00001C000000}"/>
    <cellStyle name="20% - 强调文字颜色 5" xfId="73" xr:uid="{00000000-0005-0000-0000-00001D000000}"/>
    <cellStyle name="20% - 强调文字颜色 5 2" xfId="74" xr:uid="{00000000-0005-0000-0000-00001E000000}"/>
    <cellStyle name="20% - 强调文字颜色 5 3" xfId="75" xr:uid="{00000000-0005-0000-0000-00001F000000}"/>
    <cellStyle name="20% - 强调文字颜色 5 3 2" xfId="76" xr:uid="{00000000-0005-0000-0000-000020000000}"/>
    <cellStyle name="20% - 强调文字颜色 5 3 3" xfId="77" xr:uid="{00000000-0005-0000-0000-000021000000}"/>
    <cellStyle name="20% - 强调文字颜色 5 3 4" xfId="78" xr:uid="{00000000-0005-0000-0000-000022000000}"/>
    <cellStyle name="20% - 强调文字颜色 5 3 5" xfId="79" xr:uid="{00000000-0005-0000-0000-000023000000}"/>
    <cellStyle name="20% - 强调文字颜色 6" xfId="80" xr:uid="{00000000-0005-0000-0000-000024000000}"/>
    <cellStyle name="20% - 强调文字颜色 6 2" xfId="81" xr:uid="{00000000-0005-0000-0000-000025000000}"/>
    <cellStyle name="20% - 强调文字颜色 6 3" xfId="82" xr:uid="{00000000-0005-0000-0000-000026000000}"/>
    <cellStyle name="20% - 强调文字颜色 6 3 2" xfId="83" xr:uid="{00000000-0005-0000-0000-000027000000}"/>
    <cellStyle name="20% - 强调文字颜色 6 3 3" xfId="84" xr:uid="{00000000-0005-0000-0000-000028000000}"/>
    <cellStyle name="20% - 强调文字颜色 6 3 4" xfId="85" xr:uid="{00000000-0005-0000-0000-000029000000}"/>
    <cellStyle name="20% - 强调文字颜色 6 3 5" xfId="86" xr:uid="{00000000-0005-0000-0000-00002A000000}"/>
    <cellStyle name="40% - 强调文字颜色 1" xfId="87" xr:uid="{00000000-0005-0000-0000-00002B000000}"/>
    <cellStyle name="40% - 强调文字颜色 1 2" xfId="88" xr:uid="{00000000-0005-0000-0000-00002C000000}"/>
    <cellStyle name="40% - 强调文字颜色 1 3" xfId="89" xr:uid="{00000000-0005-0000-0000-00002D000000}"/>
    <cellStyle name="40% - 强调文字颜色 1 3 2" xfId="90" xr:uid="{00000000-0005-0000-0000-00002E000000}"/>
    <cellStyle name="40% - 强调文字颜色 1 3 3" xfId="91" xr:uid="{00000000-0005-0000-0000-00002F000000}"/>
    <cellStyle name="40% - 强调文字颜色 1 3 4" xfId="92" xr:uid="{00000000-0005-0000-0000-000030000000}"/>
    <cellStyle name="40% - 强调文字颜色 1 3 5" xfId="93" xr:uid="{00000000-0005-0000-0000-000031000000}"/>
    <cellStyle name="40% - 强调文字颜色 2" xfId="94" xr:uid="{00000000-0005-0000-0000-000032000000}"/>
    <cellStyle name="40% - 强调文字颜色 2 2" xfId="95" xr:uid="{00000000-0005-0000-0000-000033000000}"/>
    <cellStyle name="40% - 强调文字颜色 2 3" xfId="96" xr:uid="{00000000-0005-0000-0000-000034000000}"/>
    <cellStyle name="40% - 强调文字颜色 2 3 2" xfId="97" xr:uid="{00000000-0005-0000-0000-000035000000}"/>
    <cellStyle name="40% - 强调文字颜色 2 3 3" xfId="98" xr:uid="{00000000-0005-0000-0000-000036000000}"/>
    <cellStyle name="40% - 强调文字颜色 2 3 4" xfId="99" xr:uid="{00000000-0005-0000-0000-000037000000}"/>
    <cellStyle name="40% - 强调文字颜色 2 3 5" xfId="100" xr:uid="{00000000-0005-0000-0000-000038000000}"/>
    <cellStyle name="40% - 强调文字颜色 3" xfId="101" xr:uid="{00000000-0005-0000-0000-000039000000}"/>
    <cellStyle name="40% - 强调文字颜色 3 2" xfId="102" xr:uid="{00000000-0005-0000-0000-00003A000000}"/>
    <cellStyle name="40% - 强调文字颜色 3 3" xfId="103" xr:uid="{00000000-0005-0000-0000-00003B000000}"/>
    <cellStyle name="40% - 强调文字颜色 3 3 2" xfId="104" xr:uid="{00000000-0005-0000-0000-00003C000000}"/>
    <cellStyle name="40% - 强调文字颜色 3 3 3" xfId="105" xr:uid="{00000000-0005-0000-0000-00003D000000}"/>
    <cellStyle name="40% - 强调文字颜色 3 3 4" xfId="106" xr:uid="{00000000-0005-0000-0000-00003E000000}"/>
    <cellStyle name="40% - 强调文字颜色 3 3 5" xfId="107" xr:uid="{00000000-0005-0000-0000-00003F000000}"/>
    <cellStyle name="40% - 强调文字颜色 4" xfId="108" xr:uid="{00000000-0005-0000-0000-000040000000}"/>
    <cellStyle name="40% - 强调文字颜色 4 2" xfId="109" xr:uid="{00000000-0005-0000-0000-000041000000}"/>
    <cellStyle name="40% - 强调文字颜色 4 3" xfId="110" xr:uid="{00000000-0005-0000-0000-000042000000}"/>
    <cellStyle name="40% - 强调文字颜色 4 3 2" xfId="111" xr:uid="{00000000-0005-0000-0000-000043000000}"/>
    <cellStyle name="40% - 强调文字颜色 4 3 3" xfId="112" xr:uid="{00000000-0005-0000-0000-000044000000}"/>
    <cellStyle name="40% - 强调文字颜色 4 3 4" xfId="113" xr:uid="{00000000-0005-0000-0000-000045000000}"/>
    <cellStyle name="40% - 强调文字颜色 4 3 5" xfId="114" xr:uid="{00000000-0005-0000-0000-000046000000}"/>
    <cellStyle name="40% - 强调文字颜色 5" xfId="115" xr:uid="{00000000-0005-0000-0000-000047000000}"/>
    <cellStyle name="40% - 强调文字颜色 5 2" xfId="116" xr:uid="{00000000-0005-0000-0000-000048000000}"/>
    <cellStyle name="40% - 强调文字颜色 5 3" xfId="117" xr:uid="{00000000-0005-0000-0000-000049000000}"/>
    <cellStyle name="40% - 强调文字颜色 5 3 2" xfId="118" xr:uid="{00000000-0005-0000-0000-00004A000000}"/>
    <cellStyle name="40% - 强调文字颜色 5 3 3" xfId="119" xr:uid="{00000000-0005-0000-0000-00004B000000}"/>
    <cellStyle name="40% - 强调文字颜色 5 3 4" xfId="120" xr:uid="{00000000-0005-0000-0000-00004C000000}"/>
    <cellStyle name="40% - 强调文字颜色 5 3 5" xfId="121" xr:uid="{00000000-0005-0000-0000-00004D000000}"/>
    <cellStyle name="40% - 强调文字颜色 6" xfId="122" xr:uid="{00000000-0005-0000-0000-00004E000000}"/>
    <cellStyle name="40% - 强调文字颜色 6 2" xfId="123" xr:uid="{00000000-0005-0000-0000-00004F000000}"/>
    <cellStyle name="40% - 强调文字颜色 6 3" xfId="124" xr:uid="{00000000-0005-0000-0000-000050000000}"/>
    <cellStyle name="40% - 强调文字颜色 6 3 2" xfId="125" xr:uid="{00000000-0005-0000-0000-000051000000}"/>
    <cellStyle name="40% - 强调文字颜色 6 3 3" xfId="126" xr:uid="{00000000-0005-0000-0000-000052000000}"/>
    <cellStyle name="40% - 强调文字颜色 6 3 4" xfId="127" xr:uid="{00000000-0005-0000-0000-000053000000}"/>
    <cellStyle name="40% - 强调文字颜色 6 3 5" xfId="128" xr:uid="{00000000-0005-0000-0000-000054000000}"/>
    <cellStyle name="60% - 强调文字颜色 1" xfId="129" xr:uid="{00000000-0005-0000-0000-000055000000}"/>
    <cellStyle name="60% - 强调文字颜色 1 2" xfId="130" xr:uid="{00000000-0005-0000-0000-000056000000}"/>
    <cellStyle name="60% - 强调文字颜色 1 3" xfId="131" xr:uid="{00000000-0005-0000-0000-000057000000}"/>
    <cellStyle name="60% - 强调文字颜色 1 3 2" xfId="132" xr:uid="{00000000-0005-0000-0000-000058000000}"/>
    <cellStyle name="60% - 强调文字颜色 1 3 3" xfId="133" xr:uid="{00000000-0005-0000-0000-000059000000}"/>
    <cellStyle name="60% - 强调文字颜色 1 3 4" xfId="134" xr:uid="{00000000-0005-0000-0000-00005A000000}"/>
    <cellStyle name="60% - 强调文字颜色 1 3 5" xfId="135" xr:uid="{00000000-0005-0000-0000-00005B000000}"/>
    <cellStyle name="60% - 强调文字颜色 2" xfId="136" xr:uid="{00000000-0005-0000-0000-00005C000000}"/>
    <cellStyle name="60% - 强调文字颜色 2 2" xfId="137" xr:uid="{00000000-0005-0000-0000-00005D000000}"/>
    <cellStyle name="60% - 强调文字颜色 2 3" xfId="138" xr:uid="{00000000-0005-0000-0000-00005E000000}"/>
    <cellStyle name="60% - 强调文字颜色 2 3 2" xfId="139" xr:uid="{00000000-0005-0000-0000-00005F000000}"/>
    <cellStyle name="60% - 强调文字颜色 2 3 3" xfId="140" xr:uid="{00000000-0005-0000-0000-000060000000}"/>
    <cellStyle name="60% - 强调文字颜色 2 3 4" xfId="141" xr:uid="{00000000-0005-0000-0000-000061000000}"/>
    <cellStyle name="60% - 强调文字颜色 2 3 5" xfId="142" xr:uid="{00000000-0005-0000-0000-000062000000}"/>
    <cellStyle name="60% - 强调文字颜色 3" xfId="143" xr:uid="{00000000-0005-0000-0000-000063000000}"/>
    <cellStyle name="60% - 强调文字颜色 3 2" xfId="144" xr:uid="{00000000-0005-0000-0000-000064000000}"/>
    <cellStyle name="60% - 强调文字颜色 3 3" xfId="145" xr:uid="{00000000-0005-0000-0000-000065000000}"/>
    <cellStyle name="60% - 强调文字颜色 3 3 2" xfId="146" xr:uid="{00000000-0005-0000-0000-000066000000}"/>
    <cellStyle name="60% - 强调文字颜色 3 3 3" xfId="147" xr:uid="{00000000-0005-0000-0000-000067000000}"/>
    <cellStyle name="60% - 强调文字颜色 3 3 4" xfId="148" xr:uid="{00000000-0005-0000-0000-000068000000}"/>
    <cellStyle name="60% - 强调文字颜色 3 3 5" xfId="149" xr:uid="{00000000-0005-0000-0000-000069000000}"/>
    <cellStyle name="60% - 强调文字颜色 4" xfId="150" xr:uid="{00000000-0005-0000-0000-00006A000000}"/>
    <cellStyle name="60% - 强调文字颜色 4 2" xfId="151" xr:uid="{00000000-0005-0000-0000-00006B000000}"/>
    <cellStyle name="60% - 强调文字颜色 4 3" xfId="152" xr:uid="{00000000-0005-0000-0000-00006C000000}"/>
    <cellStyle name="60% - 强调文字颜色 4 3 2" xfId="153" xr:uid="{00000000-0005-0000-0000-00006D000000}"/>
    <cellStyle name="60% - 强调文字颜色 4 3 3" xfId="154" xr:uid="{00000000-0005-0000-0000-00006E000000}"/>
    <cellStyle name="60% - 强调文字颜色 4 3 4" xfId="155" xr:uid="{00000000-0005-0000-0000-00006F000000}"/>
    <cellStyle name="60% - 强调文字颜色 4 3 5" xfId="156" xr:uid="{00000000-0005-0000-0000-000070000000}"/>
    <cellStyle name="60% - 强调文字颜色 5" xfId="157" xr:uid="{00000000-0005-0000-0000-000071000000}"/>
    <cellStyle name="60% - 强调文字颜色 5 2" xfId="158" xr:uid="{00000000-0005-0000-0000-000072000000}"/>
    <cellStyle name="60% - 强调文字颜色 5 3" xfId="159" xr:uid="{00000000-0005-0000-0000-000073000000}"/>
    <cellStyle name="60% - 强调文字颜色 5 3 2" xfId="160" xr:uid="{00000000-0005-0000-0000-000074000000}"/>
    <cellStyle name="60% - 强调文字颜色 5 3 3" xfId="161" xr:uid="{00000000-0005-0000-0000-000075000000}"/>
    <cellStyle name="60% - 强调文字颜色 5 3 4" xfId="162" xr:uid="{00000000-0005-0000-0000-000076000000}"/>
    <cellStyle name="60% - 强调文字颜色 5 3 5" xfId="163" xr:uid="{00000000-0005-0000-0000-000077000000}"/>
    <cellStyle name="60% - 强调文字颜色 6" xfId="164" xr:uid="{00000000-0005-0000-0000-000078000000}"/>
    <cellStyle name="60% - 强调文字颜色 6 2" xfId="165" xr:uid="{00000000-0005-0000-0000-000079000000}"/>
    <cellStyle name="60% - 强调文字颜色 6 3" xfId="166" xr:uid="{00000000-0005-0000-0000-00007A000000}"/>
    <cellStyle name="60% - 强调文字颜色 6 3 2" xfId="167" xr:uid="{00000000-0005-0000-0000-00007B000000}"/>
    <cellStyle name="60% - 强调文字颜色 6 3 3" xfId="168" xr:uid="{00000000-0005-0000-0000-00007C000000}"/>
    <cellStyle name="60% - 强调文字颜色 6 3 4" xfId="169" xr:uid="{00000000-0005-0000-0000-00007D000000}"/>
    <cellStyle name="60% - 强调文字颜色 6 3 5" xfId="170" xr:uid="{00000000-0005-0000-0000-00007E000000}"/>
    <cellStyle name="Bad 2" xfId="171" xr:uid="{00000000-0005-0000-0000-00007F000000}"/>
    <cellStyle name="Bad 2 2" xfId="172" xr:uid="{00000000-0005-0000-0000-000080000000}"/>
    <cellStyle name="Bad 2 3" xfId="173" xr:uid="{00000000-0005-0000-0000-000081000000}"/>
    <cellStyle name="Bad 2 3 2" xfId="174" xr:uid="{00000000-0005-0000-0000-000082000000}"/>
    <cellStyle name="Bad 2 3 3" xfId="175" xr:uid="{00000000-0005-0000-0000-000083000000}"/>
    <cellStyle name="Bad 2 3 4" xfId="176" xr:uid="{00000000-0005-0000-0000-000084000000}"/>
    <cellStyle name="Bad 2 3 5" xfId="177" xr:uid="{00000000-0005-0000-0000-000085000000}"/>
    <cellStyle name="Bueno" xfId="6" builtinId="26"/>
    <cellStyle name="Comma [0] 2" xfId="11" xr:uid="{00000000-0005-0000-0000-000087000000}"/>
    <cellStyle name="Comma [0] 2 2" xfId="178" xr:uid="{00000000-0005-0000-0000-000088000000}"/>
    <cellStyle name="Comma [0] 3" xfId="179" xr:uid="{00000000-0005-0000-0000-000089000000}"/>
    <cellStyle name="Comma 2" xfId="12" xr:uid="{00000000-0005-0000-0000-00008A000000}"/>
    <cellStyle name="Comma 2 2" xfId="181" xr:uid="{00000000-0005-0000-0000-00008B000000}"/>
    <cellStyle name="Comma 2 3" xfId="180" xr:uid="{00000000-0005-0000-0000-00008C000000}"/>
    <cellStyle name="Comma 3" xfId="13" xr:uid="{00000000-0005-0000-0000-00008D000000}"/>
    <cellStyle name="Comma 4" xfId="14" xr:uid="{00000000-0005-0000-0000-00008E000000}"/>
    <cellStyle name="Comma 4 2" xfId="585" xr:uid="{00000000-0005-0000-0000-00008F000000}"/>
    <cellStyle name="Comma0" xfId="15" xr:uid="{00000000-0005-0000-0000-000090000000}"/>
    <cellStyle name="Currency 2" xfId="16" xr:uid="{00000000-0005-0000-0000-000091000000}"/>
    <cellStyle name="Currency 2 2" xfId="183" xr:uid="{00000000-0005-0000-0000-000092000000}"/>
    <cellStyle name="Currency 2 3" xfId="184" xr:uid="{00000000-0005-0000-0000-000093000000}"/>
    <cellStyle name="Currency 2 4" xfId="185" xr:uid="{00000000-0005-0000-0000-000094000000}"/>
    <cellStyle name="Currency 2 5" xfId="182" xr:uid="{00000000-0005-0000-0000-000095000000}"/>
    <cellStyle name="Currency 3" xfId="186" xr:uid="{00000000-0005-0000-0000-000096000000}"/>
    <cellStyle name="Currency 3 2" xfId="187" xr:uid="{00000000-0005-0000-0000-000097000000}"/>
    <cellStyle name="Currency 3 2 2" xfId="188" xr:uid="{00000000-0005-0000-0000-000098000000}"/>
    <cellStyle name="Currency 3 3" xfId="189" xr:uid="{00000000-0005-0000-0000-000099000000}"/>
    <cellStyle name="Currency 3 3 2" xfId="190" xr:uid="{00000000-0005-0000-0000-00009A000000}"/>
    <cellStyle name="Currency 3 4" xfId="191" xr:uid="{00000000-0005-0000-0000-00009B000000}"/>
    <cellStyle name="Currency 3 5" xfId="192" xr:uid="{00000000-0005-0000-0000-00009C000000}"/>
    <cellStyle name="Currency 4" xfId="193" xr:uid="{00000000-0005-0000-0000-00009D000000}"/>
    <cellStyle name="Currency 4 2" xfId="194" xr:uid="{00000000-0005-0000-0000-00009E000000}"/>
    <cellStyle name="Currency 4 3" xfId="195" xr:uid="{00000000-0005-0000-0000-00009F000000}"/>
    <cellStyle name="Currency 5" xfId="196" xr:uid="{00000000-0005-0000-0000-0000A0000000}"/>
    <cellStyle name="Currency0" xfId="17" xr:uid="{00000000-0005-0000-0000-0000A1000000}"/>
    <cellStyle name="Date" xfId="18" xr:uid="{00000000-0005-0000-0000-0000A2000000}"/>
    <cellStyle name="Encabezado 1" xfId="1" xr:uid="{00000000-0005-0000-0000-0000A3000000}"/>
    <cellStyle name="Fixed" xfId="19" xr:uid="{00000000-0005-0000-0000-0000A4000000}"/>
    <cellStyle name="Heading 1 2" xfId="20" xr:uid="{00000000-0005-0000-0000-0000A5000000}"/>
    <cellStyle name="Heading 2 2" xfId="21" xr:uid="{00000000-0005-0000-0000-0000A6000000}"/>
    <cellStyle name="Millares 2" xfId="22" xr:uid="{00000000-0005-0000-0000-0000A7000000}"/>
    <cellStyle name="Millares 3" xfId="23" xr:uid="{00000000-0005-0000-0000-0000A8000000}"/>
    <cellStyle name="Millares 3 2" xfId="586" xr:uid="{00000000-0005-0000-0000-0000A9000000}"/>
    <cellStyle name="Moeda [0] 2" xfId="197" xr:uid="{00000000-0005-0000-0000-0000AA000000}"/>
    <cellStyle name="Moeda 2" xfId="198" xr:uid="{00000000-0005-0000-0000-0000AB000000}"/>
    <cellStyle name="Moeda 3" xfId="199" xr:uid="{00000000-0005-0000-0000-0000AC000000}"/>
    <cellStyle name="Moeda 4" xfId="200" xr:uid="{00000000-0005-0000-0000-0000AD000000}"/>
    <cellStyle name="Moeda 4 2" xfId="201" xr:uid="{00000000-0005-0000-0000-0000AE000000}"/>
    <cellStyle name="Moeda 4 3" xfId="202" xr:uid="{00000000-0005-0000-0000-0000AF000000}"/>
    <cellStyle name="Moeda 4 4" xfId="203" xr:uid="{00000000-0005-0000-0000-0000B0000000}"/>
    <cellStyle name="Moeda 5" xfId="204" xr:uid="{00000000-0005-0000-0000-0000B1000000}"/>
    <cellStyle name="Moeda 6" xfId="205" xr:uid="{00000000-0005-0000-0000-0000B2000000}"/>
    <cellStyle name="Moeda 7" xfId="206" xr:uid="{00000000-0005-0000-0000-0000B3000000}"/>
    <cellStyle name="Moneda" xfId="9" builtinId="4"/>
    <cellStyle name="Moneda 2" xfId="8" xr:uid="{00000000-0005-0000-0000-0000B5000000}"/>
    <cellStyle name="Moneda 2 2" xfId="24" xr:uid="{00000000-0005-0000-0000-0000B6000000}"/>
    <cellStyle name="Moneda 3" xfId="595" xr:uid="{00000000-0005-0000-0000-0000B7000000}"/>
    <cellStyle name="Neutral 1" xfId="2" xr:uid="{00000000-0005-0000-0000-0000B8000000}"/>
    <cellStyle name="Normal" xfId="0" builtinId="0"/>
    <cellStyle name="Normal 10" xfId="207" xr:uid="{00000000-0005-0000-0000-0000BA000000}"/>
    <cellStyle name="Normal 10 2" xfId="208" xr:uid="{00000000-0005-0000-0000-0000BB000000}"/>
    <cellStyle name="Normal 10 3" xfId="209" xr:uid="{00000000-0005-0000-0000-0000BC000000}"/>
    <cellStyle name="Normal 10 4" xfId="210" xr:uid="{00000000-0005-0000-0000-0000BD000000}"/>
    <cellStyle name="Normal 10 5" xfId="211" xr:uid="{00000000-0005-0000-0000-0000BE000000}"/>
    <cellStyle name="Normal 11" xfId="212" xr:uid="{00000000-0005-0000-0000-0000BF000000}"/>
    <cellStyle name="Normal 11 2" xfId="213" xr:uid="{00000000-0005-0000-0000-0000C0000000}"/>
    <cellStyle name="Normal 11 3" xfId="214" xr:uid="{00000000-0005-0000-0000-0000C1000000}"/>
    <cellStyle name="Normal 11 4" xfId="215" xr:uid="{00000000-0005-0000-0000-0000C2000000}"/>
    <cellStyle name="Normal 11 5" xfId="216" xr:uid="{00000000-0005-0000-0000-0000C3000000}"/>
    <cellStyle name="Normal 12" xfId="217" xr:uid="{00000000-0005-0000-0000-0000C4000000}"/>
    <cellStyle name="Normal 12 2" xfId="218" xr:uid="{00000000-0005-0000-0000-0000C5000000}"/>
    <cellStyle name="Normal 12 3" xfId="219" xr:uid="{00000000-0005-0000-0000-0000C6000000}"/>
    <cellStyle name="Normal 12 4" xfId="220" xr:uid="{00000000-0005-0000-0000-0000C7000000}"/>
    <cellStyle name="Normal 12 5" xfId="221" xr:uid="{00000000-0005-0000-0000-0000C8000000}"/>
    <cellStyle name="Normal 13" xfId="222" xr:uid="{00000000-0005-0000-0000-0000C9000000}"/>
    <cellStyle name="Normal 13 2" xfId="223" xr:uid="{00000000-0005-0000-0000-0000CA000000}"/>
    <cellStyle name="Normal 14" xfId="224" xr:uid="{00000000-0005-0000-0000-0000CB000000}"/>
    <cellStyle name="Normal 15" xfId="225" xr:uid="{00000000-0005-0000-0000-0000CC000000}"/>
    <cellStyle name="Normal 16" xfId="226" xr:uid="{00000000-0005-0000-0000-0000CD000000}"/>
    <cellStyle name="Normal 17" xfId="227" xr:uid="{00000000-0005-0000-0000-0000CE000000}"/>
    <cellStyle name="Normal 18" xfId="228" xr:uid="{00000000-0005-0000-0000-0000CF000000}"/>
    <cellStyle name="Normal 19" xfId="229" xr:uid="{00000000-0005-0000-0000-0000D0000000}"/>
    <cellStyle name="Normal 2" xfId="3" xr:uid="{00000000-0005-0000-0000-0000D1000000}"/>
    <cellStyle name="Normal 2 2" xfId="26" xr:uid="{00000000-0005-0000-0000-0000D2000000}"/>
    <cellStyle name="Normal 2 2 2" xfId="232" xr:uid="{00000000-0005-0000-0000-0000D3000000}"/>
    <cellStyle name="Normal 2 2 2 2" xfId="233" xr:uid="{00000000-0005-0000-0000-0000D4000000}"/>
    <cellStyle name="Normal 2 2 2 3" xfId="234" xr:uid="{00000000-0005-0000-0000-0000D5000000}"/>
    <cellStyle name="Normal 2 2 3" xfId="235" xr:uid="{00000000-0005-0000-0000-0000D6000000}"/>
    <cellStyle name="Normal 2 2 3 2" xfId="236" xr:uid="{00000000-0005-0000-0000-0000D7000000}"/>
    <cellStyle name="Normal 2 2 3 2 2" xfId="237" xr:uid="{00000000-0005-0000-0000-0000D8000000}"/>
    <cellStyle name="Normal 2 2 3 3" xfId="238" xr:uid="{00000000-0005-0000-0000-0000D9000000}"/>
    <cellStyle name="Normal 2 2 3 4" xfId="239" xr:uid="{00000000-0005-0000-0000-0000DA000000}"/>
    <cellStyle name="Normal 2 2 3 5" xfId="240" xr:uid="{00000000-0005-0000-0000-0000DB000000}"/>
    <cellStyle name="Normal 2 2 3 6" xfId="241" xr:uid="{00000000-0005-0000-0000-0000DC000000}"/>
    <cellStyle name="Normal 2 2 4" xfId="242" xr:uid="{00000000-0005-0000-0000-0000DD000000}"/>
    <cellStyle name="Normal 2 2 5" xfId="243" xr:uid="{00000000-0005-0000-0000-0000DE000000}"/>
    <cellStyle name="Normal 2 2 6" xfId="231" xr:uid="{00000000-0005-0000-0000-0000DF000000}"/>
    <cellStyle name="Normal 2 2 7" xfId="587" xr:uid="{00000000-0005-0000-0000-0000E0000000}"/>
    <cellStyle name="Normal 2 2 8" xfId="593" xr:uid="{00000000-0005-0000-0000-0000E1000000}"/>
    <cellStyle name="Normal 2 3" xfId="10" xr:uid="{00000000-0005-0000-0000-0000E2000000}"/>
    <cellStyle name="Normal 2 3 2" xfId="244" xr:uid="{00000000-0005-0000-0000-0000E3000000}"/>
    <cellStyle name="Normal 2 4" xfId="245" xr:uid="{00000000-0005-0000-0000-0000E4000000}"/>
    <cellStyle name="Normal 2 4 2" xfId="246" xr:uid="{00000000-0005-0000-0000-0000E5000000}"/>
    <cellStyle name="Normal 2 4 3" xfId="247" xr:uid="{00000000-0005-0000-0000-0000E6000000}"/>
    <cellStyle name="Normal 2 4 4" xfId="248" xr:uid="{00000000-0005-0000-0000-0000E7000000}"/>
    <cellStyle name="Normal 2 4 5" xfId="249" xr:uid="{00000000-0005-0000-0000-0000E8000000}"/>
    <cellStyle name="Normal 2 5" xfId="250" xr:uid="{00000000-0005-0000-0000-0000E9000000}"/>
    <cellStyle name="Normal 2 6" xfId="251" xr:uid="{00000000-0005-0000-0000-0000EA000000}"/>
    <cellStyle name="Normal 2 7" xfId="230" xr:uid="{00000000-0005-0000-0000-0000EB000000}"/>
    <cellStyle name="Normal 2 8" xfId="25" xr:uid="{00000000-0005-0000-0000-0000EC000000}"/>
    <cellStyle name="Normal 20" xfId="43" xr:uid="{00000000-0005-0000-0000-0000ED000000}"/>
    <cellStyle name="Normal 21" xfId="584" xr:uid="{00000000-0005-0000-0000-0000EE000000}"/>
    <cellStyle name="Normal 22" xfId="592" xr:uid="{00000000-0005-0000-0000-0000EF000000}"/>
    <cellStyle name="Normal 3" xfId="4" xr:uid="{00000000-0005-0000-0000-0000F0000000}"/>
    <cellStyle name="Normal 3 10" xfId="27" xr:uid="{00000000-0005-0000-0000-0000F1000000}"/>
    <cellStyle name="Normal 3 2" xfId="28" xr:uid="{00000000-0005-0000-0000-0000F2000000}"/>
    <cellStyle name="Normal 3 2 2" xfId="254" xr:uid="{00000000-0005-0000-0000-0000F3000000}"/>
    <cellStyle name="Normal 3 2 2 2" xfId="255" xr:uid="{00000000-0005-0000-0000-0000F4000000}"/>
    <cellStyle name="Normal 3 2 2 2 2" xfId="256" xr:uid="{00000000-0005-0000-0000-0000F5000000}"/>
    <cellStyle name="Normal 3 2 2 3" xfId="257" xr:uid="{00000000-0005-0000-0000-0000F6000000}"/>
    <cellStyle name="Normal 3 2 2 3 2" xfId="258" xr:uid="{00000000-0005-0000-0000-0000F7000000}"/>
    <cellStyle name="Normal 3 2 2 4" xfId="259" xr:uid="{00000000-0005-0000-0000-0000F8000000}"/>
    <cellStyle name="Normal 3 2 3" xfId="260" xr:uid="{00000000-0005-0000-0000-0000F9000000}"/>
    <cellStyle name="Normal 3 2 3 2" xfId="261" xr:uid="{00000000-0005-0000-0000-0000FA000000}"/>
    <cellStyle name="Normal 3 2 4" xfId="262" xr:uid="{00000000-0005-0000-0000-0000FB000000}"/>
    <cellStyle name="Normal 3 2 4 2" xfId="263" xr:uid="{00000000-0005-0000-0000-0000FC000000}"/>
    <cellStyle name="Normal 3 2 5" xfId="264" xr:uid="{00000000-0005-0000-0000-0000FD000000}"/>
    <cellStyle name="Normal 3 2 6" xfId="265" xr:uid="{00000000-0005-0000-0000-0000FE000000}"/>
    <cellStyle name="Normal 3 2 6 2" xfId="266" xr:uid="{00000000-0005-0000-0000-0000FF000000}"/>
    <cellStyle name="Normal 3 2 6 3" xfId="267" xr:uid="{00000000-0005-0000-0000-000000010000}"/>
    <cellStyle name="Normal 3 2 6 4" xfId="268" xr:uid="{00000000-0005-0000-0000-000001010000}"/>
    <cellStyle name="Normal 3 2 6 5" xfId="269" xr:uid="{00000000-0005-0000-0000-000002010000}"/>
    <cellStyle name="Normal 3 2 7" xfId="253" xr:uid="{00000000-0005-0000-0000-000003010000}"/>
    <cellStyle name="Normal 3 3" xfId="29" xr:uid="{00000000-0005-0000-0000-000004010000}"/>
    <cellStyle name="Normal 3 3 2" xfId="271" xr:uid="{00000000-0005-0000-0000-000005010000}"/>
    <cellStyle name="Normal 3 3 2 2" xfId="272" xr:uid="{00000000-0005-0000-0000-000006010000}"/>
    <cellStyle name="Normal 3 3 3" xfId="273" xr:uid="{00000000-0005-0000-0000-000007010000}"/>
    <cellStyle name="Normal 3 3 3 2" xfId="274" xr:uid="{00000000-0005-0000-0000-000008010000}"/>
    <cellStyle name="Normal 3 3 4" xfId="275" xr:uid="{00000000-0005-0000-0000-000009010000}"/>
    <cellStyle name="Normal 3 3 5" xfId="276" xr:uid="{00000000-0005-0000-0000-00000A010000}"/>
    <cellStyle name="Normal 3 3 5 2" xfId="277" xr:uid="{00000000-0005-0000-0000-00000B010000}"/>
    <cellStyle name="Normal 3 3 5 3" xfId="278" xr:uid="{00000000-0005-0000-0000-00000C010000}"/>
    <cellStyle name="Normal 3 3 5 4" xfId="279" xr:uid="{00000000-0005-0000-0000-00000D010000}"/>
    <cellStyle name="Normal 3 3 5 5" xfId="280" xr:uid="{00000000-0005-0000-0000-00000E010000}"/>
    <cellStyle name="Normal 3 3 6" xfId="270" xr:uid="{00000000-0005-0000-0000-00000F010000}"/>
    <cellStyle name="Normal 3 4" xfId="281" xr:uid="{00000000-0005-0000-0000-000010010000}"/>
    <cellStyle name="Normal 3 4 2" xfId="282" xr:uid="{00000000-0005-0000-0000-000011010000}"/>
    <cellStyle name="Normal 3 5" xfId="283" xr:uid="{00000000-0005-0000-0000-000012010000}"/>
    <cellStyle name="Normal 3 5 2" xfId="284" xr:uid="{00000000-0005-0000-0000-000013010000}"/>
    <cellStyle name="Normal 3 6" xfId="285" xr:uid="{00000000-0005-0000-0000-000014010000}"/>
    <cellStyle name="Normal 3 7" xfId="286" xr:uid="{00000000-0005-0000-0000-000015010000}"/>
    <cellStyle name="Normal 3 7 2" xfId="287" xr:uid="{00000000-0005-0000-0000-000016010000}"/>
    <cellStyle name="Normal 3 7 3" xfId="288" xr:uid="{00000000-0005-0000-0000-000017010000}"/>
    <cellStyle name="Normal 3 7 4" xfId="289" xr:uid="{00000000-0005-0000-0000-000018010000}"/>
    <cellStyle name="Normal 3 7 5" xfId="290" xr:uid="{00000000-0005-0000-0000-000019010000}"/>
    <cellStyle name="Normal 3 8" xfId="252" xr:uid="{00000000-0005-0000-0000-00001A010000}"/>
    <cellStyle name="Normal 3 9" xfId="594" xr:uid="{00000000-0005-0000-0000-00001B010000}"/>
    <cellStyle name="Normal 4" xfId="5" xr:uid="{00000000-0005-0000-0000-00001C010000}"/>
    <cellStyle name="Normal 4 2" xfId="31" xr:uid="{00000000-0005-0000-0000-00001D010000}"/>
    <cellStyle name="Normal 4 2 2" xfId="293" xr:uid="{00000000-0005-0000-0000-00001E010000}"/>
    <cellStyle name="Normal 4 2 2 2" xfId="294" xr:uid="{00000000-0005-0000-0000-00001F010000}"/>
    <cellStyle name="Normal 4 2 3" xfId="295" xr:uid="{00000000-0005-0000-0000-000020010000}"/>
    <cellStyle name="Normal 4 2 3 2" xfId="296" xr:uid="{00000000-0005-0000-0000-000021010000}"/>
    <cellStyle name="Normal 4 2 4" xfId="297" xr:uid="{00000000-0005-0000-0000-000022010000}"/>
    <cellStyle name="Normal 4 2 5" xfId="292" xr:uid="{00000000-0005-0000-0000-000023010000}"/>
    <cellStyle name="Normal 4 2 6" xfId="588" xr:uid="{00000000-0005-0000-0000-000024010000}"/>
    <cellStyle name="Normal 4 3" xfId="32" xr:uid="{00000000-0005-0000-0000-000025010000}"/>
    <cellStyle name="Normal 4 3 2" xfId="299" xr:uid="{00000000-0005-0000-0000-000026010000}"/>
    <cellStyle name="Normal 4 3 3" xfId="298" xr:uid="{00000000-0005-0000-0000-000027010000}"/>
    <cellStyle name="Normal 4 3 4" xfId="589" xr:uid="{00000000-0005-0000-0000-000028010000}"/>
    <cellStyle name="Normal 4 4" xfId="300" xr:uid="{00000000-0005-0000-0000-000029010000}"/>
    <cellStyle name="Normal 4 4 2" xfId="301" xr:uid="{00000000-0005-0000-0000-00002A010000}"/>
    <cellStyle name="Normal 4 5" xfId="302" xr:uid="{00000000-0005-0000-0000-00002B010000}"/>
    <cellStyle name="Normal 4 6" xfId="303" xr:uid="{00000000-0005-0000-0000-00002C010000}"/>
    <cellStyle name="Normal 4 6 2" xfId="304" xr:uid="{00000000-0005-0000-0000-00002D010000}"/>
    <cellStyle name="Normal 4 6 3" xfId="305" xr:uid="{00000000-0005-0000-0000-00002E010000}"/>
    <cellStyle name="Normal 4 6 4" xfId="306" xr:uid="{00000000-0005-0000-0000-00002F010000}"/>
    <cellStyle name="Normal 4 6 5" xfId="307" xr:uid="{00000000-0005-0000-0000-000030010000}"/>
    <cellStyle name="Normal 4 7" xfId="308" xr:uid="{00000000-0005-0000-0000-000031010000}"/>
    <cellStyle name="Normal 4 8" xfId="291" xr:uid="{00000000-0005-0000-0000-000032010000}"/>
    <cellStyle name="Normal 4 9" xfId="30" xr:uid="{00000000-0005-0000-0000-000033010000}"/>
    <cellStyle name="Normal 5" xfId="33" xr:uid="{00000000-0005-0000-0000-000034010000}"/>
    <cellStyle name="Normal 5 2" xfId="310" xr:uid="{00000000-0005-0000-0000-000035010000}"/>
    <cellStyle name="Normal 5 2 2" xfId="311" xr:uid="{00000000-0005-0000-0000-000036010000}"/>
    <cellStyle name="Normal 5 2 3" xfId="312" xr:uid="{00000000-0005-0000-0000-000037010000}"/>
    <cellStyle name="Normal 5 3" xfId="313" xr:uid="{00000000-0005-0000-0000-000038010000}"/>
    <cellStyle name="Normal 5 3 2" xfId="314" xr:uid="{00000000-0005-0000-0000-000039010000}"/>
    <cellStyle name="Normal 5 3 2 2" xfId="315" xr:uid="{00000000-0005-0000-0000-00003A010000}"/>
    <cellStyle name="Normal 5 3 3" xfId="316" xr:uid="{00000000-0005-0000-0000-00003B010000}"/>
    <cellStyle name="Normal 5 3 4" xfId="317" xr:uid="{00000000-0005-0000-0000-00003C010000}"/>
    <cellStyle name="Normal 5 3 5" xfId="318" xr:uid="{00000000-0005-0000-0000-00003D010000}"/>
    <cellStyle name="Normal 5 3 6" xfId="319" xr:uid="{00000000-0005-0000-0000-00003E010000}"/>
    <cellStyle name="Normal 5 4" xfId="320" xr:uid="{00000000-0005-0000-0000-00003F010000}"/>
    <cellStyle name="Normal 5 4 2" xfId="321" xr:uid="{00000000-0005-0000-0000-000040010000}"/>
    <cellStyle name="Normal 5 5" xfId="322" xr:uid="{00000000-0005-0000-0000-000041010000}"/>
    <cellStyle name="Normal 5 6" xfId="323" xr:uid="{00000000-0005-0000-0000-000042010000}"/>
    <cellStyle name="Normal 5 7" xfId="309" xr:uid="{00000000-0005-0000-0000-000043010000}"/>
    <cellStyle name="Normal 6" xfId="34" xr:uid="{00000000-0005-0000-0000-000044010000}"/>
    <cellStyle name="Normal 6 2" xfId="325" xr:uid="{00000000-0005-0000-0000-000045010000}"/>
    <cellStyle name="Normal 6 3" xfId="326" xr:uid="{00000000-0005-0000-0000-000046010000}"/>
    <cellStyle name="Normal 6 3 2" xfId="327" xr:uid="{00000000-0005-0000-0000-000047010000}"/>
    <cellStyle name="Normal 6 3 3" xfId="328" xr:uid="{00000000-0005-0000-0000-000048010000}"/>
    <cellStyle name="Normal 6 3 4" xfId="329" xr:uid="{00000000-0005-0000-0000-000049010000}"/>
    <cellStyle name="Normal 6 3 5" xfId="330" xr:uid="{00000000-0005-0000-0000-00004A010000}"/>
    <cellStyle name="Normal 6 4" xfId="331" xr:uid="{00000000-0005-0000-0000-00004B010000}"/>
    <cellStyle name="Normal 6 5" xfId="324" xr:uid="{00000000-0005-0000-0000-00004C010000}"/>
    <cellStyle name="Normal 6 6" xfId="590" xr:uid="{00000000-0005-0000-0000-00004D010000}"/>
    <cellStyle name="Normal 7" xfId="35" xr:uid="{00000000-0005-0000-0000-00004E010000}"/>
    <cellStyle name="Normal 7 2" xfId="333" xr:uid="{00000000-0005-0000-0000-00004F010000}"/>
    <cellStyle name="Normal 7 3" xfId="332" xr:uid="{00000000-0005-0000-0000-000050010000}"/>
    <cellStyle name="Normal 7 4" xfId="591" xr:uid="{00000000-0005-0000-0000-000051010000}"/>
    <cellStyle name="Normal 8" xfId="36" xr:uid="{00000000-0005-0000-0000-000052010000}"/>
    <cellStyle name="Normal 8 2" xfId="37" xr:uid="{00000000-0005-0000-0000-000053010000}"/>
    <cellStyle name="Normal 8 2 2" xfId="336" xr:uid="{00000000-0005-0000-0000-000054010000}"/>
    <cellStyle name="Normal 8 2 3" xfId="335" xr:uid="{00000000-0005-0000-0000-000055010000}"/>
    <cellStyle name="Normal 8 3" xfId="337" xr:uid="{00000000-0005-0000-0000-000056010000}"/>
    <cellStyle name="Normal 8 4" xfId="338" xr:uid="{00000000-0005-0000-0000-000057010000}"/>
    <cellStyle name="Normal 8 5" xfId="339" xr:uid="{00000000-0005-0000-0000-000058010000}"/>
    <cellStyle name="Normal 8 6" xfId="340" xr:uid="{00000000-0005-0000-0000-000059010000}"/>
    <cellStyle name="Normal 8 7" xfId="341" xr:uid="{00000000-0005-0000-0000-00005A010000}"/>
    <cellStyle name="Normal 8 8" xfId="334" xr:uid="{00000000-0005-0000-0000-00005B010000}"/>
    <cellStyle name="Normal 9" xfId="342" xr:uid="{00000000-0005-0000-0000-00005C010000}"/>
    <cellStyle name="Normal 9 2" xfId="343" xr:uid="{00000000-0005-0000-0000-00005D010000}"/>
    <cellStyle name="Normal 9 2 2" xfId="344" xr:uid="{00000000-0005-0000-0000-00005E010000}"/>
    <cellStyle name="Normal 9 2 3" xfId="345" xr:uid="{00000000-0005-0000-0000-00005F010000}"/>
    <cellStyle name="Normal 9 2 4" xfId="346" xr:uid="{00000000-0005-0000-0000-000060010000}"/>
    <cellStyle name="Normal 9 2 5" xfId="347" xr:uid="{00000000-0005-0000-0000-000061010000}"/>
    <cellStyle name="Normal 9 3" xfId="348" xr:uid="{00000000-0005-0000-0000-000062010000}"/>
    <cellStyle name="Normal 9 4" xfId="349" xr:uid="{00000000-0005-0000-0000-000063010000}"/>
    <cellStyle name="Normal 9 5" xfId="350" xr:uid="{00000000-0005-0000-0000-000064010000}"/>
    <cellStyle name="Normal 9 6" xfId="351" xr:uid="{00000000-0005-0000-0000-000065010000}"/>
    <cellStyle name="Percent 2" xfId="38" xr:uid="{00000000-0005-0000-0000-000066010000}"/>
    <cellStyle name="Percent 2 2" xfId="352" xr:uid="{00000000-0005-0000-0000-000067010000}"/>
    <cellStyle name="Percent 3" xfId="353" xr:uid="{00000000-0005-0000-0000-000068010000}"/>
    <cellStyle name="Porcentagem 2" xfId="354" xr:uid="{00000000-0005-0000-0000-000069010000}"/>
    <cellStyle name="Porcentagem 3" xfId="355" xr:uid="{00000000-0005-0000-0000-00006A010000}"/>
    <cellStyle name="Porcentagem 3 2" xfId="356" xr:uid="{00000000-0005-0000-0000-00006B010000}"/>
    <cellStyle name="Porcentagem 4" xfId="357" xr:uid="{00000000-0005-0000-0000-00006C010000}"/>
    <cellStyle name="Porcentagem 4 2" xfId="358" xr:uid="{00000000-0005-0000-0000-00006D010000}"/>
    <cellStyle name="Porcentagem 4 3" xfId="359" xr:uid="{00000000-0005-0000-0000-00006E010000}"/>
    <cellStyle name="Porcentagem 4 4" xfId="360" xr:uid="{00000000-0005-0000-0000-00006F010000}"/>
    <cellStyle name="Porcentagem 5" xfId="361" xr:uid="{00000000-0005-0000-0000-000070010000}"/>
    <cellStyle name="Porcentagem 6" xfId="362" xr:uid="{00000000-0005-0000-0000-000071010000}"/>
    <cellStyle name="Porcentaje 2" xfId="39" xr:uid="{00000000-0005-0000-0000-000072010000}"/>
    <cellStyle name="Porcentaje 3" xfId="44" xr:uid="{00000000-0005-0000-0000-000073010000}"/>
    <cellStyle name="SAPBEXstdItem" xfId="40" xr:uid="{00000000-0005-0000-0000-000074010000}"/>
    <cellStyle name="SAPBEXstdItem 2" xfId="363" xr:uid="{00000000-0005-0000-0000-000075010000}"/>
    <cellStyle name="Separador de milhares [0] 2" xfId="364" xr:uid="{00000000-0005-0000-0000-000076010000}"/>
    <cellStyle name="Separador de milhares [0] 3" xfId="365" xr:uid="{00000000-0005-0000-0000-000077010000}"/>
    <cellStyle name="Separador de milhares [0] 4" xfId="366" xr:uid="{00000000-0005-0000-0000-000078010000}"/>
    <cellStyle name="Standard_avl geräte_pm petrovic" xfId="41" xr:uid="{00000000-0005-0000-0000-000079010000}"/>
    <cellStyle name="Total 2" xfId="42" xr:uid="{00000000-0005-0000-0000-00007A010000}"/>
    <cellStyle name="パーセント 2" xfId="367" xr:uid="{00000000-0005-0000-0000-00007B010000}"/>
    <cellStyle name="パーセント 2 2" xfId="368" xr:uid="{00000000-0005-0000-0000-00007C010000}"/>
    <cellStyle name="好" xfId="369" xr:uid="{00000000-0005-0000-0000-00007D010000}"/>
    <cellStyle name="好 2" xfId="370" xr:uid="{00000000-0005-0000-0000-00007E010000}"/>
    <cellStyle name="好 3" xfId="371" xr:uid="{00000000-0005-0000-0000-00007F010000}"/>
    <cellStyle name="好 3 2" xfId="372" xr:uid="{00000000-0005-0000-0000-000080010000}"/>
    <cellStyle name="好 3 3" xfId="373" xr:uid="{00000000-0005-0000-0000-000081010000}"/>
    <cellStyle name="好 3 4" xfId="374" xr:uid="{00000000-0005-0000-0000-000082010000}"/>
    <cellStyle name="好 3 5" xfId="375" xr:uid="{00000000-0005-0000-0000-000083010000}"/>
    <cellStyle name="差" xfId="376" xr:uid="{00000000-0005-0000-0000-000084010000}"/>
    <cellStyle name="差 2" xfId="377" xr:uid="{00000000-0005-0000-0000-000085010000}"/>
    <cellStyle name="差 3" xfId="378" xr:uid="{00000000-0005-0000-0000-000086010000}"/>
    <cellStyle name="差 3 2" xfId="379" xr:uid="{00000000-0005-0000-0000-000087010000}"/>
    <cellStyle name="差 3 3" xfId="380" xr:uid="{00000000-0005-0000-0000-000088010000}"/>
    <cellStyle name="差 3 4" xfId="381" xr:uid="{00000000-0005-0000-0000-000089010000}"/>
    <cellStyle name="差 3 5" xfId="382" xr:uid="{00000000-0005-0000-0000-00008A010000}"/>
    <cellStyle name="强调文字颜色 1" xfId="383" xr:uid="{00000000-0005-0000-0000-00008B010000}"/>
    <cellStyle name="强调文字颜色 1 2" xfId="384" xr:uid="{00000000-0005-0000-0000-00008C010000}"/>
    <cellStyle name="强调文字颜色 1 3" xfId="385" xr:uid="{00000000-0005-0000-0000-00008D010000}"/>
    <cellStyle name="强调文字颜色 1 3 2" xfId="386" xr:uid="{00000000-0005-0000-0000-00008E010000}"/>
    <cellStyle name="强调文字颜色 1 3 3" xfId="387" xr:uid="{00000000-0005-0000-0000-00008F010000}"/>
    <cellStyle name="强调文字颜色 1 3 4" xfId="388" xr:uid="{00000000-0005-0000-0000-000090010000}"/>
    <cellStyle name="强调文字颜色 1 3 5" xfId="389" xr:uid="{00000000-0005-0000-0000-000091010000}"/>
    <cellStyle name="强调文字颜色 2" xfId="390" xr:uid="{00000000-0005-0000-0000-000092010000}"/>
    <cellStyle name="强调文字颜色 2 2" xfId="391" xr:uid="{00000000-0005-0000-0000-000093010000}"/>
    <cellStyle name="强调文字颜色 2 3" xfId="392" xr:uid="{00000000-0005-0000-0000-000094010000}"/>
    <cellStyle name="强调文字颜色 2 3 2" xfId="393" xr:uid="{00000000-0005-0000-0000-000095010000}"/>
    <cellStyle name="强调文字颜色 2 3 3" xfId="394" xr:uid="{00000000-0005-0000-0000-000096010000}"/>
    <cellStyle name="强调文字颜色 2 3 4" xfId="395" xr:uid="{00000000-0005-0000-0000-000097010000}"/>
    <cellStyle name="强调文字颜色 2 3 5" xfId="396" xr:uid="{00000000-0005-0000-0000-000098010000}"/>
    <cellStyle name="强调文字颜色 3" xfId="397" xr:uid="{00000000-0005-0000-0000-000099010000}"/>
    <cellStyle name="强调文字颜色 3 2" xfId="398" xr:uid="{00000000-0005-0000-0000-00009A010000}"/>
    <cellStyle name="强调文字颜色 3 3" xfId="399" xr:uid="{00000000-0005-0000-0000-00009B010000}"/>
    <cellStyle name="强调文字颜色 3 3 2" xfId="400" xr:uid="{00000000-0005-0000-0000-00009C010000}"/>
    <cellStyle name="强调文字颜色 3 3 3" xfId="401" xr:uid="{00000000-0005-0000-0000-00009D010000}"/>
    <cellStyle name="强调文字颜色 3 3 4" xfId="402" xr:uid="{00000000-0005-0000-0000-00009E010000}"/>
    <cellStyle name="强调文字颜色 3 3 5" xfId="403" xr:uid="{00000000-0005-0000-0000-00009F010000}"/>
    <cellStyle name="强调文字颜色 4" xfId="404" xr:uid="{00000000-0005-0000-0000-0000A0010000}"/>
    <cellStyle name="强调文字颜色 4 2" xfId="405" xr:uid="{00000000-0005-0000-0000-0000A1010000}"/>
    <cellStyle name="强调文字颜色 4 3" xfId="406" xr:uid="{00000000-0005-0000-0000-0000A2010000}"/>
    <cellStyle name="强调文字颜色 4 3 2" xfId="407" xr:uid="{00000000-0005-0000-0000-0000A3010000}"/>
    <cellStyle name="强调文字颜色 4 3 3" xfId="408" xr:uid="{00000000-0005-0000-0000-0000A4010000}"/>
    <cellStyle name="强调文字颜色 4 3 4" xfId="409" xr:uid="{00000000-0005-0000-0000-0000A5010000}"/>
    <cellStyle name="强调文字颜色 4 3 5" xfId="410" xr:uid="{00000000-0005-0000-0000-0000A6010000}"/>
    <cellStyle name="强调文字颜色 5" xfId="411" xr:uid="{00000000-0005-0000-0000-0000A7010000}"/>
    <cellStyle name="强调文字颜色 5 2" xfId="412" xr:uid="{00000000-0005-0000-0000-0000A8010000}"/>
    <cellStyle name="强调文字颜色 5 3" xfId="413" xr:uid="{00000000-0005-0000-0000-0000A9010000}"/>
    <cellStyle name="强调文字颜色 5 3 2" xfId="414" xr:uid="{00000000-0005-0000-0000-0000AA010000}"/>
    <cellStyle name="强调文字颜色 5 3 3" xfId="415" xr:uid="{00000000-0005-0000-0000-0000AB010000}"/>
    <cellStyle name="强调文字颜色 5 3 4" xfId="416" xr:uid="{00000000-0005-0000-0000-0000AC010000}"/>
    <cellStyle name="强调文字颜色 5 3 5" xfId="417" xr:uid="{00000000-0005-0000-0000-0000AD010000}"/>
    <cellStyle name="强调文字颜色 6" xfId="418" xr:uid="{00000000-0005-0000-0000-0000AE010000}"/>
    <cellStyle name="强调文字颜色 6 2" xfId="419" xr:uid="{00000000-0005-0000-0000-0000AF010000}"/>
    <cellStyle name="强调文字颜色 6 3" xfId="420" xr:uid="{00000000-0005-0000-0000-0000B0010000}"/>
    <cellStyle name="强调文字颜色 6 3 2" xfId="421" xr:uid="{00000000-0005-0000-0000-0000B1010000}"/>
    <cellStyle name="强调文字颜色 6 3 3" xfId="422" xr:uid="{00000000-0005-0000-0000-0000B2010000}"/>
    <cellStyle name="强调文字颜色 6 3 4" xfId="423" xr:uid="{00000000-0005-0000-0000-0000B3010000}"/>
    <cellStyle name="强调文字颜色 6 3 5" xfId="424" xr:uid="{00000000-0005-0000-0000-0000B4010000}"/>
    <cellStyle name="标题" xfId="425" xr:uid="{00000000-0005-0000-0000-0000B5010000}"/>
    <cellStyle name="标题 1" xfId="426" xr:uid="{00000000-0005-0000-0000-0000B6010000}"/>
    <cellStyle name="标题 1 2" xfId="427" xr:uid="{00000000-0005-0000-0000-0000B7010000}"/>
    <cellStyle name="标题 1 3" xfId="428" xr:uid="{00000000-0005-0000-0000-0000B8010000}"/>
    <cellStyle name="标题 1 3 2" xfId="429" xr:uid="{00000000-0005-0000-0000-0000B9010000}"/>
    <cellStyle name="标题 1 3 3" xfId="430" xr:uid="{00000000-0005-0000-0000-0000BA010000}"/>
    <cellStyle name="标题 1 3 4" xfId="431" xr:uid="{00000000-0005-0000-0000-0000BB010000}"/>
    <cellStyle name="标题 1 3 5" xfId="432" xr:uid="{00000000-0005-0000-0000-0000BC010000}"/>
    <cellStyle name="标题 2" xfId="433" xr:uid="{00000000-0005-0000-0000-0000BD010000}"/>
    <cellStyle name="标题 2 2" xfId="434" xr:uid="{00000000-0005-0000-0000-0000BE010000}"/>
    <cellStyle name="标题 2 3" xfId="435" xr:uid="{00000000-0005-0000-0000-0000BF010000}"/>
    <cellStyle name="标题 2 3 2" xfId="436" xr:uid="{00000000-0005-0000-0000-0000C0010000}"/>
    <cellStyle name="标题 2 3 3" xfId="437" xr:uid="{00000000-0005-0000-0000-0000C1010000}"/>
    <cellStyle name="标题 2 3 4" xfId="438" xr:uid="{00000000-0005-0000-0000-0000C2010000}"/>
    <cellStyle name="标题 2 3 5" xfId="439" xr:uid="{00000000-0005-0000-0000-0000C3010000}"/>
    <cellStyle name="标题 3" xfId="440" xr:uid="{00000000-0005-0000-0000-0000C4010000}"/>
    <cellStyle name="标题 3 2" xfId="441" xr:uid="{00000000-0005-0000-0000-0000C5010000}"/>
    <cellStyle name="标题 3 3" xfId="442" xr:uid="{00000000-0005-0000-0000-0000C6010000}"/>
    <cellStyle name="标题 3 3 2" xfId="443" xr:uid="{00000000-0005-0000-0000-0000C7010000}"/>
    <cellStyle name="标题 3 3 3" xfId="444" xr:uid="{00000000-0005-0000-0000-0000C8010000}"/>
    <cellStyle name="标题 3 3 4" xfId="445" xr:uid="{00000000-0005-0000-0000-0000C9010000}"/>
    <cellStyle name="标题 3 3 5" xfId="446" xr:uid="{00000000-0005-0000-0000-0000CA010000}"/>
    <cellStyle name="标题 4" xfId="447" xr:uid="{00000000-0005-0000-0000-0000CB010000}"/>
    <cellStyle name="标题 4 2" xfId="448" xr:uid="{00000000-0005-0000-0000-0000CC010000}"/>
    <cellStyle name="标题 4 3" xfId="449" xr:uid="{00000000-0005-0000-0000-0000CD010000}"/>
    <cellStyle name="标题 4 3 2" xfId="450" xr:uid="{00000000-0005-0000-0000-0000CE010000}"/>
    <cellStyle name="标题 4 3 3" xfId="451" xr:uid="{00000000-0005-0000-0000-0000CF010000}"/>
    <cellStyle name="标题 4 3 4" xfId="452" xr:uid="{00000000-0005-0000-0000-0000D0010000}"/>
    <cellStyle name="标题 4 3 5" xfId="453" xr:uid="{00000000-0005-0000-0000-0000D1010000}"/>
    <cellStyle name="标题 5" xfId="454" xr:uid="{00000000-0005-0000-0000-0000D2010000}"/>
    <cellStyle name="标题 6" xfId="455" xr:uid="{00000000-0005-0000-0000-0000D3010000}"/>
    <cellStyle name="标题 6 2" xfId="456" xr:uid="{00000000-0005-0000-0000-0000D4010000}"/>
    <cellStyle name="标题 6 3" xfId="457" xr:uid="{00000000-0005-0000-0000-0000D5010000}"/>
    <cellStyle name="标题 6 4" xfId="458" xr:uid="{00000000-0005-0000-0000-0000D6010000}"/>
    <cellStyle name="标题 6 5" xfId="459" xr:uid="{00000000-0005-0000-0000-0000D7010000}"/>
    <cellStyle name="桁区切り 2" xfId="460" xr:uid="{00000000-0005-0000-0000-0000D8010000}"/>
    <cellStyle name="桁区切り 2 3" xfId="461" xr:uid="{00000000-0005-0000-0000-0000D9010000}"/>
    <cellStyle name="桁区切り 26" xfId="462" xr:uid="{00000000-0005-0000-0000-0000DA010000}"/>
    <cellStyle name="检查单元格" xfId="463" xr:uid="{00000000-0005-0000-0000-0000DB010000}"/>
    <cellStyle name="检查单元格 2" xfId="464" xr:uid="{00000000-0005-0000-0000-0000DC010000}"/>
    <cellStyle name="检查单元格 3" xfId="465" xr:uid="{00000000-0005-0000-0000-0000DD010000}"/>
    <cellStyle name="检查单元格 3 2" xfId="466" xr:uid="{00000000-0005-0000-0000-0000DE010000}"/>
    <cellStyle name="检查单元格 3 3" xfId="467" xr:uid="{00000000-0005-0000-0000-0000DF010000}"/>
    <cellStyle name="检查单元格 3 4" xfId="468" xr:uid="{00000000-0005-0000-0000-0000E0010000}"/>
    <cellStyle name="检查单元格 3 5" xfId="469" xr:uid="{00000000-0005-0000-0000-0000E1010000}"/>
    <cellStyle name="標準 10" xfId="470" xr:uid="{00000000-0005-0000-0000-0000E2010000}"/>
    <cellStyle name="標準 11" xfId="471" xr:uid="{00000000-0005-0000-0000-0000E3010000}"/>
    <cellStyle name="標準 12" xfId="472" xr:uid="{00000000-0005-0000-0000-0000E4010000}"/>
    <cellStyle name="標準 13" xfId="473" xr:uid="{00000000-0005-0000-0000-0000E5010000}"/>
    <cellStyle name="標準 14" xfId="474" xr:uid="{00000000-0005-0000-0000-0000E6010000}"/>
    <cellStyle name="標準 15" xfId="475" xr:uid="{00000000-0005-0000-0000-0000E7010000}"/>
    <cellStyle name="標準 16" xfId="476" xr:uid="{00000000-0005-0000-0000-0000E8010000}"/>
    <cellStyle name="標準 17" xfId="477" xr:uid="{00000000-0005-0000-0000-0000E9010000}"/>
    <cellStyle name="標準 18" xfId="478" xr:uid="{00000000-0005-0000-0000-0000EA010000}"/>
    <cellStyle name="標準 19" xfId="479" xr:uid="{00000000-0005-0000-0000-0000EB010000}"/>
    <cellStyle name="標準 2" xfId="480" xr:uid="{00000000-0005-0000-0000-0000EC010000}"/>
    <cellStyle name="標準 2 2" xfId="481" xr:uid="{00000000-0005-0000-0000-0000ED010000}"/>
    <cellStyle name="標準 2 3" xfId="482" xr:uid="{00000000-0005-0000-0000-0000EE010000}"/>
    <cellStyle name="標準 2 3 2" xfId="483" xr:uid="{00000000-0005-0000-0000-0000EF010000}"/>
    <cellStyle name="標準 2 4" xfId="484" xr:uid="{00000000-0005-0000-0000-0000F0010000}"/>
    <cellStyle name="標準 2 4 2" xfId="485" xr:uid="{00000000-0005-0000-0000-0000F1010000}"/>
    <cellStyle name="標準 2 4 3" xfId="486" xr:uid="{00000000-0005-0000-0000-0000F2010000}"/>
    <cellStyle name="標準 2 4 4" xfId="487" xr:uid="{00000000-0005-0000-0000-0000F3010000}"/>
    <cellStyle name="標準 2 4 5" xfId="488" xr:uid="{00000000-0005-0000-0000-0000F4010000}"/>
    <cellStyle name="標準 2 5" xfId="489" xr:uid="{00000000-0005-0000-0000-0000F5010000}"/>
    <cellStyle name="標準 2 5 2" xfId="490" xr:uid="{00000000-0005-0000-0000-0000F6010000}"/>
    <cellStyle name="標準 2 5 3" xfId="491" xr:uid="{00000000-0005-0000-0000-0000F7010000}"/>
    <cellStyle name="標準 2 5 4" xfId="492" xr:uid="{00000000-0005-0000-0000-0000F8010000}"/>
    <cellStyle name="標準 2 5 5" xfId="493" xr:uid="{00000000-0005-0000-0000-0000F9010000}"/>
    <cellStyle name="標準 2 6" xfId="494" xr:uid="{00000000-0005-0000-0000-0000FA010000}"/>
    <cellStyle name="標準 20" xfId="495" xr:uid="{00000000-0005-0000-0000-0000FB010000}"/>
    <cellStyle name="標準 21" xfId="496" xr:uid="{00000000-0005-0000-0000-0000FC010000}"/>
    <cellStyle name="標準 3" xfId="497" xr:uid="{00000000-0005-0000-0000-0000FD010000}"/>
    <cellStyle name="標準 3 2" xfId="498" xr:uid="{00000000-0005-0000-0000-0000FE010000}"/>
    <cellStyle name="標準 30" xfId="499" xr:uid="{00000000-0005-0000-0000-0000FF010000}"/>
    <cellStyle name="標準 30 2" xfId="500" xr:uid="{00000000-0005-0000-0000-000000020000}"/>
    <cellStyle name="標準 30 2 2" xfId="501" xr:uid="{00000000-0005-0000-0000-000001020000}"/>
    <cellStyle name="標準 30 2 3" xfId="502" xr:uid="{00000000-0005-0000-0000-000002020000}"/>
    <cellStyle name="標準 30 2 4" xfId="503" xr:uid="{00000000-0005-0000-0000-000003020000}"/>
    <cellStyle name="標準 30 2 5" xfId="504" xr:uid="{00000000-0005-0000-0000-000004020000}"/>
    <cellStyle name="標準 30 3" xfId="505" xr:uid="{00000000-0005-0000-0000-000005020000}"/>
    <cellStyle name="標準 4" xfId="506" xr:uid="{00000000-0005-0000-0000-000006020000}"/>
    <cellStyle name="標準 5" xfId="507" xr:uid="{00000000-0005-0000-0000-000007020000}"/>
    <cellStyle name="標準 6" xfId="508" xr:uid="{00000000-0005-0000-0000-000008020000}"/>
    <cellStyle name="標準 7" xfId="509" xr:uid="{00000000-0005-0000-0000-000009020000}"/>
    <cellStyle name="標準 8" xfId="510" xr:uid="{00000000-0005-0000-0000-00000A020000}"/>
    <cellStyle name="標準 8 2" xfId="511" xr:uid="{00000000-0005-0000-0000-00000B020000}"/>
    <cellStyle name="標準 8 3" xfId="512" xr:uid="{00000000-0005-0000-0000-00000C020000}"/>
    <cellStyle name="標準 8 3 2" xfId="513" xr:uid="{00000000-0005-0000-0000-00000D020000}"/>
    <cellStyle name="標準 8 3 3" xfId="514" xr:uid="{00000000-0005-0000-0000-00000E020000}"/>
    <cellStyle name="標準 8 3 4" xfId="515" xr:uid="{00000000-0005-0000-0000-00000F020000}"/>
    <cellStyle name="標準 8 3 5" xfId="516" xr:uid="{00000000-0005-0000-0000-000010020000}"/>
    <cellStyle name="標準 8 4" xfId="517" xr:uid="{00000000-0005-0000-0000-000011020000}"/>
    <cellStyle name="標準 9" xfId="518" xr:uid="{00000000-0005-0000-0000-000012020000}"/>
    <cellStyle name="標準_2005年度　本社価格製品リスト（テキスト化）" xfId="519" xr:uid="{00000000-0005-0000-0000-000013020000}"/>
    <cellStyle name="汇总" xfId="520" xr:uid="{00000000-0005-0000-0000-000014020000}"/>
    <cellStyle name="汇总 2" xfId="521" xr:uid="{00000000-0005-0000-0000-000015020000}"/>
    <cellStyle name="汇总 3" xfId="522" xr:uid="{00000000-0005-0000-0000-000016020000}"/>
    <cellStyle name="汇总 3 2" xfId="523" xr:uid="{00000000-0005-0000-0000-000017020000}"/>
    <cellStyle name="汇总 3 3" xfId="524" xr:uid="{00000000-0005-0000-0000-000018020000}"/>
    <cellStyle name="汇总 3 4" xfId="525" xr:uid="{00000000-0005-0000-0000-000019020000}"/>
    <cellStyle name="汇总 3 5" xfId="526" xr:uid="{00000000-0005-0000-0000-00001A020000}"/>
    <cellStyle name="注释" xfId="527" xr:uid="{00000000-0005-0000-0000-00001B020000}"/>
    <cellStyle name="注释 2" xfId="528" xr:uid="{00000000-0005-0000-0000-00001C020000}"/>
    <cellStyle name="注释 3" xfId="529" xr:uid="{00000000-0005-0000-0000-00001D020000}"/>
    <cellStyle name="注释 3 2" xfId="530" xr:uid="{00000000-0005-0000-0000-00001E020000}"/>
    <cellStyle name="注释 3 3" xfId="531" xr:uid="{00000000-0005-0000-0000-00001F020000}"/>
    <cellStyle name="注释 3 4" xfId="532" xr:uid="{00000000-0005-0000-0000-000020020000}"/>
    <cellStyle name="注释 3 5" xfId="533" xr:uid="{00000000-0005-0000-0000-000021020000}"/>
    <cellStyle name="解释性文本" xfId="534" xr:uid="{00000000-0005-0000-0000-000022020000}"/>
    <cellStyle name="解释性文本 2" xfId="535" xr:uid="{00000000-0005-0000-0000-000023020000}"/>
    <cellStyle name="解释性文本 3" xfId="536" xr:uid="{00000000-0005-0000-0000-000024020000}"/>
    <cellStyle name="解释性文本 3 2" xfId="537" xr:uid="{00000000-0005-0000-0000-000025020000}"/>
    <cellStyle name="解释性文本 3 3" xfId="538" xr:uid="{00000000-0005-0000-0000-000026020000}"/>
    <cellStyle name="解释性文本 3 4" xfId="539" xr:uid="{00000000-0005-0000-0000-000027020000}"/>
    <cellStyle name="解释性文本 3 5" xfId="540" xr:uid="{00000000-0005-0000-0000-000028020000}"/>
    <cellStyle name="警告文本" xfId="541" xr:uid="{00000000-0005-0000-0000-000029020000}"/>
    <cellStyle name="警告文本 2" xfId="542" xr:uid="{00000000-0005-0000-0000-00002A020000}"/>
    <cellStyle name="警告文本 3" xfId="543" xr:uid="{00000000-0005-0000-0000-00002B020000}"/>
    <cellStyle name="警告文本 3 2" xfId="544" xr:uid="{00000000-0005-0000-0000-00002C020000}"/>
    <cellStyle name="警告文本 3 3" xfId="545" xr:uid="{00000000-0005-0000-0000-00002D020000}"/>
    <cellStyle name="警告文本 3 4" xfId="546" xr:uid="{00000000-0005-0000-0000-00002E020000}"/>
    <cellStyle name="警告文本 3 5" xfId="547" xr:uid="{00000000-0005-0000-0000-00002F020000}"/>
    <cellStyle name="计算" xfId="548" xr:uid="{00000000-0005-0000-0000-000030020000}"/>
    <cellStyle name="计算 2" xfId="549" xr:uid="{00000000-0005-0000-0000-000031020000}"/>
    <cellStyle name="计算 3" xfId="550" xr:uid="{00000000-0005-0000-0000-000032020000}"/>
    <cellStyle name="计算 3 2" xfId="551" xr:uid="{00000000-0005-0000-0000-000033020000}"/>
    <cellStyle name="计算 3 3" xfId="552" xr:uid="{00000000-0005-0000-0000-000034020000}"/>
    <cellStyle name="计算 3 4" xfId="553" xr:uid="{00000000-0005-0000-0000-000035020000}"/>
    <cellStyle name="计算 3 5" xfId="554" xr:uid="{00000000-0005-0000-0000-000036020000}"/>
    <cellStyle name="输入" xfId="555" xr:uid="{00000000-0005-0000-0000-000037020000}"/>
    <cellStyle name="输入 2" xfId="556" xr:uid="{00000000-0005-0000-0000-000038020000}"/>
    <cellStyle name="输入 3" xfId="557" xr:uid="{00000000-0005-0000-0000-000039020000}"/>
    <cellStyle name="输入 3 2" xfId="558" xr:uid="{00000000-0005-0000-0000-00003A020000}"/>
    <cellStyle name="输入 3 3" xfId="559" xr:uid="{00000000-0005-0000-0000-00003B020000}"/>
    <cellStyle name="输入 3 4" xfId="560" xr:uid="{00000000-0005-0000-0000-00003C020000}"/>
    <cellStyle name="输入 3 5" xfId="561" xr:uid="{00000000-0005-0000-0000-00003D020000}"/>
    <cellStyle name="输出" xfId="562" xr:uid="{00000000-0005-0000-0000-00003E020000}"/>
    <cellStyle name="输出 2" xfId="563" xr:uid="{00000000-0005-0000-0000-00003F020000}"/>
    <cellStyle name="输出 3" xfId="564" xr:uid="{00000000-0005-0000-0000-000040020000}"/>
    <cellStyle name="输出 3 2" xfId="565" xr:uid="{00000000-0005-0000-0000-000041020000}"/>
    <cellStyle name="输出 3 3" xfId="566" xr:uid="{00000000-0005-0000-0000-000042020000}"/>
    <cellStyle name="输出 3 4" xfId="567" xr:uid="{00000000-0005-0000-0000-000043020000}"/>
    <cellStyle name="输出 3 5" xfId="568" xr:uid="{00000000-0005-0000-0000-000044020000}"/>
    <cellStyle name="适中" xfId="569" xr:uid="{00000000-0005-0000-0000-000045020000}"/>
    <cellStyle name="适中 2" xfId="570" xr:uid="{00000000-0005-0000-0000-000046020000}"/>
    <cellStyle name="适中 3" xfId="571" xr:uid="{00000000-0005-0000-0000-000047020000}"/>
    <cellStyle name="适中 3 2" xfId="572" xr:uid="{00000000-0005-0000-0000-000048020000}"/>
    <cellStyle name="适中 3 3" xfId="573" xr:uid="{00000000-0005-0000-0000-000049020000}"/>
    <cellStyle name="适中 3 4" xfId="574" xr:uid="{00000000-0005-0000-0000-00004A020000}"/>
    <cellStyle name="适中 3 5" xfId="575" xr:uid="{00000000-0005-0000-0000-00004B020000}"/>
    <cellStyle name="通貨 [0.00] 2" xfId="576" xr:uid="{00000000-0005-0000-0000-00004C020000}"/>
    <cellStyle name="链接单元格" xfId="577" xr:uid="{00000000-0005-0000-0000-00004D020000}"/>
    <cellStyle name="链接单元格 2" xfId="578" xr:uid="{00000000-0005-0000-0000-00004E020000}"/>
    <cellStyle name="链接单元格 3" xfId="579" xr:uid="{00000000-0005-0000-0000-00004F020000}"/>
    <cellStyle name="链接单元格 3 2" xfId="580" xr:uid="{00000000-0005-0000-0000-000050020000}"/>
    <cellStyle name="链接单元格 3 3" xfId="581" xr:uid="{00000000-0005-0000-0000-000051020000}"/>
    <cellStyle name="链接单元格 3 4" xfId="582" xr:uid="{00000000-0005-0000-0000-000052020000}"/>
    <cellStyle name="链接单元格 3 5" xfId="583" xr:uid="{00000000-0005-0000-0000-000053020000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9:J99" totalsRowShown="0" headerRowDxfId="24" dataDxfId="22" totalsRowDxfId="20" headerRowBorderDxfId="23" tableBorderDxfId="21">
  <tableColumns count="10">
    <tableColumn id="1" xr3:uid="{00000000-0010-0000-0000-000001000000}" name="ID" dataDxfId="19" totalsRowDxfId="18"/>
    <tableColumn id="2" xr3:uid="{00000000-0010-0000-0000-000002000000}" name="CODIGO DE ITEMS" dataDxfId="17" totalsRowDxfId="16"/>
    <tableColumn id="3" xr3:uid="{00000000-0010-0000-0000-000003000000}" name="RUBRO DE COMPRA" dataDxfId="15" totalsRowDxfId="14"/>
    <tableColumn id="4" xr3:uid="{00000000-0010-0000-0000-000004000000}" name="I.P.P" dataDxfId="13" totalsRowDxfId="12"/>
    <tableColumn id="5" xr3:uid="{00000000-0010-0000-0000-000005000000}" name="DESCRIPCION" dataDxfId="11" totalsRowDxfId="10"/>
    <tableColumn id="6" xr3:uid="{00000000-0010-0000-0000-000006000000}" name="UNIDAD DE MEDIDA" dataDxfId="9" totalsRowDxfId="8"/>
    <tableColumn id="7" xr3:uid="{00000000-0010-0000-0000-000007000000}" name="CANTIDAD" dataDxfId="7" totalsRowDxfId="6"/>
    <tableColumn id="8" xr3:uid="{00000000-0010-0000-0000-000008000000}" name="PRECIO UNITARIO ESTIMADO" dataDxfId="5" totalsRowDxfId="4"/>
    <tableColumn id="9" xr3:uid="{00000000-0010-0000-0000-000009000000}" name="IMPORTE TOTAL ESTIMADO " dataDxfId="3" totalsRowDxfId="2">
      <calculatedColumnFormula>+Tabla2[[#This Row],[PRECIO UNITARIO ESTIMADO]]*Tabla2[[#This Row],[CANTIDAD]]</calculatedColumnFormula>
    </tableColumn>
    <tableColumn id="10" xr3:uid="{00000000-0010-0000-0000-00000A000000}" name="ESPECIFICACIONE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23"/>
  <sheetViews>
    <sheetView tabSelected="1" topLeftCell="A94" zoomScale="90" zoomScaleNormal="90" zoomScaleSheetLayoutView="142" workbookViewId="0">
      <selection activeCell="I100" sqref="I100"/>
    </sheetView>
  </sheetViews>
  <sheetFormatPr baseColWidth="10" defaultColWidth="11.42578125" defaultRowHeight="12.75"/>
  <cols>
    <col min="1" max="1" width="6.28515625" style="1" customWidth="1"/>
    <col min="2" max="2" width="23.28515625" style="1" customWidth="1"/>
    <col min="3" max="3" width="25.42578125" style="4" customWidth="1"/>
    <col min="4" max="4" width="8.85546875" style="1" customWidth="1"/>
    <col min="5" max="5" width="97.140625" style="1" customWidth="1"/>
    <col min="6" max="6" width="24.42578125" style="4" customWidth="1"/>
    <col min="7" max="7" width="14.85546875" style="1" customWidth="1"/>
    <col min="8" max="8" width="24" style="1" customWidth="1"/>
    <col min="9" max="9" width="22.5703125" style="1" customWidth="1"/>
    <col min="10" max="10" width="30.7109375" style="1" customWidth="1"/>
    <col min="11" max="16384" width="11.42578125" style="1"/>
  </cols>
  <sheetData>
    <row r="2" spans="1:10" ht="27.6" customHeight="1">
      <c r="C2" s="86" t="s">
        <v>0</v>
      </c>
      <c r="D2" s="86"/>
      <c r="E2" s="86"/>
      <c r="F2" s="86"/>
    </row>
    <row r="4" spans="1:10" ht="18" customHeight="1">
      <c r="A4" s="85" t="s">
        <v>1</v>
      </c>
      <c r="B4" s="85"/>
      <c r="C4" s="87" t="s">
        <v>2</v>
      </c>
      <c r="D4" s="87"/>
      <c r="E4" s="87"/>
      <c r="F4" s="3"/>
    </row>
    <row r="5" spans="1:10" ht="18" customHeight="1">
      <c r="A5" s="85" t="s">
        <v>3</v>
      </c>
      <c r="B5" s="85"/>
      <c r="C5" s="88" t="s">
        <v>4</v>
      </c>
      <c r="D5" s="89"/>
      <c r="E5" s="90"/>
      <c r="F5" s="3"/>
    </row>
    <row r="6" spans="1:10" ht="16.5" customHeight="1">
      <c r="A6" s="85" t="s">
        <v>5</v>
      </c>
      <c r="B6" s="85"/>
      <c r="C6" s="6" t="s">
        <v>129</v>
      </c>
      <c r="D6" s="6"/>
      <c r="E6" s="7"/>
      <c r="F6" s="3"/>
    </row>
    <row r="7" spans="1:10" ht="16.5" customHeight="1">
      <c r="A7" s="85" t="s">
        <v>6</v>
      </c>
      <c r="B7" s="85"/>
      <c r="C7" s="6" t="s">
        <v>159</v>
      </c>
      <c r="D7" s="6"/>
      <c r="E7" s="7"/>
      <c r="F7" s="3"/>
    </row>
    <row r="8" spans="1:10">
      <c r="C8" s="3"/>
      <c r="D8" s="3"/>
      <c r="E8" s="2"/>
      <c r="G8" s="3"/>
    </row>
    <row r="9" spans="1:10" ht="60.75" customHeight="1">
      <c r="A9" s="38" t="s">
        <v>7</v>
      </c>
      <c r="B9" s="39" t="s">
        <v>8</v>
      </c>
      <c r="C9" s="39" t="s">
        <v>9</v>
      </c>
      <c r="D9" s="39" t="s">
        <v>10</v>
      </c>
      <c r="E9" s="39" t="s">
        <v>11</v>
      </c>
      <c r="F9" s="39" t="s">
        <v>12</v>
      </c>
      <c r="G9" s="39" t="s">
        <v>13</v>
      </c>
      <c r="H9" s="39" t="s">
        <v>14</v>
      </c>
      <c r="I9" s="39" t="s">
        <v>15</v>
      </c>
      <c r="J9" s="40" t="s">
        <v>16</v>
      </c>
    </row>
    <row r="10" spans="1:10" ht="60.75" customHeight="1">
      <c r="A10" s="18">
        <v>1</v>
      </c>
      <c r="B10" s="21" t="s">
        <v>135</v>
      </c>
      <c r="C10" s="19" t="s">
        <v>19</v>
      </c>
      <c r="D10" s="20" t="s">
        <v>17</v>
      </c>
      <c r="E10" s="19" t="s">
        <v>136</v>
      </c>
      <c r="F10" s="21" t="s">
        <v>20</v>
      </c>
      <c r="G10" s="21">
        <v>1</v>
      </c>
      <c r="H10" s="22">
        <v>191676</v>
      </c>
      <c r="I10" s="32">
        <f>+Tabla2[[#This Row],[PRECIO UNITARIO ESTIMADO]]*Tabla2[[#This Row],[CANTIDAD]]</f>
        <v>191676</v>
      </c>
      <c r="J10" s="23"/>
    </row>
    <row r="11" spans="1:10" ht="60.75" customHeight="1">
      <c r="A11" s="18">
        <v>2</v>
      </c>
      <c r="B11" s="18" t="s">
        <v>157</v>
      </c>
      <c r="C11" s="19" t="s">
        <v>19</v>
      </c>
      <c r="D11" s="20" t="s">
        <v>17</v>
      </c>
      <c r="E11" s="19" t="s">
        <v>158</v>
      </c>
      <c r="F11" s="21" t="s">
        <v>20</v>
      </c>
      <c r="G11" s="21">
        <v>1</v>
      </c>
      <c r="H11" s="22">
        <v>270278</v>
      </c>
      <c r="I11" s="32">
        <f>+Tabla2[[#This Row],[PRECIO UNITARIO ESTIMADO]]*Tabla2[[#This Row],[CANTIDAD]]</f>
        <v>270278</v>
      </c>
      <c r="J11" s="23"/>
    </row>
    <row r="12" spans="1:10" s="5" customFormat="1" ht="60.75" customHeight="1">
      <c r="A12" s="18">
        <v>3</v>
      </c>
      <c r="B12" s="21" t="s">
        <v>218</v>
      </c>
      <c r="C12" s="19" t="s">
        <v>19</v>
      </c>
      <c r="D12" s="20" t="s">
        <v>17</v>
      </c>
      <c r="E12" s="19" t="s">
        <v>130</v>
      </c>
      <c r="F12" s="21" t="s">
        <v>20</v>
      </c>
      <c r="G12" s="21">
        <v>1</v>
      </c>
      <c r="H12" s="22">
        <v>711627</v>
      </c>
      <c r="I12" s="32">
        <f>+Tabla2[[#This Row],[PRECIO UNITARIO ESTIMADO]]*Tabla2[[#This Row],[CANTIDAD]]</f>
        <v>711627</v>
      </c>
      <c r="J12" s="23" t="s">
        <v>222</v>
      </c>
    </row>
    <row r="13" spans="1:10" s="5" customFormat="1" ht="60.75" customHeight="1">
      <c r="A13" s="18">
        <v>4</v>
      </c>
      <c r="B13" s="21" t="s">
        <v>219</v>
      </c>
      <c r="C13" s="19" t="s">
        <v>19</v>
      </c>
      <c r="D13" s="20" t="s">
        <v>17</v>
      </c>
      <c r="E13" s="19" t="s">
        <v>131</v>
      </c>
      <c r="F13" s="21" t="s">
        <v>20</v>
      </c>
      <c r="G13" s="21">
        <v>1</v>
      </c>
      <c r="H13" s="22">
        <v>711627</v>
      </c>
      <c r="I13" s="32">
        <f>+Tabla2[[#This Row],[PRECIO UNITARIO ESTIMADO]]*Tabla2[[#This Row],[CANTIDAD]]</f>
        <v>711627</v>
      </c>
      <c r="J13" s="23" t="s">
        <v>222</v>
      </c>
    </row>
    <row r="14" spans="1:10" s="5" customFormat="1" ht="60.75" customHeight="1">
      <c r="A14" s="18">
        <v>5</v>
      </c>
      <c r="B14" s="21" t="s">
        <v>220</v>
      </c>
      <c r="C14" s="19" t="s">
        <v>19</v>
      </c>
      <c r="D14" s="20" t="s">
        <v>17</v>
      </c>
      <c r="E14" s="19" t="s">
        <v>132</v>
      </c>
      <c r="F14" s="21" t="s">
        <v>18</v>
      </c>
      <c r="G14" s="21">
        <v>1</v>
      </c>
      <c r="H14" s="22">
        <v>453494</v>
      </c>
      <c r="I14" s="32">
        <f>+Tabla2[[#This Row],[PRECIO UNITARIO ESTIMADO]]*Tabla2[[#This Row],[CANTIDAD]]</f>
        <v>453494</v>
      </c>
      <c r="J14" s="23"/>
    </row>
    <row r="15" spans="1:10" s="5" customFormat="1" ht="60.75" customHeight="1">
      <c r="A15" s="18">
        <v>6</v>
      </c>
      <c r="B15" s="28" t="s">
        <v>141</v>
      </c>
      <c r="C15" s="19" t="s">
        <v>19</v>
      </c>
      <c r="D15" s="28" t="s">
        <v>17</v>
      </c>
      <c r="E15" s="19" t="s">
        <v>142</v>
      </c>
      <c r="F15" s="18" t="s">
        <v>20</v>
      </c>
      <c r="G15" s="28">
        <v>1</v>
      </c>
      <c r="H15" s="27">
        <v>299037</v>
      </c>
      <c r="I15" s="32">
        <f>+Tabla2[[#This Row],[PRECIO UNITARIO ESTIMADO]]*Tabla2[[#This Row],[CANTIDAD]]</f>
        <v>299037</v>
      </c>
      <c r="J15" s="23"/>
    </row>
    <row r="16" spans="1:10" s="5" customFormat="1" ht="60.75" customHeight="1">
      <c r="A16" s="18">
        <v>7</v>
      </c>
      <c r="B16" s="54" t="s">
        <v>165</v>
      </c>
      <c r="C16" s="19" t="s">
        <v>19</v>
      </c>
      <c r="D16" s="20" t="s">
        <v>17</v>
      </c>
      <c r="E16" s="19" t="s">
        <v>166</v>
      </c>
      <c r="F16" s="19" t="s">
        <v>20</v>
      </c>
      <c r="G16" s="21">
        <v>2</v>
      </c>
      <c r="H16" s="22">
        <v>80652</v>
      </c>
      <c r="I16" s="32">
        <f>+Tabla2[[#This Row],[PRECIO UNITARIO ESTIMADO]]*Tabla2[[#This Row],[CANTIDAD]]</f>
        <v>161304</v>
      </c>
      <c r="J16" s="23"/>
    </row>
    <row r="17" spans="1:10" s="5" customFormat="1" ht="60.75" customHeight="1">
      <c r="A17" s="18">
        <v>8</v>
      </c>
      <c r="B17" s="54" t="s">
        <v>162</v>
      </c>
      <c r="C17" s="19" t="s">
        <v>19</v>
      </c>
      <c r="D17" s="20" t="s">
        <v>17</v>
      </c>
      <c r="E17" s="19" t="s">
        <v>161</v>
      </c>
      <c r="F17" s="21" t="s">
        <v>20</v>
      </c>
      <c r="G17" s="21">
        <v>1</v>
      </c>
      <c r="H17" s="22">
        <v>1053259</v>
      </c>
      <c r="I17" s="32">
        <f>+Tabla2[[#This Row],[PRECIO UNITARIO ESTIMADO]]*Tabla2[[#This Row],[CANTIDAD]]</f>
        <v>1053259</v>
      </c>
      <c r="J17" s="23"/>
    </row>
    <row r="18" spans="1:10" s="5" customFormat="1" ht="60.75" customHeight="1">
      <c r="A18" s="18">
        <v>9</v>
      </c>
      <c r="B18" s="54" t="s">
        <v>163</v>
      </c>
      <c r="C18" s="19" t="s">
        <v>19</v>
      </c>
      <c r="D18" s="20" t="s">
        <v>17</v>
      </c>
      <c r="E18" s="19" t="s">
        <v>164</v>
      </c>
      <c r="F18" s="21" t="s">
        <v>20</v>
      </c>
      <c r="G18" s="21">
        <v>1</v>
      </c>
      <c r="H18" s="22">
        <v>1053259</v>
      </c>
      <c r="I18" s="32">
        <f>+Tabla2[[#This Row],[PRECIO UNITARIO ESTIMADO]]*Tabla2[[#This Row],[CANTIDAD]]</f>
        <v>1053259</v>
      </c>
      <c r="J18" s="23"/>
    </row>
    <row r="19" spans="1:10" s="5" customFormat="1" ht="60.75" customHeight="1">
      <c r="A19" s="18">
        <v>10</v>
      </c>
      <c r="B19" s="54" t="s">
        <v>167</v>
      </c>
      <c r="C19" s="19" t="s">
        <v>19</v>
      </c>
      <c r="D19" s="20" t="s">
        <v>17</v>
      </c>
      <c r="E19" s="19" t="s">
        <v>185</v>
      </c>
      <c r="F19" s="21" t="s">
        <v>20</v>
      </c>
      <c r="G19" s="21">
        <v>2</v>
      </c>
      <c r="H19" s="22">
        <v>80652</v>
      </c>
      <c r="I19" s="32">
        <f>+Tabla2[[#This Row],[PRECIO UNITARIO ESTIMADO]]*Tabla2[[#This Row],[CANTIDAD]]</f>
        <v>161304</v>
      </c>
      <c r="J19" s="23"/>
    </row>
    <row r="20" spans="1:10" s="5" customFormat="1" ht="60.75" customHeight="1">
      <c r="A20" s="18">
        <v>11</v>
      </c>
      <c r="B20" s="54" t="s">
        <v>160</v>
      </c>
      <c r="C20" s="19" t="s">
        <v>19</v>
      </c>
      <c r="D20" s="20" t="s">
        <v>17</v>
      </c>
      <c r="E20" s="19" t="s">
        <v>186</v>
      </c>
      <c r="F20" s="21" t="s">
        <v>20</v>
      </c>
      <c r="G20" s="21">
        <v>1</v>
      </c>
      <c r="H20" s="27">
        <v>185195</v>
      </c>
      <c r="I20" s="32">
        <f>+Tabla2[[#This Row],[PRECIO UNITARIO ESTIMADO]]*Tabla2[[#This Row],[CANTIDAD]]</f>
        <v>185195</v>
      </c>
      <c r="J20" s="23"/>
    </row>
    <row r="21" spans="1:10" s="5" customFormat="1" ht="60.75" customHeight="1">
      <c r="A21" s="18">
        <v>12</v>
      </c>
      <c r="B21" s="21" t="s">
        <v>107</v>
      </c>
      <c r="C21" s="19" t="s">
        <v>19</v>
      </c>
      <c r="D21" s="18" t="s">
        <v>17</v>
      </c>
      <c r="E21" s="19" t="s">
        <v>108</v>
      </c>
      <c r="F21" s="18" t="s">
        <v>20</v>
      </c>
      <c r="G21" s="18">
        <v>1</v>
      </c>
      <c r="H21" s="27">
        <v>347546</v>
      </c>
      <c r="I21" s="32">
        <f>+Tabla2[[#This Row],[PRECIO UNITARIO ESTIMADO]]*Tabla2[[#This Row],[CANTIDAD]]</f>
        <v>347546</v>
      </c>
      <c r="J21" s="21"/>
    </row>
    <row r="22" spans="1:10" s="5" customFormat="1" ht="60.75" customHeight="1">
      <c r="A22" s="18">
        <v>13</v>
      </c>
      <c r="B22" s="21" t="s">
        <v>139</v>
      </c>
      <c r="C22" s="19" t="s">
        <v>19</v>
      </c>
      <c r="D22" s="18" t="s">
        <v>17</v>
      </c>
      <c r="E22" s="19" t="s">
        <v>140</v>
      </c>
      <c r="F22" s="18" t="s">
        <v>20</v>
      </c>
      <c r="G22" s="18">
        <v>1</v>
      </c>
      <c r="H22" s="27">
        <v>302630</v>
      </c>
      <c r="I22" s="32">
        <f>+Tabla2[[#This Row],[PRECIO UNITARIO ESTIMADO]]*Tabla2[[#This Row],[CANTIDAD]]</f>
        <v>302630</v>
      </c>
      <c r="J22" s="23"/>
    </row>
    <row r="23" spans="1:10" s="5" customFormat="1" ht="60.75" customHeight="1">
      <c r="A23" s="18">
        <v>14</v>
      </c>
      <c r="B23" s="55" t="s">
        <v>49</v>
      </c>
      <c r="C23" s="19" t="s">
        <v>19</v>
      </c>
      <c r="D23" s="20" t="s">
        <v>17</v>
      </c>
      <c r="E23" s="19" t="s">
        <v>50</v>
      </c>
      <c r="F23" s="18" t="s">
        <v>20</v>
      </c>
      <c r="G23" s="18">
        <v>1</v>
      </c>
      <c r="H23" s="27">
        <v>381523</v>
      </c>
      <c r="I23" s="32">
        <f>+Tabla2[[#This Row],[PRECIO UNITARIO ESTIMADO]]*Tabla2[[#This Row],[CANTIDAD]]</f>
        <v>381523</v>
      </c>
      <c r="J23" s="28"/>
    </row>
    <row r="24" spans="1:10" s="5" customFormat="1" ht="60.75" customHeight="1">
      <c r="A24" s="18">
        <v>15</v>
      </c>
      <c r="B24" s="18" t="s">
        <v>114</v>
      </c>
      <c r="C24" s="19" t="s">
        <v>19</v>
      </c>
      <c r="D24" s="20" t="s">
        <v>17</v>
      </c>
      <c r="E24" s="19" t="s">
        <v>115</v>
      </c>
      <c r="F24" s="21" t="s">
        <v>20</v>
      </c>
      <c r="G24" s="21">
        <v>1</v>
      </c>
      <c r="H24" s="22">
        <v>400206</v>
      </c>
      <c r="I24" s="32">
        <f>+Tabla2[[#This Row],[PRECIO UNITARIO ESTIMADO]]*Tabla2[[#This Row],[CANTIDAD]]</f>
        <v>400206</v>
      </c>
      <c r="J24" s="23"/>
    </row>
    <row r="25" spans="1:10" s="5" customFormat="1" ht="60.75" customHeight="1">
      <c r="A25" s="18">
        <v>16</v>
      </c>
      <c r="B25" s="55" t="s">
        <v>45</v>
      </c>
      <c r="C25" s="19" t="s">
        <v>19</v>
      </c>
      <c r="D25" s="20" t="s">
        <v>17</v>
      </c>
      <c r="E25" s="19" t="s">
        <v>46</v>
      </c>
      <c r="F25" s="18" t="s">
        <v>20</v>
      </c>
      <c r="G25" s="18">
        <v>1</v>
      </c>
      <c r="H25" s="27">
        <v>488622</v>
      </c>
      <c r="I25" s="32">
        <f>+Tabla2[[#This Row],[PRECIO UNITARIO ESTIMADO]]*Tabla2[[#This Row],[CANTIDAD]]</f>
        <v>488622</v>
      </c>
      <c r="J25" s="21"/>
    </row>
    <row r="26" spans="1:10" s="5" customFormat="1" ht="60.75" customHeight="1">
      <c r="A26" s="18">
        <v>17</v>
      </c>
      <c r="B26" s="28" t="s">
        <v>145</v>
      </c>
      <c r="C26" s="19" t="s">
        <v>19</v>
      </c>
      <c r="D26" s="20" t="s">
        <v>17</v>
      </c>
      <c r="E26" s="19" t="s">
        <v>146</v>
      </c>
      <c r="F26" s="28" t="s">
        <v>20</v>
      </c>
      <c r="G26" s="28">
        <v>1</v>
      </c>
      <c r="H26" s="27">
        <v>126830</v>
      </c>
      <c r="I26" s="32">
        <f>+Tabla2[[#This Row],[PRECIO UNITARIO ESTIMADO]]*Tabla2[[#This Row],[CANTIDAD]]</f>
        <v>126830</v>
      </c>
      <c r="J26" s="23"/>
    </row>
    <row r="27" spans="1:10" s="5" customFormat="1" ht="60.75" customHeight="1">
      <c r="A27" s="18">
        <v>18</v>
      </c>
      <c r="B27" s="21" t="s">
        <v>143</v>
      </c>
      <c r="C27" s="19" t="s">
        <v>19</v>
      </c>
      <c r="D27" s="28" t="s">
        <v>17</v>
      </c>
      <c r="E27" s="19" t="s">
        <v>144</v>
      </c>
      <c r="F27" s="21" t="s">
        <v>20</v>
      </c>
      <c r="G27" s="21">
        <v>1</v>
      </c>
      <c r="H27" s="27">
        <v>299037</v>
      </c>
      <c r="I27" s="32">
        <f>+Tabla2[[#This Row],[PRECIO UNITARIO ESTIMADO]]*Tabla2[[#This Row],[CANTIDAD]]</f>
        <v>299037</v>
      </c>
      <c r="J27" s="21"/>
    </row>
    <row r="28" spans="1:10" s="5" customFormat="1" ht="60.75" customHeight="1">
      <c r="A28" s="18">
        <v>19</v>
      </c>
      <c r="B28" s="55" t="s">
        <v>35</v>
      </c>
      <c r="C28" s="19" t="s">
        <v>19</v>
      </c>
      <c r="D28" s="20" t="s">
        <v>17</v>
      </c>
      <c r="E28" s="19" t="s">
        <v>36</v>
      </c>
      <c r="F28" s="18" t="s">
        <v>20</v>
      </c>
      <c r="G28" s="18">
        <v>1</v>
      </c>
      <c r="H28" s="27">
        <v>436126</v>
      </c>
      <c r="I28" s="32">
        <f>+Tabla2[[#This Row],[PRECIO UNITARIO ESTIMADO]]*Tabla2[[#This Row],[CANTIDAD]]</f>
        <v>436126</v>
      </c>
      <c r="J28" s="21"/>
    </row>
    <row r="29" spans="1:10" s="5" customFormat="1" ht="60.75" customHeight="1">
      <c r="A29" s="18">
        <v>20</v>
      </c>
      <c r="B29" s="55" t="s">
        <v>149</v>
      </c>
      <c r="C29" s="19" t="s">
        <v>19</v>
      </c>
      <c r="D29" s="20" t="s">
        <v>17</v>
      </c>
      <c r="E29" s="19" t="s">
        <v>150</v>
      </c>
      <c r="F29" s="18" t="s">
        <v>20</v>
      </c>
      <c r="G29" s="18">
        <v>1</v>
      </c>
      <c r="H29" s="27">
        <v>1741357</v>
      </c>
      <c r="I29" s="32">
        <f>+Tabla2[[#This Row],[PRECIO UNITARIO ESTIMADO]]*Tabla2[[#This Row],[CANTIDAD]]</f>
        <v>1741357</v>
      </c>
      <c r="J29" s="21"/>
    </row>
    <row r="30" spans="1:10" s="5" customFormat="1" ht="60.75" customHeight="1">
      <c r="A30" s="18">
        <v>21</v>
      </c>
      <c r="B30" s="18" t="s">
        <v>21</v>
      </c>
      <c r="C30" s="19" t="s">
        <v>19</v>
      </c>
      <c r="D30" s="20" t="s">
        <v>17</v>
      </c>
      <c r="E30" s="19" t="s">
        <v>22</v>
      </c>
      <c r="F30" s="18" t="s">
        <v>23</v>
      </c>
      <c r="G30" s="18">
        <v>4</v>
      </c>
      <c r="H30" s="27">
        <v>38634</v>
      </c>
      <c r="I30" s="32">
        <f>+Tabla2[[#This Row],[PRECIO UNITARIO ESTIMADO]]*Tabla2[[#This Row],[CANTIDAD]]</f>
        <v>154536</v>
      </c>
      <c r="J30" s="21"/>
    </row>
    <row r="31" spans="1:10" s="5" customFormat="1" ht="60.75" customHeight="1">
      <c r="A31" s="18">
        <v>22</v>
      </c>
      <c r="B31" s="28" t="s">
        <v>91</v>
      </c>
      <c r="C31" s="19" t="s">
        <v>19</v>
      </c>
      <c r="D31" s="20" t="s">
        <v>17</v>
      </c>
      <c r="E31" s="19" t="s">
        <v>95</v>
      </c>
      <c r="F31" s="21" t="s">
        <v>23</v>
      </c>
      <c r="G31" s="21">
        <v>2</v>
      </c>
      <c r="H31" s="22">
        <v>62426</v>
      </c>
      <c r="I31" s="32">
        <f>+Tabla2[[#This Row],[PRECIO UNITARIO ESTIMADO]]*Tabla2[[#This Row],[CANTIDAD]]</f>
        <v>124852</v>
      </c>
      <c r="J31" s="23"/>
    </row>
    <row r="32" spans="1:10" s="5" customFormat="1" ht="60.75" customHeight="1">
      <c r="A32" s="18">
        <v>23</v>
      </c>
      <c r="B32" s="23" t="s">
        <v>170</v>
      </c>
      <c r="C32" s="19" t="s">
        <v>19</v>
      </c>
      <c r="D32" s="20" t="s">
        <v>17</v>
      </c>
      <c r="E32" s="19" t="s">
        <v>171</v>
      </c>
      <c r="F32" s="21" t="s">
        <v>26</v>
      </c>
      <c r="G32" s="21">
        <v>1</v>
      </c>
      <c r="H32" s="22">
        <v>78605.8</v>
      </c>
      <c r="I32" s="32">
        <f>+Tabla2[[#This Row],[PRECIO UNITARIO ESTIMADO]]*Tabla2[[#This Row],[CANTIDAD]]</f>
        <v>78605.8</v>
      </c>
      <c r="J32" s="23"/>
    </row>
    <row r="33" spans="1:10" s="5" customFormat="1" ht="60.75" customHeight="1">
      <c r="A33" s="18">
        <v>24</v>
      </c>
      <c r="B33" s="55" t="s">
        <v>172</v>
      </c>
      <c r="C33" s="19" t="s">
        <v>19</v>
      </c>
      <c r="D33" s="20" t="s">
        <v>17</v>
      </c>
      <c r="E33" s="19" t="s">
        <v>173</v>
      </c>
      <c r="F33" s="18" t="s">
        <v>23</v>
      </c>
      <c r="G33" s="18">
        <v>2</v>
      </c>
      <c r="H33" s="27">
        <v>68478.8</v>
      </c>
      <c r="I33" s="32">
        <f>+Tabla2[[#This Row],[PRECIO UNITARIO ESTIMADO]]*Tabla2[[#This Row],[CANTIDAD]]</f>
        <v>136957.6</v>
      </c>
      <c r="J33" s="23"/>
    </row>
    <row r="34" spans="1:10" s="5" customFormat="1" ht="60.75" customHeight="1">
      <c r="A34" s="18">
        <v>25</v>
      </c>
      <c r="B34" s="55" t="s">
        <v>41</v>
      </c>
      <c r="C34" s="19" t="s">
        <v>19</v>
      </c>
      <c r="D34" s="20" t="s">
        <v>17</v>
      </c>
      <c r="E34" s="19" t="s">
        <v>42</v>
      </c>
      <c r="F34" s="18" t="s">
        <v>23</v>
      </c>
      <c r="G34" s="18">
        <v>2</v>
      </c>
      <c r="H34" s="27">
        <v>131302.6</v>
      </c>
      <c r="I34" s="32">
        <f>+Tabla2[[#This Row],[PRECIO UNITARIO ESTIMADO]]*Tabla2[[#This Row],[CANTIDAD]]</f>
        <v>262605.2</v>
      </c>
      <c r="J34" s="21"/>
    </row>
    <row r="35" spans="1:10" s="5" customFormat="1" ht="60.75" customHeight="1">
      <c r="A35" s="18">
        <v>26</v>
      </c>
      <c r="B35" s="28" t="s">
        <v>109</v>
      </c>
      <c r="C35" s="19" t="s">
        <v>19</v>
      </c>
      <c r="D35" s="31" t="s">
        <v>17</v>
      </c>
      <c r="E35" s="19" t="s">
        <v>110</v>
      </c>
      <c r="F35" s="21" t="s">
        <v>23</v>
      </c>
      <c r="G35" s="21">
        <v>3</v>
      </c>
      <c r="H35" s="29">
        <v>111382</v>
      </c>
      <c r="I35" s="32">
        <f>+Tabla2[[#This Row],[PRECIO UNITARIO ESTIMADO]]*Tabla2[[#This Row],[CANTIDAD]]</f>
        <v>334146</v>
      </c>
      <c r="J35" s="23"/>
    </row>
    <row r="36" spans="1:10" s="5" customFormat="1" ht="60.75" customHeight="1">
      <c r="A36" s="18">
        <v>27</v>
      </c>
      <c r="B36" s="28" t="s">
        <v>177</v>
      </c>
      <c r="C36" s="19" t="s">
        <v>19</v>
      </c>
      <c r="D36" s="20" t="s">
        <v>17</v>
      </c>
      <c r="E36" s="19" t="s">
        <v>178</v>
      </c>
      <c r="F36" s="21" t="s">
        <v>23</v>
      </c>
      <c r="G36" s="21">
        <v>1</v>
      </c>
      <c r="H36" s="22">
        <v>30950.400000000001</v>
      </c>
      <c r="I36" s="32">
        <f>+Tabla2[[#This Row],[PRECIO UNITARIO ESTIMADO]]*Tabla2[[#This Row],[CANTIDAD]]</f>
        <v>30950.400000000001</v>
      </c>
      <c r="J36" s="23"/>
    </row>
    <row r="37" spans="1:10" s="5" customFormat="1" ht="60.75" customHeight="1">
      <c r="A37" s="18">
        <v>28</v>
      </c>
      <c r="B37" s="18" t="s">
        <v>155</v>
      </c>
      <c r="C37" s="19" t="s">
        <v>19</v>
      </c>
      <c r="D37" s="20" t="s">
        <v>17</v>
      </c>
      <c r="E37" s="19" t="s">
        <v>156</v>
      </c>
      <c r="F37" s="21" t="s">
        <v>18</v>
      </c>
      <c r="G37" s="21">
        <v>1</v>
      </c>
      <c r="H37" s="27">
        <v>199621</v>
      </c>
      <c r="I37" s="32">
        <f>+Tabla2[[#This Row],[PRECIO UNITARIO ESTIMADO]]*Tabla2[[#This Row],[CANTIDAD]]</f>
        <v>199621</v>
      </c>
      <c r="J37" s="23"/>
    </row>
    <row r="38" spans="1:10" s="5" customFormat="1" ht="60.75" customHeight="1">
      <c r="A38" s="18">
        <v>29</v>
      </c>
      <c r="B38" s="18" t="s">
        <v>124</v>
      </c>
      <c r="C38" s="19" t="s">
        <v>19</v>
      </c>
      <c r="D38" s="20" t="s">
        <v>17</v>
      </c>
      <c r="E38" s="19" t="s">
        <v>125</v>
      </c>
      <c r="F38" s="21" t="s">
        <v>26</v>
      </c>
      <c r="G38" s="21">
        <v>4</v>
      </c>
      <c r="H38" s="22">
        <v>33401</v>
      </c>
      <c r="I38" s="32">
        <f>+Tabla2[[#This Row],[PRECIO UNITARIO ESTIMADO]]*Tabla2[[#This Row],[CANTIDAD]]</f>
        <v>133604</v>
      </c>
      <c r="J38" s="23"/>
    </row>
    <row r="39" spans="1:10" s="5" customFormat="1" ht="60.75" customHeight="1">
      <c r="A39" s="18">
        <v>30</v>
      </c>
      <c r="B39" s="21" t="s">
        <v>96</v>
      </c>
      <c r="C39" s="19" t="s">
        <v>19</v>
      </c>
      <c r="D39" s="20" t="s">
        <v>17</v>
      </c>
      <c r="E39" s="19" t="s">
        <v>97</v>
      </c>
      <c r="F39" s="21" t="s">
        <v>26</v>
      </c>
      <c r="G39" s="21">
        <v>1</v>
      </c>
      <c r="H39" s="22">
        <v>54987.4</v>
      </c>
      <c r="I39" s="32">
        <f>+Tabla2[[#This Row],[PRECIO UNITARIO ESTIMADO]]*Tabla2[[#This Row],[CANTIDAD]]</f>
        <v>54987.4</v>
      </c>
      <c r="J39" s="23"/>
    </row>
    <row r="40" spans="1:10" s="5" customFormat="1" ht="60.75" customHeight="1">
      <c r="A40" s="18">
        <v>31</v>
      </c>
      <c r="B40" s="18" t="s">
        <v>59</v>
      </c>
      <c r="C40" s="19" t="s">
        <v>19</v>
      </c>
      <c r="D40" s="20" t="s">
        <v>17</v>
      </c>
      <c r="E40" s="19" t="s">
        <v>60</v>
      </c>
      <c r="F40" s="18" t="s">
        <v>23</v>
      </c>
      <c r="G40" s="18">
        <v>1</v>
      </c>
      <c r="H40" s="27">
        <v>118747</v>
      </c>
      <c r="I40" s="32">
        <f>+Tabla2[[#This Row],[PRECIO UNITARIO ESTIMADO]]*Tabla2[[#This Row],[CANTIDAD]]</f>
        <v>118747</v>
      </c>
      <c r="J40" s="21"/>
    </row>
    <row r="41" spans="1:10" s="5" customFormat="1" ht="60.75" customHeight="1">
      <c r="A41" s="18">
        <v>32</v>
      </c>
      <c r="B41" s="55" t="s">
        <v>39</v>
      </c>
      <c r="C41" s="19" t="s">
        <v>19</v>
      </c>
      <c r="D41" s="20" t="s">
        <v>17</v>
      </c>
      <c r="E41" s="19" t="s">
        <v>40</v>
      </c>
      <c r="F41" s="18" t="s">
        <v>23</v>
      </c>
      <c r="G41" s="18">
        <v>1</v>
      </c>
      <c r="H41" s="27">
        <v>82808.7</v>
      </c>
      <c r="I41" s="32">
        <f>+Tabla2[[#This Row],[PRECIO UNITARIO ESTIMADO]]*Tabla2[[#This Row],[CANTIDAD]]</f>
        <v>82808.7</v>
      </c>
      <c r="J41" s="21"/>
    </row>
    <row r="42" spans="1:10" s="5" customFormat="1" ht="60.75" customHeight="1">
      <c r="A42" s="18">
        <v>33</v>
      </c>
      <c r="B42" s="21" t="s">
        <v>179</v>
      </c>
      <c r="C42" s="19" t="s">
        <v>19</v>
      </c>
      <c r="D42" s="20" t="s">
        <v>17</v>
      </c>
      <c r="E42" s="19" t="s">
        <v>180</v>
      </c>
      <c r="F42" s="21" t="s">
        <v>26</v>
      </c>
      <c r="G42" s="21">
        <v>6</v>
      </c>
      <c r="H42" s="22">
        <v>89268.400000000009</v>
      </c>
      <c r="I42" s="32">
        <f>+Tabla2[[#This Row],[PRECIO UNITARIO ESTIMADO]]*Tabla2[[#This Row],[CANTIDAD]]</f>
        <v>535610.4</v>
      </c>
      <c r="J42" s="23"/>
    </row>
    <row r="43" spans="1:10" s="5" customFormat="1" ht="60.75" customHeight="1">
      <c r="A43" s="18">
        <v>34</v>
      </c>
      <c r="B43" s="55" t="s">
        <v>29</v>
      </c>
      <c r="C43" s="19" t="s">
        <v>19</v>
      </c>
      <c r="D43" s="20" t="s">
        <v>17</v>
      </c>
      <c r="E43" s="19" t="s">
        <v>30</v>
      </c>
      <c r="F43" s="18" t="s">
        <v>23</v>
      </c>
      <c r="G43" s="18">
        <v>3</v>
      </c>
      <c r="H43" s="27">
        <v>136805.5</v>
      </c>
      <c r="I43" s="32">
        <f>+Tabla2[[#This Row],[PRECIO UNITARIO ESTIMADO]]*Tabla2[[#This Row],[CANTIDAD]]</f>
        <v>410416.5</v>
      </c>
      <c r="J43" s="23"/>
    </row>
    <row r="44" spans="1:10" s="5" customFormat="1" ht="60.75" customHeight="1">
      <c r="A44" s="18">
        <v>35</v>
      </c>
      <c r="B44" s="55" t="s">
        <v>43</v>
      </c>
      <c r="C44" s="19" t="s">
        <v>19</v>
      </c>
      <c r="D44" s="20" t="s">
        <v>17</v>
      </c>
      <c r="E44" s="19" t="s">
        <v>44</v>
      </c>
      <c r="F44" s="18" t="s">
        <v>23</v>
      </c>
      <c r="G44" s="18">
        <v>5</v>
      </c>
      <c r="H44" s="27">
        <v>176268.30000000002</v>
      </c>
      <c r="I44" s="32">
        <f>+Tabla2[[#This Row],[PRECIO UNITARIO ESTIMADO]]*Tabla2[[#This Row],[CANTIDAD]]</f>
        <v>881341.50000000012</v>
      </c>
      <c r="J44" s="23"/>
    </row>
    <row r="45" spans="1:10" s="5" customFormat="1" ht="60.75" customHeight="1">
      <c r="A45" s="18">
        <v>36</v>
      </c>
      <c r="B45" s="18" t="s">
        <v>126</v>
      </c>
      <c r="C45" s="19" t="s">
        <v>19</v>
      </c>
      <c r="D45" s="20" t="s">
        <v>17</v>
      </c>
      <c r="E45" s="19" t="s">
        <v>127</v>
      </c>
      <c r="F45" s="21" t="s">
        <v>26</v>
      </c>
      <c r="G45" s="21">
        <v>1</v>
      </c>
      <c r="H45" s="22">
        <v>233693</v>
      </c>
      <c r="I45" s="32">
        <f>+Tabla2[[#This Row],[PRECIO UNITARIO ESTIMADO]]*Tabla2[[#This Row],[CANTIDAD]]</f>
        <v>233693</v>
      </c>
      <c r="J45" s="23"/>
    </row>
    <row r="46" spans="1:10" ht="60.75" customHeight="1">
      <c r="A46" s="18">
        <v>37</v>
      </c>
      <c r="B46" s="55" t="s">
        <v>37</v>
      </c>
      <c r="C46" s="19" t="s">
        <v>19</v>
      </c>
      <c r="D46" s="20" t="s">
        <v>17</v>
      </c>
      <c r="E46" s="19" t="s">
        <v>38</v>
      </c>
      <c r="F46" s="18" t="s">
        <v>20</v>
      </c>
      <c r="G46" s="18">
        <v>18</v>
      </c>
      <c r="H46" s="27">
        <v>374815</v>
      </c>
      <c r="I46" s="32">
        <f>+Tabla2[[#This Row],[PRECIO UNITARIO ESTIMADO]]*Tabla2[[#This Row],[CANTIDAD]]</f>
        <v>6746670</v>
      </c>
      <c r="J46" s="21"/>
    </row>
    <row r="47" spans="1:10" ht="60.75" customHeight="1">
      <c r="A47" s="18">
        <v>38</v>
      </c>
      <c r="B47" s="54" t="s">
        <v>47</v>
      </c>
      <c r="C47" s="19" t="s">
        <v>19</v>
      </c>
      <c r="D47" s="20" t="s">
        <v>17</v>
      </c>
      <c r="E47" s="19" t="s">
        <v>48</v>
      </c>
      <c r="F47" s="21" t="s">
        <v>20</v>
      </c>
      <c r="G47" s="21">
        <v>10</v>
      </c>
      <c r="H47" s="27">
        <v>729012</v>
      </c>
      <c r="I47" s="32">
        <f>+Tabla2[[#This Row],[PRECIO UNITARIO ESTIMADO]]*Tabla2[[#This Row],[CANTIDAD]]</f>
        <v>7290120</v>
      </c>
      <c r="J47" s="23"/>
    </row>
    <row r="48" spans="1:10" ht="60.75" customHeight="1">
      <c r="A48" s="18">
        <v>39</v>
      </c>
      <c r="B48" s="55" t="s">
        <v>137</v>
      </c>
      <c r="C48" s="19" t="s">
        <v>19</v>
      </c>
      <c r="D48" s="20" t="s">
        <v>17</v>
      </c>
      <c r="E48" s="19" t="s">
        <v>138</v>
      </c>
      <c r="F48" s="18" t="s">
        <v>20</v>
      </c>
      <c r="G48" s="18">
        <v>1</v>
      </c>
      <c r="H48" s="27">
        <v>653754.4</v>
      </c>
      <c r="I48" s="32">
        <f>+Tabla2[[#This Row],[PRECIO UNITARIO ESTIMADO]]*Tabla2[[#This Row],[CANTIDAD]]</f>
        <v>653754.4</v>
      </c>
      <c r="J48" s="23"/>
    </row>
    <row r="49" spans="1:10" ht="60.75" customHeight="1">
      <c r="A49" s="18">
        <v>40</v>
      </c>
      <c r="B49" s="21" t="s">
        <v>181</v>
      </c>
      <c r="C49" s="19" t="s">
        <v>19</v>
      </c>
      <c r="D49" s="21" t="s">
        <v>17</v>
      </c>
      <c r="E49" s="19" t="s">
        <v>182</v>
      </c>
      <c r="F49" s="21" t="s">
        <v>20</v>
      </c>
      <c r="G49" s="21">
        <v>1</v>
      </c>
      <c r="H49" s="53">
        <v>997020</v>
      </c>
      <c r="I49" s="32">
        <f>+Tabla2[[#This Row],[PRECIO UNITARIO ESTIMADO]]*Tabla2[[#This Row],[CANTIDAD]]</f>
        <v>997020</v>
      </c>
      <c r="J49" s="23"/>
    </row>
    <row r="50" spans="1:10" ht="60.75" customHeight="1">
      <c r="A50" s="18">
        <v>41</v>
      </c>
      <c r="B50" s="54" t="s">
        <v>75</v>
      </c>
      <c r="C50" s="19" t="s">
        <v>19</v>
      </c>
      <c r="D50" s="20" t="s">
        <v>17</v>
      </c>
      <c r="E50" s="19" t="s">
        <v>76</v>
      </c>
      <c r="F50" s="21" t="s">
        <v>23</v>
      </c>
      <c r="G50" s="21">
        <v>3</v>
      </c>
      <c r="H50" s="27">
        <v>60824.4</v>
      </c>
      <c r="I50" s="32">
        <f>+Tabla2[[#This Row],[PRECIO UNITARIO ESTIMADO]]*Tabla2[[#This Row],[CANTIDAD]]</f>
        <v>182473.2</v>
      </c>
      <c r="J50" s="23"/>
    </row>
    <row r="51" spans="1:10" ht="60.75" customHeight="1">
      <c r="A51" s="18">
        <v>42</v>
      </c>
      <c r="B51" s="54" t="s">
        <v>73</v>
      </c>
      <c r="C51" s="19" t="s">
        <v>19</v>
      </c>
      <c r="D51" s="20" t="s">
        <v>17</v>
      </c>
      <c r="E51" s="19" t="s">
        <v>74</v>
      </c>
      <c r="F51" s="21" t="s">
        <v>23</v>
      </c>
      <c r="G51" s="21">
        <v>3</v>
      </c>
      <c r="H51" s="27">
        <v>79556</v>
      </c>
      <c r="I51" s="32">
        <f>+Tabla2[[#This Row],[PRECIO UNITARIO ESTIMADO]]*Tabla2[[#This Row],[CANTIDAD]]</f>
        <v>238668</v>
      </c>
      <c r="J51" s="23"/>
    </row>
    <row r="52" spans="1:10" ht="60.75" customHeight="1">
      <c r="A52" s="18">
        <v>43</v>
      </c>
      <c r="B52" s="54" t="s">
        <v>69</v>
      </c>
      <c r="C52" s="19" t="s">
        <v>19</v>
      </c>
      <c r="D52" s="20" t="s">
        <v>17</v>
      </c>
      <c r="E52" s="19" t="s">
        <v>70</v>
      </c>
      <c r="F52" s="21" t="s">
        <v>23</v>
      </c>
      <c r="G52" s="21">
        <v>2</v>
      </c>
      <c r="H52" s="27">
        <v>131432.6</v>
      </c>
      <c r="I52" s="32">
        <f>+Tabla2[[#This Row],[PRECIO UNITARIO ESTIMADO]]*Tabla2[[#This Row],[CANTIDAD]]</f>
        <v>262865.2</v>
      </c>
      <c r="J52" s="23"/>
    </row>
    <row r="53" spans="1:10" ht="60.75" customHeight="1">
      <c r="A53" s="18">
        <v>44</v>
      </c>
      <c r="B53" s="54" t="s">
        <v>71</v>
      </c>
      <c r="C53" s="19" t="s">
        <v>19</v>
      </c>
      <c r="D53" s="20" t="s">
        <v>17</v>
      </c>
      <c r="E53" s="19" t="s">
        <v>72</v>
      </c>
      <c r="F53" s="21" t="s">
        <v>23</v>
      </c>
      <c r="G53" s="21">
        <v>2</v>
      </c>
      <c r="H53" s="27">
        <v>131432.6</v>
      </c>
      <c r="I53" s="32">
        <f>+Tabla2[[#This Row],[PRECIO UNITARIO ESTIMADO]]*Tabla2[[#This Row],[CANTIDAD]]</f>
        <v>262865.2</v>
      </c>
      <c r="J53" s="23"/>
    </row>
    <row r="54" spans="1:10" ht="60.75" customHeight="1">
      <c r="A54" s="18">
        <v>45</v>
      </c>
      <c r="B54" s="21" t="s">
        <v>56</v>
      </c>
      <c r="C54" s="19" t="s">
        <v>19</v>
      </c>
      <c r="D54" s="20" t="s">
        <v>17</v>
      </c>
      <c r="E54" s="19" t="s">
        <v>57</v>
      </c>
      <c r="F54" s="21" t="s">
        <v>23</v>
      </c>
      <c r="G54" s="21">
        <v>2</v>
      </c>
      <c r="H54" s="22">
        <v>483210</v>
      </c>
      <c r="I54" s="32">
        <f>+Tabla2[[#This Row],[PRECIO UNITARIO ESTIMADO]]*Tabla2[[#This Row],[CANTIDAD]]</f>
        <v>966420</v>
      </c>
      <c r="J54" s="23"/>
    </row>
    <row r="55" spans="1:10" ht="60.75" customHeight="1">
      <c r="A55" s="18">
        <v>46</v>
      </c>
      <c r="B55" s="21" t="s">
        <v>188</v>
      </c>
      <c r="C55" s="19" t="s">
        <v>19</v>
      </c>
      <c r="D55" s="20" t="s">
        <v>17</v>
      </c>
      <c r="E55" s="19" t="s">
        <v>189</v>
      </c>
      <c r="F55" s="21" t="s">
        <v>20</v>
      </c>
      <c r="G55" s="21">
        <v>2</v>
      </c>
      <c r="H55" s="22">
        <v>550000</v>
      </c>
      <c r="I55" s="32">
        <f>+Tabla2[[#This Row],[PRECIO UNITARIO ESTIMADO]]*Tabla2[[#This Row],[CANTIDAD]]</f>
        <v>1100000</v>
      </c>
      <c r="J55" s="23"/>
    </row>
    <row r="56" spans="1:10" ht="60.75" customHeight="1">
      <c r="A56" s="18">
        <v>47</v>
      </c>
      <c r="B56" s="21" t="s">
        <v>153</v>
      </c>
      <c r="C56" s="19" t="s">
        <v>19</v>
      </c>
      <c r="D56" s="20" t="s">
        <v>17</v>
      </c>
      <c r="E56" s="19" t="s">
        <v>154</v>
      </c>
      <c r="F56" s="28" t="s">
        <v>26</v>
      </c>
      <c r="G56" s="28">
        <v>3</v>
      </c>
      <c r="H56" s="22">
        <v>186305</v>
      </c>
      <c r="I56" s="32">
        <f>+Tabla2[[#This Row],[PRECIO UNITARIO ESTIMADO]]*Tabla2[[#This Row],[CANTIDAD]]</f>
        <v>558915</v>
      </c>
      <c r="J56" s="23"/>
    </row>
    <row r="57" spans="1:10" ht="60.75" customHeight="1">
      <c r="A57" s="18">
        <v>48</v>
      </c>
      <c r="B57" s="21" t="s">
        <v>183</v>
      </c>
      <c r="C57" s="19" t="s">
        <v>19</v>
      </c>
      <c r="D57" s="21" t="s">
        <v>17</v>
      </c>
      <c r="E57" s="19" t="s">
        <v>184</v>
      </c>
      <c r="F57" s="21" t="s">
        <v>18</v>
      </c>
      <c r="G57" s="21">
        <v>1</v>
      </c>
      <c r="H57" s="53">
        <v>350000</v>
      </c>
      <c r="I57" s="32">
        <f>+Tabla2[[#This Row],[PRECIO UNITARIO ESTIMADO]]*Tabla2[[#This Row],[CANTIDAD]]</f>
        <v>350000</v>
      </c>
      <c r="J57" s="23" t="s">
        <v>223</v>
      </c>
    </row>
    <row r="58" spans="1:10" ht="60.75" customHeight="1">
      <c r="A58" s="18">
        <v>49</v>
      </c>
      <c r="B58" s="28" t="s">
        <v>89</v>
      </c>
      <c r="C58" s="19" t="s">
        <v>19</v>
      </c>
      <c r="D58" s="20" t="s">
        <v>17</v>
      </c>
      <c r="E58" s="19" t="s">
        <v>93</v>
      </c>
      <c r="F58" s="24" t="s">
        <v>23</v>
      </c>
      <c r="G58" s="21">
        <v>10</v>
      </c>
      <c r="H58" s="22">
        <v>88410.400000000009</v>
      </c>
      <c r="I58" s="32">
        <f>+Tabla2[[#This Row],[PRECIO UNITARIO ESTIMADO]]*Tabla2[[#This Row],[CANTIDAD]]</f>
        <v>884104.00000000012</v>
      </c>
      <c r="J58" s="23"/>
    </row>
    <row r="59" spans="1:10" ht="60.75" customHeight="1">
      <c r="A59" s="18">
        <v>50</v>
      </c>
      <c r="B59" s="21" t="s">
        <v>147</v>
      </c>
      <c r="C59" s="19" t="s">
        <v>19</v>
      </c>
      <c r="D59" s="20" t="s">
        <v>17</v>
      </c>
      <c r="E59" s="19" t="s">
        <v>148</v>
      </c>
      <c r="F59" s="21" t="s">
        <v>26</v>
      </c>
      <c r="G59" s="21">
        <v>1</v>
      </c>
      <c r="H59" s="29">
        <v>89021.400000000009</v>
      </c>
      <c r="I59" s="32">
        <f>+Tabla2[[#This Row],[PRECIO UNITARIO ESTIMADO]]*Tabla2[[#This Row],[CANTIDAD]]</f>
        <v>89021.400000000009</v>
      </c>
      <c r="J59" s="23"/>
    </row>
    <row r="60" spans="1:10" ht="60.75" customHeight="1">
      <c r="A60" s="18">
        <v>51</v>
      </c>
      <c r="B60" s="18" t="s">
        <v>113</v>
      </c>
      <c r="C60" s="19" t="s">
        <v>19</v>
      </c>
      <c r="D60" s="18" t="s">
        <v>17</v>
      </c>
      <c r="E60" s="19" t="s">
        <v>133</v>
      </c>
      <c r="F60" s="18" t="s">
        <v>20</v>
      </c>
      <c r="G60" s="18">
        <v>10</v>
      </c>
      <c r="H60" s="27">
        <v>699447</v>
      </c>
      <c r="I60" s="32">
        <f>+Tabla2[[#This Row],[PRECIO UNITARIO ESTIMADO]]*Tabla2[[#This Row],[CANTIDAD]]</f>
        <v>6994470</v>
      </c>
      <c r="J60" s="21"/>
    </row>
    <row r="61" spans="1:10" ht="60.75" customHeight="1">
      <c r="A61" s="18">
        <v>52</v>
      </c>
      <c r="B61" s="18" t="s">
        <v>24</v>
      </c>
      <c r="C61" s="19" t="s">
        <v>19</v>
      </c>
      <c r="D61" s="20" t="s">
        <v>17</v>
      </c>
      <c r="E61" s="19" t="s">
        <v>25</v>
      </c>
      <c r="F61" s="25" t="s">
        <v>20</v>
      </c>
      <c r="G61" s="26">
        <v>10</v>
      </c>
      <c r="H61" s="27">
        <v>195490</v>
      </c>
      <c r="I61" s="32">
        <f>+Tabla2[[#This Row],[PRECIO UNITARIO ESTIMADO]]*Tabla2[[#This Row],[CANTIDAD]]</f>
        <v>1954900</v>
      </c>
      <c r="J61" s="21"/>
    </row>
    <row r="62" spans="1:10" ht="60.75" customHeight="1">
      <c r="A62" s="18">
        <v>53</v>
      </c>
      <c r="B62" s="18" t="s">
        <v>119</v>
      </c>
      <c r="C62" s="19" t="s">
        <v>19</v>
      </c>
      <c r="D62" s="20" t="s">
        <v>17</v>
      </c>
      <c r="E62" s="19" t="s">
        <v>120</v>
      </c>
      <c r="F62" s="21" t="s">
        <v>20</v>
      </c>
      <c r="G62" s="21">
        <v>20</v>
      </c>
      <c r="H62" s="22">
        <v>375047</v>
      </c>
      <c r="I62" s="32">
        <f>+Tabla2[[#This Row],[PRECIO UNITARIO ESTIMADO]]*Tabla2[[#This Row],[CANTIDAD]]</f>
        <v>7500940</v>
      </c>
      <c r="J62" s="23"/>
    </row>
    <row r="63" spans="1:10" ht="60.75" customHeight="1">
      <c r="A63" s="18">
        <v>54</v>
      </c>
      <c r="B63" s="18" t="s">
        <v>174</v>
      </c>
      <c r="C63" s="19" t="s">
        <v>19</v>
      </c>
      <c r="D63" s="20" t="s">
        <v>17</v>
      </c>
      <c r="E63" s="19" t="s">
        <v>187</v>
      </c>
      <c r="F63" s="21" t="s">
        <v>20</v>
      </c>
      <c r="G63" s="21">
        <v>1</v>
      </c>
      <c r="H63" s="22">
        <v>360031</v>
      </c>
      <c r="I63" s="32">
        <f>+Tabla2[[#This Row],[PRECIO UNITARIO ESTIMADO]]*Tabla2[[#This Row],[CANTIDAD]]</f>
        <v>360031</v>
      </c>
      <c r="J63" s="23"/>
    </row>
    <row r="64" spans="1:10" ht="60.75" customHeight="1">
      <c r="A64" s="18">
        <v>55</v>
      </c>
      <c r="B64" s="21" t="s">
        <v>54</v>
      </c>
      <c r="C64" s="19" t="s">
        <v>19</v>
      </c>
      <c r="D64" s="20" t="s">
        <v>17</v>
      </c>
      <c r="E64" s="57" t="s">
        <v>55</v>
      </c>
      <c r="F64" s="24" t="s">
        <v>26</v>
      </c>
      <c r="G64" s="21">
        <v>10</v>
      </c>
      <c r="H64" s="29">
        <v>87205.3</v>
      </c>
      <c r="I64" s="32">
        <f>+Tabla2[[#This Row],[PRECIO UNITARIO ESTIMADO]]*Tabla2[[#This Row],[CANTIDAD]]</f>
        <v>872053</v>
      </c>
      <c r="J64" s="58" t="s">
        <v>58</v>
      </c>
    </row>
    <row r="65" spans="1:10" ht="60.75" customHeight="1">
      <c r="A65" s="18">
        <v>56</v>
      </c>
      <c r="B65" s="18" t="s">
        <v>27</v>
      </c>
      <c r="C65" s="19" t="s">
        <v>19</v>
      </c>
      <c r="D65" s="20" t="s">
        <v>17</v>
      </c>
      <c r="E65" s="19" t="s">
        <v>28</v>
      </c>
      <c r="F65" s="18" t="s">
        <v>20</v>
      </c>
      <c r="G65" s="18">
        <v>10</v>
      </c>
      <c r="H65" s="27">
        <v>218624</v>
      </c>
      <c r="I65" s="32">
        <f>+Tabla2[[#This Row],[PRECIO UNITARIO ESTIMADO]]*Tabla2[[#This Row],[CANTIDAD]]</f>
        <v>2186240</v>
      </c>
      <c r="J65" s="21"/>
    </row>
    <row r="66" spans="1:10" ht="60.75" customHeight="1">
      <c r="A66" s="18">
        <v>57</v>
      </c>
      <c r="B66" s="21" t="s">
        <v>175</v>
      </c>
      <c r="C66" s="19" t="s">
        <v>19</v>
      </c>
      <c r="D66" s="20" t="s">
        <v>17</v>
      </c>
      <c r="E66" s="19" t="s">
        <v>176</v>
      </c>
      <c r="F66" s="21" t="s">
        <v>26</v>
      </c>
      <c r="G66" s="21">
        <v>1</v>
      </c>
      <c r="H66" s="22">
        <v>16416</v>
      </c>
      <c r="I66" s="32">
        <f>+Tabla2[[#This Row],[PRECIO UNITARIO ESTIMADO]]*Tabla2[[#This Row],[CANTIDAD]]</f>
        <v>16416</v>
      </c>
      <c r="J66" s="23"/>
    </row>
    <row r="67" spans="1:10" ht="60.75" customHeight="1">
      <c r="A67" s="18">
        <v>58</v>
      </c>
      <c r="B67" s="21" t="s">
        <v>79</v>
      </c>
      <c r="C67" s="19" t="s">
        <v>19</v>
      </c>
      <c r="D67" s="20" t="s">
        <v>17</v>
      </c>
      <c r="E67" s="19" t="s">
        <v>80</v>
      </c>
      <c r="F67" s="21" t="s">
        <v>18</v>
      </c>
      <c r="G67" s="21">
        <v>15</v>
      </c>
      <c r="H67" s="29">
        <v>297660</v>
      </c>
      <c r="I67" s="32">
        <f>+Tabla2[[#This Row],[PRECIO UNITARIO ESTIMADO]]*Tabla2[[#This Row],[CANTIDAD]]</f>
        <v>4464900</v>
      </c>
      <c r="J67" s="23"/>
    </row>
    <row r="68" spans="1:10" ht="60.75" customHeight="1">
      <c r="A68" s="18">
        <v>59</v>
      </c>
      <c r="B68" s="28" t="s">
        <v>90</v>
      </c>
      <c r="C68" s="19" t="s">
        <v>19</v>
      </c>
      <c r="D68" s="20" t="s">
        <v>17</v>
      </c>
      <c r="E68" s="19" t="s">
        <v>94</v>
      </c>
      <c r="F68" s="24" t="s">
        <v>18</v>
      </c>
      <c r="G68" s="21">
        <v>3</v>
      </c>
      <c r="H68" s="22">
        <v>126830</v>
      </c>
      <c r="I68" s="32">
        <f>+Tabla2[[#This Row],[PRECIO UNITARIO ESTIMADO]]*Tabla2[[#This Row],[CANTIDAD]]</f>
        <v>380490</v>
      </c>
      <c r="J68" s="23"/>
    </row>
    <row r="69" spans="1:10" ht="60.75" customHeight="1">
      <c r="A69" s="18">
        <v>60</v>
      </c>
      <c r="B69" s="21" t="s">
        <v>81</v>
      </c>
      <c r="C69" s="19" t="s">
        <v>19</v>
      </c>
      <c r="D69" s="20" t="s">
        <v>17</v>
      </c>
      <c r="E69" s="19" t="s">
        <v>82</v>
      </c>
      <c r="F69" s="21" t="s">
        <v>18</v>
      </c>
      <c r="G69" s="21">
        <v>7</v>
      </c>
      <c r="H69" s="29">
        <v>563164</v>
      </c>
      <c r="I69" s="32">
        <f>+Tabla2[[#This Row],[PRECIO UNITARIO ESTIMADO]]*Tabla2[[#This Row],[CANTIDAD]]</f>
        <v>3942148</v>
      </c>
      <c r="J69" s="23" t="s">
        <v>58</v>
      </c>
    </row>
    <row r="70" spans="1:10" ht="60.75" customHeight="1">
      <c r="A70" s="18">
        <v>61</v>
      </c>
      <c r="B70" s="18" t="s">
        <v>118</v>
      </c>
      <c r="C70" s="19" t="s">
        <v>19</v>
      </c>
      <c r="D70" s="20" t="s">
        <v>17</v>
      </c>
      <c r="E70" s="19" t="s">
        <v>134</v>
      </c>
      <c r="F70" s="21" t="s">
        <v>18</v>
      </c>
      <c r="G70" s="21">
        <v>1</v>
      </c>
      <c r="H70" s="22">
        <v>754960</v>
      </c>
      <c r="I70" s="32">
        <f>+Tabla2[[#This Row],[PRECIO UNITARIO ESTIMADO]]*Tabla2[[#This Row],[CANTIDAD]]</f>
        <v>754960</v>
      </c>
      <c r="J70" s="23"/>
    </row>
    <row r="71" spans="1:10" ht="60.75" customHeight="1">
      <c r="A71" s="18">
        <v>62</v>
      </c>
      <c r="B71" s="18" t="s">
        <v>116</v>
      </c>
      <c r="C71" s="19" t="s">
        <v>19</v>
      </c>
      <c r="D71" s="20" t="s">
        <v>17</v>
      </c>
      <c r="E71" s="19" t="s">
        <v>117</v>
      </c>
      <c r="F71" s="21" t="s">
        <v>20</v>
      </c>
      <c r="G71" s="21">
        <v>2</v>
      </c>
      <c r="H71" s="27">
        <v>391237</v>
      </c>
      <c r="I71" s="32">
        <f>+Tabla2[[#This Row],[PRECIO UNITARIO ESTIMADO]]*Tabla2[[#This Row],[CANTIDAD]]</f>
        <v>782474</v>
      </c>
      <c r="J71" s="23"/>
    </row>
    <row r="72" spans="1:10" ht="60.75" customHeight="1">
      <c r="A72" s="18">
        <v>63</v>
      </c>
      <c r="B72" s="18" t="s">
        <v>31</v>
      </c>
      <c r="C72" s="19" t="s">
        <v>19</v>
      </c>
      <c r="D72" s="20" t="s">
        <v>17</v>
      </c>
      <c r="E72" s="19" t="s">
        <v>32</v>
      </c>
      <c r="F72" s="18" t="s">
        <v>18</v>
      </c>
      <c r="G72" s="18">
        <v>3</v>
      </c>
      <c r="H72" s="27">
        <v>641459</v>
      </c>
      <c r="I72" s="32">
        <f>+Tabla2[[#This Row],[PRECIO UNITARIO ESTIMADO]]*Tabla2[[#This Row],[CANTIDAD]]</f>
        <v>1924377</v>
      </c>
      <c r="J72" s="21"/>
    </row>
    <row r="73" spans="1:10" ht="60.75" customHeight="1">
      <c r="A73" s="18">
        <v>64</v>
      </c>
      <c r="B73" s="18" t="s">
        <v>151</v>
      </c>
      <c r="C73" s="19" t="s">
        <v>19</v>
      </c>
      <c r="D73" s="20" t="s">
        <v>17</v>
      </c>
      <c r="E73" s="19" t="s">
        <v>152</v>
      </c>
      <c r="F73" s="25" t="s">
        <v>20</v>
      </c>
      <c r="G73" s="26">
        <v>1</v>
      </c>
      <c r="H73" s="27">
        <v>4802274</v>
      </c>
      <c r="I73" s="32">
        <f>+Tabla2[[#This Row],[PRECIO UNITARIO ESTIMADO]]*Tabla2[[#This Row],[CANTIDAD]]</f>
        <v>4802274</v>
      </c>
      <c r="J73" s="21"/>
    </row>
    <row r="74" spans="1:10" ht="60.75" customHeight="1">
      <c r="A74" s="18">
        <v>65</v>
      </c>
      <c r="B74" s="21" t="s">
        <v>105</v>
      </c>
      <c r="C74" s="19" t="s">
        <v>19</v>
      </c>
      <c r="D74" s="20" t="s">
        <v>17</v>
      </c>
      <c r="E74" s="19" t="s">
        <v>106</v>
      </c>
      <c r="F74" s="21" t="s">
        <v>18</v>
      </c>
      <c r="G74" s="21">
        <v>1</v>
      </c>
      <c r="H74" s="22">
        <v>653224</v>
      </c>
      <c r="I74" s="32">
        <f>+Tabla2[[#This Row],[PRECIO UNITARIO ESTIMADO]]*Tabla2[[#This Row],[CANTIDAD]]</f>
        <v>653224</v>
      </c>
      <c r="J74" s="23"/>
    </row>
    <row r="75" spans="1:10" ht="60.75" customHeight="1">
      <c r="A75" s="18">
        <v>66</v>
      </c>
      <c r="B75" s="21" t="s">
        <v>61</v>
      </c>
      <c r="C75" s="19" t="s">
        <v>19</v>
      </c>
      <c r="D75" s="20" t="s">
        <v>17</v>
      </c>
      <c r="E75" s="19" t="s">
        <v>62</v>
      </c>
      <c r="F75" s="28" t="s">
        <v>20</v>
      </c>
      <c r="G75" s="28">
        <v>8</v>
      </c>
      <c r="H75" s="27">
        <v>164546</v>
      </c>
      <c r="I75" s="32">
        <f>+Tabla2[[#This Row],[PRECIO UNITARIO ESTIMADO]]*Tabla2[[#This Row],[CANTIDAD]]</f>
        <v>1316368</v>
      </c>
      <c r="J75" s="21"/>
    </row>
    <row r="76" spans="1:10" ht="60.75" customHeight="1">
      <c r="A76" s="18">
        <v>67</v>
      </c>
      <c r="B76" s="21" t="s">
        <v>63</v>
      </c>
      <c r="C76" s="19" t="s">
        <v>19</v>
      </c>
      <c r="D76" s="20" t="s">
        <v>17</v>
      </c>
      <c r="E76" s="19" t="s">
        <v>64</v>
      </c>
      <c r="F76" s="18" t="s">
        <v>20</v>
      </c>
      <c r="G76" s="18">
        <v>2</v>
      </c>
      <c r="H76" s="27">
        <v>67792.400000000009</v>
      </c>
      <c r="I76" s="32">
        <f>+Tabla2[[#This Row],[PRECIO UNITARIO ESTIMADO]]*Tabla2[[#This Row],[CANTIDAD]]</f>
        <v>135584.80000000002</v>
      </c>
      <c r="J76" s="21"/>
    </row>
    <row r="77" spans="1:10" ht="60.75" customHeight="1">
      <c r="A77" s="18">
        <v>68</v>
      </c>
      <c r="B77" s="54" t="s">
        <v>66</v>
      </c>
      <c r="C77" s="19" t="s">
        <v>19</v>
      </c>
      <c r="D77" s="20" t="s">
        <v>17</v>
      </c>
      <c r="E77" s="19" t="s">
        <v>65</v>
      </c>
      <c r="F77" s="18" t="s">
        <v>20</v>
      </c>
      <c r="G77" s="18">
        <v>15</v>
      </c>
      <c r="H77" s="27">
        <v>118211.6</v>
      </c>
      <c r="I77" s="32">
        <f>+Tabla2[[#This Row],[PRECIO UNITARIO ESTIMADO]]*Tabla2[[#This Row],[CANTIDAD]]</f>
        <v>1773174</v>
      </c>
      <c r="J77" s="21"/>
    </row>
    <row r="78" spans="1:10" ht="60.75" customHeight="1">
      <c r="A78" s="18">
        <v>69</v>
      </c>
      <c r="B78" s="21" t="s">
        <v>67</v>
      </c>
      <c r="C78" s="19" t="s">
        <v>19</v>
      </c>
      <c r="D78" s="20" t="s">
        <v>17</v>
      </c>
      <c r="E78" s="19" t="s">
        <v>68</v>
      </c>
      <c r="F78" s="18" t="s">
        <v>20</v>
      </c>
      <c r="G78" s="18">
        <v>7</v>
      </c>
      <c r="H78" s="27">
        <v>166405.20000000001</v>
      </c>
      <c r="I78" s="32">
        <f>+Tabla2[[#This Row],[PRECIO UNITARIO ESTIMADO]]*Tabla2[[#This Row],[CANTIDAD]]</f>
        <v>1164836.4000000001</v>
      </c>
      <c r="J78" s="21"/>
    </row>
    <row r="79" spans="1:10" ht="60.75" customHeight="1">
      <c r="A79" s="18">
        <v>70</v>
      </c>
      <c r="B79" s="63" t="s">
        <v>229</v>
      </c>
      <c r="C79" s="19" t="s">
        <v>19</v>
      </c>
      <c r="D79" s="30" t="s">
        <v>17</v>
      </c>
      <c r="E79" s="64" t="s">
        <v>228</v>
      </c>
      <c r="F79" s="21" t="s">
        <v>18</v>
      </c>
      <c r="G79" s="21">
        <v>10</v>
      </c>
      <c r="H79" s="22">
        <v>340736</v>
      </c>
      <c r="I79" s="32">
        <f>+Tabla2[[#This Row],[PRECIO UNITARIO ESTIMADO]]*Tabla2[[#This Row],[CANTIDAD]]</f>
        <v>3407360</v>
      </c>
      <c r="J79" s="23" t="s">
        <v>227</v>
      </c>
    </row>
    <row r="80" spans="1:10" ht="60.75" customHeight="1">
      <c r="A80" s="18">
        <v>71</v>
      </c>
      <c r="B80" s="21" t="s">
        <v>193</v>
      </c>
      <c r="C80" s="19" t="s">
        <v>19</v>
      </c>
      <c r="D80" s="20" t="s">
        <v>17</v>
      </c>
      <c r="E80" s="52" t="s">
        <v>194</v>
      </c>
      <c r="F80" s="21" t="s">
        <v>20</v>
      </c>
      <c r="G80" s="21">
        <v>2</v>
      </c>
      <c r="H80" s="22">
        <v>489575</v>
      </c>
      <c r="I80" s="32">
        <f>+Tabla2[[#This Row],[PRECIO UNITARIO ESTIMADO]]*Tabla2[[#This Row],[CANTIDAD]]</f>
        <v>979150</v>
      </c>
      <c r="J80" s="23"/>
    </row>
    <row r="81" spans="1:10" ht="60.75" customHeight="1">
      <c r="A81" s="18">
        <v>72</v>
      </c>
      <c r="B81" s="21" t="s">
        <v>195</v>
      </c>
      <c r="C81" s="19" t="s">
        <v>19</v>
      </c>
      <c r="D81" s="20" t="s">
        <v>17</v>
      </c>
      <c r="E81" s="56" t="s">
        <v>196</v>
      </c>
      <c r="F81" s="21" t="s">
        <v>20</v>
      </c>
      <c r="G81" s="21">
        <v>1</v>
      </c>
      <c r="H81" s="22">
        <v>292614</v>
      </c>
      <c r="I81" s="32">
        <f>+Tabla2[[#This Row],[PRECIO UNITARIO ESTIMADO]]*Tabla2[[#This Row],[CANTIDAD]]</f>
        <v>292614</v>
      </c>
      <c r="J81" s="23"/>
    </row>
    <row r="82" spans="1:10" ht="60.75" customHeight="1">
      <c r="A82" s="18">
        <v>73</v>
      </c>
      <c r="B82" s="21" t="s">
        <v>197</v>
      </c>
      <c r="C82" s="19" t="s">
        <v>19</v>
      </c>
      <c r="D82" s="20" t="s">
        <v>17</v>
      </c>
      <c r="E82" s="19" t="s">
        <v>198</v>
      </c>
      <c r="F82" s="21" t="s">
        <v>20</v>
      </c>
      <c r="G82" s="21">
        <v>1</v>
      </c>
      <c r="H82" s="22">
        <v>211992</v>
      </c>
      <c r="I82" s="32">
        <f>+Tabla2[[#This Row],[PRECIO UNITARIO ESTIMADO]]*Tabla2[[#This Row],[CANTIDAD]]</f>
        <v>211992</v>
      </c>
      <c r="J82" s="23"/>
    </row>
    <row r="83" spans="1:10" ht="60.75" customHeight="1">
      <c r="A83" s="18">
        <v>74</v>
      </c>
      <c r="B83" s="18" t="s">
        <v>215</v>
      </c>
      <c r="C83" s="19" t="s">
        <v>19</v>
      </c>
      <c r="D83" s="20" t="s">
        <v>17</v>
      </c>
      <c r="E83" s="19" t="s">
        <v>216</v>
      </c>
      <c r="F83" s="21" t="s">
        <v>128</v>
      </c>
      <c r="G83" s="21">
        <v>1</v>
      </c>
      <c r="H83" s="22">
        <v>110570</v>
      </c>
      <c r="I83" s="32">
        <f>+Tabla2[[#This Row],[PRECIO UNITARIO ESTIMADO]]*Tabla2[[#This Row],[CANTIDAD]]</f>
        <v>110570</v>
      </c>
      <c r="J83" s="23"/>
    </row>
    <row r="84" spans="1:10" ht="60.75" customHeight="1">
      <c r="A84" s="18">
        <v>75</v>
      </c>
      <c r="B84" s="21" t="s">
        <v>199</v>
      </c>
      <c r="C84" s="19" t="s">
        <v>19</v>
      </c>
      <c r="D84" s="20" t="s">
        <v>17</v>
      </c>
      <c r="E84" s="19" t="s">
        <v>200</v>
      </c>
      <c r="F84" s="21" t="s">
        <v>20</v>
      </c>
      <c r="G84" s="21">
        <v>10</v>
      </c>
      <c r="H84" s="22">
        <v>62000</v>
      </c>
      <c r="I84" s="32">
        <f>+Tabla2[[#This Row],[PRECIO UNITARIO ESTIMADO]]*Tabla2[[#This Row],[CANTIDAD]]</f>
        <v>620000</v>
      </c>
      <c r="J84" s="23"/>
    </row>
    <row r="85" spans="1:10" ht="60.75" customHeight="1">
      <c r="A85" s="18">
        <v>76</v>
      </c>
      <c r="B85" s="18" t="s">
        <v>213</v>
      </c>
      <c r="C85" s="19" t="s">
        <v>19</v>
      </c>
      <c r="D85" s="20" t="s">
        <v>17</v>
      </c>
      <c r="E85" s="19" t="s">
        <v>214</v>
      </c>
      <c r="F85" s="21" t="s">
        <v>128</v>
      </c>
      <c r="G85" s="21">
        <v>1</v>
      </c>
      <c r="H85" s="22">
        <v>106178</v>
      </c>
      <c r="I85" s="32">
        <f>+Tabla2[[#This Row],[PRECIO UNITARIO ESTIMADO]]*Tabla2[[#This Row],[CANTIDAD]]</f>
        <v>106178</v>
      </c>
      <c r="J85" s="23"/>
    </row>
    <row r="86" spans="1:10" ht="60.75" customHeight="1">
      <c r="A86" s="18">
        <v>77</v>
      </c>
      <c r="B86" s="21" t="s">
        <v>201</v>
      </c>
      <c r="C86" s="19" t="s">
        <v>19</v>
      </c>
      <c r="D86" s="20" t="s">
        <v>17</v>
      </c>
      <c r="E86" s="19" t="s">
        <v>202</v>
      </c>
      <c r="F86" s="21" t="s">
        <v>20</v>
      </c>
      <c r="G86" s="21">
        <v>1</v>
      </c>
      <c r="H86" s="22">
        <v>34049</v>
      </c>
      <c r="I86" s="32">
        <f>+Tabla2[[#This Row],[PRECIO UNITARIO ESTIMADO]]*Tabla2[[#This Row],[CANTIDAD]]</f>
        <v>34049</v>
      </c>
      <c r="J86" s="23"/>
    </row>
    <row r="87" spans="1:10" ht="60.75" customHeight="1">
      <c r="A87" s="18">
        <v>78</v>
      </c>
      <c r="B87" s="21" t="s">
        <v>203</v>
      </c>
      <c r="C87" s="19" t="s">
        <v>19</v>
      </c>
      <c r="D87" s="20" t="s">
        <v>17</v>
      </c>
      <c r="E87" s="19" t="s">
        <v>204</v>
      </c>
      <c r="F87" s="21" t="s">
        <v>20</v>
      </c>
      <c r="G87" s="21">
        <v>1</v>
      </c>
      <c r="H87" s="22">
        <v>203316</v>
      </c>
      <c r="I87" s="32">
        <f>+Tabla2[[#This Row],[PRECIO UNITARIO ESTIMADO]]*Tabla2[[#This Row],[CANTIDAD]]</f>
        <v>203316</v>
      </c>
      <c r="J87" s="23"/>
    </row>
    <row r="88" spans="1:10" ht="60.75" customHeight="1">
      <c r="A88" s="18">
        <v>79</v>
      </c>
      <c r="B88" s="18" t="s">
        <v>33</v>
      </c>
      <c r="C88" s="19" t="s">
        <v>19</v>
      </c>
      <c r="D88" s="20" t="s">
        <v>17</v>
      </c>
      <c r="E88" s="19" t="s">
        <v>34</v>
      </c>
      <c r="F88" s="18" t="s">
        <v>20</v>
      </c>
      <c r="G88" s="18">
        <v>15</v>
      </c>
      <c r="H88" s="27">
        <v>16639</v>
      </c>
      <c r="I88" s="32">
        <f>+Tabla2[[#This Row],[PRECIO UNITARIO ESTIMADO]]*Tabla2[[#This Row],[CANTIDAD]]</f>
        <v>249585</v>
      </c>
      <c r="J88" s="21"/>
    </row>
    <row r="89" spans="1:10" ht="60.75" customHeight="1">
      <c r="A89" s="18">
        <v>80</v>
      </c>
      <c r="B89" s="21" t="s">
        <v>205</v>
      </c>
      <c r="C89" s="19" t="s">
        <v>19</v>
      </c>
      <c r="D89" s="20" t="s">
        <v>17</v>
      </c>
      <c r="E89" s="52" t="s">
        <v>206</v>
      </c>
      <c r="F89" s="21" t="s">
        <v>20</v>
      </c>
      <c r="G89" s="21">
        <v>1</v>
      </c>
      <c r="H89" s="22">
        <v>32670</v>
      </c>
      <c r="I89" s="32">
        <f>+Tabla2[[#This Row],[PRECIO UNITARIO ESTIMADO]]*Tabla2[[#This Row],[CANTIDAD]]</f>
        <v>32670</v>
      </c>
      <c r="J89" s="23"/>
    </row>
    <row r="90" spans="1:10" ht="60.75" customHeight="1">
      <c r="A90" s="18">
        <v>81</v>
      </c>
      <c r="B90" s="21" t="s">
        <v>207</v>
      </c>
      <c r="C90" s="19" t="s">
        <v>19</v>
      </c>
      <c r="D90" s="20" t="s">
        <v>17</v>
      </c>
      <c r="E90" s="19" t="s">
        <v>208</v>
      </c>
      <c r="F90" s="21" t="s">
        <v>20</v>
      </c>
      <c r="G90" s="21">
        <v>2</v>
      </c>
      <c r="H90" s="22">
        <v>200000</v>
      </c>
      <c r="I90" s="32">
        <f>+Tabla2[[#This Row],[PRECIO UNITARIO ESTIMADO]]*Tabla2[[#This Row],[CANTIDAD]]</f>
        <v>400000</v>
      </c>
      <c r="J90" s="23"/>
    </row>
    <row r="91" spans="1:10" ht="60.75" customHeight="1">
      <c r="A91" s="18">
        <v>82</v>
      </c>
      <c r="B91" s="21" t="s">
        <v>209</v>
      </c>
      <c r="C91" s="19" t="s">
        <v>19</v>
      </c>
      <c r="D91" s="20" t="s">
        <v>17</v>
      </c>
      <c r="E91" s="19" t="s">
        <v>210</v>
      </c>
      <c r="F91" s="21" t="s">
        <v>20</v>
      </c>
      <c r="G91" s="21">
        <v>2</v>
      </c>
      <c r="H91" s="22">
        <v>31000</v>
      </c>
      <c r="I91" s="32">
        <f>+Tabla2[[#This Row],[PRECIO UNITARIO ESTIMADO]]*Tabla2[[#This Row],[CANTIDAD]]</f>
        <v>62000</v>
      </c>
      <c r="J91" s="23"/>
    </row>
    <row r="92" spans="1:10" ht="60.75" customHeight="1">
      <c r="A92" s="18">
        <v>83</v>
      </c>
      <c r="B92" s="55" t="s">
        <v>111</v>
      </c>
      <c r="C92" s="19" t="s">
        <v>19</v>
      </c>
      <c r="D92" s="20" t="s">
        <v>17</v>
      </c>
      <c r="E92" s="19" t="s">
        <v>112</v>
      </c>
      <c r="F92" s="18" t="s">
        <v>20</v>
      </c>
      <c r="G92" s="18">
        <v>1</v>
      </c>
      <c r="H92" s="29">
        <v>100174</v>
      </c>
      <c r="I92" s="32">
        <f>+Tabla2[[#This Row],[PRECIO UNITARIO ESTIMADO]]*Tabla2[[#This Row],[CANTIDAD]]</f>
        <v>100174</v>
      </c>
      <c r="J92" s="23"/>
    </row>
    <row r="93" spans="1:10" ht="60.75" customHeight="1">
      <c r="A93" s="18">
        <v>84</v>
      </c>
      <c r="B93" s="59" t="s">
        <v>226</v>
      </c>
      <c r="C93" s="19" t="s">
        <v>19</v>
      </c>
      <c r="D93" s="30" t="s">
        <v>17</v>
      </c>
      <c r="E93" s="60" t="s">
        <v>225</v>
      </c>
      <c r="F93" s="59" t="s">
        <v>224</v>
      </c>
      <c r="G93" s="59">
        <v>10</v>
      </c>
      <c r="H93" s="22">
        <v>549824</v>
      </c>
      <c r="I93" s="32">
        <f>+Tabla2[[#This Row],[PRECIO UNITARIO ESTIMADO]]*Tabla2[[#This Row],[CANTIDAD]]</f>
        <v>5498240</v>
      </c>
      <c r="J93" s="23" t="s">
        <v>227</v>
      </c>
    </row>
    <row r="94" spans="1:10" ht="60.75" customHeight="1">
      <c r="A94" s="18">
        <v>85</v>
      </c>
      <c r="B94" s="55" t="s">
        <v>121</v>
      </c>
      <c r="C94" s="19" t="s">
        <v>19</v>
      </c>
      <c r="D94" s="20" t="s">
        <v>17</v>
      </c>
      <c r="E94" s="19" t="s">
        <v>122</v>
      </c>
      <c r="F94" s="18" t="s">
        <v>20</v>
      </c>
      <c r="G94" s="18">
        <v>15</v>
      </c>
      <c r="H94" s="27">
        <v>17260</v>
      </c>
      <c r="I94" s="32">
        <f>+Tabla2[[#This Row],[PRECIO UNITARIO ESTIMADO]]*Tabla2[[#This Row],[CANTIDAD]]</f>
        <v>258900</v>
      </c>
      <c r="J94" s="28" t="s">
        <v>123</v>
      </c>
    </row>
    <row r="95" spans="1:10" ht="60.75" customHeight="1">
      <c r="A95" s="18">
        <v>86</v>
      </c>
      <c r="B95" s="21" t="s">
        <v>52</v>
      </c>
      <c r="C95" s="19" t="s">
        <v>19</v>
      </c>
      <c r="D95" s="30" t="s">
        <v>17</v>
      </c>
      <c r="E95" s="19" t="s">
        <v>53</v>
      </c>
      <c r="F95" s="33" t="s">
        <v>20</v>
      </c>
      <c r="G95" s="21">
        <v>3</v>
      </c>
      <c r="H95" s="22">
        <v>310891</v>
      </c>
      <c r="I95" s="32">
        <f>+Tabla2[[#This Row],[PRECIO UNITARIO ESTIMADO]]*Tabla2[[#This Row],[CANTIDAD]]</f>
        <v>932673</v>
      </c>
      <c r="J95" s="23" t="s">
        <v>51</v>
      </c>
    </row>
    <row r="96" spans="1:10" ht="60.75" customHeight="1">
      <c r="A96" s="18">
        <v>87</v>
      </c>
      <c r="B96" s="54" t="s">
        <v>88</v>
      </c>
      <c r="C96" s="19" t="s">
        <v>19</v>
      </c>
      <c r="D96" s="20" t="s">
        <v>17</v>
      </c>
      <c r="E96" s="19" t="s">
        <v>92</v>
      </c>
      <c r="F96" s="21" t="s">
        <v>20</v>
      </c>
      <c r="G96" s="21">
        <v>13</v>
      </c>
      <c r="H96" s="27">
        <v>23583.3</v>
      </c>
      <c r="I96" s="32">
        <f>+Tabla2[[#This Row],[PRECIO UNITARIO ESTIMADO]]*Tabla2[[#This Row],[CANTIDAD]]</f>
        <v>306582.89999999997</v>
      </c>
      <c r="J96" s="23"/>
    </row>
    <row r="97" spans="1:10" ht="60.75" customHeight="1">
      <c r="A97" s="18">
        <v>88</v>
      </c>
      <c r="B97" s="21" t="s">
        <v>77</v>
      </c>
      <c r="C97" s="19" t="s">
        <v>19</v>
      </c>
      <c r="D97" s="30" t="s">
        <v>17</v>
      </c>
      <c r="E97" s="19" t="s">
        <v>78</v>
      </c>
      <c r="F97" s="33" t="s">
        <v>128</v>
      </c>
      <c r="G97" s="21">
        <v>10</v>
      </c>
      <c r="H97" s="32">
        <v>46853</v>
      </c>
      <c r="I97" s="32">
        <f>+Tabla2[[#This Row],[PRECIO UNITARIO ESTIMADO]]*Tabla2[[#This Row],[CANTIDAD]]</f>
        <v>468530</v>
      </c>
      <c r="J97" s="23"/>
    </row>
    <row r="98" spans="1:10" ht="60.75" customHeight="1">
      <c r="A98" s="18">
        <v>89</v>
      </c>
      <c r="B98" s="21" t="s">
        <v>211</v>
      </c>
      <c r="C98" s="19" t="s">
        <v>19</v>
      </c>
      <c r="D98" s="20" t="s">
        <v>17</v>
      </c>
      <c r="E98" s="19" t="s">
        <v>212</v>
      </c>
      <c r="F98" s="21" t="s">
        <v>20</v>
      </c>
      <c r="G98" s="21">
        <v>1</v>
      </c>
      <c r="H98" s="22">
        <v>40838</v>
      </c>
      <c r="I98" s="32">
        <f>+Tabla2[[#This Row],[PRECIO UNITARIO ESTIMADO]]*Tabla2[[#This Row],[CANTIDAD]]</f>
        <v>40838</v>
      </c>
      <c r="J98" s="23"/>
    </row>
    <row r="99" spans="1:10" ht="60.75" customHeight="1">
      <c r="A99" s="18">
        <v>90</v>
      </c>
      <c r="B99" s="21" t="s">
        <v>191</v>
      </c>
      <c r="C99" s="19" t="s">
        <v>19</v>
      </c>
      <c r="D99" s="20" t="s">
        <v>17</v>
      </c>
      <c r="E99" s="19" t="s">
        <v>192</v>
      </c>
      <c r="F99" s="21" t="s">
        <v>190</v>
      </c>
      <c r="G99" s="21">
        <v>3</v>
      </c>
      <c r="H99" s="22">
        <v>115669</v>
      </c>
      <c r="I99" s="32">
        <f>+Tabla2[[#This Row],[PRECIO UNITARIO ESTIMADO]]*Tabla2[[#This Row],[CANTIDAD]]</f>
        <v>347007</v>
      </c>
      <c r="J99" s="23"/>
    </row>
    <row r="100" spans="1:10" s="5" customFormat="1" ht="60.75" customHeight="1">
      <c r="A100" s="18"/>
      <c r="B100" s="61" t="s">
        <v>169</v>
      </c>
      <c r="C100" s="19"/>
      <c r="D100" s="20"/>
      <c r="E100" s="19"/>
      <c r="F100" s="21"/>
      <c r="G100" s="21"/>
      <c r="H100" s="22"/>
      <c r="I100" s="62">
        <v>90774605.000000015</v>
      </c>
      <c r="J100" s="23"/>
    </row>
    <row r="101" spans="1:10" s="5" customFormat="1" ht="58.5" customHeight="1" thickBot="1">
      <c r="A101" s="35"/>
      <c r="B101" s="35"/>
      <c r="C101" s="91" t="s">
        <v>217</v>
      </c>
      <c r="D101" s="91"/>
      <c r="E101" s="91"/>
      <c r="F101" s="35"/>
      <c r="G101" s="35"/>
      <c r="H101" s="36"/>
      <c r="I101" s="1"/>
      <c r="J101" s="37"/>
    </row>
    <row r="102" spans="1:10" ht="60.75" hidden="1" customHeight="1" thickBot="1">
      <c r="A102" s="12"/>
      <c r="C102" s="34" t="s">
        <v>168</v>
      </c>
      <c r="J102" s="11"/>
    </row>
    <row r="103" spans="1:10" ht="15">
      <c r="C103" s="13"/>
      <c r="D103" s="14"/>
      <c r="E103" s="14"/>
      <c r="F103" s="15"/>
    </row>
    <row r="104" spans="1:10" ht="15">
      <c r="C104" s="82" t="s">
        <v>98</v>
      </c>
      <c r="D104" s="83"/>
      <c r="E104" s="83"/>
      <c r="F104" s="84"/>
    </row>
    <row r="105" spans="1:10" ht="42.75" customHeight="1">
      <c r="C105" s="76" t="s">
        <v>104</v>
      </c>
      <c r="D105" s="77"/>
      <c r="E105" s="77"/>
      <c r="F105" s="78"/>
    </row>
    <row r="106" spans="1:10" ht="45.75" customHeight="1">
      <c r="C106" s="76" t="s">
        <v>99</v>
      </c>
      <c r="D106" s="77"/>
      <c r="E106" s="77"/>
      <c r="F106" s="78"/>
    </row>
    <row r="107" spans="1:10" ht="37.5" customHeight="1">
      <c r="C107" s="76" t="s">
        <v>100</v>
      </c>
      <c r="D107" s="77"/>
      <c r="E107" s="77"/>
      <c r="F107" s="78"/>
    </row>
    <row r="108" spans="1:10" ht="26.25" customHeight="1">
      <c r="C108" s="79" t="s">
        <v>221</v>
      </c>
      <c r="D108" s="80"/>
      <c r="E108" s="80"/>
      <c r="F108" s="81"/>
      <c r="G108" s="65"/>
      <c r="H108" s="66"/>
      <c r="I108" s="66"/>
    </row>
    <row r="109" spans="1:10" ht="26.25" customHeight="1">
      <c r="C109" s="70" t="s">
        <v>101</v>
      </c>
      <c r="D109" s="71"/>
      <c r="E109" s="71"/>
      <c r="F109" s="72"/>
    </row>
    <row r="110" spans="1:10" ht="15">
      <c r="C110" s="70" t="s">
        <v>102</v>
      </c>
      <c r="D110" s="71"/>
      <c r="E110" s="71"/>
      <c r="F110" s="72"/>
    </row>
    <row r="111" spans="1:10" ht="15">
      <c r="C111" s="67"/>
      <c r="D111" s="68"/>
      <c r="E111" s="68"/>
      <c r="F111" s="69"/>
    </row>
    <row r="112" spans="1:10" ht="15">
      <c r="C112" s="70" t="s">
        <v>103</v>
      </c>
      <c r="D112" s="71"/>
      <c r="E112" s="71"/>
      <c r="F112" s="72"/>
    </row>
    <row r="113" spans="1:10" ht="16.5" thickBot="1">
      <c r="C113" s="73"/>
      <c r="D113" s="74"/>
      <c r="E113" s="74"/>
      <c r="F113" s="75"/>
      <c r="I113" s="16"/>
    </row>
    <row r="114" spans="1:10" ht="15.75">
      <c r="I114" s="16"/>
    </row>
    <row r="115" spans="1:10" ht="16.5" thickBot="1">
      <c r="I115" s="16"/>
    </row>
    <row r="116" spans="1:10" ht="0.75" customHeight="1">
      <c r="A116" s="49"/>
      <c r="B116" s="42"/>
      <c r="C116" s="8"/>
      <c r="D116" s="8"/>
      <c r="E116" s="8"/>
      <c r="F116" s="8"/>
      <c r="G116" s="8"/>
      <c r="H116" s="8"/>
      <c r="I116" s="43"/>
    </row>
    <row r="117" spans="1:10" ht="15.75">
      <c r="A117" s="50" t="s">
        <v>83</v>
      </c>
      <c r="B117" s="47"/>
      <c r="C117" s="41"/>
      <c r="D117" s="41"/>
      <c r="E117" s="41"/>
      <c r="F117" s="41"/>
      <c r="G117" s="41"/>
      <c r="H117" s="41"/>
      <c r="I117" s="44"/>
      <c r="J117" s="41"/>
    </row>
    <row r="118" spans="1:10" ht="15.75">
      <c r="A118" s="9" t="s">
        <v>84</v>
      </c>
      <c r="B118" s="47"/>
      <c r="C118" s="41"/>
      <c r="D118" s="41"/>
      <c r="E118" s="41"/>
      <c r="F118" s="41"/>
      <c r="G118" s="41"/>
      <c r="H118" s="41"/>
      <c r="I118" s="44"/>
      <c r="J118" s="41"/>
    </row>
    <row r="119" spans="1:10" ht="15.75">
      <c r="A119" s="9" t="s">
        <v>85</v>
      </c>
      <c r="B119" s="47"/>
      <c r="C119" s="41"/>
      <c r="D119" s="41"/>
      <c r="E119" s="41"/>
      <c r="F119" s="41"/>
      <c r="G119" s="41"/>
      <c r="H119" s="41"/>
      <c r="I119" s="44"/>
      <c r="J119" s="41"/>
    </row>
    <row r="120" spans="1:10" ht="15.75">
      <c r="A120" s="9" t="s">
        <v>86</v>
      </c>
      <c r="B120" s="47"/>
      <c r="C120" s="41"/>
      <c r="D120" s="41"/>
      <c r="E120" s="41"/>
      <c r="F120" s="41"/>
      <c r="G120" s="41"/>
      <c r="H120" s="41"/>
      <c r="I120" s="17"/>
      <c r="J120" s="41"/>
    </row>
    <row r="121" spans="1:10" ht="15.75">
      <c r="A121" s="9" t="s">
        <v>87</v>
      </c>
      <c r="B121" s="47"/>
      <c r="C121" s="41"/>
      <c r="D121" s="41"/>
      <c r="E121" s="41"/>
      <c r="F121" s="41"/>
      <c r="G121" s="41"/>
      <c r="H121" s="41"/>
      <c r="I121" s="17"/>
      <c r="J121" s="41"/>
    </row>
    <row r="122" spans="1:10" ht="16.5" thickBot="1">
      <c r="A122" s="51"/>
      <c r="B122" s="48"/>
      <c r="C122" s="45"/>
      <c r="D122" s="45"/>
      <c r="E122" s="45"/>
      <c r="F122" s="45"/>
      <c r="G122" s="45"/>
      <c r="H122" s="45"/>
      <c r="I122" s="46"/>
      <c r="J122" s="41"/>
    </row>
    <row r="123" spans="1:10" ht="0.75" customHeight="1" thickBot="1">
      <c r="A123" s="10"/>
      <c r="J123" s="41"/>
    </row>
  </sheetData>
  <mergeCells count="19">
    <mergeCell ref="C104:F104"/>
    <mergeCell ref="C105:F105"/>
    <mergeCell ref="A7:B7"/>
    <mergeCell ref="C2:F2"/>
    <mergeCell ref="A4:B4"/>
    <mergeCell ref="C4:E4"/>
    <mergeCell ref="A5:B5"/>
    <mergeCell ref="C5:E5"/>
    <mergeCell ref="A6:B6"/>
    <mergeCell ref="C101:E101"/>
    <mergeCell ref="G108:I108"/>
    <mergeCell ref="C111:F111"/>
    <mergeCell ref="C112:F112"/>
    <mergeCell ref="C113:F113"/>
    <mergeCell ref="C106:F106"/>
    <mergeCell ref="C107:F107"/>
    <mergeCell ref="C108:F108"/>
    <mergeCell ref="C110:F110"/>
    <mergeCell ref="C109:F109"/>
  </mergeCells>
  <phoneticPr fontId="12" type="noConversion"/>
  <pageMargins left="0.7" right="0.7" top="0.75" bottom="0.75" header="0.51180555555555496" footer="0.51180555555555496"/>
  <pageSetup paperSize="9" scale="39" firstPageNumber="0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2024-11-11T20:32:32Z</cp:lastPrinted>
  <dcterms:created xsi:type="dcterms:W3CDTF">2023-05-29T16:04:32Z</dcterms:created>
  <dcterms:modified xsi:type="dcterms:W3CDTF">2025-06-09T14:36:12Z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