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DOLFO SARTOR\Downloads\LIBRERIA  MIOC\CORREGIDO\"/>
    </mc:Choice>
  </mc:AlternateContent>
  <xr:revisionPtr revIDLastSave="0" documentId="13_ncr:1_{D9228B5C-0B17-42BB-969A-5FC6B0C01D87}" xr6:coauthVersionLast="47" xr6:coauthVersionMax="47" xr10:uidLastSave="{00000000-0000-0000-0000-000000000000}"/>
  <bookViews>
    <workbookView xWindow="-120" yWindow="-120" windowWidth="29040" windowHeight="15840" xr2:uid="{6302B7FC-2AD9-48F7-9AE2-D0C49D4E733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0" i="1" l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9" i="1"/>
  <c r="D32" i="1"/>
  <c r="D31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</calcChain>
</file>

<file path=xl/sharedStrings.xml><?xml version="1.0" encoding="utf-8"?>
<sst xmlns="http://schemas.openxmlformats.org/spreadsheetml/2006/main" count="215" uniqueCount="123">
  <si>
    <t>Pedido de Necesidades Trimestrales</t>
  </si>
  <si>
    <t>JURISDICCION:</t>
  </si>
  <si>
    <t xml:space="preserve">25 - Ministerio de Infraestructura y Obras Civiles </t>
  </si>
  <si>
    <t xml:space="preserve">SAF N°: </t>
  </si>
  <si>
    <t>10 - Dirección Provincial de Servicios de Administración y Recursos Humanos del MIOC</t>
  </si>
  <si>
    <t>EJERCICIO:</t>
  </si>
  <si>
    <t>TRIMESTRE:</t>
  </si>
  <si>
    <t>ID</t>
  </si>
  <si>
    <t>CODIGO ITEM</t>
  </si>
  <si>
    <t>RUBRO DE COMPRA</t>
  </si>
  <si>
    <t xml:space="preserve">I.P.P. </t>
  </si>
  <si>
    <t>UNIDAD DE MEDIDA</t>
  </si>
  <si>
    <t>PRECIO UNITARIO ESTIMADO</t>
  </si>
  <si>
    <t xml:space="preserve">IMPORTE TOTAL ESTIMADO </t>
  </si>
  <si>
    <t>2.9.2-1358.354</t>
  </si>
  <si>
    <t>LIBRERIA,PAP. Y UTILES OFICINA</t>
  </si>
  <si>
    <t>CARPETAS; MATERIAL PLASTICO - TAMAÑO OFICIO.</t>
  </si>
  <si>
    <t xml:space="preserve">UNIDAD  </t>
  </si>
  <si>
    <t>2.9.2-1358.35</t>
  </si>
  <si>
    <t>CARPETAS; MATERIAL PVC - TAMAÑO A4</t>
  </si>
  <si>
    <t>2.3.1-6590.530</t>
  </si>
  <si>
    <t>SOBRES DE PAPEL; TIPO: MADERA, TAMAÑO: A4, GRAMAJE: 80 GR/M2, PRESENTACION: ENVASE X 100 UN, CERTIFICADO FORESTAL (GFS): SIN, PORC. FIBRAS RECICLADAS: 0 %, CERT. FIBRA ALTERNATIVA (FCA): SIN</t>
  </si>
  <si>
    <t>2.3.1-6590.226</t>
  </si>
  <si>
    <t>SOBRES DE PAPEL; TIPO: MADERA, TAMAÑO: OFICIO, GRAMAJE: 80 GR/M2, PRESENTACION: CAJA X 100</t>
  </si>
  <si>
    <t>2.9.2-1611.1</t>
  </si>
  <si>
    <t>FOLIOS TRANSPARENTES; MATERIAL: PLASTICO (POLIETILENO), TAMAÑO: OFICIO, PERFORACIONES: 5 UNIVERSALES</t>
  </si>
  <si>
    <t>UNIDAD</t>
  </si>
  <si>
    <t>2.9.2-1611.19</t>
  </si>
  <si>
    <t>FOLIOS TRANSPARENTES; TAMAÑO: A4, PERFORACIONES: 5, MATERIAL: PLASTICO (POLIETILENO)</t>
  </si>
  <si>
    <t xml:space="preserve">UNIDAD </t>
  </si>
  <si>
    <t>2.9.2-274.31</t>
  </si>
  <si>
    <t>BIBLIORATOS; COLOR: AZUL, ANCHO: 80 mm, ANILLO: 2, TAMAÑO: OFICIO, LOMO: CARTON, MATERIAL: CARTON, TAPAS: CARTON FORRADO PLASTICO</t>
  </si>
  <si>
    <t>2.3.1-6587.346</t>
  </si>
  <si>
    <t>PAPELES ENCUADERNADOS; CANT. DE HOJAS: 100, TAMAÑO: A4, TIPO: CUADERNO ESPIRALADO TAPA DURA, CERTIFICADO FORESTAL (GFS): SIN, PORC. FIBRAS RECICLADAS: 0 %, CERT. FIBRA ALTERNATIVA (FCA): SIN</t>
  </si>
  <si>
    <t>2.3.1-6587.250</t>
  </si>
  <si>
    <t>PAPELES ENCUADERNADOS; CANT. DE HOJAS: 80, TAMAÑO: OFICIO, TIPO: BLOCK RAYADO, CERTIFICADO FORESTAL (GFS): CON</t>
  </si>
  <si>
    <t>2.9.2-1616.145</t>
  </si>
  <si>
    <t>MARCADORES; TIPO: INDELEBLE, TRAZO: GRUESO, PUNTA: GRUESA, RECARGABLE: NO</t>
  </si>
  <si>
    <t>2.9.2-261.21</t>
  </si>
  <si>
    <t>ABROCHADORAS DE PAPEL; TIPO: PINZA, P/BROCHES: 21/6-21/8, MATERIAL: METALICA, MEDIDA: 21/6-21/8</t>
  </si>
  <si>
    <t>2.9.2-674.9</t>
  </si>
  <si>
    <t>REGLAS GRADUADAS; TIPO: PLANA, MATERIAL: PLASTICO, LONG.DE CUERPO: 30 Cm</t>
  </si>
  <si>
    <t>2.9.2-758.24</t>
  </si>
  <si>
    <t>TIJERAS P/CORTAR PAPELES; LONG.DE CUERPO: 24 Cm, MATERIAL: ACERO INOXIDABLE, CUCHILLA: PUNTIAGUDAS, MANGO: ERGONOMETRICO DE PLASTICO</t>
  </si>
  <si>
    <t>2.9.2-261.14</t>
  </si>
  <si>
    <t>ABROCHADORAS DE PAPEL; TIPO: PINZA, P/BROCHES: 10/50, MATERIAL: METALICA, MEDIDA: 10/50</t>
  </si>
  <si>
    <t>2.3.1-6563.828</t>
  </si>
  <si>
    <t>PAPELES EN HOJA; TIPO DE PAPEL: OBRA, DIMENSION: 210 X 297 mm, GRAMAJE: 80 GR/M2, PRESENTACION: PAQUETE X 500, CERTIFICADO FORESTAL (GFS): CON, PORC. FIBRAS RECICLADAS: 0</t>
  </si>
  <si>
    <t>RESMA</t>
  </si>
  <si>
    <t>2.3.1-6563.1009</t>
  </si>
  <si>
    <t>PAPELES EN HOJA; TIPO DE PAPEL: BLANCO, DIMENSION: OFICIO, GRAMAJE: 80 GR, PRESENTACION: ENVASE X 500 HOJAS, CERTIFICADO FORESTAL (GFS): SIN, PORC. FIBRAS RECICLADAS: 0 %, CERT. FIBRA ALTERNATIVA (FCA): SIN</t>
  </si>
  <si>
    <t>2.9.2-317.17</t>
  </si>
  <si>
    <t xml:space="preserve">BOLIGRAFOS; TRAZO: GRUESO, COLOR TINTA: NEGRO </t>
  </si>
  <si>
    <t>2.9.2-317.1</t>
  </si>
  <si>
    <t xml:space="preserve">BOLIGRAFOS; COLOR TINTA: AZUL, TRAZO: 0,7 mm </t>
  </si>
  <si>
    <t>2.9.2-323.4</t>
  </si>
  <si>
    <t>CORRECTORES DE ESCRITURA; CAPACIDAD: 7 mL, ENVASE: LAPIZ (PUNTA METAL), PRESENTACION: LAPIZ (PUNTA METAL) X 7 mL</t>
  </si>
  <si>
    <t>2.9.2-1354.21</t>
  </si>
  <si>
    <t>RESALTADORES; PUNTA: BISELADA, ACCESORIO: SIN, COLOR: SIN VALOR, TIPO PUNTA: BISELADA</t>
  </si>
  <si>
    <t>2.9.2-5457.11</t>
  </si>
  <si>
    <t>ANOTADORES; TAMAÑO: 15 X 21 Cm, TIPO: RAYADO</t>
  </si>
  <si>
    <t>2.9.2-1062.12</t>
  </si>
  <si>
    <t>2.9.2</t>
  </si>
  <si>
    <t>PAPELES ANOTADOR AUTOADHESIVOS; PRESENTACION: 100 HOJAS, LARGO X ANCHO: 76 X 76 mm</t>
  </si>
  <si>
    <t>2.9.2-1153.145</t>
  </si>
  <si>
    <t>CINTAS ADHESIVAS; TIPO: EMBALAR, ANCHO: 50 mm, LARGO: 27 M, MATERIAL: POLIPROPILENO, ACCESORIO: SIN</t>
  </si>
  <si>
    <t>2.9.2-1153.241</t>
  </si>
  <si>
    <t>CINTAS ADHESIVAS; TIPO: TRANSPARENTE, ANCHO: 12 mm, LARGO: 30 M, MATERIAL: POLIPROPILENO, ACCESORIO: SIN</t>
  </si>
  <si>
    <t>2.9.2-853.20</t>
  </si>
  <si>
    <t>BROCHES P/EXPEDIENTE; TIPO: TORNILLO, LONG.DE CUERPO: 70 mm</t>
  </si>
  <si>
    <t>CAJA</t>
  </si>
  <si>
    <t>2.9.2-4039.60</t>
  </si>
  <si>
    <t>ANILLOS P/ENCUADERNAR; MATERIAL: PLASTICO, DIAMETRO: 25 mm, LARGO: 35,6 mm, TIPO: RULO</t>
  </si>
  <si>
    <t>2.9.2-4039.44</t>
  </si>
  <si>
    <t>ANILLOS P/ENCUADERNAR; MATERIAL: PLASTICO, DIAMETRO: 33 mm, LARGO: 35,6 mm, TIPO: RULO</t>
  </si>
  <si>
    <t>2.9.2-1577.29</t>
  </si>
  <si>
    <t>APRIETA PAPELES; MATERIAL: METAL, DIMENSION: 32 mm, RESORTE: CON</t>
  </si>
  <si>
    <t>2.9.2-850.180</t>
  </si>
  <si>
    <t>CAJAS DE ARCHIVO; MATERIAL: PLASTICO, DIMENSION: 36 X 25 X 12 Cm</t>
  </si>
  <si>
    <t>2.9.2-322.15</t>
  </si>
  <si>
    <t>CESTOS P/PAPELES; SECCION: CIRCULAR, TAPA: SIN, MEDIDA: DIAMETRO 24 Cm, MATERIAL CUERPO: METALICO, MATERIAL DEL CUERPO: METALICO, MATERIAL: METALICO</t>
  </si>
  <si>
    <t>2.9.2-322.38</t>
  </si>
  <si>
    <t>CESTOS P/PAPELES; SECCION: CIRCULAR, MATERIAL: PLASTICO, TAPA: SIN, MEDIDA: DIAM. 26,5 ALTO 27 Cm</t>
  </si>
  <si>
    <t>2.9.2-322.41</t>
  </si>
  <si>
    <t>CESTOS P/PAPELES; SECCION: CIRCULAR, MATERIAL: METALICO, TAPA: SIN, MEDIDA: 30 Cm</t>
  </si>
  <si>
    <t>2.9.2-848.8</t>
  </si>
  <si>
    <t>LAPIZ; COLOR: NEGRO, TIPO: COMUN NRO 1</t>
  </si>
  <si>
    <t>2.9.2-661.42</t>
  </si>
  <si>
    <t>GOMAS DE BORRAR; USO: LAPIZ Y TINTA, DIMENSION: 1 X 1 X 5 Cm, MATERIAL: CAUCHO, PRESENTACION: CAJA X 36</t>
  </si>
  <si>
    <t>CAJAS</t>
  </si>
  <si>
    <t>2.9.2-2138.1</t>
  </si>
  <si>
    <t>LAPIZ PORTAMINAS; TAMAÑO DE MINA: 0,5 mm, TIPO: AUTOMATICO, PUNTA: SIN VALOR, MATERIAL: ALUMINIO, ACCESORIO: SIN VALOR, TIPO PUNTA: SIN VALOR</t>
  </si>
  <si>
    <t>2.9.2-663.5</t>
  </si>
  <si>
    <t>TUBOS DE MINAS; DIAMETRO: 0.5 mm, DUREZA: 2B</t>
  </si>
  <si>
    <t>2.9.2-852.5</t>
  </si>
  <si>
    <t>BROCHES DORADOS; N° PATAS: 2, N°: 10, PRESENTACION: CAJA X 100 UNIDADES, CANTIDAD PATAS: 2, NUMERO: 10</t>
  </si>
  <si>
    <t>2.9.2-852.7</t>
  </si>
  <si>
    <t>BROCHES DORADOS; N° PATAS: 2, N°: 14, PRESENTACION: CAJA X 100 UNIDADES, CANTIDAD PATAS: 2, NUMERO: 14</t>
  </si>
  <si>
    <t>2.9.2-790.20</t>
  </si>
  <si>
    <t>CUTER; TIPO HOJA: MOVIL SECCIONABLE, MATERIAL MANGO: PLASTICO, ANCHO HOJA: 15 mm, TIPO DE HOJA: MOVIL SECCIONABLE, ANCHO DE HOJA: 15 mm</t>
  </si>
  <si>
    <t>2.9.2-1634.22</t>
  </si>
  <si>
    <t>TAPAS PLASTICAS; FORMATO: OFICIO, PRESENTACION: CAJA X 50 UN, TIPO: POLIPROPILENO, GRAMAJE: SIN VALOR, COLOR: TRANSPARENTE</t>
  </si>
  <si>
    <t>2.9.2-1634.59</t>
  </si>
  <si>
    <t>TAPAS PLASTICAS; TIPO: POLIPROPILENO, FORMATO: OFICIO, PRESENTACION: ENVASE X 50 UN, GRAMAJE: 80 GR/M2</t>
  </si>
  <si>
    <t xml:space="preserve">Especificidades Item N° </t>
  </si>
  <si>
    <r>
      <rPr>
        <u/>
        <sz val="9"/>
        <rFont val="Arial"/>
        <family val="2"/>
      </rPr>
      <t> Item N° 1y 2: </t>
    </r>
    <r>
      <rPr>
        <sz val="9"/>
        <rFont val="Arial"/>
        <family val="2"/>
      </rPr>
      <t xml:space="preserve"> Carpeta Plásticas, Tapas transparentes.-</t>
    </r>
    <r>
      <rPr>
        <u/>
        <sz val="7.5"/>
        <rFont val="Calibri"/>
        <family val="1"/>
      </rPr>
      <t/>
    </r>
  </si>
  <si>
    <r>
      <rPr>
        <u/>
        <sz val="9"/>
        <rFont val="Arial"/>
        <family val="2"/>
      </rPr>
      <t> Item N° 3 y 4: </t>
    </r>
    <r>
      <rPr>
        <sz val="9"/>
        <rFont val="Arial"/>
        <family val="2"/>
      </rPr>
      <t xml:space="preserve"> Color Marrón.-</t>
    </r>
    <r>
      <rPr>
        <u/>
        <sz val="7.5"/>
        <rFont val="Calibri"/>
        <family val="1"/>
      </rPr>
      <t/>
    </r>
  </si>
  <si>
    <r>
      <rPr>
        <u/>
        <sz val="9"/>
        <rFont val="Arial"/>
        <family val="2"/>
      </rPr>
      <t> Item N° 8: </t>
    </r>
    <r>
      <rPr>
        <sz val="9"/>
        <rFont val="Arial"/>
        <family val="2"/>
      </rPr>
      <t xml:space="preserve"> Hojas Rayadas.-</t>
    </r>
    <r>
      <rPr>
        <u/>
        <sz val="7.5"/>
        <rFont val="Calibri"/>
        <family val="1"/>
      </rPr>
      <t/>
    </r>
  </si>
  <si>
    <r>
      <rPr>
        <u/>
        <sz val="9"/>
        <rFont val="Arial"/>
        <family val="2"/>
      </rPr>
      <t> Item N° 10: </t>
    </r>
    <r>
      <rPr>
        <sz val="9"/>
        <rFont val="Arial"/>
        <family val="2"/>
      </rPr>
      <t xml:space="preserve"> Color negro.-</t>
    </r>
    <r>
      <rPr>
        <u/>
        <sz val="7.5"/>
        <rFont val="Calibri"/>
        <family val="1"/>
      </rPr>
      <t/>
    </r>
  </si>
  <si>
    <r>
      <rPr>
        <u/>
        <sz val="9"/>
        <rFont val="Arial"/>
        <family val="2"/>
      </rPr>
      <t> Item N° 15 y 16: </t>
    </r>
    <r>
      <rPr>
        <sz val="9"/>
        <rFont val="Arial"/>
        <family val="2"/>
      </rPr>
      <t xml:space="preserve"> Hojas Blancas.-</t>
    </r>
    <r>
      <rPr>
        <u/>
        <sz val="7.5"/>
        <rFont val="Calibri"/>
        <family val="1"/>
      </rPr>
      <t/>
    </r>
  </si>
  <si>
    <r>
      <rPr>
        <u/>
        <sz val="9"/>
        <rFont val="Arial"/>
        <family val="2"/>
      </rPr>
      <t> Item N° 20: </t>
    </r>
    <r>
      <rPr>
        <sz val="9"/>
        <rFont val="Arial"/>
        <family val="2"/>
      </rPr>
      <t xml:space="preserve"> Color  amarillo y verde.-</t>
    </r>
    <r>
      <rPr>
        <u/>
        <sz val="7.5"/>
        <rFont val="Calibri"/>
        <family val="1"/>
      </rPr>
      <t/>
    </r>
  </si>
  <si>
    <r>
      <rPr>
        <u/>
        <sz val="9"/>
        <rFont val="Arial"/>
        <family val="2"/>
      </rPr>
      <t> Item N° 22: </t>
    </r>
    <r>
      <rPr>
        <sz val="9"/>
        <rFont val="Arial"/>
        <family val="2"/>
      </rPr>
      <t xml:space="preserve"> Color  amarillo.-</t>
    </r>
    <r>
      <rPr>
        <u/>
        <sz val="7.5"/>
        <rFont val="Calibri"/>
        <family val="1"/>
      </rPr>
      <t/>
    </r>
  </si>
  <si>
    <r>
      <rPr>
        <u/>
        <sz val="9"/>
        <rFont val="Arial"/>
        <family val="2"/>
      </rPr>
      <t> Item N° 23: </t>
    </r>
    <r>
      <rPr>
        <sz val="9"/>
        <rFont val="Arial"/>
        <family val="2"/>
      </rPr>
      <t xml:space="preserve"> Transparente.-</t>
    </r>
    <r>
      <rPr>
        <u/>
        <sz val="7.5"/>
        <rFont val="Calibri"/>
        <family val="1"/>
      </rPr>
      <t/>
    </r>
  </si>
  <si>
    <t>Descripción técnica</t>
  </si>
  <si>
    <t>Plazos y lugares de entrega</t>
  </si>
  <si>
    <r>
      <t>a-</t>
    </r>
    <r>
      <rPr>
        <i/>
        <sz val="10"/>
        <rFont val="Arial"/>
        <family val="2"/>
      </rPr>
      <t xml:space="preserve"> Lugar de Entrega</t>
    </r>
    <r>
      <rPr>
        <sz val="10"/>
        <rFont val="Arial"/>
        <family val="2"/>
      </rPr>
      <t>: La entrega deberá efectuarse en oficinas de la  Secretaría de Administración y Contratos, sita en Avda. Venezuela S/N -CAPE-Pab. 3 A-San Fernando del Valle de Catamarca (CP 4700).-</t>
    </r>
  </si>
  <si>
    <r>
      <t xml:space="preserve">b- </t>
    </r>
    <r>
      <rPr>
        <i/>
        <sz val="10"/>
        <rFont val="Arial"/>
        <family val="2"/>
      </rPr>
      <t xml:space="preserve">Forma de Entrega: </t>
    </r>
    <r>
      <rPr>
        <sz val="10"/>
        <rFont val="Arial"/>
        <family val="2"/>
      </rPr>
      <t>En una ùnica entrega, corriendo los gastos de flete, acarreo, carga,descarga y seguro por cuenta del adjudicatario, como así tambien, de todo riesgo de perdida o destrucción total o parcial, por causas ajenas a la institución.--</t>
    </r>
  </si>
  <si>
    <r>
      <t xml:space="preserve">c- </t>
    </r>
    <r>
      <rPr>
        <i/>
        <sz val="10"/>
        <rFont val="Arial"/>
        <family val="2"/>
      </rPr>
      <t>Plazo de Entrega</t>
    </r>
    <r>
      <rPr>
        <sz val="10"/>
        <rFont val="Arial"/>
        <family val="2"/>
      </rPr>
      <t>: El oferente deberá establecer plazo de entrega de los elementos cotizados, debiendo ser expresado en días hábiles ; que no podrá ser superior a cinco (05) dias habiles, contados a partir de la recepcion de la Orden de Compra.-</t>
    </r>
  </si>
  <si>
    <t>Calidad Minima esperada</t>
  </si>
  <si>
    <r>
      <t xml:space="preserve">Mantenimiento: </t>
    </r>
    <r>
      <rPr>
        <sz val="10"/>
        <rFont val="Arial"/>
        <family val="2"/>
      </rPr>
      <t xml:space="preserve">30 dias habiles </t>
    </r>
  </si>
  <si>
    <t>Garantia</t>
  </si>
  <si>
    <t>DESCRIPCION</t>
  </si>
  <si>
    <t>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</si>
</sst>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[$$-2C0A]\ #,##0.00;[$$-2C0A]&quot; -&quot;#,##0.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2"/>
      <name val="Arial"/>
      <family val="2"/>
    </font>
    <font>
      <b/>
      <sz val="11"/>
      <color rgb="FF000000"/>
      <name val="Arial"/>
      <family val="2"/>
    </font>
    <font>
      <b/>
      <sz val="12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9"/>
      <name val="Arial"/>
      <family val="2"/>
    </font>
    <font>
      <sz val="9"/>
      <color rgb="FF000000"/>
      <name val="Arial"/>
      <family val="2"/>
    </font>
    <font>
      <u/>
      <sz val="10"/>
      <name val="Arial"/>
      <family val="2"/>
    </font>
    <font>
      <u/>
      <sz val="9"/>
      <name val="Arial"/>
      <family val="2"/>
    </font>
    <font>
      <u/>
      <sz val="7.5"/>
      <name val="Calibri"/>
      <family val="1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2">
    <xf numFmtId="0" fontId="0" fillId="0" borderId="0" xfId="0"/>
    <xf numFmtId="0" fontId="2" fillId="0" borderId="0" xfId="0" applyFont="1"/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center" wrapText="1"/>
    </xf>
    <xf numFmtId="0" fontId="5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center" vertical="center" wrapText="1"/>
    </xf>
    <xf numFmtId="164" fontId="8" fillId="0" borderId="10" xfId="1" applyNumberFormat="1" applyFont="1" applyFill="1" applyBorder="1" applyAlignment="1" applyProtection="1">
      <alignment horizontal="right" vertical="center" wrapText="1"/>
    </xf>
    <xf numFmtId="164" fontId="8" fillId="0" borderId="8" xfId="1" applyNumberFormat="1" applyFont="1" applyFill="1" applyBorder="1" applyAlignment="1" applyProtection="1">
      <alignment horizontal="right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164" fontId="8" fillId="0" borderId="15" xfId="1" applyNumberFormat="1" applyFont="1" applyFill="1" applyBorder="1" applyAlignment="1" applyProtection="1">
      <alignment horizontal="right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11" xfId="0" applyFont="1" applyBorder="1" applyAlignment="1">
      <alignment wrapText="1"/>
    </xf>
    <xf numFmtId="0" fontId="8" fillId="0" borderId="11" xfId="0" applyFont="1" applyBorder="1" applyAlignment="1">
      <alignment horizontal="center" vertical="center" wrapText="1"/>
    </xf>
    <xf numFmtId="164" fontId="8" fillId="0" borderId="18" xfId="1" applyNumberFormat="1" applyFont="1" applyFill="1" applyBorder="1" applyAlignment="1" applyProtection="1">
      <alignment horizontal="right" vertical="center" wrapText="1"/>
    </xf>
    <xf numFmtId="0" fontId="8" fillId="0" borderId="17" xfId="0" applyFont="1" applyBorder="1" applyAlignment="1">
      <alignment horizontal="center" vertical="center"/>
    </xf>
    <xf numFmtId="0" fontId="8" fillId="0" borderId="19" xfId="0" applyFont="1" applyBorder="1" applyAlignment="1">
      <alignment vertical="center" wrapText="1"/>
    </xf>
    <xf numFmtId="0" fontId="8" fillId="0" borderId="13" xfId="0" applyFont="1" applyBorder="1"/>
    <xf numFmtId="0" fontId="8" fillId="0" borderId="20" xfId="0" applyFont="1" applyBorder="1" applyAlignment="1">
      <alignment horizontal="center" vertical="center"/>
    </xf>
    <xf numFmtId="0" fontId="8" fillId="0" borderId="14" xfId="0" applyFont="1" applyBorder="1" applyAlignment="1">
      <alignment horizontal="left" vertical="center"/>
    </xf>
    <xf numFmtId="49" fontId="8" fillId="0" borderId="20" xfId="0" applyNumberFormat="1" applyFont="1" applyBorder="1"/>
    <xf numFmtId="0" fontId="8" fillId="0" borderId="21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left" vertical="center" wrapText="1"/>
    </xf>
    <xf numFmtId="0" fontId="8" fillId="0" borderId="21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2" fillId="0" borderId="14" xfId="0" applyFont="1" applyBorder="1" applyAlignment="1">
      <alignment wrapText="1"/>
    </xf>
    <xf numFmtId="0" fontId="8" fillId="0" borderId="19" xfId="0" applyFont="1" applyBorder="1" applyAlignment="1">
      <alignment wrapText="1"/>
    </xf>
    <xf numFmtId="0" fontId="8" fillId="0" borderId="14" xfId="0" applyFont="1" applyBorder="1" applyAlignment="1">
      <alignment wrapText="1"/>
    </xf>
    <xf numFmtId="0" fontId="8" fillId="0" borderId="23" xfId="0" applyFont="1" applyBorder="1" applyAlignment="1">
      <alignment horizontal="left" vertical="center" wrapText="1"/>
    </xf>
    <xf numFmtId="0" fontId="8" fillId="0" borderId="24" xfId="0" applyFont="1" applyBorder="1" applyAlignment="1">
      <alignment horizontal="left" vertical="center" wrapText="1"/>
    </xf>
    <xf numFmtId="0" fontId="8" fillId="0" borderId="25" xfId="0" applyFont="1" applyBorder="1" applyAlignment="1">
      <alignment horizontal="left" vertical="center" wrapText="1"/>
    </xf>
    <xf numFmtId="0" fontId="2" fillId="0" borderId="26" xfId="0" applyFont="1" applyBorder="1" applyAlignment="1">
      <alignment wrapText="1"/>
    </xf>
    <xf numFmtId="0" fontId="8" fillId="0" borderId="23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164" fontId="8" fillId="0" borderId="28" xfId="1" applyNumberFormat="1" applyFont="1" applyFill="1" applyBorder="1" applyAlignment="1" applyProtection="1">
      <alignment horizontal="right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2" fillId="0" borderId="0" xfId="0" applyFont="1" applyAlignment="1">
      <alignment horizontal="justify" vertical="justify" wrapText="1"/>
    </xf>
    <xf numFmtId="164" fontId="8" fillId="0" borderId="0" xfId="1" applyNumberFormat="1" applyFont="1" applyFill="1" applyBorder="1" applyAlignment="1" applyProtection="1">
      <alignment horizontal="right" vertical="center" wrapText="1"/>
    </xf>
    <xf numFmtId="0" fontId="10" fillId="0" borderId="29" xfId="0" applyFont="1" applyBorder="1"/>
    <xf numFmtId="0" fontId="2" fillId="0" borderId="30" xfId="0" applyFont="1" applyBorder="1"/>
    <xf numFmtId="0" fontId="2" fillId="0" borderId="31" xfId="0" applyFont="1" applyBorder="1"/>
    <xf numFmtId="0" fontId="10" fillId="0" borderId="19" xfId="0" applyFont="1" applyBorder="1"/>
    <xf numFmtId="0" fontId="2" fillId="0" borderId="32" xfId="0" applyFont="1" applyBorder="1"/>
    <xf numFmtId="0" fontId="0" fillId="0" borderId="0" xfId="0" applyAlignment="1">
      <alignment vertical="top" wrapText="1"/>
    </xf>
    <xf numFmtId="0" fontId="10" fillId="0" borderId="19" xfId="0" applyFont="1" applyBorder="1" applyAlignment="1">
      <alignment horizontal="left" indent="3"/>
    </xf>
    <xf numFmtId="0" fontId="2" fillId="0" borderId="19" xfId="0" applyFont="1" applyBorder="1" applyAlignment="1">
      <alignment horizontal="left" indent="3"/>
    </xf>
    <xf numFmtId="0" fontId="2" fillId="0" borderId="0" xfId="0" applyFont="1" applyAlignment="1">
      <alignment horizontal="center" wrapText="1"/>
    </xf>
    <xf numFmtId="0" fontId="2" fillId="0" borderId="32" xfId="0" applyFont="1" applyBorder="1" applyAlignment="1">
      <alignment horizontal="center" wrapText="1"/>
    </xf>
    <xf numFmtId="0" fontId="2" fillId="0" borderId="33" xfId="0" applyFont="1" applyBorder="1" applyAlignment="1">
      <alignment horizontal="left" indent="3"/>
    </xf>
    <xf numFmtId="0" fontId="2" fillId="0" borderId="34" xfId="0" applyFont="1" applyBorder="1"/>
    <xf numFmtId="0" fontId="2" fillId="0" borderId="35" xfId="0" applyFont="1" applyBorder="1"/>
    <xf numFmtId="0" fontId="2" fillId="0" borderId="0" xfId="0" applyFont="1" applyAlignment="1">
      <alignment horizontal="center" wrapText="1"/>
    </xf>
    <xf numFmtId="0" fontId="2" fillId="0" borderId="32" xfId="0" applyFont="1" applyBorder="1" applyAlignment="1">
      <alignment horizontal="center" wrapText="1"/>
    </xf>
    <xf numFmtId="0" fontId="8" fillId="0" borderId="0" xfId="0" applyFont="1" applyAlignment="1">
      <alignment horizontal="left" vertical="top" wrapText="1"/>
    </xf>
    <xf numFmtId="0" fontId="8" fillId="0" borderId="32" xfId="0" applyFont="1" applyBorder="1" applyAlignment="1">
      <alignment horizontal="left" vertical="top" wrapText="1"/>
    </xf>
    <xf numFmtId="0" fontId="2" fillId="0" borderId="0" xfId="0" applyFont="1" applyAlignment="1">
      <alignment horizontal="justify" vertical="justify" wrapText="1"/>
    </xf>
    <xf numFmtId="0" fontId="2" fillId="0" borderId="32" xfId="0" applyFont="1" applyBorder="1" applyAlignment="1">
      <alignment horizontal="justify" vertical="justify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left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3CA52-1A07-45CE-A13E-A03942DAEAD8}">
  <dimension ref="A1:I71"/>
  <sheetViews>
    <sheetView tabSelected="1" workbookViewId="0">
      <selection activeCell="B1" sqref="B1:H1"/>
    </sheetView>
  </sheetViews>
  <sheetFormatPr baseColWidth="10" defaultRowHeight="15" x14ac:dyDescent="0.25"/>
  <cols>
    <col min="2" max="2" width="31" bestFit="1" customWidth="1"/>
    <col min="3" max="3" width="28.28515625" bestFit="1" customWidth="1"/>
    <col min="4" max="4" width="5.85546875" bestFit="1" customWidth="1"/>
    <col min="5" max="5" width="98.140625" bestFit="1" customWidth="1"/>
    <col min="8" max="8" width="10.7109375" bestFit="1" customWidth="1"/>
    <col min="9" max="9" width="11.28515625" bestFit="1" customWidth="1"/>
  </cols>
  <sheetData>
    <row r="1" spans="1:9" ht="27.75" x14ac:dyDescent="0.4">
      <c r="A1" s="1"/>
      <c r="B1" s="78" t="s">
        <v>0</v>
      </c>
      <c r="C1" s="78"/>
      <c r="D1" s="78"/>
      <c r="E1" s="78"/>
      <c r="F1" s="78"/>
      <c r="G1" s="78"/>
      <c r="H1" s="78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ht="15.75" x14ac:dyDescent="0.25">
      <c r="A3" s="79" t="s">
        <v>1</v>
      </c>
      <c r="B3" s="79"/>
      <c r="C3" s="80" t="s">
        <v>2</v>
      </c>
      <c r="D3" s="80"/>
      <c r="E3" s="80"/>
      <c r="F3" s="2"/>
      <c r="G3" s="3"/>
      <c r="H3" s="2"/>
      <c r="I3" s="1"/>
    </row>
    <row r="4" spans="1:9" ht="15.75" x14ac:dyDescent="0.25">
      <c r="A4" s="79" t="s">
        <v>3</v>
      </c>
      <c r="B4" s="79"/>
      <c r="C4" s="81" t="s">
        <v>4</v>
      </c>
      <c r="D4" s="81"/>
      <c r="E4" s="81"/>
      <c r="F4" s="2"/>
      <c r="G4" s="3"/>
      <c r="H4" s="2"/>
      <c r="I4" s="1"/>
    </row>
    <row r="5" spans="1:9" ht="15.75" x14ac:dyDescent="0.25">
      <c r="A5" s="79" t="s">
        <v>5</v>
      </c>
      <c r="B5" s="79"/>
      <c r="C5" s="4">
        <v>2021</v>
      </c>
      <c r="D5" s="5"/>
      <c r="E5" s="5"/>
      <c r="F5" s="2"/>
      <c r="G5" s="3"/>
      <c r="H5" s="2"/>
      <c r="I5" s="1"/>
    </row>
    <row r="6" spans="1:9" ht="15.75" x14ac:dyDescent="0.25">
      <c r="A6" s="79" t="s">
        <v>6</v>
      </c>
      <c r="B6" s="79"/>
      <c r="C6" s="4">
        <v>2</v>
      </c>
      <c r="D6" s="5"/>
      <c r="E6" s="5"/>
      <c r="F6" s="2"/>
      <c r="G6" s="3"/>
      <c r="H6" s="2"/>
      <c r="I6" s="1"/>
    </row>
    <row r="7" spans="1:9" ht="15.75" thickBot="1" x14ac:dyDescent="0.3">
      <c r="A7" s="1"/>
      <c r="B7" s="2"/>
      <c r="C7" s="3"/>
      <c r="D7" s="2"/>
      <c r="E7" s="2"/>
      <c r="F7" s="2"/>
      <c r="G7" s="3"/>
      <c r="H7" s="2"/>
      <c r="I7" s="1"/>
    </row>
    <row r="8" spans="1:9" ht="39" thickBot="1" x14ac:dyDescent="0.3">
      <c r="A8" s="6" t="s">
        <v>7</v>
      </c>
      <c r="B8" s="7" t="s">
        <v>8</v>
      </c>
      <c r="C8" s="8" t="s">
        <v>9</v>
      </c>
      <c r="D8" s="9" t="s">
        <v>10</v>
      </c>
      <c r="E8" s="10" t="s">
        <v>121</v>
      </c>
      <c r="F8" s="6" t="s">
        <v>11</v>
      </c>
      <c r="G8" s="10" t="s">
        <v>122</v>
      </c>
      <c r="H8" s="11" t="s">
        <v>12</v>
      </c>
      <c r="I8" s="8" t="s">
        <v>13</v>
      </c>
    </row>
    <row r="9" spans="1:9" ht="15.75" thickBot="1" x14ac:dyDescent="0.3">
      <c r="A9" s="12">
        <v>1</v>
      </c>
      <c r="B9" s="13" t="s">
        <v>14</v>
      </c>
      <c r="C9" s="14" t="s">
        <v>15</v>
      </c>
      <c r="D9" s="15" t="str">
        <f t="shared" ref="D9:D29" si="0">LEFT(B9,5)</f>
        <v>2.9.2</v>
      </c>
      <c r="E9" s="16" t="s">
        <v>16</v>
      </c>
      <c r="F9" s="17" t="s">
        <v>17</v>
      </c>
      <c r="G9" s="15">
        <v>100</v>
      </c>
      <c r="H9" s="18">
        <v>68</v>
      </c>
      <c r="I9" s="19">
        <f>G9*H9</f>
        <v>6800</v>
      </c>
    </row>
    <row r="10" spans="1:9" ht="15.75" thickBot="1" x14ac:dyDescent="0.3">
      <c r="A10" s="20">
        <v>2</v>
      </c>
      <c r="B10" s="21" t="s">
        <v>18</v>
      </c>
      <c r="C10" s="22" t="s">
        <v>15</v>
      </c>
      <c r="D10" s="23" t="str">
        <f t="shared" si="0"/>
        <v>2.9.2</v>
      </c>
      <c r="E10" s="24" t="s">
        <v>19</v>
      </c>
      <c r="F10" s="25" t="s">
        <v>17</v>
      </c>
      <c r="G10" s="23">
        <v>100</v>
      </c>
      <c r="H10" s="26">
        <v>116</v>
      </c>
      <c r="I10" s="19">
        <f t="shared" ref="I10:I49" si="1">G10*H10</f>
        <v>11600</v>
      </c>
    </row>
    <row r="11" spans="1:9" ht="24.75" thickBot="1" x14ac:dyDescent="0.3">
      <c r="A11" s="20">
        <v>3</v>
      </c>
      <c r="B11" s="21" t="s">
        <v>20</v>
      </c>
      <c r="C11" s="22" t="s">
        <v>15</v>
      </c>
      <c r="D11" s="23" t="str">
        <f t="shared" si="0"/>
        <v>2.3.1</v>
      </c>
      <c r="E11" s="24" t="s">
        <v>21</v>
      </c>
      <c r="F11" s="25" t="s">
        <v>17</v>
      </c>
      <c r="G11" s="23">
        <v>50</v>
      </c>
      <c r="H11" s="26">
        <v>1100</v>
      </c>
      <c r="I11" s="19">
        <f t="shared" si="1"/>
        <v>55000</v>
      </c>
    </row>
    <row r="12" spans="1:9" ht="15.75" thickBot="1" x14ac:dyDescent="0.3">
      <c r="A12" s="20">
        <v>4</v>
      </c>
      <c r="B12" s="21" t="s">
        <v>22</v>
      </c>
      <c r="C12" s="22" t="s">
        <v>15</v>
      </c>
      <c r="D12" s="23" t="str">
        <f t="shared" si="0"/>
        <v>2.3.1</v>
      </c>
      <c r="E12" s="24" t="s">
        <v>23</v>
      </c>
      <c r="F12" s="25" t="s">
        <v>17</v>
      </c>
      <c r="G12" s="23">
        <v>50</v>
      </c>
      <c r="H12" s="26">
        <v>1420</v>
      </c>
      <c r="I12" s="19">
        <f t="shared" si="1"/>
        <v>71000</v>
      </c>
    </row>
    <row r="13" spans="1:9" ht="25.5" thickBot="1" x14ac:dyDescent="0.3">
      <c r="A13" s="20">
        <v>5</v>
      </c>
      <c r="B13" s="21" t="s">
        <v>24</v>
      </c>
      <c r="C13" s="27" t="s">
        <v>15</v>
      </c>
      <c r="D13" s="28" t="str">
        <f t="shared" si="0"/>
        <v>2.9.2</v>
      </c>
      <c r="E13" s="29" t="s">
        <v>25</v>
      </c>
      <c r="F13" s="30" t="s">
        <v>26</v>
      </c>
      <c r="G13" s="28">
        <v>600</v>
      </c>
      <c r="H13" s="31">
        <v>17</v>
      </c>
      <c r="I13" s="19">
        <f t="shared" si="1"/>
        <v>10200</v>
      </c>
    </row>
    <row r="14" spans="1:9" ht="15.75" thickBot="1" x14ac:dyDescent="0.3">
      <c r="A14" s="20">
        <v>6</v>
      </c>
      <c r="B14" s="32" t="s">
        <v>27</v>
      </c>
      <c r="C14" s="22" t="s">
        <v>15</v>
      </c>
      <c r="D14" s="23" t="str">
        <f t="shared" si="0"/>
        <v>2.9.2</v>
      </c>
      <c r="E14" s="33" t="s">
        <v>28</v>
      </c>
      <c r="F14" s="25" t="s">
        <v>29</v>
      </c>
      <c r="G14" s="23">
        <v>400</v>
      </c>
      <c r="H14" s="26">
        <v>15</v>
      </c>
      <c r="I14" s="19">
        <f t="shared" si="1"/>
        <v>6000</v>
      </c>
    </row>
    <row r="15" spans="1:9" ht="24.75" thickBot="1" x14ac:dyDescent="0.3">
      <c r="A15" s="20">
        <v>7</v>
      </c>
      <c r="B15" s="21" t="s">
        <v>30</v>
      </c>
      <c r="C15" s="22" t="s">
        <v>15</v>
      </c>
      <c r="D15" s="23" t="str">
        <f t="shared" si="0"/>
        <v>2.9.2</v>
      </c>
      <c r="E15" s="24" t="s">
        <v>31</v>
      </c>
      <c r="F15" s="25" t="s">
        <v>17</v>
      </c>
      <c r="G15" s="23">
        <v>500</v>
      </c>
      <c r="H15" s="26">
        <v>550</v>
      </c>
      <c r="I15" s="19">
        <f t="shared" si="1"/>
        <v>275000</v>
      </c>
    </row>
    <row r="16" spans="1:9" ht="24.75" thickBot="1" x14ac:dyDescent="0.3">
      <c r="A16" s="20">
        <v>8</v>
      </c>
      <c r="B16" s="21" t="s">
        <v>32</v>
      </c>
      <c r="C16" s="22" t="s">
        <v>15</v>
      </c>
      <c r="D16" s="23" t="str">
        <f t="shared" si="0"/>
        <v>2.3.1</v>
      </c>
      <c r="E16" s="24" t="s">
        <v>33</v>
      </c>
      <c r="F16" s="25" t="s">
        <v>26</v>
      </c>
      <c r="G16" s="23">
        <v>170</v>
      </c>
      <c r="H16" s="26">
        <v>920</v>
      </c>
      <c r="I16" s="19">
        <f t="shared" si="1"/>
        <v>156400</v>
      </c>
    </row>
    <row r="17" spans="1:9" ht="24.75" thickBot="1" x14ac:dyDescent="0.3">
      <c r="A17" s="20">
        <v>9</v>
      </c>
      <c r="B17" s="21" t="s">
        <v>34</v>
      </c>
      <c r="C17" s="34" t="s">
        <v>15</v>
      </c>
      <c r="D17" s="21" t="str">
        <f t="shared" si="0"/>
        <v>2.3.1</v>
      </c>
      <c r="E17" s="24" t="s">
        <v>35</v>
      </c>
      <c r="F17" s="25" t="s">
        <v>26</v>
      </c>
      <c r="G17" s="23">
        <v>170</v>
      </c>
      <c r="H17" s="26">
        <v>650</v>
      </c>
      <c r="I17" s="19">
        <f t="shared" si="1"/>
        <v>110500</v>
      </c>
    </row>
    <row r="18" spans="1:9" ht="15.75" thickBot="1" x14ac:dyDescent="0.3">
      <c r="A18" s="20">
        <v>10</v>
      </c>
      <c r="B18" s="21" t="s">
        <v>36</v>
      </c>
      <c r="C18" s="22" t="s">
        <v>15</v>
      </c>
      <c r="D18" s="23" t="str">
        <f t="shared" si="0"/>
        <v>2.9.2</v>
      </c>
      <c r="E18" s="24" t="s">
        <v>37</v>
      </c>
      <c r="F18" s="25" t="s">
        <v>17</v>
      </c>
      <c r="G18" s="23">
        <v>200</v>
      </c>
      <c r="H18" s="26">
        <v>250</v>
      </c>
      <c r="I18" s="19">
        <f t="shared" si="1"/>
        <v>50000</v>
      </c>
    </row>
    <row r="19" spans="1:9" ht="15.75" thickBot="1" x14ac:dyDescent="0.3">
      <c r="A19" s="20">
        <v>11</v>
      </c>
      <c r="B19" s="21" t="s">
        <v>38</v>
      </c>
      <c r="C19" s="22" t="s">
        <v>15</v>
      </c>
      <c r="D19" s="23" t="str">
        <f t="shared" si="0"/>
        <v>2.9.2</v>
      </c>
      <c r="E19" s="24" t="s">
        <v>39</v>
      </c>
      <c r="F19" s="25" t="s">
        <v>26</v>
      </c>
      <c r="G19" s="23">
        <v>50</v>
      </c>
      <c r="H19" s="26">
        <v>2250</v>
      </c>
      <c r="I19" s="19">
        <f t="shared" si="1"/>
        <v>112500</v>
      </c>
    </row>
    <row r="20" spans="1:9" ht="15.75" thickBot="1" x14ac:dyDescent="0.3">
      <c r="A20" s="20">
        <v>12</v>
      </c>
      <c r="B20" s="21" t="s">
        <v>40</v>
      </c>
      <c r="C20" s="22" t="s">
        <v>15</v>
      </c>
      <c r="D20" s="23" t="str">
        <f t="shared" si="0"/>
        <v>2.9.2</v>
      </c>
      <c r="E20" s="24" t="s">
        <v>41</v>
      </c>
      <c r="F20" s="25" t="s">
        <v>26</v>
      </c>
      <c r="G20" s="23">
        <v>50</v>
      </c>
      <c r="H20" s="26">
        <v>100</v>
      </c>
      <c r="I20" s="19">
        <f t="shared" si="1"/>
        <v>5000</v>
      </c>
    </row>
    <row r="21" spans="1:9" ht="24.75" thickBot="1" x14ac:dyDescent="0.3">
      <c r="A21" s="20">
        <v>13</v>
      </c>
      <c r="B21" s="21" t="s">
        <v>42</v>
      </c>
      <c r="C21" s="22" t="s">
        <v>15</v>
      </c>
      <c r="D21" s="23" t="str">
        <f t="shared" si="0"/>
        <v>2.9.2</v>
      </c>
      <c r="E21" s="24" t="s">
        <v>43</v>
      </c>
      <c r="F21" s="25" t="s">
        <v>26</v>
      </c>
      <c r="G21" s="23">
        <v>20</v>
      </c>
      <c r="H21" s="26">
        <v>250</v>
      </c>
      <c r="I21" s="19">
        <f t="shared" si="1"/>
        <v>5000</v>
      </c>
    </row>
    <row r="22" spans="1:9" ht="15.75" thickBot="1" x14ac:dyDescent="0.3">
      <c r="A22" s="20">
        <v>14</v>
      </c>
      <c r="B22" s="21" t="s">
        <v>44</v>
      </c>
      <c r="C22" s="22" t="s">
        <v>15</v>
      </c>
      <c r="D22" s="23" t="str">
        <f t="shared" si="0"/>
        <v>2.9.2</v>
      </c>
      <c r="E22" s="24" t="s">
        <v>45</v>
      </c>
      <c r="F22" s="25" t="s">
        <v>26</v>
      </c>
      <c r="G22" s="23">
        <v>50</v>
      </c>
      <c r="H22" s="26">
        <v>2250</v>
      </c>
      <c r="I22" s="19">
        <f t="shared" si="1"/>
        <v>112500</v>
      </c>
    </row>
    <row r="23" spans="1:9" ht="24.75" thickBot="1" x14ac:dyDescent="0.3">
      <c r="A23" s="20">
        <v>15</v>
      </c>
      <c r="B23" s="21" t="s">
        <v>46</v>
      </c>
      <c r="C23" s="22" t="s">
        <v>15</v>
      </c>
      <c r="D23" s="23" t="str">
        <f t="shared" si="0"/>
        <v>2.3.1</v>
      </c>
      <c r="E23" s="24" t="s">
        <v>47</v>
      </c>
      <c r="F23" s="25" t="s">
        <v>48</v>
      </c>
      <c r="G23" s="23">
        <v>500</v>
      </c>
      <c r="H23" s="26">
        <v>950</v>
      </c>
      <c r="I23" s="19">
        <f t="shared" si="1"/>
        <v>475000</v>
      </c>
    </row>
    <row r="24" spans="1:9" ht="36.75" thickBot="1" x14ac:dyDescent="0.3">
      <c r="A24" s="20">
        <v>16</v>
      </c>
      <c r="B24" s="21" t="s">
        <v>49</v>
      </c>
      <c r="C24" s="22" t="s">
        <v>15</v>
      </c>
      <c r="D24" s="23" t="str">
        <f t="shared" si="0"/>
        <v>2.3.1</v>
      </c>
      <c r="E24" s="24" t="s">
        <v>50</v>
      </c>
      <c r="F24" s="25" t="s">
        <v>48</v>
      </c>
      <c r="G24" s="23">
        <v>800</v>
      </c>
      <c r="H24" s="26">
        <v>1100</v>
      </c>
      <c r="I24" s="19">
        <f t="shared" si="1"/>
        <v>880000</v>
      </c>
    </row>
    <row r="25" spans="1:9" ht="15.75" thickBot="1" x14ac:dyDescent="0.3">
      <c r="A25" s="20">
        <v>17</v>
      </c>
      <c r="B25" s="21" t="s">
        <v>51</v>
      </c>
      <c r="C25" s="22" t="s">
        <v>15</v>
      </c>
      <c r="D25" s="23" t="str">
        <f t="shared" si="0"/>
        <v>2.9.2</v>
      </c>
      <c r="E25" s="24" t="s">
        <v>52</v>
      </c>
      <c r="F25" s="25" t="s">
        <v>26</v>
      </c>
      <c r="G25" s="23">
        <v>2000</v>
      </c>
      <c r="H25" s="26">
        <v>110</v>
      </c>
      <c r="I25" s="19">
        <f t="shared" si="1"/>
        <v>220000</v>
      </c>
    </row>
    <row r="26" spans="1:9" ht="15.75" thickBot="1" x14ac:dyDescent="0.3">
      <c r="A26" s="20">
        <v>18</v>
      </c>
      <c r="B26" s="21" t="s">
        <v>53</v>
      </c>
      <c r="C26" s="22" t="s">
        <v>15</v>
      </c>
      <c r="D26" s="23" t="str">
        <f t="shared" si="0"/>
        <v>2.9.2</v>
      </c>
      <c r="E26" s="24" t="s">
        <v>54</v>
      </c>
      <c r="F26" s="25" t="s">
        <v>26</v>
      </c>
      <c r="G26" s="23">
        <v>2000</v>
      </c>
      <c r="H26" s="26">
        <v>110</v>
      </c>
      <c r="I26" s="19">
        <f t="shared" si="1"/>
        <v>220000</v>
      </c>
    </row>
    <row r="27" spans="1:9" ht="24.75" thickBot="1" x14ac:dyDescent="0.3">
      <c r="A27" s="20">
        <v>19</v>
      </c>
      <c r="B27" s="21" t="s">
        <v>55</v>
      </c>
      <c r="C27" s="22" t="s">
        <v>15</v>
      </c>
      <c r="D27" s="23" t="str">
        <f t="shared" si="0"/>
        <v>2.9.2</v>
      </c>
      <c r="E27" s="24" t="s">
        <v>56</v>
      </c>
      <c r="F27" s="25" t="s">
        <v>26</v>
      </c>
      <c r="G27" s="23">
        <v>100</v>
      </c>
      <c r="H27" s="26">
        <v>85.9</v>
      </c>
      <c r="I27" s="19">
        <f t="shared" si="1"/>
        <v>8590</v>
      </c>
    </row>
    <row r="28" spans="1:9" ht="15.75" thickBot="1" x14ac:dyDescent="0.3">
      <c r="A28" s="20">
        <v>20</v>
      </c>
      <c r="B28" s="21" t="s">
        <v>57</v>
      </c>
      <c r="C28" s="22" t="s">
        <v>15</v>
      </c>
      <c r="D28" s="23" t="str">
        <f t="shared" si="0"/>
        <v>2.9.2</v>
      </c>
      <c r="E28" s="24" t="s">
        <v>58</v>
      </c>
      <c r="F28" s="25" t="s">
        <v>26</v>
      </c>
      <c r="G28" s="23">
        <v>200</v>
      </c>
      <c r="H28" s="26">
        <v>200</v>
      </c>
      <c r="I28" s="19">
        <f t="shared" si="1"/>
        <v>40000</v>
      </c>
    </row>
    <row r="29" spans="1:9" ht="15.75" thickBot="1" x14ac:dyDescent="0.3">
      <c r="A29" s="20">
        <v>21</v>
      </c>
      <c r="B29" s="35" t="s">
        <v>59</v>
      </c>
      <c r="C29" s="22" t="s">
        <v>15</v>
      </c>
      <c r="D29" s="23" t="str">
        <f t="shared" si="0"/>
        <v>2.9.2</v>
      </c>
      <c r="E29" s="36" t="s">
        <v>60</v>
      </c>
      <c r="F29" s="25" t="s">
        <v>26</v>
      </c>
      <c r="G29" s="23">
        <v>50</v>
      </c>
      <c r="H29" s="26">
        <v>850</v>
      </c>
      <c r="I29" s="19">
        <f t="shared" si="1"/>
        <v>42500</v>
      </c>
    </row>
    <row r="30" spans="1:9" ht="15.75" thickBot="1" x14ac:dyDescent="0.3">
      <c r="A30" s="20">
        <v>22</v>
      </c>
      <c r="B30" s="35" t="s">
        <v>61</v>
      </c>
      <c r="C30" s="22" t="s">
        <v>15</v>
      </c>
      <c r="D30" s="23" t="s">
        <v>62</v>
      </c>
      <c r="E30" s="24" t="s">
        <v>63</v>
      </c>
      <c r="F30" s="25" t="s">
        <v>26</v>
      </c>
      <c r="G30" s="23">
        <v>50</v>
      </c>
      <c r="H30" s="26">
        <v>350</v>
      </c>
      <c r="I30" s="19">
        <f t="shared" si="1"/>
        <v>17500</v>
      </c>
    </row>
    <row r="31" spans="1:9" ht="15.75" thickBot="1" x14ac:dyDescent="0.3">
      <c r="A31" s="20">
        <v>23</v>
      </c>
      <c r="B31" s="37" t="s">
        <v>64</v>
      </c>
      <c r="C31" s="38" t="s">
        <v>15</v>
      </c>
      <c r="D31" s="39" t="str">
        <f>LEFT(B31,5)</f>
        <v>2.9.2</v>
      </c>
      <c r="E31" s="24" t="s">
        <v>65</v>
      </c>
      <c r="F31" s="25" t="s">
        <v>26</v>
      </c>
      <c r="G31" s="23">
        <v>50</v>
      </c>
      <c r="H31" s="26">
        <v>320</v>
      </c>
      <c r="I31" s="19">
        <f t="shared" si="1"/>
        <v>16000</v>
      </c>
    </row>
    <row r="32" spans="1:9" ht="24.75" thickBot="1" x14ac:dyDescent="0.3">
      <c r="A32" s="20">
        <v>24</v>
      </c>
      <c r="B32" s="37" t="s">
        <v>66</v>
      </c>
      <c r="C32" s="38" t="s">
        <v>15</v>
      </c>
      <c r="D32" s="39" t="str">
        <f>LEFT(B32,5)</f>
        <v>2.9.2</v>
      </c>
      <c r="E32" s="24" t="s">
        <v>67</v>
      </c>
      <c r="F32" s="25" t="s">
        <v>26</v>
      </c>
      <c r="G32" s="23">
        <v>50</v>
      </c>
      <c r="H32" s="26">
        <v>125</v>
      </c>
      <c r="I32" s="19">
        <f t="shared" si="1"/>
        <v>6250</v>
      </c>
    </row>
    <row r="33" spans="1:9" ht="15.75" thickBot="1" x14ac:dyDescent="0.3">
      <c r="A33" s="20">
        <v>25</v>
      </c>
      <c r="B33" s="40" t="s">
        <v>68</v>
      </c>
      <c r="C33" s="41" t="s">
        <v>15</v>
      </c>
      <c r="D33" s="42" t="s">
        <v>62</v>
      </c>
      <c r="E33" s="24" t="s">
        <v>69</v>
      </c>
      <c r="F33" s="25" t="s">
        <v>70</v>
      </c>
      <c r="G33" s="23">
        <v>10</v>
      </c>
      <c r="H33" s="26">
        <v>1590</v>
      </c>
      <c r="I33" s="19">
        <f t="shared" si="1"/>
        <v>15900</v>
      </c>
    </row>
    <row r="34" spans="1:9" ht="15.75" thickBot="1" x14ac:dyDescent="0.3">
      <c r="A34" s="20">
        <v>26</v>
      </c>
      <c r="B34" s="40" t="s">
        <v>71</v>
      </c>
      <c r="C34" s="41" t="s">
        <v>15</v>
      </c>
      <c r="D34" s="42" t="s">
        <v>62</v>
      </c>
      <c r="E34" s="24" t="s">
        <v>72</v>
      </c>
      <c r="F34" s="25" t="s">
        <v>26</v>
      </c>
      <c r="G34" s="23">
        <v>100</v>
      </c>
      <c r="H34" s="26">
        <v>40</v>
      </c>
      <c r="I34" s="19">
        <f t="shared" si="1"/>
        <v>4000</v>
      </c>
    </row>
    <row r="35" spans="1:9" ht="15.75" thickBot="1" x14ac:dyDescent="0.3">
      <c r="A35" s="20">
        <v>27</v>
      </c>
      <c r="B35" s="40" t="s">
        <v>73</v>
      </c>
      <c r="C35" s="41" t="s">
        <v>15</v>
      </c>
      <c r="D35" s="42" t="s">
        <v>62</v>
      </c>
      <c r="E35" s="24" t="s">
        <v>74</v>
      </c>
      <c r="F35" s="25" t="s">
        <v>26</v>
      </c>
      <c r="G35" s="23">
        <v>100</v>
      </c>
      <c r="H35" s="26">
        <v>40</v>
      </c>
      <c r="I35" s="19">
        <f t="shared" si="1"/>
        <v>4000</v>
      </c>
    </row>
    <row r="36" spans="1:9" ht="15.75" thickBot="1" x14ac:dyDescent="0.3">
      <c r="A36" s="20">
        <v>28</v>
      </c>
      <c r="B36" s="40" t="s">
        <v>75</v>
      </c>
      <c r="C36" s="41" t="s">
        <v>15</v>
      </c>
      <c r="D36" s="42" t="s">
        <v>62</v>
      </c>
      <c r="E36" s="24" t="s">
        <v>76</v>
      </c>
      <c r="F36" s="25" t="s">
        <v>26</v>
      </c>
      <c r="G36" s="23">
        <v>100</v>
      </c>
      <c r="H36" s="26">
        <v>200</v>
      </c>
      <c r="I36" s="19">
        <f t="shared" si="1"/>
        <v>20000</v>
      </c>
    </row>
    <row r="37" spans="1:9" ht="15.75" thickBot="1" x14ac:dyDescent="0.3">
      <c r="A37" s="20">
        <v>29</v>
      </c>
      <c r="B37" s="40" t="s">
        <v>77</v>
      </c>
      <c r="C37" s="41" t="s">
        <v>15</v>
      </c>
      <c r="D37" s="42" t="s">
        <v>62</v>
      </c>
      <c r="E37" s="24" t="s">
        <v>78</v>
      </c>
      <c r="F37" s="25" t="s">
        <v>26</v>
      </c>
      <c r="G37" s="23">
        <v>300</v>
      </c>
      <c r="H37" s="26">
        <v>400</v>
      </c>
      <c r="I37" s="19">
        <f t="shared" si="1"/>
        <v>120000</v>
      </c>
    </row>
    <row r="38" spans="1:9" ht="24.75" thickBot="1" x14ac:dyDescent="0.3">
      <c r="A38" s="20">
        <v>30</v>
      </c>
      <c r="B38" s="40" t="s">
        <v>79</v>
      </c>
      <c r="C38" s="41" t="s">
        <v>15</v>
      </c>
      <c r="D38" s="42" t="s">
        <v>62</v>
      </c>
      <c r="E38" s="24" t="s">
        <v>80</v>
      </c>
      <c r="F38" s="25" t="s">
        <v>26</v>
      </c>
      <c r="G38" s="23">
        <v>5</v>
      </c>
      <c r="H38" s="26">
        <v>1950</v>
      </c>
      <c r="I38" s="19">
        <f t="shared" si="1"/>
        <v>9750</v>
      </c>
    </row>
    <row r="39" spans="1:9" ht="15.75" thickBot="1" x14ac:dyDescent="0.3">
      <c r="A39" s="20">
        <v>31</v>
      </c>
      <c r="B39" s="40" t="s">
        <v>81</v>
      </c>
      <c r="C39" s="41" t="s">
        <v>15</v>
      </c>
      <c r="D39" s="42" t="s">
        <v>62</v>
      </c>
      <c r="E39" s="24" t="s">
        <v>82</v>
      </c>
      <c r="F39" s="25" t="s">
        <v>26</v>
      </c>
      <c r="G39" s="23">
        <v>80</v>
      </c>
      <c r="H39" s="26">
        <v>750</v>
      </c>
      <c r="I39" s="19">
        <f t="shared" si="1"/>
        <v>60000</v>
      </c>
    </row>
    <row r="40" spans="1:9" ht="15.75" thickBot="1" x14ac:dyDescent="0.3">
      <c r="A40" s="20">
        <v>32</v>
      </c>
      <c r="B40" s="40" t="s">
        <v>83</v>
      </c>
      <c r="C40" s="41" t="s">
        <v>15</v>
      </c>
      <c r="D40" s="42" t="s">
        <v>62</v>
      </c>
      <c r="E40" s="36" t="s">
        <v>84</v>
      </c>
      <c r="F40" s="43" t="s">
        <v>26</v>
      </c>
      <c r="G40" s="44">
        <v>5</v>
      </c>
      <c r="H40" s="26">
        <v>2200</v>
      </c>
      <c r="I40" s="19">
        <f t="shared" si="1"/>
        <v>11000</v>
      </c>
    </row>
    <row r="41" spans="1:9" ht="15.75" thickBot="1" x14ac:dyDescent="0.3">
      <c r="A41" s="20">
        <v>33</v>
      </c>
      <c r="B41" s="40" t="s">
        <v>85</v>
      </c>
      <c r="C41" s="41" t="s">
        <v>15</v>
      </c>
      <c r="D41" s="42" t="s">
        <v>62</v>
      </c>
      <c r="E41" s="36" t="s">
        <v>86</v>
      </c>
      <c r="F41" s="43" t="s">
        <v>26</v>
      </c>
      <c r="G41" s="44">
        <v>100</v>
      </c>
      <c r="H41" s="26">
        <v>45</v>
      </c>
      <c r="I41" s="19">
        <f t="shared" si="1"/>
        <v>4500</v>
      </c>
    </row>
    <row r="42" spans="1:9" ht="15.75" thickBot="1" x14ac:dyDescent="0.3">
      <c r="A42" s="20">
        <v>34</v>
      </c>
      <c r="B42" s="40" t="s">
        <v>87</v>
      </c>
      <c r="C42" s="41" t="s">
        <v>15</v>
      </c>
      <c r="D42" s="42" t="s">
        <v>62</v>
      </c>
      <c r="E42" s="36" t="s">
        <v>88</v>
      </c>
      <c r="F42" s="43" t="s">
        <v>89</v>
      </c>
      <c r="G42" s="44">
        <v>10</v>
      </c>
      <c r="H42" s="26">
        <v>1440</v>
      </c>
      <c r="I42" s="19">
        <f t="shared" si="1"/>
        <v>14400</v>
      </c>
    </row>
    <row r="43" spans="1:9" ht="27" thickBot="1" x14ac:dyDescent="0.3">
      <c r="A43" s="20">
        <v>35</v>
      </c>
      <c r="B43" s="40" t="s">
        <v>90</v>
      </c>
      <c r="C43" s="41" t="s">
        <v>15</v>
      </c>
      <c r="D43" s="42" t="s">
        <v>62</v>
      </c>
      <c r="E43" s="45" t="s">
        <v>91</v>
      </c>
      <c r="F43" s="43" t="s">
        <v>26</v>
      </c>
      <c r="G43" s="23">
        <v>100</v>
      </c>
      <c r="H43" s="26">
        <v>939</v>
      </c>
      <c r="I43" s="19">
        <f t="shared" si="1"/>
        <v>93900</v>
      </c>
    </row>
    <row r="44" spans="1:9" ht="15.75" thickBot="1" x14ac:dyDescent="0.3">
      <c r="A44" s="20">
        <v>36</v>
      </c>
      <c r="B44" s="40" t="s">
        <v>92</v>
      </c>
      <c r="C44" s="41" t="s">
        <v>15</v>
      </c>
      <c r="D44" s="42" t="s">
        <v>62</v>
      </c>
      <c r="E44" s="45" t="s">
        <v>93</v>
      </c>
      <c r="F44" s="43" t="s">
        <v>26</v>
      </c>
      <c r="G44" s="23">
        <v>50</v>
      </c>
      <c r="H44" s="26">
        <v>198</v>
      </c>
      <c r="I44" s="19">
        <f t="shared" si="1"/>
        <v>9900</v>
      </c>
    </row>
    <row r="45" spans="1:9" ht="25.5" thickBot="1" x14ac:dyDescent="0.3">
      <c r="A45" s="20">
        <v>37</v>
      </c>
      <c r="B45" s="40" t="s">
        <v>94</v>
      </c>
      <c r="C45" s="41" t="s">
        <v>15</v>
      </c>
      <c r="D45" s="42" t="s">
        <v>62</v>
      </c>
      <c r="E45" s="46" t="s">
        <v>95</v>
      </c>
      <c r="F45" s="43" t="s">
        <v>89</v>
      </c>
      <c r="G45" s="44">
        <v>20</v>
      </c>
      <c r="H45" s="26">
        <v>378</v>
      </c>
      <c r="I45" s="19">
        <f t="shared" si="1"/>
        <v>7560</v>
      </c>
    </row>
    <row r="46" spans="1:9" ht="25.5" thickBot="1" x14ac:dyDescent="0.3">
      <c r="A46" s="20">
        <v>38</v>
      </c>
      <c r="B46" s="40" t="s">
        <v>96</v>
      </c>
      <c r="C46" s="41" t="s">
        <v>15</v>
      </c>
      <c r="D46" s="42" t="s">
        <v>62</v>
      </c>
      <c r="E46" s="47" t="s">
        <v>97</v>
      </c>
      <c r="F46" s="43" t="s">
        <v>89</v>
      </c>
      <c r="G46" s="44">
        <v>20</v>
      </c>
      <c r="H46" s="26">
        <v>420</v>
      </c>
      <c r="I46" s="19">
        <f t="shared" si="1"/>
        <v>8400</v>
      </c>
    </row>
    <row r="47" spans="1:9" ht="27" thickBot="1" x14ac:dyDescent="0.3">
      <c r="A47" s="20">
        <v>39</v>
      </c>
      <c r="B47" s="40" t="s">
        <v>98</v>
      </c>
      <c r="C47" s="41" t="s">
        <v>15</v>
      </c>
      <c r="D47" s="42" t="s">
        <v>62</v>
      </c>
      <c r="E47" s="45" t="s">
        <v>99</v>
      </c>
      <c r="F47" s="43" t="s">
        <v>26</v>
      </c>
      <c r="G47" s="23">
        <v>50</v>
      </c>
      <c r="H47" s="26">
        <v>350</v>
      </c>
      <c r="I47" s="19">
        <f t="shared" si="1"/>
        <v>17500</v>
      </c>
    </row>
    <row r="48" spans="1:9" ht="27" thickBot="1" x14ac:dyDescent="0.3">
      <c r="A48" s="20">
        <v>40</v>
      </c>
      <c r="B48" s="40" t="s">
        <v>100</v>
      </c>
      <c r="C48" s="41" t="s">
        <v>15</v>
      </c>
      <c r="D48" s="42" t="s">
        <v>62</v>
      </c>
      <c r="E48" s="45" t="s">
        <v>101</v>
      </c>
      <c r="F48" s="43" t="s">
        <v>26</v>
      </c>
      <c r="G48" s="23">
        <v>5</v>
      </c>
      <c r="H48" s="26">
        <v>1062.5</v>
      </c>
      <c r="I48" s="19">
        <f t="shared" si="1"/>
        <v>5312.5</v>
      </c>
    </row>
    <row r="49" spans="1:9" ht="27" thickBot="1" x14ac:dyDescent="0.3">
      <c r="A49" s="20">
        <v>41</v>
      </c>
      <c r="B49" s="48" t="s">
        <v>102</v>
      </c>
      <c r="C49" s="49" t="s">
        <v>15</v>
      </c>
      <c r="D49" s="50" t="s">
        <v>62</v>
      </c>
      <c r="E49" s="51" t="s">
        <v>103</v>
      </c>
      <c r="F49" s="52" t="s">
        <v>26</v>
      </c>
      <c r="G49" s="53">
        <v>5</v>
      </c>
      <c r="H49" s="54">
        <v>1062.5</v>
      </c>
      <c r="I49" s="19">
        <f t="shared" si="1"/>
        <v>5312.5</v>
      </c>
    </row>
    <row r="50" spans="1:9" x14ac:dyDescent="0.25">
      <c r="A50" s="55"/>
      <c r="B50" s="1"/>
      <c r="C50" s="1"/>
      <c r="D50" s="56"/>
      <c r="E50" s="57"/>
      <c r="F50" s="56"/>
      <c r="G50" s="56"/>
      <c r="H50" s="58"/>
      <c r="I50" s="58"/>
    </row>
    <row r="51" spans="1:9" ht="15.75" thickBot="1" x14ac:dyDescent="0.3">
      <c r="A51" s="55"/>
      <c r="B51" s="1"/>
      <c r="C51" s="1"/>
      <c r="D51" s="56"/>
      <c r="E51" s="57"/>
      <c r="F51" s="56"/>
      <c r="G51" s="56"/>
      <c r="H51" s="58"/>
      <c r="I51" s="58"/>
    </row>
    <row r="52" spans="1:9" x14ac:dyDescent="0.25">
      <c r="A52" s="1"/>
      <c r="B52" s="59" t="s">
        <v>104</v>
      </c>
      <c r="C52" s="60"/>
      <c r="D52" s="60"/>
      <c r="E52" s="61"/>
      <c r="F52" s="1"/>
      <c r="G52" s="1"/>
      <c r="H52" s="1"/>
      <c r="I52" s="1"/>
    </row>
    <row r="53" spans="1:9" x14ac:dyDescent="0.25">
      <c r="A53" s="1"/>
      <c r="B53" s="62"/>
      <c r="C53" s="1"/>
      <c r="D53" s="1"/>
      <c r="E53" s="63"/>
      <c r="F53" s="1"/>
      <c r="G53" s="1"/>
      <c r="H53" s="1"/>
      <c r="I53" s="1"/>
    </row>
    <row r="54" spans="1:9" x14ac:dyDescent="0.25">
      <c r="A54" s="1"/>
      <c r="B54" s="62"/>
      <c r="C54" s="74" t="s">
        <v>105</v>
      </c>
      <c r="D54" s="74"/>
      <c r="E54" s="75"/>
      <c r="F54" s="64"/>
      <c r="G54" s="64"/>
      <c r="H54" s="64"/>
      <c r="I54" s="64"/>
    </row>
    <row r="55" spans="1:9" x14ac:dyDescent="0.25">
      <c r="A55" s="1"/>
      <c r="B55" s="62"/>
      <c r="C55" s="74" t="s">
        <v>106</v>
      </c>
      <c r="D55" s="74"/>
      <c r="E55" s="75"/>
      <c r="F55" s="1"/>
      <c r="G55" s="1"/>
      <c r="H55" s="1"/>
      <c r="I55" s="1"/>
    </row>
    <row r="56" spans="1:9" x14ac:dyDescent="0.25">
      <c r="A56" s="1"/>
      <c r="B56" s="62"/>
      <c r="C56" s="74" t="s">
        <v>107</v>
      </c>
      <c r="D56" s="74"/>
      <c r="E56" s="75"/>
      <c r="F56" s="1"/>
      <c r="G56" s="1"/>
      <c r="H56" s="1"/>
      <c r="I56" s="1"/>
    </row>
    <row r="57" spans="1:9" x14ac:dyDescent="0.25">
      <c r="A57" s="1"/>
      <c r="B57" s="62"/>
      <c r="C57" s="74" t="s">
        <v>108</v>
      </c>
      <c r="D57" s="74"/>
      <c r="E57" s="75"/>
      <c r="F57" s="1"/>
      <c r="G57" s="1"/>
      <c r="H57" s="1"/>
      <c r="I57" s="1"/>
    </row>
    <row r="58" spans="1:9" x14ac:dyDescent="0.25">
      <c r="A58" s="1"/>
      <c r="B58" s="62"/>
      <c r="C58" s="74" t="s">
        <v>109</v>
      </c>
      <c r="D58" s="74"/>
      <c r="E58" s="75"/>
      <c r="F58" s="1"/>
      <c r="G58" s="1"/>
      <c r="H58" s="1"/>
      <c r="I58" s="1"/>
    </row>
    <row r="59" spans="1:9" x14ac:dyDescent="0.25">
      <c r="A59" s="1"/>
      <c r="B59" s="62"/>
      <c r="C59" s="74" t="s">
        <v>110</v>
      </c>
      <c r="D59" s="74"/>
      <c r="E59" s="75"/>
      <c r="F59" s="1"/>
      <c r="G59" s="1"/>
      <c r="H59" s="1"/>
      <c r="I59" s="1"/>
    </row>
    <row r="60" spans="1:9" x14ac:dyDescent="0.25">
      <c r="A60" s="1"/>
      <c r="B60" s="62"/>
      <c r="C60" s="74" t="s">
        <v>111</v>
      </c>
      <c r="D60" s="74"/>
      <c r="E60" s="75"/>
      <c r="F60" s="1"/>
      <c r="G60" s="1"/>
      <c r="H60" s="1"/>
      <c r="I60" s="1"/>
    </row>
    <row r="61" spans="1:9" x14ac:dyDescent="0.25">
      <c r="A61" s="1"/>
      <c r="B61" s="62"/>
      <c r="C61" s="74" t="s">
        <v>112</v>
      </c>
      <c r="D61" s="74"/>
      <c r="E61" s="75"/>
      <c r="F61" s="1"/>
      <c r="G61" s="1"/>
      <c r="H61" s="1"/>
      <c r="I61" s="1"/>
    </row>
    <row r="62" spans="1:9" x14ac:dyDescent="0.25">
      <c r="A62" s="1"/>
      <c r="B62" s="65" t="s">
        <v>113</v>
      </c>
      <c r="C62" s="1"/>
      <c r="D62" s="1"/>
      <c r="E62" s="63"/>
      <c r="F62" s="1"/>
      <c r="G62" s="1"/>
      <c r="H62" s="1"/>
      <c r="I62" s="1"/>
    </row>
    <row r="63" spans="1:9" x14ac:dyDescent="0.25">
      <c r="A63" s="1"/>
      <c r="B63" s="65" t="s">
        <v>114</v>
      </c>
      <c r="C63" s="1"/>
      <c r="D63" s="1"/>
      <c r="E63" s="63"/>
      <c r="F63" s="1"/>
      <c r="G63" s="1"/>
      <c r="H63" s="1"/>
      <c r="I63" s="1"/>
    </row>
    <row r="64" spans="1:9" x14ac:dyDescent="0.25">
      <c r="A64" s="1"/>
      <c r="B64" s="66"/>
      <c r="C64" s="76" t="s">
        <v>115</v>
      </c>
      <c r="D64" s="76"/>
      <c r="E64" s="77"/>
      <c r="F64" s="1"/>
      <c r="G64" s="1"/>
      <c r="H64" s="1"/>
      <c r="I64" s="1"/>
    </row>
    <row r="65" spans="1:9" x14ac:dyDescent="0.25">
      <c r="A65" s="1"/>
      <c r="B65" s="66"/>
      <c r="C65" s="76" t="s">
        <v>116</v>
      </c>
      <c r="D65" s="76"/>
      <c r="E65" s="77"/>
      <c r="F65" s="1"/>
      <c r="G65" s="1"/>
      <c r="H65" s="1"/>
      <c r="I65" s="1"/>
    </row>
    <row r="66" spans="1:9" x14ac:dyDescent="0.25">
      <c r="A66" s="1"/>
      <c r="B66" s="66"/>
      <c r="C66" s="76" t="s">
        <v>117</v>
      </c>
      <c r="D66" s="76"/>
      <c r="E66" s="77"/>
      <c r="F66" s="1"/>
      <c r="G66" s="1"/>
      <c r="H66" s="1"/>
      <c r="I66" s="1"/>
    </row>
    <row r="67" spans="1:9" x14ac:dyDescent="0.25">
      <c r="A67" s="1"/>
      <c r="B67" s="65" t="s">
        <v>118</v>
      </c>
      <c r="C67" s="1"/>
      <c r="D67" s="1"/>
      <c r="E67" s="63"/>
      <c r="F67" s="1"/>
      <c r="G67" s="1"/>
      <c r="H67" s="1"/>
      <c r="I67" s="1"/>
    </row>
    <row r="68" spans="1:9" x14ac:dyDescent="0.25">
      <c r="A68" s="1"/>
      <c r="B68" s="66"/>
      <c r="C68" s="72"/>
      <c r="D68" s="72"/>
      <c r="E68" s="73"/>
      <c r="F68" s="1"/>
      <c r="G68" s="1"/>
      <c r="H68" s="1"/>
      <c r="I68" s="1"/>
    </row>
    <row r="69" spans="1:9" x14ac:dyDescent="0.25">
      <c r="A69" s="1"/>
      <c r="B69" s="65" t="s">
        <v>119</v>
      </c>
      <c r="C69" s="67"/>
      <c r="D69" s="67"/>
      <c r="E69" s="68"/>
      <c r="F69" s="1"/>
      <c r="G69" s="1"/>
      <c r="H69" s="1"/>
      <c r="I69" s="1"/>
    </row>
    <row r="70" spans="1:9" x14ac:dyDescent="0.25">
      <c r="A70" s="1"/>
      <c r="B70" s="65" t="s">
        <v>120</v>
      </c>
      <c r="C70" s="1"/>
      <c r="D70" s="1"/>
      <c r="E70" s="63"/>
      <c r="F70" s="1"/>
      <c r="G70" s="1"/>
      <c r="H70" s="1"/>
      <c r="I70" s="1"/>
    </row>
    <row r="71" spans="1:9" ht="15.75" thickBot="1" x14ac:dyDescent="0.3">
      <c r="A71" s="1"/>
      <c r="B71" s="69"/>
      <c r="C71" s="70"/>
      <c r="D71" s="70"/>
      <c r="E71" s="71"/>
      <c r="F71" s="1"/>
      <c r="G71" s="1"/>
      <c r="H71" s="1"/>
      <c r="I71" s="1"/>
    </row>
  </sheetData>
  <mergeCells count="19">
    <mergeCell ref="C58:E58"/>
    <mergeCell ref="B1:H1"/>
    <mergeCell ref="A3:B3"/>
    <mergeCell ref="C3:E3"/>
    <mergeCell ref="A4:B4"/>
    <mergeCell ref="C4:E4"/>
    <mergeCell ref="A5:B5"/>
    <mergeCell ref="A6:B6"/>
    <mergeCell ref="C54:E54"/>
    <mergeCell ref="C55:E55"/>
    <mergeCell ref="C56:E56"/>
    <mergeCell ref="C57:E57"/>
    <mergeCell ref="C68:E68"/>
    <mergeCell ref="C59:E59"/>
    <mergeCell ref="C60:E60"/>
    <mergeCell ref="C61:E61"/>
    <mergeCell ref="C64:E64"/>
    <mergeCell ref="C65:E65"/>
    <mergeCell ref="C66:E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SARTOR</dc:creator>
  <cp:lastModifiedBy>RODOLFO SARTOR</cp:lastModifiedBy>
  <dcterms:created xsi:type="dcterms:W3CDTF">2022-05-10T13:03:07Z</dcterms:created>
  <dcterms:modified xsi:type="dcterms:W3CDTF">2022-05-10T13:16:39Z</dcterms:modified>
</cp:coreProperties>
</file>