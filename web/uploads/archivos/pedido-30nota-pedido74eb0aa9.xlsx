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4DE7A407-20F6-4C3C-9DA9-C5366392A3F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Trimestrales'!$A$9:$I$26</definedName>
    <definedName name="_xlnm.Print_Area" localSheetId="2">'Autor Gastar'!$A$1:$Q$27</definedName>
    <definedName name="_xlnm.Print_Area" localSheetId="1">NotaPedido!$A$1:$K$29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2" l="1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12" i="2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1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K17" i="2"/>
  <c r="K18" i="2"/>
  <c r="K19" i="2"/>
  <c r="K20" i="2"/>
  <c r="K21" i="2"/>
  <c r="K22" i="2"/>
  <c r="K23" i="2"/>
  <c r="K24" i="2"/>
  <c r="K25" i="2"/>
  <c r="K26" i="2"/>
  <c r="K27" i="2"/>
  <c r="K28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J18" i="2"/>
  <c r="J19" i="2"/>
  <c r="J20" i="2"/>
  <c r="J21" i="2"/>
  <c r="J22" i="2"/>
  <c r="J23" i="2"/>
  <c r="J24" i="2"/>
  <c r="J25" i="2"/>
  <c r="J26" i="2"/>
  <c r="J27" i="2"/>
  <c r="J28" i="2"/>
  <c r="I17" i="2"/>
  <c r="I18" i="2"/>
  <c r="I19" i="2"/>
  <c r="I20" i="2"/>
  <c r="I21" i="2"/>
  <c r="I22" i="2"/>
  <c r="I23" i="2"/>
  <c r="I24" i="2"/>
  <c r="I25" i="2"/>
  <c r="I26" i="2"/>
  <c r="I27" i="2"/>
  <c r="I28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K27" i="1" l="1"/>
  <c r="J29" i="2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<sst xmlns="http://schemas.openxmlformats.org/spreadsheetml/2006/main" count="284" uniqueCount="131">
  <si>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</si>
  <si>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</si>
  <si>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</si>
  <si>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</si>
  <si>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</si>
  <si>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</si>
  <si>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</si>
  <si>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</si>
  <si>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</si>
  <si>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</si>
  <si>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</si>
  <si>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</si>
  <si>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</si>
  <si>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</si>
  <si>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</si>
  <si>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</si>
  <si>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</si>
  <si>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</si>
  <si>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</si>
  <si>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</si>
  <si>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</si>
  <si>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</si>
  <si>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</si>
  <si>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</si>
  <si>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</si>
  <si>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</si>
  <si>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</si>
  <si>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</si>
  <si>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</si>
  <si>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</si>
  <si>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</si>
  <si>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</si>
  <si>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</si>
  <si>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</si>
  <si>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</si>
  <si>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</si>
  <si>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</si>
  <si>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</si>
  <si>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</si>
  <si>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</si>
  <si>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</si>
  <si>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</si>
  <si>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</si>
  <si>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</si>
  <si>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</si>
  <si>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</si>
  <si>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</si>
  <si>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</si>
  <si>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</si>
  <si>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</si>
  <si>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</si>
  <si>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</si>
  <si>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</si>
  <si>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</si>
  <si>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</si>
  <si>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</si>
  <si>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</si>
  <si>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</si>
  <si>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</si>
  <si>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</si>
  <si>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</si>
  <si>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</si>
  <si>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</si>
  <si>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</si>
  <si>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Utiles Menores Med. Quir. y de Lab.</t>
  </si>
  <si>
    <t>2.3.4-938.46</t>
  </si>
  <si>
    <t>UNIDAD</t>
  </si>
  <si>
    <t>2.9.4-689.15</t>
  </si>
  <si>
    <t>2.9.4-1184.42</t>
  </si>
  <si>
    <t>2.5.8-3977.40</t>
  </si>
  <si>
    <t>2.9.4-6970.3</t>
  </si>
  <si>
    <t>2.9.4-1184.49</t>
  </si>
  <si>
    <t>2.9.4-690.15</t>
  </si>
  <si>
    <t>2.5.8-1055.37</t>
  </si>
  <si>
    <t>2.9.4-4743.4</t>
  </si>
  <si>
    <t>2.9.4-692.10</t>
  </si>
  <si>
    <t>2.3.4-938.59</t>
  </si>
  <si>
    <t>2.9.4-4743.24</t>
  </si>
  <si>
    <t>2.9.4-690.16</t>
  </si>
  <si>
    <t>2.9.4-1015.40</t>
  </si>
  <si>
    <t>2.9.4-588.70</t>
  </si>
  <si>
    <t>2.9.5-1909.206</t>
  </si>
  <si>
    <t>BAZAR Y MENAJE</t>
  </si>
  <si>
    <t>FERRETERIA</t>
  </si>
  <si>
    <t>2.5.8-5590.59</t>
  </si>
  <si>
    <t>LIBRERIA,PAP. Y UTILES OFICINA</t>
  </si>
  <si>
    <t>PROD. MEDICO/FARMACEUTICOS/LAB</t>
  </si>
  <si>
    <t>VASOS PLASTICOS DESCARTABLES; MATERIAL: POLIESTIRENO, MOTIVO: LISO, CAPACIDAD: 240 CM3, PRESENTACION: ENVASE X 1000 UN, TIPO: APTO MICROONDAS</t>
  </si>
  <si>
    <t>Especificidades Item N° 7:</t>
  </si>
  <si>
    <t>Cucharitas para postre, blancas plasticas descartables</t>
  </si>
  <si>
    <t>Especificidades Item N° 9:</t>
  </si>
  <si>
    <t xml:space="preserve">Cuchillos Plásticos Super Reforzados Serruchos  color Blanco descartables </t>
  </si>
  <si>
    <t>Especificidades Item N° 13:</t>
  </si>
  <si>
    <t xml:space="preserve">Tenedores Plásticos Super Reforzados Firmes color Blanco descartables </t>
  </si>
  <si>
    <t>VASOS DE POLIESTILENO EXPANDIDO CAPACIDAD: 180 CM3 CON TAPA</t>
  </si>
  <si>
    <t xml:space="preserve">VASOS DE POLIESTILENO EXPANDIDO CAPACIDAD: 240 CM3 CON TAPA TERMICO </t>
  </si>
  <si>
    <t>MANTENIMIENTO DE OFERTA: 45 DIAS HABILES</t>
  </si>
  <si>
    <t>Especificidades Item N° 10:</t>
  </si>
  <si>
    <t>Especificidades Item N° 3:</t>
  </si>
  <si>
    <t>Especificidades Item N° 6:</t>
  </si>
  <si>
    <t xml:space="preserve">Productos de papel y cartón </t>
  </si>
  <si>
    <t xml:space="preserve">Productos de material plástico </t>
  </si>
  <si>
    <t>Utensillos de Cocina y Comedor</t>
  </si>
  <si>
    <t>Servicio de Nutricion</t>
  </si>
  <si>
    <t>SI</t>
  </si>
  <si>
    <t xml:space="preserve">SI </t>
  </si>
  <si>
    <t xml:space="preserve">Servicio de Nutrición - Avda. Illia y Mariano Moreno de lunes a viernes de 08:00 a 11:00 horas </t>
  </si>
  <si>
    <t>Costo total estimado: PESOS UN MILLON SEISCIENTOS CINCUENTA Y OCHO MIL CUATROCIENTOS CON 00/100.---</t>
  </si>
  <si>
    <t>TOTAL DE PESOS: UN MILLON SEISCIENTOS CINCUENTA Y OCHO MIL CUATROCIENTOS CON 00/100.---</t>
  </si>
  <si>
    <t>Adquisición de Descartables para Nutrición</t>
  </si>
  <si>
    <t>BANDEJA CON TAPA</t>
  </si>
  <si>
    <t>019 - 2022</t>
  </si>
  <si>
    <t>PLAZO DE ENTREGA: 10 DIAS CORRIDOS - LUGAR DE ENTREGA: SERVICIO DE NUTRICION - HOSPITAL INTERZONAL SAN JUAN BAUTISTA - AV. ILLIA ESQ. MARIANO MORENO - DE LUNES A VIERNES EN EL HORARIO DE 08:00 A 11:00 HORAS.</t>
  </si>
  <si>
    <t>SERVILLETAS DE PAPEL; TIPO: LISAS, MOTIVO: SIN, DIMENSION: 33 X 33 Cm, PRESENTACION: PAQUETE X 1000 UN, COLOR: BLANCA</t>
  </si>
  <si>
    <t>CUCHILLOS; TIPO: DE MESA, MATERIAL: PLASTICO</t>
  </si>
  <si>
    <t>VASOS; MATERIAL: POLIESTIRENO EXPANDIDO, TIPO: DESCARTABLE, CAPACIDAD: 180 CM3</t>
  </si>
  <si>
    <t>BOLSAS DE POLIETILENO; TAMAÑO: 15 X 25 Cm, ESPESOR: 17 Mn, PRESENTACION: ROLLO X 200 UN</t>
  </si>
  <si>
    <t>COMPOTERAS; MATERIAL: POLICARBONATO, CAPACIDAD: 250 Ml</t>
  </si>
  <si>
    <t>VASOS; MATERIAL: POLIESTIRENO, TIPO: TERMICO, CAPACIDAD: 240 mL</t>
  </si>
  <si>
    <t>CUCHARAS; TIPO: DE MESA, MATERIAL: PLASTICO</t>
  </si>
  <si>
    <t>BANDEJAS DE PLASTICO; MATERIAL: PLASTICO, LARGO X ANCHO: 233 X 170 mm, FORMA: OVAL, PRESENTACION: CAJA X 600</t>
  </si>
  <si>
    <t>BANDEJA P/TRANSP. DE ALIMENTO; CAPACIDAD: 700 GR, MATERIAL: ALUMINIO, TIPO: SIN VALOR, MEDIDAS: 14 X 10 X 4,5 Cm, INTERIOR: SIN VALOR, EXTERIOR: SIN VALOR, DIMENSION: 14 X 10 X 4,5 Cm, ACABADO: SIN VALOR</t>
  </si>
  <si>
    <t>TENEDORES; TIPO: DE MESA, MATERIAL: PLASTICO</t>
  </si>
  <si>
    <t>SERVILLETAS DE PAPEL; TIPO: ROLLO, MOTIVO: SIN, DIMENSION: 25 X 10 Cm, PRESENTACION: ENVASE X 3 UN</t>
  </si>
  <si>
    <t>BANDEJA P/TRANSP. DE ALIMENTO; DIMENSION: 18 X 14 X 4 Cm, TIPO: C/TAPA, MATERIAL: ALUMINIO APTO MICROONDAS, CAPACIDAD: 750 CM3</t>
  </si>
  <si>
    <t>CUCHARAS; TIPO: TE, MATERIAL: PLASTICO</t>
  </si>
  <si>
    <t>FILMS DE POLIETILENO; ESPESOR: 10 Mn, ANCHO: 45 Cm, PRESENTACION: ROLLO X 900 M, USO: ALIMENTARIO</t>
  </si>
  <si>
    <t>BANDEJAS DE MESA; MATERIAL: PLASTICO, DIMENSION: 16,5 X 12 X 5,5 Cm, FORMA: RECTANGULAR</t>
  </si>
  <si>
    <t>GUANTES USO MEDICINAL; TIPO: DESCARTABLE, TAMAÑO: UNICO, MATERIAL: POLIETILENO, PRESENTACION: ENVASE X 100 UN, ESTERIL: SI, TALCO: NO, DESCARTABLE: SI</t>
  </si>
  <si>
    <t>Cucharas de Plastico Blancas Tipo Sopera Descartable Reforzadas</t>
  </si>
  <si>
    <t>COMPOTERAS; MATERIAL: POLICARBONATO, CAPACIDAD: 250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</si>
</sst>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  <font>
      <b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166" fontId="15" fillId="0" borderId="0" xfId="0" applyNumberFormat="1" applyFont="1"/>
    <xf numFmtId="0" fontId="20" fillId="6" borderId="14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left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24" fillId="6" borderId="14" xfId="0" applyFont="1" applyFill="1" applyBorder="1" applyAlignment="1">
      <alignment vertical="center" wrapText="1"/>
    </xf>
    <xf numFmtId="166" fontId="20" fillId="3" borderId="14" xfId="1" applyNumberFormat="1" applyFont="1" applyFill="1" applyBorder="1" applyAlignment="1" applyProtection="1">
      <alignment horizontal="center" vertical="center" wrapText="1"/>
    </xf>
    <xf numFmtId="166" fontId="20" fillId="3" borderId="14" xfId="1" applyNumberFormat="1" applyFont="1" applyFill="1" applyBorder="1" applyAlignment="1" applyProtection="1">
      <alignment horizontal="right" vertical="center" wrapText="1"/>
    </xf>
    <xf numFmtId="0" fontId="17" fillId="0" borderId="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26" fillId="0" borderId="48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0" fillId="0" borderId="0" xfId="0" applyAlignment="1">
      <alignment vertical="center" wrapText="1"/>
    </xf>
    <xf numFmtId="167" fontId="15" fillId="0" borderId="0" xfId="0" applyNumberFormat="1" applyFont="1"/>
    <xf numFmtId="167" fontId="2" fillId="0" borderId="0" xfId="0" applyNumberFormat="1" applyFont="1" applyBorder="1" applyAlignment="1">
      <alignment vertical="center"/>
    </xf>
    <xf numFmtId="167" fontId="0" fillId="0" borderId="0" xfId="0" applyNumberForma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35"/>
  <sheetViews>
    <sheetView tabSelected="1" topLeftCell="A16" zoomScale="85" zoomScaleNormal="85" workbookViewId="0">
      <selection activeCell="B13" sqref="B13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0" width="11" style="39"/>
    <col min="11" max="11" width="13.28515625" style="39" bestFit="1" customWidth="1"/>
    <col min="12" max="12" width="11" style="39"/>
    <col min="13" max="13" width="12.42578125" style="39" bestFit="1" customWidth="1"/>
    <col min="14" max="16384" width="11" style="39"/>
  </cols>
  <sheetData>
    <row r="2" spans="1:16" ht="27" x14ac:dyDescent="0.35">
      <c r="B2" s="92" t="s">
        <v>0</v>
      </c>
      <c r="C2" s="92"/>
      <c r="D2" s="92"/>
      <c r="E2" s="92"/>
      <c r="F2" s="92"/>
      <c r="G2" s="92"/>
      <c r="H2" s="92"/>
    </row>
    <row r="4" spans="1:16" ht="18" customHeight="1" x14ac:dyDescent="0.25">
      <c r="A4" s="81" t="s">
        <v>1</v>
      </c>
      <c r="B4" s="81"/>
      <c r="C4" s="93" t="s">
        <v>58</v>
      </c>
      <c r="D4" s="93"/>
      <c r="E4" s="93"/>
      <c r="F4" s="40"/>
      <c r="G4" s="41"/>
      <c r="H4" s="40"/>
    </row>
    <row r="5" spans="1:16" ht="18" customHeight="1" x14ac:dyDescent="0.25">
      <c r="A5" s="81" t="s">
        <v>2</v>
      </c>
      <c r="B5" s="81"/>
      <c r="C5" s="93" t="s">
        <v>59</v>
      </c>
      <c r="D5" s="93"/>
      <c r="E5" s="93"/>
      <c r="F5" s="40"/>
      <c r="G5" s="41"/>
      <c r="H5" s="40"/>
    </row>
    <row r="6" spans="1:16" ht="16.5" customHeight="1" x14ac:dyDescent="0.25">
      <c r="A6" s="81" t="s">
        <v>3</v>
      </c>
      <c r="B6" s="81"/>
      <c r="C6" s="56">
        <v>2022</v>
      </c>
      <c r="D6" s="57"/>
      <c r="E6" s="57"/>
      <c r="F6" s="40"/>
      <c r="G6" s="41"/>
      <c r="H6" s="40"/>
    </row>
    <row r="7" spans="1:16" ht="16.5" customHeight="1" x14ac:dyDescent="0.25">
      <c r="A7" s="81" t="s">
        <v>4</v>
      </c>
      <c r="B7" s="81"/>
      <c r="C7" s="56">
        <v>1</v>
      </c>
      <c r="D7" s="57"/>
      <c r="E7" s="57"/>
      <c r="F7" s="40"/>
      <c r="G7" s="41"/>
      <c r="H7" s="40"/>
    </row>
    <row r="8" spans="1:16" ht="13.5" thickBot="1" x14ac:dyDescent="0.25">
      <c r="B8" s="40"/>
      <c r="C8" s="41"/>
      <c r="D8" s="40"/>
      <c r="E8" s="40"/>
      <c r="F8" s="40"/>
      <c r="G8" s="41"/>
      <c r="H8" s="40"/>
    </row>
    <row r="9" spans="1:16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16" ht="55.5" customHeight="1" thickBot="1" x14ac:dyDescent="0.25">
      <c r="A10" s="74">
        <v>1</v>
      </c>
      <c r="B10" s="75" t="s">
        <v>65</v>
      </c>
      <c r="C10" s="76" t="s">
        <v>82</v>
      </c>
      <c r="D10" s="77" t="str">
        <f>LEFT(B10,5)</f>
        <v>2.3.4</v>
      </c>
      <c r="E10" s="78" t="s">
        <v>113</v>
      </c>
      <c r="F10" s="75" t="s">
        <v>66</v>
      </c>
      <c r="G10" s="75">
        <v>10</v>
      </c>
      <c r="H10" s="79">
        <v>1300</v>
      </c>
      <c r="I10" s="80">
        <f t="shared" ref="I10:I26" si="0">G10*H10</f>
        <v>13000</v>
      </c>
      <c r="K10" s="134">
        <f>G10*H10</f>
        <v>13000</v>
      </c>
      <c r="L10" s="133" t="s">
        <v>113</v>
      </c>
      <c r="M10" s="39" t="b">
        <f>E10=L10</f>
        <v>1</v>
      </c>
    </row>
    <row r="11" spans="1:16" ht="42.75" customHeight="1" thickBot="1" x14ac:dyDescent="0.25">
      <c r="A11" s="74">
        <v>2</v>
      </c>
      <c r="B11" s="75" t="s">
        <v>67</v>
      </c>
      <c r="C11" s="76" t="s">
        <v>82</v>
      </c>
      <c r="D11" s="77" t="str">
        <f t="shared" ref="D11:D26" si="1">LEFT(B11,5)</f>
        <v>2.9.4</v>
      </c>
      <c r="E11" s="78" t="s">
        <v>114</v>
      </c>
      <c r="F11" s="75" t="s">
        <v>66</v>
      </c>
      <c r="G11" s="75">
        <v>12000</v>
      </c>
      <c r="H11" s="79">
        <v>2.5</v>
      </c>
      <c r="I11" s="80">
        <f t="shared" si="0"/>
        <v>30000</v>
      </c>
      <c r="K11" s="134">
        <f t="shared" ref="K11:K26" si="2">G11*H11</f>
        <v>30000</v>
      </c>
      <c r="L11" s="133" t="s">
        <v>114</v>
      </c>
      <c r="M11" s="39" t="b">
        <f t="shared" ref="M11:M26" si="3">E11=L11</f>
        <v>1</v>
      </c>
      <c r="N11" s="82" t="s">
        <v>91</v>
      </c>
      <c r="O11" s="82"/>
      <c r="P11" s="82"/>
    </row>
    <row r="12" spans="1:16" ht="59.25" customHeight="1" thickBot="1" x14ac:dyDescent="0.25">
      <c r="A12" s="74">
        <v>3</v>
      </c>
      <c r="B12" s="75" t="s">
        <v>68</v>
      </c>
      <c r="C12" s="76" t="s">
        <v>82</v>
      </c>
      <c r="D12" s="77" t="str">
        <f t="shared" si="1"/>
        <v>2.9.4</v>
      </c>
      <c r="E12" s="78" t="s">
        <v>115</v>
      </c>
      <c r="F12" s="75" t="s">
        <v>66</v>
      </c>
      <c r="G12" s="75">
        <v>5000</v>
      </c>
      <c r="H12" s="79">
        <v>9</v>
      </c>
      <c r="I12" s="80">
        <f t="shared" si="0"/>
        <v>45000</v>
      </c>
      <c r="K12" s="134">
        <f t="shared" si="2"/>
        <v>45000</v>
      </c>
      <c r="L12" s="133" t="s">
        <v>115</v>
      </c>
      <c r="M12" s="39" t="b">
        <f t="shared" si="3"/>
        <v>1</v>
      </c>
      <c r="N12" s="82" t="s">
        <v>94</v>
      </c>
      <c r="O12" s="82"/>
      <c r="P12" s="82"/>
    </row>
    <row r="13" spans="1:16" ht="40.5" customHeight="1" thickBot="1" x14ac:dyDescent="0.25">
      <c r="A13" s="74">
        <v>4</v>
      </c>
      <c r="B13" s="75" t="s">
        <v>69</v>
      </c>
      <c r="C13" s="76" t="s">
        <v>83</v>
      </c>
      <c r="D13" s="77" t="str">
        <f t="shared" si="1"/>
        <v>2.5.8</v>
      </c>
      <c r="E13" s="78" t="s">
        <v>116</v>
      </c>
      <c r="F13" s="75" t="s">
        <v>66</v>
      </c>
      <c r="G13" s="75">
        <v>100</v>
      </c>
      <c r="H13" s="79">
        <v>250</v>
      </c>
      <c r="I13" s="80">
        <f t="shared" si="0"/>
        <v>25000</v>
      </c>
      <c r="K13" s="134">
        <f t="shared" si="2"/>
        <v>25000</v>
      </c>
      <c r="L13" s="133" t="s">
        <v>116</v>
      </c>
      <c r="M13" s="39" t="b">
        <f t="shared" si="3"/>
        <v>1</v>
      </c>
    </row>
    <row r="14" spans="1:16" ht="31.9" customHeight="1" thickBot="1" x14ac:dyDescent="0.25">
      <c r="A14" s="74">
        <v>5</v>
      </c>
      <c r="B14" s="75" t="s">
        <v>70</v>
      </c>
      <c r="C14" s="76" t="s">
        <v>82</v>
      </c>
      <c r="D14" s="77" t="str">
        <f t="shared" si="1"/>
        <v>2.9.4</v>
      </c>
      <c r="E14" s="78" t="s">
        <v>117</v>
      </c>
      <c r="F14" s="75" t="s">
        <v>66</v>
      </c>
      <c r="G14" s="75">
        <v>18000</v>
      </c>
      <c r="H14" s="79">
        <v>8.5</v>
      </c>
      <c r="I14" s="80">
        <f t="shared" si="0"/>
        <v>153000</v>
      </c>
      <c r="K14" s="134">
        <f t="shared" si="2"/>
        <v>153000</v>
      </c>
      <c r="L14" t="s">
        <v>130</v>
      </c>
      <c r="M14" s="39" t="b">
        <f t="shared" si="3"/>
        <v>1</v>
      </c>
    </row>
    <row r="15" spans="1:16" ht="45" customHeight="1" thickBot="1" x14ac:dyDescent="0.25">
      <c r="A15" s="74">
        <v>6</v>
      </c>
      <c r="B15" s="75" t="s">
        <v>71</v>
      </c>
      <c r="C15" s="76" t="s">
        <v>82</v>
      </c>
      <c r="D15" s="77" t="str">
        <f t="shared" si="1"/>
        <v>2.9.4</v>
      </c>
      <c r="E15" s="78" t="s">
        <v>118</v>
      </c>
      <c r="F15" s="75" t="s">
        <v>66</v>
      </c>
      <c r="G15" s="75">
        <v>20000</v>
      </c>
      <c r="H15" s="79">
        <v>8</v>
      </c>
      <c r="I15" s="80">
        <f t="shared" si="0"/>
        <v>160000</v>
      </c>
      <c r="K15" s="134">
        <f t="shared" si="2"/>
        <v>160000</v>
      </c>
      <c r="L15" s="133" t="s">
        <v>118</v>
      </c>
      <c r="M15" s="39" t="b">
        <f t="shared" si="3"/>
        <v>1</v>
      </c>
      <c r="N15" s="82" t="s">
        <v>95</v>
      </c>
      <c r="O15" s="82"/>
      <c r="P15" s="82"/>
    </row>
    <row r="16" spans="1:16" ht="45.75" customHeight="1" thickBot="1" x14ac:dyDescent="0.25">
      <c r="A16" s="74">
        <v>7</v>
      </c>
      <c r="B16" s="75" t="s">
        <v>72</v>
      </c>
      <c r="C16" s="76" t="s">
        <v>82</v>
      </c>
      <c r="D16" s="77" t="str">
        <f t="shared" si="1"/>
        <v>2.9.4</v>
      </c>
      <c r="E16" s="78" t="s">
        <v>119</v>
      </c>
      <c r="F16" s="75" t="s">
        <v>66</v>
      </c>
      <c r="G16" s="75">
        <v>12000</v>
      </c>
      <c r="H16" s="79">
        <v>3.5</v>
      </c>
      <c r="I16" s="80">
        <f t="shared" si="0"/>
        <v>42000</v>
      </c>
      <c r="K16" s="134">
        <f t="shared" si="2"/>
        <v>42000</v>
      </c>
      <c r="L16" t="s">
        <v>119</v>
      </c>
      <c r="M16" s="39" t="b">
        <f t="shared" si="3"/>
        <v>1</v>
      </c>
      <c r="N16" s="82" t="s">
        <v>129</v>
      </c>
      <c r="O16" s="82"/>
      <c r="P16" s="82"/>
    </row>
    <row r="17" spans="1:16" ht="46.5" customHeight="1" thickBot="1" x14ac:dyDescent="0.25">
      <c r="A17" s="74">
        <v>8</v>
      </c>
      <c r="B17" s="75" t="s">
        <v>73</v>
      </c>
      <c r="C17" s="76" t="s">
        <v>82</v>
      </c>
      <c r="D17" s="77" t="str">
        <f t="shared" si="1"/>
        <v>2.5.8</v>
      </c>
      <c r="E17" s="78" t="s">
        <v>120</v>
      </c>
      <c r="F17" s="75" t="s">
        <v>66</v>
      </c>
      <c r="G17" s="75">
        <v>10</v>
      </c>
      <c r="H17" s="79">
        <v>27000</v>
      </c>
      <c r="I17" s="80">
        <f t="shared" si="0"/>
        <v>270000</v>
      </c>
      <c r="K17" s="134">
        <f t="shared" si="2"/>
        <v>270000</v>
      </c>
      <c r="L17" t="s">
        <v>120</v>
      </c>
      <c r="M17" s="39" t="b">
        <f t="shared" si="3"/>
        <v>1</v>
      </c>
    </row>
    <row r="18" spans="1:16" ht="66" customHeight="1" thickBot="1" x14ac:dyDescent="0.25">
      <c r="A18" s="74">
        <v>9</v>
      </c>
      <c r="B18" s="75" t="s">
        <v>74</v>
      </c>
      <c r="C18" s="76" t="s">
        <v>82</v>
      </c>
      <c r="D18" s="77" t="str">
        <f t="shared" si="1"/>
        <v>2.9.4</v>
      </c>
      <c r="E18" s="78" t="s">
        <v>121</v>
      </c>
      <c r="F18" s="75" t="s">
        <v>66</v>
      </c>
      <c r="G18" s="75">
        <v>1000</v>
      </c>
      <c r="H18" s="79">
        <v>18</v>
      </c>
      <c r="I18" s="80">
        <f t="shared" si="0"/>
        <v>18000</v>
      </c>
      <c r="K18" s="134">
        <f t="shared" si="2"/>
        <v>18000</v>
      </c>
      <c r="L18" s="133" t="s">
        <v>121</v>
      </c>
      <c r="M18" s="39" t="b">
        <f t="shared" si="3"/>
        <v>1</v>
      </c>
      <c r="N18" s="82" t="s">
        <v>110</v>
      </c>
      <c r="O18" s="82"/>
      <c r="P18" s="82"/>
    </row>
    <row r="19" spans="1:16" ht="43.5" customHeight="1" thickBot="1" x14ac:dyDescent="0.25">
      <c r="A19" s="74">
        <v>10</v>
      </c>
      <c r="B19" s="75" t="s">
        <v>75</v>
      </c>
      <c r="C19" s="76" t="s">
        <v>82</v>
      </c>
      <c r="D19" s="77" t="str">
        <f t="shared" si="1"/>
        <v>2.9.4</v>
      </c>
      <c r="E19" s="78" t="s">
        <v>122</v>
      </c>
      <c r="F19" s="75" t="s">
        <v>66</v>
      </c>
      <c r="G19" s="75">
        <v>12000</v>
      </c>
      <c r="H19" s="79">
        <v>2.5</v>
      </c>
      <c r="I19" s="80">
        <f t="shared" si="0"/>
        <v>30000</v>
      </c>
      <c r="K19" s="134">
        <f t="shared" si="2"/>
        <v>30000</v>
      </c>
      <c r="L19" s="133" t="s">
        <v>122</v>
      </c>
      <c r="M19" s="39" t="b">
        <f t="shared" si="3"/>
        <v>1</v>
      </c>
      <c r="N19" s="82" t="s">
        <v>93</v>
      </c>
      <c r="O19" s="82"/>
      <c r="P19" s="82"/>
    </row>
    <row r="20" spans="1:16" ht="41.25" customHeight="1" thickBot="1" x14ac:dyDescent="0.25">
      <c r="A20" s="74">
        <v>11</v>
      </c>
      <c r="B20" s="75" t="s">
        <v>76</v>
      </c>
      <c r="C20" s="76" t="s">
        <v>82</v>
      </c>
      <c r="D20" s="77" t="str">
        <f t="shared" si="1"/>
        <v>2.3.4</v>
      </c>
      <c r="E20" s="78" t="s">
        <v>123</v>
      </c>
      <c r="F20" s="75" t="s">
        <v>66</v>
      </c>
      <c r="G20" s="75">
        <v>30</v>
      </c>
      <c r="H20" s="79">
        <v>110</v>
      </c>
      <c r="I20" s="80">
        <f t="shared" si="0"/>
        <v>3300</v>
      </c>
      <c r="K20" s="134">
        <f t="shared" si="2"/>
        <v>3300</v>
      </c>
      <c r="L20" t="s">
        <v>123</v>
      </c>
      <c r="M20" s="39" t="b">
        <f t="shared" si="3"/>
        <v>1</v>
      </c>
    </row>
    <row r="21" spans="1:16" ht="51.75" customHeight="1" thickBot="1" x14ac:dyDescent="0.25">
      <c r="A21" s="74">
        <v>12</v>
      </c>
      <c r="B21" s="75" t="s">
        <v>77</v>
      </c>
      <c r="C21" s="76" t="s">
        <v>82</v>
      </c>
      <c r="D21" s="77" t="str">
        <f t="shared" si="1"/>
        <v>2.9.4</v>
      </c>
      <c r="E21" s="78" t="s">
        <v>124</v>
      </c>
      <c r="F21" s="75" t="s">
        <v>66</v>
      </c>
      <c r="G21" s="75">
        <v>25000</v>
      </c>
      <c r="H21" s="79">
        <v>21</v>
      </c>
      <c r="I21" s="80">
        <f t="shared" si="0"/>
        <v>525000</v>
      </c>
      <c r="K21" s="134">
        <f t="shared" si="2"/>
        <v>525000</v>
      </c>
      <c r="L21" t="s">
        <v>124</v>
      </c>
      <c r="M21" s="39" t="b">
        <f t="shared" si="3"/>
        <v>1</v>
      </c>
    </row>
    <row r="22" spans="1:16" ht="41.25" customHeight="1" thickBot="1" x14ac:dyDescent="0.25">
      <c r="A22" s="74">
        <v>13</v>
      </c>
      <c r="B22" s="75" t="s">
        <v>78</v>
      </c>
      <c r="C22" s="76" t="s">
        <v>82</v>
      </c>
      <c r="D22" s="77" t="str">
        <f t="shared" si="1"/>
        <v>2.9.4</v>
      </c>
      <c r="E22" s="78" t="s">
        <v>125</v>
      </c>
      <c r="F22" s="75" t="s">
        <v>66</v>
      </c>
      <c r="G22" s="75">
        <v>12000</v>
      </c>
      <c r="H22" s="79">
        <v>1.5</v>
      </c>
      <c r="I22" s="80">
        <f t="shared" si="0"/>
        <v>18000</v>
      </c>
      <c r="K22" s="134">
        <f t="shared" si="2"/>
        <v>18000</v>
      </c>
      <c r="L22" t="s">
        <v>125</v>
      </c>
      <c r="M22" s="39" t="b">
        <f t="shared" si="3"/>
        <v>1</v>
      </c>
      <c r="N22" s="82" t="s">
        <v>89</v>
      </c>
      <c r="O22" s="82"/>
      <c r="P22" s="82"/>
    </row>
    <row r="23" spans="1:16" ht="45.75" customHeight="1" thickBot="1" x14ac:dyDescent="0.25">
      <c r="A23" s="74">
        <v>14</v>
      </c>
      <c r="B23" s="75" t="s">
        <v>84</v>
      </c>
      <c r="C23" s="76" t="s">
        <v>85</v>
      </c>
      <c r="D23" s="77" t="str">
        <f t="shared" si="1"/>
        <v>2.5.8</v>
      </c>
      <c r="E23" s="78" t="s">
        <v>126</v>
      </c>
      <c r="F23" s="75" t="s">
        <v>66</v>
      </c>
      <c r="G23" s="75">
        <v>3</v>
      </c>
      <c r="H23" s="79">
        <v>4900</v>
      </c>
      <c r="I23" s="80">
        <f t="shared" si="0"/>
        <v>14700</v>
      </c>
      <c r="K23" s="134">
        <f t="shared" si="2"/>
        <v>14700</v>
      </c>
      <c r="L23" t="s">
        <v>126</v>
      </c>
      <c r="M23" s="39" t="b">
        <f t="shared" si="3"/>
        <v>1</v>
      </c>
    </row>
    <row r="24" spans="1:16" ht="42" customHeight="1" thickBot="1" x14ac:dyDescent="0.25">
      <c r="A24" s="74">
        <v>15</v>
      </c>
      <c r="B24" s="75" t="s">
        <v>79</v>
      </c>
      <c r="C24" s="76" t="s">
        <v>82</v>
      </c>
      <c r="D24" s="77" t="str">
        <f t="shared" si="1"/>
        <v>2.9.4</v>
      </c>
      <c r="E24" s="78" t="s">
        <v>127</v>
      </c>
      <c r="F24" s="75" t="s">
        <v>66</v>
      </c>
      <c r="G24" s="75">
        <v>1500</v>
      </c>
      <c r="H24" s="79">
        <v>9</v>
      </c>
      <c r="I24" s="80">
        <f t="shared" si="0"/>
        <v>13500</v>
      </c>
      <c r="K24" s="134">
        <f t="shared" si="2"/>
        <v>13500</v>
      </c>
      <c r="L24" t="s">
        <v>127</v>
      </c>
      <c r="M24" s="39" t="b">
        <f t="shared" si="3"/>
        <v>1</v>
      </c>
    </row>
    <row r="25" spans="1:16" ht="71.25" customHeight="1" thickBot="1" x14ac:dyDescent="0.25">
      <c r="A25" s="74">
        <v>16</v>
      </c>
      <c r="B25" s="75" t="s">
        <v>80</v>
      </c>
      <c r="C25" s="76" t="s">
        <v>82</v>
      </c>
      <c r="D25" s="77" t="str">
        <f t="shared" si="1"/>
        <v>2.9.4</v>
      </c>
      <c r="E25" s="78" t="s">
        <v>87</v>
      </c>
      <c r="F25" s="75" t="s">
        <v>66</v>
      </c>
      <c r="G25" s="75">
        <v>30</v>
      </c>
      <c r="H25" s="79">
        <v>9900</v>
      </c>
      <c r="I25" s="80">
        <f t="shared" si="0"/>
        <v>297000</v>
      </c>
      <c r="K25" s="134">
        <f t="shared" si="2"/>
        <v>297000</v>
      </c>
      <c r="L25" t="s">
        <v>87</v>
      </c>
      <c r="M25" s="39" t="b">
        <f t="shared" si="3"/>
        <v>1</v>
      </c>
    </row>
    <row r="26" spans="1:16" ht="57" customHeight="1" thickBot="1" x14ac:dyDescent="0.25">
      <c r="A26" s="74">
        <v>17</v>
      </c>
      <c r="B26" s="75" t="s">
        <v>81</v>
      </c>
      <c r="C26" s="76" t="s">
        <v>86</v>
      </c>
      <c r="D26" s="77" t="str">
        <f t="shared" si="1"/>
        <v>2.9.5</v>
      </c>
      <c r="E26" s="78" t="s">
        <v>128</v>
      </c>
      <c r="F26" s="75" t="s">
        <v>66</v>
      </c>
      <c r="G26" s="75">
        <v>10</v>
      </c>
      <c r="H26" s="79">
        <v>90</v>
      </c>
      <c r="I26" s="80">
        <f t="shared" si="0"/>
        <v>900</v>
      </c>
      <c r="K26" s="134">
        <f t="shared" si="2"/>
        <v>900</v>
      </c>
      <c r="L26" t="s">
        <v>128</v>
      </c>
      <c r="M26" s="39" t="b">
        <f t="shared" si="3"/>
        <v>1</v>
      </c>
    </row>
    <row r="27" spans="1:16" ht="13.5" thickBot="1" x14ac:dyDescent="0.25">
      <c r="K27" s="134">
        <f>SUM(K10:K26)</f>
        <v>1658400</v>
      </c>
    </row>
    <row r="28" spans="1:16" ht="37.5" customHeight="1" thickTop="1" thickBot="1" x14ac:dyDescent="0.25">
      <c r="B28" s="86" t="s">
        <v>112</v>
      </c>
      <c r="C28" s="87"/>
      <c r="D28" s="87"/>
      <c r="E28" s="88"/>
      <c r="G28" s="72"/>
      <c r="H28" s="72"/>
      <c r="I28" s="73"/>
    </row>
    <row r="29" spans="1:16" ht="35.25" customHeight="1" thickTop="1" thickBot="1" x14ac:dyDescent="0.25">
      <c r="B29" s="86" t="s">
        <v>96</v>
      </c>
      <c r="C29" s="87"/>
      <c r="D29" s="87"/>
      <c r="E29" s="88"/>
      <c r="G29" s="72"/>
      <c r="H29" s="72"/>
      <c r="I29" s="73"/>
    </row>
    <row r="30" spans="1:16" ht="13.5" thickTop="1" x14ac:dyDescent="0.2">
      <c r="B30" s="72"/>
      <c r="G30" s="72"/>
      <c r="H30" s="72"/>
      <c r="I30" s="73"/>
    </row>
    <row r="31" spans="1:16" ht="13.5" thickBot="1" x14ac:dyDescent="0.25">
      <c r="B31" s="72"/>
      <c r="G31" s="72"/>
      <c r="H31" s="72"/>
    </row>
    <row r="32" spans="1:16" x14ac:dyDescent="0.2">
      <c r="B32" s="42" t="s">
        <v>19</v>
      </c>
      <c r="C32" s="43"/>
      <c r="D32" s="43"/>
      <c r="E32" s="44"/>
    </row>
    <row r="33" spans="2:5" x14ac:dyDescent="0.2">
      <c r="B33" s="45"/>
      <c r="C33" s="46"/>
      <c r="D33" s="46"/>
      <c r="E33" s="47"/>
    </row>
    <row r="34" spans="2:5" x14ac:dyDescent="0.2">
      <c r="B34" s="48" t="s">
        <v>14</v>
      </c>
      <c r="C34" s="46"/>
      <c r="D34" s="46"/>
      <c r="E34" s="47"/>
    </row>
    <row r="35" spans="2:5" ht="33.75" customHeight="1" x14ac:dyDescent="0.2">
      <c r="B35" s="48"/>
      <c r="C35" s="82" t="s">
        <v>91</v>
      </c>
      <c r="D35" s="82"/>
      <c r="E35" s="82"/>
    </row>
    <row r="36" spans="2:5" x14ac:dyDescent="0.2">
      <c r="B36" s="48" t="s">
        <v>15</v>
      </c>
      <c r="C36" s="46"/>
      <c r="D36" s="46"/>
      <c r="E36" s="47"/>
    </row>
    <row r="37" spans="2:5" ht="26.25" customHeight="1" x14ac:dyDescent="0.2">
      <c r="B37" s="49"/>
      <c r="C37" s="83" t="s">
        <v>106</v>
      </c>
      <c r="D37" s="83"/>
      <c r="E37" s="84"/>
    </row>
    <row r="38" spans="2:5" x14ac:dyDescent="0.2">
      <c r="B38" s="49"/>
      <c r="C38" s="85"/>
      <c r="D38" s="85"/>
      <c r="E38" s="85"/>
    </row>
    <row r="39" spans="2:5" x14ac:dyDescent="0.2">
      <c r="B39" s="48" t="s">
        <v>16</v>
      </c>
      <c r="C39" s="46"/>
      <c r="D39" s="46"/>
      <c r="E39" s="47"/>
    </row>
    <row r="40" spans="2:5" ht="18.75" customHeight="1" x14ac:dyDescent="0.2">
      <c r="B40" s="49"/>
      <c r="C40" s="89"/>
      <c r="D40" s="89"/>
      <c r="E40" s="89"/>
    </row>
    <row r="41" spans="2:5" x14ac:dyDescent="0.2">
      <c r="B41" s="48" t="s">
        <v>17</v>
      </c>
      <c r="C41" s="50"/>
      <c r="D41" s="50"/>
      <c r="E41" s="51"/>
    </row>
    <row r="42" spans="2:5" ht="23.25" customHeight="1" x14ac:dyDescent="0.2">
      <c r="B42" s="49"/>
      <c r="C42" s="90" t="s">
        <v>61</v>
      </c>
      <c r="D42" s="90"/>
      <c r="E42" s="82"/>
    </row>
    <row r="43" spans="2:5" x14ac:dyDescent="0.2">
      <c r="B43" s="48" t="s">
        <v>18</v>
      </c>
      <c r="C43" s="46"/>
      <c r="D43" s="46"/>
      <c r="E43" s="47"/>
    </row>
    <row r="44" spans="2:5" ht="16.5" customHeight="1" x14ac:dyDescent="0.2">
      <c r="B44" s="48"/>
      <c r="C44" s="91"/>
      <c r="D44" s="91"/>
      <c r="E44" s="91"/>
    </row>
    <row r="45" spans="2:5" ht="13.5" thickBot="1" x14ac:dyDescent="0.25">
      <c r="B45" s="52"/>
      <c r="C45" s="53"/>
      <c r="D45" s="53"/>
      <c r="E45" s="54"/>
    </row>
    <row r="46" spans="2:5" ht="13.5" thickBot="1" x14ac:dyDescent="0.25"/>
    <row r="47" spans="2:5" x14ac:dyDescent="0.2">
      <c r="B47" s="42" t="s">
        <v>98</v>
      </c>
      <c r="C47" s="43"/>
      <c r="D47" s="43"/>
      <c r="E47" s="44"/>
    </row>
    <row r="48" spans="2:5" x14ac:dyDescent="0.2">
      <c r="B48" s="45"/>
      <c r="C48" s="46"/>
      <c r="D48" s="46"/>
      <c r="E48" s="47"/>
    </row>
    <row r="49" spans="2:5" x14ac:dyDescent="0.2">
      <c r="B49" s="48" t="s">
        <v>14</v>
      </c>
      <c r="C49" s="46"/>
      <c r="D49" s="46"/>
      <c r="E49" s="47"/>
    </row>
    <row r="50" spans="2:5" ht="24.75" customHeight="1" x14ac:dyDescent="0.2">
      <c r="B50" s="48"/>
      <c r="C50" s="82" t="s">
        <v>94</v>
      </c>
      <c r="D50" s="82"/>
      <c r="E50" s="82"/>
    </row>
    <row r="51" spans="2:5" x14ac:dyDescent="0.2">
      <c r="B51" s="48" t="s">
        <v>15</v>
      </c>
      <c r="C51" s="46"/>
      <c r="D51" s="46"/>
      <c r="E51" s="47"/>
    </row>
    <row r="52" spans="2:5" ht="32.25" customHeight="1" x14ac:dyDescent="0.2">
      <c r="B52" s="49"/>
      <c r="C52" s="83" t="s">
        <v>106</v>
      </c>
      <c r="D52" s="83"/>
      <c r="E52" s="84"/>
    </row>
    <row r="53" spans="2:5" x14ac:dyDescent="0.2">
      <c r="B53" s="49"/>
      <c r="C53" s="85"/>
      <c r="D53" s="85"/>
      <c r="E53" s="85"/>
    </row>
    <row r="54" spans="2:5" x14ac:dyDescent="0.2">
      <c r="B54" s="48" t="s">
        <v>16</v>
      </c>
      <c r="C54" s="46"/>
      <c r="D54" s="46"/>
      <c r="E54" s="47"/>
    </row>
    <row r="55" spans="2:5" x14ac:dyDescent="0.2">
      <c r="B55" s="49"/>
      <c r="C55" s="89"/>
      <c r="D55" s="89"/>
      <c r="E55" s="89"/>
    </row>
    <row r="56" spans="2:5" x14ac:dyDescent="0.2">
      <c r="B56" s="48" t="s">
        <v>17</v>
      </c>
      <c r="C56" s="50"/>
      <c r="D56" s="50"/>
      <c r="E56" s="51"/>
    </row>
    <row r="57" spans="2:5" ht="29.25" customHeight="1" x14ac:dyDescent="0.2">
      <c r="B57" s="49"/>
      <c r="C57" s="90" t="s">
        <v>61</v>
      </c>
      <c r="D57" s="90"/>
      <c r="E57" s="82"/>
    </row>
    <row r="58" spans="2:5" x14ac:dyDescent="0.2">
      <c r="B58" s="48" t="s">
        <v>18</v>
      </c>
      <c r="C58" s="46"/>
      <c r="D58" s="46"/>
      <c r="E58" s="47"/>
    </row>
    <row r="59" spans="2:5" x14ac:dyDescent="0.2">
      <c r="B59" s="48"/>
      <c r="C59" s="91"/>
      <c r="D59" s="91"/>
      <c r="E59" s="91"/>
    </row>
    <row r="60" spans="2:5" ht="13.5" thickBot="1" x14ac:dyDescent="0.25">
      <c r="B60" s="52"/>
      <c r="C60" s="53"/>
      <c r="D60" s="53"/>
      <c r="E60" s="54"/>
    </row>
    <row r="61" spans="2:5" ht="13.5" thickBot="1" x14ac:dyDescent="0.25"/>
    <row r="62" spans="2:5" x14ac:dyDescent="0.2">
      <c r="B62" s="42" t="s">
        <v>99</v>
      </c>
      <c r="C62" s="43"/>
      <c r="D62" s="43"/>
      <c r="E62" s="44"/>
    </row>
    <row r="63" spans="2:5" x14ac:dyDescent="0.2">
      <c r="B63" s="45"/>
      <c r="C63" s="46"/>
      <c r="D63" s="46"/>
      <c r="E63" s="47"/>
    </row>
    <row r="64" spans="2:5" x14ac:dyDescent="0.2">
      <c r="B64" s="48" t="s">
        <v>14</v>
      </c>
      <c r="C64" s="46"/>
      <c r="D64" s="46"/>
      <c r="E64" s="47"/>
    </row>
    <row r="65" spans="2:5" ht="24" customHeight="1" x14ac:dyDescent="0.2">
      <c r="B65" s="48"/>
      <c r="C65" s="82" t="s">
        <v>95</v>
      </c>
      <c r="D65" s="82"/>
      <c r="E65" s="82"/>
    </row>
    <row r="66" spans="2:5" x14ac:dyDescent="0.2">
      <c r="B66" s="48" t="s">
        <v>15</v>
      </c>
      <c r="C66" s="46"/>
      <c r="D66" s="46"/>
      <c r="E66" s="47"/>
    </row>
    <row r="67" spans="2:5" ht="28.5" customHeight="1" x14ac:dyDescent="0.2">
      <c r="B67" s="49"/>
      <c r="C67" s="83" t="s">
        <v>106</v>
      </c>
      <c r="D67" s="83"/>
      <c r="E67" s="84"/>
    </row>
    <row r="68" spans="2:5" x14ac:dyDescent="0.2">
      <c r="B68" s="49"/>
      <c r="C68" s="85"/>
      <c r="D68" s="85"/>
      <c r="E68" s="85"/>
    </row>
    <row r="69" spans="2:5" x14ac:dyDescent="0.2">
      <c r="B69" s="48" t="s">
        <v>16</v>
      </c>
      <c r="C69" s="46"/>
      <c r="D69" s="46"/>
      <c r="E69" s="47"/>
    </row>
    <row r="70" spans="2:5" x14ac:dyDescent="0.2">
      <c r="B70" s="49"/>
      <c r="C70" s="89"/>
      <c r="D70" s="89"/>
      <c r="E70" s="89"/>
    </row>
    <row r="71" spans="2:5" x14ac:dyDescent="0.2">
      <c r="B71" s="48" t="s">
        <v>17</v>
      </c>
      <c r="C71" s="50"/>
      <c r="D71" s="50"/>
      <c r="E71" s="51"/>
    </row>
    <row r="72" spans="2:5" ht="22.5" customHeight="1" x14ac:dyDescent="0.2">
      <c r="B72" s="49"/>
      <c r="C72" s="90" t="s">
        <v>61</v>
      </c>
      <c r="D72" s="90"/>
      <c r="E72" s="82"/>
    </row>
    <row r="73" spans="2:5" x14ac:dyDescent="0.2">
      <c r="B73" s="48" t="s">
        <v>18</v>
      </c>
      <c r="C73" s="46"/>
      <c r="D73" s="46"/>
      <c r="E73" s="47"/>
    </row>
    <row r="74" spans="2:5" x14ac:dyDescent="0.2">
      <c r="B74" s="48"/>
      <c r="C74" s="91"/>
      <c r="D74" s="91"/>
      <c r="E74" s="91"/>
    </row>
    <row r="75" spans="2:5" ht="13.5" thickBot="1" x14ac:dyDescent="0.25">
      <c r="B75" s="52"/>
      <c r="C75" s="53"/>
      <c r="D75" s="53"/>
      <c r="E75" s="54"/>
    </row>
    <row r="76" spans="2:5" ht="13.5" thickBot="1" x14ac:dyDescent="0.25"/>
    <row r="77" spans="2:5" x14ac:dyDescent="0.2">
      <c r="B77" s="42" t="s">
        <v>88</v>
      </c>
      <c r="C77" s="43"/>
      <c r="D77" s="43"/>
      <c r="E77" s="44"/>
    </row>
    <row r="78" spans="2:5" ht="5.25" customHeight="1" x14ac:dyDescent="0.2">
      <c r="B78" s="45"/>
      <c r="C78" s="46"/>
      <c r="D78" s="46"/>
      <c r="E78" s="47"/>
    </row>
    <row r="79" spans="2:5" x14ac:dyDescent="0.2">
      <c r="B79" s="48" t="s">
        <v>14</v>
      </c>
      <c r="C79" s="46"/>
      <c r="D79" s="46"/>
      <c r="E79" s="47"/>
    </row>
    <row r="80" spans="2:5" ht="41.25" customHeight="1" x14ac:dyDescent="0.2">
      <c r="B80" s="48"/>
      <c r="C80" s="82" t="s">
        <v>129</v>
      </c>
      <c r="D80" s="82"/>
      <c r="E80" s="82"/>
    </row>
    <row r="81" spans="2:5" x14ac:dyDescent="0.2">
      <c r="B81" s="48" t="s">
        <v>15</v>
      </c>
      <c r="C81" s="46"/>
      <c r="D81" s="46"/>
      <c r="E81" s="47"/>
    </row>
    <row r="82" spans="2:5" ht="28.5" customHeight="1" x14ac:dyDescent="0.2">
      <c r="B82" s="49"/>
      <c r="C82" s="83" t="s">
        <v>106</v>
      </c>
      <c r="D82" s="83"/>
      <c r="E82" s="84"/>
    </row>
    <row r="83" spans="2:5" x14ac:dyDescent="0.2">
      <c r="B83" s="49"/>
      <c r="C83" s="85"/>
      <c r="D83" s="85"/>
      <c r="E83" s="85"/>
    </row>
    <row r="84" spans="2:5" x14ac:dyDescent="0.2">
      <c r="B84" s="48" t="s">
        <v>16</v>
      </c>
      <c r="C84" s="46"/>
      <c r="D84" s="46"/>
      <c r="E84" s="47"/>
    </row>
    <row r="85" spans="2:5" ht="26.25" customHeight="1" x14ac:dyDescent="0.2">
      <c r="B85" s="49"/>
      <c r="C85" s="89"/>
      <c r="D85" s="89"/>
      <c r="E85" s="89"/>
    </row>
    <row r="86" spans="2:5" x14ac:dyDescent="0.2">
      <c r="B86" s="48" t="s">
        <v>17</v>
      </c>
      <c r="C86" s="50"/>
      <c r="D86" s="50"/>
      <c r="E86" s="51"/>
    </row>
    <row r="87" spans="2:5" ht="26.25" customHeight="1" x14ac:dyDescent="0.2">
      <c r="B87" s="49"/>
      <c r="C87" s="90" t="s">
        <v>61</v>
      </c>
      <c r="D87" s="90"/>
      <c r="E87" s="82"/>
    </row>
    <row r="88" spans="2:5" x14ac:dyDescent="0.2">
      <c r="B88" s="48" t="s">
        <v>18</v>
      </c>
      <c r="C88" s="46"/>
      <c r="D88" s="46"/>
      <c r="E88" s="47"/>
    </row>
    <row r="89" spans="2:5" ht="23.25" customHeight="1" x14ac:dyDescent="0.2">
      <c r="B89" s="48"/>
      <c r="C89" s="91"/>
      <c r="D89" s="91"/>
      <c r="E89" s="91"/>
    </row>
    <row r="90" spans="2:5" ht="13.5" thickBot="1" x14ac:dyDescent="0.25">
      <c r="B90" s="52"/>
      <c r="C90" s="53"/>
      <c r="D90" s="53"/>
      <c r="E90" s="54"/>
    </row>
    <row r="91" spans="2:5" ht="13.5" thickBot="1" x14ac:dyDescent="0.25"/>
    <row r="92" spans="2:5" x14ac:dyDescent="0.2">
      <c r="B92" s="42" t="s">
        <v>90</v>
      </c>
      <c r="C92" s="43"/>
      <c r="D92" s="43"/>
      <c r="E92" s="44"/>
    </row>
    <row r="93" spans="2:5" x14ac:dyDescent="0.2">
      <c r="B93" s="45"/>
      <c r="C93" s="46"/>
      <c r="D93" s="46"/>
      <c r="E93" s="47"/>
    </row>
    <row r="94" spans="2:5" x14ac:dyDescent="0.2">
      <c r="B94" s="48" t="s">
        <v>14</v>
      </c>
      <c r="C94" s="46"/>
      <c r="D94" s="46"/>
      <c r="E94" s="47"/>
    </row>
    <row r="95" spans="2:5" ht="24" customHeight="1" x14ac:dyDescent="0.2">
      <c r="B95" s="48"/>
      <c r="C95" s="82" t="s">
        <v>110</v>
      </c>
      <c r="D95" s="82"/>
      <c r="E95" s="82"/>
    </row>
    <row r="96" spans="2:5" x14ac:dyDescent="0.2">
      <c r="B96" s="48" t="s">
        <v>15</v>
      </c>
      <c r="C96" s="46"/>
      <c r="D96" s="46"/>
      <c r="E96" s="47"/>
    </row>
    <row r="97" spans="2:5" ht="29.25" customHeight="1" x14ac:dyDescent="0.2">
      <c r="B97" s="49"/>
      <c r="C97" s="83" t="s">
        <v>106</v>
      </c>
      <c r="D97" s="83"/>
      <c r="E97" s="84"/>
    </row>
    <row r="98" spans="2:5" x14ac:dyDescent="0.2">
      <c r="B98" s="49"/>
      <c r="C98" s="85"/>
      <c r="D98" s="85"/>
      <c r="E98" s="85"/>
    </row>
    <row r="99" spans="2:5" x14ac:dyDescent="0.2">
      <c r="B99" s="48" t="s">
        <v>16</v>
      </c>
      <c r="C99" s="46"/>
      <c r="D99" s="46"/>
      <c r="E99" s="47"/>
    </row>
    <row r="100" spans="2:5" x14ac:dyDescent="0.2">
      <c r="B100" s="49"/>
      <c r="C100" s="89"/>
      <c r="D100" s="89"/>
      <c r="E100" s="89"/>
    </row>
    <row r="101" spans="2:5" x14ac:dyDescent="0.2">
      <c r="B101" s="48" t="s">
        <v>17</v>
      </c>
      <c r="C101" s="50"/>
      <c r="D101" s="50"/>
      <c r="E101" s="51"/>
    </row>
    <row r="102" spans="2:5" ht="22.5" customHeight="1" x14ac:dyDescent="0.2">
      <c r="B102" s="49"/>
      <c r="C102" s="90" t="s">
        <v>61</v>
      </c>
      <c r="D102" s="90"/>
      <c r="E102" s="82"/>
    </row>
    <row r="103" spans="2:5" x14ac:dyDescent="0.2">
      <c r="B103" s="48" t="s">
        <v>18</v>
      </c>
      <c r="C103" s="46"/>
      <c r="D103" s="46"/>
      <c r="E103" s="47"/>
    </row>
    <row r="104" spans="2:5" x14ac:dyDescent="0.2">
      <c r="B104" s="48"/>
      <c r="C104" s="91"/>
      <c r="D104" s="91"/>
      <c r="E104" s="91"/>
    </row>
    <row r="105" spans="2:5" ht="13.5" thickBot="1" x14ac:dyDescent="0.25">
      <c r="B105" s="52"/>
      <c r="C105" s="53"/>
      <c r="D105" s="53"/>
      <c r="E105" s="54"/>
    </row>
    <row r="106" spans="2:5" ht="13.5" thickBot="1" x14ac:dyDescent="0.25"/>
    <row r="107" spans="2:5" x14ac:dyDescent="0.2">
      <c r="B107" s="42" t="s">
        <v>97</v>
      </c>
      <c r="C107" s="43"/>
      <c r="D107" s="43"/>
      <c r="E107" s="44"/>
    </row>
    <row r="108" spans="2:5" x14ac:dyDescent="0.2">
      <c r="B108" s="45"/>
      <c r="C108" s="46"/>
      <c r="D108" s="46"/>
      <c r="E108" s="47"/>
    </row>
    <row r="109" spans="2:5" x14ac:dyDescent="0.2">
      <c r="B109" s="48" t="s">
        <v>14</v>
      </c>
      <c r="C109" s="46"/>
      <c r="D109" s="46"/>
      <c r="E109" s="47"/>
    </row>
    <row r="110" spans="2:5" ht="33" customHeight="1" x14ac:dyDescent="0.2">
      <c r="B110" s="48"/>
      <c r="C110" s="82" t="s">
        <v>93</v>
      </c>
      <c r="D110" s="82"/>
      <c r="E110" s="82"/>
    </row>
    <row r="111" spans="2:5" x14ac:dyDescent="0.2">
      <c r="B111" s="48" t="s">
        <v>15</v>
      </c>
      <c r="C111" s="46"/>
      <c r="D111" s="46"/>
      <c r="E111" s="47"/>
    </row>
    <row r="112" spans="2:5" ht="24.75" customHeight="1" x14ac:dyDescent="0.2">
      <c r="B112" s="49"/>
      <c r="C112" s="83" t="s">
        <v>106</v>
      </c>
      <c r="D112" s="83"/>
      <c r="E112" s="84"/>
    </row>
    <row r="113" spans="2:5" x14ac:dyDescent="0.2">
      <c r="B113" s="49"/>
      <c r="C113" s="85"/>
      <c r="D113" s="85"/>
      <c r="E113" s="85"/>
    </row>
    <row r="114" spans="2:5" x14ac:dyDescent="0.2">
      <c r="B114" s="48" t="s">
        <v>16</v>
      </c>
      <c r="C114" s="46"/>
      <c r="D114" s="46"/>
      <c r="E114" s="47"/>
    </row>
    <row r="115" spans="2:5" x14ac:dyDescent="0.2">
      <c r="B115" s="49"/>
      <c r="C115" s="89"/>
      <c r="D115" s="89"/>
      <c r="E115" s="89"/>
    </row>
    <row r="116" spans="2:5" x14ac:dyDescent="0.2">
      <c r="B116" s="48" t="s">
        <v>17</v>
      </c>
      <c r="C116" s="50"/>
      <c r="D116" s="50"/>
      <c r="E116" s="51"/>
    </row>
    <row r="117" spans="2:5" ht="24.75" customHeight="1" x14ac:dyDescent="0.2">
      <c r="B117" s="49"/>
      <c r="C117" s="90" t="s">
        <v>61</v>
      </c>
      <c r="D117" s="90"/>
      <c r="E117" s="82"/>
    </row>
    <row r="118" spans="2:5" x14ac:dyDescent="0.2">
      <c r="B118" s="48" t="s">
        <v>18</v>
      </c>
      <c r="C118" s="46"/>
      <c r="D118" s="46"/>
      <c r="E118" s="47"/>
    </row>
    <row r="119" spans="2:5" x14ac:dyDescent="0.2">
      <c r="B119" s="48"/>
      <c r="C119" s="91"/>
      <c r="D119" s="91"/>
      <c r="E119" s="91"/>
    </row>
    <row r="120" spans="2:5" ht="13.5" thickBot="1" x14ac:dyDescent="0.25">
      <c r="B120" s="52"/>
      <c r="C120" s="53"/>
      <c r="D120" s="53"/>
      <c r="E120" s="54"/>
    </row>
    <row r="121" spans="2:5" ht="13.5" thickBot="1" x14ac:dyDescent="0.25"/>
    <row r="122" spans="2:5" x14ac:dyDescent="0.2">
      <c r="B122" s="42" t="s">
        <v>92</v>
      </c>
      <c r="C122" s="43"/>
      <c r="D122" s="43"/>
      <c r="E122" s="44"/>
    </row>
    <row r="123" spans="2:5" x14ac:dyDescent="0.2">
      <c r="B123" s="45"/>
      <c r="C123" s="46"/>
      <c r="D123" s="46"/>
      <c r="E123" s="47"/>
    </row>
    <row r="124" spans="2:5" x14ac:dyDescent="0.2">
      <c r="B124" s="48" t="s">
        <v>14</v>
      </c>
      <c r="C124" s="46"/>
      <c r="D124" s="46"/>
      <c r="E124" s="47"/>
    </row>
    <row r="125" spans="2:5" ht="32.25" customHeight="1" x14ac:dyDescent="0.2">
      <c r="B125" s="48"/>
      <c r="C125" s="82" t="s">
        <v>89</v>
      </c>
      <c r="D125" s="82"/>
      <c r="E125" s="82"/>
    </row>
    <row r="126" spans="2:5" x14ac:dyDescent="0.2">
      <c r="B126" s="48" t="s">
        <v>15</v>
      </c>
      <c r="C126" s="46"/>
      <c r="D126" s="46"/>
      <c r="E126" s="47"/>
    </row>
    <row r="127" spans="2:5" ht="27.75" customHeight="1" x14ac:dyDescent="0.2">
      <c r="B127" s="49"/>
      <c r="C127" s="83" t="s">
        <v>106</v>
      </c>
      <c r="D127" s="83"/>
      <c r="E127" s="84"/>
    </row>
    <row r="128" spans="2:5" x14ac:dyDescent="0.2">
      <c r="B128" s="49"/>
      <c r="C128" s="85"/>
      <c r="D128" s="85"/>
      <c r="E128" s="85"/>
    </row>
    <row r="129" spans="2:5" x14ac:dyDescent="0.2">
      <c r="B129" s="48" t="s">
        <v>16</v>
      </c>
      <c r="C129" s="46"/>
      <c r="D129" s="46"/>
      <c r="E129" s="47"/>
    </row>
    <row r="130" spans="2:5" x14ac:dyDescent="0.2">
      <c r="B130" s="49"/>
      <c r="C130" s="89"/>
      <c r="D130" s="89"/>
      <c r="E130" s="89"/>
    </row>
    <row r="131" spans="2:5" x14ac:dyDescent="0.2">
      <c r="B131" s="48" t="s">
        <v>17</v>
      </c>
      <c r="C131" s="50"/>
      <c r="D131" s="50"/>
      <c r="E131" s="51"/>
    </row>
    <row r="132" spans="2:5" ht="23.25" customHeight="1" x14ac:dyDescent="0.2">
      <c r="B132" s="49"/>
      <c r="C132" s="90" t="s">
        <v>61</v>
      </c>
      <c r="D132" s="90"/>
      <c r="E132" s="82"/>
    </row>
    <row r="133" spans="2:5" x14ac:dyDescent="0.2">
      <c r="B133" s="48" t="s">
        <v>18</v>
      </c>
      <c r="C133" s="46"/>
      <c r="D133" s="46"/>
      <c r="E133" s="47"/>
    </row>
    <row r="134" spans="2:5" x14ac:dyDescent="0.2">
      <c r="B134" s="48"/>
      <c r="C134" s="91"/>
      <c r="D134" s="91"/>
      <c r="E134" s="91"/>
    </row>
    <row r="135" spans="2:5" ht="31.5" customHeight="1" thickBot="1" x14ac:dyDescent="0.25">
      <c r="B135" s="52"/>
      <c r="C135" s="53"/>
      <c r="D135" s="53"/>
      <c r="E135" s="54"/>
    </row>
  </sheetData>
  <mergeCells count="58">
    <mergeCell ref="N19:P19"/>
    <mergeCell ref="N22:P22"/>
    <mergeCell ref="N11:P11"/>
    <mergeCell ref="N12:P12"/>
    <mergeCell ref="N15:P15"/>
    <mergeCell ref="N16:P16"/>
    <mergeCell ref="N18:P18"/>
    <mergeCell ref="C70:E70"/>
    <mergeCell ref="C72:E72"/>
    <mergeCell ref="C74:E74"/>
    <mergeCell ref="C104:E104"/>
    <mergeCell ref="C95:E95"/>
    <mergeCell ref="C97:E97"/>
    <mergeCell ref="C98:E98"/>
    <mergeCell ref="C100:E100"/>
    <mergeCell ref="C102:E102"/>
    <mergeCell ref="C112:E112"/>
    <mergeCell ref="C113:E113"/>
    <mergeCell ref="C115:E115"/>
    <mergeCell ref="C117:E117"/>
    <mergeCell ref="C119:E119"/>
    <mergeCell ref="C134:E134"/>
    <mergeCell ref="C35:E35"/>
    <mergeCell ref="C37:E37"/>
    <mergeCell ref="C38:E38"/>
    <mergeCell ref="C40:E40"/>
    <mergeCell ref="C127:E127"/>
    <mergeCell ref="C85:E85"/>
    <mergeCell ref="C87:E87"/>
    <mergeCell ref="C89:E89"/>
    <mergeCell ref="C125:E125"/>
    <mergeCell ref="C128:E128"/>
    <mergeCell ref="C130:E130"/>
    <mergeCell ref="C132:E132"/>
    <mergeCell ref="C42:E42"/>
    <mergeCell ref="C44:E44"/>
    <mergeCell ref="C110:E110"/>
    <mergeCell ref="B2:H2"/>
    <mergeCell ref="A4:B4"/>
    <mergeCell ref="C4:E4"/>
    <mergeCell ref="A5:B5"/>
    <mergeCell ref="C5:E5"/>
    <mergeCell ref="A6:B6"/>
    <mergeCell ref="A7:B7"/>
    <mergeCell ref="C80:E80"/>
    <mergeCell ref="C82:E82"/>
    <mergeCell ref="C83:E83"/>
    <mergeCell ref="B28:E28"/>
    <mergeCell ref="B29:E29"/>
    <mergeCell ref="C50:E50"/>
    <mergeCell ref="C52:E52"/>
    <mergeCell ref="C53:E53"/>
    <mergeCell ref="C55:E55"/>
    <mergeCell ref="C57:E57"/>
    <mergeCell ref="C59:E59"/>
    <mergeCell ref="C65:E65"/>
    <mergeCell ref="C67:E67"/>
    <mergeCell ref="C68:E6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9"/>
  <sheetViews>
    <sheetView zoomScaleNormal="100" workbookViewId="0">
      <selection activeCell="N30" sqref="N3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3" width="5.85546875" style="2" customWidth="1"/>
    <col min="14" max="14" width="22.85546875" style="2" customWidth="1"/>
    <col min="15" max="15" width="12.5703125" style="2" customWidth="1"/>
    <col min="16" max="16" width="13.42578125" style="2" bestFit="1" customWidth="1"/>
    <col min="17" max="17" width="9.140625" style="2"/>
    <col min="18" max="18" width="13.42578125" style="2" bestFit="1" customWidth="1"/>
    <col min="19" max="1024" width="9.140625" style="2"/>
  </cols>
  <sheetData>
    <row r="1" spans="1:18" ht="18" customHeight="1" x14ac:dyDescent="0.2">
      <c r="A1" s="102" t="s">
        <v>20</v>
      </c>
      <c r="B1" s="102"/>
      <c r="C1" s="102"/>
      <c r="D1" s="102"/>
      <c r="E1" s="102"/>
      <c r="F1" s="102"/>
      <c r="G1" s="102"/>
      <c r="H1" s="102"/>
      <c r="I1" s="102"/>
      <c r="J1" s="3" t="s">
        <v>21</v>
      </c>
      <c r="K1" s="58" t="s">
        <v>111</v>
      </c>
    </row>
    <row r="2" spans="1:18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8" ht="18.75" customHeight="1" thickBot="1" x14ac:dyDescent="0.25">
      <c r="A3" s="103" t="s">
        <v>54</v>
      </c>
      <c r="B3" s="103"/>
      <c r="C3" s="103"/>
      <c r="D3" s="104" t="str">
        <f>'Necesidades Trimestrales'!C4</f>
        <v>40 - Ministerio de Salud</v>
      </c>
      <c r="E3" s="104"/>
      <c r="F3" s="104"/>
      <c r="G3" s="104"/>
      <c r="H3" s="104"/>
      <c r="I3" s="104"/>
      <c r="J3" s="104"/>
      <c r="K3" s="104"/>
    </row>
    <row r="4" spans="1:18" ht="18.75" customHeight="1" thickBot="1" x14ac:dyDescent="0.25">
      <c r="A4" s="105" t="s">
        <v>55</v>
      </c>
      <c r="B4" s="105"/>
      <c r="C4" s="105"/>
      <c r="D4" s="104" t="str">
        <f>'Necesidades Trimestrales'!C5</f>
        <v>23 - Hospital Interzonal San Juan Bautista</v>
      </c>
      <c r="E4" s="104"/>
      <c r="F4" s="104"/>
      <c r="G4" s="104"/>
      <c r="H4" s="104"/>
      <c r="I4" s="104"/>
      <c r="J4" s="104"/>
      <c r="K4" s="104"/>
    </row>
    <row r="5" spans="1:18" ht="18.75" customHeight="1" thickBot="1" x14ac:dyDescent="0.25">
      <c r="A5" s="105" t="s">
        <v>33</v>
      </c>
      <c r="B5" s="105"/>
      <c r="C5" s="105"/>
      <c r="D5" s="104" t="s">
        <v>60</v>
      </c>
      <c r="E5" s="104"/>
      <c r="F5" s="104"/>
      <c r="G5" s="104"/>
      <c r="H5" s="104"/>
      <c r="I5" s="104"/>
      <c r="J5" s="104"/>
      <c r="K5" s="104"/>
    </row>
    <row r="6" spans="1:18" ht="16.5" customHeight="1" thickBot="1" x14ac:dyDescent="0.25">
      <c r="A6" s="103" t="s">
        <v>56</v>
      </c>
      <c r="B6" s="103"/>
      <c r="C6" s="103"/>
      <c r="D6" s="104" t="s">
        <v>103</v>
      </c>
      <c r="E6" s="104"/>
      <c r="F6" s="104"/>
      <c r="G6" s="104"/>
      <c r="H6" s="104"/>
      <c r="I6" s="104"/>
      <c r="J6" s="104"/>
      <c r="K6" s="104"/>
    </row>
    <row r="7" spans="1:18" ht="16.5" customHeight="1" x14ac:dyDescent="0.2">
      <c r="A7" s="105" t="s">
        <v>22</v>
      </c>
      <c r="B7" s="105"/>
      <c r="C7" s="105"/>
      <c r="D7" s="104" t="str">
        <f>'Necesidades Trimestrales'!C7 &amp; "° Trimestre - Año " &amp; 'Necesidades Trimestrales'!C6</f>
        <v>1° Trimestre - Año 2022</v>
      </c>
      <c r="E7" s="104"/>
      <c r="F7" s="104"/>
      <c r="G7" s="104"/>
      <c r="H7" s="104"/>
      <c r="I7" s="104"/>
      <c r="J7" s="104"/>
      <c r="K7" s="104"/>
    </row>
    <row r="8" spans="1:18" ht="16.5" customHeight="1" x14ac:dyDescent="0.2">
      <c r="A8" s="97" t="s">
        <v>23</v>
      </c>
      <c r="B8" s="97"/>
      <c r="C8" s="97"/>
      <c r="D8" s="98" t="s">
        <v>109</v>
      </c>
      <c r="E8" s="98"/>
      <c r="F8" s="98"/>
      <c r="G8" s="98"/>
      <c r="H8" s="98"/>
      <c r="I8" s="98"/>
      <c r="J8" s="98"/>
      <c r="K8" s="98"/>
    </row>
    <row r="9" spans="1:18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8" ht="18.75" customHeight="1" x14ac:dyDescent="0.2">
      <c r="A10" s="99" t="s">
        <v>24</v>
      </c>
      <c r="B10" s="100" t="s">
        <v>25</v>
      </c>
      <c r="C10" s="100" t="s">
        <v>26</v>
      </c>
      <c r="D10" s="100"/>
      <c r="E10" s="100"/>
      <c r="F10" s="100"/>
      <c r="G10" s="100"/>
      <c r="H10" s="100" t="s">
        <v>27</v>
      </c>
      <c r="I10" s="100" t="s">
        <v>28</v>
      </c>
      <c r="J10" s="100" t="s">
        <v>29</v>
      </c>
      <c r="K10" s="101" t="s">
        <v>30</v>
      </c>
    </row>
    <row r="11" spans="1:18" ht="24" customHeight="1" thickBot="1" x14ac:dyDescent="0.25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1"/>
    </row>
    <row r="12" spans="1:18" ht="36" customHeight="1" thickBot="1" x14ac:dyDescent="0.25">
      <c r="A12" s="8">
        <v>1</v>
      </c>
      <c r="B12" s="59" t="str">
        <f>'Necesidades Trimestrales'!B10</f>
        <v>2.3.4-938.46</v>
      </c>
      <c r="C12" s="94" t="str">
        <f>'Necesidades Trimestrales'!E10</f>
        <v>SERVILLETAS DE PAPEL; TIPO: LISAS, MOTIVO: SIN, DIMENSION: 33 X 33 Cm, PRESENTACION: PAQUETE X 1000 UN, COLOR: BLANCA</v>
      </c>
      <c r="D12" s="94"/>
      <c r="E12" s="94"/>
      <c r="F12" s="94"/>
      <c r="G12" s="94"/>
      <c r="H12" s="60" t="s">
        <v>57</v>
      </c>
      <c r="I12" s="61" t="str">
        <f>'Necesidades Trimestrales'!F10</f>
        <v>UNIDAD</v>
      </c>
      <c r="J12" s="62">
        <f>'Necesidades Trimestrales'!H10</f>
        <v>1300</v>
      </c>
      <c r="K12" s="63">
        <f>'Necesidades Trimestrales'!G10</f>
        <v>10</v>
      </c>
      <c r="N12" s="135">
        <f>J12*K12</f>
        <v>13000</v>
      </c>
      <c r="O12" s="75" t="s">
        <v>65</v>
      </c>
      <c r="P12" s="2" t="b">
        <f>B12=O12</f>
        <v>1</v>
      </c>
      <c r="Q12" s="78" t="s">
        <v>113</v>
      </c>
      <c r="R12" s="2" t="b">
        <f>C12=Q12</f>
        <v>1</v>
      </c>
    </row>
    <row r="13" spans="1:18" ht="36" customHeight="1" thickBot="1" x14ac:dyDescent="0.25">
      <c r="A13" s="8">
        <v>2</v>
      </c>
      <c r="B13" s="59" t="str">
        <f>'Necesidades Trimestrales'!B11</f>
        <v>2.9.4-689.15</v>
      </c>
      <c r="C13" s="94" t="str">
        <f>'Necesidades Trimestrales'!E11</f>
        <v>CUCHILLOS; TIPO: DE MESA, MATERIAL: PLASTICO</v>
      </c>
      <c r="D13" s="94"/>
      <c r="E13" s="94"/>
      <c r="F13" s="94"/>
      <c r="G13" s="94"/>
      <c r="H13" s="60" t="s">
        <v>104</v>
      </c>
      <c r="I13" s="61" t="str">
        <f>'Necesidades Trimestrales'!F11</f>
        <v>UNIDAD</v>
      </c>
      <c r="J13" s="62">
        <f>'Necesidades Trimestrales'!H11</f>
        <v>2.5</v>
      </c>
      <c r="K13" s="63">
        <f>'Necesidades Trimestrales'!G11</f>
        <v>12000</v>
      </c>
      <c r="N13" s="135">
        <f t="shared" ref="N13:N28" si="0">J13*K13</f>
        <v>30000</v>
      </c>
      <c r="O13" s="75" t="s">
        <v>67</v>
      </c>
      <c r="P13" s="2" t="b">
        <f t="shared" ref="P13:P28" si="1">B13=O13</f>
        <v>1</v>
      </c>
      <c r="Q13" s="78" t="s">
        <v>114</v>
      </c>
      <c r="R13" s="2" t="b">
        <f t="shared" ref="R13:R28" si="2">C13=Q13</f>
        <v>1</v>
      </c>
    </row>
    <row r="14" spans="1:18" ht="36" customHeight="1" thickBot="1" x14ac:dyDescent="0.25">
      <c r="A14" s="8">
        <v>3</v>
      </c>
      <c r="B14" s="59" t="str">
        <f>'Necesidades Trimestrales'!B12</f>
        <v>2.9.4-1184.42</v>
      </c>
      <c r="C14" s="94" t="str">
        <f>'Necesidades Trimestrales'!E12</f>
        <v>VASOS; MATERIAL: POLIESTIRENO EXPANDIDO, TIPO: DESCARTABLE, CAPACIDAD: 180 CM3</v>
      </c>
      <c r="D14" s="94"/>
      <c r="E14" s="94"/>
      <c r="F14" s="94"/>
      <c r="G14" s="94"/>
      <c r="H14" s="60" t="s">
        <v>105</v>
      </c>
      <c r="I14" s="61" t="str">
        <f>'Necesidades Trimestrales'!F12</f>
        <v>UNIDAD</v>
      </c>
      <c r="J14" s="62">
        <f>'Necesidades Trimestrales'!H12</f>
        <v>9</v>
      </c>
      <c r="K14" s="63">
        <f>'Necesidades Trimestrales'!G12</f>
        <v>5000</v>
      </c>
      <c r="N14" s="135">
        <f t="shared" si="0"/>
        <v>45000</v>
      </c>
      <c r="O14" s="75" t="s">
        <v>68</v>
      </c>
      <c r="P14" s="2" t="b">
        <f t="shared" si="1"/>
        <v>1</v>
      </c>
      <c r="Q14" s="78" t="s">
        <v>115</v>
      </c>
      <c r="R14" s="2" t="b">
        <f t="shared" si="2"/>
        <v>1</v>
      </c>
    </row>
    <row r="15" spans="1:18" ht="36" customHeight="1" thickBot="1" x14ac:dyDescent="0.25">
      <c r="A15" s="8">
        <v>4</v>
      </c>
      <c r="B15" s="59" t="str">
        <f>'Necesidades Trimestrales'!B13</f>
        <v>2.5.8-3977.40</v>
      </c>
      <c r="C15" s="94" t="str">
        <f>'Necesidades Trimestrales'!E13</f>
        <v>BOLSAS DE POLIETILENO; TAMAÑO: 15 X 25 Cm, ESPESOR: 17 Mn, PRESENTACION: ROLLO X 200 UN</v>
      </c>
      <c r="D15" s="94"/>
      <c r="E15" s="94"/>
      <c r="F15" s="94"/>
      <c r="G15" s="94"/>
      <c r="H15" s="60" t="s">
        <v>57</v>
      </c>
      <c r="I15" s="61" t="str">
        <f>'Necesidades Trimestrales'!F13</f>
        <v>UNIDAD</v>
      </c>
      <c r="J15" s="62">
        <f>'Necesidades Trimestrales'!H13</f>
        <v>250</v>
      </c>
      <c r="K15" s="63">
        <f>'Necesidades Trimestrales'!G13</f>
        <v>100</v>
      </c>
      <c r="N15" s="135">
        <f t="shared" si="0"/>
        <v>25000</v>
      </c>
      <c r="O15" s="75" t="s">
        <v>69</v>
      </c>
      <c r="P15" s="2" t="b">
        <f t="shared" si="1"/>
        <v>1</v>
      </c>
      <c r="Q15" s="78" t="s">
        <v>116</v>
      </c>
      <c r="R15" s="2" t="b">
        <f t="shared" si="2"/>
        <v>1</v>
      </c>
    </row>
    <row r="16" spans="1:18" ht="36" customHeight="1" thickBot="1" x14ac:dyDescent="0.25">
      <c r="A16" s="8">
        <v>5</v>
      </c>
      <c r="B16" s="59" t="str">
        <f>'Necesidades Trimestrales'!B14</f>
        <v>2.9.4-6970.3</v>
      </c>
      <c r="C16" s="94" t="str">
        <f>'Necesidades Trimestrales'!E14</f>
        <v>COMPOTERAS; MATERIAL: POLICARBONATO, CAPACIDAD: 250 Ml</v>
      </c>
      <c r="D16" s="94"/>
      <c r="E16" s="94"/>
      <c r="F16" s="94"/>
      <c r="G16" s="94"/>
      <c r="H16" s="60" t="s">
        <v>57</v>
      </c>
      <c r="I16" s="61" t="str">
        <f>'Necesidades Trimestrales'!F14</f>
        <v>UNIDAD</v>
      </c>
      <c r="J16" s="62">
        <f>'Necesidades Trimestrales'!H14</f>
        <v>8.5</v>
      </c>
      <c r="K16" s="63">
        <f>'Necesidades Trimestrales'!G14</f>
        <v>18000</v>
      </c>
      <c r="N16" s="135">
        <f t="shared" si="0"/>
        <v>153000</v>
      </c>
      <c r="O16" s="75" t="s">
        <v>70</v>
      </c>
      <c r="P16" s="2" t="b">
        <f t="shared" si="1"/>
        <v>1</v>
      </c>
      <c r="Q16" s="78" t="s">
        <v>117</v>
      </c>
      <c r="R16" s="2" t="b">
        <f t="shared" si="2"/>
        <v>1</v>
      </c>
    </row>
    <row r="17" spans="1:1024" ht="36" customHeight="1" thickBot="1" x14ac:dyDescent="0.25">
      <c r="A17" s="8">
        <v>6</v>
      </c>
      <c r="B17" s="59" t="str">
        <f>'Necesidades Trimestrales'!B15</f>
        <v>2.9.4-1184.49</v>
      </c>
      <c r="C17" s="94" t="str">
        <f>'Necesidades Trimestrales'!E15</f>
        <v>VASOS; MATERIAL: POLIESTIRENO, TIPO: TERMICO, CAPACIDAD: 240 mL</v>
      </c>
      <c r="D17" s="94"/>
      <c r="E17" s="94"/>
      <c r="F17" s="94"/>
      <c r="G17" s="94"/>
      <c r="H17" s="60" t="s">
        <v>105</v>
      </c>
      <c r="I17" s="61" t="str">
        <f>'Necesidades Trimestrales'!F15</f>
        <v>UNIDAD</v>
      </c>
      <c r="J17" s="62">
        <f>'Necesidades Trimestrales'!H15</f>
        <v>8</v>
      </c>
      <c r="K17" s="63">
        <f>'Necesidades Trimestrales'!G15</f>
        <v>20000</v>
      </c>
      <c r="N17" s="135">
        <f t="shared" si="0"/>
        <v>160000</v>
      </c>
      <c r="O17" s="75" t="s">
        <v>71</v>
      </c>
      <c r="P17" s="2" t="b">
        <f t="shared" si="1"/>
        <v>1</v>
      </c>
      <c r="Q17" s="78" t="s">
        <v>118</v>
      </c>
      <c r="R17" s="2" t="b">
        <f t="shared" si="2"/>
        <v>1</v>
      </c>
    </row>
    <row r="18" spans="1:1024" ht="36" customHeight="1" thickBot="1" x14ac:dyDescent="0.25">
      <c r="A18" s="8">
        <v>7</v>
      </c>
      <c r="B18" s="59" t="str">
        <f>'Necesidades Trimestrales'!B16</f>
        <v>2.9.4-690.15</v>
      </c>
      <c r="C18" s="94" t="str">
        <f>'Necesidades Trimestrales'!E16</f>
        <v>CUCHARAS; TIPO: DE MESA, MATERIAL: PLASTICO</v>
      </c>
      <c r="D18" s="94"/>
      <c r="E18" s="94"/>
      <c r="F18" s="94"/>
      <c r="G18" s="94"/>
      <c r="H18" s="60" t="s">
        <v>104</v>
      </c>
      <c r="I18" s="61" t="str">
        <f>'Necesidades Trimestrales'!F16</f>
        <v>UNIDAD</v>
      </c>
      <c r="J18" s="62">
        <f>'Necesidades Trimestrales'!H16</f>
        <v>3.5</v>
      </c>
      <c r="K18" s="63">
        <f>'Necesidades Trimestrales'!G16</f>
        <v>12000</v>
      </c>
      <c r="N18" s="135">
        <f t="shared" si="0"/>
        <v>42000</v>
      </c>
      <c r="O18" s="75" t="s">
        <v>72</v>
      </c>
      <c r="P18" s="2" t="b">
        <f t="shared" si="1"/>
        <v>1</v>
      </c>
      <c r="Q18" s="78" t="s">
        <v>119</v>
      </c>
      <c r="R18" s="2" t="b">
        <f t="shared" si="2"/>
        <v>1</v>
      </c>
    </row>
    <row r="19" spans="1:1024" ht="36" customHeight="1" thickBot="1" x14ac:dyDescent="0.25">
      <c r="A19" s="8">
        <v>8</v>
      </c>
      <c r="B19" s="59" t="str">
        <f>'Necesidades Trimestrales'!B17</f>
        <v>2.5.8-1055.37</v>
      </c>
      <c r="C19" s="94" t="str">
        <f>'Necesidades Trimestrales'!E17</f>
        <v>BANDEJAS DE PLASTICO; MATERIAL: PLASTICO, LARGO X ANCHO: 233 X 170 mm, FORMA: OVAL, PRESENTACION: CAJA X 600</v>
      </c>
      <c r="D19" s="94"/>
      <c r="E19" s="94"/>
      <c r="F19" s="94"/>
      <c r="G19" s="94"/>
      <c r="H19" s="60" t="s">
        <v>57</v>
      </c>
      <c r="I19" s="61" t="str">
        <f>'Necesidades Trimestrales'!F17</f>
        <v>UNIDAD</v>
      </c>
      <c r="J19" s="62">
        <f>'Necesidades Trimestrales'!H17</f>
        <v>27000</v>
      </c>
      <c r="K19" s="63">
        <f>'Necesidades Trimestrales'!G17</f>
        <v>10</v>
      </c>
      <c r="N19" s="135">
        <f t="shared" si="0"/>
        <v>270000</v>
      </c>
      <c r="O19" s="75" t="s">
        <v>73</v>
      </c>
      <c r="P19" s="2" t="b">
        <f t="shared" si="1"/>
        <v>1</v>
      </c>
      <c r="Q19" s="78" t="s">
        <v>120</v>
      </c>
      <c r="R19" s="2" t="b">
        <f t="shared" si="2"/>
        <v>1</v>
      </c>
    </row>
    <row r="20" spans="1:1024" ht="48" customHeight="1" thickBot="1" x14ac:dyDescent="0.25">
      <c r="A20" s="8">
        <v>9</v>
      </c>
      <c r="B20" s="59" t="str">
        <f>'Necesidades Trimestrales'!B18</f>
        <v>2.9.4-4743.4</v>
      </c>
      <c r="C20" s="94" t="str">
        <f>'Necesidades Trimestrales'!E18</f>
        <v>BANDEJA P/TRANSP. DE ALIMENTO; CAPACIDAD: 700 GR, MATERIAL: ALUMINIO, TIPO: SIN VALOR, MEDIDAS: 14 X 10 X 4,5 Cm, INTERIOR: SIN VALOR, EXTERIOR: SIN VALOR, DIMENSION: 14 X 10 X 4,5 Cm, ACABADO: SIN VALOR</v>
      </c>
      <c r="D20" s="94"/>
      <c r="E20" s="94"/>
      <c r="F20" s="94"/>
      <c r="G20" s="94"/>
      <c r="H20" s="60" t="s">
        <v>105</v>
      </c>
      <c r="I20" s="61" t="str">
        <f>'Necesidades Trimestrales'!F18</f>
        <v>UNIDAD</v>
      </c>
      <c r="J20" s="62">
        <f>'Necesidades Trimestrales'!H18</f>
        <v>18</v>
      </c>
      <c r="K20" s="63">
        <f>'Necesidades Trimestrales'!G18</f>
        <v>1000</v>
      </c>
      <c r="N20" s="135">
        <f t="shared" si="0"/>
        <v>18000</v>
      </c>
      <c r="O20" s="75" t="s">
        <v>74</v>
      </c>
      <c r="P20" s="2" t="b">
        <f t="shared" si="1"/>
        <v>1</v>
      </c>
      <c r="Q20" s="78" t="s">
        <v>121</v>
      </c>
      <c r="R20" s="2" t="b">
        <f t="shared" si="2"/>
        <v>1</v>
      </c>
    </row>
    <row r="21" spans="1:1024" ht="36" customHeight="1" thickBot="1" x14ac:dyDescent="0.25">
      <c r="A21" s="8">
        <v>10</v>
      </c>
      <c r="B21" s="59" t="str">
        <f>'Necesidades Trimestrales'!B19</f>
        <v>2.9.4-692.10</v>
      </c>
      <c r="C21" s="94" t="str">
        <f>'Necesidades Trimestrales'!E19</f>
        <v>TENEDORES; TIPO: DE MESA, MATERIAL: PLASTICO</v>
      </c>
      <c r="D21" s="94"/>
      <c r="E21" s="94"/>
      <c r="F21" s="94"/>
      <c r="G21" s="94"/>
      <c r="H21" s="60" t="s">
        <v>105</v>
      </c>
      <c r="I21" s="61" t="str">
        <f>'Necesidades Trimestrales'!F19</f>
        <v>UNIDAD</v>
      </c>
      <c r="J21" s="62">
        <f>'Necesidades Trimestrales'!H19</f>
        <v>2.5</v>
      </c>
      <c r="K21" s="63">
        <f>'Necesidades Trimestrales'!G19</f>
        <v>12000</v>
      </c>
      <c r="N21" s="135">
        <f t="shared" si="0"/>
        <v>30000</v>
      </c>
      <c r="O21" s="75" t="s">
        <v>75</v>
      </c>
      <c r="P21" s="2" t="b">
        <f t="shared" si="1"/>
        <v>1</v>
      </c>
      <c r="Q21" s="78" t="s">
        <v>122</v>
      </c>
      <c r="R21" s="2" t="b">
        <f t="shared" si="2"/>
        <v>1</v>
      </c>
    </row>
    <row r="22" spans="1:1024" ht="36" customHeight="1" thickBot="1" x14ac:dyDescent="0.25">
      <c r="A22" s="8">
        <v>11</v>
      </c>
      <c r="B22" s="59" t="str">
        <f>'Necesidades Trimestrales'!B20</f>
        <v>2.3.4-938.59</v>
      </c>
      <c r="C22" s="94" t="str">
        <f>'Necesidades Trimestrales'!E20</f>
        <v>SERVILLETAS DE PAPEL; TIPO: ROLLO, MOTIVO: SIN, DIMENSION: 25 X 10 Cm, PRESENTACION: ENVASE X 3 UN</v>
      </c>
      <c r="D22" s="94"/>
      <c r="E22" s="94"/>
      <c r="F22" s="94"/>
      <c r="G22" s="94"/>
      <c r="H22" s="60" t="s">
        <v>57</v>
      </c>
      <c r="I22" s="61" t="str">
        <f>'Necesidades Trimestrales'!F20</f>
        <v>UNIDAD</v>
      </c>
      <c r="J22" s="62">
        <f>'Necesidades Trimestrales'!H20</f>
        <v>110</v>
      </c>
      <c r="K22" s="63">
        <f>'Necesidades Trimestrales'!G20</f>
        <v>30</v>
      </c>
      <c r="N22" s="135">
        <f t="shared" si="0"/>
        <v>3300</v>
      </c>
      <c r="O22" s="75" t="s">
        <v>76</v>
      </c>
      <c r="P22" s="2" t="b">
        <f t="shared" si="1"/>
        <v>1</v>
      </c>
      <c r="Q22" s="78" t="s">
        <v>123</v>
      </c>
      <c r="R22" s="2" t="b">
        <f t="shared" si="2"/>
        <v>1</v>
      </c>
    </row>
    <row r="23" spans="1:1024" ht="36" customHeight="1" thickBot="1" x14ac:dyDescent="0.25">
      <c r="A23" s="8">
        <v>12</v>
      </c>
      <c r="B23" s="59" t="str">
        <f>'Necesidades Trimestrales'!B21</f>
        <v>2.9.4-4743.24</v>
      </c>
      <c r="C23" s="94" t="str">
        <f>'Necesidades Trimestrales'!E21</f>
        <v>BANDEJA P/TRANSP. DE ALIMENTO; DIMENSION: 18 X 14 X 4 Cm, TIPO: C/TAPA, MATERIAL: ALUMINIO APTO MICROONDAS, CAPACIDAD: 750 CM3</v>
      </c>
      <c r="D23" s="94"/>
      <c r="E23" s="94"/>
      <c r="F23" s="94"/>
      <c r="G23" s="94"/>
      <c r="H23" s="60" t="s">
        <v>57</v>
      </c>
      <c r="I23" s="61" t="str">
        <f>'Necesidades Trimestrales'!F21</f>
        <v>UNIDAD</v>
      </c>
      <c r="J23" s="62">
        <f>'Necesidades Trimestrales'!H21</f>
        <v>21</v>
      </c>
      <c r="K23" s="63">
        <f>'Necesidades Trimestrales'!G21</f>
        <v>25000</v>
      </c>
      <c r="N23" s="135">
        <f t="shared" si="0"/>
        <v>525000</v>
      </c>
      <c r="O23" s="75" t="s">
        <v>77</v>
      </c>
      <c r="P23" s="2" t="b">
        <f t="shared" si="1"/>
        <v>1</v>
      </c>
      <c r="Q23" s="78" t="s">
        <v>124</v>
      </c>
      <c r="R23" s="2" t="b">
        <f t="shared" si="2"/>
        <v>1</v>
      </c>
    </row>
    <row r="24" spans="1:1024" ht="36" customHeight="1" thickBot="1" x14ac:dyDescent="0.25">
      <c r="A24" s="8">
        <v>13</v>
      </c>
      <c r="B24" s="59" t="str">
        <f>'Necesidades Trimestrales'!B22</f>
        <v>2.9.4-690.16</v>
      </c>
      <c r="C24" s="94" t="str">
        <f>'Necesidades Trimestrales'!E22</f>
        <v>CUCHARAS; TIPO: TE, MATERIAL: PLASTICO</v>
      </c>
      <c r="D24" s="94"/>
      <c r="E24" s="94"/>
      <c r="F24" s="94"/>
      <c r="G24" s="94"/>
      <c r="H24" s="60" t="s">
        <v>105</v>
      </c>
      <c r="I24" s="61" t="str">
        <f>'Necesidades Trimestrales'!F22</f>
        <v>UNIDAD</v>
      </c>
      <c r="J24" s="62">
        <f>'Necesidades Trimestrales'!H22</f>
        <v>1.5</v>
      </c>
      <c r="K24" s="63">
        <f>'Necesidades Trimestrales'!G22</f>
        <v>12000</v>
      </c>
      <c r="N24" s="135">
        <f t="shared" si="0"/>
        <v>18000</v>
      </c>
      <c r="O24" s="75" t="s">
        <v>78</v>
      </c>
      <c r="P24" s="2" t="b">
        <f t="shared" si="1"/>
        <v>1</v>
      </c>
      <c r="Q24" s="78" t="s">
        <v>125</v>
      </c>
      <c r="R24" s="2" t="b">
        <f t="shared" si="2"/>
        <v>1</v>
      </c>
    </row>
    <row r="25" spans="1:1024" ht="36" customHeight="1" thickBot="1" x14ac:dyDescent="0.25">
      <c r="A25" s="8">
        <v>14</v>
      </c>
      <c r="B25" s="59" t="str">
        <f>'Necesidades Trimestrales'!B23</f>
        <v>2.5.8-5590.59</v>
      </c>
      <c r="C25" s="94" t="str">
        <f>'Necesidades Trimestrales'!E23</f>
        <v>FILMS DE POLIETILENO; ESPESOR: 10 Mn, ANCHO: 45 Cm, PRESENTACION: ROLLO X 900 M, USO: ALIMENTARIO</v>
      </c>
      <c r="D25" s="94"/>
      <c r="E25" s="94"/>
      <c r="F25" s="94"/>
      <c r="G25" s="94"/>
      <c r="H25" s="60" t="s">
        <v>57</v>
      </c>
      <c r="I25" s="61" t="str">
        <f>'Necesidades Trimestrales'!F23</f>
        <v>UNIDAD</v>
      </c>
      <c r="J25" s="62">
        <f>'Necesidades Trimestrales'!H23</f>
        <v>4900</v>
      </c>
      <c r="K25" s="63">
        <f>'Necesidades Trimestrales'!G23</f>
        <v>3</v>
      </c>
      <c r="N25" s="135">
        <f t="shared" si="0"/>
        <v>14700</v>
      </c>
      <c r="O25" s="75" t="s">
        <v>84</v>
      </c>
      <c r="P25" s="2" t="b">
        <f t="shared" si="1"/>
        <v>1</v>
      </c>
      <c r="Q25" s="78" t="s">
        <v>126</v>
      </c>
      <c r="R25" s="2" t="b">
        <f t="shared" si="2"/>
        <v>1</v>
      </c>
    </row>
    <row r="26" spans="1:1024" ht="36" customHeight="1" thickBot="1" x14ac:dyDescent="0.25">
      <c r="A26" s="8">
        <v>15</v>
      </c>
      <c r="B26" s="59" t="str">
        <f>'Necesidades Trimestrales'!B24</f>
        <v>2.9.4-1015.40</v>
      </c>
      <c r="C26" s="94" t="str">
        <f>'Necesidades Trimestrales'!E24</f>
        <v>BANDEJAS DE MESA; MATERIAL: PLASTICO, DIMENSION: 16,5 X 12 X 5,5 Cm, FORMA: RECTANGULAR</v>
      </c>
      <c r="D26" s="94"/>
      <c r="E26" s="94"/>
      <c r="F26" s="94"/>
      <c r="G26" s="94"/>
      <c r="H26" s="60" t="s">
        <v>57</v>
      </c>
      <c r="I26" s="61" t="str">
        <f>'Necesidades Trimestrales'!F24</f>
        <v>UNIDAD</v>
      </c>
      <c r="J26" s="62">
        <f>'Necesidades Trimestrales'!H24</f>
        <v>9</v>
      </c>
      <c r="K26" s="63">
        <f>'Necesidades Trimestrales'!G24</f>
        <v>1500</v>
      </c>
      <c r="N26" s="135">
        <f t="shared" si="0"/>
        <v>13500</v>
      </c>
      <c r="O26" s="75" t="s">
        <v>79</v>
      </c>
      <c r="P26" s="2" t="b">
        <f t="shared" si="1"/>
        <v>1</v>
      </c>
      <c r="Q26" s="78" t="s">
        <v>127</v>
      </c>
      <c r="R26" s="2" t="b">
        <f t="shared" si="2"/>
        <v>1</v>
      </c>
    </row>
    <row r="27" spans="1:1024" ht="36" customHeight="1" thickBot="1" x14ac:dyDescent="0.25">
      <c r="A27" s="8">
        <v>16</v>
      </c>
      <c r="B27" s="59" t="str">
        <f>'Necesidades Trimestrales'!B25</f>
        <v>2.9.4-588.70</v>
      </c>
      <c r="C27" s="94" t="str">
        <f>'Necesidades Trimestrales'!E25</f>
        <v>VASOS PLASTICOS DESCARTABLES; MATERIAL: POLIESTIRENO, MOTIVO: LISO, CAPACIDAD: 240 CM3, PRESENTACION: ENVASE X 1000 UN, TIPO: APTO MICROONDAS</v>
      </c>
      <c r="D27" s="94"/>
      <c r="E27" s="94"/>
      <c r="F27" s="94"/>
      <c r="G27" s="94"/>
      <c r="H27" s="60" t="s">
        <v>57</v>
      </c>
      <c r="I27" s="61" t="str">
        <f>'Necesidades Trimestrales'!F25</f>
        <v>UNIDAD</v>
      </c>
      <c r="J27" s="62">
        <f>'Necesidades Trimestrales'!H25</f>
        <v>9900</v>
      </c>
      <c r="K27" s="63">
        <f>'Necesidades Trimestrales'!G25</f>
        <v>30</v>
      </c>
      <c r="N27" s="135">
        <f t="shared" si="0"/>
        <v>297000</v>
      </c>
      <c r="O27" s="75" t="s">
        <v>80</v>
      </c>
      <c r="P27" s="2" t="b">
        <f t="shared" si="1"/>
        <v>1</v>
      </c>
      <c r="Q27" s="78" t="s">
        <v>87</v>
      </c>
      <c r="R27" s="2" t="b">
        <f t="shared" si="2"/>
        <v>1</v>
      </c>
    </row>
    <row r="28" spans="1:1024" ht="48.6" customHeight="1" thickBot="1" x14ac:dyDescent="0.25">
      <c r="A28" s="8">
        <v>17</v>
      </c>
      <c r="B28" s="59" t="str">
        <f>'Necesidades Trimestrales'!B26</f>
        <v>2.9.5-1909.206</v>
      </c>
      <c r="C28" s="94" t="str">
        <f>'Necesidades Trimestrales'!E26</f>
        <v>GUANTES USO MEDICINAL; TIPO: DESCARTABLE, TAMAÑO: UNICO, MATERIAL: POLIETILENO, PRESENTACION: ENVASE X 100 UN, ESTERIL: SI, TALCO: NO, DESCARTABLE: SI</v>
      </c>
      <c r="D28" s="94"/>
      <c r="E28" s="94"/>
      <c r="F28" s="94"/>
      <c r="G28" s="94"/>
      <c r="H28" s="60" t="s">
        <v>57</v>
      </c>
      <c r="I28" s="61" t="str">
        <f>'Necesidades Trimestrales'!F26</f>
        <v>UNIDAD</v>
      </c>
      <c r="J28" s="62">
        <f>'Necesidades Trimestrales'!H26</f>
        <v>90</v>
      </c>
      <c r="K28" s="63">
        <f>'Necesidades Trimestrales'!G26</f>
        <v>10</v>
      </c>
      <c r="N28" s="135">
        <f t="shared" si="0"/>
        <v>900</v>
      </c>
      <c r="O28" s="75" t="s">
        <v>81</v>
      </c>
      <c r="P28" s="2" t="b">
        <f t="shared" si="1"/>
        <v>1</v>
      </c>
      <c r="Q28" s="78" t="s">
        <v>128</v>
      </c>
      <c r="R28" s="2" t="b">
        <f t="shared" si="2"/>
        <v>1</v>
      </c>
    </row>
    <row r="29" spans="1:1024" ht="20.25" customHeight="1" thickBot="1" x14ac:dyDescent="0.25">
      <c r="A29" s="95" t="s">
        <v>107</v>
      </c>
      <c r="B29" s="95"/>
      <c r="C29" s="95"/>
      <c r="D29" s="95"/>
      <c r="E29" s="95"/>
      <c r="F29" s="95"/>
      <c r="G29" s="95"/>
      <c r="H29" s="95"/>
      <c r="I29" s="95"/>
      <c r="J29" s="96">
        <f>SUMPRODUCT(J12:J28,K12:K28)</f>
        <v>1658400</v>
      </c>
      <c r="K29" s="96"/>
      <c r="L29"/>
      <c r="M29"/>
      <c r="N29" s="136">
        <f>SUM(N12:N28)</f>
        <v>1658400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</sheetData>
  <mergeCells count="39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C26:G26"/>
    <mergeCell ref="C27:G27"/>
    <mergeCell ref="C28:G28"/>
    <mergeCell ref="A29:I29"/>
    <mergeCell ref="J29:K29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3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9" t="s">
        <v>3</v>
      </c>
      <c r="B1" s="129"/>
      <c r="C1" s="129"/>
      <c r="D1" s="130">
        <f>'Necesidades Trimestrales'!C6</f>
        <v>2022</v>
      </c>
      <c r="E1" s="130"/>
      <c r="F1" s="10"/>
      <c r="G1" s="10"/>
      <c r="H1" s="11"/>
      <c r="I1" s="11"/>
      <c r="J1" s="11"/>
      <c r="K1" s="11"/>
      <c r="L1" s="11"/>
      <c r="M1" s="11"/>
      <c r="N1" s="11"/>
      <c r="P1" s="131" t="s">
        <v>31</v>
      </c>
      <c r="Q1" s="13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1"/>
      <c r="Q2" s="131"/>
    </row>
    <row r="4" spans="1:17" s="12" customFormat="1" ht="18" customHeight="1" thickBot="1" x14ac:dyDescent="0.25">
      <c r="A4" s="132" t="s">
        <v>32</v>
      </c>
      <c r="B4" s="132"/>
      <c r="C4" s="132"/>
      <c r="D4" s="132"/>
      <c r="E4" s="132"/>
      <c r="F4" s="132"/>
      <c r="G4" s="127" t="str">
        <f>NotaPedido!D3</f>
        <v>40 - Ministerio de Salud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17" s="12" customFormat="1" ht="18" customHeight="1" thickBot="1" x14ac:dyDescent="0.25">
      <c r="A5" s="124" t="s">
        <v>55</v>
      </c>
      <c r="B5" s="125"/>
      <c r="C5" s="125"/>
      <c r="D5" s="125"/>
      <c r="E5" s="125"/>
      <c r="F5" s="126"/>
      <c r="G5" s="127" t="str">
        <f>NotaPedido!D4</f>
        <v>23 - Hospital Interzonal San Juan Bautista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17" s="12" customFormat="1" ht="18" customHeight="1" thickBot="1" x14ac:dyDescent="0.25">
      <c r="A6" s="124" t="s">
        <v>33</v>
      </c>
      <c r="B6" s="125"/>
      <c r="C6" s="125"/>
      <c r="D6" s="125"/>
      <c r="E6" s="125"/>
      <c r="F6" s="126"/>
      <c r="G6" s="127" t="str">
        <f>NotaPedido!D5</f>
        <v>168 - Direccion Asistencial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</row>
    <row r="7" spans="1:17" s="12" customFormat="1" ht="18" customHeight="1" thickBot="1" x14ac:dyDescent="0.25">
      <c r="A7" s="124" t="s">
        <v>56</v>
      </c>
      <c r="B7" s="125"/>
      <c r="C7" s="125"/>
      <c r="D7" s="125"/>
      <c r="E7" s="125"/>
      <c r="F7" s="126"/>
      <c r="G7" s="127" t="str">
        <f>NotaPedido!D6</f>
        <v>Servicio de Nutricion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8" spans="1:17" ht="18" customHeight="1" thickBot="1" x14ac:dyDescent="0.25">
      <c r="A8" s="128" t="s">
        <v>34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7" ht="18" customHeight="1" x14ac:dyDescent="0.2">
      <c r="A9" s="118" t="s">
        <v>35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13"/>
    </row>
    <row r="10" spans="1:17" ht="54.75" customHeight="1" x14ac:dyDescent="0.2">
      <c r="A10" s="11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019 - 2022,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0" t="s">
        <v>36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x14ac:dyDescent="0.2">
      <c r="A13" s="121" t="s">
        <v>37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38</v>
      </c>
      <c r="P13" s="122"/>
      <c r="Q13" s="123" t="s">
        <v>39</v>
      </c>
    </row>
    <row r="14" spans="1:17" ht="15.75" customHeight="1" thickBot="1" x14ac:dyDescent="0.25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22"/>
      <c r="P14" s="122"/>
      <c r="Q14" s="123"/>
    </row>
    <row r="15" spans="1:17" ht="17.25" customHeight="1" x14ac:dyDescent="0.2">
      <c r="A15" s="66">
        <v>33</v>
      </c>
      <c r="B15" s="67"/>
      <c r="C15" s="67"/>
      <c r="D15" s="67">
        <v>2</v>
      </c>
      <c r="E15" s="67"/>
      <c r="F15" s="67">
        <v>4901</v>
      </c>
      <c r="G15" s="67">
        <v>3</v>
      </c>
      <c r="H15" s="68" t="s">
        <v>62</v>
      </c>
      <c r="I15" s="69">
        <v>2</v>
      </c>
      <c r="J15" s="69">
        <v>3</v>
      </c>
      <c r="K15" s="69">
        <v>4</v>
      </c>
      <c r="L15" s="67"/>
      <c r="M15" s="70">
        <v>1</v>
      </c>
      <c r="N15" s="68" t="s">
        <v>63</v>
      </c>
      <c r="O15" s="116" t="s">
        <v>100</v>
      </c>
      <c r="P15" s="116"/>
      <c r="Q15" s="23">
        <v>16300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64" t="s">
        <v>62</v>
      </c>
      <c r="I16" s="25">
        <v>2</v>
      </c>
      <c r="J16" s="25">
        <v>5</v>
      </c>
      <c r="K16" s="25">
        <v>8</v>
      </c>
      <c r="L16" s="25"/>
      <c r="M16" s="26">
        <v>1</v>
      </c>
      <c r="N16" s="65" t="s">
        <v>63</v>
      </c>
      <c r="O16" s="117" t="s">
        <v>101</v>
      </c>
      <c r="P16" s="117"/>
      <c r="Q16" s="28">
        <v>309700</v>
      </c>
    </row>
    <row r="17" spans="1:19" ht="17.25" customHeight="1" x14ac:dyDescent="0.2">
      <c r="A17" s="24">
        <v>33</v>
      </c>
      <c r="B17" s="25"/>
      <c r="C17" s="25"/>
      <c r="D17" s="25">
        <v>2</v>
      </c>
      <c r="E17" s="25"/>
      <c r="F17" s="27">
        <v>4901</v>
      </c>
      <c r="G17" s="25">
        <v>3</v>
      </c>
      <c r="H17" s="64" t="s">
        <v>62</v>
      </c>
      <c r="I17" s="25">
        <v>2</v>
      </c>
      <c r="J17" s="25">
        <v>9</v>
      </c>
      <c r="K17" s="25">
        <v>4</v>
      </c>
      <c r="L17" s="25"/>
      <c r="M17" s="26">
        <v>1</v>
      </c>
      <c r="N17" s="65" t="s">
        <v>63</v>
      </c>
      <c r="O17" s="117" t="s">
        <v>102</v>
      </c>
      <c r="P17" s="117"/>
      <c r="Q17" s="28">
        <v>1331500</v>
      </c>
      <c r="S17" s="71"/>
    </row>
    <row r="18" spans="1:19" ht="17.25" customHeight="1" x14ac:dyDescent="0.2">
      <c r="A18" s="24">
        <v>33</v>
      </c>
      <c r="B18" s="25"/>
      <c r="C18" s="25"/>
      <c r="D18" s="25">
        <v>2</v>
      </c>
      <c r="E18" s="25"/>
      <c r="F18" s="27">
        <v>4901</v>
      </c>
      <c r="G18" s="25">
        <v>3</v>
      </c>
      <c r="H18" s="64" t="s">
        <v>62</v>
      </c>
      <c r="I18" s="25">
        <v>2</v>
      </c>
      <c r="J18" s="25">
        <v>9</v>
      </c>
      <c r="K18" s="25">
        <v>5</v>
      </c>
      <c r="L18" s="25"/>
      <c r="M18" s="26">
        <v>1</v>
      </c>
      <c r="N18" s="65" t="s">
        <v>63</v>
      </c>
      <c r="O18" s="117" t="s">
        <v>64</v>
      </c>
      <c r="P18" s="117"/>
      <c r="Q18" s="28">
        <v>900</v>
      </c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1"/>
      <c r="P19" s="111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1"/>
      <c r="P20" s="111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2"/>
      <c r="P21" s="112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3"/>
      <c r="P22" s="113"/>
      <c r="Q22" s="37"/>
    </row>
    <row r="23" spans="1:19" ht="28.9" customHeight="1" x14ac:dyDescent="0.2">
      <c r="A23" s="114" t="s">
        <v>108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38">
        <f>SUM(Q15:Q22)</f>
        <v>1658400</v>
      </c>
    </row>
    <row r="24" spans="1:19" ht="18" customHeight="1" thickBot="1" x14ac:dyDescent="0.25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</row>
    <row r="25" spans="1:19" ht="17.25" customHeight="1" thickBot="1" x14ac:dyDescent="0.25">
      <c r="A25" s="106" t="s">
        <v>53</v>
      </c>
      <c r="B25" s="107"/>
      <c r="C25" s="107"/>
      <c r="D25" s="107"/>
      <c r="E25" s="107"/>
      <c r="F25" s="108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</row>
    <row r="26" spans="1:19" ht="18" customHeight="1" thickBot="1" x14ac:dyDescent="0.25">
      <c r="A26" s="110" t="str">
        <f>"Para la "&amp; NotaPedido!D8 &amp;" para ser destinados al " &amp; NotaPedido!D6 &amp;"  del HISJB del Ministerio de Salud."</f>
        <v>Para la Adquisición de Descartables para Nutrición para ser destinados al Servicio de Nutricion  del HISJB del Ministerio de Salud.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</row>
    <row r="27" spans="1:19" ht="15" customHeight="1" x14ac:dyDescent="0.2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26" right="0.23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2021-08-26T15:12:38Z</cp:lastPrinted>
  <dcterms:created xsi:type="dcterms:W3CDTF">2020-07-17T23:44:49Z</dcterms:created>
  <dcterms:modified xsi:type="dcterms:W3CDTF">2022-02-02T14:26:59Z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