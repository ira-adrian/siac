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ICITACION6\Users\Public\backup_licitacion\PROGRAMACION TERCER TRIMESTRE 2021\LABORATORIOS\Descartables laboratorios\"/>
    </mc:Choice>
  </mc:AlternateContent>
  <bookViews>
    <workbookView xWindow="-105" yWindow="-105" windowWidth="19410" windowHeight="11010" tabRatio="500"/>
  </bookViews>
  <sheets>
    <sheet name="Necesidades Trimestrales" sheetId="1" r:id="rId1"/>
    <sheet name="NotaPedido" sheetId="4" r:id="rId2"/>
    <sheet name="Autor Gastar" sheetId="3" r:id="rId3"/>
  </sheets>
  <externalReferences>
    <externalReference r:id="rId4"/>
  </externalReferences>
  <definedNames>
    <definedName name="_xlnm._FilterDatabase" localSheetId="0" hidden="1">'Necesidades Trimestrales'!$B$9:$I$38</definedName>
    <definedName name="_xlnm.Print_Area" localSheetId="2">'Autor Gastar'!$A$1:$Q$27</definedName>
    <definedName name="_xlnm.Print_Area" localSheetId="1">NotaPedido!$A$1:$K$41</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40" i="4" l="1"/>
  <c r="J40" i="4"/>
  <c r="I40" i="4"/>
  <c r="C40" i="4"/>
  <c r="B40" i="4"/>
  <c r="K39" i="4"/>
  <c r="J39" i="4"/>
  <c r="I39" i="4"/>
  <c r="C39" i="4"/>
  <c r="B39" i="4"/>
  <c r="K38" i="4"/>
  <c r="J38" i="4"/>
  <c r="I38" i="4"/>
  <c r="C38" i="4"/>
  <c r="B38" i="4"/>
  <c r="K37" i="4"/>
  <c r="J37" i="4"/>
  <c r="I37" i="4"/>
  <c r="C37" i="4"/>
  <c r="B37" i="4"/>
  <c r="K36" i="4"/>
  <c r="J36" i="4"/>
  <c r="I36" i="4"/>
  <c r="C36" i="4"/>
  <c r="B36" i="4"/>
  <c r="K35" i="4"/>
  <c r="J35" i="4"/>
  <c r="I35" i="4"/>
  <c r="C35" i="4"/>
  <c r="B35" i="4"/>
  <c r="K34" i="4"/>
  <c r="J34" i="4"/>
  <c r="I34" i="4"/>
  <c r="C34" i="4"/>
  <c r="B34" i="4"/>
  <c r="K33" i="4"/>
  <c r="J33" i="4"/>
  <c r="I33" i="4"/>
  <c r="C33" i="4"/>
  <c r="B33" i="4"/>
  <c r="K32" i="4"/>
  <c r="J32" i="4"/>
  <c r="I32" i="4"/>
  <c r="C32" i="4"/>
  <c r="B32" i="4"/>
  <c r="K31" i="4"/>
  <c r="J31" i="4"/>
  <c r="I31" i="4"/>
  <c r="C31" i="4"/>
  <c r="B31" i="4"/>
  <c r="K30" i="4"/>
  <c r="J30" i="4"/>
  <c r="I30" i="4"/>
  <c r="C30" i="4"/>
  <c r="B30" i="4"/>
  <c r="K29" i="4"/>
  <c r="J29" i="4"/>
  <c r="I29" i="4"/>
  <c r="C29" i="4"/>
  <c r="B29" i="4"/>
  <c r="K28" i="4"/>
  <c r="J28" i="4"/>
  <c r="I28" i="4"/>
  <c r="C28" i="4"/>
  <c r="B28" i="4"/>
  <c r="K27" i="4"/>
  <c r="J27" i="4"/>
  <c r="I27" i="4"/>
  <c r="C27" i="4"/>
  <c r="B27" i="4"/>
  <c r="K26" i="4"/>
  <c r="J26" i="4"/>
  <c r="I26" i="4"/>
  <c r="C26" i="4"/>
  <c r="B26" i="4"/>
  <c r="K25" i="4"/>
  <c r="J25" i="4"/>
  <c r="I25" i="4"/>
  <c r="C25" i="4"/>
  <c r="B25" i="4"/>
  <c r="K24" i="4"/>
  <c r="J24" i="4"/>
  <c r="I24" i="4"/>
  <c r="C24" i="4"/>
  <c r="B24" i="4"/>
  <c r="K23" i="4"/>
  <c r="J23" i="4"/>
  <c r="I23" i="4"/>
  <c r="C23" i="4"/>
  <c r="B23" i="4"/>
  <c r="K22" i="4"/>
  <c r="J22" i="4"/>
  <c r="I22" i="4"/>
  <c r="C22" i="4"/>
  <c r="B22" i="4"/>
  <c r="K21" i="4"/>
  <c r="J21" i="4"/>
  <c r="I21" i="4"/>
  <c r="C21" i="4"/>
  <c r="B21" i="4"/>
  <c r="K20" i="4"/>
  <c r="J20" i="4"/>
  <c r="I20" i="4"/>
  <c r="C20" i="4"/>
  <c r="B20" i="4"/>
  <c r="K19" i="4"/>
  <c r="J19" i="4"/>
  <c r="I19" i="4"/>
  <c r="C19" i="4"/>
  <c r="B19" i="4"/>
  <c r="K18" i="4"/>
  <c r="J18" i="4"/>
  <c r="I18" i="4"/>
  <c r="C18" i="4"/>
  <c r="B18" i="4"/>
  <c r="K17" i="4"/>
  <c r="J17" i="4"/>
  <c r="I17" i="4"/>
  <c r="C17" i="4"/>
  <c r="B17" i="4"/>
  <c r="K16" i="4"/>
  <c r="J16" i="4"/>
  <c r="I16" i="4"/>
  <c r="C16" i="4"/>
  <c r="B16" i="4"/>
  <c r="K15" i="4"/>
  <c r="J15" i="4"/>
  <c r="I15" i="4"/>
  <c r="C15" i="4"/>
  <c r="B15" i="4"/>
  <c r="K14" i="4"/>
  <c r="J14" i="4"/>
  <c r="I14" i="4"/>
  <c r="C14" i="4"/>
  <c r="B14" i="4"/>
  <c r="K13" i="4"/>
  <c r="J13" i="4"/>
  <c r="I13" i="4"/>
  <c r="C13" i="4"/>
  <c r="B13" i="4"/>
  <c r="K12" i="4"/>
  <c r="J12" i="4"/>
  <c r="J41" i="4" s="1"/>
  <c r="I12" i="4"/>
  <c r="C12" i="4"/>
  <c r="B12" i="4"/>
  <c r="D7" i="4"/>
  <c r="D4" i="4"/>
  <c r="D3" i="4"/>
  <c r="A26" i="3" l="1"/>
  <c r="Q16" i="3"/>
  <c r="I38" i="1" l="1"/>
  <c r="I37" i="1"/>
  <c r="I36" i="1"/>
  <c r="I35" i="1"/>
  <c r="I34" i="1"/>
  <c r="I31" i="1" l="1"/>
  <c r="I25" i="1"/>
  <c r="I16" i="1"/>
  <c r="I15" i="1"/>
  <c r="I14" i="1"/>
  <c r="I13" i="1"/>
  <c r="I11" i="1"/>
  <c r="I10" i="1"/>
  <c r="A10" i="3" l="1"/>
  <c r="I30" i="1"/>
  <c r="I18" i="1"/>
  <c r="I19" i="1"/>
  <c r="I20" i="1"/>
  <c r="I21" i="1"/>
  <c r="I12" i="1"/>
  <c r="I26" i="1"/>
  <c r="I27" i="1"/>
  <c r="I17" i="1"/>
  <c r="I22" i="1"/>
  <c r="I23" i="1"/>
  <c r="I24" i="1"/>
  <c r="I29" i="1"/>
  <c r="I33" i="1"/>
  <c r="I28" i="1"/>
  <c r="I32" i="1"/>
  <c r="G6" i="3" l="1"/>
  <c r="G7" i="3"/>
  <c r="G4" i="3"/>
  <c r="G5" i="3"/>
  <c r="D1" i="3" l="1"/>
</calcChain>
</file>

<file path=xl/sharedStrings.xml><?xml version="1.0" encoding="utf-8"?>
<sst xmlns="http://schemas.openxmlformats.org/spreadsheetml/2006/main" count="226" uniqueCount="118">
  <si>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</si>
  <si>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</si>
  <si>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</si>
  <si>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</si>
  <si>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</si>
  <si>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</si>
  <si>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</si>
  <si>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</si>
  <si>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</si>
  <si>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</si>
  <si>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</si>
  <si>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</si>
  <si>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</si>
  <si>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</si>
  <si>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</si>
  <si>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</si>
  <si>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</si>
  <si>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</si>
  <si>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</si>
  <si>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</si>
  <si>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</si>
  <si>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</si>
  <si>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</si>
  <si>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</si>
  <si>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</si>
  <si>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</si>
  <si>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</si>
  <si>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</si>
  <si>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</si>
  <si>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</si>
  <si>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</si>
  <si>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</si>
  <si>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</si>
  <si>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</si>
  <si>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</si>
  <si>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</si>
  <si>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</si>
  <si>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</si>
  <si>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</si>
  <si>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</si>
  <si>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</si>
  <si>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</si>
  <si>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</si>
  <si>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</si>
  <si>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</si>
  <si>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</si>
  <si>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</si>
  <si>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</si>
  <si>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</si>
  <si>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</si>
  <si>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</si>
  <si>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</si>
  <si>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</si>
  <si>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</si>
  <si>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</si>
  <si>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</si>
  <si>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</si>
  <si>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</si>
  <si>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</si>
  <si>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</si>
  <si>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</si>
  <si>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 xml:space="preserve">45 dias habiles </t>
  </si>
  <si>
    <t>3.1</t>
  </si>
  <si>
    <t>1.1</t>
  </si>
  <si>
    <t>Utiles Menores Med. Quir. y de Lab.</t>
  </si>
  <si>
    <t>Servicio de Laboratorio Central</t>
  </si>
  <si>
    <t>UNIDAD</t>
  </si>
  <si>
    <t>Frascos Hemocultivo BD BACTEC Plus/Aerobic/F culture vials x 30ml por 50</t>
  </si>
  <si>
    <t>CAJAS</t>
  </si>
  <si>
    <t>Hisopos material de extremos: algodòn presentaciòn caja por 100</t>
  </si>
  <si>
    <t>BOLSAS</t>
  </si>
  <si>
    <t>Especulos descartables estèriles chicos bolsas x 100 U</t>
  </si>
  <si>
    <t xml:space="preserve">Erlenmeyer de vidrio x 500 ml. </t>
  </si>
  <si>
    <t>Erlenmeyer de vidrio x 250 ml.</t>
  </si>
  <si>
    <t>Cubreobjetos de vidrio 18x18 x 100 unidades</t>
  </si>
  <si>
    <t xml:space="preserve">FILTROS DE LEUCORREDUCCION PARA PLAQUETAS - BOLSA X 50 UNIDADES </t>
  </si>
  <si>
    <t>Bolsa</t>
  </si>
  <si>
    <t xml:space="preserve">FILTROS DE LEUCORREDUCCION PARA GLOBULOS ROJOS - BOLSA X 50 UNIDADES </t>
  </si>
  <si>
    <t xml:space="preserve">TIPS P/PIPETAS AUTOMATICAS X 1000 UNIDADES </t>
  </si>
  <si>
    <t>CASETTE PARA BIOPSIA KINDER X UNIDAD</t>
  </si>
  <si>
    <t>BOLSA</t>
  </si>
  <si>
    <t>CUCHILLAS LEICA 819 (LOW PROFILE – MICROTOME BLADES) X 50 U</t>
  </si>
  <si>
    <t>CAJA</t>
  </si>
  <si>
    <t>CUBREOBJETOS DELTALAB 50 X 24 X 100 U</t>
  </si>
  <si>
    <t>CUBREOBJETOS DELTALAB 40 X 24 X 100 U</t>
  </si>
  <si>
    <t>CUBREOBJETOS DELTALAB: 60 X 24 X 100 U</t>
  </si>
  <si>
    <t>LAPIZ DE WIDIA</t>
  </si>
  <si>
    <t>2010 ASSAY CUP</t>
  </si>
  <si>
    <t>2010 ASSAY TIP</t>
  </si>
  <si>
    <t>CLOT CATCHER P COBAS B221 X 250 UNIDADES</t>
  </si>
  <si>
    <t xml:space="preserve">CONTENEDOR DE RESIDUOS X 2 UND P/COBAS B221 WASTE CONTAINER </t>
  </si>
  <si>
    <t>CUBETAS DE REACCION P/COAGULOMETRO CUATRON X 500 UNIDADES</t>
  </si>
  <si>
    <t>CUBETAS DE REACCION P/COBAS C311</t>
  </si>
  <si>
    <t>Etiquetas Rollo tipo Itecrap</t>
  </si>
  <si>
    <t>ROLLO</t>
  </si>
  <si>
    <t>MICROTUBOS P/LABORATORIO; MATERIAL: POLIPROPILENO, PRESENTACION: ENVASE X 1000 UN, MEDIDA: 2 mL, TIPO: EPPENDORF</t>
  </si>
  <si>
    <t>BOLSA X 1000U</t>
  </si>
  <si>
    <t>TIP AMARILLO 5 - 200 Ul con corona tipo deltalab bolsa x 1000 UND</t>
  </si>
  <si>
    <t>TIP AZULES 5 - 1000 Ul con corona tipo deltalab bolsa x 1000 UND</t>
  </si>
  <si>
    <t>TUBOS DE KHAN DE VIDRIO 12 X 75 MM</t>
  </si>
  <si>
    <t>Pipetas de vidrio, uso laboratorio, tipo graduada de 25 ml..</t>
  </si>
  <si>
    <t>2.9.5</t>
  </si>
  <si>
    <t>2.3.4</t>
  </si>
  <si>
    <t>Costo total estimado: PESOS UN MILLON TRESCIENTOS VEINTITRES MIL CUATROCIENTOS CUARENTA Y NUEVE CON 00/100</t>
  </si>
  <si>
    <t>Productos de Papel y Cartón</t>
  </si>
  <si>
    <t>Adquisición de Descartables y Otros</t>
  </si>
  <si>
    <t xml:space="preserve">Productos de Papel y Cartón </t>
  </si>
  <si>
    <t>Ut. Menores med. Quirug. Y de Laborat.</t>
  </si>
  <si>
    <t xml:space="preserve">10 dias - Servicio de Laboratorio Central del HISJB - Avda. illia y Mariano Moreno </t>
  </si>
  <si>
    <t xml:space="preserve">PLAZO Y LUGAR DE ENTREGA: 10 DIAS - SERVICIO DE LABORATORIO DEL HISJB - AVDA. Mariano Moreno e Illia  </t>
  </si>
  <si>
    <t xml:space="preserve">PLAZO DE MANTENIMIENTO DE OFERTA: 45 DIAS HABILES </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</si>
  <si>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</si>
  <si>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 xml:space="preserve">CAJAS </t>
  </si>
  <si>
    <t xml:space="preserve">BOLSA </t>
  </si>
  <si>
    <t>PLACAS DE PETRI,material plastico esteril, diametro 90 mm, altura 14 mm (bolsas por 25 unidades)</t>
  </si>
  <si>
    <t>PORTAOBJETOS X 100 UNIDADES  (25,4 mm x 7,6 mm - 1,00 mm a 1,2 mm de ancho - bordes sin pulir, plano)</t>
  </si>
  <si>
    <t>065 - 2021</t>
  </si>
  <si>
    <t>TOTAL DE PESOS:  UN MILLON TRESCIENTOS VEINTITRES MIL CUATROCIENTOS CUARENTA Y NUEVE CON 00/100.---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</si>
</sst>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2"/>
      <name val="Calibri"/>
      <family val="2"/>
    </font>
    <font>
      <sz val="9"/>
      <name val="Arial"/>
      <family val="2"/>
    </font>
    <font>
      <b/>
      <sz val="8"/>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49">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top style="medium">
        <color auto="1"/>
      </top>
      <bottom style="medium">
        <color auto="1"/>
      </bottom>
      <diagonal/>
    </border>
  </borders>
  <cellStyleXfs count="6">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xf numFmtId="0" fontId="14" fillId="0" borderId="0"/>
  </cellStyleXfs>
  <cellXfs count="134">
    <xf numFmtId="0" fontId="0" fillId="0" borderId="0" xfId="0"/>
    <xf numFmtId="0" fontId="0" fillId="0" borderId="0" xfId="0" applyBorder="1"/>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3" fillId="0" borderId="44"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22" fillId="0" borderId="2" xfId="0" applyFont="1" applyBorder="1"/>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2" fillId="0" borderId="5" xfId="0" applyFont="1" applyBorder="1" applyAlignment="1">
      <alignment horizontal="left" indent="3"/>
    </xf>
    <xf numFmtId="0" fontId="15" fillId="0" borderId="5" xfId="0" applyFont="1" applyBorder="1" applyAlignment="1">
      <alignment horizontal="left" indent="3"/>
    </xf>
    <xf numFmtId="0" fontId="15" fillId="0" borderId="0"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9" fillId="0" borderId="14" xfId="0" applyFont="1" applyBorder="1" applyAlignment="1">
      <alignment horizontal="center" vertical="center" wrapText="1"/>
    </xf>
    <xf numFmtId="0" fontId="20" fillId="0" borderId="14" xfId="0" applyFont="1" applyBorder="1" applyAlignment="1">
      <alignment horizontal="center" vertical="center"/>
    </xf>
    <xf numFmtId="0" fontId="21" fillId="0" borderId="14" xfId="0" applyFont="1" applyBorder="1" applyAlignment="1">
      <alignment horizontal="left" vertical="center" wrapText="1"/>
    </xf>
    <xf numFmtId="0" fontId="21" fillId="0" borderId="14" xfId="0" applyFont="1" applyBorder="1" applyAlignment="1">
      <alignment horizontal="center" vertical="center" wrapText="1"/>
    </xf>
    <xf numFmtId="0" fontId="24" fillId="0" borderId="14" xfId="0" applyFont="1" applyFill="1" applyBorder="1" applyAlignment="1">
      <alignment vertical="center" wrapText="1"/>
    </xf>
    <xf numFmtId="0" fontId="21" fillId="4" borderId="14" xfId="0" applyFont="1" applyFill="1" applyBorder="1" applyAlignment="1">
      <alignment horizontal="center" vertical="center" wrapText="1"/>
    </xf>
    <xf numFmtId="166" fontId="20" fillId="4" borderId="14" xfId="1" applyNumberFormat="1" applyFont="1" applyFill="1" applyBorder="1" applyAlignment="1" applyProtection="1">
      <alignment horizontal="center" vertical="center" wrapText="1"/>
    </xf>
    <xf numFmtId="166" fontId="20" fillId="4" borderId="14" xfId="1" applyNumberFormat="1" applyFont="1" applyFill="1" applyBorder="1" applyAlignment="1" applyProtection="1">
      <alignment horizontal="right" vertical="center" wrapText="1"/>
    </xf>
    <xf numFmtId="0" fontId="23" fillId="4" borderId="0" xfId="0" applyFont="1" applyFill="1" applyAlignment="1">
      <alignment horizontal="left" wrapText="1" indent="1"/>
    </xf>
    <xf numFmtId="0" fontId="19" fillId="5" borderId="0" xfId="0" applyFont="1" applyFill="1" applyAlignment="1">
      <alignment horizontal="left" wrapText="1"/>
    </xf>
    <xf numFmtId="166" fontId="4" fillId="5" borderId="19" xfId="1" applyNumberFormat="1" applyFont="1" applyFill="1" applyBorder="1" applyAlignment="1" applyProtection="1">
      <alignment horizontal="right" vertical="center" wrapText="1"/>
    </xf>
    <xf numFmtId="0" fontId="14" fillId="0" borderId="36" xfId="0" applyFont="1" applyBorder="1" applyAlignment="1">
      <alignment horizontal="center" vertical="center"/>
    </xf>
    <xf numFmtId="0" fontId="14"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4"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166" fontId="0" fillId="0" borderId="0" xfId="0" applyNumberFormat="1"/>
    <xf numFmtId="0" fontId="15" fillId="6" borderId="20" xfId="0" applyFont="1" applyFill="1" applyBorder="1" applyAlignment="1">
      <alignment vertical="center"/>
    </xf>
    <xf numFmtId="0" fontId="15" fillId="6" borderId="48" xfId="0" applyFont="1" applyFill="1" applyBorder="1" applyAlignment="1">
      <alignment vertical="center"/>
    </xf>
    <xf numFmtId="0" fontId="15" fillId="6" borderId="21" xfId="0" applyFont="1" applyFill="1" applyBorder="1" applyAlignment="1">
      <alignment vertical="center"/>
    </xf>
    <xf numFmtId="0" fontId="24" fillId="5" borderId="14" xfId="0" applyFont="1" applyFill="1" applyBorder="1" applyAlignment="1">
      <alignment vertical="center" wrapText="1"/>
    </xf>
    <xf numFmtId="0" fontId="5" fillId="0" borderId="10" xfId="5" applyFont="1" applyBorder="1" applyAlignment="1">
      <alignment horizontal="right" vertical="center"/>
    </xf>
    <xf numFmtId="0" fontId="6" fillId="4" borderId="11" xfId="5" applyFont="1" applyFill="1" applyBorder="1" applyAlignment="1">
      <alignment horizontal="center" vertical="center"/>
    </xf>
    <xf numFmtId="0" fontId="2" fillId="0" borderId="0" xfId="5" applyFont="1" applyBorder="1" applyAlignment="1">
      <alignment vertical="center"/>
    </xf>
    <xf numFmtId="0" fontId="5" fillId="0" borderId="12" xfId="5" applyFont="1" applyBorder="1" applyAlignment="1">
      <alignment vertical="center"/>
    </xf>
    <xf numFmtId="0" fontId="5" fillId="0" borderId="0" xfId="5" applyFont="1" applyBorder="1" applyAlignment="1">
      <alignment vertical="center"/>
    </xf>
    <xf numFmtId="0" fontId="7" fillId="0" borderId="0" xfId="5" applyFont="1" applyBorder="1" applyAlignment="1">
      <alignment horizontal="left" vertical="center"/>
    </xf>
    <xf numFmtId="0" fontId="6" fillId="0" borderId="0" xfId="5" applyFont="1" applyBorder="1" applyAlignment="1">
      <alignment horizontal="left" vertical="center" wrapText="1" indent="1"/>
    </xf>
    <xf numFmtId="0" fontId="4" fillId="0" borderId="19" xfId="5" applyFont="1" applyBorder="1" applyAlignment="1">
      <alignment horizontal="center" vertical="center"/>
    </xf>
    <xf numFmtId="0" fontId="4" fillId="5" borderId="19" xfId="5" applyFont="1" applyFill="1" applyBorder="1" applyAlignment="1">
      <alignment horizontal="left" vertical="center"/>
    </xf>
    <xf numFmtId="0" fontId="4" fillId="4" borderId="19" xfId="5" applyFont="1" applyFill="1" applyBorder="1" applyAlignment="1">
      <alignment horizontal="center" vertical="center"/>
    </xf>
    <xf numFmtId="0" fontId="4" fillId="5" borderId="19" xfId="5" applyFont="1" applyFill="1" applyBorder="1" applyAlignment="1">
      <alignment horizontal="center" vertical="center" wrapText="1"/>
    </xf>
    <xf numFmtId="3" fontId="4" fillId="5" borderId="19" xfId="5" applyNumberFormat="1" applyFont="1" applyFill="1" applyBorder="1" applyAlignment="1">
      <alignment horizontal="center" vertical="center"/>
    </xf>
    <xf numFmtId="0" fontId="14" fillId="0" borderId="0" xfId="5"/>
    <xf numFmtId="0" fontId="16" fillId="0" borderId="0" xfId="0" applyFont="1" applyBorder="1" applyAlignment="1">
      <alignment horizontal="center"/>
    </xf>
    <xf numFmtId="0" fontId="17" fillId="0" borderId="0" xfId="0" applyFont="1" applyBorder="1" applyAlignment="1">
      <alignment horizontal="left" vertical="center" wrapText="1"/>
    </xf>
    <xf numFmtId="0" fontId="23" fillId="4" borderId="0" xfId="0" applyFont="1" applyFill="1" applyBorder="1" applyAlignment="1">
      <alignment horizontal="left" wrapText="1" indent="1"/>
    </xf>
    <xf numFmtId="0" fontId="15" fillId="3" borderId="6" xfId="0" applyFont="1" applyFill="1" applyBorder="1" applyAlignment="1">
      <alignment horizontal="center" wrapText="1"/>
    </xf>
    <xf numFmtId="0" fontId="15" fillId="4" borderId="6" xfId="0" applyFont="1" applyFill="1" applyBorder="1" applyAlignment="1">
      <alignment horizontal="left" wrapText="1"/>
    </xf>
    <xf numFmtId="0" fontId="15" fillId="3" borderId="6" xfId="0" applyFont="1" applyFill="1" applyBorder="1" applyAlignment="1">
      <alignment horizontal="center"/>
    </xf>
    <xf numFmtId="0" fontId="15" fillId="4" borderId="6" xfId="0" applyFont="1" applyFill="1" applyBorder="1" applyAlignment="1">
      <alignment horizontal="left"/>
    </xf>
    <xf numFmtId="0" fontId="15" fillId="4" borderId="6" xfId="0" applyFont="1" applyFill="1" applyBorder="1" applyAlignment="1">
      <alignment horizontal="center"/>
    </xf>
    <xf numFmtId="0" fontId="15" fillId="3" borderId="14"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6" fillId="0" borderId="14" xfId="5" applyFont="1" applyBorder="1" applyAlignment="1">
      <alignment horizontal="left" vertical="center" wrapText="1" indent="1"/>
    </xf>
    <xf numFmtId="167" fontId="7" fillId="0" borderId="14" xfId="5" applyNumberFormat="1" applyFont="1" applyBorder="1" applyAlignment="1">
      <alignment horizontal="center" vertical="center"/>
    </xf>
    <xf numFmtId="0" fontId="4" fillId="5" borderId="19" xfId="5" applyFont="1" applyFill="1" applyBorder="1" applyAlignment="1">
      <alignment horizontal="left" vertical="center" wrapText="1"/>
    </xf>
    <xf numFmtId="0" fontId="8" fillId="0" borderId="17" xfId="5" applyFont="1" applyBorder="1" applyAlignment="1">
      <alignment horizontal="center" vertical="center" wrapText="1"/>
    </xf>
    <xf numFmtId="0" fontId="8" fillId="0" borderId="16" xfId="5" applyFont="1" applyBorder="1" applyAlignment="1">
      <alignment horizontal="center" vertical="center"/>
    </xf>
    <xf numFmtId="0" fontId="8" fillId="0" borderId="18" xfId="5" applyFont="1" applyBorder="1" applyAlignment="1">
      <alignment horizontal="center" vertical="center" wrapText="1"/>
    </xf>
    <xf numFmtId="0" fontId="7" fillId="0" borderId="13" xfId="5" applyFont="1" applyBorder="1" applyAlignment="1">
      <alignment horizontal="left" vertical="center" wrapText="1"/>
    </xf>
    <xf numFmtId="0" fontId="6" fillId="5" borderId="14" xfId="5" applyFont="1" applyFill="1" applyBorder="1" applyAlignment="1">
      <alignment horizontal="left" vertical="center" wrapText="1" indent="1"/>
    </xf>
    <xf numFmtId="0" fontId="7" fillId="0" borderId="15" xfId="5" applyFont="1" applyBorder="1" applyAlignment="1">
      <alignment horizontal="left" vertical="center" wrapText="1"/>
    </xf>
    <xf numFmtId="0" fontId="7" fillId="0" borderId="16" xfId="5" applyFont="1" applyBorder="1" applyAlignment="1">
      <alignment horizontal="left" vertical="center"/>
    </xf>
    <xf numFmtId="0" fontId="6" fillId="4" borderId="17" xfId="5" applyFont="1" applyFill="1" applyBorder="1" applyAlignment="1">
      <alignment horizontal="left" vertical="center" wrapText="1" indent="1"/>
    </xf>
    <xf numFmtId="0" fontId="5" fillId="0" borderId="0" xfId="5" applyFont="1" applyBorder="1" applyAlignment="1">
      <alignment horizontal="center" vertical="center"/>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xf numFmtId="0" fontId="11" fillId="0" borderId="11" xfId="0" applyFont="1" applyBorder="1" applyAlignment="1">
      <alignment horizontal="left" indent="1"/>
    </xf>
    <xf numFmtId="0" fontId="4" fillId="0" borderId="13"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2" fillId="0" borderId="11" xfId="0" applyFont="1" applyBorder="1" applyAlignment="1">
      <alignment horizontal="left"/>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25" fillId="0" borderId="32" xfId="0" applyFont="1" applyBorder="1" applyAlignment="1">
      <alignment horizontal="left" vertical="center" wrapText="1"/>
    </xf>
    <xf numFmtId="0" fontId="25" fillId="0" borderId="38" xfId="0" applyFont="1" applyBorder="1" applyAlignment="1">
      <alignment horizontal="left" vertical="center"/>
    </xf>
    <xf numFmtId="0" fontId="14" fillId="0" borderId="38" xfId="0" applyFont="1" applyBorder="1" applyAlignment="1">
      <alignment horizontal="left" vertical="center"/>
    </xf>
    <xf numFmtId="0" fontId="0" fillId="0" borderId="38" xfId="0" applyFont="1" applyBorder="1" applyAlignment="1">
      <alignment horizontal="left" vertical="center"/>
    </xf>
    <xf numFmtId="0" fontId="9" fillId="0" borderId="20" xfId="0" applyFont="1" applyBorder="1" applyAlignment="1">
      <alignment vertical="center" wrapText="1"/>
    </xf>
    <xf numFmtId="0" fontId="9" fillId="0" borderId="4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4" borderId="44" xfId="0" applyFont="1" applyFill="1" applyBorder="1" applyAlignment="1">
      <alignment horizontal="left" vertical="center" wrapText="1" indent="1"/>
    </xf>
    <xf numFmtId="0" fontId="0" fillId="0" borderId="38" xfId="0" applyBorder="1" applyAlignment="1">
      <alignment horizontal="left" vertical="center"/>
    </xf>
    <xf numFmtId="0" fontId="0" fillId="0" borderId="41" xfId="0" applyBorder="1" applyAlignment="1">
      <alignment horizontal="left" vertical="center"/>
    </xf>
    <xf numFmtId="0" fontId="26" fillId="0" borderId="44" xfId="0" applyFont="1" applyBorder="1" applyAlignment="1">
      <alignment horizontal="left" vertical="center" wrapText="1"/>
    </xf>
    <xf numFmtId="0" fontId="0" fillId="0" borderId="22" xfId="0" applyBorder="1"/>
  </cellXfs>
  <cellStyles count="6">
    <cellStyle name="Encabezado 1" xfId="2"/>
    <cellStyle name="Moneda" xfId="1" builtinId="4"/>
    <cellStyle name="Moneda_AUTORIZACION Y NOTA DE PEDIDO" xfId="3"/>
    <cellStyle name="Neutral 1" xfId="4"/>
    <cellStyle name="Normal" xfId="0" builtinId="0"/>
    <cellStyle name="Normal 2" xf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pye%20065-2021%20-%20descartables%20laboratori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Pedido"/>
    </sheetNames>
    <sheetDataSet>
      <sheetData sheetId="0">
        <row r="1">
          <cell r="K1" t="str">
            <v>065 - 2021</v>
          </cell>
        </row>
        <row r="3">
          <cell r="D3" t="str">
            <v>40 - Ministerio de Salud</v>
          </cell>
        </row>
        <row r="4">
          <cell r="D4" t="str">
            <v>23 - Hospital Interzonal San Juan Bautista</v>
          </cell>
        </row>
        <row r="5">
          <cell r="D5" t="str">
            <v>168 - Direccion Asistencial</v>
          </cell>
        </row>
        <row r="6">
          <cell r="D6" t="str">
            <v>Servicio de Laboratorio Central</v>
          </cell>
        </row>
        <row r="8">
          <cell r="D8" t="str">
            <v>Adquisición de Descartables y Otros</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9"/>
  <sheetViews>
    <sheetView tabSelected="1" topLeftCell="A31" zoomScale="85" zoomScaleNormal="85" workbookViewId="0">
      <selection activeCell="B41" sqref="B41:E41"/>
    </sheetView>
  </sheetViews>
  <sheetFormatPr baseColWidth="10" defaultColWidth="11" defaultRowHeight="12.75" x14ac:dyDescent="0.2"/>
  <cols>
    <col min="1" max="1" width="4.5703125" style="32" customWidth="1"/>
    <col min="2" max="2" width="12.85546875" style="32" customWidth="1"/>
    <col min="3" max="3" width="32.42578125" style="32" customWidth="1"/>
    <col min="4" max="4" width="8.42578125" style="32" customWidth="1"/>
    <col min="5" max="5" width="79" style="32" customWidth="1"/>
    <col min="6" max="6" width="11" style="32"/>
    <col min="7" max="7" width="12.7109375" style="32" customWidth="1"/>
    <col min="8" max="8" width="13.85546875" style="32" customWidth="1"/>
    <col min="9" max="9" width="18.5703125" style="32" customWidth="1"/>
    <col min="10" max="16384" width="11" style="32"/>
  </cols>
  <sheetData>
    <row r="2" spans="1:9" ht="27" x14ac:dyDescent="0.35">
      <c r="B2" s="84" t="s">
        <v>0</v>
      </c>
      <c r="C2" s="84"/>
      <c r="D2" s="84"/>
      <c r="E2" s="84"/>
      <c r="F2" s="84"/>
      <c r="G2" s="84"/>
      <c r="H2" s="84"/>
    </row>
    <row r="4" spans="1:9" ht="18" customHeight="1" x14ac:dyDescent="0.25">
      <c r="A4" s="85" t="s">
        <v>1</v>
      </c>
      <c r="B4" s="85"/>
      <c r="C4" s="86" t="s">
        <v>58</v>
      </c>
      <c r="D4" s="86"/>
      <c r="E4" s="86"/>
      <c r="F4" s="33"/>
      <c r="G4" s="34"/>
      <c r="H4" s="33"/>
    </row>
    <row r="5" spans="1:9" ht="18" customHeight="1" x14ac:dyDescent="0.25">
      <c r="A5" s="85" t="s">
        <v>2</v>
      </c>
      <c r="B5" s="85"/>
      <c r="C5" s="86" t="s">
        <v>59</v>
      </c>
      <c r="D5" s="86"/>
      <c r="E5" s="86"/>
      <c r="F5" s="33"/>
      <c r="G5" s="34"/>
      <c r="H5" s="33"/>
    </row>
    <row r="6" spans="1:9" ht="16.5" customHeight="1" x14ac:dyDescent="0.25">
      <c r="A6" s="85" t="s">
        <v>3</v>
      </c>
      <c r="B6" s="85"/>
      <c r="C6" s="56">
        <v>2021</v>
      </c>
      <c r="D6" s="57"/>
      <c r="E6" s="57"/>
      <c r="F6" s="33"/>
      <c r="G6" s="34"/>
      <c r="H6" s="33"/>
    </row>
    <row r="7" spans="1:9" ht="16.5" customHeight="1" x14ac:dyDescent="0.25">
      <c r="A7" s="85" t="s">
        <v>4</v>
      </c>
      <c r="B7" s="85"/>
      <c r="C7" s="56">
        <v>3</v>
      </c>
      <c r="D7" s="57"/>
      <c r="E7" s="57"/>
      <c r="F7" s="33"/>
      <c r="G7" s="34"/>
      <c r="H7" s="33"/>
    </row>
    <row r="8" spans="1:9" ht="13.5" thickBot="1" x14ac:dyDescent="0.25">
      <c r="B8" s="33"/>
      <c r="C8" s="34"/>
      <c r="D8" s="33"/>
      <c r="E8" s="33"/>
      <c r="F8" s="33"/>
      <c r="G8" s="34"/>
      <c r="H8" s="33"/>
    </row>
    <row r="9" spans="1:9" ht="39" thickBot="1" x14ac:dyDescent="0.25">
      <c r="A9" s="48" t="s">
        <v>5</v>
      </c>
      <c r="B9" s="48" t="s">
        <v>6</v>
      </c>
      <c r="C9" s="48" t="s">
        <v>7</v>
      </c>
      <c r="D9" s="48" t="s">
        <v>8</v>
      </c>
      <c r="E9" s="48" t="s">
        <v>9</v>
      </c>
      <c r="F9" s="48" t="s">
        <v>10</v>
      </c>
      <c r="G9" s="48" t="s">
        <v>11</v>
      </c>
      <c r="H9" s="48" t="s">
        <v>12</v>
      </c>
      <c r="I9" s="48" t="s">
        <v>13</v>
      </c>
    </row>
    <row r="10" spans="1:9" ht="31.9" customHeight="1" thickBot="1" x14ac:dyDescent="0.25">
      <c r="A10" s="49">
        <v>1</v>
      </c>
      <c r="B10" s="53"/>
      <c r="C10" s="50" t="s">
        <v>107</v>
      </c>
      <c r="D10" s="51" t="s">
        <v>101</v>
      </c>
      <c r="E10" s="52" t="s">
        <v>87</v>
      </c>
      <c r="F10" s="53" t="s">
        <v>82</v>
      </c>
      <c r="G10" s="53">
        <v>2</v>
      </c>
      <c r="H10" s="54">
        <v>23309</v>
      </c>
      <c r="I10" s="55">
        <f t="shared" ref="I10:I38" si="0">G10*H10</f>
        <v>46618</v>
      </c>
    </row>
    <row r="11" spans="1:9" ht="31.9" customHeight="1" thickBot="1" x14ac:dyDescent="0.25">
      <c r="A11" s="49">
        <v>2</v>
      </c>
      <c r="B11" s="53"/>
      <c r="C11" s="50" t="s">
        <v>107</v>
      </c>
      <c r="D11" s="51" t="s">
        <v>101</v>
      </c>
      <c r="E11" s="52" t="s">
        <v>88</v>
      </c>
      <c r="F11" s="53" t="s">
        <v>82</v>
      </c>
      <c r="G11" s="53">
        <v>2</v>
      </c>
      <c r="H11" s="54">
        <v>17318</v>
      </c>
      <c r="I11" s="55">
        <f t="shared" si="0"/>
        <v>34636</v>
      </c>
    </row>
    <row r="12" spans="1:9" ht="31.9" customHeight="1" thickBot="1" x14ac:dyDescent="0.25">
      <c r="A12" s="49">
        <v>3</v>
      </c>
      <c r="B12" s="53"/>
      <c r="C12" s="50" t="s">
        <v>107</v>
      </c>
      <c r="D12" s="51" t="s">
        <v>101</v>
      </c>
      <c r="E12" s="52" t="s">
        <v>79</v>
      </c>
      <c r="F12" s="53" t="s">
        <v>80</v>
      </c>
      <c r="G12" s="53">
        <v>600</v>
      </c>
      <c r="H12" s="54">
        <v>12</v>
      </c>
      <c r="I12" s="55">
        <f t="shared" si="0"/>
        <v>7200</v>
      </c>
    </row>
    <row r="13" spans="1:9" ht="31.9" customHeight="1" thickBot="1" x14ac:dyDescent="0.25">
      <c r="A13" s="49">
        <v>4</v>
      </c>
      <c r="B13" s="53"/>
      <c r="C13" s="50" t="s">
        <v>107</v>
      </c>
      <c r="D13" s="51" t="s">
        <v>101</v>
      </c>
      <c r="E13" s="52" t="s">
        <v>89</v>
      </c>
      <c r="F13" s="53" t="s">
        <v>82</v>
      </c>
      <c r="G13" s="53">
        <v>20</v>
      </c>
      <c r="H13" s="54">
        <v>1337</v>
      </c>
      <c r="I13" s="55">
        <f t="shared" si="0"/>
        <v>26740</v>
      </c>
    </row>
    <row r="14" spans="1:9" ht="31.9" customHeight="1" thickBot="1" x14ac:dyDescent="0.25">
      <c r="A14" s="49">
        <v>5</v>
      </c>
      <c r="B14" s="53"/>
      <c r="C14" s="50" t="s">
        <v>107</v>
      </c>
      <c r="D14" s="51" t="s">
        <v>101</v>
      </c>
      <c r="E14" s="52" t="s">
        <v>90</v>
      </c>
      <c r="F14" s="53" t="s">
        <v>82</v>
      </c>
      <c r="G14" s="53">
        <v>2</v>
      </c>
      <c r="H14" s="54">
        <v>5139</v>
      </c>
      <c r="I14" s="55">
        <f t="shared" si="0"/>
        <v>10278</v>
      </c>
    </row>
    <row r="15" spans="1:9" ht="31.9" customHeight="1" thickBot="1" x14ac:dyDescent="0.25">
      <c r="A15" s="49">
        <v>6</v>
      </c>
      <c r="B15" s="53"/>
      <c r="C15" s="50" t="s">
        <v>107</v>
      </c>
      <c r="D15" s="51" t="s">
        <v>101</v>
      </c>
      <c r="E15" s="52" t="s">
        <v>91</v>
      </c>
      <c r="F15" s="53" t="s">
        <v>82</v>
      </c>
      <c r="G15" s="53">
        <v>18</v>
      </c>
      <c r="H15" s="54">
        <v>9834</v>
      </c>
      <c r="I15" s="55">
        <f t="shared" si="0"/>
        <v>177012</v>
      </c>
    </row>
    <row r="16" spans="1:9" ht="31.9" customHeight="1" thickBot="1" x14ac:dyDescent="0.25">
      <c r="A16" s="49">
        <v>7</v>
      </c>
      <c r="B16" s="53"/>
      <c r="C16" s="50" t="s">
        <v>107</v>
      </c>
      <c r="D16" s="51" t="s">
        <v>101</v>
      </c>
      <c r="E16" s="52" t="s">
        <v>92</v>
      </c>
      <c r="F16" s="53" t="s">
        <v>82</v>
      </c>
      <c r="G16" s="53">
        <v>1</v>
      </c>
      <c r="H16" s="54">
        <v>124741</v>
      </c>
      <c r="I16" s="55">
        <f t="shared" si="0"/>
        <v>124741</v>
      </c>
    </row>
    <row r="17" spans="1:9" ht="31.9" customHeight="1" thickBot="1" x14ac:dyDescent="0.25">
      <c r="A17" s="49">
        <v>8</v>
      </c>
      <c r="B17" s="53"/>
      <c r="C17" s="50" t="s">
        <v>107</v>
      </c>
      <c r="D17" s="51" t="s">
        <v>101</v>
      </c>
      <c r="E17" s="52" t="s">
        <v>74</v>
      </c>
      <c r="F17" s="53" t="s">
        <v>68</v>
      </c>
      <c r="G17" s="53">
        <v>10</v>
      </c>
      <c r="H17" s="54">
        <v>150</v>
      </c>
      <c r="I17" s="55">
        <f t="shared" si="0"/>
        <v>1500</v>
      </c>
    </row>
    <row r="18" spans="1:9" ht="31.9" customHeight="1" thickBot="1" x14ac:dyDescent="0.25">
      <c r="A18" s="49">
        <v>9</v>
      </c>
      <c r="B18" s="53"/>
      <c r="C18" s="50" t="s">
        <v>107</v>
      </c>
      <c r="D18" s="51" t="s">
        <v>101</v>
      </c>
      <c r="E18" s="52" t="s">
        <v>84</v>
      </c>
      <c r="F18" s="53" t="s">
        <v>82</v>
      </c>
      <c r="G18" s="53">
        <v>2</v>
      </c>
      <c r="H18" s="54">
        <v>327</v>
      </c>
      <c r="I18" s="55">
        <f t="shared" si="0"/>
        <v>654</v>
      </c>
    </row>
    <row r="19" spans="1:9" ht="31.9" customHeight="1" thickBot="1" x14ac:dyDescent="0.25">
      <c r="A19" s="49">
        <v>10</v>
      </c>
      <c r="B19" s="53"/>
      <c r="C19" s="50" t="s">
        <v>107</v>
      </c>
      <c r="D19" s="51" t="s">
        <v>101</v>
      </c>
      <c r="E19" s="52" t="s">
        <v>83</v>
      </c>
      <c r="F19" s="53" t="s">
        <v>82</v>
      </c>
      <c r="G19" s="53">
        <v>5</v>
      </c>
      <c r="H19" s="54">
        <v>358</v>
      </c>
      <c r="I19" s="55">
        <f t="shared" si="0"/>
        <v>1790</v>
      </c>
    </row>
    <row r="20" spans="1:9" ht="31.9" customHeight="1" thickBot="1" x14ac:dyDescent="0.25">
      <c r="A20" s="49">
        <v>11</v>
      </c>
      <c r="B20" s="53"/>
      <c r="C20" s="50" t="s">
        <v>107</v>
      </c>
      <c r="D20" s="51" t="s">
        <v>101</v>
      </c>
      <c r="E20" s="52" t="s">
        <v>85</v>
      </c>
      <c r="F20" s="53" t="s">
        <v>82</v>
      </c>
      <c r="G20" s="53">
        <v>8</v>
      </c>
      <c r="H20" s="54">
        <v>437</v>
      </c>
      <c r="I20" s="55">
        <f t="shared" si="0"/>
        <v>3496</v>
      </c>
    </row>
    <row r="21" spans="1:9" ht="31.9" customHeight="1" thickBot="1" x14ac:dyDescent="0.25">
      <c r="A21" s="49">
        <v>12</v>
      </c>
      <c r="B21" s="53"/>
      <c r="C21" s="50" t="s">
        <v>107</v>
      </c>
      <c r="D21" s="51" t="s">
        <v>101</v>
      </c>
      <c r="E21" s="52" t="s">
        <v>81</v>
      </c>
      <c r="F21" s="53" t="s">
        <v>82</v>
      </c>
      <c r="G21" s="53">
        <v>3</v>
      </c>
      <c r="H21" s="54">
        <v>20528</v>
      </c>
      <c r="I21" s="55">
        <f t="shared" si="0"/>
        <v>61584</v>
      </c>
    </row>
    <row r="22" spans="1:9" ht="31.9" customHeight="1" thickBot="1" x14ac:dyDescent="0.25">
      <c r="A22" s="49">
        <v>13</v>
      </c>
      <c r="B22" s="53"/>
      <c r="C22" s="50" t="s">
        <v>107</v>
      </c>
      <c r="D22" s="51" t="s">
        <v>101</v>
      </c>
      <c r="E22" s="52" t="s">
        <v>73</v>
      </c>
      <c r="F22" s="53" t="s">
        <v>66</v>
      </c>
      <c r="G22" s="53">
        <v>6</v>
      </c>
      <c r="H22" s="54">
        <v>500</v>
      </c>
      <c r="I22" s="55">
        <f t="shared" si="0"/>
        <v>3000</v>
      </c>
    </row>
    <row r="23" spans="1:9" ht="31.9" customHeight="1" thickBot="1" x14ac:dyDescent="0.25">
      <c r="A23" s="49">
        <v>14</v>
      </c>
      <c r="B23" s="53"/>
      <c r="C23" s="50" t="s">
        <v>107</v>
      </c>
      <c r="D23" s="51" t="s">
        <v>101</v>
      </c>
      <c r="E23" s="52" t="s">
        <v>72</v>
      </c>
      <c r="F23" s="53" t="s">
        <v>66</v>
      </c>
      <c r="G23" s="53">
        <v>4</v>
      </c>
      <c r="H23" s="54">
        <v>700</v>
      </c>
      <c r="I23" s="55">
        <f t="shared" si="0"/>
        <v>2800</v>
      </c>
    </row>
    <row r="24" spans="1:9" ht="31.9" customHeight="1" thickBot="1" x14ac:dyDescent="0.25">
      <c r="A24" s="49">
        <v>15</v>
      </c>
      <c r="B24" s="53"/>
      <c r="C24" s="50" t="s">
        <v>107</v>
      </c>
      <c r="D24" s="51" t="s">
        <v>101</v>
      </c>
      <c r="E24" s="52" t="s">
        <v>71</v>
      </c>
      <c r="F24" s="53" t="s">
        <v>70</v>
      </c>
      <c r="G24" s="53">
        <v>200</v>
      </c>
      <c r="H24" s="54">
        <v>56</v>
      </c>
      <c r="I24" s="55">
        <f t="shared" si="0"/>
        <v>11200</v>
      </c>
    </row>
    <row r="25" spans="1:9" ht="31.9" customHeight="1" thickBot="1" x14ac:dyDescent="0.25">
      <c r="A25" s="49">
        <v>16</v>
      </c>
      <c r="B25" s="53"/>
      <c r="C25" s="50" t="s">
        <v>106</v>
      </c>
      <c r="D25" s="51" t="s">
        <v>102</v>
      </c>
      <c r="E25" s="52" t="s">
        <v>93</v>
      </c>
      <c r="F25" s="53" t="s">
        <v>94</v>
      </c>
      <c r="G25" s="53">
        <v>40</v>
      </c>
      <c r="H25" s="54">
        <v>1109</v>
      </c>
      <c r="I25" s="55">
        <f t="shared" si="0"/>
        <v>44360</v>
      </c>
    </row>
    <row r="26" spans="1:9" ht="31.9" customHeight="1" thickBot="1" x14ac:dyDescent="0.25">
      <c r="A26" s="49">
        <v>17</v>
      </c>
      <c r="B26" s="53"/>
      <c r="C26" s="50" t="s">
        <v>107</v>
      </c>
      <c r="D26" s="51" t="s">
        <v>101</v>
      </c>
      <c r="E26" s="52" t="s">
        <v>77</v>
      </c>
      <c r="F26" s="53" t="s">
        <v>76</v>
      </c>
      <c r="G26" s="53">
        <v>10</v>
      </c>
      <c r="H26" s="54">
        <v>6295</v>
      </c>
      <c r="I26" s="55">
        <f t="shared" si="0"/>
        <v>62950</v>
      </c>
    </row>
    <row r="27" spans="1:9" ht="31.9" customHeight="1" thickBot="1" x14ac:dyDescent="0.25">
      <c r="A27" s="49">
        <v>18</v>
      </c>
      <c r="B27" s="53"/>
      <c r="C27" s="50" t="s">
        <v>107</v>
      </c>
      <c r="D27" s="51" t="s">
        <v>101</v>
      </c>
      <c r="E27" s="52" t="s">
        <v>75</v>
      </c>
      <c r="F27" s="53" t="s">
        <v>76</v>
      </c>
      <c r="G27" s="53">
        <v>10</v>
      </c>
      <c r="H27" s="54">
        <v>7299</v>
      </c>
      <c r="I27" s="55">
        <f t="shared" si="0"/>
        <v>72990</v>
      </c>
    </row>
    <row r="28" spans="1:9" ht="31.9" customHeight="1" thickBot="1" x14ac:dyDescent="0.25">
      <c r="A28" s="49">
        <v>19</v>
      </c>
      <c r="B28" s="53"/>
      <c r="C28" s="50" t="s">
        <v>107</v>
      </c>
      <c r="D28" s="51" t="s">
        <v>101</v>
      </c>
      <c r="E28" s="52" t="s">
        <v>67</v>
      </c>
      <c r="F28" s="53" t="s">
        <v>68</v>
      </c>
      <c r="G28" s="53">
        <v>8</v>
      </c>
      <c r="H28" s="54">
        <v>54920</v>
      </c>
      <c r="I28" s="55">
        <f t="shared" si="0"/>
        <v>439360</v>
      </c>
    </row>
    <row r="29" spans="1:9" ht="31.9" customHeight="1" thickBot="1" x14ac:dyDescent="0.25">
      <c r="A29" s="49">
        <v>20</v>
      </c>
      <c r="B29" s="53"/>
      <c r="C29" s="50" t="s">
        <v>107</v>
      </c>
      <c r="D29" s="51" t="s">
        <v>101</v>
      </c>
      <c r="E29" s="70" t="s">
        <v>69</v>
      </c>
      <c r="F29" s="53" t="s">
        <v>112</v>
      </c>
      <c r="G29" s="53">
        <v>10</v>
      </c>
      <c r="H29" s="54">
        <v>139</v>
      </c>
      <c r="I29" s="55">
        <f t="shared" si="0"/>
        <v>1390</v>
      </c>
    </row>
    <row r="30" spans="1:9" ht="31.9" customHeight="1" thickBot="1" x14ac:dyDescent="0.25">
      <c r="A30" s="49">
        <v>21</v>
      </c>
      <c r="B30" s="53"/>
      <c r="C30" s="50" t="s">
        <v>107</v>
      </c>
      <c r="D30" s="51" t="s">
        <v>101</v>
      </c>
      <c r="E30" s="52" t="s">
        <v>86</v>
      </c>
      <c r="F30" s="53" t="s">
        <v>66</v>
      </c>
      <c r="G30" s="53">
        <v>2</v>
      </c>
      <c r="H30" s="54">
        <v>370</v>
      </c>
      <c r="I30" s="55">
        <f t="shared" si="0"/>
        <v>740</v>
      </c>
    </row>
    <row r="31" spans="1:9" ht="31.9" customHeight="1" thickBot="1" x14ac:dyDescent="0.25">
      <c r="A31" s="49">
        <v>22</v>
      </c>
      <c r="B31" s="53"/>
      <c r="C31" s="50" t="s">
        <v>107</v>
      </c>
      <c r="D31" s="51" t="s">
        <v>101</v>
      </c>
      <c r="E31" s="52" t="s">
        <v>95</v>
      </c>
      <c r="F31" s="53" t="s">
        <v>96</v>
      </c>
      <c r="G31" s="53">
        <v>10</v>
      </c>
      <c r="H31" s="54">
        <v>2900</v>
      </c>
      <c r="I31" s="55">
        <f t="shared" si="0"/>
        <v>29000</v>
      </c>
    </row>
    <row r="32" spans="1:9" ht="31.9" customHeight="1" thickBot="1" x14ac:dyDescent="0.25">
      <c r="A32" s="49">
        <v>23</v>
      </c>
      <c r="B32" s="53"/>
      <c r="C32" s="50" t="s">
        <v>107</v>
      </c>
      <c r="D32" s="51" t="s">
        <v>101</v>
      </c>
      <c r="E32" s="52" t="s">
        <v>100</v>
      </c>
      <c r="F32" s="53" t="s">
        <v>66</v>
      </c>
      <c r="G32" s="53">
        <v>6</v>
      </c>
      <c r="H32" s="54">
        <v>475</v>
      </c>
      <c r="I32" s="55">
        <f t="shared" si="0"/>
        <v>2850</v>
      </c>
    </row>
    <row r="33" spans="1:9" ht="39.75" customHeight="1" thickBot="1" x14ac:dyDescent="0.25">
      <c r="A33" s="49">
        <v>24</v>
      </c>
      <c r="B33" s="53"/>
      <c r="C33" s="50" t="s">
        <v>107</v>
      </c>
      <c r="D33" s="51" t="s">
        <v>101</v>
      </c>
      <c r="E33" s="70" t="s">
        <v>114</v>
      </c>
      <c r="F33" s="53" t="s">
        <v>80</v>
      </c>
      <c r="G33" s="53">
        <v>120</v>
      </c>
      <c r="H33" s="54">
        <v>678</v>
      </c>
      <c r="I33" s="55">
        <f t="shared" si="0"/>
        <v>81360</v>
      </c>
    </row>
    <row r="34" spans="1:9" ht="31.9" customHeight="1" thickBot="1" x14ac:dyDescent="0.25">
      <c r="A34" s="49">
        <v>25</v>
      </c>
      <c r="B34" s="53"/>
      <c r="C34" s="50" t="s">
        <v>107</v>
      </c>
      <c r="D34" s="51" t="s">
        <v>101</v>
      </c>
      <c r="E34" s="52" t="s">
        <v>115</v>
      </c>
      <c r="F34" s="53" t="s">
        <v>82</v>
      </c>
      <c r="G34" s="53">
        <v>13</v>
      </c>
      <c r="H34" s="54">
        <v>200</v>
      </c>
      <c r="I34" s="55">
        <f t="shared" si="0"/>
        <v>2600</v>
      </c>
    </row>
    <row r="35" spans="1:9" ht="31.9" customHeight="1" thickBot="1" x14ac:dyDescent="0.25">
      <c r="A35" s="49">
        <v>26</v>
      </c>
      <c r="B35" s="53"/>
      <c r="C35" s="50" t="s">
        <v>107</v>
      </c>
      <c r="D35" s="51" t="s">
        <v>101</v>
      </c>
      <c r="E35" s="52" t="s">
        <v>97</v>
      </c>
      <c r="F35" s="53" t="s">
        <v>80</v>
      </c>
      <c r="G35" s="53">
        <v>20</v>
      </c>
      <c r="H35" s="54">
        <v>1400</v>
      </c>
      <c r="I35" s="55">
        <f t="shared" si="0"/>
        <v>28000</v>
      </c>
    </row>
    <row r="36" spans="1:9" ht="31.9" customHeight="1" thickBot="1" x14ac:dyDescent="0.25">
      <c r="A36" s="49">
        <v>27</v>
      </c>
      <c r="B36" s="53"/>
      <c r="C36" s="50" t="s">
        <v>107</v>
      </c>
      <c r="D36" s="51" t="s">
        <v>101</v>
      </c>
      <c r="E36" s="70" t="s">
        <v>98</v>
      </c>
      <c r="F36" s="53" t="s">
        <v>80</v>
      </c>
      <c r="G36" s="53">
        <v>10</v>
      </c>
      <c r="H36" s="54">
        <v>2050</v>
      </c>
      <c r="I36" s="55">
        <f t="shared" si="0"/>
        <v>20500</v>
      </c>
    </row>
    <row r="37" spans="1:9" ht="31.9" customHeight="1" thickBot="1" x14ac:dyDescent="0.25">
      <c r="A37" s="49">
        <v>28</v>
      </c>
      <c r="B37" s="53"/>
      <c r="C37" s="50" t="s">
        <v>107</v>
      </c>
      <c r="D37" s="51" t="s">
        <v>101</v>
      </c>
      <c r="E37" s="52" t="s">
        <v>78</v>
      </c>
      <c r="F37" s="53" t="s">
        <v>113</v>
      </c>
      <c r="G37" s="53">
        <v>2</v>
      </c>
      <c r="H37" s="54">
        <v>2100</v>
      </c>
      <c r="I37" s="55">
        <f t="shared" si="0"/>
        <v>4200</v>
      </c>
    </row>
    <row r="38" spans="1:9" ht="31.9" customHeight="1" thickBot="1" x14ac:dyDescent="0.25">
      <c r="A38" s="49">
        <v>29</v>
      </c>
      <c r="B38" s="53"/>
      <c r="C38" s="50" t="s">
        <v>107</v>
      </c>
      <c r="D38" s="51" t="s">
        <v>101</v>
      </c>
      <c r="E38" s="52" t="s">
        <v>99</v>
      </c>
      <c r="F38" s="53" t="s">
        <v>66</v>
      </c>
      <c r="G38" s="53">
        <v>2000</v>
      </c>
      <c r="H38" s="54">
        <v>9.9499999999999993</v>
      </c>
      <c r="I38" s="55">
        <f t="shared" si="0"/>
        <v>19900</v>
      </c>
    </row>
    <row r="40" spans="1:9" ht="13.5" thickBot="1" x14ac:dyDescent="0.25"/>
    <row r="41" spans="1:9" ht="87.75" customHeight="1" thickBot="1" x14ac:dyDescent="0.25">
      <c r="B41" s="92" t="s">
        <v>111</v>
      </c>
      <c r="C41" s="93"/>
      <c r="D41" s="93"/>
      <c r="E41" s="93"/>
    </row>
    <row r="42" spans="1:9" ht="13.5" thickBot="1" x14ac:dyDescent="0.25"/>
    <row r="43" spans="1:9" ht="23.25" customHeight="1" thickBot="1" x14ac:dyDescent="0.25">
      <c r="C43" s="67" t="s">
        <v>109</v>
      </c>
      <c r="D43" s="68"/>
      <c r="E43" s="69"/>
    </row>
    <row r="44" spans="1:9" ht="25.5" customHeight="1" thickBot="1" x14ac:dyDescent="0.25">
      <c r="C44" s="67" t="s">
        <v>110</v>
      </c>
      <c r="D44" s="68"/>
      <c r="E44" s="69"/>
    </row>
    <row r="45" spans="1:9" ht="13.5" thickBot="1" x14ac:dyDescent="0.25"/>
    <row r="46" spans="1:9" x14ac:dyDescent="0.2">
      <c r="B46" s="35" t="s">
        <v>14</v>
      </c>
      <c r="C46" s="36"/>
      <c r="D46" s="36"/>
      <c r="E46" s="37"/>
    </row>
    <row r="47" spans="1:9" ht="5.25" customHeight="1" x14ac:dyDescent="0.2">
      <c r="B47" s="38"/>
      <c r="C47" s="39"/>
      <c r="D47" s="39"/>
      <c r="E47" s="40"/>
    </row>
    <row r="48" spans="1:9" x14ac:dyDescent="0.2">
      <c r="B48" s="41" t="s">
        <v>15</v>
      </c>
      <c r="C48" s="39"/>
      <c r="D48" s="39"/>
      <c r="E48" s="40"/>
    </row>
    <row r="49" spans="2:5" ht="41.25" customHeight="1" x14ac:dyDescent="0.2">
      <c r="B49" s="41"/>
      <c r="C49" s="87"/>
      <c r="D49" s="87"/>
      <c r="E49" s="87"/>
    </row>
    <row r="50" spans="2:5" x14ac:dyDescent="0.2">
      <c r="B50" s="41" t="s">
        <v>16</v>
      </c>
      <c r="C50" s="39"/>
      <c r="D50" s="39"/>
      <c r="E50" s="40"/>
    </row>
    <row r="51" spans="2:5" x14ac:dyDescent="0.2">
      <c r="B51" s="42"/>
      <c r="C51" s="90" t="s">
        <v>108</v>
      </c>
      <c r="D51" s="90"/>
      <c r="E51" s="90"/>
    </row>
    <row r="52" spans="2:5" x14ac:dyDescent="0.2">
      <c r="B52" s="42"/>
      <c r="C52" s="91"/>
      <c r="D52" s="91"/>
      <c r="E52" s="91"/>
    </row>
    <row r="53" spans="2:5" x14ac:dyDescent="0.2">
      <c r="B53" s="41" t="s">
        <v>17</v>
      </c>
      <c r="C53" s="39"/>
      <c r="D53" s="39"/>
      <c r="E53" s="40"/>
    </row>
    <row r="54" spans="2:5" ht="26.25" customHeight="1" x14ac:dyDescent="0.2">
      <c r="B54" s="42"/>
      <c r="C54" s="87"/>
      <c r="D54" s="87"/>
      <c r="E54" s="87"/>
    </row>
    <row r="55" spans="2:5" x14ac:dyDescent="0.2">
      <c r="B55" s="41" t="s">
        <v>18</v>
      </c>
      <c r="C55" s="43"/>
      <c r="D55" s="43"/>
      <c r="E55" s="44"/>
    </row>
    <row r="56" spans="2:5" ht="26.25" customHeight="1" x14ac:dyDescent="0.2">
      <c r="B56" s="42"/>
      <c r="C56" s="88" t="s">
        <v>61</v>
      </c>
      <c r="D56" s="88"/>
      <c r="E56" s="88"/>
    </row>
    <row r="57" spans="2:5" x14ac:dyDescent="0.2">
      <c r="B57" s="41" t="s">
        <v>19</v>
      </c>
      <c r="C57" s="39"/>
      <c r="D57" s="39"/>
      <c r="E57" s="40"/>
    </row>
    <row r="58" spans="2:5" ht="23.25" customHeight="1" x14ac:dyDescent="0.2">
      <c r="B58" s="41"/>
      <c r="C58" s="89"/>
      <c r="D58" s="89"/>
      <c r="E58" s="89"/>
    </row>
    <row r="59" spans="2:5" x14ac:dyDescent="0.2">
      <c r="B59" s="45"/>
      <c r="C59" s="46"/>
      <c r="D59" s="46"/>
      <c r="E59" s="47"/>
    </row>
  </sheetData>
  <sortState ref="B10:I40">
    <sortCondition ref="E10:E40"/>
  </sortState>
  <mergeCells count="14">
    <mergeCell ref="C54:E54"/>
    <mergeCell ref="C56:E56"/>
    <mergeCell ref="C58:E58"/>
    <mergeCell ref="A6:B6"/>
    <mergeCell ref="A7:B7"/>
    <mergeCell ref="C49:E49"/>
    <mergeCell ref="C51:E51"/>
    <mergeCell ref="C52:E52"/>
    <mergeCell ref="B41:E41"/>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41"/>
  <sheetViews>
    <sheetView topLeftCell="A19" zoomScale="70" zoomScaleNormal="70" workbookViewId="0">
      <selection activeCell="S10" sqref="S10"/>
    </sheetView>
  </sheetViews>
  <sheetFormatPr baseColWidth="10" defaultColWidth="9.140625" defaultRowHeight="12.75" x14ac:dyDescent="0.2"/>
  <cols>
    <col min="1" max="1" width="5.5703125" style="73" customWidth="1"/>
    <col min="2" max="2" width="15.140625" style="73" customWidth="1"/>
    <col min="3" max="3" width="14.140625" style="73" customWidth="1"/>
    <col min="4" max="4" width="26" style="73" customWidth="1"/>
    <col min="5" max="5" width="8" style="73" customWidth="1"/>
    <col min="6" max="6" width="7.85546875" style="73" customWidth="1"/>
    <col min="7" max="7" width="42" style="73" customWidth="1"/>
    <col min="8" max="8" width="9.28515625" style="73" customWidth="1"/>
    <col min="9" max="9" width="15.5703125" style="73" customWidth="1"/>
    <col min="10" max="10" width="14.7109375" style="73" customWidth="1"/>
    <col min="11" max="11" width="15.5703125" style="73" customWidth="1"/>
    <col min="12" max="14" width="5.85546875" style="73" customWidth="1"/>
    <col min="15" max="15" width="12.5703125" style="73" customWidth="1"/>
    <col min="16" max="1024" width="9.140625" style="73"/>
    <col min="1025" max="16384" width="9.140625" style="83"/>
  </cols>
  <sheetData>
    <row r="1" spans="1:11" ht="18" customHeight="1" thickBot="1" x14ac:dyDescent="0.25">
      <c r="A1" s="105" t="s">
        <v>20</v>
      </c>
      <c r="B1" s="105"/>
      <c r="C1" s="105"/>
      <c r="D1" s="105"/>
      <c r="E1" s="105"/>
      <c r="F1" s="105"/>
      <c r="G1" s="105"/>
      <c r="H1" s="105"/>
      <c r="I1" s="105"/>
      <c r="J1" s="71" t="s">
        <v>21</v>
      </c>
      <c r="K1" s="72" t="s">
        <v>116</v>
      </c>
    </row>
    <row r="2" spans="1:11" ht="18.75" customHeight="1" thickBot="1" x14ac:dyDescent="0.25">
      <c r="A2" s="74"/>
      <c r="B2" s="74"/>
      <c r="C2" s="74"/>
      <c r="D2" s="75"/>
      <c r="E2" s="75"/>
      <c r="F2" s="75"/>
      <c r="G2" s="75"/>
      <c r="H2" s="75"/>
      <c r="I2" s="75"/>
      <c r="J2" s="75"/>
      <c r="K2" s="75"/>
    </row>
    <row r="3" spans="1:11" ht="18.75" customHeight="1" thickBot="1" x14ac:dyDescent="0.25">
      <c r="A3" s="100" t="s">
        <v>54</v>
      </c>
      <c r="B3" s="100"/>
      <c r="C3" s="100"/>
      <c r="D3" s="101" t="str">
        <f>'Necesidades Trimestrales'!C4</f>
        <v>40 - Ministerio de Salud</v>
      </c>
      <c r="E3" s="101"/>
      <c r="F3" s="101"/>
      <c r="G3" s="101"/>
      <c r="H3" s="101"/>
      <c r="I3" s="101"/>
      <c r="J3" s="101"/>
      <c r="K3" s="101"/>
    </row>
    <row r="4" spans="1:11" ht="18.75" customHeight="1" thickBot="1" x14ac:dyDescent="0.25">
      <c r="A4" s="102" t="s">
        <v>55</v>
      </c>
      <c r="B4" s="102"/>
      <c r="C4" s="102"/>
      <c r="D4" s="101" t="str">
        <f>'Necesidades Trimestrales'!C5</f>
        <v>23 - Hospital Interzonal San Juan Bautista</v>
      </c>
      <c r="E4" s="101"/>
      <c r="F4" s="101"/>
      <c r="G4" s="101"/>
      <c r="H4" s="101"/>
      <c r="I4" s="101"/>
      <c r="J4" s="101"/>
      <c r="K4" s="101"/>
    </row>
    <row r="5" spans="1:11" ht="18.75" customHeight="1" thickBot="1" x14ac:dyDescent="0.25">
      <c r="A5" s="102" t="s">
        <v>33</v>
      </c>
      <c r="B5" s="102"/>
      <c r="C5" s="102"/>
      <c r="D5" s="101" t="s">
        <v>60</v>
      </c>
      <c r="E5" s="101"/>
      <c r="F5" s="101"/>
      <c r="G5" s="101"/>
      <c r="H5" s="101"/>
      <c r="I5" s="101"/>
      <c r="J5" s="101"/>
      <c r="K5" s="101"/>
    </row>
    <row r="6" spans="1:11" ht="16.5" customHeight="1" thickBot="1" x14ac:dyDescent="0.25">
      <c r="A6" s="100" t="s">
        <v>56</v>
      </c>
      <c r="B6" s="100"/>
      <c r="C6" s="100"/>
      <c r="D6" s="101" t="s">
        <v>65</v>
      </c>
      <c r="E6" s="101"/>
      <c r="F6" s="101"/>
      <c r="G6" s="101"/>
      <c r="H6" s="101"/>
      <c r="I6" s="101"/>
      <c r="J6" s="101"/>
      <c r="K6" s="101"/>
    </row>
    <row r="7" spans="1:11" ht="16.5" customHeight="1" thickBot="1" x14ac:dyDescent="0.25">
      <c r="A7" s="102" t="s">
        <v>22</v>
      </c>
      <c r="B7" s="102"/>
      <c r="C7" s="102"/>
      <c r="D7" s="101" t="str">
        <f>'Necesidades Trimestrales'!C7 &amp; "° Trimestre - Año " &amp; 'Necesidades Trimestrales'!C6</f>
        <v>3° Trimestre - Año 2021</v>
      </c>
      <c r="E7" s="101"/>
      <c r="F7" s="101"/>
      <c r="G7" s="101"/>
      <c r="H7" s="101"/>
      <c r="I7" s="101"/>
      <c r="J7" s="101"/>
      <c r="K7" s="101"/>
    </row>
    <row r="8" spans="1:11" ht="16.5" customHeight="1" thickBot="1" x14ac:dyDescent="0.25">
      <c r="A8" s="103" t="s">
        <v>23</v>
      </c>
      <c r="B8" s="103"/>
      <c r="C8" s="103"/>
      <c r="D8" s="104" t="s">
        <v>105</v>
      </c>
      <c r="E8" s="104"/>
      <c r="F8" s="104"/>
      <c r="G8" s="104"/>
      <c r="H8" s="104"/>
      <c r="I8" s="104"/>
      <c r="J8" s="104"/>
      <c r="K8" s="104"/>
    </row>
    <row r="9" spans="1:11" ht="16.5" thickBot="1" x14ac:dyDescent="0.25">
      <c r="A9" s="76"/>
      <c r="B9" s="76"/>
      <c r="C9" s="76"/>
      <c r="D9" s="77"/>
      <c r="E9" s="77"/>
      <c r="F9" s="77"/>
      <c r="G9" s="77"/>
      <c r="H9" s="77"/>
      <c r="I9" s="77"/>
      <c r="J9" s="77"/>
      <c r="K9" s="77"/>
    </row>
    <row r="10" spans="1:11" ht="18.75" customHeight="1" thickBot="1" x14ac:dyDescent="0.25">
      <c r="A10" s="98" t="s">
        <v>24</v>
      </c>
      <c r="B10" s="99" t="s">
        <v>25</v>
      </c>
      <c r="C10" s="99" t="s">
        <v>26</v>
      </c>
      <c r="D10" s="99"/>
      <c r="E10" s="99"/>
      <c r="F10" s="99"/>
      <c r="G10" s="99"/>
      <c r="H10" s="99" t="s">
        <v>27</v>
      </c>
      <c r="I10" s="99" t="s">
        <v>28</v>
      </c>
      <c r="J10" s="99" t="s">
        <v>29</v>
      </c>
      <c r="K10" s="97" t="s">
        <v>30</v>
      </c>
    </row>
    <row r="11" spans="1:11" ht="24" customHeight="1" thickBot="1" x14ac:dyDescent="0.25">
      <c r="A11" s="98"/>
      <c r="B11" s="99"/>
      <c r="C11" s="99"/>
      <c r="D11" s="99"/>
      <c r="E11" s="99"/>
      <c r="F11" s="99"/>
      <c r="G11" s="99"/>
      <c r="H11" s="99"/>
      <c r="I11" s="99"/>
      <c r="J11" s="99"/>
      <c r="K11" s="97"/>
    </row>
    <row r="12" spans="1:11" ht="20.25" customHeight="1" thickBot="1" x14ac:dyDescent="0.25">
      <c r="A12" s="78">
        <v>1</v>
      </c>
      <c r="B12" s="79">
        <f>'Necesidades Trimestrales'!B10</f>
        <v>0</v>
      </c>
      <c r="C12" s="96" t="str">
        <f>'Necesidades Trimestrales'!E10</f>
        <v>2010 ASSAY CUP</v>
      </c>
      <c r="D12" s="96"/>
      <c r="E12" s="96"/>
      <c r="F12" s="96"/>
      <c r="G12" s="96"/>
      <c r="H12" s="80" t="s">
        <v>57</v>
      </c>
      <c r="I12" s="81" t="str">
        <f>'Necesidades Trimestrales'!F10</f>
        <v>CAJA</v>
      </c>
      <c r="J12" s="58">
        <f>'Necesidades Trimestrales'!H10</f>
        <v>23309</v>
      </c>
      <c r="K12" s="82">
        <f>'Necesidades Trimestrales'!G10</f>
        <v>2</v>
      </c>
    </row>
    <row r="13" spans="1:11" ht="20.25" customHeight="1" thickBot="1" x14ac:dyDescent="0.25">
      <c r="A13" s="78">
        <v>2</v>
      </c>
      <c r="B13" s="79">
        <f>'Necesidades Trimestrales'!B11</f>
        <v>0</v>
      </c>
      <c r="C13" s="96" t="str">
        <f>'Necesidades Trimestrales'!E11</f>
        <v>2010 ASSAY TIP</v>
      </c>
      <c r="D13" s="96"/>
      <c r="E13" s="96"/>
      <c r="F13" s="96"/>
      <c r="G13" s="96"/>
      <c r="H13" s="80" t="s">
        <v>57</v>
      </c>
      <c r="I13" s="81" t="str">
        <f>'Necesidades Trimestrales'!F11</f>
        <v>CAJA</v>
      </c>
      <c r="J13" s="58">
        <f>'Necesidades Trimestrales'!H11</f>
        <v>17318</v>
      </c>
      <c r="K13" s="82">
        <f>'Necesidades Trimestrales'!G11</f>
        <v>2</v>
      </c>
    </row>
    <row r="14" spans="1:11" ht="20.25" customHeight="1" thickBot="1" x14ac:dyDescent="0.25">
      <c r="A14" s="78">
        <v>3</v>
      </c>
      <c r="B14" s="79">
        <f>'Necesidades Trimestrales'!B12</f>
        <v>0</v>
      </c>
      <c r="C14" s="96" t="str">
        <f>'Necesidades Trimestrales'!E12</f>
        <v>CASETTE PARA BIOPSIA KINDER X UNIDAD</v>
      </c>
      <c r="D14" s="96"/>
      <c r="E14" s="96"/>
      <c r="F14" s="96"/>
      <c r="G14" s="96"/>
      <c r="H14" s="80" t="s">
        <v>57</v>
      </c>
      <c r="I14" s="81" t="str">
        <f>'Necesidades Trimestrales'!F12</f>
        <v>BOLSA</v>
      </c>
      <c r="J14" s="58">
        <f>'Necesidades Trimestrales'!H12</f>
        <v>12</v>
      </c>
      <c r="K14" s="82">
        <f>'Necesidades Trimestrales'!G12</f>
        <v>600</v>
      </c>
    </row>
    <row r="15" spans="1:11" ht="20.25" customHeight="1" thickBot="1" x14ac:dyDescent="0.25">
      <c r="A15" s="78">
        <v>4</v>
      </c>
      <c r="B15" s="79">
        <f>'Necesidades Trimestrales'!B13</f>
        <v>0</v>
      </c>
      <c r="C15" s="96" t="str">
        <f>'Necesidades Trimestrales'!E13</f>
        <v>CLOT CATCHER P COBAS B221 X 250 UNIDADES</v>
      </c>
      <c r="D15" s="96"/>
      <c r="E15" s="96"/>
      <c r="F15" s="96"/>
      <c r="G15" s="96"/>
      <c r="H15" s="80" t="s">
        <v>57</v>
      </c>
      <c r="I15" s="81" t="str">
        <f>'Necesidades Trimestrales'!F13</f>
        <v>CAJA</v>
      </c>
      <c r="J15" s="58">
        <f>'Necesidades Trimestrales'!H13</f>
        <v>1337</v>
      </c>
      <c r="K15" s="82">
        <f>'Necesidades Trimestrales'!G13</f>
        <v>20</v>
      </c>
    </row>
    <row r="16" spans="1:11" ht="20.25" customHeight="1" thickBot="1" x14ac:dyDescent="0.25">
      <c r="A16" s="78">
        <v>5</v>
      </c>
      <c r="B16" s="79">
        <f>'Necesidades Trimestrales'!B14</f>
        <v>0</v>
      </c>
      <c r="C16" s="96" t="str">
        <f>'Necesidades Trimestrales'!E14</f>
        <v xml:space="preserve">CONTENEDOR DE RESIDUOS X 2 UND P/COBAS B221 WASTE CONTAINER </v>
      </c>
      <c r="D16" s="96"/>
      <c r="E16" s="96"/>
      <c r="F16" s="96"/>
      <c r="G16" s="96"/>
      <c r="H16" s="80" t="s">
        <v>57</v>
      </c>
      <c r="I16" s="81" t="str">
        <f>'Necesidades Trimestrales'!F14</f>
        <v>CAJA</v>
      </c>
      <c r="J16" s="58">
        <f>'Necesidades Trimestrales'!H14</f>
        <v>5139</v>
      </c>
      <c r="K16" s="82">
        <f>'Necesidades Trimestrales'!G14</f>
        <v>2</v>
      </c>
    </row>
    <row r="17" spans="1:11" ht="20.25" customHeight="1" thickBot="1" x14ac:dyDescent="0.25">
      <c r="A17" s="78">
        <v>6</v>
      </c>
      <c r="B17" s="79">
        <f>'Necesidades Trimestrales'!B15</f>
        <v>0</v>
      </c>
      <c r="C17" s="96" t="str">
        <f>'Necesidades Trimestrales'!E15</f>
        <v>CUBETAS DE REACCION P/COAGULOMETRO CUATRON X 500 UNIDADES</v>
      </c>
      <c r="D17" s="96"/>
      <c r="E17" s="96"/>
      <c r="F17" s="96"/>
      <c r="G17" s="96"/>
      <c r="H17" s="80" t="s">
        <v>57</v>
      </c>
      <c r="I17" s="81" t="str">
        <f>'Necesidades Trimestrales'!F15</f>
        <v>CAJA</v>
      </c>
      <c r="J17" s="58">
        <f>'Necesidades Trimestrales'!H15</f>
        <v>9834</v>
      </c>
      <c r="K17" s="82">
        <f>'Necesidades Trimestrales'!G15</f>
        <v>18</v>
      </c>
    </row>
    <row r="18" spans="1:11" ht="20.25" customHeight="1" thickBot="1" x14ac:dyDescent="0.25">
      <c r="A18" s="78">
        <v>7</v>
      </c>
      <c r="B18" s="79">
        <f>'Necesidades Trimestrales'!B16</f>
        <v>0</v>
      </c>
      <c r="C18" s="96" t="str">
        <f>'Necesidades Trimestrales'!E16</f>
        <v>CUBETAS DE REACCION P/COBAS C311</v>
      </c>
      <c r="D18" s="96"/>
      <c r="E18" s="96"/>
      <c r="F18" s="96"/>
      <c r="G18" s="96"/>
      <c r="H18" s="80" t="s">
        <v>57</v>
      </c>
      <c r="I18" s="81" t="str">
        <f>'Necesidades Trimestrales'!F16</f>
        <v>CAJA</v>
      </c>
      <c r="J18" s="58">
        <f>'Necesidades Trimestrales'!H16</f>
        <v>124741</v>
      </c>
      <c r="K18" s="82">
        <f>'Necesidades Trimestrales'!G16</f>
        <v>1</v>
      </c>
    </row>
    <row r="19" spans="1:11" ht="20.25" customHeight="1" thickBot="1" x14ac:dyDescent="0.25">
      <c r="A19" s="78">
        <v>8</v>
      </c>
      <c r="B19" s="79">
        <f>'Necesidades Trimestrales'!B17</f>
        <v>0</v>
      </c>
      <c r="C19" s="96" t="str">
        <f>'Necesidades Trimestrales'!E17</f>
        <v>Cubreobjetos de vidrio 18x18 x 100 unidades</v>
      </c>
      <c r="D19" s="96"/>
      <c r="E19" s="96"/>
      <c r="F19" s="96"/>
      <c r="G19" s="96"/>
      <c r="H19" s="80" t="s">
        <v>57</v>
      </c>
      <c r="I19" s="81" t="str">
        <f>'Necesidades Trimestrales'!F17</f>
        <v>CAJAS</v>
      </c>
      <c r="J19" s="58">
        <f>'Necesidades Trimestrales'!H17</f>
        <v>150</v>
      </c>
      <c r="K19" s="82">
        <f>'Necesidades Trimestrales'!G17</f>
        <v>10</v>
      </c>
    </row>
    <row r="20" spans="1:11" ht="20.25" customHeight="1" thickBot="1" x14ac:dyDescent="0.25">
      <c r="A20" s="78">
        <v>9</v>
      </c>
      <c r="B20" s="79">
        <f>'Necesidades Trimestrales'!B18</f>
        <v>0</v>
      </c>
      <c r="C20" s="96" t="str">
        <f>'Necesidades Trimestrales'!E18</f>
        <v>CUBREOBJETOS DELTALAB 40 X 24 X 100 U</v>
      </c>
      <c r="D20" s="96"/>
      <c r="E20" s="96"/>
      <c r="F20" s="96"/>
      <c r="G20" s="96"/>
      <c r="H20" s="80" t="s">
        <v>57</v>
      </c>
      <c r="I20" s="81" t="str">
        <f>'Necesidades Trimestrales'!F18</f>
        <v>CAJA</v>
      </c>
      <c r="J20" s="58">
        <f>'Necesidades Trimestrales'!H18</f>
        <v>327</v>
      </c>
      <c r="K20" s="82">
        <f>'Necesidades Trimestrales'!G18</f>
        <v>2</v>
      </c>
    </row>
    <row r="21" spans="1:11" ht="20.25" customHeight="1" thickBot="1" x14ac:dyDescent="0.25">
      <c r="A21" s="78">
        <v>10</v>
      </c>
      <c r="B21" s="79">
        <f>'Necesidades Trimestrales'!B19</f>
        <v>0</v>
      </c>
      <c r="C21" s="96" t="str">
        <f>'Necesidades Trimestrales'!E19</f>
        <v>CUBREOBJETOS DELTALAB 50 X 24 X 100 U</v>
      </c>
      <c r="D21" s="96"/>
      <c r="E21" s="96"/>
      <c r="F21" s="96"/>
      <c r="G21" s="96"/>
      <c r="H21" s="80" t="s">
        <v>57</v>
      </c>
      <c r="I21" s="81" t="str">
        <f>'Necesidades Trimestrales'!F19</f>
        <v>CAJA</v>
      </c>
      <c r="J21" s="58">
        <f>'Necesidades Trimestrales'!H19</f>
        <v>358</v>
      </c>
      <c r="K21" s="82">
        <f>'Necesidades Trimestrales'!G19</f>
        <v>5</v>
      </c>
    </row>
    <row r="22" spans="1:11" ht="20.25" customHeight="1" thickBot="1" x14ac:dyDescent="0.25">
      <c r="A22" s="78">
        <v>11</v>
      </c>
      <c r="B22" s="79">
        <f>'Necesidades Trimestrales'!B20</f>
        <v>0</v>
      </c>
      <c r="C22" s="96" t="str">
        <f>'Necesidades Trimestrales'!E20</f>
        <v>CUBREOBJETOS DELTALAB: 60 X 24 X 100 U</v>
      </c>
      <c r="D22" s="96"/>
      <c r="E22" s="96"/>
      <c r="F22" s="96"/>
      <c r="G22" s="96"/>
      <c r="H22" s="80" t="s">
        <v>57</v>
      </c>
      <c r="I22" s="81" t="str">
        <f>'Necesidades Trimestrales'!F20</f>
        <v>CAJA</v>
      </c>
      <c r="J22" s="58">
        <f>'Necesidades Trimestrales'!H20</f>
        <v>437</v>
      </c>
      <c r="K22" s="82">
        <f>'Necesidades Trimestrales'!G20</f>
        <v>8</v>
      </c>
    </row>
    <row r="23" spans="1:11" ht="20.25" customHeight="1" thickBot="1" x14ac:dyDescent="0.25">
      <c r="A23" s="78">
        <v>12</v>
      </c>
      <c r="B23" s="79">
        <f>'Necesidades Trimestrales'!B21</f>
        <v>0</v>
      </c>
      <c r="C23" s="96" t="str">
        <f>'Necesidades Trimestrales'!E21</f>
        <v>CUCHILLAS LEICA 819 (LOW PROFILE – MICROTOME BLADES) X 50 U</v>
      </c>
      <c r="D23" s="96"/>
      <c r="E23" s="96"/>
      <c r="F23" s="96"/>
      <c r="G23" s="96"/>
      <c r="H23" s="80" t="s">
        <v>57</v>
      </c>
      <c r="I23" s="81" t="str">
        <f>'Necesidades Trimestrales'!F21</f>
        <v>CAJA</v>
      </c>
      <c r="J23" s="58">
        <f>'Necesidades Trimestrales'!H21</f>
        <v>20528</v>
      </c>
      <c r="K23" s="82">
        <f>'Necesidades Trimestrales'!G21</f>
        <v>3</v>
      </c>
    </row>
    <row r="24" spans="1:11" ht="20.25" customHeight="1" thickBot="1" x14ac:dyDescent="0.25">
      <c r="A24" s="78">
        <v>13</v>
      </c>
      <c r="B24" s="79">
        <f>'Necesidades Trimestrales'!B22</f>
        <v>0</v>
      </c>
      <c r="C24" s="96" t="str">
        <f>'Necesidades Trimestrales'!E22</f>
        <v>Erlenmeyer de vidrio x 250 ml.</v>
      </c>
      <c r="D24" s="96"/>
      <c r="E24" s="96"/>
      <c r="F24" s="96"/>
      <c r="G24" s="96"/>
      <c r="H24" s="80" t="s">
        <v>57</v>
      </c>
      <c r="I24" s="81" t="str">
        <f>'Necesidades Trimestrales'!F22</f>
        <v>UNIDAD</v>
      </c>
      <c r="J24" s="58">
        <f>'Necesidades Trimestrales'!H22</f>
        <v>500</v>
      </c>
      <c r="K24" s="82">
        <f>'Necesidades Trimestrales'!G22</f>
        <v>6</v>
      </c>
    </row>
    <row r="25" spans="1:11" ht="20.25" customHeight="1" thickBot="1" x14ac:dyDescent="0.25">
      <c r="A25" s="78">
        <v>14</v>
      </c>
      <c r="B25" s="79">
        <f>'Necesidades Trimestrales'!B23</f>
        <v>0</v>
      </c>
      <c r="C25" s="96" t="str">
        <f>'Necesidades Trimestrales'!E23</f>
        <v xml:space="preserve">Erlenmeyer de vidrio x 500 ml. </v>
      </c>
      <c r="D25" s="96"/>
      <c r="E25" s="96"/>
      <c r="F25" s="96"/>
      <c r="G25" s="96"/>
      <c r="H25" s="80" t="s">
        <v>57</v>
      </c>
      <c r="I25" s="81" t="str">
        <f>'Necesidades Trimestrales'!F23</f>
        <v>UNIDAD</v>
      </c>
      <c r="J25" s="58">
        <f>'Necesidades Trimestrales'!H23</f>
        <v>700</v>
      </c>
      <c r="K25" s="82">
        <f>'Necesidades Trimestrales'!G23</f>
        <v>4</v>
      </c>
    </row>
    <row r="26" spans="1:11" ht="20.25" customHeight="1" thickBot="1" x14ac:dyDescent="0.25">
      <c r="A26" s="78">
        <v>15</v>
      </c>
      <c r="B26" s="79">
        <f>'Necesidades Trimestrales'!B24</f>
        <v>0</v>
      </c>
      <c r="C26" s="96" t="str">
        <f>'Necesidades Trimestrales'!E24</f>
        <v>Especulos descartables estèriles chicos bolsas x 100 U</v>
      </c>
      <c r="D26" s="96"/>
      <c r="E26" s="96"/>
      <c r="F26" s="96"/>
      <c r="G26" s="96"/>
      <c r="H26" s="80" t="s">
        <v>57</v>
      </c>
      <c r="I26" s="81" t="str">
        <f>'Necesidades Trimestrales'!F24</f>
        <v>BOLSAS</v>
      </c>
      <c r="J26" s="58">
        <f>'Necesidades Trimestrales'!H24</f>
        <v>56</v>
      </c>
      <c r="K26" s="82">
        <f>'Necesidades Trimestrales'!G24</f>
        <v>200</v>
      </c>
    </row>
    <row r="27" spans="1:11" ht="20.25" customHeight="1" thickBot="1" x14ac:dyDescent="0.25">
      <c r="A27" s="78">
        <v>16</v>
      </c>
      <c r="B27" s="79">
        <f>'Necesidades Trimestrales'!B25</f>
        <v>0</v>
      </c>
      <c r="C27" s="96" t="str">
        <f>'Necesidades Trimestrales'!E25</f>
        <v>Etiquetas Rollo tipo Itecrap</v>
      </c>
      <c r="D27" s="96"/>
      <c r="E27" s="96"/>
      <c r="F27" s="96"/>
      <c r="G27" s="96"/>
      <c r="H27" s="80" t="s">
        <v>57</v>
      </c>
      <c r="I27" s="81" t="str">
        <f>'Necesidades Trimestrales'!F25</f>
        <v>ROLLO</v>
      </c>
      <c r="J27" s="58">
        <f>'Necesidades Trimestrales'!H25</f>
        <v>1109</v>
      </c>
      <c r="K27" s="82">
        <f>'Necesidades Trimestrales'!G25</f>
        <v>40</v>
      </c>
    </row>
    <row r="28" spans="1:11" ht="20.25" customHeight="1" thickBot="1" x14ac:dyDescent="0.25">
      <c r="A28" s="78">
        <v>17</v>
      </c>
      <c r="B28" s="79">
        <f>'Necesidades Trimestrales'!B26</f>
        <v>0</v>
      </c>
      <c r="C28" s="96" t="str">
        <f>'Necesidades Trimestrales'!E26</f>
        <v xml:space="preserve">FILTROS DE LEUCORREDUCCION PARA GLOBULOS ROJOS - BOLSA X 50 UNIDADES </v>
      </c>
      <c r="D28" s="96"/>
      <c r="E28" s="96"/>
      <c r="F28" s="96"/>
      <c r="G28" s="96"/>
      <c r="H28" s="80" t="s">
        <v>57</v>
      </c>
      <c r="I28" s="81" t="str">
        <f>'Necesidades Trimestrales'!F26</f>
        <v>Bolsa</v>
      </c>
      <c r="J28" s="58">
        <f>'Necesidades Trimestrales'!H26</f>
        <v>6295</v>
      </c>
      <c r="K28" s="82">
        <f>'Necesidades Trimestrales'!G26</f>
        <v>10</v>
      </c>
    </row>
    <row r="29" spans="1:11" ht="20.25" customHeight="1" thickBot="1" x14ac:dyDescent="0.25">
      <c r="A29" s="78">
        <v>18</v>
      </c>
      <c r="B29" s="79">
        <f>'Necesidades Trimestrales'!B27</f>
        <v>0</v>
      </c>
      <c r="C29" s="96" t="str">
        <f>'Necesidades Trimestrales'!E27</f>
        <v xml:space="preserve">FILTROS DE LEUCORREDUCCION PARA PLAQUETAS - BOLSA X 50 UNIDADES </v>
      </c>
      <c r="D29" s="96"/>
      <c r="E29" s="96"/>
      <c r="F29" s="96"/>
      <c r="G29" s="96"/>
      <c r="H29" s="80" t="s">
        <v>57</v>
      </c>
      <c r="I29" s="81" t="str">
        <f>'Necesidades Trimestrales'!F27</f>
        <v>Bolsa</v>
      </c>
      <c r="J29" s="58">
        <f>'Necesidades Trimestrales'!H27</f>
        <v>7299</v>
      </c>
      <c r="K29" s="82">
        <f>'Necesidades Trimestrales'!G27</f>
        <v>10</v>
      </c>
    </row>
    <row r="30" spans="1:11" ht="20.25" customHeight="1" thickBot="1" x14ac:dyDescent="0.25">
      <c r="A30" s="78">
        <v>19</v>
      </c>
      <c r="B30" s="79">
        <f>'Necesidades Trimestrales'!B28</f>
        <v>0</v>
      </c>
      <c r="C30" s="96" t="str">
        <f>'Necesidades Trimestrales'!E28</f>
        <v>Frascos Hemocultivo BD BACTEC Plus/Aerobic/F culture vials x 30ml por 50</v>
      </c>
      <c r="D30" s="96"/>
      <c r="E30" s="96"/>
      <c r="F30" s="96"/>
      <c r="G30" s="96"/>
      <c r="H30" s="80" t="s">
        <v>57</v>
      </c>
      <c r="I30" s="81" t="str">
        <f>'Necesidades Trimestrales'!F28</f>
        <v>CAJAS</v>
      </c>
      <c r="J30" s="58">
        <f>'Necesidades Trimestrales'!H28</f>
        <v>54920</v>
      </c>
      <c r="K30" s="82">
        <f>'Necesidades Trimestrales'!G28</f>
        <v>8</v>
      </c>
    </row>
    <row r="31" spans="1:11" ht="20.25" customHeight="1" thickBot="1" x14ac:dyDescent="0.25">
      <c r="A31" s="78">
        <v>20</v>
      </c>
      <c r="B31" s="79">
        <f>'Necesidades Trimestrales'!B29</f>
        <v>0</v>
      </c>
      <c r="C31" s="96" t="str">
        <f>'Necesidades Trimestrales'!E29</f>
        <v>Hisopos material de extremos: algodòn presentaciòn caja por 100</v>
      </c>
      <c r="D31" s="96"/>
      <c r="E31" s="96"/>
      <c r="F31" s="96"/>
      <c r="G31" s="96"/>
      <c r="H31" s="80" t="s">
        <v>57</v>
      </c>
      <c r="I31" s="81" t="str">
        <f>'Necesidades Trimestrales'!F29</f>
        <v xml:space="preserve">CAJAS </v>
      </c>
      <c r="J31" s="58">
        <f>'Necesidades Trimestrales'!H29</f>
        <v>139</v>
      </c>
      <c r="K31" s="82">
        <f>'Necesidades Trimestrales'!G29</f>
        <v>10</v>
      </c>
    </row>
    <row r="32" spans="1:11" ht="20.25" customHeight="1" thickBot="1" x14ac:dyDescent="0.25">
      <c r="A32" s="78">
        <v>21</v>
      </c>
      <c r="B32" s="79">
        <f>'Necesidades Trimestrales'!B30</f>
        <v>0</v>
      </c>
      <c r="C32" s="96" t="str">
        <f>'Necesidades Trimestrales'!E30</f>
        <v>LAPIZ DE WIDIA</v>
      </c>
      <c r="D32" s="96"/>
      <c r="E32" s="96"/>
      <c r="F32" s="96"/>
      <c r="G32" s="96"/>
      <c r="H32" s="80" t="s">
        <v>57</v>
      </c>
      <c r="I32" s="81" t="str">
        <f>'Necesidades Trimestrales'!F30</f>
        <v>UNIDAD</v>
      </c>
      <c r="J32" s="58">
        <f>'Necesidades Trimestrales'!H30</f>
        <v>370</v>
      </c>
      <c r="K32" s="82">
        <f>'Necesidades Trimestrales'!G30</f>
        <v>2</v>
      </c>
    </row>
    <row r="33" spans="1:1024" ht="31.15" customHeight="1" thickBot="1" x14ac:dyDescent="0.25">
      <c r="A33" s="78">
        <v>22</v>
      </c>
      <c r="B33" s="79">
        <f>'Necesidades Trimestrales'!B31</f>
        <v>0</v>
      </c>
      <c r="C33" s="96" t="str">
        <f>'Necesidades Trimestrales'!E31</f>
        <v>MICROTUBOS P/LABORATORIO; MATERIAL: POLIPROPILENO, PRESENTACION: ENVASE X 1000 UN, MEDIDA: 2 mL, TIPO: EPPENDORF</v>
      </c>
      <c r="D33" s="96"/>
      <c r="E33" s="96"/>
      <c r="F33" s="96"/>
      <c r="G33" s="96"/>
      <c r="H33" s="80" t="s">
        <v>57</v>
      </c>
      <c r="I33" s="81" t="str">
        <f>'Necesidades Trimestrales'!F31</f>
        <v>BOLSA X 1000U</v>
      </c>
      <c r="J33" s="58">
        <f>'Necesidades Trimestrales'!H31</f>
        <v>2900</v>
      </c>
      <c r="K33" s="82">
        <f>'Necesidades Trimestrales'!G31</f>
        <v>10</v>
      </c>
    </row>
    <row r="34" spans="1:1024" ht="35.25" customHeight="1" thickBot="1" x14ac:dyDescent="0.25">
      <c r="A34" s="78">
        <v>23</v>
      </c>
      <c r="B34" s="79">
        <f>'Necesidades Trimestrales'!B32</f>
        <v>0</v>
      </c>
      <c r="C34" s="96" t="str">
        <f>'Necesidades Trimestrales'!E32</f>
        <v>Pipetas de vidrio, uso laboratorio, tipo graduada de 25 ml..</v>
      </c>
      <c r="D34" s="96"/>
      <c r="E34" s="96"/>
      <c r="F34" s="96"/>
      <c r="G34" s="96"/>
      <c r="H34" s="80" t="s">
        <v>57</v>
      </c>
      <c r="I34" s="81" t="str">
        <f>'Necesidades Trimestrales'!F32</f>
        <v>UNIDAD</v>
      </c>
      <c r="J34" s="58">
        <f>'Necesidades Trimestrales'!H32</f>
        <v>475</v>
      </c>
      <c r="K34" s="82">
        <f>'Necesidades Trimestrales'!G32</f>
        <v>6</v>
      </c>
    </row>
    <row r="35" spans="1:1024" ht="30.75" customHeight="1" thickBot="1" x14ac:dyDescent="0.25">
      <c r="A35" s="78">
        <v>24</v>
      </c>
      <c r="B35" s="79">
        <f>'Necesidades Trimestrales'!B33</f>
        <v>0</v>
      </c>
      <c r="C35" s="96" t="str">
        <f>'Necesidades Trimestrales'!E33</f>
        <v>PLACAS DE PETRI,material plastico esteril, diametro 90 mm, altura 14 mm (bolsas por 25 unidades)</v>
      </c>
      <c r="D35" s="96"/>
      <c r="E35" s="96"/>
      <c r="F35" s="96"/>
      <c r="G35" s="96"/>
      <c r="H35" s="80" t="s">
        <v>57</v>
      </c>
      <c r="I35" s="81" t="str">
        <f>'Necesidades Trimestrales'!F33</f>
        <v>BOLSA</v>
      </c>
      <c r="J35" s="58">
        <f>'Necesidades Trimestrales'!H33</f>
        <v>678</v>
      </c>
      <c r="K35" s="82">
        <f>'Necesidades Trimestrales'!G33</f>
        <v>120</v>
      </c>
    </row>
    <row r="36" spans="1:1024" ht="27.75" customHeight="1" thickBot="1" x14ac:dyDescent="0.25">
      <c r="A36" s="78">
        <v>25</v>
      </c>
      <c r="B36" s="79">
        <f>'Necesidades Trimestrales'!B34</f>
        <v>0</v>
      </c>
      <c r="C36" s="96" t="str">
        <f>'Necesidades Trimestrales'!E34</f>
        <v>PORTAOBJETOS X 100 UNIDADES  (25,4 mm x 7,6 mm - 1,00 mm a 1,2 mm de ancho - bordes sin pulir, plano)</v>
      </c>
      <c r="D36" s="96"/>
      <c r="E36" s="96"/>
      <c r="F36" s="96"/>
      <c r="G36" s="96"/>
      <c r="H36" s="80" t="s">
        <v>57</v>
      </c>
      <c r="I36" s="81" t="str">
        <f>'Necesidades Trimestrales'!F34</f>
        <v>CAJA</v>
      </c>
      <c r="J36" s="58">
        <f>'Necesidades Trimestrales'!H34</f>
        <v>200</v>
      </c>
      <c r="K36" s="82">
        <f>'Necesidades Trimestrales'!G34</f>
        <v>13</v>
      </c>
    </row>
    <row r="37" spans="1:1024" ht="25.5" customHeight="1" thickBot="1" x14ac:dyDescent="0.25">
      <c r="A37" s="78">
        <v>26</v>
      </c>
      <c r="B37" s="79">
        <f>'Necesidades Trimestrales'!B35</f>
        <v>0</v>
      </c>
      <c r="C37" s="96" t="str">
        <f>'Necesidades Trimestrales'!E35</f>
        <v>TIP AMARILLO 5 - 200 Ul con corona tipo deltalab bolsa x 1000 UND</v>
      </c>
      <c r="D37" s="96"/>
      <c r="E37" s="96"/>
      <c r="F37" s="96"/>
      <c r="G37" s="96"/>
      <c r="H37" s="80" t="s">
        <v>57</v>
      </c>
      <c r="I37" s="81" t="str">
        <f>'Necesidades Trimestrales'!F35</f>
        <v>BOLSA</v>
      </c>
      <c r="J37" s="58">
        <f>'Necesidades Trimestrales'!H35</f>
        <v>1400</v>
      </c>
      <c r="K37" s="82">
        <f>'Necesidades Trimestrales'!G35</f>
        <v>20</v>
      </c>
    </row>
    <row r="38" spans="1:1024" ht="27" customHeight="1" thickBot="1" x14ac:dyDescent="0.25">
      <c r="A38" s="78">
        <v>27</v>
      </c>
      <c r="B38" s="79">
        <f>'Necesidades Trimestrales'!B36</f>
        <v>0</v>
      </c>
      <c r="C38" s="96" t="str">
        <f>'Necesidades Trimestrales'!E36</f>
        <v>TIP AZULES 5 - 1000 Ul con corona tipo deltalab bolsa x 1000 UND</v>
      </c>
      <c r="D38" s="96"/>
      <c r="E38" s="96"/>
      <c r="F38" s="96"/>
      <c r="G38" s="96"/>
      <c r="H38" s="80" t="s">
        <v>57</v>
      </c>
      <c r="I38" s="81" t="str">
        <f>'Necesidades Trimestrales'!F36</f>
        <v>BOLSA</v>
      </c>
      <c r="J38" s="58">
        <f>'Necesidades Trimestrales'!H36</f>
        <v>2050</v>
      </c>
      <c r="K38" s="82">
        <f>'Necesidades Trimestrales'!G36</f>
        <v>10</v>
      </c>
    </row>
    <row r="39" spans="1:1024" ht="24" customHeight="1" thickBot="1" x14ac:dyDescent="0.25">
      <c r="A39" s="78">
        <v>28</v>
      </c>
      <c r="B39" s="79">
        <f>'Necesidades Trimestrales'!B37</f>
        <v>0</v>
      </c>
      <c r="C39" s="96" t="str">
        <f>'Necesidades Trimestrales'!E37</f>
        <v xml:space="preserve">TIPS P/PIPETAS AUTOMATICAS X 1000 UNIDADES </v>
      </c>
      <c r="D39" s="96"/>
      <c r="E39" s="96"/>
      <c r="F39" s="96"/>
      <c r="G39" s="96"/>
      <c r="H39" s="80" t="s">
        <v>57</v>
      </c>
      <c r="I39" s="81" t="str">
        <f>'Necesidades Trimestrales'!F37</f>
        <v xml:space="preserve">BOLSA </v>
      </c>
      <c r="J39" s="58">
        <f>'Necesidades Trimestrales'!H37</f>
        <v>2100</v>
      </c>
      <c r="K39" s="82">
        <f>'Necesidades Trimestrales'!G37</f>
        <v>2</v>
      </c>
    </row>
    <row r="40" spans="1:1024" ht="25.5" customHeight="1" thickBot="1" x14ac:dyDescent="0.25">
      <c r="A40" s="78">
        <v>29</v>
      </c>
      <c r="B40" s="79">
        <f>'Necesidades Trimestrales'!B38</f>
        <v>0</v>
      </c>
      <c r="C40" s="96" t="str">
        <f>'Necesidades Trimestrales'!E38</f>
        <v>TUBOS DE KHAN DE VIDRIO 12 X 75 MM</v>
      </c>
      <c r="D40" s="96"/>
      <c r="E40" s="96"/>
      <c r="F40" s="96"/>
      <c r="G40" s="96"/>
      <c r="H40" s="80" t="s">
        <v>57</v>
      </c>
      <c r="I40" s="81" t="str">
        <f>'Necesidades Trimestrales'!F38</f>
        <v>UNIDAD</v>
      </c>
      <c r="J40" s="58">
        <f>'Necesidades Trimestrales'!H38</f>
        <v>9.9499999999999993</v>
      </c>
      <c r="K40" s="82">
        <f>'Necesidades Trimestrales'!G38</f>
        <v>2000</v>
      </c>
    </row>
    <row r="41" spans="1:1024" ht="20.25" customHeight="1" thickBot="1" x14ac:dyDescent="0.25">
      <c r="A41" s="94" t="s">
        <v>103</v>
      </c>
      <c r="B41" s="94"/>
      <c r="C41" s="94"/>
      <c r="D41" s="94"/>
      <c r="E41" s="94"/>
      <c r="F41" s="94"/>
      <c r="G41" s="94"/>
      <c r="H41" s="94"/>
      <c r="I41" s="94"/>
      <c r="J41" s="95">
        <f>SUMPRODUCT(J12:J40,K12:K40)</f>
        <v>1323449</v>
      </c>
      <c r="K41" s="95"/>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83"/>
      <c r="EO41" s="83"/>
      <c r="EP41" s="83"/>
      <c r="EQ41" s="83"/>
      <c r="ER41" s="83"/>
      <c r="ES41" s="83"/>
      <c r="ET41" s="83"/>
      <c r="EU41" s="83"/>
      <c r="EV41" s="83"/>
      <c r="EW41" s="83"/>
      <c r="EX41" s="83"/>
      <c r="EY41" s="83"/>
      <c r="EZ41" s="83"/>
      <c r="FA41" s="83"/>
      <c r="FB41" s="83"/>
      <c r="FC41" s="83"/>
      <c r="FD41" s="83"/>
      <c r="FE41" s="83"/>
      <c r="FF41" s="83"/>
      <c r="FG41" s="83"/>
      <c r="FH41" s="83"/>
      <c r="FI41" s="83"/>
      <c r="FJ41" s="83"/>
      <c r="FK41" s="83"/>
      <c r="FL41" s="83"/>
      <c r="FM41" s="83"/>
      <c r="FN41" s="83"/>
      <c r="FO41" s="83"/>
      <c r="FP41" s="83"/>
      <c r="FQ41" s="83"/>
      <c r="FR41" s="83"/>
      <c r="FS41" s="83"/>
      <c r="FT41" s="83"/>
      <c r="FU41" s="83"/>
      <c r="FV41" s="83"/>
      <c r="FW41" s="83"/>
      <c r="FX41" s="83"/>
      <c r="FY41" s="83"/>
      <c r="FZ41" s="83"/>
      <c r="GA41" s="83"/>
      <c r="GB41" s="83"/>
      <c r="GC41" s="83"/>
      <c r="GD41" s="83"/>
      <c r="GE41" s="83"/>
      <c r="GF41" s="83"/>
      <c r="GG41" s="83"/>
      <c r="GH41" s="83"/>
      <c r="GI41" s="83"/>
      <c r="GJ41" s="83"/>
      <c r="GK41" s="83"/>
      <c r="GL41" s="83"/>
      <c r="GM41" s="83"/>
      <c r="GN41" s="83"/>
      <c r="GO41" s="83"/>
      <c r="GP41" s="83"/>
      <c r="GQ41" s="83"/>
      <c r="GR41" s="83"/>
      <c r="GS41" s="83"/>
      <c r="GT41" s="83"/>
      <c r="GU41" s="83"/>
      <c r="GV41" s="83"/>
      <c r="GW41" s="83"/>
      <c r="GX41" s="83"/>
      <c r="GY41" s="83"/>
      <c r="GZ41" s="83"/>
      <c r="HA41" s="83"/>
      <c r="HB41" s="83"/>
      <c r="HC41" s="83"/>
      <c r="HD41" s="83"/>
      <c r="HE41" s="83"/>
      <c r="HF41" s="83"/>
      <c r="HG41" s="83"/>
      <c r="HH41" s="83"/>
      <c r="HI41" s="83"/>
      <c r="HJ41" s="83"/>
      <c r="HK41" s="83"/>
      <c r="HL41" s="83"/>
      <c r="HM41" s="83"/>
      <c r="HN41" s="83"/>
      <c r="HO41" s="83"/>
      <c r="HP41" s="83"/>
      <c r="HQ41" s="83"/>
      <c r="HR41" s="83"/>
      <c r="HS41" s="83"/>
      <c r="HT41" s="83"/>
      <c r="HU41" s="83"/>
      <c r="HV41" s="83"/>
      <c r="HW41" s="83"/>
      <c r="HX41" s="83"/>
      <c r="HY41" s="83"/>
      <c r="HZ41" s="83"/>
      <c r="IA41" s="83"/>
      <c r="IB41" s="83"/>
      <c r="IC41" s="83"/>
      <c r="ID41" s="83"/>
      <c r="IE41" s="83"/>
      <c r="IF41" s="83"/>
      <c r="IG41" s="83"/>
      <c r="IH41" s="83"/>
      <c r="II41" s="83"/>
      <c r="IJ41" s="83"/>
      <c r="IK41" s="83"/>
      <c r="IL41" s="83"/>
      <c r="IM41" s="83"/>
      <c r="IN41" s="83"/>
      <c r="IO41" s="83"/>
      <c r="IP41" s="83"/>
      <c r="IQ41" s="83"/>
      <c r="IR41" s="83"/>
      <c r="IS41" s="83"/>
      <c r="IT41" s="83"/>
      <c r="IU41" s="83"/>
      <c r="IV41" s="83"/>
      <c r="IW41" s="83"/>
      <c r="IX41" s="83"/>
      <c r="IY41" s="83"/>
      <c r="IZ41" s="83"/>
      <c r="JA41" s="83"/>
      <c r="JB41" s="83"/>
      <c r="JC41" s="83"/>
      <c r="JD41" s="83"/>
      <c r="JE41" s="83"/>
      <c r="JF41" s="83"/>
      <c r="JG41" s="83"/>
      <c r="JH41" s="83"/>
      <c r="JI41" s="83"/>
      <c r="JJ41" s="83"/>
      <c r="JK41" s="83"/>
      <c r="JL41" s="83"/>
      <c r="JM41" s="83"/>
      <c r="JN41" s="83"/>
      <c r="JO41" s="83"/>
      <c r="JP41" s="83"/>
      <c r="JQ41" s="83"/>
      <c r="JR41" s="83"/>
      <c r="JS41" s="83"/>
      <c r="JT41" s="83"/>
      <c r="JU41" s="83"/>
      <c r="JV41" s="83"/>
      <c r="JW41" s="83"/>
      <c r="JX41" s="83"/>
      <c r="JY41" s="83"/>
      <c r="JZ41" s="83"/>
      <c r="KA41" s="83"/>
      <c r="KB41" s="83"/>
      <c r="KC41" s="83"/>
      <c r="KD41" s="83"/>
      <c r="KE41" s="83"/>
      <c r="KF41" s="83"/>
      <c r="KG41" s="83"/>
      <c r="KH41" s="83"/>
      <c r="KI41" s="83"/>
      <c r="KJ41" s="83"/>
      <c r="KK41" s="83"/>
      <c r="KL41" s="83"/>
      <c r="KM41" s="83"/>
      <c r="KN41" s="83"/>
      <c r="KO41" s="83"/>
      <c r="KP41" s="83"/>
      <c r="KQ41" s="83"/>
      <c r="KR41" s="83"/>
      <c r="KS41" s="83"/>
      <c r="KT41" s="83"/>
      <c r="KU41" s="83"/>
      <c r="KV41" s="83"/>
      <c r="KW41" s="83"/>
      <c r="KX41" s="83"/>
      <c r="KY41" s="83"/>
      <c r="KZ41" s="83"/>
      <c r="LA41" s="83"/>
      <c r="LB41" s="83"/>
      <c r="LC41" s="83"/>
      <c r="LD41" s="83"/>
      <c r="LE41" s="83"/>
      <c r="LF41" s="83"/>
      <c r="LG41" s="83"/>
      <c r="LH41" s="83"/>
      <c r="LI41" s="83"/>
      <c r="LJ41" s="83"/>
      <c r="LK41" s="83"/>
      <c r="LL41" s="83"/>
      <c r="LM41" s="83"/>
      <c r="LN41" s="83"/>
      <c r="LO41" s="83"/>
      <c r="LP41" s="83"/>
      <c r="LQ41" s="83"/>
      <c r="LR41" s="83"/>
      <c r="LS41" s="83"/>
      <c r="LT41" s="83"/>
      <c r="LU41" s="83"/>
      <c r="LV41" s="83"/>
      <c r="LW41" s="83"/>
      <c r="LX41" s="83"/>
      <c r="LY41" s="83"/>
      <c r="LZ41" s="83"/>
      <c r="MA41" s="83"/>
      <c r="MB41" s="83"/>
      <c r="MC41" s="83"/>
      <c r="MD41" s="83"/>
      <c r="ME41" s="83"/>
      <c r="MF41" s="83"/>
      <c r="MG41" s="83"/>
      <c r="MH41" s="83"/>
      <c r="MI41" s="83"/>
      <c r="MJ41" s="83"/>
      <c r="MK41" s="83"/>
      <c r="ML41" s="83"/>
      <c r="MM41" s="83"/>
      <c r="MN41" s="83"/>
      <c r="MO41" s="83"/>
      <c r="MP41" s="83"/>
      <c r="MQ41" s="83"/>
      <c r="MR41" s="83"/>
      <c r="MS41" s="83"/>
      <c r="MT41" s="83"/>
      <c r="MU41" s="83"/>
      <c r="MV41" s="83"/>
      <c r="MW41" s="83"/>
      <c r="MX41" s="83"/>
      <c r="MY41" s="83"/>
      <c r="MZ41" s="83"/>
      <c r="NA41" s="83"/>
      <c r="NB41" s="83"/>
      <c r="NC41" s="83"/>
      <c r="ND41" s="83"/>
      <c r="NE41" s="83"/>
      <c r="NF41" s="83"/>
      <c r="NG41" s="83"/>
      <c r="NH41" s="83"/>
      <c r="NI41" s="83"/>
      <c r="NJ41" s="83"/>
      <c r="NK41" s="83"/>
      <c r="NL41" s="83"/>
      <c r="NM41" s="83"/>
      <c r="NN41" s="83"/>
      <c r="NO41" s="83"/>
      <c r="NP41" s="83"/>
      <c r="NQ41" s="83"/>
      <c r="NR41" s="83"/>
      <c r="NS41" s="83"/>
      <c r="NT41" s="83"/>
      <c r="NU41" s="83"/>
      <c r="NV41" s="83"/>
      <c r="NW41" s="83"/>
      <c r="NX41" s="83"/>
      <c r="NY41" s="83"/>
      <c r="NZ41" s="83"/>
      <c r="OA41" s="83"/>
      <c r="OB41" s="83"/>
      <c r="OC41" s="83"/>
      <c r="OD41" s="83"/>
      <c r="OE41" s="83"/>
      <c r="OF41" s="83"/>
      <c r="OG41" s="83"/>
      <c r="OH41" s="83"/>
      <c r="OI41" s="83"/>
      <c r="OJ41" s="83"/>
      <c r="OK41" s="83"/>
      <c r="OL41" s="83"/>
      <c r="OM41" s="83"/>
      <c r="ON41" s="83"/>
      <c r="OO41" s="83"/>
      <c r="OP41" s="83"/>
      <c r="OQ41" s="83"/>
      <c r="OR41" s="83"/>
      <c r="OS41" s="83"/>
      <c r="OT41" s="83"/>
      <c r="OU41" s="83"/>
      <c r="OV41" s="83"/>
      <c r="OW41" s="83"/>
      <c r="OX41" s="83"/>
      <c r="OY41" s="83"/>
      <c r="OZ41" s="83"/>
      <c r="PA41" s="83"/>
      <c r="PB41" s="83"/>
      <c r="PC41" s="83"/>
      <c r="PD41" s="83"/>
      <c r="PE41" s="83"/>
      <c r="PF41" s="83"/>
      <c r="PG41" s="83"/>
      <c r="PH41" s="83"/>
      <c r="PI41" s="83"/>
      <c r="PJ41" s="83"/>
      <c r="PK41" s="83"/>
      <c r="PL41" s="83"/>
      <c r="PM41" s="83"/>
      <c r="PN41" s="83"/>
      <c r="PO41" s="83"/>
      <c r="PP41" s="83"/>
      <c r="PQ41" s="83"/>
      <c r="PR41" s="83"/>
      <c r="PS41" s="83"/>
      <c r="PT41" s="83"/>
      <c r="PU41" s="83"/>
      <c r="PV41" s="83"/>
      <c r="PW41" s="83"/>
      <c r="PX41" s="83"/>
      <c r="PY41" s="83"/>
      <c r="PZ41" s="83"/>
      <c r="QA41" s="83"/>
      <c r="QB41" s="83"/>
      <c r="QC41" s="83"/>
      <c r="QD41" s="83"/>
      <c r="QE41" s="83"/>
      <c r="QF41" s="83"/>
      <c r="QG41" s="83"/>
      <c r="QH41" s="83"/>
      <c r="QI41" s="83"/>
      <c r="QJ41" s="83"/>
      <c r="QK41" s="83"/>
      <c r="QL41" s="83"/>
      <c r="QM41" s="83"/>
      <c r="QN41" s="83"/>
      <c r="QO41" s="83"/>
      <c r="QP41" s="83"/>
      <c r="QQ41" s="83"/>
      <c r="QR41" s="83"/>
      <c r="QS41" s="83"/>
      <c r="QT41" s="83"/>
      <c r="QU41" s="83"/>
      <c r="QV41" s="83"/>
      <c r="QW41" s="83"/>
      <c r="QX41" s="83"/>
      <c r="QY41" s="83"/>
      <c r="QZ41" s="83"/>
      <c r="RA41" s="83"/>
      <c r="RB41" s="83"/>
      <c r="RC41" s="83"/>
      <c r="RD41" s="83"/>
      <c r="RE41" s="83"/>
      <c r="RF41" s="83"/>
      <c r="RG41" s="83"/>
      <c r="RH41" s="83"/>
      <c r="RI41" s="83"/>
      <c r="RJ41" s="83"/>
      <c r="RK41" s="83"/>
      <c r="RL41" s="83"/>
      <c r="RM41" s="83"/>
      <c r="RN41" s="83"/>
      <c r="RO41" s="83"/>
      <c r="RP41" s="83"/>
      <c r="RQ41" s="83"/>
      <c r="RR41" s="83"/>
      <c r="RS41" s="83"/>
      <c r="RT41" s="83"/>
      <c r="RU41" s="83"/>
      <c r="RV41" s="83"/>
      <c r="RW41" s="83"/>
      <c r="RX41" s="83"/>
      <c r="RY41" s="83"/>
      <c r="RZ41" s="83"/>
      <c r="SA41" s="83"/>
      <c r="SB41" s="83"/>
      <c r="SC41" s="83"/>
      <c r="SD41" s="83"/>
      <c r="SE41" s="83"/>
      <c r="SF41" s="83"/>
      <c r="SG41" s="83"/>
      <c r="SH41" s="83"/>
      <c r="SI41" s="83"/>
      <c r="SJ41" s="83"/>
      <c r="SK41" s="83"/>
      <c r="SL41" s="83"/>
      <c r="SM41" s="83"/>
      <c r="SN41" s="83"/>
      <c r="SO41" s="83"/>
      <c r="SP41" s="83"/>
      <c r="SQ41" s="83"/>
      <c r="SR41" s="83"/>
      <c r="SS41" s="83"/>
      <c r="ST41" s="83"/>
      <c r="SU41" s="83"/>
      <c r="SV41" s="83"/>
      <c r="SW41" s="83"/>
      <c r="SX41" s="83"/>
      <c r="SY41" s="83"/>
      <c r="SZ41" s="83"/>
      <c r="TA41" s="83"/>
      <c r="TB41" s="83"/>
      <c r="TC41" s="83"/>
      <c r="TD41" s="83"/>
      <c r="TE41" s="83"/>
      <c r="TF41" s="83"/>
      <c r="TG41" s="83"/>
      <c r="TH41" s="83"/>
      <c r="TI41" s="83"/>
      <c r="TJ41" s="83"/>
      <c r="TK41" s="83"/>
      <c r="TL41" s="83"/>
      <c r="TM41" s="83"/>
      <c r="TN41" s="83"/>
      <c r="TO41" s="83"/>
      <c r="TP41" s="83"/>
      <c r="TQ41" s="83"/>
      <c r="TR41" s="83"/>
      <c r="TS41" s="83"/>
      <c r="TT41" s="83"/>
      <c r="TU41" s="83"/>
      <c r="TV41" s="83"/>
      <c r="TW41" s="83"/>
      <c r="TX41" s="83"/>
      <c r="TY41" s="83"/>
      <c r="TZ41" s="83"/>
      <c r="UA41" s="83"/>
      <c r="UB41" s="83"/>
      <c r="UC41" s="83"/>
      <c r="UD41" s="83"/>
      <c r="UE41" s="83"/>
      <c r="UF41" s="83"/>
      <c r="UG41" s="83"/>
      <c r="UH41" s="83"/>
      <c r="UI41" s="83"/>
      <c r="UJ41" s="83"/>
      <c r="UK41" s="83"/>
      <c r="UL41" s="83"/>
      <c r="UM41" s="83"/>
      <c r="UN41" s="83"/>
      <c r="UO41" s="83"/>
      <c r="UP41" s="83"/>
      <c r="UQ41" s="83"/>
      <c r="UR41" s="83"/>
      <c r="US41" s="83"/>
      <c r="UT41" s="83"/>
      <c r="UU41" s="83"/>
      <c r="UV41" s="83"/>
      <c r="UW41" s="83"/>
      <c r="UX41" s="83"/>
      <c r="UY41" s="83"/>
      <c r="UZ41" s="83"/>
      <c r="VA41" s="83"/>
      <c r="VB41" s="83"/>
      <c r="VC41" s="83"/>
      <c r="VD41" s="83"/>
      <c r="VE41" s="83"/>
      <c r="VF41" s="83"/>
      <c r="VG41" s="83"/>
      <c r="VH41" s="83"/>
      <c r="VI41" s="83"/>
      <c r="VJ41" s="83"/>
      <c r="VK41" s="83"/>
      <c r="VL41" s="83"/>
      <c r="VM41" s="83"/>
      <c r="VN41" s="83"/>
      <c r="VO41" s="83"/>
      <c r="VP41" s="83"/>
      <c r="VQ41" s="83"/>
      <c r="VR41" s="83"/>
      <c r="VS41" s="83"/>
      <c r="VT41" s="83"/>
      <c r="VU41" s="83"/>
      <c r="VV41" s="83"/>
      <c r="VW41" s="83"/>
      <c r="VX41" s="83"/>
      <c r="VY41" s="83"/>
      <c r="VZ41" s="83"/>
      <c r="WA41" s="83"/>
      <c r="WB41" s="83"/>
      <c r="WC41" s="83"/>
      <c r="WD41" s="83"/>
      <c r="WE41" s="83"/>
      <c r="WF41" s="83"/>
      <c r="WG41" s="83"/>
      <c r="WH41" s="83"/>
      <c r="WI41" s="83"/>
      <c r="WJ41" s="83"/>
      <c r="WK41" s="83"/>
      <c r="WL41" s="83"/>
      <c r="WM41" s="83"/>
      <c r="WN41" s="83"/>
      <c r="WO41" s="83"/>
      <c r="WP41" s="83"/>
      <c r="WQ41" s="83"/>
      <c r="WR41" s="83"/>
      <c r="WS41" s="83"/>
      <c r="WT41" s="83"/>
      <c r="WU41" s="83"/>
      <c r="WV41" s="83"/>
      <c r="WW41" s="83"/>
      <c r="WX41" s="83"/>
      <c r="WY41" s="83"/>
      <c r="WZ41" s="83"/>
      <c r="XA41" s="83"/>
      <c r="XB41" s="83"/>
      <c r="XC41" s="83"/>
      <c r="XD41" s="83"/>
      <c r="XE41" s="83"/>
      <c r="XF41" s="83"/>
      <c r="XG41" s="83"/>
      <c r="XH41" s="83"/>
      <c r="XI41" s="83"/>
      <c r="XJ41" s="83"/>
      <c r="XK41" s="83"/>
      <c r="XL41" s="83"/>
      <c r="XM41" s="83"/>
      <c r="XN41" s="83"/>
      <c r="XO41" s="83"/>
      <c r="XP41" s="83"/>
      <c r="XQ41" s="83"/>
      <c r="XR41" s="83"/>
      <c r="XS41" s="83"/>
      <c r="XT41" s="83"/>
      <c r="XU41" s="83"/>
      <c r="XV41" s="83"/>
      <c r="XW41" s="83"/>
      <c r="XX41" s="83"/>
      <c r="XY41" s="83"/>
      <c r="XZ41" s="83"/>
      <c r="YA41" s="83"/>
      <c r="YB41" s="83"/>
      <c r="YC41" s="83"/>
      <c r="YD41" s="83"/>
      <c r="YE41" s="83"/>
      <c r="YF41" s="83"/>
      <c r="YG41" s="83"/>
      <c r="YH41" s="83"/>
      <c r="YI41" s="83"/>
      <c r="YJ41" s="83"/>
      <c r="YK41" s="83"/>
      <c r="YL41" s="83"/>
      <c r="YM41" s="83"/>
      <c r="YN41" s="83"/>
      <c r="YO41" s="83"/>
      <c r="YP41" s="83"/>
      <c r="YQ41" s="83"/>
      <c r="YR41" s="83"/>
      <c r="YS41" s="83"/>
      <c r="YT41" s="83"/>
      <c r="YU41" s="83"/>
      <c r="YV41" s="83"/>
      <c r="YW41" s="83"/>
      <c r="YX41" s="83"/>
      <c r="YY41" s="83"/>
      <c r="YZ41" s="83"/>
      <c r="ZA41" s="83"/>
      <c r="ZB41" s="83"/>
      <c r="ZC41" s="83"/>
      <c r="ZD41" s="83"/>
      <c r="ZE41" s="83"/>
      <c r="ZF41" s="83"/>
      <c r="ZG41" s="83"/>
      <c r="ZH41" s="83"/>
      <c r="ZI41" s="83"/>
      <c r="ZJ41" s="83"/>
      <c r="ZK41" s="83"/>
      <c r="ZL41" s="83"/>
      <c r="ZM41" s="83"/>
      <c r="ZN41" s="83"/>
      <c r="ZO41" s="83"/>
      <c r="ZP41" s="83"/>
      <c r="ZQ41" s="83"/>
      <c r="ZR41" s="83"/>
      <c r="ZS41" s="83"/>
      <c r="ZT41" s="83"/>
      <c r="ZU41" s="83"/>
      <c r="ZV41" s="83"/>
      <c r="ZW41" s="83"/>
      <c r="ZX41" s="83"/>
      <c r="ZY41" s="83"/>
      <c r="ZZ41" s="83"/>
      <c r="AAA41" s="83"/>
      <c r="AAB41" s="83"/>
      <c r="AAC41" s="83"/>
      <c r="AAD41" s="83"/>
      <c r="AAE41" s="83"/>
      <c r="AAF41" s="83"/>
      <c r="AAG41" s="83"/>
      <c r="AAH41" s="83"/>
      <c r="AAI41" s="83"/>
      <c r="AAJ41" s="83"/>
      <c r="AAK41" s="83"/>
      <c r="AAL41" s="83"/>
      <c r="AAM41" s="83"/>
      <c r="AAN41" s="83"/>
      <c r="AAO41" s="83"/>
      <c r="AAP41" s="83"/>
      <c r="AAQ41" s="83"/>
      <c r="AAR41" s="83"/>
      <c r="AAS41" s="83"/>
      <c r="AAT41" s="83"/>
      <c r="AAU41" s="83"/>
      <c r="AAV41" s="83"/>
      <c r="AAW41" s="83"/>
      <c r="AAX41" s="83"/>
      <c r="AAY41" s="83"/>
      <c r="AAZ41" s="83"/>
      <c r="ABA41" s="83"/>
      <c r="ABB41" s="83"/>
      <c r="ABC41" s="83"/>
      <c r="ABD41" s="83"/>
      <c r="ABE41" s="83"/>
      <c r="ABF41" s="83"/>
      <c r="ABG41" s="83"/>
      <c r="ABH41" s="83"/>
      <c r="ABI41" s="83"/>
      <c r="ABJ41" s="83"/>
      <c r="ABK41" s="83"/>
      <c r="ABL41" s="83"/>
      <c r="ABM41" s="83"/>
      <c r="ABN41" s="83"/>
      <c r="ABO41" s="83"/>
      <c r="ABP41" s="83"/>
      <c r="ABQ41" s="83"/>
      <c r="ABR41" s="83"/>
      <c r="ABS41" s="83"/>
      <c r="ABT41" s="83"/>
      <c r="ABU41" s="83"/>
      <c r="ABV41" s="83"/>
      <c r="ABW41" s="83"/>
      <c r="ABX41" s="83"/>
      <c r="ABY41" s="83"/>
      <c r="ABZ41" s="83"/>
      <c r="ACA41" s="83"/>
      <c r="ACB41" s="83"/>
      <c r="ACC41" s="83"/>
      <c r="ACD41" s="83"/>
      <c r="ACE41" s="83"/>
      <c r="ACF41" s="83"/>
      <c r="ACG41" s="83"/>
      <c r="ACH41" s="83"/>
      <c r="ACI41" s="83"/>
      <c r="ACJ41" s="83"/>
      <c r="ACK41" s="83"/>
      <c r="ACL41" s="83"/>
      <c r="ACM41" s="83"/>
      <c r="ACN41" s="83"/>
      <c r="ACO41" s="83"/>
      <c r="ACP41" s="83"/>
      <c r="ACQ41" s="83"/>
      <c r="ACR41" s="83"/>
      <c r="ACS41" s="83"/>
      <c r="ACT41" s="83"/>
      <c r="ACU41" s="83"/>
      <c r="ACV41" s="83"/>
      <c r="ACW41" s="83"/>
      <c r="ACX41" s="83"/>
      <c r="ACY41" s="83"/>
      <c r="ACZ41" s="83"/>
      <c r="ADA41" s="83"/>
      <c r="ADB41" s="83"/>
      <c r="ADC41" s="83"/>
      <c r="ADD41" s="83"/>
      <c r="ADE41" s="83"/>
      <c r="ADF41" s="83"/>
      <c r="ADG41" s="83"/>
      <c r="ADH41" s="83"/>
      <c r="ADI41" s="83"/>
      <c r="ADJ41" s="83"/>
      <c r="ADK41" s="83"/>
      <c r="ADL41" s="83"/>
      <c r="ADM41" s="83"/>
      <c r="ADN41" s="83"/>
      <c r="ADO41" s="83"/>
      <c r="ADP41" s="83"/>
      <c r="ADQ41" s="83"/>
      <c r="ADR41" s="83"/>
      <c r="ADS41" s="83"/>
      <c r="ADT41" s="83"/>
      <c r="ADU41" s="83"/>
      <c r="ADV41" s="83"/>
      <c r="ADW41" s="83"/>
      <c r="ADX41" s="83"/>
      <c r="ADY41" s="83"/>
      <c r="ADZ41" s="83"/>
      <c r="AEA41" s="83"/>
      <c r="AEB41" s="83"/>
      <c r="AEC41" s="83"/>
      <c r="AED41" s="83"/>
      <c r="AEE41" s="83"/>
      <c r="AEF41" s="83"/>
      <c r="AEG41" s="83"/>
      <c r="AEH41" s="83"/>
      <c r="AEI41" s="83"/>
      <c r="AEJ41" s="83"/>
      <c r="AEK41" s="83"/>
      <c r="AEL41" s="83"/>
      <c r="AEM41" s="83"/>
      <c r="AEN41" s="83"/>
      <c r="AEO41" s="83"/>
      <c r="AEP41" s="83"/>
      <c r="AEQ41" s="83"/>
      <c r="AER41" s="83"/>
      <c r="AES41" s="83"/>
      <c r="AET41" s="83"/>
      <c r="AEU41" s="83"/>
      <c r="AEV41" s="83"/>
      <c r="AEW41" s="83"/>
      <c r="AEX41" s="83"/>
      <c r="AEY41" s="83"/>
      <c r="AEZ41" s="83"/>
      <c r="AFA41" s="83"/>
      <c r="AFB41" s="83"/>
      <c r="AFC41" s="83"/>
      <c r="AFD41" s="83"/>
      <c r="AFE41" s="83"/>
      <c r="AFF41" s="83"/>
      <c r="AFG41" s="83"/>
      <c r="AFH41" s="83"/>
      <c r="AFI41" s="83"/>
      <c r="AFJ41" s="83"/>
      <c r="AFK41" s="83"/>
      <c r="AFL41" s="83"/>
      <c r="AFM41" s="83"/>
      <c r="AFN41" s="83"/>
      <c r="AFO41" s="83"/>
      <c r="AFP41" s="83"/>
      <c r="AFQ41" s="83"/>
      <c r="AFR41" s="83"/>
      <c r="AFS41" s="83"/>
      <c r="AFT41" s="83"/>
      <c r="AFU41" s="83"/>
      <c r="AFV41" s="83"/>
      <c r="AFW41" s="83"/>
      <c r="AFX41" s="83"/>
      <c r="AFY41" s="83"/>
      <c r="AFZ41" s="83"/>
      <c r="AGA41" s="83"/>
      <c r="AGB41" s="83"/>
      <c r="AGC41" s="83"/>
      <c r="AGD41" s="83"/>
      <c r="AGE41" s="83"/>
      <c r="AGF41" s="83"/>
      <c r="AGG41" s="83"/>
      <c r="AGH41" s="83"/>
      <c r="AGI41" s="83"/>
      <c r="AGJ41" s="83"/>
      <c r="AGK41" s="83"/>
      <c r="AGL41" s="83"/>
      <c r="AGM41" s="83"/>
      <c r="AGN41" s="83"/>
      <c r="AGO41" s="83"/>
      <c r="AGP41" s="83"/>
      <c r="AGQ41" s="83"/>
      <c r="AGR41" s="83"/>
      <c r="AGS41" s="83"/>
      <c r="AGT41" s="83"/>
      <c r="AGU41" s="83"/>
      <c r="AGV41" s="83"/>
      <c r="AGW41" s="83"/>
      <c r="AGX41" s="83"/>
      <c r="AGY41" s="83"/>
      <c r="AGZ41" s="83"/>
      <c r="AHA41" s="83"/>
      <c r="AHB41" s="83"/>
      <c r="AHC41" s="83"/>
      <c r="AHD41" s="83"/>
      <c r="AHE41" s="83"/>
      <c r="AHF41" s="83"/>
      <c r="AHG41" s="83"/>
      <c r="AHH41" s="83"/>
      <c r="AHI41" s="83"/>
      <c r="AHJ41" s="83"/>
      <c r="AHK41" s="83"/>
      <c r="AHL41" s="83"/>
      <c r="AHM41" s="83"/>
      <c r="AHN41" s="83"/>
      <c r="AHO41" s="83"/>
      <c r="AHP41" s="83"/>
      <c r="AHQ41" s="83"/>
      <c r="AHR41" s="83"/>
      <c r="AHS41" s="83"/>
      <c r="AHT41" s="83"/>
      <c r="AHU41" s="83"/>
      <c r="AHV41" s="83"/>
      <c r="AHW41" s="83"/>
      <c r="AHX41" s="83"/>
      <c r="AHY41" s="83"/>
      <c r="AHZ41" s="83"/>
      <c r="AIA41" s="83"/>
      <c r="AIB41" s="83"/>
      <c r="AIC41" s="83"/>
      <c r="AID41" s="83"/>
      <c r="AIE41" s="83"/>
      <c r="AIF41" s="83"/>
      <c r="AIG41" s="83"/>
      <c r="AIH41" s="83"/>
      <c r="AII41" s="83"/>
      <c r="AIJ41" s="83"/>
      <c r="AIK41" s="83"/>
      <c r="AIL41" s="83"/>
      <c r="AIM41" s="83"/>
      <c r="AIN41" s="83"/>
      <c r="AIO41" s="83"/>
      <c r="AIP41" s="83"/>
      <c r="AIQ41" s="83"/>
      <c r="AIR41" s="83"/>
      <c r="AIS41" s="83"/>
      <c r="AIT41" s="83"/>
      <c r="AIU41" s="83"/>
      <c r="AIV41" s="83"/>
      <c r="AIW41" s="83"/>
      <c r="AIX41" s="83"/>
      <c r="AIY41" s="83"/>
      <c r="AIZ41" s="83"/>
      <c r="AJA41" s="83"/>
      <c r="AJB41" s="83"/>
      <c r="AJC41" s="83"/>
      <c r="AJD41" s="83"/>
      <c r="AJE41" s="83"/>
      <c r="AJF41" s="83"/>
      <c r="AJG41" s="83"/>
      <c r="AJH41" s="83"/>
      <c r="AJI41" s="83"/>
      <c r="AJJ41" s="83"/>
      <c r="AJK41" s="83"/>
      <c r="AJL41" s="83"/>
      <c r="AJM41" s="83"/>
      <c r="AJN41" s="83"/>
      <c r="AJO41" s="83"/>
      <c r="AJP41" s="83"/>
      <c r="AJQ41" s="83"/>
      <c r="AJR41" s="83"/>
      <c r="AJS41" s="83"/>
      <c r="AJT41" s="83"/>
      <c r="AJU41" s="83"/>
      <c r="AJV41" s="83"/>
      <c r="AJW41" s="83"/>
      <c r="AJX41" s="83"/>
      <c r="AJY41" s="83"/>
      <c r="AJZ41" s="83"/>
      <c r="AKA41" s="83"/>
      <c r="AKB41" s="83"/>
      <c r="AKC41" s="83"/>
      <c r="AKD41" s="83"/>
      <c r="AKE41" s="83"/>
      <c r="AKF41" s="83"/>
      <c r="AKG41" s="83"/>
      <c r="AKH41" s="83"/>
      <c r="AKI41" s="83"/>
      <c r="AKJ41" s="83"/>
      <c r="AKK41" s="83"/>
      <c r="AKL41" s="83"/>
      <c r="AKM41" s="83"/>
      <c r="AKN41" s="83"/>
      <c r="AKO41" s="83"/>
      <c r="AKP41" s="83"/>
      <c r="AKQ41" s="83"/>
      <c r="AKR41" s="83"/>
      <c r="AKS41" s="83"/>
      <c r="AKT41" s="83"/>
      <c r="AKU41" s="83"/>
      <c r="AKV41" s="83"/>
      <c r="AKW41" s="83"/>
      <c r="AKX41" s="83"/>
      <c r="AKY41" s="83"/>
      <c r="AKZ41" s="83"/>
      <c r="ALA41" s="83"/>
      <c r="ALB41" s="83"/>
      <c r="ALC41" s="83"/>
      <c r="ALD41" s="83"/>
      <c r="ALE41" s="83"/>
      <c r="ALF41" s="83"/>
      <c r="ALG41" s="83"/>
      <c r="ALH41" s="83"/>
      <c r="ALI41" s="83"/>
      <c r="ALJ41" s="83"/>
      <c r="ALK41" s="83"/>
      <c r="ALL41" s="83"/>
      <c r="ALM41" s="83"/>
      <c r="ALN41" s="83"/>
      <c r="ALO41" s="83"/>
      <c r="ALP41" s="83"/>
      <c r="ALQ41" s="83"/>
      <c r="ALR41" s="83"/>
      <c r="ALS41" s="83"/>
      <c r="ALT41" s="83"/>
      <c r="ALU41" s="83"/>
      <c r="ALV41" s="83"/>
      <c r="ALW41" s="83"/>
      <c r="ALX41" s="83"/>
      <c r="ALY41" s="83"/>
      <c r="ALZ41" s="83"/>
      <c r="AMA41" s="83"/>
      <c r="AMB41" s="83"/>
      <c r="AMC41" s="83"/>
      <c r="AMD41" s="83"/>
      <c r="AME41" s="83"/>
      <c r="AMF41" s="83"/>
      <c r="AMG41" s="83"/>
      <c r="AMH41" s="83"/>
      <c r="AMI41" s="83"/>
      <c r="AMJ41" s="83"/>
    </row>
  </sheetData>
  <mergeCells count="51">
    <mergeCell ref="A5:C5"/>
    <mergeCell ref="D5:K5"/>
    <mergeCell ref="A1:I1"/>
    <mergeCell ref="A3:C3"/>
    <mergeCell ref="D3:K3"/>
    <mergeCell ref="A4:C4"/>
    <mergeCell ref="D4:K4"/>
    <mergeCell ref="A6:C6"/>
    <mergeCell ref="D6:K6"/>
    <mergeCell ref="A7:C7"/>
    <mergeCell ref="D7:K7"/>
    <mergeCell ref="A8:C8"/>
    <mergeCell ref="D8:K8"/>
    <mergeCell ref="A10:A11"/>
    <mergeCell ref="B10:B11"/>
    <mergeCell ref="C10:G11"/>
    <mergeCell ref="H10:H11"/>
    <mergeCell ref="I10:I11"/>
    <mergeCell ref="C22:G22"/>
    <mergeCell ref="K10:K11"/>
    <mergeCell ref="C12:G12"/>
    <mergeCell ref="C13:G13"/>
    <mergeCell ref="C14:G14"/>
    <mergeCell ref="C15:G15"/>
    <mergeCell ref="C16:G16"/>
    <mergeCell ref="J10:J11"/>
    <mergeCell ref="C17:G17"/>
    <mergeCell ref="C18:G18"/>
    <mergeCell ref="C19:G19"/>
    <mergeCell ref="C20:G20"/>
    <mergeCell ref="C21:G21"/>
    <mergeCell ref="C34:G34"/>
    <mergeCell ref="C23:G23"/>
    <mergeCell ref="C24:G24"/>
    <mergeCell ref="C25:G25"/>
    <mergeCell ref="C26:G26"/>
    <mergeCell ref="C27:G27"/>
    <mergeCell ref="C28:G28"/>
    <mergeCell ref="C29:G29"/>
    <mergeCell ref="C30:G30"/>
    <mergeCell ref="C31:G31"/>
    <mergeCell ref="C32:G32"/>
    <mergeCell ref="C33:G33"/>
    <mergeCell ref="A41:I41"/>
    <mergeCell ref="J41:K41"/>
    <mergeCell ref="C35:G35"/>
    <mergeCell ref="C36:G36"/>
    <mergeCell ref="C37:G37"/>
    <mergeCell ref="C38:G38"/>
    <mergeCell ref="C39:G39"/>
    <mergeCell ref="C40:G40"/>
  </mergeCells>
  <printOptions horizontalCentered="1"/>
  <pageMargins left="0.19685039370078741" right="0.19685039370078741" top="0.98425196850393704" bottom="0.98425196850393704" header="0.51181102362204722" footer="0.51181102362204722"/>
  <pageSetup paperSize="5"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opLeftCell="A4" zoomScale="130" zoomScaleNormal="130" workbookViewId="0">
      <selection activeCell="S10" sqref="S10"/>
    </sheetView>
  </sheetViews>
  <sheetFormatPr baseColWidth="10" defaultColWidth="11" defaultRowHeight="12.75" x14ac:dyDescent="0.2"/>
  <cols>
    <col min="1" max="4" width="4.42578125" customWidth="1"/>
    <col min="5" max="5" width="4.140625" customWidth="1"/>
    <col min="6" max="6" width="5.140625" customWidth="1"/>
    <col min="7" max="7" width="4.42578125" style="2" customWidth="1"/>
    <col min="8" max="14" width="4.42578125" customWidth="1"/>
    <col min="15" max="16" width="14.85546875" customWidth="1"/>
    <col min="17" max="17" width="14.7109375" customWidth="1"/>
    <col min="19" max="19" width="13.28515625" bestFit="1" customWidth="1"/>
  </cols>
  <sheetData>
    <row r="1" spans="1:17" ht="15.75" customHeight="1" x14ac:dyDescent="0.25">
      <c r="A1" s="106" t="s">
        <v>3</v>
      </c>
      <c r="B1" s="106"/>
      <c r="C1" s="106"/>
      <c r="D1" s="107">
        <f>'Necesidades Trimestrales'!C6</f>
        <v>2021</v>
      </c>
      <c r="E1" s="107"/>
      <c r="F1" s="3"/>
      <c r="G1" s="3"/>
      <c r="H1" s="4"/>
      <c r="I1" s="4"/>
      <c r="J1" s="4"/>
      <c r="K1" s="4"/>
      <c r="L1" s="4"/>
      <c r="M1" s="4"/>
      <c r="N1" s="4"/>
      <c r="P1" s="108" t="s">
        <v>31</v>
      </c>
      <c r="Q1" s="108"/>
    </row>
    <row r="2" spans="1:17" ht="15.75" customHeight="1" x14ac:dyDescent="0.2">
      <c r="H2" s="4"/>
      <c r="I2" s="4"/>
      <c r="J2" s="4"/>
      <c r="K2" s="4"/>
      <c r="L2" s="4"/>
      <c r="M2" s="4"/>
      <c r="N2" s="4"/>
      <c r="P2" s="108"/>
      <c r="Q2" s="108"/>
    </row>
    <row r="4" spans="1:17" s="5" customFormat="1" ht="18" customHeight="1" thickBot="1" x14ac:dyDescent="0.25">
      <c r="A4" s="109" t="s">
        <v>32</v>
      </c>
      <c r="B4" s="109"/>
      <c r="C4" s="109"/>
      <c r="D4" s="109"/>
      <c r="E4" s="109"/>
      <c r="F4" s="109"/>
      <c r="G4" s="110" t="str">
        <f>[1]NotaPedido!D3</f>
        <v>40 - Ministerio de Salud</v>
      </c>
      <c r="H4" s="110"/>
      <c r="I4" s="110"/>
      <c r="J4" s="110"/>
      <c r="K4" s="110"/>
      <c r="L4" s="110"/>
      <c r="M4" s="110"/>
      <c r="N4" s="110"/>
      <c r="O4" s="110"/>
      <c r="P4" s="110"/>
      <c r="Q4" s="110"/>
    </row>
    <row r="5" spans="1:17" s="5" customFormat="1" ht="18" customHeight="1" thickBot="1" x14ac:dyDescent="0.25">
      <c r="A5" s="111" t="s">
        <v>55</v>
      </c>
      <c r="B5" s="112"/>
      <c r="C5" s="112"/>
      <c r="D5" s="112"/>
      <c r="E5" s="112"/>
      <c r="F5" s="113"/>
      <c r="G5" s="110" t="str">
        <f>[1]NotaPedido!D4</f>
        <v>23 - Hospital Interzonal San Juan Bautista</v>
      </c>
      <c r="H5" s="110"/>
      <c r="I5" s="110"/>
      <c r="J5" s="110"/>
      <c r="K5" s="110"/>
      <c r="L5" s="110"/>
      <c r="M5" s="110"/>
      <c r="N5" s="110"/>
      <c r="O5" s="110"/>
      <c r="P5" s="110"/>
      <c r="Q5" s="110"/>
    </row>
    <row r="6" spans="1:17" s="5" customFormat="1" ht="18" customHeight="1" thickBot="1" x14ac:dyDescent="0.25">
      <c r="A6" s="111" t="s">
        <v>33</v>
      </c>
      <c r="B6" s="112"/>
      <c r="C6" s="112"/>
      <c r="D6" s="112"/>
      <c r="E6" s="112"/>
      <c r="F6" s="113"/>
      <c r="G6" s="110" t="str">
        <f>[1]NotaPedido!D5</f>
        <v>168 - Direccion Asistencial</v>
      </c>
      <c r="H6" s="110"/>
      <c r="I6" s="110"/>
      <c r="J6" s="110"/>
      <c r="K6" s="110"/>
      <c r="L6" s="110"/>
      <c r="M6" s="110"/>
      <c r="N6" s="110"/>
      <c r="O6" s="110"/>
      <c r="P6" s="110"/>
      <c r="Q6" s="110"/>
    </row>
    <row r="7" spans="1:17" s="5" customFormat="1" ht="18" customHeight="1" thickBot="1" x14ac:dyDescent="0.25">
      <c r="A7" s="111" t="s">
        <v>56</v>
      </c>
      <c r="B7" s="112"/>
      <c r="C7" s="112"/>
      <c r="D7" s="112"/>
      <c r="E7" s="112"/>
      <c r="F7" s="113"/>
      <c r="G7" s="110" t="str">
        <f>[1]NotaPedido!D6</f>
        <v>Servicio de Laboratorio Central</v>
      </c>
      <c r="H7" s="110"/>
      <c r="I7" s="110"/>
      <c r="J7" s="110"/>
      <c r="K7" s="110"/>
      <c r="L7" s="110"/>
      <c r="M7" s="110"/>
      <c r="N7" s="110"/>
      <c r="O7" s="110"/>
      <c r="P7" s="110"/>
      <c r="Q7" s="110"/>
    </row>
    <row r="8" spans="1:17" ht="18" customHeight="1" thickBot="1" x14ac:dyDescent="0.25">
      <c r="A8" s="114" t="s">
        <v>34</v>
      </c>
      <c r="B8" s="114"/>
      <c r="C8" s="114"/>
      <c r="D8" s="114"/>
      <c r="E8" s="114"/>
      <c r="F8" s="114"/>
      <c r="G8" s="114"/>
      <c r="H8" s="114"/>
      <c r="I8" s="114"/>
      <c r="J8" s="114"/>
      <c r="K8" s="114"/>
      <c r="L8" s="114"/>
      <c r="M8" s="114"/>
      <c r="N8" s="114"/>
      <c r="O8" s="114"/>
      <c r="P8" s="114"/>
      <c r="Q8" s="114"/>
    </row>
    <row r="9" spans="1:17" ht="18" customHeight="1" x14ac:dyDescent="0.2">
      <c r="A9" s="115" t="s">
        <v>35</v>
      </c>
      <c r="B9" s="115"/>
      <c r="C9" s="115"/>
      <c r="D9" s="115"/>
      <c r="E9" s="115"/>
      <c r="F9" s="115"/>
      <c r="G9" s="115"/>
      <c r="H9" s="115"/>
      <c r="I9" s="115"/>
      <c r="J9" s="115"/>
      <c r="K9" s="115"/>
      <c r="L9" s="115"/>
      <c r="M9" s="115"/>
      <c r="N9" s="115"/>
      <c r="O9" s="1"/>
      <c r="P9" s="1"/>
      <c r="Q9" s="6"/>
    </row>
    <row r="10" spans="1:17" ht="54.75" customHeight="1" x14ac:dyDescent="0.2">
      <c r="A10" s="116" t="str">
        <f>"Autorizo la realización de los  trámites correspondientes, a fin de proveer a  este Organismo los bienes y/o servicios que se detallan en Nota de Pedido N° " &amp; [1]NotaPedido!K1&amp;",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065 - 2021,  afectando la erogación resultante a los créditos presupuestarios aprobados a favor de esta Unidad Ejecutora, conforme al siguiente detalle:</v>
      </c>
      <c r="B10" s="116"/>
      <c r="C10" s="116"/>
      <c r="D10" s="116"/>
      <c r="E10" s="116"/>
      <c r="F10" s="116"/>
      <c r="G10" s="116"/>
      <c r="H10" s="116"/>
      <c r="I10" s="116"/>
      <c r="J10" s="116"/>
      <c r="K10" s="116"/>
      <c r="L10" s="116"/>
      <c r="M10" s="116"/>
      <c r="N10" s="116"/>
      <c r="O10" s="116"/>
      <c r="P10" s="116"/>
      <c r="Q10" s="116"/>
    </row>
    <row r="11" spans="1:17" ht="9" customHeight="1" x14ac:dyDescent="0.2">
      <c r="A11" s="7"/>
      <c r="B11" s="8"/>
      <c r="C11" s="8"/>
      <c r="D11" s="8"/>
      <c r="E11" s="8"/>
      <c r="F11" s="8"/>
      <c r="G11" s="9"/>
      <c r="H11" s="8"/>
      <c r="I11" s="8"/>
      <c r="J11" s="8"/>
      <c r="K11" s="8"/>
      <c r="L11" s="8"/>
      <c r="M11" s="8"/>
      <c r="N11" s="8"/>
      <c r="O11" s="8"/>
      <c r="P11" s="8"/>
      <c r="Q11" s="10"/>
    </row>
    <row r="12" spans="1:17" ht="15.75" customHeight="1" x14ac:dyDescent="0.2">
      <c r="A12" s="117" t="s">
        <v>36</v>
      </c>
      <c r="B12" s="117"/>
      <c r="C12" s="117"/>
      <c r="D12" s="117"/>
      <c r="E12" s="117"/>
      <c r="F12" s="117"/>
      <c r="G12" s="117"/>
      <c r="H12" s="117"/>
      <c r="I12" s="117"/>
      <c r="J12" s="117"/>
      <c r="K12" s="117"/>
      <c r="L12" s="117"/>
      <c r="M12" s="117"/>
      <c r="N12" s="117"/>
      <c r="O12" s="117"/>
      <c r="P12" s="117"/>
      <c r="Q12" s="117"/>
    </row>
    <row r="13" spans="1:17" ht="15.75" customHeight="1" x14ac:dyDescent="0.2">
      <c r="A13" s="118" t="s">
        <v>37</v>
      </c>
      <c r="B13" s="118"/>
      <c r="C13" s="118"/>
      <c r="D13" s="118"/>
      <c r="E13" s="118"/>
      <c r="F13" s="118"/>
      <c r="G13" s="118"/>
      <c r="H13" s="118"/>
      <c r="I13" s="118"/>
      <c r="J13" s="118"/>
      <c r="K13" s="118"/>
      <c r="L13" s="118"/>
      <c r="M13" s="118"/>
      <c r="N13" s="118"/>
      <c r="O13" s="119" t="s">
        <v>38</v>
      </c>
      <c r="P13" s="119"/>
      <c r="Q13" s="120" t="s">
        <v>39</v>
      </c>
    </row>
    <row r="14" spans="1:17" ht="15.75" customHeight="1" x14ac:dyDescent="0.2">
      <c r="A14" s="11" t="s">
        <v>40</v>
      </c>
      <c r="B14" s="12" t="s">
        <v>41</v>
      </c>
      <c r="C14" s="12" t="s">
        <v>42</v>
      </c>
      <c r="D14" s="12" t="s">
        <v>43</v>
      </c>
      <c r="E14" s="12" t="s">
        <v>44</v>
      </c>
      <c r="F14" s="12" t="s">
        <v>45</v>
      </c>
      <c r="G14" s="13" t="s">
        <v>46</v>
      </c>
      <c r="H14" s="12" t="s">
        <v>47</v>
      </c>
      <c r="I14" s="12" t="s">
        <v>48</v>
      </c>
      <c r="J14" s="12" t="s">
        <v>49</v>
      </c>
      <c r="K14" s="12" t="s">
        <v>49</v>
      </c>
      <c r="L14" s="12" t="s">
        <v>50</v>
      </c>
      <c r="M14" s="14" t="s">
        <v>51</v>
      </c>
      <c r="N14" s="15" t="s">
        <v>52</v>
      </c>
      <c r="O14" s="119"/>
      <c r="P14" s="119"/>
      <c r="Q14" s="120"/>
    </row>
    <row r="15" spans="1:17" ht="17.25" customHeight="1" x14ac:dyDescent="0.2">
      <c r="A15" s="61">
        <v>33</v>
      </c>
      <c r="B15" s="62"/>
      <c r="C15" s="62"/>
      <c r="D15" s="62">
        <v>2</v>
      </c>
      <c r="E15" s="62"/>
      <c r="F15" s="62">
        <v>4901</v>
      </c>
      <c r="G15" s="62">
        <v>3</v>
      </c>
      <c r="H15" s="63" t="s">
        <v>62</v>
      </c>
      <c r="I15" s="64">
        <v>2</v>
      </c>
      <c r="J15" s="64">
        <v>3</v>
      </c>
      <c r="K15" s="64">
        <v>4</v>
      </c>
      <c r="L15" s="62"/>
      <c r="M15" s="65">
        <v>1</v>
      </c>
      <c r="N15" s="63" t="s">
        <v>63</v>
      </c>
      <c r="O15" s="121" t="s">
        <v>104</v>
      </c>
      <c r="P15" s="121"/>
      <c r="Q15" s="16">
        <v>44360</v>
      </c>
    </row>
    <row r="16" spans="1:17" ht="17.25" customHeight="1" x14ac:dyDescent="0.2">
      <c r="A16" s="17">
        <v>33</v>
      </c>
      <c r="B16" s="18"/>
      <c r="C16" s="18"/>
      <c r="D16" s="18">
        <v>2</v>
      </c>
      <c r="E16" s="18"/>
      <c r="F16" s="20">
        <v>4901</v>
      </c>
      <c r="G16" s="18">
        <v>3</v>
      </c>
      <c r="H16" s="59" t="s">
        <v>62</v>
      </c>
      <c r="I16" s="18">
        <v>2</v>
      </c>
      <c r="J16" s="18">
        <v>9</v>
      </c>
      <c r="K16" s="18">
        <v>5</v>
      </c>
      <c r="L16" s="18"/>
      <c r="M16" s="19">
        <v>1</v>
      </c>
      <c r="N16" s="60" t="s">
        <v>63</v>
      </c>
      <c r="O16" s="122" t="s">
        <v>64</v>
      </c>
      <c r="P16" s="122"/>
      <c r="Q16" s="21">
        <f>Q23-Q15</f>
        <v>1279089</v>
      </c>
    </row>
    <row r="17" spans="1:19" ht="17.25" customHeight="1" x14ac:dyDescent="0.2">
      <c r="A17" s="17"/>
      <c r="B17" s="18"/>
      <c r="C17" s="18"/>
      <c r="D17" s="18"/>
      <c r="E17" s="18"/>
      <c r="F17" s="20"/>
      <c r="G17" s="18"/>
      <c r="H17" s="59"/>
      <c r="I17" s="18"/>
      <c r="J17" s="18"/>
      <c r="K17" s="18"/>
      <c r="L17" s="18"/>
      <c r="M17" s="19"/>
      <c r="N17" s="60"/>
      <c r="O17" s="122"/>
      <c r="P17" s="122"/>
      <c r="Q17" s="21"/>
      <c r="S17" s="66"/>
    </row>
    <row r="18" spans="1:19" ht="17.25" customHeight="1" x14ac:dyDescent="0.2">
      <c r="A18" s="17"/>
      <c r="B18" s="18"/>
      <c r="C18" s="18"/>
      <c r="D18" s="18"/>
      <c r="E18" s="18"/>
      <c r="F18" s="18"/>
      <c r="G18" s="18"/>
      <c r="H18" s="59"/>
      <c r="I18" s="18"/>
      <c r="J18" s="18"/>
      <c r="K18" s="18"/>
      <c r="L18" s="18"/>
      <c r="M18" s="19"/>
      <c r="N18" s="60"/>
      <c r="O18" s="123"/>
      <c r="P18" s="124"/>
      <c r="Q18" s="21"/>
    </row>
    <row r="19" spans="1:19" ht="17.25" customHeight="1" x14ac:dyDescent="0.2">
      <c r="A19" s="17"/>
      <c r="B19" s="18"/>
      <c r="C19" s="18"/>
      <c r="D19" s="18"/>
      <c r="E19" s="18"/>
      <c r="F19" s="20"/>
      <c r="G19" s="18"/>
      <c r="H19" s="18"/>
      <c r="I19" s="18"/>
      <c r="J19" s="18"/>
      <c r="K19" s="18"/>
      <c r="L19" s="18"/>
      <c r="M19" s="19"/>
      <c r="N19" s="20"/>
      <c r="O19" s="124"/>
      <c r="P19" s="124"/>
      <c r="Q19" s="21"/>
    </row>
    <row r="20" spans="1:19" ht="17.25" customHeight="1" x14ac:dyDescent="0.2">
      <c r="A20" s="17"/>
      <c r="B20" s="18"/>
      <c r="C20" s="18"/>
      <c r="D20" s="18"/>
      <c r="E20" s="18"/>
      <c r="F20" s="20"/>
      <c r="G20" s="18"/>
      <c r="H20" s="18"/>
      <c r="I20" s="18"/>
      <c r="J20" s="18"/>
      <c r="K20" s="18"/>
      <c r="L20" s="18"/>
      <c r="M20" s="19"/>
      <c r="N20" s="20"/>
      <c r="O20" s="124"/>
      <c r="P20" s="124"/>
      <c r="Q20" s="21"/>
    </row>
    <row r="21" spans="1:19" ht="17.25" customHeight="1" x14ac:dyDescent="0.2">
      <c r="A21" s="22"/>
      <c r="B21" s="23"/>
      <c r="C21" s="23"/>
      <c r="D21" s="23"/>
      <c r="E21" s="23"/>
      <c r="F21" s="24"/>
      <c r="G21" s="23"/>
      <c r="H21" s="23"/>
      <c r="I21" s="23"/>
      <c r="J21" s="23"/>
      <c r="K21" s="23"/>
      <c r="L21" s="23"/>
      <c r="M21" s="25"/>
      <c r="N21" s="26"/>
      <c r="O21" s="130"/>
      <c r="P21" s="130"/>
      <c r="Q21" s="21"/>
      <c r="R21" s="1"/>
    </row>
    <row r="22" spans="1:19" ht="17.25" customHeight="1" thickBot="1" x14ac:dyDescent="0.25">
      <c r="A22" s="27"/>
      <c r="B22" s="28"/>
      <c r="C22" s="28"/>
      <c r="D22" s="28"/>
      <c r="E22" s="28"/>
      <c r="F22" s="28"/>
      <c r="G22" s="28"/>
      <c r="H22" s="28"/>
      <c r="I22" s="28"/>
      <c r="J22" s="28"/>
      <c r="K22" s="28"/>
      <c r="L22" s="28"/>
      <c r="M22" s="29"/>
      <c r="N22" s="28"/>
      <c r="O22" s="131"/>
      <c r="P22" s="131"/>
      <c r="Q22" s="30"/>
    </row>
    <row r="23" spans="1:19" ht="28.9" customHeight="1" thickBot="1" x14ac:dyDescent="0.25">
      <c r="A23" s="132" t="s">
        <v>117</v>
      </c>
      <c r="B23" s="132"/>
      <c r="C23" s="132"/>
      <c r="D23" s="132"/>
      <c r="E23" s="132"/>
      <c r="F23" s="132"/>
      <c r="G23" s="132"/>
      <c r="H23" s="132"/>
      <c r="I23" s="132"/>
      <c r="J23" s="132"/>
      <c r="K23" s="132"/>
      <c r="L23" s="132"/>
      <c r="M23" s="132"/>
      <c r="N23" s="132"/>
      <c r="O23" s="132"/>
      <c r="P23" s="132"/>
      <c r="Q23" s="31">
        <v>1323449</v>
      </c>
    </row>
    <row r="24" spans="1:19" ht="18" customHeight="1" thickBot="1" x14ac:dyDescent="0.25">
      <c r="A24" s="133"/>
      <c r="B24" s="133"/>
      <c r="C24" s="133"/>
      <c r="D24" s="133"/>
      <c r="E24" s="133"/>
      <c r="F24" s="133"/>
      <c r="G24" s="133"/>
      <c r="H24" s="133"/>
      <c r="I24" s="133"/>
      <c r="J24" s="133"/>
      <c r="K24" s="133"/>
      <c r="L24" s="133"/>
      <c r="M24" s="133"/>
      <c r="N24" s="133"/>
      <c r="O24" s="133"/>
      <c r="P24" s="133"/>
      <c r="Q24" s="133"/>
    </row>
    <row r="25" spans="1:19" ht="17.25" customHeight="1" thickBot="1" x14ac:dyDescent="0.25">
      <c r="A25" s="125" t="s">
        <v>53</v>
      </c>
      <c r="B25" s="126"/>
      <c r="C25" s="126"/>
      <c r="D25" s="126"/>
      <c r="E25" s="126"/>
      <c r="F25" s="127"/>
      <c r="G25" s="128"/>
      <c r="H25" s="128"/>
      <c r="I25" s="128"/>
      <c r="J25" s="128"/>
      <c r="K25" s="128"/>
      <c r="L25" s="128"/>
      <c r="M25" s="128"/>
      <c r="N25" s="128"/>
      <c r="O25" s="128"/>
      <c r="P25" s="128"/>
      <c r="Q25" s="128"/>
    </row>
    <row r="26" spans="1:19" ht="18" customHeight="1" thickBot="1" x14ac:dyDescent="0.25">
      <c r="A26" s="129" t="str">
        <f>"Para la "&amp; [1]NotaPedido!D8 &amp;" para ser destinados al " &amp; [1]NotaPedido!D6 &amp;" del HISJB del Ministerio de Salud."</f>
        <v>Para la Adquisición de Descartables y Otros para ser destinados al Servicio de Laboratorio Central del HISJB del Ministerio de Salud.</v>
      </c>
      <c r="B26" s="129"/>
      <c r="C26" s="129"/>
      <c r="D26" s="129"/>
      <c r="E26" s="129"/>
      <c r="F26" s="129"/>
      <c r="G26" s="129"/>
      <c r="H26" s="129"/>
      <c r="I26" s="129"/>
      <c r="J26" s="129"/>
      <c r="K26" s="129"/>
      <c r="L26" s="129"/>
      <c r="M26" s="129"/>
      <c r="N26" s="129"/>
      <c r="O26" s="129"/>
      <c r="P26" s="129"/>
      <c r="Q26" s="129"/>
    </row>
    <row r="27" spans="1:19" ht="15" customHeight="1" x14ac:dyDescent="0.2">
      <c r="A27" s="129"/>
      <c r="B27" s="129"/>
      <c r="C27" s="129"/>
      <c r="D27" s="129"/>
      <c r="E27" s="129"/>
      <c r="F27" s="129"/>
      <c r="G27" s="129"/>
      <c r="H27" s="129"/>
      <c r="I27" s="129"/>
      <c r="J27" s="129"/>
      <c r="K27" s="129"/>
      <c r="L27" s="129"/>
      <c r="M27" s="129"/>
      <c r="N27" s="129"/>
      <c r="O27" s="129"/>
      <c r="P27" s="129"/>
      <c r="Q27" s="129"/>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22" right="0.23"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Usuario</cp:lastModifiedBy>
  <cp:revision>2</cp:revision>
  <cp:lastPrinted>2021-06-10T15:48:31Z</cp:lastPrinted>
  <dcterms:created xsi:type="dcterms:W3CDTF">2020-07-17T23:44:49Z</dcterms:created>
  <dcterms:modified xsi:type="dcterms:W3CDTF">2021-07-07T14:17:27Z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