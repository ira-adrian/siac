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SALUD\"/>
    </mc:Choice>
  </mc:AlternateContent>
  <xr:revisionPtr revIDLastSave="0" documentId="8_{77195C25-ED30-4EA8-86FB-7DB05B15365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NECESIDADES TRIMESTRALES" sheetId="1" r:id="rId1"/>
    <sheet name="NOTA DE PEDIDO" sheetId="2" r:id="rId2"/>
    <sheet name="AUTORIZACION PARA GASTAR" sheetId="3" r:id="rId3"/>
  </sheets>
  <externalReferences>
    <externalReference r:id="rId4"/>
  </externalReferences>
  <definedNames>
    <definedName name="_xlnm.Print_Area" localSheetId="2">'AUTORIZACION PARA GASTAR'!$A$1:$Q$29</definedName>
    <definedName name="_xlnm.Print_Area" localSheetId="1">'NOTA DE PEDIDO'!$A$1:$K$13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G5" i="3"/>
  <c r="G6" i="3"/>
  <c r="G7" i="3"/>
  <c r="J12" i="2" l="1"/>
  <c r="J13" i="2" s="1"/>
  <c r="Q15" i="3" s="1"/>
  <c r="I12" i="2"/>
  <c r="C12" i="2"/>
  <c r="B12" i="2"/>
  <c r="Q23" i="3"/>
  <c r="D1" i="3"/>
  <c r="D3" i="2"/>
  <c r="G4" i="3" s="1"/>
  <c r="I10" i="1"/>
</calcChain>
</file>

<file path=xl/sharedStrings.xml><?xml version="1.0" encoding="utf-8"?>
<sst xmlns="http://schemas.openxmlformats.org/spreadsheetml/2006/main" count="76" uniqueCount="69">
  <si>
    <t>JURISDICCION:</t>
  </si>
  <si>
    <t>040 - Ministerio de Salud</t>
  </si>
  <si>
    <t xml:space="preserve">SAF N°: </t>
  </si>
  <si>
    <t>EJERCICIO:</t>
  </si>
  <si>
    <t>TRIMESTRE:</t>
  </si>
  <si>
    <t>ELEMENTOS DE LIMPIEZA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</si>
  <si>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</si>
  <si>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</si>
  <si>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</si>
  <si>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</si>
  <si>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</si>
  <si>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</si>
  <si>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</si>
  <si>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</si>
  <si>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</si>
  <si>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PROD. MEDICO/FARMACEUTICOS/LAB</t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</si>
  <si>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</si>
  <si>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</si>
  <si>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</si>
  <si>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</si>
  <si>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</si>
  <si>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</si>
  <si>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</si>
  <si>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</si>
  <si>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</si>
  <si>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</si>
  <si>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</si>
  <si>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</si>
  <si>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</si>
  <si>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</si>
  <si>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</si>
  <si>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</si>
  <si>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</si>
  <si>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</si>
  <si>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</si>
  <si>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</si>
  <si>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</si>
  <si>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</si>
  <si>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</si>
  <si>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</si>
  <si>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</si>
  <si>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</si>
  <si>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</si>
  <si>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</si>
  <si>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</si>
  <si>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</si>
  <si>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</si>
  <si>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</si>
  <si>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</si>
  <si>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</si>
  <si>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</si>
  <si>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</si>
  <si>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</si>
  <si>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</si>
  <si>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</si>
  <si>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</si>
  <si>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Product. Farmaceut. Y Medicinales</t>
  </si>
  <si>
    <t>011- Secretaria de Administracion- Ministerio de Salud</t>
  </si>
  <si>
    <t>CUADRO DE PEDIDO ACUERDO MARCO</t>
  </si>
  <si>
    <t>Adquisición de ANTISEPTICOS Y DESINFECTANTES- Acuerdo Marco 100-4-AM22</t>
  </si>
  <si>
    <t>011 - Direccion Provincial de Administracion - MS</t>
  </si>
  <si>
    <t>2.5.2-711.1</t>
  </si>
  <si>
    <t>ALCOHOL USO MEDICINAL; PUREZA: 96 %, PRESENTACION: ENVASE X 500 CM3, CAPACIDAD: 500 CM3</t>
  </si>
  <si>
    <t>UNIDAD</t>
  </si>
  <si>
    <t>Direccion Provincial Banco de Sangre</t>
  </si>
  <si>
    <t>3 meses</t>
  </si>
  <si>
    <t>Autorizo la realización de los trámites correspondientes los bienes y/o servicios que se detallan en la Nota de Pedido Nº DOCFI-2022-2216163-CAT-SASP#MS afectando la erogación resultante a los créditos presupuestarios aprobados a favor de esta Unidad Ejecutora, conforme al siguiente detalle:</t>
  </si>
  <si>
    <t>Costo total estimado: PESOS OCHENTA Y CUATRO MIL QUINIENTOS CON 00/100.</t>
  </si>
  <si>
    <t>TOTAL DE PESOS: OCHENTA Y CUATRO MIL QUINIENTOS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</si>
</sst>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&quot;$&quot;\ #,##0.00"/>
    <numFmt numFmtId="166" formatCode="[$$-2C0A]\ #,##0.00;[$$-2C0A]&quot; -&quot;#,##0.00"/>
    <numFmt numFmtId="167" formatCode="[$$-2C0A]\ #,##0.00"/>
    <numFmt numFmtId="168" formatCode="dd\-mm\-yy;@"/>
    <numFmt numFmtId="169" formatCode="_(\$* #,##0.00_);_(\$* \(#,##0.00\);_(\$* \-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0D9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  <xf numFmtId="169" fontId="17" fillId="0" borderId="0" applyBorder="0" applyProtection="0"/>
  </cellStyleXfs>
  <cellXfs count="126">
    <xf numFmtId="0" fontId="0" fillId="0" borderId="0" xfId="0"/>
    <xf numFmtId="0" fontId="3" fillId="2" borderId="0" xfId="0" applyFont="1" applyFill="1"/>
    <xf numFmtId="164" fontId="3" fillId="2" borderId="0" xfId="0" applyNumberFormat="1" applyFont="1" applyFill="1"/>
    <xf numFmtId="0" fontId="6" fillId="3" borderId="0" xfId="0" applyFont="1" applyFill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left" wrapText="1"/>
    </xf>
    <xf numFmtId="0" fontId="0" fillId="0" borderId="0" xfId="0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left" vertical="center"/>
    </xf>
    <xf numFmtId="164" fontId="10" fillId="3" borderId="1" xfId="1" applyNumberFormat="1" applyFont="1" applyFill="1" applyBorder="1" applyAlignment="1" applyProtection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wrapText="1" indent="1"/>
    </xf>
    <xf numFmtId="0" fontId="16" fillId="2" borderId="12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 wrapText="1"/>
    </xf>
    <xf numFmtId="3" fontId="16" fillId="2" borderId="12" xfId="0" applyNumberFormat="1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3" fontId="18" fillId="0" borderId="0" xfId="0" applyNumberFormat="1" applyFont="1"/>
    <xf numFmtId="168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/>
    <xf numFmtId="0" fontId="23" fillId="2" borderId="0" xfId="0" applyFont="1" applyFill="1" applyBorder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9" fillId="2" borderId="42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164" fontId="9" fillId="2" borderId="46" xfId="0" applyNumberFormat="1" applyFont="1" applyFill="1" applyBorder="1" applyAlignment="1">
      <alignment horizontal="center" vertical="center" wrapText="1"/>
    </xf>
    <xf numFmtId="165" fontId="10" fillId="2" borderId="2" xfId="1" applyNumberFormat="1" applyFont="1" applyFill="1" applyBorder="1" applyAlignment="1">
      <alignment horizontal="center" vertical="center"/>
    </xf>
    <xf numFmtId="166" fontId="16" fillId="2" borderId="12" xfId="1" applyNumberFormat="1" applyFont="1" applyFill="1" applyBorder="1" applyAlignment="1" applyProtection="1">
      <alignment horizontal="center" vertical="center" wrapText="1"/>
    </xf>
    <xf numFmtId="0" fontId="7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center" wrapText="1"/>
    </xf>
    <xf numFmtId="164" fontId="3" fillId="0" borderId="0" xfId="0" applyNumberFormat="1" applyFont="1" applyFill="1"/>
    <xf numFmtId="0" fontId="3" fillId="0" borderId="0" xfId="0" applyFont="1" applyFill="1"/>
    <xf numFmtId="0" fontId="0" fillId="0" borderId="0" xfId="0" applyFill="1"/>
    <xf numFmtId="0" fontId="6" fillId="0" borderId="0" xfId="0" applyFont="1" applyFill="1" applyAlignment="1">
      <alignment horizontal="left" wrapText="1" indent="1"/>
    </xf>
    <xf numFmtId="0" fontId="8" fillId="0" borderId="0" xfId="0" applyFont="1" applyFill="1" applyAlignment="1">
      <alignment horizontal="left" wrapText="1"/>
    </xf>
    <xf numFmtId="0" fontId="0" fillId="0" borderId="32" xfId="0" applyFill="1" applyBorder="1" applyAlignment="1">
      <alignment horizontal="center" vertical="center"/>
    </xf>
    <xf numFmtId="0" fontId="0" fillId="0" borderId="3" xfId="0" applyFill="1" applyBorder="1"/>
    <xf numFmtId="0" fontId="0" fillId="0" borderId="20" xfId="0" applyFill="1" applyBorder="1"/>
    <xf numFmtId="0" fontId="0" fillId="0" borderId="5" xfId="0" applyFill="1" applyBorder="1"/>
    <xf numFmtId="0" fontId="0" fillId="0" borderId="5" xfId="0" applyFill="1" applyBorder="1" applyAlignment="1">
      <alignment horizontal="left"/>
    </xf>
    <xf numFmtId="0" fontId="0" fillId="0" borderId="21" xfId="0" applyFill="1" applyBorder="1"/>
    <xf numFmtId="0" fontId="22" fillId="0" borderId="24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center" vertical="center"/>
    </xf>
    <xf numFmtId="0" fontId="22" fillId="0" borderId="25" xfId="0" applyFont="1" applyFill="1" applyBorder="1" applyAlignment="1">
      <alignment horizontal="left" vertical="center"/>
    </xf>
    <xf numFmtId="0" fontId="22" fillId="0" borderId="26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10" fillId="0" borderId="28" xfId="0" applyFont="1" applyFill="1" applyBorder="1" applyAlignment="1">
      <alignment horizontal="center" vertical="center"/>
    </xf>
    <xf numFmtId="166" fontId="0" fillId="0" borderId="30" xfId="5" applyNumberFormat="1" applyFont="1" applyFill="1" applyBorder="1" applyAlignment="1" applyProtection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166" fontId="0" fillId="0" borderId="35" xfId="5" applyNumberFormat="1" applyFont="1" applyFill="1" applyBorder="1" applyAlignment="1" applyProtection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32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34" xfId="0" applyFont="1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166" fontId="0" fillId="0" borderId="39" xfId="5" applyNumberFormat="1" applyFont="1" applyFill="1" applyBorder="1" applyAlignment="1" applyProtection="1">
      <alignment horizontal="center" vertical="center"/>
    </xf>
    <xf numFmtId="166" fontId="22" fillId="0" borderId="40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vertical="center"/>
    </xf>
    <xf numFmtId="0" fontId="13" fillId="2" borderId="47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3" fillId="0" borderId="14" xfId="0" applyFont="1" applyFill="1" applyBorder="1" applyAlignment="1">
      <alignment vertical="center"/>
    </xf>
    <xf numFmtId="0" fontId="13" fillId="0" borderId="47" xfId="0" applyFont="1" applyFill="1" applyBorder="1" applyAlignment="1">
      <alignment vertical="center"/>
    </xf>
    <xf numFmtId="0" fontId="13" fillId="0" borderId="15" xfId="0" applyFont="1" applyFill="1" applyBorder="1" applyAlignment="1">
      <alignment vertical="center"/>
    </xf>
    <xf numFmtId="0" fontId="13" fillId="0" borderId="4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6" fillId="3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 indent="1"/>
    </xf>
    <xf numFmtId="0" fontId="14" fillId="0" borderId="8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4" fillId="2" borderId="6" xfId="0" applyFont="1" applyFill="1" applyBorder="1" applyAlignment="1">
      <alignment horizontal="left" vertical="center" wrapText="1"/>
    </xf>
    <xf numFmtId="0" fontId="14" fillId="0" borderId="6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5" fillId="2" borderId="11" xfId="0" applyFont="1" applyFill="1" applyBorder="1" applyAlignment="1">
      <alignment horizontal="center" vertical="center" wrapText="1"/>
    </xf>
    <xf numFmtId="167" fontId="14" fillId="2" borderId="14" xfId="0" applyNumberFormat="1" applyFont="1" applyFill="1" applyBorder="1" applyAlignment="1">
      <alignment horizontal="center" vertical="center"/>
    </xf>
    <xf numFmtId="167" fontId="14" fillId="2" borderId="15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 wrapText="1" indent="1"/>
    </xf>
    <xf numFmtId="0" fontId="15" fillId="2" borderId="9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left" vertical="center" wrapText="1"/>
    </xf>
    <xf numFmtId="0" fontId="16" fillId="0" borderId="16" xfId="0" applyFont="1" applyFill="1" applyBorder="1" applyAlignment="1">
      <alignment horizontal="left" vertical="center" wrapText="1"/>
    </xf>
    <xf numFmtId="0" fontId="16" fillId="0" borderId="17" xfId="0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left" indent="1"/>
    </xf>
    <xf numFmtId="0" fontId="0" fillId="0" borderId="14" xfId="0" applyBorder="1" applyAlignment="1">
      <alignment horizontal="center"/>
    </xf>
    <xf numFmtId="3" fontId="18" fillId="0" borderId="15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7" fillId="0" borderId="4" xfId="0" applyFont="1" applyBorder="1"/>
    <xf numFmtId="0" fontId="10" fillId="0" borderId="28" xfId="0" applyFont="1" applyFill="1" applyBorder="1" applyAlignment="1">
      <alignment horizontal="left" vertical="center" wrapText="1"/>
    </xf>
    <xf numFmtId="0" fontId="0" fillId="0" borderId="28" xfId="0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/>
    </xf>
    <xf numFmtId="0" fontId="20" fillId="0" borderId="18" xfId="0" applyFont="1" applyFill="1" applyBorder="1"/>
    <xf numFmtId="0" fontId="20" fillId="0" borderId="19" xfId="0" applyFont="1" applyFill="1" applyBorder="1" applyAlignment="1">
      <alignment horizontal="left" vertical="center" wrapText="1" indent="1"/>
    </xf>
    <xf numFmtId="0" fontId="22" fillId="0" borderId="22" xfId="0" applyFont="1" applyFill="1" applyBorder="1" applyAlignment="1">
      <alignment horizontal="center" vertical="center"/>
    </xf>
    <xf numFmtId="0" fontId="22" fillId="0" borderId="4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left" vertical="center" wrapText="1" indent="1"/>
    </xf>
    <xf numFmtId="0" fontId="0" fillId="0" borderId="34" xfId="0" applyFill="1" applyBorder="1" applyAlignment="1">
      <alignment horizontal="left" vertical="center"/>
    </xf>
    <xf numFmtId="0" fontId="0" fillId="0" borderId="37" xfId="0" applyFill="1" applyBorder="1" applyAlignment="1">
      <alignment horizontal="left" vertical="center"/>
    </xf>
    <xf numFmtId="0" fontId="18" fillId="0" borderId="40" xfId="0" applyFont="1" applyFill="1" applyBorder="1" applyAlignment="1">
      <alignment horizontal="left" vertical="center" wrapText="1"/>
    </xf>
    <xf numFmtId="0" fontId="0" fillId="0" borderId="22" xfId="0" applyFill="1" applyBorder="1"/>
    <xf numFmtId="0" fontId="18" fillId="0" borderId="14" xfId="0" applyFont="1" applyFill="1" applyBorder="1" applyAlignment="1">
      <alignment vertical="center" wrapText="1"/>
    </xf>
    <xf numFmtId="0" fontId="18" fillId="0" borderId="41" xfId="0" applyFont="1" applyFill="1" applyBorder="1" applyAlignment="1">
      <alignment vertical="center" wrapText="1"/>
    </xf>
    <xf numFmtId="0" fontId="18" fillId="0" borderId="10" xfId="0" applyFont="1" applyFill="1" applyBorder="1" applyAlignment="1">
      <alignment vertical="center" wrapText="1"/>
    </xf>
    <xf numFmtId="0" fontId="20" fillId="0" borderId="23" xfId="0" applyFont="1" applyFill="1" applyBorder="1" applyAlignment="1">
      <alignment vertical="center" wrapText="1"/>
    </xf>
  </cellXfs>
  <cellStyles count="6">
    <cellStyle name="Moneda" xfId="1" builtinId="4"/>
    <cellStyle name="Moneda_AUTORIZACION Y NOTA DE PEDIDO" xfId="5" xr:uid="{00000000-0005-0000-0000-000001000000}"/>
    <cellStyle name="Normal" xfId="0" builtinId="0"/>
    <cellStyle name="Normal 2 2" xfId="3" xr:uid="{00000000-0005-0000-0000-000003000000}"/>
    <cellStyle name="Normal 2 3" xfId="2" xr:uid="{00000000-0005-0000-0000-000004000000}"/>
    <cellStyle name="Normal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%20unidad/COMPARTIDA/DIRECCION%20DE%20PLANIFICACION/VADEMECUM/PROGRAMACION%201ER%20TRIMESTRE%202022/DESCARTABLES/ANTISEPTIC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 refreshError="1">
        <row r="4">
          <cell r="C4" t="str">
            <v>040 - Ministerio de Salud</v>
          </cell>
        </row>
        <row r="6">
          <cell r="C6">
            <v>2022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opLeftCell="A4" workbookViewId="0">
      <selection activeCell="I10" sqref="I10"/>
    </sheetView>
  </sheetViews>
  <sheetFormatPr baseColWidth="10" defaultRowHeight="15" x14ac:dyDescent="0.25"/>
  <cols>
    <col min="1" max="1" width="4.5703125" customWidth="1"/>
    <col min="2" max="2" width="14" customWidth="1"/>
    <col min="3" max="3" width="13.28515625" customWidth="1"/>
    <col min="4" max="4" width="8.42578125" customWidth="1"/>
    <col min="5" max="5" width="93.42578125" customWidth="1"/>
    <col min="6" max="6" width="11"/>
    <col min="7" max="7" width="10.42578125" bestFit="1" customWidth="1"/>
    <col min="8" max="8" width="15.7109375" customWidth="1"/>
    <col min="9" max="9" width="18.5703125" customWidth="1"/>
    <col min="10" max="10" width="32.5703125" customWidth="1"/>
    <col min="11" max="11" width="11"/>
    <col min="12" max="12" width="12" bestFit="1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2"/>
      <c r="J1" s="1"/>
      <c r="K1" s="1"/>
      <c r="L1" s="1"/>
      <c r="M1" s="1"/>
      <c r="N1" s="1"/>
      <c r="O1" s="1"/>
      <c r="P1" s="1"/>
      <c r="Q1" s="1"/>
    </row>
    <row r="2" spans="1:17" ht="27" x14ac:dyDescent="0.35">
      <c r="A2" s="1"/>
      <c r="B2" s="85" t="s">
        <v>58</v>
      </c>
      <c r="C2" s="85"/>
      <c r="D2" s="85"/>
      <c r="E2" s="85"/>
      <c r="F2" s="85"/>
      <c r="G2" s="85"/>
      <c r="H2" s="85"/>
      <c r="I2" s="2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2"/>
      <c r="J3" s="1"/>
      <c r="K3" s="1"/>
      <c r="L3" s="1"/>
      <c r="M3" s="1"/>
      <c r="N3" s="1"/>
      <c r="O3" s="1"/>
      <c r="P3" s="1"/>
      <c r="Q3" s="1"/>
    </row>
    <row r="4" spans="1:17" ht="15.75" x14ac:dyDescent="0.25">
      <c r="A4" s="84" t="s">
        <v>0</v>
      </c>
      <c r="B4" s="84"/>
      <c r="C4" s="86" t="s">
        <v>1</v>
      </c>
      <c r="D4" s="86"/>
      <c r="E4" s="86"/>
      <c r="F4" s="4"/>
      <c r="G4" s="5"/>
      <c r="H4" s="4"/>
      <c r="I4" s="2"/>
      <c r="J4" s="1"/>
      <c r="K4" s="1"/>
      <c r="L4" s="1"/>
      <c r="M4" s="1"/>
      <c r="N4" s="1"/>
      <c r="O4" s="1"/>
      <c r="P4" s="1"/>
      <c r="Q4" s="1"/>
    </row>
    <row r="5" spans="1:17" s="43" customFormat="1" ht="15.75" x14ac:dyDescent="0.25">
      <c r="A5" s="83" t="s">
        <v>2</v>
      </c>
      <c r="B5" s="83"/>
      <c r="C5" s="87" t="s">
        <v>60</v>
      </c>
      <c r="D5" s="87"/>
      <c r="E5" s="87"/>
      <c r="F5" s="39"/>
      <c r="G5" s="40"/>
      <c r="H5" s="39"/>
      <c r="I5" s="41"/>
      <c r="J5" s="42"/>
      <c r="K5" s="42"/>
      <c r="L5" s="42"/>
      <c r="M5" s="42"/>
      <c r="N5" s="42"/>
      <c r="O5" s="42"/>
      <c r="P5" s="42"/>
      <c r="Q5" s="42"/>
    </row>
    <row r="6" spans="1:17" ht="15.75" x14ac:dyDescent="0.25">
      <c r="A6" s="84" t="s">
        <v>3</v>
      </c>
      <c r="B6" s="84"/>
      <c r="C6" s="3">
        <v>2022</v>
      </c>
      <c r="D6" s="6"/>
      <c r="E6" s="6"/>
      <c r="F6" s="4"/>
      <c r="G6" s="5"/>
      <c r="H6" s="4"/>
      <c r="I6" s="2"/>
      <c r="J6" s="1"/>
      <c r="K6" s="1"/>
      <c r="L6" s="1"/>
      <c r="M6" s="1"/>
      <c r="N6" s="1"/>
      <c r="O6" s="1"/>
      <c r="P6" s="1"/>
      <c r="Q6" s="1"/>
    </row>
    <row r="7" spans="1:17" s="43" customFormat="1" ht="15.75" x14ac:dyDescent="0.25">
      <c r="A7" s="83" t="s">
        <v>4</v>
      </c>
      <c r="B7" s="83"/>
      <c r="C7" s="44">
        <v>4</v>
      </c>
      <c r="D7" s="45"/>
      <c r="E7" s="45"/>
      <c r="F7" s="39"/>
      <c r="G7" s="40"/>
      <c r="H7" s="39"/>
      <c r="I7" s="41"/>
      <c r="J7" s="42"/>
      <c r="K7" s="42"/>
      <c r="L7" s="42"/>
      <c r="M7" s="42"/>
      <c r="N7" s="42"/>
      <c r="O7" s="42"/>
      <c r="P7" s="42"/>
      <c r="Q7" s="42"/>
    </row>
    <row r="8" spans="1:17" x14ac:dyDescent="0.25">
      <c r="A8" s="1"/>
      <c r="B8" s="4"/>
      <c r="C8" s="5"/>
      <c r="D8" s="4"/>
      <c r="E8" s="4"/>
      <c r="F8" s="4"/>
      <c r="G8" s="5"/>
      <c r="H8" s="4"/>
      <c r="I8" s="2"/>
      <c r="J8" s="1"/>
      <c r="K8" s="1"/>
      <c r="L8" s="7"/>
      <c r="M8" s="7"/>
      <c r="N8" s="1"/>
      <c r="O8" t="s">
        <v>5</v>
      </c>
      <c r="P8" s="1"/>
      <c r="Q8" s="1"/>
    </row>
    <row r="9" spans="1:17" ht="38.25" x14ac:dyDescent="0.25">
      <c r="A9" s="31" t="s">
        <v>6</v>
      </c>
      <c r="B9" s="32" t="s">
        <v>7</v>
      </c>
      <c r="C9" s="32" t="s">
        <v>8</v>
      </c>
      <c r="D9" s="33" t="s">
        <v>9</v>
      </c>
      <c r="E9" s="34" t="s">
        <v>10</v>
      </c>
      <c r="F9" s="35" t="s">
        <v>11</v>
      </c>
      <c r="G9" s="32" t="s">
        <v>12</v>
      </c>
      <c r="H9" s="33" t="s">
        <v>13</v>
      </c>
      <c r="I9" s="36" t="s">
        <v>14</v>
      </c>
      <c r="J9" s="28"/>
      <c r="K9" s="29"/>
      <c r="L9" s="29"/>
      <c r="M9" s="1"/>
      <c r="N9" s="1"/>
      <c r="O9" s="1"/>
      <c r="P9" s="1"/>
      <c r="Q9" s="1"/>
    </row>
    <row r="10" spans="1:17" ht="60" x14ac:dyDescent="0.25">
      <c r="A10" s="8">
        <v>6</v>
      </c>
      <c r="B10" s="13" t="s">
        <v>61</v>
      </c>
      <c r="C10" s="12" t="s">
        <v>15</v>
      </c>
      <c r="D10" s="9">
        <v>252</v>
      </c>
      <c r="E10" s="14" t="s">
        <v>62</v>
      </c>
      <c r="F10" s="8" t="s">
        <v>63</v>
      </c>
      <c r="G10" s="10">
        <v>500</v>
      </c>
      <c r="H10" s="37">
        <v>169</v>
      </c>
      <c r="I10" s="11">
        <f t="shared" ref="I10" si="0">+G10*H10</f>
        <v>84500</v>
      </c>
      <c r="J10" s="30"/>
      <c r="K10" s="28"/>
      <c r="L10" s="28"/>
      <c r="M10" s="1"/>
      <c r="N10" s="1"/>
      <c r="O10" s="1"/>
      <c r="P10" s="1"/>
      <c r="Q10" s="1"/>
    </row>
  </sheetData>
  <mergeCells count="7">
    <mergeCell ref="A7:B7"/>
    <mergeCell ref="A6:B6"/>
    <mergeCell ref="B2:H2"/>
    <mergeCell ref="A4:B4"/>
    <mergeCell ref="C4:E4"/>
    <mergeCell ref="A5:B5"/>
    <mergeCell ref="C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opLeftCell="A10" workbookViewId="0">
      <selection activeCell="A13" sqref="A13:I1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customWidth="1"/>
    <col min="11" max="11" width="15.5703125" customWidth="1"/>
  </cols>
  <sheetData>
    <row r="1" spans="1:11" ht="16.5" thickBot="1" x14ac:dyDescent="0.3">
      <c r="A1" s="89" t="s">
        <v>16</v>
      </c>
      <c r="B1" s="89"/>
      <c r="C1" s="89"/>
      <c r="D1" s="89"/>
      <c r="E1" s="89"/>
      <c r="F1" s="89"/>
      <c r="G1" s="89"/>
      <c r="H1" s="89"/>
      <c r="I1" s="89"/>
      <c r="J1" s="15" t="s">
        <v>17</v>
      </c>
      <c r="K1" s="75" t="s">
        <v>18</v>
      </c>
    </row>
    <row r="2" spans="1:11" ht="16.5" thickBot="1" x14ac:dyDescent="0.3">
      <c r="A2" s="16"/>
      <c r="B2" s="16"/>
      <c r="C2" s="16"/>
      <c r="D2" s="17"/>
      <c r="E2" s="17"/>
      <c r="F2" s="17"/>
      <c r="G2" s="17"/>
      <c r="H2" s="17"/>
      <c r="I2" s="17"/>
      <c r="J2" s="17"/>
      <c r="K2" s="17"/>
    </row>
    <row r="3" spans="1:11" ht="16.5" thickBot="1" x14ac:dyDescent="0.3">
      <c r="A3" s="90" t="s">
        <v>19</v>
      </c>
      <c r="B3" s="90"/>
      <c r="C3" s="90"/>
      <c r="D3" s="76" t="str">
        <f>'[1]Necesidades Trimestrales'!C4</f>
        <v>040 - Ministerio de Salud</v>
      </c>
      <c r="E3" s="77"/>
      <c r="F3" s="77"/>
      <c r="G3" s="77"/>
      <c r="H3" s="77"/>
      <c r="I3" s="77"/>
      <c r="J3" s="77"/>
      <c r="K3" s="78"/>
    </row>
    <row r="4" spans="1:11" ht="16.5" customHeight="1" thickBot="1" x14ac:dyDescent="0.3">
      <c r="A4" s="88" t="s">
        <v>20</v>
      </c>
      <c r="B4" s="88"/>
      <c r="C4" s="88"/>
      <c r="D4" s="79" t="s">
        <v>57</v>
      </c>
      <c r="E4" s="80"/>
      <c r="F4" s="80"/>
      <c r="G4" s="80"/>
      <c r="H4" s="80"/>
      <c r="I4" s="80"/>
      <c r="J4" s="80"/>
      <c r="K4" s="81"/>
    </row>
    <row r="5" spans="1:11" ht="16.5" customHeight="1" thickBot="1" x14ac:dyDescent="0.3">
      <c r="A5" s="88" t="s">
        <v>21</v>
      </c>
      <c r="B5" s="88"/>
      <c r="C5" s="88"/>
      <c r="D5" s="79" t="s">
        <v>64</v>
      </c>
      <c r="E5" s="80"/>
      <c r="F5" s="80"/>
      <c r="G5" s="80"/>
      <c r="H5" s="80"/>
      <c r="I5" s="80"/>
      <c r="J5" s="80"/>
      <c r="K5" s="81"/>
    </row>
    <row r="6" spans="1:11" ht="16.5" customHeight="1" thickBot="1" x14ac:dyDescent="0.3">
      <c r="A6" s="91" t="s">
        <v>22</v>
      </c>
      <c r="B6" s="91"/>
      <c r="C6" s="91"/>
      <c r="D6" s="79" t="s">
        <v>64</v>
      </c>
      <c r="E6" s="80"/>
      <c r="F6" s="80"/>
      <c r="G6" s="80"/>
      <c r="H6" s="80"/>
      <c r="I6" s="80"/>
      <c r="J6" s="80"/>
      <c r="K6" s="81"/>
    </row>
    <row r="7" spans="1:11" ht="16.5" thickBot="1" x14ac:dyDescent="0.3">
      <c r="A7" s="88" t="s">
        <v>23</v>
      </c>
      <c r="B7" s="88"/>
      <c r="C7" s="88"/>
      <c r="D7" s="79" t="s">
        <v>65</v>
      </c>
      <c r="E7" s="80"/>
      <c r="F7" s="80"/>
      <c r="G7" s="80"/>
      <c r="H7" s="80"/>
      <c r="I7" s="80"/>
      <c r="J7" s="80"/>
      <c r="K7" s="81"/>
    </row>
    <row r="8" spans="1:11" ht="16.5" customHeight="1" thickBot="1" x14ac:dyDescent="0.3">
      <c r="A8" s="92" t="s">
        <v>24</v>
      </c>
      <c r="B8" s="92"/>
      <c r="C8" s="92"/>
      <c r="D8" s="82" t="s">
        <v>59</v>
      </c>
      <c r="E8" s="80"/>
      <c r="F8" s="80"/>
      <c r="G8" s="80"/>
      <c r="H8" s="80"/>
      <c r="I8" s="80"/>
      <c r="J8" s="80"/>
      <c r="K8" s="81"/>
    </row>
    <row r="9" spans="1:11" ht="16.5" thickBot="1" x14ac:dyDescent="0.3">
      <c r="A9" s="18"/>
      <c r="B9" s="18"/>
      <c r="C9" s="18"/>
      <c r="D9" s="19"/>
      <c r="E9" s="19"/>
      <c r="F9" s="19"/>
      <c r="G9" s="19"/>
      <c r="H9" s="19"/>
      <c r="I9" s="19"/>
      <c r="J9" s="19"/>
      <c r="K9" s="19"/>
    </row>
    <row r="10" spans="1:11" ht="15.75" thickBot="1" x14ac:dyDescent="0.3">
      <c r="A10" s="99" t="s">
        <v>25</v>
      </c>
      <c r="B10" s="95" t="s">
        <v>26</v>
      </c>
      <c r="C10" s="95" t="s">
        <v>27</v>
      </c>
      <c r="D10" s="95"/>
      <c r="E10" s="95"/>
      <c r="F10" s="95"/>
      <c r="G10" s="95"/>
      <c r="H10" s="95" t="s">
        <v>28</v>
      </c>
      <c r="I10" s="95" t="s">
        <v>29</v>
      </c>
      <c r="J10" s="95" t="s">
        <v>30</v>
      </c>
      <c r="K10" s="93" t="s">
        <v>31</v>
      </c>
    </row>
    <row r="11" spans="1:11" ht="32.25" customHeight="1" thickBot="1" x14ac:dyDescent="0.3">
      <c r="A11" s="99"/>
      <c r="B11" s="95"/>
      <c r="C11" s="95"/>
      <c r="D11" s="95"/>
      <c r="E11" s="95"/>
      <c r="F11" s="95"/>
      <c r="G11" s="95"/>
      <c r="H11" s="95"/>
      <c r="I11" s="95"/>
      <c r="J11" s="95"/>
      <c r="K11" s="93"/>
    </row>
    <row r="12" spans="1:11" ht="15.75" customHeight="1" thickBot="1" x14ac:dyDescent="0.3">
      <c r="A12" s="20">
        <v>6</v>
      </c>
      <c r="B12" s="20" t="str">
        <f>'NECESIDADES TRIMESTRALES'!B10</f>
        <v>2.5.2-711.1</v>
      </c>
      <c r="C12" s="94" t="str">
        <f>'NECESIDADES TRIMESTRALES'!E10</f>
        <v>ALCOHOL USO MEDICINAL; PUREZA: 96 %, PRESENTACION: ENVASE X 500 CM3, CAPACIDAD: 500 CM3</v>
      </c>
      <c r="D12" s="94"/>
      <c r="E12" s="94"/>
      <c r="F12" s="94"/>
      <c r="G12" s="94"/>
      <c r="H12" s="23" t="s">
        <v>32</v>
      </c>
      <c r="I12" s="21" t="str">
        <f>'NECESIDADES TRIMESTRALES'!F10</f>
        <v>UNIDAD</v>
      </c>
      <c r="J12" s="38">
        <f>'NECESIDADES TRIMESTRALES'!H10</f>
        <v>169</v>
      </c>
      <c r="K12" s="22">
        <f>'NECESIDADES TRIMESTRALES'!G10</f>
        <v>500</v>
      </c>
    </row>
    <row r="13" spans="1:11" ht="16.5" thickBot="1" x14ac:dyDescent="0.3">
      <c r="A13" s="98" t="s">
        <v>67</v>
      </c>
      <c r="B13" s="98"/>
      <c r="C13" s="98"/>
      <c r="D13" s="98"/>
      <c r="E13" s="98"/>
      <c r="F13" s="98"/>
      <c r="G13" s="98"/>
      <c r="H13" s="98"/>
      <c r="I13" s="98"/>
      <c r="J13" s="96">
        <f>+J12*K12</f>
        <v>84500</v>
      </c>
      <c r="K13" s="97"/>
    </row>
  </sheetData>
  <mergeCells count="17">
    <mergeCell ref="J13:K13"/>
    <mergeCell ref="A13:I13"/>
    <mergeCell ref="A10:A11"/>
    <mergeCell ref="B10:B11"/>
    <mergeCell ref="C10:G11"/>
    <mergeCell ref="H10:H11"/>
    <mergeCell ref="I10:I11"/>
    <mergeCell ref="A7:C7"/>
    <mergeCell ref="A8:C8"/>
    <mergeCell ref="K10:K11"/>
    <mergeCell ref="C12:G12"/>
    <mergeCell ref="J10:J11"/>
    <mergeCell ref="A5:C5"/>
    <mergeCell ref="A1:I1"/>
    <mergeCell ref="A3:C3"/>
    <mergeCell ref="A4:C4"/>
    <mergeCell ref="A6:C6"/>
  </mergeCells>
  <pageMargins left="0" right="0" top="0.74803149606299213" bottom="0.74803149606299213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0"/>
  <sheetViews>
    <sheetView tabSelected="1" workbookViewId="0">
      <selection activeCell="X20" sqref="X20"/>
    </sheetView>
  </sheetViews>
  <sheetFormatPr baseColWidth="10" defaultRowHeight="15" x14ac:dyDescent="0.25"/>
  <cols>
    <col min="1" max="5" width="4.42578125" customWidth="1"/>
    <col min="6" max="6" width="5" customWidth="1"/>
    <col min="7" max="14" width="4.42578125" customWidth="1"/>
    <col min="15" max="16" width="14.85546875" customWidth="1"/>
    <col min="17" max="17" width="14.7109375" customWidth="1"/>
  </cols>
  <sheetData>
    <row r="1" spans="1:18" ht="15.75" thickBot="1" x14ac:dyDescent="0.3">
      <c r="A1" s="104" t="s">
        <v>3</v>
      </c>
      <c r="B1" s="104"/>
      <c r="C1" s="104"/>
      <c r="D1" s="105">
        <f>'[1]Necesidades Trimestrales'!C6</f>
        <v>2022</v>
      </c>
      <c r="E1" s="105"/>
      <c r="F1" s="24"/>
      <c r="G1" s="24"/>
      <c r="H1" s="25"/>
      <c r="I1" s="25"/>
      <c r="J1" s="25"/>
      <c r="K1" s="25"/>
      <c r="L1" s="25"/>
      <c r="M1" s="25"/>
      <c r="N1" s="25"/>
      <c r="P1" s="106" t="s">
        <v>33</v>
      </c>
      <c r="Q1" s="106"/>
    </row>
    <row r="2" spans="1:18" ht="15.75" thickBot="1" x14ac:dyDescent="0.3">
      <c r="G2" s="26"/>
      <c r="H2" s="25"/>
      <c r="I2" s="25"/>
      <c r="J2" s="25"/>
      <c r="K2" s="25"/>
      <c r="L2" s="25"/>
      <c r="M2" s="25"/>
      <c r="N2" s="25"/>
      <c r="P2" s="106"/>
      <c r="Q2" s="106"/>
    </row>
    <row r="3" spans="1:18" ht="15.75" thickBot="1" x14ac:dyDescent="0.3">
      <c r="G3" s="26"/>
    </row>
    <row r="4" spans="1:18" ht="15.75" thickBot="1" x14ac:dyDescent="0.3">
      <c r="A4" s="107" t="s">
        <v>34</v>
      </c>
      <c r="B4" s="107"/>
      <c r="C4" s="107"/>
      <c r="D4" s="107"/>
      <c r="E4" s="107"/>
      <c r="F4" s="107"/>
      <c r="G4" s="103" t="str">
        <f>'NOTA DE PEDIDO'!D3</f>
        <v>040 -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27"/>
    </row>
    <row r="5" spans="1:18" ht="15.75" thickBot="1" x14ac:dyDescent="0.3">
      <c r="A5" s="100" t="s">
        <v>20</v>
      </c>
      <c r="B5" s="101"/>
      <c r="C5" s="101"/>
      <c r="D5" s="101"/>
      <c r="E5" s="101"/>
      <c r="F5" s="102"/>
      <c r="G5" s="103" t="str">
        <f>'NOTA DE PEDIDO'!D4</f>
        <v>011- Secretaria de Administracion- Ministerio de Salud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27"/>
    </row>
    <row r="6" spans="1:18" ht="15.75" thickBot="1" x14ac:dyDescent="0.3">
      <c r="A6" s="100" t="s">
        <v>21</v>
      </c>
      <c r="B6" s="101"/>
      <c r="C6" s="101"/>
      <c r="D6" s="101"/>
      <c r="E6" s="101"/>
      <c r="F6" s="102"/>
      <c r="G6" s="103" t="str">
        <f>'NOTA DE PEDIDO'!D5</f>
        <v>Direccion Provincial Banco de Sangre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27"/>
    </row>
    <row r="7" spans="1:18" ht="15.75" thickBot="1" x14ac:dyDescent="0.3">
      <c r="A7" s="100" t="s">
        <v>22</v>
      </c>
      <c r="B7" s="101"/>
      <c r="C7" s="101"/>
      <c r="D7" s="101"/>
      <c r="E7" s="101"/>
      <c r="F7" s="102"/>
      <c r="G7" s="103" t="str">
        <f>'NOTA DE PEDIDO'!D6</f>
        <v>Direccion Provincial Banco de Sangre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27"/>
    </row>
    <row r="8" spans="1:18" ht="15.75" thickBot="1" x14ac:dyDescent="0.3">
      <c r="A8" s="110" t="s">
        <v>35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</row>
    <row r="9" spans="1:18" ht="21.75" customHeight="1" x14ac:dyDescent="0.25">
      <c r="A9" s="111" t="s">
        <v>36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43"/>
      <c r="P9" s="43"/>
      <c r="Q9" s="47"/>
    </row>
    <row r="10" spans="1:18" ht="58.5" customHeight="1" x14ac:dyDescent="0.25">
      <c r="A10" s="112" t="s">
        <v>66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8" ht="15.75" thickBot="1" x14ac:dyDescent="0.3">
      <c r="A11" s="48"/>
      <c r="B11" s="49"/>
      <c r="C11" s="49"/>
      <c r="D11" s="49"/>
      <c r="E11" s="49"/>
      <c r="F11" s="49"/>
      <c r="G11" s="50"/>
      <c r="H11" s="49"/>
      <c r="I11" s="49"/>
      <c r="J11" s="49"/>
      <c r="K11" s="49"/>
      <c r="L11" s="49"/>
      <c r="M11" s="49"/>
      <c r="N11" s="49"/>
      <c r="O11" s="49"/>
      <c r="P11" s="49"/>
      <c r="Q11" s="51"/>
    </row>
    <row r="12" spans="1:18" ht="15.75" thickBot="1" x14ac:dyDescent="0.3">
      <c r="A12" s="113" t="s">
        <v>37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8" ht="15.75" thickBot="1" x14ac:dyDescent="0.3">
      <c r="A13" s="114" t="s">
        <v>38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39</v>
      </c>
      <c r="P13" s="115"/>
      <c r="Q13" s="116" t="s">
        <v>40</v>
      </c>
    </row>
    <row r="14" spans="1:18" ht="15.75" thickBot="1" x14ac:dyDescent="0.3">
      <c r="A14" s="52" t="s">
        <v>41</v>
      </c>
      <c r="B14" s="53" t="s">
        <v>42</v>
      </c>
      <c r="C14" s="53" t="s">
        <v>43</v>
      </c>
      <c r="D14" s="53" t="s">
        <v>44</v>
      </c>
      <c r="E14" s="53" t="s">
        <v>45</v>
      </c>
      <c r="F14" s="53" t="s">
        <v>46</v>
      </c>
      <c r="G14" s="54" t="s">
        <v>47</v>
      </c>
      <c r="H14" s="53" t="s">
        <v>48</v>
      </c>
      <c r="I14" s="53" t="s">
        <v>49</v>
      </c>
      <c r="J14" s="53" t="s">
        <v>50</v>
      </c>
      <c r="K14" s="53" t="s">
        <v>50</v>
      </c>
      <c r="L14" s="53" t="s">
        <v>51</v>
      </c>
      <c r="M14" s="55" t="s">
        <v>52</v>
      </c>
      <c r="N14" s="56" t="s">
        <v>53</v>
      </c>
      <c r="O14" s="115"/>
      <c r="P14" s="115"/>
      <c r="Q14" s="116"/>
    </row>
    <row r="15" spans="1:18" ht="30.75" customHeight="1" x14ac:dyDescent="0.25">
      <c r="A15" s="57">
        <v>27</v>
      </c>
      <c r="B15" s="58"/>
      <c r="C15" s="58"/>
      <c r="D15" s="58">
        <v>1</v>
      </c>
      <c r="E15" s="58"/>
      <c r="F15" s="58">
        <v>4901</v>
      </c>
      <c r="G15" s="58">
        <v>1</v>
      </c>
      <c r="H15" s="58">
        <v>3</v>
      </c>
      <c r="I15" s="58">
        <v>2</v>
      </c>
      <c r="J15" s="58">
        <v>5</v>
      </c>
      <c r="K15" s="58">
        <v>2</v>
      </c>
      <c r="L15" s="58"/>
      <c r="M15" s="59">
        <v>1</v>
      </c>
      <c r="N15" s="60" t="s">
        <v>54</v>
      </c>
      <c r="O15" s="108" t="s">
        <v>56</v>
      </c>
      <c r="P15" s="109"/>
      <c r="Q15" s="61">
        <f>'NOTA DE PEDIDO'!J13</f>
        <v>84500</v>
      </c>
    </row>
    <row r="16" spans="1:18" ht="18.75" customHeight="1" x14ac:dyDescent="0.25">
      <c r="A16" s="62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63"/>
      <c r="N16" s="64"/>
      <c r="O16" s="118"/>
      <c r="P16" s="118"/>
      <c r="Q16" s="65"/>
    </row>
    <row r="17" spans="1:17" x14ac:dyDescent="0.25">
      <c r="A17" s="62"/>
      <c r="B17" s="46"/>
      <c r="C17" s="46"/>
      <c r="D17" s="46"/>
      <c r="E17" s="46"/>
      <c r="F17" s="64"/>
      <c r="G17" s="46"/>
      <c r="H17" s="46"/>
      <c r="I17" s="46"/>
      <c r="J17" s="46"/>
      <c r="K17" s="46"/>
      <c r="L17" s="46"/>
      <c r="M17" s="63"/>
      <c r="N17" s="64"/>
      <c r="O17" s="118"/>
      <c r="P17" s="118"/>
      <c r="Q17" s="65"/>
    </row>
    <row r="18" spans="1:17" x14ac:dyDescent="0.25">
      <c r="A18" s="62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63"/>
      <c r="N18" s="64"/>
      <c r="O18" s="118"/>
      <c r="P18" s="118"/>
      <c r="Q18" s="65"/>
    </row>
    <row r="19" spans="1:17" x14ac:dyDescent="0.25">
      <c r="A19" s="62"/>
      <c r="B19" s="46"/>
      <c r="C19" s="46"/>
      <c r="D19" s="46"/>
      <c r="E19" s="46"/>
      <c r="F19" s="64"/>
      <c r="G19" s="46"/>
      <c r="H19" s="46"/>
      <c r="I19" s="46"/>
      <c r="J19" s="46"/>
      <c r="K19" s="46"/>
      <c r="L19" s="46"/>
      <c r="M19" s="63"/>
      <c r="N19" s="64"/>
      <c r="O19" s="118"/>
      <c r="P19" s="118"/>
      <c r="Q19" s="65"/>
    </row>
    <row r="20" spans="1:17" x14ac:dyDescent="0.25">
      <c r="A20" s="62"/>
      <c r="B20" s="46"/>
      <c r="C20" s="46"/>
      <c r="D20" s="46"/>
      <c r="E20" s="46"/>
      <c r="F20" s="64"/>
      <c r="G20" s="46"/>
      <c r="H20" s="46"/>
      <c r="I20" s="46"/>
      <c r="J20" s="46"/>
      <c r="K20" s="46"/>
      <c r="L20" s="46"/>
      <c r="M20" s="63"/>
      <c r="N20" s="64"/>
      <c r="O20" s="118"/>
      <c r="P20" s="118"/>
      <c r="Q20" s="65"/>
    </row>
    <row r="21" spans="1:17" x14ac:dyDescent="0.25">
      <c r="A21" s="66"/>
      <c r="B21" s="67"/>
      <c r="C21" s="67"/>
      <c r="D21" s="67"/>
      <c r="E21" s="67"/>
      <c r="F21" s="64"/>
      <c r="G21" s="67"/>
      <c r="H21" s="67"/>
      <c r="I21" s="67"/>
      <c r="J21" s="67"/>
      <c r="K21" s="67"/>
      <c r="L21" s="67"/>
      <c r="M21" s="68"/>
      <c r="N21" s="69"/>
      <c r="O21" s="118"/>
      <c r="P21" s="118"/>
      <c r="Q21" s="65"/>
    </row>
    <row r="22" spans="1:17" ht="15.75" thickBot="1" x14ac:dyDescent="0.3">
      <c r="A22" s="70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2"/>
      <c r="N22" s="71"/>
      <c r="O22" s="119"/>
      <c r="P22" s="119"/>
      <c r="Q22" s="73"/>
    </row>
    <row r="23" spans="1:17" ht="15.75" thickBot="1" x14ac:dyDescent="0.3">
      <c r="A23" s="120" t="s">
        <v>68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74">
        <f>SUM(Q15:Q22)</f>
        <v>84500</v>
      </c>
    </row>
    <row r="24" spans="1:17" ht="15.75" thickBot="1" x14ac:dyDescent="0.3">
      <c r="A24" s="121"/>
      <c r="B24" s="121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</row>
    <row r="25" spans="1:17" ht="15.75" thickBot="1" x14ac:dyDescent="0.3">
      <c r="A25" s="122" t="s">
        <v>55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7" ht="15.75" thickBot="1" x14ac:dyDescent="0.3">
      <c r="A26" s="117" t="s">
        <v>59</v>
      </c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</row>
    <row r="27" spans="1:17" ht="15.75" thickBot="1" x14ac:dyDescent="0.3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</row>
    <row r="28" spans="1:17" x14ac:dyDescent="0.25">
      <c r="G28" s="26"/>
    </row>
    <row r="29" spans="1:17" x14ac:dyDescent="0.25">
      <c r="G29" s="26"/>
    </row>
    <row r="30" spans="1:17" x14ac:dyDescent="0.25">
      <c r="G30" s="26"/>
    </row>
    <row r="31" spans="1:17" x14ac:dyDescent="0.25">
      <c r="G31" s="26"/>
    </row>
    <row r="32" spans="1:17" x14ac:dyDescent="0.25">
      <c r="G32" s="26"/>
    </row>
    <row r="33" spans="7:7" x14ac:dyDescent="0.25">
      <c r="G33" s="26"/>
    </row>
    <row r="34" spans="7:7" x14ac:dyDescent="0.25">
      <c r="G34" s="26"/>
    </row>
    <row r="35" spans="7:7" x14ac:dyDescent="0.25">
      <c r="G35" s="26"/>
    </row>
    <row r="36" spans="7:7" x14ac:dyDescent="0.25">
      <c r="G36" s="26"/>
    </row>
    <row r="37" spans="7:7" x14ac:dyDescent="0.25">
      <c r="G37" s="26"/>
    </row>
    <row r="38" spans="7:7" x14ac:dyDescent="0.25">
      <c r="G38" s="26"/>
    </row>
    <row r="39" spans="7:7" x14ac:dyDescent="0.25">
      <c r="G39" s="26"/>
    </row>
    <row r="40" spans="7:7" x14ac:dyDescent="0.25">
      <c r="G40" s="26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" right="0" top="0.74803149606299213" bottom="0.74803149606299213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 DE PEDIDO</vt:lpstr>
      <vt:lpstr>AUTORIZACION PARA GASTAR</vt:lpstr>
      <vt:lpstr>'AUTORIZACION PARA GASTAR'!Área_de_impresión</vt:lpstr>
      <vt:lpstr>'NOTA DE PEDIDO'!Área_de_impresión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COMPRAS</cp:lastModifiedBy>
  <cp:lastPrinted>2022-10-26T14:19:15Z</cp:lastPrinted>
  <dcterms:created xsi:type="dcterms:W3CDTF">2022-01-31T23:00:31Z</dcterms:created>
  <dcterms:modified xsi:type="dcterms:W3CDTF">2022-12-06T13:05:31Z</dcterms:modified>
</cp:coreProperties>
</file>