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430"/>
  <workbookPr defaultThemeVersion="124226"/>
  <mc:AlternateContent xmlns:mc="http://schemas.openxmlformats.org/markup-compatibility/2006">
    <mc:Choice Requires="x15">
      <x15ac:absPath xmlns:x15ac="http://schemas.microsoft.com/office/spreadsheetml/2010/11/ac" url="C:\Users\ELIAS QUINTAR\Downloads\"/>
    </mc:Choice>
  </mc:AlternateContent>
  <xr:revisionPtr revIDLastSave="0" documentId="8_{8FECD66E-3DE9-4C75-A5C2-60CDAD282CAC}" xr6:coauthVersionLast="47" xr6:coauthVersionMax="47" xr10:uidLastSave="{00000000-0000-0000-0000-000000000000}"/>
  <bookViews>
    <workbookView xWindow="-120" yWindow="-120" windowWidth="29040" windowHeight="15840" tabRatio="500" xr2:uid="{00000000-000D-0000-FFFF-FFFF00000000}"/>
  </bookViews>
  <sheets>
    <sheet name="Necesidades Trimestrales" sheetId="1" r:id="rId1"/>
    <sheet name=" NotaPedido" sheetId="2" r:id="rId2"/>
    <sheet name="Autor Gastar" sheetId="3" r:id="rId3"/>
  </sheets>
  <definedNames>
    <definedName name="_xlnm._FilterDatabase" localSheetId="0" hidden="1">'Necesidades Trimestrales'!$A$9:$K$9</definedName>
    <definedName name="_xlnm.Print_Area" localSheetId="1">' NotaPedido'!$A$1:$K$13</definedName>
    <definedName name="_xlnm.Print_Area" localSheetId="2">'Autor Gastar'!$A$1:$Q$23</definedName>
  </definedNames>
  <calcPr calcId="18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calcChain.xml><?xml version="1.0" encoding="utf-8"?>
<calcChain xmlns="http://schemas.openxmlformats.org/spreadsheetml/2006/main">
  <c r="I12" i="2" l="1"/>
  <c r="A12" i="2" l="1"/>
  <c r="K12" i="2"/>
  <c r="J12" i="2"/>
  <c r="C12" i="2"/>
  <c r="B12" i="2"/>
  <c r="I10" i="1"/>
  <c r="D10" i="1"/>
  <c r="Q19" i="3" l="1"/>
  <c r="D7" i="2"/>
  <c r="G6" i="3" l="1"/>
  <c r="G7" i="3"/>
  <c r="D3" i="2"/>
  <c r="G4" i="3" s="1"/>
  <c r="D4" i="2"/>
  <c r="G5" i="3" s="1"/>
  <c r="A10" i="3" l="1"/>
  <c r="D1" i="3"/>
  <c r="J13" i="2"/>
</calcChain>
</file>

<file path=xl/sharedStrings.xml><?xml version="1.0" encoding="utf-8"?>
<sst xmlns="http://schemas.openxmlformats.org/spreadsheetml/2006/main" count="84" uniqueCount="79">
  <si>
    <t>Pedido de Necesidades Trimestrales</t>
  </si>
  <si>
    <t>JURISDICCION:</t>
  </si>
  <si>
    <t xml:space="preserve">SAF N°: </t>
  </si>
  <si>
    <t>EJERCICIO:</t>
  </si>
  <si>
    <t>TRIMESTRE:</t>
  </si>
  <si>
    <t>ID</t>
  </si>
  <si>
    <t>CODIGO ITEM</t>
  </si>
  <si>
    <t xml:space="preserve">I.P.P. </t>
  </si>
  <si>
    <t>DESCRIPCION</t>
  </si>
  <si>
    <t>UNIDAD DE MEDIDA</t>
  </si>
  <si>
    <t>CANTIDAD</t>
  </si>
  <si>
    <t>PRECIO UNITARIO ESTIMADO</t>
  </si>
  <si>
    <t xml:space="preserve">IMPORTE TOTAL ESTIMADO </t>
  </si>
  <si>
    <t>Descripción técnica</t>
  </si>
  <si>
    <t>Calidad Minima esperada</t>
  </si>
  <si>
    <t>Mantenimiento</t>
  </si>
  <si>
    <t>Garantia</t>
  </si>
  <si>
    <t>NOTA DE PEDIDO</t>
  </si>
  <si>
    <t>N°</t>
  </si>
  <si>
    <t>PERIODO UTILIZACIÓN:</t>
  </si>
  <si>
    <t>OBJETO:</t>
  </si>
  <si>
    <t>Ítem</t>
  </si>
  <si>
    <t>Codigo Item</t>
  </si>
  <si>
    <t>DESCRIPCIÓN</t>
  </si>
  <si>
    <t>Adjunta Detalle Técnico</t>
  </si>
  <si>
    <t>Unidad Medida</t>
  </si>
  <si>
    <t>Precio Unitario Estimado</t>
  </si>
  <si>
    <t>Cantidad Solicitada</t>
  </si>
  <si>
    <t>AUTORIZACION PARA GASTAR</t>
  </si>
  <si>
    <t>JURISDICCIÓN:</t>
  </si>
  <si>
    <t>UNIDAD EJECUTORA:</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</si>
  <si>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</si>
  <si>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</si>
  <si>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</si>
  <si>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</si>
  <si>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</si>
  <si>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</si>
  <si>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</si>
  <si>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</si>
  <si>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</si>
  <si>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</si>
  <si>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</si>
  <si>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</si>
  <si>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</si>
  <si>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</si>
  <si>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</si>
  <si>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</si>
  <si>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</si>
  <si>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</si>
  <si>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</si>
  <si>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</si>
  <si>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 xml:space="preserve">JURISDICCIÓN: </t>
  </si>
  <si>
    <t>SAF:</t>
  </si>
  <si>
    <t xml:space="preserve">DEPENDENCIA SOLICITANTE: </t>
  </si>
  <si>
    <t>28- Maternidad Provincial 25 de Mayo</t>
  </si>
  <si>
    <t xml:space="preserve">Servicio de Nutricion </t>
  </si>
  <si>
    <t>ALIMENTOS</t>
  </si>
  <si>
    <t>RUBRO</t>
  </si>
  <si>
    <t>1.1</t>
  </si>
  <si>
    <t xml:space="preserve">Plazo de Entrega : </t>
  </si>
  <si>
    <t>Lugares de entrega:</t>
  </si>
  <si>
    <t xml:space="preserve">Hora de entrega: </t>
  </si>
  <si>
    <t xml:space="preserve">SERVICIO DE NUTRICION-MATERNIDAD PROVINCIAL 25 DE MAYO , HERNADO DE PEDRAZA 1650- </t>
  </si>
  <si>
    <t>SI</t>
  </si>
  <si>
    <t>40-Ministerio de Salud</t>
  </si>
  <si>
    <t xml:space="preserve">169-Direccion Asistencial </t>
  </si>
  <si>
    <t>3.9.9-3161.1</t>
  </si>
  <si>
    <t>SERVICIO DE COMIDA; DESCRIPCION: SERVICIO DE COMIDA</t>
  </si>
  <si>
    <t>MES</t>
  </si>
  <si>
    <t>Especificidades Item N° 106:.</t>
  </si>
  <si>
    <t>OTROS NEP</t>
  </si>
  <si>
    <t>Adquisicion del Servcicio de comida</t>
  </si>
  <si>
    <t>Para la adquisición del Servicio de comida destinado al Servicio de Nutricion de la Maternidad Provincial 25 de Mayo del Ministerio de Salud.</t>
  </si>
  <si>
    <t xml:space="preserve">30 dias </t>
  </si>
  <si>
    <t>Costo total estimado: DOS MILLONES CIENTO CUARENTA Y SIETE MIL CUARENTA CON 00/100.</t>
  </si>
  <si>
    <t>TOTAL DE PESOS:  DOS MILLONES CIENTO CUARENTA Y SIETE MIL CUARENTA CON 00/100.</t>
  </si>
  <si>
    <t>La prestacion del servicio debe iniciar el 16 de Diciembre del 2021</t>
  </si>
  <si>
    <t>143/2021</t>
  </si>
  <si>
    <t xml:space="preserve">1. Se prepara en el Nosocomio, desayuno, almuerzo, merienda y cena, según menú, al igual que las cantidades, dichos datos serán provistos por el Jefe/a del Servicio de Nutrición en forma diaria o según novedades, las que serán notificadas con la debida anticipación, al encargado designado.
2. El locatario al Locador proveerá de los insumos necesarios para preparar los diferentes menús, al igual que los insumos necesarios para su traslado y consumo.
3. Deberá realizar la entrega de los menús elaborados en los carros de traslado a las diferentes salas de internación.
4. Se deberá recoger luego de cada comida, los utensilios y ser devueltos en la Cocina, para su limpieza y control.
5. Deberá limpiar los utensilios utilizados al finalizar cada turno, a fin de dejar en condiciones adecuadas el servicio para su utilización por la siguiente dotación de personal.
6. Deberán realizar de Lunes a Domingo los siguientes turnos:
a. Turno Mañana: de 8 horas cumplidos desde 6:00 hs hasta las 14:00 hs. 
b. Turno Tarde: de 8 horas cumplidos desde las 14:00 hasta las 22:00 hs.
7. Cada turno contara con una dotación de personal distribuido de la siguiente manera:
a. Dos (2) AYUDANTES DE COCINA. 
b. Uno (1) ENCARGADOS DEL REPARTO. (de sexo Femenino)
El Locador deberá designar un Encargado que cumpla la función de controlar al personal (horarios de entrada y salida) y que sea el nexo entre el Locador y el Jefe/a del Área para informar cualquier irregularidad. Asimismo estará encargado de conseguir la persona que cubra cualquiera de los puestos en caso de falta o abandono de las tareas y los Sábados, Domingos, y feriados una de las personas revista la calidad de cocinero previa autorización del Jefe/a del Servicio de Nutrición.                                                                                  El personal debera contar con su propia indumentaria de proteccion personal.                                                                                               Los Pagos del seguro de vida y  A.R.T. de cada empleado deberan estar al dia durante la prestacion del servicio.                                                     El personal debera contar con su correspondiente Alta Temprana en A.F.I.P.                                                                                                                                                                                                   Forma de Pago: El pago sera de mensual, previa recepcion definitiva, presentacion de factura,  formularia 931 con su respectivo pago y planillas de asistencias correspondiente al periodo de prestacion del servicio.                                                                                                                                        El Servicio podra ser prorrogado por unica vez y por el mismo peridodo, previa aceptacion de las partes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</si>
</sst>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_);_(@_)"/>
    <numFmt numFmtId="165" formatCode="_-* #,##0.00&quot; €&quot;_-;\-* #,##0.00&quot; €&quot;_-;_-* \-??&quot; €&quot;_-;_-@_-"/>
    <numFmt numFmtId="166" formatCode="[$$-2C0A]\ #,##0.00;[$$-2C0A]&quot; -&quot;#,##0.00"/>
    <numFmt numFmtId="167" formatCode="[$$-2C0A]\ #,##0.00"/>
    <numFmt numFmtId="168" formatCode="dd\-mm\-yy;@"/>
    <numFmt numFmtId="169" formatCode="_-[$$-2C0A]\ * #,##0.00_-;\-[$$-2C0A]\ * #,##0.00_-;_-[$$-2C0A]\ * &quot;-&quot;??_-;_-@_-"/>
    <numFmt numFmtId="170" formatCode="&quot;$&quot;\ #,##0.00"/>
  </numFmts>
  <fonts count="29" x14ac:knownFonts="1">
    <font>
      <sz val="10"/>
      <name val="Arial"/>
      <charset val="1"/>
    </font>
    <font>
      <sz val="11"/>
      <color theme="1"/>
      <name val="Calibri"/>
      <family val="2"/>
      <scheme val="minor"/>
    </font>
    <font>
      <b/>
      <sz val="15"/>
      <color rgb="FF666699"/>
      <name val="Calibri"/>
      <family val="2"/>
      <charset val="1"/>
    </font>
    <font>
      <sz val="10"/>
      <name val="Arial"/>
      <family val="2"/>
      <charset val="1"/>
    </font>
    <font>
      <sz val="11"/>
      <color rgb="FF993300"/>
      <name val="Calibri"/>
      <family val="2"/>
      <charset val="1"/>
    </font>
    <font>
      <sz val="10"/>
      <name val="Times New Roman"/>
      <family val="1"/>
      <charset val="1"/>
    </font>
    <font>
      <b/>
      <u/>
      <sz val="12"/>
      <name val="Times New Roman"/>
      <family val="1"/>
      <charset val="1"/>
    </font>
    <font>
      <b/>
      <sz val="12"/>
      <name val="Times New Roman"/>
      <family val="1"/>
      <charset val="1"/>
    </font>
    <font>
      <sz val="12"/>
      <name val="Times New Roman"/>
      <family val="1"/>
      <charset val="1"/>
    </font>
    <font>
      <b/>
      <sz val="11"/>
      <name val="Times New Roman"/>
      <family val="1"/>
      <charset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
      <sz val="10"/>
      <name val="Arial"/>
      <family val="2"/>
    </font>
    <font>
      <sz val="10"/>
      <name val="Times New Roman"/>
      <family val="1"/>
    </font>
    <font>
      <b/>
      <sz val="22"/>
      <name val="Times New Roman"/>
      <family val="1"/>
    </font>
    <font>
      <b/>
      <sz val="11"/>
      <color rgb="FF000000"/>
      <name val="Times New Roman"/>
      <family val="1"/>
    </font>
    <font>
      <sz val="10"/>
      <color rgb="FF000000"/>
      <name val="Times New Roman"/>
      <family val="1"/>
    </font>
    <font>
      <b/>
      <sz val="10"/>
      <color rgb="FF000000"/>
      <name val="Times New Roman"/>
      <family val="1"/>
    </font>
    <font>
      <sz val="9"/>
      <name val="Times New Roman"/>
      <family val="1"/>
    </font>
    <font>
      <sz val="9"/>
      <color rgb="FF000000"/>
      <name val="Times New Roman"/>
      <family val="1"/>
    </font>
    <font>
      <u/>
      <sz val="10"/>
      <name val="Times New Roman"/>
      <family val="1"/>
    </font>
    <font>
      <b/>
      <sz val="12"/>
      <color rgb="FF000000"/>
      <name val="Times New Roman"/>
      <family val="1"/>
    </font>
    <font>
      <b/>
      <sz val="12"/>
      <name val="Times New Roman"/>
      <family val="1"/>
    </font>
    <font>
      <sz val="18"/>
      <name val="Times New Roman"/>
      <family val="1"/>
    </font>
    <font>
      <b/>
      <sz val="9"/>
      <name val="Arial"/>
      <family val="2"/>
      <charset val="1"/>
    </font>
    <font>
      <sz val="13"/>
      <name val="Times New Roman"/>
      <family val="1"/>
    </font>
  </fonts>
  <fills count="3">
    <fill>
      <patternFill patternType="none"/>
    </fill>
    <fill>
      <patternFill patternType="gray125"/>
    </fill>
    <fill>
      <patternFill patternType="solid">
        <fgColor rgb="FFFFFF99"/>
        <bgColor rgb="FFFFFFCC"/>
      </patternFill>
    </fill>
  </fills>
  <borders count="51">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style="medium">
        <color auto="1"/>
      </top>
      <bottom/>
      <diagonal/>
    </border>
    <border>
      <left/>
      <right style="medium">
        <color auto="1"/>
      </right>
      <top/>
      <bottom/>
      <diagonal/>
    </border>
    <border>
      <left/>
      <right/>
      <top/>
      <bottom style="medium">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auto="1"/>
      </left>
      <right style="medium">
        <color auto="1"/>
      </right>
      <top style="medium">
        <color auto="1"/>
      </top>
      <bottom style="medium">
        <color auto="1"/>
      </bottom>
      <diagonal/>
    </border>
    <border>
      <left style="medium">
        <color rgb="FF3D3D3D"/>
      </left>
      <right/>
      <top style="medium">
        <color rgb="FF3D3D3D"/>
      </top>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rgb="FF3D3D3D"/>
      </right>
      <top style="medium">
        <color rgb="FF3D3D3D"/>
      </top>
      <bottom/>
      <diagonal/>
    </border>
    <border>
      <left style="medium">
        <color rgb="FF3D3D3D"/>
      </left>
      <right/>
      <top/>
      <bottom/>
      <diagonal/>
    </border>
    <border>
      <left style="medium">
        <color rgb="FF3D3D3D"/>
      </left>
      <right style="medium">
        <color rgb="FF3D3D3D"/>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style="medium">
        <color rgb="FF3D3D3D"/>
      </bottom>
      <diagonal/>
    </border>
    <border>
      <left style="medium">
        <color rgb="FF3D3D3D"/>
      </left>
      <right/>
      <top style="medium">
        <color indexed="64"/>
      </top>
      <bottom style="medium">
        <color indexed="64"/>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right style="medium">
        <color auto="1"/>
      </right>
      <top/>
      <bottom style="medium">
        <color indexed="64"/>
      </bottom>
      <diagonal/>
    </border>
    <border>
      <left style="medium">
        <color indexed="64"/>
      </left>
      <right/>
      <top/>
      <bottom style="medium">
        <color indexed="64"/>
      </bottom>
      <diagonal/>
    </border>
    <border>
      <left style="medium">
        <color auto="1"/>
      </left>
      <right style="medium">
        <color auto="1"/>
      </right>
      <top style="medium">
        <color auto="1"/>
      </top>
      <bottom/>
      <diagonal/>
    </border>
    <border>
      <left/>
      <right style="thick">
        <color auto="1"/>
      </right>
      <top style="medium">
        <color indexed="64"/>
      </top>
      <bottom/>
      <diagonal/>
    </border>
    <border>
      <left style="thick">
        <color auto="1"/>
      </left>
      <right/>
      <top style="medium">
        <color indexed="64"/>
      </top>
      <bottom/>
      <diagonal/>
    </border>
    <border>
      <left style="thick">
        <color auto="1"/>
      </left>
      <right style="thick">
        <color auto="1"/>
      </right>
      <top style="medium">
        <color indexed="64"/>
      </top>
      <bottom/>
      <diagonal/>
    </border>
    <border>
      <left style="thick">
        <color auto="1"/>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auto="1"/>
      </left>
      <right style="medium">
        <color rgb="FF3D3D3D"/>
      </right>
      <top style="medium">
        <color auto="1"/>
      </top>
      <bottom/>
      <diagonal/>
    </border>
    <border>
      <left style="medium">
        <color rgb="FF3D3D3D"/>
      </left>
      <right style="medium">
        <color rgb="FF3D3D3D"/>
      </right>
      <top style="medium">
        <color auto="1"/>
      </top>
      <bottom/>
      <diagonal/>
    </border>
    <border>
      <left style="medium">
        <color rgb="FF3D3D3D"/>
      </left>
      <right style="medium">
        <color auto="1"/>
      </right>
      <top style="medium">
        <color auto="1"/>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s>
  <cellStyleXfs count="6">
    <xf numFmtId="0" fontId="0" fillId="0" borderId="0"/>
    <xf numFmtId="165" fontId="15" fillId="0" borderId="0" applyBorder="0" applyProtection="0"/>
    <xf numFmtId="0" fontId="2" fillId="0" borderId="1" applyProtection="0"/>
    <xf numFmtId="164" fontId="3" fillId="0" borderId="0" applyBorder="0" applyProtection="0"/>
    <xf numFmtId="0" fontId="4" fillId="2" borderId="0" applyBorder="0" applyProtection="0"/>
    <xf numFmtId="0" fontId="1" fillId="0" borderId="0"/>
  </cellStyleXfs>
  <cellXfs count="160">
    <xf numFmtId="0" fontId="0" fillId="0" borderId="0" xfId="0"/>
    <xf numFmtId="0" fontId="0" fillId="0" borderId="0" xfId="0" applyBorder="1"/>
    <xf numFmtId="0" fontId="0" fillId="0" borderId="0" xfId="0" applyAlignment="1">
      <alignment horizontal="left"/>
    </xf>
    <xf numFmtId="3" fontId="10" fillId="0" borderId="0" xfId="0" applyNumberFormat="1" applyFont="1" applyBorder="1" applyAlignment="1"/>
    <xf numFmtId="168" fontId="0" fillId="0" borderId="0" xfId="0" applyNumberFormat="1" applyAlignment="1">
      <alignment horizontal="left"/>
    </xf>
    <xf numFmtId="0" fontId="3" fillId="0" borderId="0" xfId="0" applyFont="1"/>
    <xf numFmtId="0" fontId="0" fillId="0" borderId="6" xfId="0" applyBorder="1"/>
    <xf numFmtId="0" fontId="0" fillId="0" borderId="20" xfId="0" applyBorder="1"/>
    <xf numFmtId="0" fontId="0" fillId="0" borderId="8" xfId="0" applyBorder="1"/>
    <xf numFmtId="0" fontId="0" fillId="0" borderId="8" xfId="0" applyBorder="1" applyAlignment="1">
      <alignment horizontal="left"/>
    </xf>
    <xf numFmtId="0" fontId="0" fillId="0" borderId="21" xfId="0" applyBorder="1"/>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4" xfId="0" applyFont="1" applyBorder="1" applyAlignment="1">
      <alignment horizontal="left" vertical="center"/>
    </xf>
    <xf numFmtId="0" fontId="14" fillId="0" borderId="25" xfId="0" applyFont="1" applyBorder="1" applyAlignment="1">
      <alignment horizontal="center" vertical="center"/>
    </xf>
    <xf numFmtId="0" fontId="14" fillId="0" borderId="19" xfId="0" applyFont="1" applyBorder="1" applyAlignment="1">
      <alignment horizontal="center" vertical="center"/>
    </xf>
    <xf numFmtId="166" fontId="14" fillId="0" borderId="26" xfId="0" applyNumberFormat="1" applyFont="1" applyBorder="1" applyAlignment="1">
      <alignment horizontal="center" vertical="center"/>
    </xf>
    <xf numFmtId="0" fontId="16" fillId="0" borderId="0" xfId="0" applyFont="1"/>
    <xf numFmtId="0" fontId="16" fillId="0" borderId="3" xfId="0" applyFont="1" applyBorder="1"/>
    <xf numFmtId="0" fontId="16" fillId="0" borderId="0" xfId="0" applyFont="1" applyBorder="1"/>
    <xf numFmtId="169" fontId="16" fillId="0" borderId="0" xfId="0" applyNumberFormat="1" applyFont="1"/>
    <xf numFmtId="0" fontId="0" fillId="0" borderId="0" xfId="0" applyFill="1"/>
    <xf numFmtId="0" fontId="6" fillId="0" borderId="6" xfId="0" applyFont="1" applyFill="1" applyBorder="1" applyAlignment="1">
      <alignment horizontal="right" vertical="center"/>
    </xf>
    <xf numFmtId="0" fontId="3" fillId="0" borderId="0" xfId="0" applyFont="1" applyFill="1" applyBorder="1" applyAlignment="1">
      <alignment vertical="center"/>
    </xf>
    <xf numFmtId="0" fontId="6" fillId="0" borderId="8" xfId="0" applyFont="1" applyFill="1" applyBorder="1" applyAlignment="1">
      <alignment vertical="center"/>
    </xf>
    <xf numFmtId="0" fontId="6" fillId="0" borderId="0" xfId="0" applyFont="1" applyFill="1" applyBorder="1" applyAlignment="1">
      <alignment vertical="center"/>
    </xf>
    <xf numFmtId="0" fontId="8" fillId="0" borderId="0" xfId="0" applyFont="1" applyFill="1" applyBorder="1" applyAlignment="1">
      <alignment horizontal="left" vertical="center"/>
    </xf>
    <xf numFmtId="0" fontId="7" fillId="0" borderId="0" xfId="0" applyFont="1" applyFill="1" applyBorder="1" applyAlignment="1">
      <alignment horizontal="left" vertical="center" wrapText="1" indent="1"/>
    </xf>
    <xf numFmtId="0" fontId="6" fillId="0" borderId="8" xfId="0" applyFont="1" applyFill="1" applyBorder="1" applyAlignment="1">
      <alignment vertical="center" wrapText="1"/>
    </xf>
    <xf numFmtId="0" fontId="6" fillId="0" borderId="0" xfId="0" applyFont="1" applyFill="1" applyBorder="1" applyAlignment="1">
      <alignment vertical="center" wrapText="1"/>
    </xf>
    <xf numFmtId="0" fontId="8" fillId="0" borderId="0" xfId="0" applyFont="1" applyFill="1" applyBorder="1" applyAlignment="1">
      <alignment horizontal="left" vertical="center" wrapText="1"/>
    </xf>
    <xf numFmtId="0" fontId="7" fillId="0" borderId="0" xfId="0" applyFont="1" applyFill="1" applyBorder="1" applyAlignment="1">
      <alignment horizontal="left" vertical="center" wrapText="1"/>
    </xf>
    <xf numFmtId="0" fontId="3" fillId="0" borderId="0" xfId="0" applyFont="1" applyFill="1" applyBorder="1" applyAlignment="1">
      <alignment vertical="center" wrapText="1"/>
    </xf>
    <xf numFmtId="169" fontId="16" fillId="0" borderId="0" xfId="0" applyNumberFormat="1" applyFont="1" applyBorder="1"/>
    <xf numFmtId="0" fontId="21" fillId="0" borderId="2" xfId="0" applyFont="1" applyFill="1" applyBorder="1" applyAlignment="1">
      <alignment horizontal="center" vertical="center"/>
    </xf>
    <xf numFmtId="0" fontId="16" fillId="0" borderId="0" xfId="0" applyFont="1" applyAlignment="1">
      <alignment vertical="center"/>
    </xf>
    <xf numFmtId="0" fontId="16" fillId="0" borderId="0" xfId="0" applyFont="1" applyFill="1" applyBorder="1"/>
    <xf numFmtId="0" fontId="16" fillId="0" borderId="0" xfId="0" applyFont="1" applyFill="1" applyBorder="1" applyAlignment="1">
      <alignment vertical="center" wrapText="1"/>
    </xf>
    <xf numFmtId="0" fontId="20" fillId="0" borderId="0" xfId="0" applyFont="1" applyFill="1" applyBorder="1" applyAlignment="1">
      <alignment horizontal="left" vertical="center" wrapText="1"/>
    </xf>
    <xf numFmtId="0" fontId="19" fillId="0" borderId="0" xfId="0" applyFont="1" applyFill="1" applyBorder="1" applyAlignment="1">
      <alignment horizontal="left" wrapText="1"/>
    </xf>
    <xf numFmtId="0" fontId="19" fillId="0" borderId="0" xfId="0" applyFont="1" applyFill="1" applyBorder="1" applyAlignment="1">
      <alignment horizontal="left" vertical="center" wrapText="1"/>
    </xf>
    <xf numFmtId="0" fontId="16" fillId="0" borderId="0" xfId="0" applyFont="1" applyFill="1" applyBorder="1" applyAlignment="1">
      <alignment vertical="center"/>
    </xf>
    <xf numFmtId="169" fontId="16" fillId="0" borderId="0" xfId="0" applyNumberFormat="1" applyFont="1" applyFill="1" applyBorder="1"/>
    <xf numFmtId="0" fontId="19" fillId="0" borderId="0" xfId="0" applyFont="1" applyFill="1" applyBorder="1" applyAlignment="1">
      <alignment horizontal="center" wrapText="1"/>
    </xf>
    <xf numFmtId="169" fontId="19" fillId="0" borderId="0" xfId="0" applyNumberFormat="1" applyFont="1" applyFill="1" applyBorder="1" applyAlignment="1">
      <alignment horizontal="left" wrapText="1"/>
    </xf>
    <xf numFmtId="0" fontId="24" fillId="0" borderId="0" xfId="0" applyFont="1" applyFill="1" applyBorder="1" applyAlignment="1">
      <alignment horizontal="left" vertical="center" wrapText="1"/>
    </xf>
    <xf numFmtId="0" fontId="20" fillId="0" borderId="0" xfId="0" applyFont="1" applyFill="1" applyBorder="1" applyAlignment="1">
      <alignment horizontal="left" wrapText="1"/>
    </xf>
    <xf numFmtId="0" fontId="19" fillId="0" borderId="0" xfId="0" applyFont="1" applyFill="1" applyBorder="1" applyAlignment="1">
      <alignment horizontal="center" vertical="center" wrapText="1"/>
    </xf>
    <xf numFmtId="0" fontId="20" fillId="0" borderId="32" xfId="0" applyFont="1" applyBorder="1" applyAlignment="1">
      <alignment horizontal="center" vertical="center" wrapText="1"/>
    </xf>
    <xf numFmtId="0" fontId="20" fillId="0" borderId="32" xfId="0" applyFont="1" applyFill="1" applyBorder="1" applyAlignment="1">
      <alignment horizontal="center" vertical="center" wrapText="1"/>
    </xf>
    <xf numFmtId="0" fontId="20" fillId="0" borderId="33" xfId="0" applyFont="1" applyBorder="1" applyAlignment="1">
      <alignment horizontal="center" vertical="center" wrapText="1"/>
    </xf>
    <xf numFmtId="0" fontId="20" fillId="0" borderId="34" xfId="0" applyFont="1" applyBorder="1" applyAlignment="1">
      <alignment horizontal="center" vertical="center" wrapText="1"/>
    </xf>
    <xf numFmtId="0" fontId="20" fillId="0" borderId="35" xfId="0" applyFont="1" applyBorder="1" applyAlignment="1">
      <alignment horizontal="center" vertical="center" wrapText="1"/>
    </xf>
    <xf numFmtId="169" fontId="20" fillId="0" borderId="35" xfId="0" applyNumberFormat="1" applyFont="1" applyBorder="1" applyAlignment="1">
      <alignment horizontal="center" vertical="center" wrapText="1"/>
    </xf>
    <xf numFmtId="0" fontId="20" fillId="0" borderId="36" xfId="0" applyFont="1" applyBorder="1" applyAlignment="1">
      <alignment horizontal="center" vertical="center" wrapText="1"/>
    </xf>
    <xf numFmtId="0" fontId="5" fillId="0" borderId="2" xfId="0" applyFont="1" applyFill="1" applyBorder="1" applyAlignment="1">
      <alignment horizontal="center" vertical="center" wrapText="1"/>
    </xf>
    <xf numFmtId="166" fontId="5" fillId="0" borderId="2" xfId="1" applyNumberFormat="1" applyFont="1" applyFill="1" applyBorder="1" applyAlignment="1" applyProtection="1">
      <alignment horizontal="right" vertical="center" wrapText="1"/>
    </xf>
    <xf numFmtId="0" fontId="5" fillId="0" borderId="40" xfId="0" applyFont="1" applyFill="1" applyBorder="1" applyAlignment="1">
      <alignment horizontal="center" vertical="center" wrapText="1"/>
    </xf>
    <xf numFmtId="3" fontId="5" fillId="0" borderId="50" xfId="0" applyNumberFormat="1" applyFont="1" applyFill="1" applyBorder="1" applyAlignment="1">
      <alignment horizontal="center" vertical="center" wrapText="1"/>
    </xf>
    <xf numFmtId="170" fontId="16" fillId="0" borderId="0" xfId="0" applyNumberFormat="1" applyFont="1" applyFill="1" applyBorder="1"/>
    <xf numFmtId="0" fontId="0" fillId="0" borderId="2" xfId="0" applyFont="1" applyBorder="1" applyAlignment="1">
      <alignment horizontal="center" vertical="center"/>
    </xf>
    <xf numFmtId="0" fontId="12" fillId="0" borderId="2" xfId="0" applyFont="1" applyBorder="1" applyAlignment="1">
      <alignment horizontal="center" vertical="center"/>
    </xf>
    <xf numFmtId="0" fontId="0" fillId="0" borderId="2" xfId="0" applyBorder="1" applyAlignment="1">
      <alignment horizontal="center" vertical="center"/>
    </xf>
    <xf numFmtId="0" fontId="0" fillId="0" borderId="40" xfId="0" applyFont="1" applyFill="1" applyBorder="1" applyAlignment="1">
      <alignment horizontal="center" vertical="center"/>
    </xf>
    <xf numFmtId="0" fontId="0" fillId="0" borderId="41" xfId="0" applyFont="1" applyFill="1" applyBorder="1" applyAlignment="1">
      <alignment horizontal="center" vertical="center"/>
    </xf>
    <xf numFmtId="166" fontId="0" fillId="0" borderId="42" xfId="3" applyNumberFormat="1" applyFont="1" applyBorder="1" applyAlignment="1" applyProtection="1">
      <alignment horizontal="center" vertical="center"/>
    </xf>
    <xf numFmtId="166" fontId="0" fillId="0" borderId="50" xfId="3" applyNumberFormat="1" applyFont="1" applyBorder="1" applyAlignment="1" applyProtection="1">
      <alignment horizontal="center" vertical="center"/>
    </xf>
    <xf numFmtId="0" fontId="0" fillId="0" borderId="49" xfId="0" applyFont="1" applyBorder="1" applyAlignment="1">
      <alignment horizontal="center" vertical="center"/>
    </xf>
    <xf numFmtId="0" fontId="12" fillId="0" borderId="49" xfId="0" applyFont="1" applyBorder="1" applyAlignment="1">
      <alignment horizontal="center" vertical="center"/>
    </xf>
    <xf numFmtId="0" fontId="0" fillId="0" borderId="43" xfId="0" applyBorder="1" applyAlignment="1">
      <alignment horizontal="center" vertical="center"/>
    </xf>
    <xf numFmtId="0" fontId="0" fillId="0" borderId="44" xfId="0" applyBorder="1" applyAlignment="1">
      <alignment horizontal="center" vertical="center"/>
    </xf>
    <xf numFmtId="166" fontId="0" fillId="0" borderId="45" xfId="3" applyNumberFormat="1" applyFont="1" applyBorder="1" applyAlignment="1" applyProtection="1">
      <alignment horizontal="center" vertical="center"/>
    </xf>
    <xf numFmtId="0" fontId="26" fillId="0" borderId="0" xfId="0" applyFont="1" applyFill="1" applyBorder="1"/>
    <xf numFmtId="0" fontId="26" fillId="0" borderId="0" xfId="0" applyFont="1"/>
    <xf numFmtId="0" fontId="26" fillId="0" borderId="0" xfId="0" applyFont="1" applyBorder="1"/>
    <xf numFmtId="0" fontId="21" fillId="0" borderId="0" xfId="0" applyFont="1" applyFill="1" applyBorder="1" applyAlignment="1">
      <alignment horizontal="center" vertical="center"/>
    </xf>
    <xf numFmtId="0" fontId="0" fillId="0" borderId="0" xfId="0" applyFill="1" applyBorder="1" applyAlignment="1">
      <alignment vertical="center"/>
    </xf>
    <xf numFmtId="0" fontId="22" fillId="0" borderId="0" xfId="0" applyFont="1" applyFill="1" applyBorder="1" applyAlignment="1">
      <alignment horizontal="center" vertical="center" wrapText="1"/>
    </xf>
    <xf numFmtId="0" fontId="0" fillId="0" borderId="0" xfId="0" applyFill="1" applyBorder="1" applyAlignment="1">
      <alignment horizontal="left" vertical="center"/>
    </xf>
    <xf numFmtId="169" fontId="19" fillId="0" borderId="0" xfId="0" applyNumberFormat="1" applyFont="1" applyFill="1" applyBorder="1" applyAlignment="1">
      <alignment horizontal="center" vertical="center" wrapText="1"/>
    </xf>
    <xf numFmtId="166" fontId="21" fillId="0" borderId="0" xfId="1" applyNumberFormat="1" applyFont="1" applyFill="1" applyBorder="1" applyAlignment="1" applyProtection="1">
      <alignment horizontal="right" vertical="center" wrapText="1"/>
    </xf>
    <xf numFmtId="0" fontId="23" fillId="0" borderId="37" xfId="0" applyFont="1" applyBorder="1"/>
    <xf numFmtId="0" fontId="16" fillId="0" borderId="38" xfId="0" applyFont="1" applyBorder="1"/>
    <xf numFmtId="0" fontId="16" fillId="0" borderId="39" xfId="0" applyFont="1" applyBorder="1"/>
    <xf numFmtId="0" fontId="16" fillId="0" borderId="4" xfId="0" applyFont="1" applyBorder="1"/>
    <xf numFmtId="0" fontId="23" fillId="0" borderId="39" xfId="0" applyFont="1" applyBorder="1" applyAlignment="1">
      <alignment horizontal="left" indent="3"/>
    </xf>
    <xf numFmtId="0" fontId="16" fillId="0" borderId="0" xfId="0" applyFont="1" applyAlignment="1">
      <alignment horizontal="center"/>
    </xf>
    <xf numFmtId="0" fontId="16" fillId="0" borderId="39" xfId="0" applyFont="1" applyBorder="1" applyAlignment="1">
      <alignment horizontal="left" indent="3"/>
    </xf>
    <xf numFmtId="0" fontId="23" fillId="0" borderId="31" xfId="0" applyFont="1" applyBorder="1" applyAlignment="1">
      <alignment horizontal="left" indent="3"/>
    </xf>
    <xf numFmtId="0" fontId="23" fillId="0" borderId="0" xfId="0" applyFont="1" applyBorder="1" applyAlignment="1">
      <alignment horizontal="left" indent="3"/>
    </xf>
    <xf numFmtId="0" fontId="16" fillId="0" borderId="0" xfId="0" applyFont="1" applyBorder="1" applyAlignment="1">
      <alignment horizontal="center"/>
    </xf>
    <xf numFmtId="0" fontId="16" fillId="0" borderId="0" xfId="0" applyFont="1" applyAlignment="1">
      <alignment horizontal="center" wrapText="1"/>
    </xf>
    <xf numFmtId="0" fontId="16" fillId="0" borderId="4" xfId="0" applyFont="1" applyBorder="1" applyAlignment="1">
      <alignment horizontal="center" wrapText="1"/>
    </xf>
    <xf numFmtId="0" fontId="16" fillId="0" borderId="4" xfId="0" applyFont="1" applyBorder="1" applyAlignment="1">
      <alignment horizontal="center"/>
    </xf>
    <xf numFmtId="0" fontId="5" fillId="0" borderId="2" xfId="0" applyFont="1" applyFill="1" applyBorder="1" applyAlignment="1">
      <alignment horizontal="left" vertical="center" wrapText="1"/>
    </xf>
    <xf numFmtId="0" fontId="0" fillId="0" borderId="2" xfId="0" applyBorder="1" applyAlignment="1">
      <alignment vertical="center"/>
    </xf>
    <xf numFmtId="0" fontId="0" fillId="0" borderId="0" xfId="0" applyAlignment="1">
      <alignment horizontal="center" vertical="center"/>
    </xf>
    <xf numFmtId="0" fontId="22" fillId="0" borderId="2" xfId="0" applyFont="1" applyBorder="1" applyAlignment="1">
      <alignment horizontal="center" vertical="center" wrapText="1"/>
    </xf>
    <xf numFmtId="0" fontId="19" fillId="0" borderId="2" xfId="0" applyFont="1" applyBorder="1" applyAlignment="1">
      <alignment horizontal="center" vertical="center" wrapText="1"/>
    </xf>
    <xf numFmtId="169" fontId="19" fillId="0" borderId="2" xfId="0" applyNumberFormat="1" applyFont="1" applyBorder="1" applyAlignment="1">
      <alignment horizontal="center" vertical="center" wrapText="1"/>
    </xf>
    <xf numFmtId="166" fontId="21" fillId="0" borderId="2" xfId="1" applyNumberFormat="1" applyFont="1" applyBorder="1" applyAlignment="1" applyProtection="1">
      <alignment horizontal="right" vertical="center" wrapText="1"/>
    </xf>
    <xf numFmtId="0" fontId="16" fillId="0" borderId="0" xfId="0" applyFont="1" applyAlignment="1">
      <alignment horizontal="center"/>
    </xf>
    <xf numFmtId="0" fontId="7" fillId="0" borderId="7" xfId="0" applyFont="1" applyFill="1" applyBorder="1" applyAlignment="1">
      <alignment horizontal="center" vertical="center"/>
    </xf>
    <xf numFmtId="0" fontId="17" fillId="0" borderId="0" xfId="0" applyFont="1" applyFill="1" applyBorder="1" applyAlignment="1">
      <alignment horizontal="center"/>
    </xf>
    <xf numFmtId="0" fontId="18" fillId="0" borderId="0" xfId="0" applyFont="1" applyFill="1" applyBorder="1" applyAlignment="1">
      <alignment horizontal="left" vertical="center" wrapText="1"/>
    </xf>
    <xf numFmtId="0" fontId="24" fillId="0" borderId="0" xfId="0" applyFont="1" applyFill="1" applyBorder="1" applyAlignment="1">
      <alignment horizontal="left" wrapText="1"/>
    </xf>
    <xf numFmtId="0" fontId="16" fillId="0" borderId="4" xfId="0" applyFont="1" applyBorder="1" applyAlignment="1">
      <alignment horizontal="center"/>
    </xf>
    <xf numFmtId="0" fontId="16" fillId="0" borderId="4" xfId="0" applyFont="1" applyBorder="1" applyAlignment="1">
      <alignment horizontal="center" wrapText="1"/>
    </xf>
    <xf numFmtId="0" fontId="16" fillId="0" borderId="30" xfId="0" applyFont="1" applyBorder="1" applyAlignment="1">
      <alignment horizontal="center"/>
    </xf>
    <xf numFmtId="0" fontId="28" fillId="0" borderId="39" xfId="0" applyFont="1" applyBorder="1" applyAlignment="1">
      <alignment horizontal="center" vertical="top" wrapText="1"/>
    </xf>
    <xf numFmtId="0" fontId="28" fillId="0" borderId="0" xfId="0" applyFont="1" applyBorder="1" applyAlignment="1">
      <alignment horizontal="center" vertical="top" wrapText="1"/>
    </xf>
    <xf numFmtId="0" fontId="28" fillId="0" borderId="4" xfId="0" applyFont="1" applyBorder="1" applyAlignment="1">
      <alignment horizontal="center" vertical="top" wrapText="1"/>
    </xf>
    <xf numFmtId="0" fontId="0" fillId="0" borderId="39" xfId="0" applyBorder="1" applyAlignment="1">
      <alignment horizontal="center" vertical="top"/>
    </xf>
    <xf numFmtId="0" fontId="0" fillId="0" borderId="0" xfId="0" applyAlignment="1">
      <alignment horizontal="center" vertical="top"/>
    </xf>
    <xf numFmtId="0" fontId="0" fillId="0" borderId="4" xfId="0" applyBorder="1" applyAlignment="1">
      <alignment horizontal="center" vertical="top"/>
    </xf>
    <xf numFmtId="0" fontId="5" fillId="0" borderId="2" xfId="0" applyFont="1" applyFill="1" applyBorder="1" applyAlignment="1">
      <alignment horizontal="left" vertical="center" wrapText="1"/>
    </xf>
    <xf numFmtId="167" fontId="25" fillId="0" borderId="31" xfId="0" applyNumberFormat="1" applyFont="1" applyFill="1" applyBorder="1" applyAlignment="1">
      <alignment horizontal="center" vertical="center"/>
    </xf>
    <xf numFmtId="167" fontId="25" fillId="0" borderId="30" xfId="0" applyNumberFormat="1" applyFont="1" applyFill="1" applyBorder="1" applyAlignment="1">
      <alignment horizontal="center" vertical="center"/>
    </xf>
    <xf numFmtId="0" fontId="7" fillId="0" borderId="31" xfId="0" applyFont="1" applyFill="1" applyBorder="1" applyAlignment="1">
      <alignment horizontal="left" vertical="center" wrapText="1" indent="1"/>
    </xf>
    <xf numFmtId="0" fontId="7" fillId="0" borderId="5" xfId="0" applyFont="1" applyFill="1" applyBorder="1" applyAlignment="1">
      <alignment horizontal="left" vertical="center" wrapText="1" indent="1"/>
    </xf>
    <xf numFmtId="0" fontId="7" fillId="0" borderId="30" xfId="0" applyFont="1" applyFill="1" applyBorder="1" applyAlignment="1">
      <alignment horizontal="left" vertical="center" wrapText="1" indent="1"/>
    </xf>
    <xf numFmtId="0" fontId="6" fillId="0" borderId="0" xfId="0" applyFont="1" applyFill="1" applyBorder="1" applyAlignment="1">
      <alignment horizontal="center" vertical="center"/>
    </xf>
    <xf numFmtId="0" fontId="8" fillId="0" borderId="9" xfId="0" applyFont="1" applyFill="1" applyBorder="1" applyAlignment="1">
      <alignment horizontal="left" vertical="center" wrapText="1"/>
    </xf>
    <xf numFmtId="0" fontId="7" fillId="0" borderId="10" xfId="0" applyFont="1" applyFill="1" applyBorder="1" applyAlignment="1">
      <alignment horizontal="left" vertical="center" wrapText="1" indent="1"/>
    </xf>
    <xf numFmtId="0" fontId="8" fillId="0" borderId="11" xfId="0" applyFont="1" applyFill="1" applyBorder="1" applyAlignment="1">
      <alignment horizontal="left" vertical="center" wrapText="1"/>
    </xf>
    <xf numFmtId="0" fontId="8" fillId="0" borderId="12" xfId="0" applyFont="1" applyFill="1" applyBorder="1" applyAlignment="1">
      <alignment horizontal="left" vertical="center"/>
    </xf>
    <xf numFmtId="0" fontId="7" fillId="0" borderId="13" xfId="0" applyFont="1" applyFill="1" applyBorder="1" applyAlignment="1">
      <alignment horizontal="left" vertical="center" wrapText="1" indent="1"/>
    </xf>
    <xf numFmtId="0" fontId="9" fillId="0" borderId="14" xfId="0" applyFont="1" applyFill="1" applyBorder="1" applyAlignment="1">
      <alignment horizontal="center" vertical="center" wrapText="1"/>
    </xf>
    <xf numFmtId="0" fontId="9" fillId="0" borderId="47" xfId="0" applyFont="1" applyFill="1" applyBorder="1" applyAlignment="1">
      <alignment horizontal="center" vertical="center" wrapText="1"/>
    </xf>
    <xf numFmtId="0" fontId="9" fillId="0" borderId="13" xfId="0" applyFont="1" applyFill="1" applyBorder="1" applyAlignment="1">
      <alignment horizontal="center" vertical="center" wrapText="1"/>
    </xf>
    <xf numFmtId="0" fontId="9" fillId="0" borderId="48" xfId="0" applyFont="1" applyFill="1" applyBorder="1" applyAlignment="1">
      <alignment horizontal="center" vertical="center" wrapText="1"/>
    </xf>
    <xf numFmtId="0" fontId="9" fillId="0" borderId="12" xfId="0" applyFont="1" applyFill="1" applyBorder="1" applyAlignment="1">
      <alignment horizontal="center" vertical="center"/>
    </xf>
    <xf numFmtId="0" fontId="9" fillId="0" borderId="46" xfId="0" applyFont="1" applyFill="1" applyBorder="1" applyAlignment="1">
      <alignment horizontal="center" vertical="center"/>
    </xf>
    <xf numFmtId="0" fontId="0" fillId="0" borderId="41" xfId="0" applyBorder="1" applyAlignment="1">
      <alignment horizontal="left" vertical="center" wrapText="1"/>
    </xf>
    <xf numFmtId="0" fontId="0" fillId="0" borderId="41" xfId="0" applyFont="1" applyBorder="1" applyAlignment="1">
      <alignment horizontal="left" vertical="center" wrapText="1"/>
    </xf>
    <xf numFmtId="0" fontId="10" fillId="0" borderId="15" xfId="0" applyFont="1" applyBorder="1" applyAlignment="1">
      <alignment vertical="center" wrapText="1"/>
    </xf>
    <xf numFmtId="0" fontId="10" fillId="0" borderId="27" xfId="0" applyFont="1" applyBorder="1" applyAlignment="1">
      <alignment vertical="center" wrapText="1"/>
    </xf>
    <xf numFmtId="0" fontId="10" fillId="0" borderId="13" xfId="0" applyFont="1" applyBorder="1" applyAlignment="1">
      <alignment vertical="center" wrapText="1"/>
    </xf>
    <xf numFmtId="0" fontId="12" fillId="0" borderId="22" xfId="0" applyFont="1" applyBorder="1" applyAlignment="1">
      <alignment vertical="center" wrapText="1"/>
    </xf>
    <xf numFmtId="0" fontId="12" fillId="0" borderId="26" xfId="0" applyFont="1" applyFill="1" applyBorder="1" applyAlignment="1">
      <alignment horizontal="left" vertical="center" wrapText="1" indent="1"/>
    </xf>
    <xf numFmtId="0" fontId="0" fillId="0" borderId="2" xfId="0" applyFont="1" applyBorder="1" applyAlignment="1">
      <alignment horizontal="left" vertical="center"/>
    </xf>
    <xf numFmtId="0" fontId="0" fillId="0" borderId="2" xfId="0" applyBorder="1" applyAlignment="1">
      <alignment horizontal="left" vertical="center"/>
    </xf>
    <xf numFmtId="0" fontId="0" fillId="0" borderId="44" xfId="0" applyBorder="1" applyAlignment="1">
      <alignment horizontal="left" vertical="center"/>
    </xf>
    <xf numFmtId="0" fontId="27" fillId="0" borderId="26" xfId="0" applyFont="1" applyBorder="1" applyAlignment="1">
      <alignment horizontal="left" vertical="center" wrapText="1"/>
    </xf>
    <xf numFmtId="0" fontId="0" fillId="0" borderId="17" xfId="0" applyBorder="1"/>
    <xf numFmtId="0" fontId="12" fillId="0" borderId="18" xfId="0" applyFont="1" applyBorder="1"/>
    <xf numFmtId="0" fontId="12" fillId="0" borderId="19" xfId="0" applyFont="1" applyFill="1" applyBorder="1" applyAlignment="1">
      <alignment horizontal="left" vertical="center" wrapText="1" indent="1"/>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4" fillId="0" borderId="17" xfId="0" applyFont="1" applyBorder="1" applyAlignment="1">
      <alignment horizontal="center" vertical="center" wrapText="1"/>
    </xf>
    <xf numFmtId="0" fontId="14" fillId="0" borderId="22" xfId="0" applyFont="1" applyBorder="1" applyAlignment="1">
      <alignment horizontal="center" vertical="center"/>
    </xf>
    <xf numFmtId="0" fontId="5" fillId="0" borderId="9"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12" fillId="0" borderId="7" xfId="0" applyFont="1" applyBorder="1" applyAlignment="1">
      <alignment horizontal="left" indent="1"/>
    </xf>
    <xf numFmtId="0" fontId="13" fillId="0" borderId="7" xfId="0" applyFont="1" applyBorder="1" applyAlignment="1">
      <alignment horizontal="left"/>
    </xf>
    <xf numFmtId="0" fontId="0" fillId="0" borderId="15" xfId="0" applyFont="1" applyBorder="1" applyAlignment="1">
      <alignment horizontal="center"/>
    </xf>
    <xf numFmtId="3" fontId="10" fillId="0" borderId="16" xfId="0" applyNumberFormat="1" applyFont="1" applyBorder="1" applyAlignment="1">
      <alignment horizontal="center"/>
    </xf>
    <xf numFmtId="0" fontId="11" fillId="0" borderId="7" xfId="0" applyFont="1" applyBorder="1" applyAlignment="1">
      <alignment horizontal="center" vertical="center" wrapText="1"/>
    </xf>
    <xf numFmtId="0" fontId="3" fillId="0" borderId="7" xfId="0" applyFont="1" applyBorder="1"/>
  </cellXfs>
  <cellStyles count="6">
    <cellStyle name="Encabezado 1" xfId="2" xr:uid="{00000000-0005-0000-0000-000000000000}"/>
    <cellStyle name="Moneda" xfId="1" builtinId="4"/>
    <cellStyle name="Moneda_AUTORIZACION Y NOTA DE PEDIDO" xfId="3" xr:uid="{00000000-0005-0000-0000-000002000000}"/>
    <cellStyle name="Neutral 1" xfId="4" xr:uid="{00000000-0005-0000-0000-000003000000}"/>
    <cellStyle name="Normal" xfId="0" builtinId="0"/>
    <cellStyle name="Normal 2" xfId="5" xr:uid="{00000000-0005-0000-0000-000005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733320</xdr:colOff>
      <xdr:row>0</xdr:row>
      <xdr:rowOff>0</xdr:rowOff>
    </xdr:to>
    <xdr:sp macro="" textlink="">
      <xdr:nvSpPr>
        <xdr:cNvPr id="2" name="Freeform 1">
          <a:extLst>
            <a:ext uri="{FF2B5EF4-FFF2-40B4-BE49-F238E27FC236}">
              <a16:creationId xmlns:a16="http://schemas.microsoft.com/office/drawing/2014/main" id="{00000000-0008-0000-0200-000002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3" name="Freeform 1">
          <a:extLst>
            <a:ext uri="{FF2B5EF4-FFF2-40B4-BE49-F238E27FC236}">
              <a16:creationId xmlns:a16="http://schemas.microsoft.com/office/drawing/2014/main" id="{00000000-0008-0000-0200-000003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4" name="Freeform 1">
          <a:extLst>
            <a:ext uri="{FF2B5EF4-FFF2-40B4-BE49-F238E27FC236}">
              <a16:creationId xmlns:a16="http://schemas.microsoft.com/office/drawing/2014/main" id="{00000000-0008-0000-0200-000004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twoCellAnchor>
    <xdr:from>
      <xdr:col>16</xdr:col>
      <xdr:colOff>733320</xdr:colOff>
      <xdr:row>0</xdr:row>
      <xdr:rowOff>0</xdr:rowOff>
    </xdr:from>
    <xdr:to>
      <xdr:col>16</xdr:col>
      <xdr:colOff>733320</xdr:colOff>
      <xdr:row>0</xdr:row>
      <xdr:rowOff>0</xdr:rowOff>
    </xdr:to>
    <xdr:sp macro="" textlink="">
      <xdr:nvSpPr>
        <xdr:cNvPr id="5" name="Freeform 1">
          <a:extLst>
            <a:ext uri="{FF2B5EF4-FFF2-40B4-BE49-F238E27FC236}">
              <a16:creationId xmlns:a16="http://schemas.microsoft.com/office/drawing/2014/main" id="{00000000-0008-0000-0200-000005000000}"/>
            </a:ext>
          </a:extLst>
        </xdr:cNvPr>
        <xdr:cNvSpPr/>
      </xdr:nvSpPr>
      <xdr:spPr>
        <a:xfrm>
          <a:off x="6897600" y="0"/>
          <a:ext cx="360" cy="360"/>
        </a:xfrm>
        <a:custGeom>
          <a:avLst/>
          <a:gdLst/>
          <a:ahLst/>
          <a:cxnLst/>
          <a:rect l="0" t="0" r="r" b="b"/>
          <a:pathLst>
            <a:path w="1" h="1">
              <a:moveTo>
                <a:pt x="0" y="0"/>
              </a:moveTo>
              <a:lnTo>
                <a:pt x="0" y="0"/>
              </a:lnTo>
            </a:path>
          </a:pathLst>
        </a:custGeom>
        <a:ln w="28440">
          <a:solidFill>
            <a:srgbClr val="3D3D3D"/>
          </a:solidFill>
          <a:miter/>
        </a:ln>
      </xdr:spPr>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9" zoomScale="77" zoomScaleNormal="77" workbookViewId="0">
      <selection activeCell="H16" sqref="H16"/>
    </sheetView>
  </sheetViews>
  <sheetFormatPr baseColWidth="10" defaultColWidth="11" defaultRowHeight="23.25" x14ac:dyDescent="0.35"/>
  <cols>
    <col min="1" max="1" width="4.5703125" style="17" customWidth="1"/>
    <col min="2" max="2" width="14.5703125" style="36" customWidth="1"/>
    <col min="3" max="3" width="32.42578125" style="35" customWidth="1"/>
    <col min="4" max="4" width="8.42578125" style="17" customWidth="1"/>
    <col min="5" max="5" width="79" style="37" customWidth="1"/>
    <col min="6" max="6" width="11" style="17"/>
    <col min="7" max="7" width="12.7109375" style="17" customWidth="1"/>
    <col min="8" max="8" width="13.85546875" style="20" customWidth="1"/>
    <col min="9" max="9" width="18.5703125" style="17" customWidth="1"/>
    <col min="10" max="10" width="12.5703125" style="17" bestFit="1" customWidth="1"/>
    <col min="11" max="11" width="11" style="73"/>
    <col min="12" max="16384" width="11" style="17"/>
  </cols>
  <sheetData>
    <row r="1" spans="1:11" s="36" customFormat="1" x14ac:dyDescent="0.35">
      <c r="C1" s="41"/>
      <c r="E1" s="37"/>
      <c r="H1" s="42"/>
      <c r="K1" s="72"/>
    </row>
    <row r="2" spans="1:11" s="36" customFormat="1" ht="27" x14ac:dyDescent="0.35">
      <c r="B2" s="103" t="s">
        <v>0</v>
      </c>
      <c r="C2" s="103"/>
      <c r="D2" s="103"/>
      <c r="E2" s="103"/>
      <c r="F2" s="103"/>
      <c r="G2" s="103"/>
      <c r="H2" s="103"/>
      <c r="K2" s="72"/>
    </row>
    <row r="3" spans="1:11" s="36" customFormat="1" x14ac:dyDescent="0.35">
      <c r="C3" s="41"/>
      <c r="E3" s="37"/>
      <c r="H3" s="42"/>
      <c r="K3" s="72"/>
    </row>
    <row r="4" spans="1:11" s="36" customFormat="1" ht="18" customHeight="1" x14ac:dyDescent="0.35">
      <c r="A4" s="104" t="s">
        <v>1</v>
      </c>
      <c r="B4" s="104"/>
      <c r="C4" s="105" t="s">
        <v>64</v>
      </c>
      <c r="D4" s="105"/>
      <c r="E4" s="105"/>
      <c r="F4" s="39"/>
      <c r="G4" s="43"/>
      <c r="H4" s="44"/>
      <c r="K4" s="72"/>
    </row>
    <row r="5" spans="1:11" s="36" customFormat="1" ht="18" customHeight="1" x14ac:dyDescent="0.35">
      <c r="A5" s="104" t="s">
        <v>2</v>
      </c>
      <c r="B5" s="104"/>
      <c r="C5" s="105" t="s">
        <v>54</v>
      </c>
      <c r="D5" s="105"/>
      <c r="E5" s="105"/>
      <c r="F5" s="39"/>
      <c r="G5" s="43"/>
      <c r="H5" s="44"/>
      <c r="K5" s="72"/>
    </row>
    <row r="6" spans="1:11" s="36" customFormat="1" ht="16.5" customHeight="1" x14ac:dyDescent="0.35">
      <c r="A6" s="104" t="s">
        <v>3</v>
      </c>
      <c r="B6" s="104"/>
      <c r="C6" s="45">
        <v>2021</v>
      </c>
      <c r="D6" s="46"/>
      <c r="E6" s="38"/>
      <c r="F6" s="39"/>
      <c r="G6" s="43"/>
      <c r="H6" s="44"/>
      <c r="K6" s="72"/>
    </row>
    <row r="7" spans="1:11" s="36" customFormat="1" ht="16.5" customHeight="1" x14ac:dyDescent="0.35">
      <c r="A7" s="104" t="s">
        <v>4</v>
      </c>
      <c r="B7" s="104"/>
      <c r="C7" s="45">
        <v>4</v>
      </c>
      <c r="D7" s="46"/>
      <c r="E7" s="38"/>
      <c r="F7" s="39"/>
      <c r="G7" s="43"/>
      <c r="H7" s="44"/>
      <c r="K7" s="72"/>
    </row>
    <row r="8" spans="1:11" s="36" customFormat="1" ht="24" thickBot="1" x14ac:dyDescent="0.4">
      <c r="B8" s="39"/>
      <c r="C8" s="47"/>
      <c r="D8" s="39"/>
      <c r="E8" s="40"/>
      <c r="F8" s="39"/>
      <c r="G8" s="43"/>
      <c r="H8" s="44"/>
      <c r="K8" s="72"/>
    </row>
    <row r="9" spans="1:11" ht="38.25" x14ac:dyDescent="0.35">
      <c r="A9" s="48" t="s">
        <v>5</v>
      </c>
      <c r="B9" s="49" t="s">
        <v>6</v>
      </c>
      <c r="C9" s="50" t="s">
        <v>57</v>
      </c>
      <c r="D9" s="51" t="s">
        <v>7</v>
      </c>
      <c r="E9" s="49" t="s">
        <v>8</v>
      </c>
      <c r="F9" s="50" t="s">
        <v>9</v>
      </c>
      <c r="G9" s="52" t="s">
        <v>10</v>
      </c>
      <c r="H9" s="53" t="s">
        <v>11</v>
      </c>
      <c r="I9" s="54" t="s">
        <v>12</v>
      </c>
    </row>
    <row r="10" spans="1:11" s="36" customFormat="1" ht="58.5" customHeight="1" x14ac:dyDescent="0.35">
      <c r="A10" s="34">
        <v>1</v>
      </c>
      <c r="B10" s="95" t="s">
        <v>66</v>
      </c>
      <c r="C10" s="62" t="s">
        <v>56</v>
      </c>
      <c r="D10" s="97" t="str">
        <f t="shared" ref="D10" si="0">LEFT(B10,5)</f>
        <v>3.9.9</v>
      </c>
      <c r="E10" s="96" t="s">
        <v>67</v>
      </c>
      <c r="F10" s="98" t="s">
        <v>68</v>
      </c>
      <c r="G10" s="98">
        <v>3</v>
      </c>
      <c r="H10" s="99">
        <v>715680</v>
      </c>
      <c r="I10" s="100">
        <f t="shared" ref="I10" si="1">H10*G10</f>
        <v>2147040</v>
      </c>
      <c r="J10" s="59"/>
      <c r="K10" s="72"/>
    </row>
    <row r="11" spans="1:11" s="36" customFormat="1" ht="15.75" customHeight="1" x14ac:dyDescent="0.35">
      <c r="A11" s="75"/>
      <c r="B11" s="76"/>
      <c r="C11" s="76"/>
      <c r="D11" s="77"/>
      <c r="E11" s="78"/>
      <c r="F11" s="47"/>
      <c r="G11" s="47"/>
      <c r="H11" s="79"/>
      <c r="I11" s="80"/>
      <c r="J11" s="59"/>
      <c r="K11" s="72"/>
    </row>
    <row r="12" spans="1:11" s="36" customFormat="1" ht="14.25" customHeight="1" thickBot="1" x14ac:dyDescent="0.4">
      <c r="A12" s="75"/>
      <c r="B12" s="76"/>
      <c r="C12" s="89"/>
      <c r="D12" s="90"/>
      <c r="E12" s="90"/>
      <c r="F12" s="90"/>
      <c r="G12" s="47"/>
      <c r="H12" s="79"/>
      <c r="I12" s="80"/>
      <c r="J12" s="59"/>
      <c r="K12" s="72"/>
    </row>
    <row r="13" spans="1:11" s="36" customFormat="1" ht="14.25" customHeight="1" x14ac:dyDescent="0.35">
      <c r="A13" s="75"/>
      <c r="B13" s="76"/>
      <c r="C13" s="81" t="s">
        <v>69</v>
      </c>
      <c r="D13" s="18"/>
      <c r="E13" s="18"/>
      <c r="F13" s="82"/>
      <c r="G13" s="47"/>
      <c r="H13" s="79"/>
      <c r="I13" s="80"/>
      <c r="J13" s="59"/>
      <c r="K13" s="72"/>
    </row>
    <row r="14" spans="1:11" s="36" customFormat="1" ht="14.25" customHeight="1" x14ac:dyDescent="0.35">
      <c r="A14" s="75"/>
      <c r="B14" s="76"/>
      <c r="C14" s="83"/>
      <c r="D14" s="17"/>
      <c r="E14" s="17"/>
      <c r="F14" s="84"/>
      <c r="G14" s="47"/>
      <c r="H14" s="79"/>
      <c r="I14" s="80"/>
      <c r="J14" s="59"/>
      <c r="K14" s="72"/>
    </row>
    <row r="15" spans="1:11" s="36" customFormat="1" ht="14.25" customHeight="1" x14ac:dyDescent="0.35">
      <c r="A15" s="75"/>
      <c r="B15" s="76"/>
      <c r="C15" s="85" t="s">
        <v>13</v>
      </c>
      <c r="D15" s="17"/>
      <c r="E15" s="17"/>
      <c r="F15" s="84"/>
      <c r="G15" s="47"/>
      <c r="H15" s="79"/>
      <c r="I15" s="80"/>
      <c r="J15" s="59"/>
      <c r="K15" s="72"/>
    </row>
    <row r="16" spans="1:11" s="36" customFormat="1" ht="408.75" customHeight="1" x14ac:dyDescent="0.35">
      <c r="A16" s="75"/>
      <c r="B16" s="76"/>
      <c r="C16" s="109" t="s">
        <v>78</v>
      </c>
      <c r="D16" s="110"/>
      <c r="E16" s="110"/>
      <c r="F16" s="111"/>
      <c r="G16" s="47"/>
      <c r="H16" s="79"/>
      <c r="I16" s="80"/>
      <c r="J16" s="59"/>
      <c r="K16" s="72"/>
    </row>
    <row r="17" spans="1:11" s="36" customFormat="1" ht="14.25" customHeight="1" x14ac:dyDescent="0.35">
      <c r="A17" s="75"/>
      <c r="B17" s="76"/>
      <c r="C17" s="112"/>
      <c r="D17" s="113"/>
      <c r="E17" s="113"/>
      <c r="F17" s="114"/>
      <c r="G17" s="47"/>
      <c r="H17" s="79"/>
      <c r="I17" s="80"/>
      <c r="J17" s="59"/>
      <c r="K17" s="72"/>
    </row>
    <row r="18" spans="1:11" s="36" customFormat="1" ht="14.25" customHeight="1" x14ac:dyDescent="0.35">
      <c r="A18" s="75"/>
      <c r="B18" s="76"/>
      <c r="C18" s="85"/>
      <c r="D18" s="86"/>
      <c r="E18" s="86"/>
      <c r="F18" s="93"/>
      <c r="G18" s="47"/>
      <c r="H18" s="79"/>
      <c r="I18" s="80"/>
      <c r="J18" s="59"/>
      <c r="K18" s="72"/>
    </row>
    <row r="19" spans="1:11" s="36" customFormat="1" ht="14.25" customHeight="1" x14ac:dyDescent="0.35">
      <c r="A19" s="75"/>
      <c r="B19" s="76"/>
      <c r="C19" s="85" t="s">
        <v>59</v>
      </c>
      <c r="D19" s="17"/>
      <c r="E19" s="101" t="s">
        <v>76</v>
      </c>
      <c r="F19" s="84"/>
      <c r="G19" s="47"/>
      <c r="H19" s="79"/>
      <c r="I19" s="80"/>
      <c r="J19" s="59"/>
      <c r="K19" s="72"/>
    </row>
    <row r="20" spans="1:11" s="36" customFormat="1" ht="14.25" customHeight="1" x14ac:dyDescent="0.35">
      <c r="A20" s="75"/>
      <c r="B20" s="76"/>
      <c r="C20" s="87"/>
      <c r="D20" s="106"/>
      <c r="E20" s="106"/>
      <c r="F20" s="106"/>
      <c r="G20" s="47"/>
      <c r="H20" s="79"/>
      <c r="I20" s="80"/>
      <c r="J20" s="59"/>
      <c r="K20" s="72"/>
    </row>
    <row r="21" spans="1:11" s="36" customFormat="1" ht="14.25" customHeight="1" x14ac:dyDescent="0.35">
      <c r="A21" s="75"/>
      <c r="B21" s="76"/>
      <c r="C21" s="85" t="s">
        <v>60</v>
      </c>
      <c r="D21" s="106" t="s">
        <v>62</v>
      </c>
      <c r="E21" s="106"/>
      <c r="F21" s="106"/>
      <c r="G21" s="47"/>
      <c r="H21" s="79"/>
      <c r="I21" s="80"/>
      <c r="J21" s="59"/>
      <c r="K21" s="72"/>
    </row>
    <row r="22" spans="1:11" s="19" customFormat="1" ht="14.25" customHeight="1" x14ac:dyDescent="0.35">
      <c r="B22" s="36"/>
      <c r="C22" s="85"/>
      <c r="D22" s="86"/>
      <c r="E22" s="86"/>
      <c r="F22" s="93"/>
      <c r="H22" s="33"/>
      <c r="K22" s="74"/>
    </row>
    <row r="23" spans="1:11" s="19" customFormat="1" ht="26.25" customHeight="1" x14ac:dyDescent="0.35">
      <c r="B23" s="36"/>
      <c r="C23" s="85" t="s">
        <v>61</v>
      </c>
      <c r="D23" s="86"/>
      <c r="E23" s="86"/>
      <c r="F23" s="93"/>
      <c r="H23" s="33"/>
      <c r="K23" s="74"/>
    </row>
    <row r="24" spans="1:11" x14ac:dyDescent="0.35">
      <c r="C24" s="85"/>
      <c r="D24" s="86"/>
      <c r="E24" s="86"/>
      <c r="F24" s="93"/>
    </row>
    <row r="25" spans="1:11" x14ac:dyDescent="0.35">
      <c r="C25" s="85" t="s">
        <v>14</v>
      </c>
      <c r="E25" s="17"/>
      <c r="F25" s="84"/>
    </row>
    <row r="26" spans="1:11" x14ac:dyDescent="0.35">
      <c r="C26" s="87"/>
      <c r="D26" s="107"/>
      <c r="E26" s="107"/>
      <c r="F26" s="107"/>
    </row>
    <row r="27" spans="1:11" x14ac:dyDescent="0.35">
      <c r="C27" s="85" t="s">
        <v>15</v>
      </c>
      <c r="D27" s="91"/>
      <c r="E27" s="91"/>
      <c r="F27" s="92"/>
    </row>
    <row r="28" spans="1:11" x14ac:dyDescent="0.35">
      <c r="C28" s="87"/>
      <c r="D28" s="107" t="s">
        <v>73</v>
      </c>
      <c r="E28" s="107"/>
      <c r="F28" s="107"/>
    </row>
    <row r="29" spans="1:11" x14ac:dyDescent="0.35">
      <c r="C29" s="85" t="s">
        <v>16</v>
      </c>
      <c r="E29" s="101"/>
      <c r="F29" s="84"/>
    </row>
    <row r="30" spans="1:11" ht="24" thickBot="1" x14ac:dyDescent="0.4">
      <c r="C30" s="88"/>
      <c r="D30" s="108"/>
      <c r="E30" s="108"/>
      <c r="F30" s="108"/>
    </row>
  </sheetData>
  <mergeCells count="13">
    <mergeCell ref="D21:F21"/>
    <mergeCell ref="D26:F26"/>
    <mergeCell ref="D28:F28"/>
    <mergeCell ref="D30:F30"/>
    <mergeCell ref="A6:B6"/>
    <mergeCell ref="A7:B7"/>
    <mergeCell ref="D20:F20"/>
    <mergeCell ref="C16:F17"/>
    <mergeCell ref="B2:H2"/>
    <mergeCell ref="A4:B4"/>
    <mergeCell ref="C4:E4"/>
    <mergeCell ref="A5:B5"/>
    <mergeCell ref="C5:E5"/>
  </mergeCells>
  <pageMargins left="0.7" right="0.7" top="0.75" bottom="0.75" header="0.51180555555555496" footer="0.51180555555555496"/>
  <pageSetup paperSize="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13"/>
  <sheetViews>
    <sheetView zoomScale="90" zoomScaleNormal="90" workbookViewId="0">
      <selection activeCell="K1" sqref="K1"/>
    </sheetView>
  </sheetViews>
  <sheetFormatPr baseColWidth="10" defaultColWidth="9.140625" defaultRowHeight="50.1" customHeight="1" x14ac:dyDescent="0.2"/>
  <cols>
    <col min="1" max="1" width="5.5703125" style="23" customWidth="1"/>
    <col min="2" max="2" width="15.140625" style="23" customWidth="1"/>
    <col min="3" max="3" width="14.140625" style="32" customWidth="1"/>
    <col min="4" max="4" width="26" style="32" customWidth="1"/>
    <col min="5" max="5" width="8" style="32" customWidth="1"/>
    <col min="6" max="6" width="7.85546875" style="32" customWidth="1"/>
    <col min="7" max="7" width="42" style="32" customWidth="1"/>
    <col min="8" max="8" width="9.28515625" style="23" customWidth="1"/>
    <col min="9" max="9" width="15.5703125" style="23" customWidth="1"/>
    <col min="10" max="10" width="14.7109375" style="23" customWidth="1"/>
    <col min="11" max="11" width="15.5703125" style="23" customWidth="1"/>
    <col min="12" max="14" width="5.85546875" style="23" customWidth="1"/>
    <col min="15" max="15" width="12.5703125" style="23" customWidth="1"/>
    <col min="16" max="1024" width="9.140625" style="23"/>
    <col min="1025" max="16384" width="9.140625" style="21"/>
  </cols>
  <sheetData>
    <row r="1" spans="1:11" ht="27.75" customHeight="1" x14ac:dyDescent="0.2">
      <c r="A1" s="121" t="s">
        <v>17</v>
      </c>
      <c r="B1" s="121"/>
      <c r="C1" s="121"/>
      <c r="D1" s="121"/>
      <c r="E1" s="121"/>
      <c r="F1" s="121"/>
      <c r="G1" s="121"/>
      <c r="H1" s="121"/>
      <c r="I1" s="121"/>
      <c r="J1" s="22" t="s">
        <v>18</v>
      </c>
      <c r="K1" s="102" t="s">
        <v>77</v>
      </c>
    </row>
    <row r="2" spans="1:11" ht="12" customHeight="1" thickBot="1" x14ac:dyDescent="0.25">
      <c r="A2" s="24"/>
      <c r="B2" s="24"/>
      <c r="C2" s="28"/>
      <c r="D2" s="29"/>
      <c r="E2" s="29"/>
      <c r="F2" s="29"/>
      <c r="G2" s="29"/>
      <c r="H2" s="25"/>
      <c r="I2" s="25"/>
      <c r="J2" s="25"/>
      <c r="K2" s="25"/>
    </row>
    <row r="3" spans="1:11" ht="22.5" customHeight="1" thickBot="1" x14ac:dyDescent="0.25">
      <c r="A3" s="122" t="s">
        <v>51</v>
      </c>
      <c r="B3" s="122"/>
      <c r="C3" s="122"/>
      <c r="D3" s="123" t="str">
        <f>'Necesidades Trimestrales'!C4</f>
        <v>40-Ministerio de Salud</v>
      </c>
      <c r="E3" s="123"/>
      <c r="F3" s="123"/>
      <c r="G3" s="123"/>
      <c r="H3" s="123"/>
      <c r="I3" s="123"/>
      <c r="J3" s="123"/>
      <c r="K3" s="123"/>
    </row>
    <row r="4" spans="1:11" ht="16.5" customHeight="1" thickBot="1" x14ac:dyDescent="0.25">
      <c r="A4" s="124" t="s">
        <v>52</v>
      </c>
      <c r="B4" s="124"/>
      <c r="C4" s="124"/>
      <c r="D4" s="123" t="str">
        <f>'Necesidades Trimestrales'!C5</f>
        <v>28- Maternidad Provincial 25 de Mayo</v>
      </c>
      <c r="E4" s="123"/>
      <c r="F4" s="123"/>
      <c r="G4" s="123"/>
      <c r="H4" s="123"/>
      <c r="I4" s="123"/>
      <c r="J4" s="123"/>
      <c r="K4" s="123"/>
    </row>
    <row r="5" spans="1:11" ht="17.25" customHeight="1" thickBot="1" x14ac:dyDescent="0.25">
      <c r="A5" s="124" t="s">
        <v>30</v>
      </c>
      <c r="B5" s="124"/>
      <c r="C5" s="124"/>
      <c r="D5" s="123" t="s">
        <v>65</v>
      </c>
      <c r="E5" s="123"/>
      <c r="F5" s="123"/>
      <c r="G5" s="123"/>
      <c r="H5" s="123"/>
      <c r="I5" s="123"/>
      <c r="J5" s="123"/>
      <c r="K5" s="123"/>
    </row>
    <row r="6" spans="1:11" ht="20.25" customHeight="1" thickBot="1" x14ac:dyDescent="0.25">
      <c r="A6" s="122" t="s">
        <v>53</v>
      </c>
      <c r="B6" s="122"/>
      <c r="C6" s="122"/>
      <c r="D6" s="123" t="s">
        <v>55</v>
      </c>
      <c r="E6" s="123"/>
      <c r="F6" s="123"/>
      <c r="G6" s="123"/>
      <c r="H6" s="123"/>
      <c r="I6" s="123"/>
      <c r="J6" s="123"/>
      <c r="K6" s="123"/>
    </row>
    <row r="7" spans="1:11" ht="18.75" customHeight="1" x14ac:dyDescent="0.2">
      <c r="A7" s="124" t="s">
        <v>19</v>
      </c>
      <c r="B7" s="124"/>
      <c r="C7" s="124"/>
      <c r="D7" s="123" t="str">
        <f>'Necesidades Trimestrales'!C7 &amp; "° Trimestre - Año " &amp; 'Necesidades Trimestrales'!C6</f>
        <v>4° Trimestre - Año 2021</v>
      </c>
      <c r="E7" s="123"/>
      <c r="F7" s="123"/>
      <c r="G7" s="123"/>
      <c r="H7" s="123"/>
      <c r="I7" s="123"/>
      <c r="J7" s="123"/>
      <c r="K7" s="123"/>
    </row>
    <row r="8" spans="1:11" ht="16.5" customHeight="1" x14ac:dyDescent="0.2">
      <c r="A8" s="125" t="s">
        <v>20</v>
      </c>
      <c r="B8" s="125"/>
      <c r="C8" s="125"/>
      <c r="D8" s="126" t="s">
        <v>71</v>
      </c>
      <c r="E8" s="126"/>
      <c r="F8" s="126"/>
      <c r="G8" s="126"/>
      <c r="H8" s="126"/>
      <c r="I8" s="126"/>
      <c r="J8" s="126"/>
      <c r="K8" s="126"/>
    </row>
    <row r="9" spans="1:11" ht="18" customHeight="1" x14ac:dyDescent="0.2">
      <c r="A9" s="26"/>
      <c r="B9" s="26"/>
      <c r="C9" s="30"/>
      <c r="D9" s="31"/>
      <c r="E9" s="31"/>
      <c r="F9" s="31"/>
      <c r="G9" s="31"/>
      <c r="H9" s="27"/>
      <c r="I9" s="27"/>
      <c r="J9" s="27"/>
      <c r="K9" s="27"/>
    </row>
    <row r="10" spans="1:11" ht="50.1" customHeight="1" thickBot="1" x14ac:dyDescent="0.25">
      <c r="A10" s="131" t="s">
        <v>21</v>
      </c>
      <c r="B10" s="127" t="s">
        <v>22</v>
      </c>
      <c r="C10" s="127" t="s">
        <v>23</v>
      </c>
      <c r="D10" s="127"/>
      <c r="E10" s="127"/>
      <c r="F10" s="127"/>
      <c r="G10" s="127"/>
      <c r="H10" s="127" t="s">
        <v>24</v>
      </c>
      <c r="I10" s="127" t="s">
        <v>25</v>
      </c>
      <c r="J10" s="127" t="s">
        <v>26</v>
      </c>
      <c r="K10" s="129" t="s">
        <v>27</v>
      </c>
    </row>
    <row r="11" spans="1:11" ht="50.1" customHeight="1" thickBot="1" x14ac:dyDescent="0.25">
      <c r="A11" s="132"/>
      <c r="B11" s="128"/>
      <c r="C11" s="128"/>
      <c r="D11" s="128"/>
      <c r="E11" s="128"/>
      <c r="F11" s="128"/>
      <c r="G11" s="128"/>
      <c r="H11" s="128"/>
      <c r="I11" s="128"/>
      <c r="J11" s="128"/>
      <c r="K11" s="130"/>
    </row>
    <row r="12" spans="1:11" ht="50.1" customHeight="1" x14ac:dyDescent="0.2">
      <c r="A12" s="57">
        <f>'Necesidades Trimestrales'!A10</f>
        <v>1</v>
      </c>
      <c r="B12" s="94" t="str">
        <f>'Necesidades Trimestrales'!B10</f>
        <v>3.9.9-3161.1</v>
      </c>
      <c r="C12" s="115" t="str">
        <f>'Necesidades Trimestrales'!E10</f>
        <v>SERVICIO DE COMIDA; DESCRIPCION: SERVICIO DE COMIDA</v>
      </c>
      <c r="D12" s="115"/>
      <c r="E12" s="115"/>
      <c r="F12" s="115"/>
      <c r="G12" s="115"/>
      <c r="H12" s="55" t="s">
        <v>63</v>
      </c>
      <c r="I12" s="55" t="str">
        <f>'Necesidades Trimestrales'!F10</f>
        <v>MES</v>
      </c>
      <c r="J12" s="56">
        <f>'Necesidades Trimestrales'!H10</f>
        <v>715680</v>
      </c>
      <c r="K12" s="58">
        <f>'Necesidades Trimestrales'!G10</f>
        <v>3</v>
      </c>
    </row>
    <row r="13" spans="1:11" ht="50.1" customHeight="1" thickBot="1" x14ac:dyDescent="0.25">
      <c r="A13" s="118" t="s">
        <v>74</v>
      </c>
      <c r="B13" s="119"/>
      <c r="C13" s="119"/>
      <c r="D13" s="119"/>
      <c r="E13" s="119"/>
      <c r="F13" s="119"/>
      <c r="G13" s="119"/>
      <c r="H13" s="119"/>
      <c r="I13" s="120"/>
      <c r="J13" s="116">
        <f>SUMPRODUCT(J12:J12,K12:K12)</f>
        <v>2147040</v>
      </c>
      <c r="K13" s="117"/>
    </row>
  </sheetData>
  <mergeCells count="23">
    <mergeCell ref="J10:J11"/>
    <mergeCell ref="K10:K11"/>
    <mergeCell ref="A10:A11"/>
    <mergeCell ref="B10:B11"/>
    <mergeCell ref="C10:G11"/>
    <mergeCell ref="H10:H11"/>
    <mergeCell ref="I10:I11"/>
    <mergeCell ref="C12:G12"/>
    <mergeCell ref="J13:K13"/>
    <mergeCell ref="A13:I13"/>
    <mergeCell ref="A1:I1"/>
    <mergeCell ref="A6:C6"/>
    <mergeCell ref="D6:K6"/>
    <mergeCell ref="A7:C7"/>
    <mergeCell ref="D7:K7"/>
    <mergeCell ref="A3:C3"/>
    <mergeCell ref="D3:K3"/>
    <mergeCell ref="A4:C4"/>
    <mergeCell ref="D4:K4"/>
    <mergeCell ref="A5:C5"/>
    <mergeCell ref="D5:K5"/>
    <mergeCell ref="A8:C8"/>
    <mergeCell ref="D8:K8"/>
  </mergeCells>
  <printOptions horizontalCentered="1"/>
  <pageMargins left="0.196527777777778" right="0.196527777777778" top="0.98402777777777795" bottom="0.98402777777777795" header="0.51180555555555496" footer="0.51180555555555496"/>
  <pageSetup paperSize="9" scale="90" firstPageNumber="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23"/>
  <sheetViews>
    <sheetView zoomScale="130" zoomScaleNormal="130" workbookViewId="0">
      <selection activeCell="A10" sqref="A10:Q10"/>
    </sheetView>
  </sheetViews>
  <sheetFormatPr baseColWidth="10" defaultColWidth="11" defaultRowHeight="12.75" x14ac:dyDescent="0.2"/>
  <cols>
    <col min="1" max="5" width="4.42578125" customWidth="1"/>
    <col min="6" max="6" width="5" bestFit="1" customWidth="1"/>
    <col min="7" max="7" width="4.42578125" style="2" customWidth="1"/>
    <col min="8" max="11" width="4.42578125" customWidth="1"/>
    <col min="12" max="12" width="5.85546875" bestFit="1" customWidth="1"/>
    <col min="13" max="14" width="4.42578125" customWidth="1"/>
    <col min="15" max="16" width="14.85546875" customWidth="1"/>
    <col min="17" max="17" width="14.7109375" customWidth="1"/>
  </cols>
  <sheetData>
    <row r="1" spans="1:17" ht="15.75" customHeight="1" x14ac:dyDescent="0.25">
      <c r="A1" s="156" t="s">
        <v>3</v>
      </c>
      <c r="B1" s="156"/>
      <c r="C1" s="156"/>
      <c r="D1" s="157">
        <f>'Necesidades Trimestrales'!C6</f>
        <v>2021</v>
      </c>
      <c r="E1" s="157"/>
      <c r="F1" s="3"/>
      <c r="G1" s="3"/>
      <c r="H1" s="4"/>
      <c r="I1" s="4"/>
      <c r="J1" s="4"/>
      <c r="K1" s="4"/>
      <c r="L1" s="4"/>
      <c r="M1" s="4"/>
      <c r="N1" s="4"/>
      <c r="P1" s="158" t="s">
        <v>28</v>
      </c>
      <c r="Q1" s="158"/>
    </row>
    <row r="2" spans="1:17" ht="15.75" customHeight="1" x14ac:dyDescent="0.2">
      <c r="H2" s="4"/>
      <c r="I2" s="4"/>
      <c r="J2" s="4"/>
      <c r="K2" s="4"/>
      <c r="L2" s="4"/>
      <c r="M2" s="4"/>
      <c r="N2" s="4"/>
      <c r="P2" s="158"/>
      <c r="Q2" s="158"/>
    </row>
    <row r="4" spans="1:17" s="5" customFormat="1" ht="18" customHeight="1" thickBot="1" x14ac:dyDescent="0.25">
      <c r="A4" s="159" t="s">
        <v>29</v>
      </c>
      <c r="B4" s="159"/>
      <c r="C4" s="159"/>
      <c r="D4" s="159"/>
      <c r="E4" s="159"/>
      <c r="F4" s="159"/>
      <c r="G4" s="154" t="str">
        <f>' NotaPedido'!D3</f>
        <v>40-Ministerio de Salud</v>
      </c>
      <c r="H4" s="154"/>
      <c r="I4" s="154"/>
      <c r="J4" s="154"/>
      <c r="K4" s="154"/>
      <c r="L4" s="154"/>
      <c r="M4" s="154"/>
      <c r="N4" s="154"/>
      <c r="O4" s="154"/>
      <c r="P4" s="154"/>
      <c r="Q4" s="154"/>
    </row>
    <row r="5" spans="1:17" s="5" customFormat="1" ht="18" customHeight="1" thickBot="1" x14ac:dyDescent="0.25">
      <c r="A5" s="151" t="s">
        <v>52</v>
      </c>
      <c r="B5" s="152"/>
      <c r="C5" s="152"/>
      <c r="D5" s="152"/>
      <c r="E5" s="152"/>
      <c r="F5" s="153"/>
      <c r="G5" s="154" t="str">
        <f>' NotaPedido'!D4</f>
        <v>28- Maternidad Provincial 25 de Mayo</v>
      </c>
      <c r="H5" s="154"/>
      <c r="I5" s="154"/>
      <c r="J5" s="154"/>
      <c r="K5" s="154"/>
      <c r="L5" s="154"/>
      <c r="M5" s="154"/>
      <c r="N5" s="154"/>
      <c r="O5" s="154"/>
      <c r="P5" s="154"/>
      <c r="Q5" s="154"/>
    </row>
    <row r="6" spans="1:17" s="5" customFormat="1" ht="18" customHeight="1" thickBot="1" x14ac:dyDescent="0.25">
      <c r="A6" s="151" t="s">
        <v>30</v>
      </c>
      <c r="B6" s="152"/>
      <c r="C6" s="152"/>
      <c r="D6" s="152"/>
      <c r="E6" s="152"/>
      <c r="F6" s="153"/>
      <c r="G6" s="154" t="str">
        <f>' NotaPedido'!D5</f>
        <v xml:space="preserve">169-Direccion Asistencial </v>
      </c>
      <c r="H6" s="154"/>
      <c r="I6" s="154"/>
      <c r="J6" s="154"/>
      <c r="K6" s="154"/>
      <c r="L6" s="154"/>
      <c r="M6" s="154"/>
      <c r="N6" s="154"/>
      <c r="O6" s="154"/>
      <c r="P6" s="154"/>
      <c r="Q6" s="154"/>
    </row>
    <row r="7" spans="1:17" s="5" customFormat="1" ht="18" customHeight="1" thickBot="1" x14ac:dyDescent="0.25">
      <c r="A7" s="151" t="s">
        <v>53</v>
      </c>
      <c r="B7" s="152"/>
      <c r="C7" s="152"/>
      <c r="D7" s="152"/>
      <c r="E7" s="152"/>
      <c r="F7" s="153"/>
      <c r="G7" s="154" t="str">
        <f>' NotaPedido'!D6</f>
        <v xml:space="preserve">Servicio de Nutricion </v>
      </c>
      <c r="H7" s="154"/>
      <c r="I7" s="154"/>
      <c r="J7" s="154"/>
      <c r="K7" s="154"/>
      <c r="L7" s="154"/>
      <c r="M7" s="154"/>
      <c r="N7" s="154"/>
      <c r="O7" s="154"/>
      <c r="P7" s="154"/>
      <c r="Q7" s="154"/>
    </row>
    <row r="8" spans="1:17" ht="18" customHeight="1" thickBot="1" x14ac:dyDescent="0.25">
      <c r="A8" s="155" t="s">
        <v>31</v>
      </c>
      <c r="B8" s="155"/>
      <c r="C8" s="155"/>
      <c r="D8" s="155"/>
      <c r="E8" s="155"/>
      <c r="F8" s="155"/>
      <c r="G8" s="155"/>
      <c r="H8" s="155"/>
      <c r="I8" s="155"/>
      <c r="J8" s="155"/>
      <c r="K8" s="155"/>
      <c r="L8" s="155"/>
      <c r="M8" s="155"/>
      <c r="N8" s="155"/>
      <c r="O8" s="155"/>
      <c r="P8" s="155"/>
      <c r="Q8" s="155"/>
    </row>
    <row r="9" spans="1:17" ht="18" customHeight="1" x14ac:dyDescent="0.2">
      <c r="A9" s="145" t="s">
        <v>32</v>
      </c>
      <c r="B9" s="145"/>
      <c r="C9" s="145"/>
      <c r="D9" s="145"/>
      <c r="E9" s="145"/>
      <c r="F9" s="145"/>
      <c r="G9" s="145"/>
      <c r="H9" s="145"/>
      <c r="I9" s="145"/>
      <c r="J9" s="145"/>
      <c r="K9" s="145"/>
      <c r="L9" s="145"/>
      <c r="M9" s="145"/>
      <c r="N9" s="145"/>
      <c r="O9" s="1"/>
      <c r="P9" s="1"/>
      <c r="Q9" s="6"/>
    </row>
    <row r="10" spans="1:17" ht="54.75" customHeight="1" x14ac:dyDescent="0.2">
      <c r="A10" s="146" t="str">
        <f>"Autorizo la realización de los  trámites correspondientes, a fin de proveer a  este Organismo los bienes y/o servicios que se detallan en Nota  de Pedido N° " &amp; ' NotaPedido'!K1&amp;",  afectando la erogación resultante a los créditos presupuestarios aprobados a favor de esta Unidad Ejecutora, conforme al siguiente detalle:"</f>
        <v>Autorizo la realización de los  trámites correspondientes, a fin de proveer a  este Organismo los bienes y/o servicios que se detallan en Nota  de Pedido N° 143/2021,  afectando la erogación resultante a los créditos presupuestarios aprobados a favor de esta Unidad Ejecutora, conforme al siguiente detalle:</v>
      </c>
      <c r="B10" s="146"/>
      <c r="C10" s="146"/>
      <c r="D10" s="146"/>
      <c r="E10" s="146"/>
      <c r="F10" s="146"/>
      <c r="G10" s="146"/>
      <c r="H10" s="146"/>
      <c r="I10" s="146"/>
      <c r="J10" s="146"/>
      <c r="K10" s="146"/>
      <c r="L10" s="146"/>
      <c r="M10" s="146"/>
      <c r="N10" s="146"/>
      <c r="O10" s="146"/>
      <c r="P10" s="146"/>
      <c r="Q10" s="146"/>
    </row>
    <row r="11" spans="1:17" ht="9" customHeight="1" x14ac:dyDescent="0.2">
      <c r="A11" s="7"/>
      <c r="B11" s="8"/>
      <c r="C11" s="8"/>
      <c r="D11" s="8"/>
      <c r="E11" s="8"/>
      <c r="F11" s="8"/>
      <c r="G11" s="9"/>
      <c r="H11" s="8"/>
      <c r="I11" s="8"/>
      <c r="J11" s="8"/>
      <c r="K11" s="8"/>
      <c r="L11" s="8"/>
      <c r="M11" s="8"/>
      <c r="N11" s="8"/>
      <c r="O11" s="8"/>
      <c r="P11" s="8"/>
      <c r="Q11" s="10"/>
    </row>
    <row r="12" spans="1:17" ht="15.75" customHeight="1" x14ac:dyDescent="0.2">
      <c r="A12" s="147" t="s">
        <v>33</v>
      </c>
      <c r="B12" s="147"/>
      <c r="C12" s="147"/>
      <c r="D12" s="147"/>
      <c r="E12" s="147"/>
      <c r="F12" s="147"/>
      <c r="G12" s="147"/>
      <c r="H12" s="147"/>
      <c r="I12" s="147"/>
      <c r="J12" s="147"/>
      <c r="K12" s="147"/>
      <c r="L12" s="147"/>
      <c r="M12" s="147"/>
      <c r="N12" s="147"/>
      <c r="O12" s="147"/>
      <c r="P12" s="147"/>
      <c r="Q12" s="147"/>
    </row>
    <row r="13" spans="1:17" ht="15.75" customHeight="1" x14ac:dyDescent="0.2">
      <c r="A13" s="148" t="s">
        <v>34</v>
      </c>
      <c r="B13" s="148"/>
      <c r="C13" s="148"/>
      <c r="D13" s="148"/>
      <c r="E13" s="148"/>
      <c r="F13" s="148"/>
      <c r="G13" s="148"/>
      <c r="H13" s="148"/>
      <c r="I13" s="148"/>
      <c r="J13" s="148"/>
      <c r="K13" s="148"/>
      <c r="L13" s="148"/>
      <c r="M13" s="148"/>
      <c r="N13" s="148"/>
      <c r="O13" s="149" t="s">
        <v>35</v>
      </c>
      <c r="P13" s="149"/>
      <c r="Q13" s="150" t="s">
        <v>36</v>
      </c>
    </row>
    <row r="14" spans="1:17" ht="15.75" customHeight="1" thickBot="1" x14ac:dyDescent="0.25">
      <c r="A14" s="11" t="s">
        <v>37</v>
      </c>
      <c r="B14" s="12" t="s">
        <v>38</v>
      </c>
      <c r="C14" s="12" t="s">
        <v>39</v>
      </c>
      <c r="D14" s="12" t="s">
        <v>40</v>
      </c>
      <c r="E14" s="12" t="s">
        <v>41</v>
      </c>
      <c r="F14" s="12" t="s">
        <v>42</v>
      </c>
      <c r="G14" s="13" t="s">
        <v>43</v>
      </c>
      <c r="H14" s="12" t="s">
        <v>44</v>
      </c>
      <c r="I14" s="12" t="s">
        <v>45</v>
      </c>
      <c r="J14" s="12" t="s">
        <v>46</v>
      </c>
      <c r="K14" s="12" t="s">
        <v>46</v>
      </c>
      <c r="L14" s="12" t="s">
        <v>47</v>
      </c>
      <c r="M14" s="14" t="s">
        <v>48</v>
      </c>
      <c r="N14" s="15" t="s">
        <v>49</v>
      </c>
      <c r="O14" s="149"/>
      <c r="P14" s="149"/>
      <c r="Q14" s="150"/>
    </row>
    <row r="15" spans="1:17" ht="17.25" customHeight="1" x14ac:dyDescent="0.2">
      <c r="A15" s="63">
        <v>42</v>
      </c>
      <c r="B15" s="64"/>
      <c r="C15" s="64"/>
      <c r="D15" s="64">
        <v>2</v>
      </c>
      <c r="E15" s="64"/>
      <c r="F15" s="64">
        <v>4901</v>
      </c>
      <c r="G15" s="64">
        <v>3</v>
      </c>
      <c r="H15" s="64">
        <v>1</v>
      </c>
      <c r="I15" s="64">
        <v>3</v>
      </c>
      <c r="J15" s="64">
        <v>9</v>
      </c>
      <c r="K15" s="64">
        <v>9</v>
      </c>
      <c r="L15" s="64"/>
      <c r="M15" s="64"/>
      <c r="N15" s="64" t="s">
        <v>58</v>
      </c>
      <c r="O15" s="133" t="s">
        <v>70</v>
      </c>
      <c r="P15" s="134"/>
      <c r="Q15" s="65">
        <v>2147040</v>
      </c>
    </row>
    <row r="16" spans="1:17" ht="17.25" customHeight="1" x14ac:dyDescent="0.2">
      <c r="A16" s="67"/>
      <c r="B16" s="60"/>
      <c r="C16" s="60"/>
      <c r="D16" s="60"/>
      <c r="E16" s="60"/>
      <c r="F16" s="60"/>
      <c r="G16" s="60"/>
      <c r="H16" s="60"/>
      <c r="I16" s="60"/>
      <c r="J16" s="60"/>
      <c r="K16" s="60"/>
      <c r="L16" s="60"/>
      <c r="M16" s="60"/>
      <c r="N16" s="60"/>
      <c r="O16" s="140"/>
      <c r="P16" s="140"/>
      <c r="Q16" s="66"/>
    </row>
    <row r="17" spans="1:18" ht="17.25" customHeight="1" x14ac:dyDescent="0.2">
      <c r="A17" s="68"/>
      <c r="B17" s="61"/>
      <c r="C17" s="61"/>
      <c r="D17" s="61"/>
      <c r="E17" s="61"/>
      <c r="F17" s="62"/>
      <c r="G17" s="61"/>
      <c r="H17" s="61"/>
      <c r="I17" s="61"/>
      <c r="J17" s="61"/>
      <c r="K17" s="61"/>
      <c r="L17" s="61"/>
      <c r="M17" s="61"/>
      <c r="N17" s="61"/>
      <c r="O17" s="141"/>
      <c r="P17" s="141"/>
      <c r="Q17" s="66"/>
      <c r="R17" s="1"/>
    </row>
    <row r="18" spans="1:18" ht="17.25" customHeight="1" thickBot="1" x14ac:dyDescent="0.25">
      <c r="A18" s="69"/>
      <c r="B18" s="70"/>
      <c r="C18" s="70"/>
      <c r="D18" s="70"/>
      <c r="E18" s="70"/>
      <c r="F18" s="70"/>
      <c r="G18" s="70"/>
      <c r="H18" s="70"/>
      <c r="I18" s="70"/>
      <c r="J18" s="70"/>
      <c r="K18" s="70"/>
      <c r="L18" s="70"/>
      <c r="M18" s="70"/>
      <c r="N18" s="70"/>
      <c r="O18" s="142"/>
      <c r="P18" s="142"/>
      <c r="Q18" s="71"/>
    </row>
    <row r="19" spans="1:18" ht="25.5" customHeight="1" thickBot="1" x14ac:dyDescent="0.25">
      <c r="A19" s="143" t="s">
        <v>75</v>
      </c>
      <c r="B19" s="143"/>
      <c r="C19" s="143"/>
      <c r="D19" s="143"/>
      <c r="E19" s="143"/>
      <c r="F19" s="143"/>
      <c r="G19" s="143"/>
      <c r="H19" s="143"/>
      <c r="I19" s="143"/>
      <c r="J19" s="143"/>
      <c r="K19" s="143"/>
      <c r="L19" s="143"/>
      <c r="M19" s="143"/>
      <c r="N19" s="143"/>
      <c r="O19" s="143"/>
      <c r="P19" s="143"/>
      <c r="Q19" s="16">
        <f>SUM(Q15:Q18)</f>
        <v>2147040</v>
      </c>
    </row>
    <row r="20" spans="1:18" ht="18" customHeight="1" thickBot="1" x14ac:dyDescent="0.25">
      <c r="A20" s="144"/>
      <c r="B20" s="144"/>
      <c r="C20" s="144"/>
      <c r="D20" s="144"/>
      <c r="E20" s="144"/>
      <c r="F20" s="144"/>
      <c r="G20" s="144"/>
      <c r="H20" s="144"/>
      <c r="I20" s="144"/>
      <c r="J20" s="144"/>
      <c r="K20" s="144"/>
      <c r="L20" s="144"/>
      <c r="M20" s="144"/>
      <c r="N20" s="144"/>
      <c r="O20" s="144"/>
      <c r="P20" s="144"/>
      <c r="Q20" s="144"/>
    </row>
    <row r="21" spans="1:18" ht="17.25" customHeight="1" thickBot="1" x14ac:dyDescent="0.25">
      <c r="A21" s="135" t="s">
        <v>50</v>
      </c>
      <c r="B21" s="136"/>
      <c r="C21" s="136"/>
      <c r="D21" s="136"/>
      <c r="E21" s="136"/>
      <c r="F21" s="137"/>
      <c r="G21" s="138"/>
      <c r="H21" s="138"/>
      <c r="I21" s="138"/>
      <c r="J21" s="138"/>
      <c r="K21" s="138"/>
      <c r="L21" s="138"/>
      <c r="M21" s="138"/>
      <c r="N21" s="138"/>
      <c r="O21" s="138"/>
      <c r="P21" s="138"/>
      <c r="Q21" s="138"/>
    </row>
    <row r="22" spans="1:18" ht="18" customHeight="1" thickBot="1" x14ac:dyDescent="0.25">
      <c r="A22" s="139" t="s">
        <v>72</v>
      </c>
      <c r="B22" s="139"/>
      <c r="C22" s="139"/>
      <c r="D22" s="139"/>
      <c r="E22" s="139"/>
      <c r="F22" s="139"/>
      <c r="G22" s="139"/>
      <c r="H22" s="139"/>
      <c r="I22" s="139"/>
      <c r="J22" s="139"/>
      <c r="K22" s="139"/>
      <c r="L22" s="139"/>
      <c r="M22" s="139"/>
      <c r="N22" s="139"/>
      <c r="O22" s="139"/>
      <c r="P22" s="139"/>
      <c r="Q22" s="139"/>
    </row>
    <row r="23" spans="1:18" ht="15" customHeight="1" x14ac:dyDescent="0.2">
      <c r="A23" s="139"/>
      <c r="B23" s="139"/>
      <c r="C23" s="139"/>
      <c r="D23" s="139"/>
      <c r="E23" s="139"/>
      <c r="F23" s="139"/>
      <c r="G23" s="139"/>
      <c r="H23" s="139"/>
      <c r="I23" s="139"/>
      <c r="J23" s="139"/>
      <c r="K23" s="139"/>
      <c r="L23" s="139"/>
      <c r="M23" s="139"/>
      <c r="N23" s="139"/>
      <c r="O23" s="139"/>
      <c r="P23" s="139"/>
      <c r="Q23" s="139"/>
    </row>
  </sheetData>
  <mergeCells count="27">
    <mergeCell ref="A1:C1"/>
    <mergeCell ref="D1:E1"/>
    <mergeCell ref="P1:Q2"/>
    <mergeCell ref="A4:F4"/>
    <mergeCell ref="G4:Q4"/>
    <mergeCell ref="A5:F5"/>
    <mergeCell ref="G5:Q5"/>
    <mergeCell ref="A8:Q8"/>
    <mergeCell ref="A6:F6"/>
    <mergeCell ref="G6:Q6"/>
    <mergeCell ref="A7:F7"/>
    <mergeCell ref="G7:Q7"/>
    <mergeCell ref="A9:N9"/>
    <mergeCell ref="A10:Q10"/>
    <mergeCell ref="A12:Q12"/>
    <mergeCell ref="A13:N13"/>
    <mergeCell ref="O13:P14"/>
    <mergeCell ref="Q13:Q14"/>
    <mergeCell ref="O15:P15"/>
    <mergeCell ref="A21:F21"/>
    <mergeCell ref="G21:Q21"/>
    <mergeCell ref="A22:Q23"/>
    <mergeCell ref="O16:P16"/>
    <mergeCell ref="O17:P17"/>
    <mergeCell ref="O18:P18"/>
    <mergeCell ref="A19:P19"/>
    <mergeCell ref="A20:Q20"/>
  </mergeCells>
  <printOptions horizontalCentered="1"/>
  <pageMargins left="0.39374999999999999" right="0.39374999999999999" top="0.98402777777777795" bottom="0.98402777777777795" header="0.51180555555555496" footer="0.51180555555555496"/>
  <pageSetup paperSize="9" scale="90" firstPageNumber="0"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Necesidades Trimestrales</vt:lpstr>
      <vt:lpstr> NotaPedido</vt:lpstr>
      <vt:lpstr>Autor Gastar</vt:lpstr>
      <vt:lpstr>' NotaPedido'!Área_de_impresión</vt:lpstr>
      <vt:lpstr>'Autor Gastar'!Área_de_impresión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ARIEL</dc:creator>
  <cp:lastModifiedBy>ELIAS QUINTAR</cp:lastModifiedBy>
  <cp:revision>2</cp:revision>
  <cp:lastPrinted>2021-02-25T13:20:03Z</cp:lastPrinted>
  <dcterms:created xsi:type="dcterms:W3CDTF">2020-07-17T23:44:49Z</dcterms:created>
  <dcterms:modified xsi:type="dcterms:W3CDTF">2021-11-01T11:34:26Z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