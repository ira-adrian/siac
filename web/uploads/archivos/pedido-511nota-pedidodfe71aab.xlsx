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3636D27D-062C-46F0-A324-E0273756E988}" xr6:coauthVersionLast="47" xr6:coauthVersionMax="47" xr10:uidLastSave="{00000000-0000-0000-0000-000000000000}"/>
  <bookViews>
    <workbookView xWindow="-120" yWindow="-120" windowWidth="29040" windowHeight="15840" tabRatio="797" activeTab="1" xr2:uid="{00000000-000D-0000-FFFF-FFFF00000000}"/>
  </bookViews>
  <sheets>
    <sheet name="NECESIDADES TRIMESTRALES" sheetId="3" r:id="rId1"/>
    <sheet name="NOTA DE PEDIDO" sheetId="7" r:id="rId2"/>
    <sheet name="APG ODONTOLOGIA" sheetId="5" r:id="rId3"/>
  </sheets>
  <definedNames>
    <definedName name="_xlnm._FilterDatabase" localSheetId="0" hidden="1">'NECESIDADES TRIMESTRALES'!$A$9:$J$163</definedName>
    <definedName name="_xlnm.Print_Area" localSheetId="2">'APG ODONTOLOGIA'!$A$1:$Q$26</definedName>
    <definedName name="_xlnm.Print_Area" localSheetId="0">'NECESIDADES TRIMESTRALES'!$A$1:$J$162</definedName>
    <definedName name="_xlnm.Print_Area" localSheetId="1">'NOTA DE PEDIDO'!$A$10:$G$258</definedName>
  </definedNames>
  <calcPr calcId="181029"/>
</workbook>
</file>

<file path=xl/calcChain.xml><?xml version="1.0" encoding="utf-8"?>
<calcChain xmlns="http://schemas.openxmlformats.org/spreadsheetml/2006/main">
  <c r="I162" i="3" l="1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M35" i="3" s="1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M10" i="3" s="1"/>
  <c r="A26" i="5" l="1"/>
  <c r="O52" i="3"/>
  <c r="O148" i="3"/>
  <c r="O150" i="3"/>
  <c r="N161" i="3"/>
  <c r="N162" i="3"/>
  <c r="M11" i="3"/>
  <c r="M19" i="3"/>
  <c r="M20" i="3"/>
  <c r="M21" i="3"/>
  <c r="M22" i="3"/>
  <c r="M29" i="3"/>
  <c r="M30" i="3"/>
  <c r="M31" i="3"/>
  <c r="M32" i="3"/>
  <c r="M36" i="3"/>
  <c r="M37" i="3"/>
  <c r="M102" i="3"/>
  <c r="M103" i="3"/>
  <c r="M157" i="3"/>
  <c r="M158" i="3"/>
  <c r="L12" i="3"/>
  <c r="L13" i="3"/>
  <c r="L14" i="3"/>
  <c r="L15" i="3"/>
  <c r="L16" i="3"/>
  <c r="L17" i="3"/>
  <c r="L18" i="3"/>
  <c r="L23" i="3"/>
  <c r="L24" i="3"/>
  <c r="L25" i="3"/>
  <c r="L26" i="3"/>
  <c r="L27" i="3"/>
  <c r="L28" i="3"/>
  <c r="L33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9" i="3"/>
  <c r="L151" i="3"/>
  <c r="L152" i="3"/>
  <c r="L153" i="3"/>
  <c r="L154" i="3"/>
  <c r="L155" i="3"/>
  <c r="L156" i="3"/>
  <c r="L159" i="3"/>
  <c r="L160" i="3"/>
  <c r="G5" i="5"/>
  <c r="G6" i="5"/>
  <c r="G7" i="5"/>
  <c r="G4" i="5"/>
  <c r="I163" i="3"/>
  <c r="N163" i="3" l="1"/>
  <c r="Q17" i="5" s="1"/>
  <c r="L163" i="3"/>
  <c r="Q18" i="5" s="1"/>
  <c r="O163" i="3"/>
  <c r="Q16" i="5" s="1"/>
  <c r="M163" i="3"/>
  <c r="Q15" i="5" s="1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2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" i="7"/>
  <c r="M30" i="7"/>
  <c r="M26" i="7"/>
  <c r="M12" i="7"/>
  <c r="M122" i="7" l="1"/>
  <c r="M118" i="7"/>
  <c r="M114" i="7"/>
  <c r="M106" i="7"/>
  <c r="M102" i="7"/>
  <c r="M98" i="7"/>
  <c r="M42" i="7"/>
  <c r="M38" i="7"/>
  <c r="M34" i="7"/>
  <c r="M22" i="7"/>
  <c r="M18" i="7"/>
  <c r="M14" i="7"/>
  <c r="M100" i="7"/>
  <c r="Q23" i="5"/>
  <c r="L162" i="7"/>
  <c r="L158" i="7"/>
  <c r="L154" i="7"/>
  <c r="L150" i="7"/>
  <c r="L146" i="7"/>
  <c r="L142" i="7"/>
  <c r="L138" i="7"/>
  <c r="L134" i="7"/>
  <c r="L130" i="7"/>
  <c r="L126" i="7"/>
  <c r="L122" i="7"/>
  <c r="L118" i="7"/>
  <c r="L114" i="7"/>
  <c r="L110" i="7"/>
  <c r="L106" i="7"/>
  <c r="L102" i="7"/>
  <c r="L98" i="7"/>
  <c r="L94" i="7"/>
  <c r="L90" i="7"/>
  <c r="L86" i="7"/>
  <c r="L82" i="7"/>
  <c r="L78" i="7"/>
  <c r="L74" i="7"/>
  <c r="L70" i="7"/>
  <c r="L66" i="7"/>
  <c r="L62" i="7"/>
  <c r="L58" i="7"/>
  <c r="L54" i="7"/>
  <c r="L50" i="7"/>
  <c r="L46" i="7"/>
  <c r="L42" i="7"/>
  <c r="L38" i="7"/>
  <c r="L34" i="7"/>
  <c r="L30" i="7"/>
  <c r="L26" i="7"/>
  <c r="L22" i="7"/>
  <c r="L18" i="7"/>
  <c r="L14" i="7"/>
  <c r="L164" i="7"/>
  <c r="L160" i="7"/>
  <c r="L156" i="7"/>
  <c r="L152" i="7"/>
  <c r="L148" i="7"/>
  <c r="L144" i="7"/>
  <c r="L140" i="7"/>
  <c r="L136" i="7"/>
  <c r="L132" i="7"/>
  <c r="L128" i="7"/>
  <c r="L124" i="7"/>
  <c r="L120" i="7"/>
  <c r="L116" i="7"/>
  <c r="L112" i="7"/>
  <c r="L108" i="7"/>
  <c r="L104" i="7"/>
  <c r="L100" i="7"/>
  <c r="L96" i="7"/>
  <c r="L92" i="7"/>
  <c r="L88" i="7"/>
  <c r="L84" i="7"/>
  <c r="L80" i="7"/>
  <c r="L76" i="7"/>
  <c r="L72" i="7"/>
  <c r="L68" i="7"/>
  <c r="L64" i="7"/>
  <c r="L60" i="7"/>
  <c r="L56" i="7"/>
  <c r="L52" i="7"/>
  <c r="L48" i="7"/>
  <c r="L44" i="7"/>
  <c r="L40" i="7"/>
  <c r="L36" i="7"/>
  <c r="L32" i="7"/>
  <c r="L28" i="7"/>
  <c r="L24" i="7"/>
  <c r="L20" i="7"/>
  <c r="L16" i="7"/>
  <c r="L163" i="7"/>
  <c r="L159" i="7"/>
  <c r="L155" i="7"/>
  <c r="L151" i="7"/>
  <c r="L147" i="7"/>
  <c r="L143" i="7"/>
  <c r="L139" i="7"/>
  <c r="L135" i="7"/>
  <c r="L131" i="7"/>
  <c r="L127" i="7"/>
  <c r="L123" i="7"/>
  <c r="L119" i="7"/>
  <c r="L115" i="7"/>
  <c r="L111" i="7"/>
  <c r="L107" i="7"/>
  <c r="L103" i="7"/>
  <c r="L99" i="7"/>
  <c r="L95" i="7"/>
  <c r="L91" i="7"/>
  <c r="L87" i="7"/>
  <c r="L83" i="7"/>
  <c r="L79" i="7"/>
  <c r="L75" i="7"/>
  <c r="L71" i="7"/>
  <c r="L67" i="7"/>
  <c r="L63" i="7"/>
  <c r="L59" i="7"/>
  <c r="L55" i="7"/>
  <c r="L51" i="7"/>
  <c r="L47" i="7"/>
  <c r="L43" i="7"/>
  <c r="L39" i="7"/>
  <c r="L35" i="7"/>
  <c r="L31" i="7"/>
  <c r="L27" i="7"/>
  <c r="L23" i="7"/>
  <c r="L19" i="7"/>
  <c r="L15" i="7"/>
  <c r="L12" i="7"/>
  <c r="L161" i="7"/>
  <c r="L157" i="7"/>
  <c r="L153" i="7"/>
  <c r="L149" i="7"/>
  <c r="L145" i="7"/>
  <c r="L141" i="7"/>
  <c r="L137" i="7"/>
  <c r="L133" i="7"/>
  <c r="L129" i="7"/>
  <c r="L125" i="7"/>
  <c r="L121" i="7"/>
  <c r="L117" i="7"/>
  <c r="L113" i="7"/>
  <c r="L109" i="7"/>
  <c r="L105" i="7"/>
  <c r="L101" i="7"/>
  <c r="L97" i="7"/>
  <c r="L93" i="7"/>
  <c r="L89" i="7"/>
  <c r="L85" i="7"/>
  <c r="L81" i="7"/>
  <c r="L77" i="7"/>
  <c r="L73" i="7"/>
  <c r="L69" i="7"/>
  <c r="L65" i="7"/>
  <c r="L61" i="7"/>
  <c r="L57" i="7"/>
  <c r="L53" i="7"/>
  <c r="L49" i="7"/>
  <c r="L45" i="7"/>
  <c r="L41" i="7"/>
  <c r="L37" i="7"/>
  <c r="L33" i="7"/>
  <c r="L29" i="7"/>
  <c r="L25" i="7"/>
  <c r="L21" i="7"/>
  <c r="L17" i="7"/>
  <c r="L13" i="7"/>
  <c r="P163" i="3"/>
  <c r="M124" i="7"/>
  <c r="M120" i="7"/>
  <c r="M116" i="7"/>
  <c r="M112" i="7"/>
  <c r="M40" i="7"/>
  <c r="M36" i="7"/>
  <c r="M32" i="7"/>
  <c r="M28" i="7"/>
  <c r="M24" i="7"/>
  <c r="M20" i="7"/>
  <c r="M16" i="7"/>
  <c r="M13" i="7"/>
  <c r="M17" i="7"/>
  <c r="M21" i="7"/>
  <c r="M25" i="7"/>
  <c r="M29" i="7"/>
  <c r="M33" i="7"/>
  <c r="M37" i="7"/>
  <c r="M41" i="7"/>
  <c r="M99" i="7"/>
  <c r="M115" i="7"/>
  <c r="M119" i="7"/>
  <c r="M123" i="7"/>
  <c r="M15" i="7"/>
  <c r="M19" i="7"/>
  <c r="M23" i="7"/>
  <c r="M31" i="7"/>
  <c r="M35" i="7"/>
  <c r="M121" i="7"/>
  <c r="M109" i="7"/>
  <c r="M117" i="7"/>
  <c r="M103" i="7"/>
  <c r="M104" i="7"/>
  <c r="M107" i="7"/>
  <c r="M108" i="7"/>
  <c r="M110" i="7"/>
  <c r="M111" i="7"/>
  <c r="M27" i="7"/>
  <c r="M39" i="7"/>
  <c r="M43" i="7"/>
  <c r="M101" i="7"/>
  <c r="M105" i="7"/>
  <c r="M113" i="7"/>
  <c r="L166" i="7" l="1"/>
  <c r="J166" i="7" s="1"/>
  <c r="M166" i="7"/>
</calcChain>
</file>

<file path=xl/sharedStrings.xml><?xml version="1.0" encoding="utf-8"?>
<sst xmlns="http://schemas.openxmlformats.org/spreadsheetml/2006/main" count="854" uniqueCount="248">
  <si>
    <t>DESCRIPCION</t>
  </si>
  <si>
    <t>UNIDAD DE MEDIDA</t>
  </si>
  <si>
    <t>CANTIDAD SOLICITADA</t>
  </si>
  <si>
    <t>UNIDAD</t>
  </si>
  <si>
    <t>CAJA</t>
  </si>
  <si>
    <t>FRESAS P/ODONTOLOGIA; MATERIAL: ACERO INOXIDABLE, NUMERO: 1, LARGO: 32 mm, TIPO: GATES</t>
  </si>
  <si>
    <t>FRESAS P/ODONTOLOGIA; MATERIAL: ACERO INOXIDABLE, NUMERO: 2, LARGO: 32 mm, TIPO: GATES</t>
  </si>
  <si>
    <t>RUBRO DE COMPA</t>
  </si>
  <si>
    <t>PROD. MEDICO/FARMACEUTICOS/LAB</t>
  </si>
  <si>
    <t>PRECIO TOTAL</t>
  </si>
  <si>
    <t>CODIGO ITEM</t>
  </si>
  <si>
    <t>Pedido de Necesidades Trimestrales</t>
  </si>
  <si>
    <t>SAF:</t>
  </si>
  <si>
    <t xml:space="preserve">DEPENDENCIA SOLICITANTE: </t>
  </si>
  <si>
    <t>MATERIALES DE CONSTRUCCION</t>
  </si>
  <si>
    <t>ANTISEPTICOS LOCALES P/PERSONA; TIPO: MONODROGA, DROGA GENERICA: EDTAC, FORMA FARMACEUTICA: SOLUCION, PRESENTACION: FRASCO X 20 mL</t>
  </si>
  <si>
    <t>FRESAS P/ODONTOLOGIA; MATERIAL: ACERO INOXIDABLE, Nº: 6991, LARGO: CHICA, TIPO: TRONCOCONICA, NUMERO: 6991</t>
  </si>
  <si>
    <t>FRESAS P/ODONTOLOGIA; MATERIAL: ACERO INOXIDABLE, Nº: 703, LARGO: GRANDE, TIPO: TRONCOCONICA, NUMERO: 703</t>
  </si>
  <si>
    <t>FRESAS P/ODONTOLOGIA; MATERIAL: ACERO INOXIDABLE, Nº: 701L, LARGO: MEDIANA, TIPO: TRONCOCONICA, NUMERO: 701L</t>
  </si>
  <si>
    <t>FRESAS P/ODONTOLOGIA; MATERIAL: CARBURO DE TUNGSTENO, NUMERO: 8, LARGO: STANDAR, TIPO: REDONDA CONTRAANGULO</t>
  </si>
  <si>
    <t>FRESAS P/ODONTOLOGIA; MATERIAL: CARBURO DE TUNGSTENO, NUMERO: 7, LARGO: STANDAR, TIPO: REDONDA CONTRAANGULO</t>
  </si>
  <si>
    <t>FRESAS P/ODONTOLOGIA; MATERIAL: CARBURO DE TUNGSTENO, NUMERO: 6, LARGO: STANDAR, TIPO: REDONDA CONTRAANGULO</t>
  </si>
  <si>
    <t>FRESAS P/ODONTOLOGIA; MATERIAL: CARBURO DE TUNGSTENO, NUMERO: 5, LARGO: STANDAR, TIPO: REDONDA CONTRAANGULO</t>
  </si>
  <si>
    <t>FRESAS P/ODONTOLOGIA; MATERIAL: CARBURO DE TUNGSTENO, NUMERO: 4, LARGO: STANDAR, TIPO: REDONDA CONTRAANGULO</t>
  </si>
  <si>
    <t>FRESAS P/ODONTOLOGIA; MATERIAL: CARBURO DE TUNGSTENO, NUMERO: 3, LARGO: STANDAR, TIPO: REDONDA CONTRAANGULO</t>
  </si>
  <si>
    <t>FRESAS P/ODONTOLOGIA; MATERIAL: CARBURO DE TUNGSTENO, NUMERO: 2, LARGO: STANDAR, TIPO: REDONDA CONTRAANGULO</t>
  </si>
  <si>
    <t>FRESAS P/ODONTOLOGIA; MATERIAL: CARBURO DE TUNGSTENO, NUMERO: 1, LARGO: STANDAR, TIPO: REDONDA CONTRAANGULO</t>
  </si>
  <si>
    <t>FRESAS P/ODONTOLOGIA; MATERIAL: CARBURO DE TUNGSTENO, NUMERO: SIN, LARGO: EXTRA LARGA, TIPO: CILINDRICA FG P/ CIRUGIA</t>
  </si>
  <si>
    <t>FRESAS P/ODONTOLOGIA; MATERIAL: CARBURO TUNGSTENO, NUMERO: 8, LARGO: EXTRA LARGA, TIPO: REDONDA CONTRAANGULO P/CIRUGIA</t>
  </si>
  <si>
    <t>FRESAS P/ODONTOLOGIA; MATERIAL: PIEDRA DE DIAMANTE, NUMERO: 1, LARGO: STANDAR, TIPO: REDONDA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</si>
  <si>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</si>
  <si>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</si>
  <si>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</si>
  <si>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</si>
  <si>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</si>
  <si>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170, LARGO: STANDAR, TIPO: TRONCOCONICA FG</t>
  </si>
  <si>
    <t>FRESAS P/ODONTOLOGIA; MATERIAL: PIEDRA DE DIAMANTE, NUMERO: 171, LARGO: STANDAR, TIPO: TRONCOCONICA FG</t>
  </si>
  <si>
    <t>FRESAS P/ODONTOLOGIA; MATERIAL: PIEDRA DE DIAMANTE, NUMERO: 171 L, LARGO: STANDAR, TIPO: TRONCOCONICA FG</t>
  </si>
  <si>
    <t>FRESAS P/ODONTOLOGIA; MATERIAL: PIEDRA DE DIAMANTE, NUMERO: 35, LARGO: STANDAR, TIPO: CONO INVERTIDO FG</t>
  </si>
  <si>
    <t>FRESAS P/ODONTOLOGIA; MATERIAL: PIEDRA DE DIAMANTE, NUMERO: 34, LARGO: STANDAR, TIPO: CONO INVERTIDO FG</t>
  </si>
  <si>
    <t>FRESAS P/ODONTOLOGIA; MATERIAL: PIEDRA DE DIAMANTE, NUMERO: SIN, LARGO: STANDAR, TIPO: TRONCOC LARGA GR ULTRA FINO FG</t>
  </si>
  <si>
    <t>FRESAS P/ODONTOLOGIA; MATERIAL: PIEDRA DE DIAMANTE, NUMERO: SIN, LARGO: STANDAR, TIPO: TRONCOC CORTA GR ULTRA FINO FG</t>
  </si>
  <si>
    <t>FRESAS P/ODONTOLOGIA; MATERIAL: PIEDRA DE DIAMANTE, NUMERO: SIN, LARGO: STANDAR, TIPO: AGUJA GRANO FINO FG</t>
  </si>
  <si>
    <t>FRESAS P/ODONTOLOGIA; MATERIAL: PIEDRA DE DIAMANTE, NUMERO: SIN, LARGO: STANDAR, TIPO: AGUJA GRANO ULTRA FINO FG</t>
  </si>
  <si>
    <t>FRESAS P/ODONTOLOGIA; MATERIAL: ACERO INOXIDABLE, NUMERO: 3, LARGO: 32 mm, TIPO: GATES</t>
  </si>
  <si>
    <t>FRESAS P/ODONTOLOGIA; MATERIAL: ACERO INOXIDABLE, NUMERO: 4, LARGO: 32 mm, TIPO: GATES</t>
  </si>
  <si>
    <t>FRESAS P/ODONTOLOGIA; MATERIAL: PIEDRA DE DIAMANTE, NUMERO: 8, LARGO: STANDAR, TIPO: REDONDA FG</t>
  </si>
  <si>
    <t>FRESAS P/ODONTOLOGIA; MATERIAL: PIEDRA DE DIAMANTE, NUMERO: SIN, LARGO: STANDAR, TIPO: TRONCOCON LARG GRUES FG</t>
  </si>
  <si>
    <t>FRESAS P/ODONTOLOGIA; MATERIAL: ACERO INOXIDABLE, NUMERO: 1, LARGO: 32 mm, TIPO: PEESO</t>
  </si>
  <si>
    <t>FRESAS P/ODONTOLOGIA; MATERIAL: ACERO INOXIDABLE, NUMERO: 2, LARGO: 32 mm, TIPO: PEESO</t>
  </si>
  <si>
    <t>FRESAS P/ODONTOLOGIA; MATERIAL: ACERO INOXIDABLE, NUMERO: 3, LARGO: 32 mm, TIPO: PEESO</t>
  </si>
  <si>
    <t>FRESAS P/ODONTOLOGIA; MATERIAL: CARBURO, NUMERO: 120 X 157, LARGO: EXTRA LARGA, TIPO: CILINDRICA</t>
  </si>
  <si>
    <t>FRESAS P/ODONTOLOGIA; MATERIAL: CARBURO DE TUNGSTENO, NUMERO: FG 2-1-331, LARGO: 19 mm, TIPO: CILINDRICA</t>
  </si>
  <si>
    <t>FRESAS P/ODONTOLOGIA; MATERIAL: ACERO INOXIDABLE, NUMERO: SIN, LARGO: LARGA, TIPO: PIMPOLLA P/TURBINA</t>
  </si>
  <si>
    <t>FRESAS P/ODONTOLOGIA; MATERIAL: CARBURO DE TUNGSTENO, NUMERO: 801, LARGO: 19 mm, TIPO: REDONDA MEDIANA</t>
  </si>
  <si>
    <t>FRESAS P/ODONTOLOGIA; MATERIAL: ACERO INOXIDABLE, NUMERO: 6, LARGO: 25 mm, TIPO: CIRUGIA FG MD</t>
  </si>
  <si>
    <t>FRESAS P/ODONTOLOGIA; MATERIAL: ACERO INOXIDABLE, NUMERO: 4, LARGO: 22 mm, TIPO: CIRUGIA P/EXTRACCIONES</t>
  </si>
  <si>
    <t>FRESAS P/ODONTOLOGIA; MATERIAL: PIEDRA DE DIAMANTE, NUMERO: SIN, LARGO: STANDAR, TIPO: CILINDRICA FG</t>
  </si>
  <si>
    <t>FRESAS P/ODONTOLOGIA; MATERIAL: PIEDRA DE DIAMANTE, NUMERO: 1/2, LARGO: STANDAR, TIPO: REDONDA FG</t>
  </si>
  <si>
    <t>FRESAS P/ODONTOLOGIA; MATERIAL: PIEDRA DE DIAMANTE, NUMERO: 1/4, LARGO: STANDAR, TIPO: REDONDA FG</t>
  </si>
  <si>
    <t>TOALLITAS P/ODONTOLOGIA; TIPO: DESCONTAMINANTE DE SUPERFICIE, PRESENTACION: ENVASE X 170 UN</t>
  </si>
  <si>
    <t>CADENAS P/BABEROS; MATERIAL : 147 dBV/mPa , USO: ODONTOLOGIA, MATERIAL: METAL</t>
  </si>
  <si>
    <t>MANGOS DE BISTURI; TIPO: MANGO DE BISTURI, USO: ODONTOLOGICO, CUERPO: 147 dBV/mPa , CAMBIAR HOJAS: SI, NUMERO: 15, MATERIAL DEL CUERPO: 147 dBV/mPa , MATERIAL: METAL</t>
  </si>
  <si>
    <t>PINZAS P/MEDICINA; USO: ODONTOLOGICO, TIPO: GUBIA, MEDIDA: 20 Cm</t>
  </si>
  <si>
    <t>PINZAS P/MEDICINA; USO: ODONTOLOGICO, TIPO: PORTA CLAMPS, MEDIDA: 20 Cm</t>
  </si>
  <si>
    <t>BLISTER</t>
  </si>
  <si>
    <t>JURISDICCION:</t>
  </si>
  <si>
    <t xml:space="preserve">SAF N°: </t>
  </si>
  <si>
    <t>EJERCICIO:</t>
  </si>
  <si>
    <t>ID</t>
  </si>
  <si>
    <t>AUTORIZACION PARA GASTAR</t>
  </si>
  <si>
    <t>JURISDICCIÓN:</t>
  </si>
  <si>
    <t>040 - Ministerio de Salud</t>
  </si>
  <si>
    <t>UNIDAD EJECUTORA:</t>
  </si>
  <si>
    <t>470 - DIRECCION PROVINCIAL DE ODONTOLOGIA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</si>
  <si>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</si>
  <si>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</si>
  <si>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</si>
  <si>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</si>
  <si>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</si>
  <si>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</si>
  <si>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</si>
  <si>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</si>
  <si>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</si>
  <si>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</si>
  <si>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</si>
  <si>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</si>
  <si>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</si>
  <si>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</si>
  <si>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</si>
  <si>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</si>
  <si>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</si>
  <si>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</si>
  <si>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</si>
  <si>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</si>
  <si>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</si>
  <si>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NOTA DE PEDIDO</t>
  </si>
  <si>
    <t>N°</t>
  </si>
  <si>
    <t xml:space="preserve">JURISDICCIÓN: </t>
  </si>
  <si>
    <t>011 - Direccion Provincial de Administración - Ministerio de Salud</t>
  </si>
  <si>
    <t>PERIODO UTILIZACIÓN:</t>
  </si>
  <si>
    <t>OBJETO:</t>
  </si>
  <si>
    <t>Adjunta Detalle Técnico</t>
  </si>
  <si>
    <t>Lugar de Entrega:</t>
  </si>
  <si>
    <t>cuarenta y cinco (45) días</t>
  </si>
  <si>
    <t>DETALLE TECNICO</t>
  </si>
  <si>
    <t>BOLSA</t>
  </si>
  <si>
    <t>ELEMENTOS DE LIMPIEZA</t>
  </si>
  <si>
    <t>AGUJAS QUIRURGICAS; TIPO: ODONTOLOGICA, ESPECIFICACION: CORTA DE 21 mm, PRESENTACION: ENVASE X 100 UN</t>
  </si>
  <si>
    <t>ALGODONES; TIPO: ROLLO P/ODONTOLOGIA, PRESENTACION: ENVASE X 500 UN</t>
  </si>
  <si>
    <t>BARBIJOS; TIPO: COPA N95 SIN VALVULA, MATERIAL: NO TEJIDO, CANTIDAD DE CAPAS: DOS, DESCARTABLE: SI, PRESENTACION: UNIDAD</t>
  </si>
  <si>
    <t>TIJERAS P/MEDICINA; TIPO: SPENCER, MEDIDA: 11 Cm, USO: SUTURA</t>
  </si>
  <si>
    <t>PINZAS DE CIRUGIA; TIPO: DISECCION SIN DIENTE, MEDIDA: 13 Cm</t>
  </si>
  <si>
    <t>3° TRIMESTRE</t>
  </si>
  <si>
    <t>040 - MINISTERIO DE SALUD</t>
  </si>
  <si>
    <t>011 - DIRECCION PROVINCIAL DE ADMINISTRACION DEL MINISTERIO DE SALUD</t>
  </si>
  <si>
    <t>PERIODO DE UTILIZACION:</t>
  </si>
  <si>
    <t>TERCER TRIMESTRE</t>
  </si>
  <si>
    <t>ACIDO GRABADOR ODONTOLOG.; ESTADO: GEL, PRESENTACION: JERINGA X 12 GR</t>
  </si>
  <si>
    <t>I.P.P.</t>
  </si>
  <si>
    <t>2.5.2</t>
  </si>
  <si>
    <t>2.9.5</t>
  </si>
  <si>
    <t>2.5.9</t>
  </si>
  <si>
    <t>ALAMBRE DE ACERO D. 0,9 MM, DESCARTABLE: SI, PRESENTACION: ROLLO X 500 GR</t>
  </si>
  <si>
    <t>ALAMBRE DE ACERO D.1 MM, DESCARTABLE: SI, PRESENTACION: ROLLO X 50 GR</t>
  </si>
  <si>
    <t>ALICATE UNIVERSAL, DESCARTABLE: NO, PRESENTACION: UNIDAD</t>
  </si>
  <si>
    <t>CONO DE FIELTRO Nº 4, DESCARTABLE: SI, PRESENTACION: UNIDAD</t>
  </si>
  <si>
    <t>CUCHARITAS DE BLACK DOBLES, DESCARTABLE: NO, PRESENTACION: UNIDAD</t>
  </si>
  <si>
    <t>CURETA DE GRACEY, DESCARTABLE: NO, PRESENTACION: UNIDAD</t>
  </si>
  <si>
    <t>GOMAS BLANCAS P/PULIDO, DESCARTABLE: NO, PRESENTACION: UNIDAD</t>
  </si>
  <si>
    <t>JERINGAS TRIPLES METALICAS, DESCARTABLE: NO, PRESENTACION: UNIDAD</t>
  </si>
  <si>
    <t>MANGO PARA ESPEJO BUCAL, DESCARTABLE: NO, PRESENTACION: UNIDAD</t>
  </si>
  <si>
    <t>MECHA FLAMEADOR, DESCARTABLE: SI, PRESENTACION: UNIDAD</t>
  </si>
  <si>
    <t>MICROMOTOR, DESCARTABLE: NO, PRESENTACION: UNIDAD</t>
  </si>
  <si>
    <t>PINZA P/ CONO DE GUTAPERCHA, DESCARTABLE: NO, PRESENTACION: UNIDAD</t>
  </si>
  <si>
    <t>PINZA DE ALGODON, DESCARTABLE: NO, PRESENTACION: UNIDAD</t>
  </si>
  <si>
    <t>PLACA BASE INFERIOR, PRESENTACION: ENVASE X 100</t>
  </si>
  <si>
    <t>PLACA BASE SUPERIOR, PRESENTACION: ENVASE X 100</t>
  </si>
  <si>
    <t>SEPARADOR DE YESO ROSA, DESCARTABLE: SI, PRESENTACION: ENVASE X 1 L</t>
  </si>
  <si>
    <t>BOTELLA</t>
  </si>
  <si>
    <t>TIRA P/PULIR COMPOSITE, DESCARTABLE: NO, PRESENTACION: ENVASE X 100 UN</t>
  </si>
  <si>
    <t>TURBINA DE ALTA PRECISION, DESCARTABLE: NO, PRESENTACION: UNIDAD</t>
  </si>
  <si>
    <t>ANTISEPTICOS LOCALES P/PERSONA; TIPO: ANTISEPTICO, DROGA GENERICA: EUGENOL, FORMA FARMACEUTICA: LIQUIDO, PRESENTACION: FRASCO X 10 mL</t>
  </si>
  <si>
    <t>PASTAS P/ODONTOLOGIA; USO: OBTURACION, TIPO: GUTAPERCHA, PRESENTACION: ENVASE X 40 GR</t>
  </si>
  <si>
    <t>EXPLORADOR CURVO P/EXAMEN BUCA; DESCARTABLE: NO, PRESENTACION: UNIDAD</t>
  </si>
  <si>
    <t>JERINGAS TIPO CARPULE, DESCARTABLE: NO, PRESENTACION: UNIDAD</t>
  </si>
  <si>
    <t>ESPATULA PARA GUTTA, DESCARTABLE: NO, PRESENTACION: UNIDAD</t>
  </si>
  <si>
    <t>ATACADOR P/CONOS GUTA-PERCHA, PRESENTACION: UNIDAD, DESCARTABLE: NO</t>
  </si>
  <si>
    <t>BANDEJA METALICA PARA EL INSTRUMENTAL, DESCARTABLE: NO, PRESENTACION: UNIDAD</t>
  </si>
  <si>
    <t>PORTA ALGODÓN, DESCARTABLE: NO, PRESENTACION: UNIDAD</t>
  </si>
  <si>
    <t>BROCHITA P/ LIMPIEZA, DESCARTABLE: SI, PRESENTACION: UNIDAD</t>
  </si>
  <si>
    <t>SACABANDAS P/MOLARES; DESCARTABLE: NO, PRESENTACION: UNIDAD</t>
  </si>
  <si>
    <t>DISCO P/ PULIR, DESCARTABLE: NO, PRESENTACION: UNIDAD</t>
  </si>
  <si>
    <t>BARRA ALTO BRILLO P/PULIR, DESCARTABLE: NO, PRESENTACION: UNIDAD</t>
  </si>
  <si>
    <t>PAPEL DE ARTICULAR, PRESENTACION: ENVASE X 12 BLOCKS, DESCARTABLE: SI</t>
  </si>
  <si>
    <t>MATRIZ METALICA, DESCARTABLE: NO, PRESENTACION: UNIDAD</t>
  </si>
  <si>
    <t>CEPILLO LIMPIAFRESA, DESCARTABLE: NO, PRESENTACION: UNIDAD</t>
  </si>
  <si>
    <t>HOJA DE SIERRA PLANA; DESCARTABLE: SI, PRESENTACION: UNIDAD</t>
  </si>
  <si>
    <t>FRESERO P/ODONTOLOGIA, DESCARTABLE: NO, PRESENTACION: UNIDAD</t>
  </si>
  <si>
    <t>SEPARADORES DE CIRUGIA, DESCARTABLE: NO, PRESENTACION: UNIDAD</t>
  </si>
  <si>
    <t>VASOS, DESCARTABLE: SI, PRESENTACION: CAJA X 3500 UN</t>
  </si>
  <si>
    <t>COMPRESA P/PLATINA AZUL, DESCARTABLE: SI, PRESENTACION: CAJA X 500 UN</t>
  </si>
  <si>
    <t>ESPONJAS; MATERIAL: POLIESTER, USO: ODONTOLOGICO, ADITAMENTO: CON, FORMA: REDONDA, LARGO X ANCHO X ESP: DIAMETRO 4 Cm, PRESENTACION: UNIDAD</t>
  </si>
  <si>
    <t>CEMENTOS QUIRURGICOS; TIPO: GROSSMAN, USO: ODONTOLOGIA, PRESENTACION: ENVASE X 20 GR</t>
  </si>
  <si>
    <t>CEMENTOS QUIRURGICOS; TIPO: OXIDO DE ZINC Y EUGENOL REFORZ, USO: ODONTOLOGICO, PRESENTACION: AVIO 38 GRS/15 ML</t>
  </si>
  <si>
    <t>IONOMEROS VITREOS; USO: FOTOCURADO, FORMA DE PRESENTACION: POLVO - LIQUIDO, PRESENTACION: AVIO 5 GRS/ 3 ML</t>
  </si>
  <si>
    <t>IONOMEROS VITREOS; USO: AUTOCURADO, ESTADO: POLVO - LIQUIDO, FORMA DE PRESENTACION: POLVO - LIQUIDO, PRESENTACION: AVIO 10 GRS/ 10 ML</t>
  </si>
  <si>
    <t>PLACAS RADIOGRAFICAS; SENSIBILIDAD: AL VERDE, DIMENSION: P/ODONTOLOGIA, PRESENTACION: ENVASE X 150 UNIDADES</t>
  </si>
  <si>
    <t>REVELADORES P/RADIOLOGIA; SENSIBILIDAD: AL VERDE, PROCESO: MANUAL, PROCESO DE UTILIZACION: MANUAL, PRESENTACION: BOTELLA, CAPACIDAD: 480 Ml</t>
  </si>
  <si>
    <t>FIJADORES P/RADIOLOGIA; SENSIBILIDAD: AL VERDE, PROCESO: MANUAL, PROCESO DE UTILIZACION: MANUAL, PRESENTACION: BOTELLA, CAPACIDAD: 480 mL</t>
  </si>
  <si>
    <t>YESO EN POLVO; USO: ODONTOLOGICO, TIPO: TALLER, PRESENTACION: BOLSA, PESO: 25 Kg</t>
  </si>
  <si>
    <t>YESO EN POLVO; USO: ODONTOLOGICO, TIPO: PIEDRA, PRESENTACION: BOLSA, PESO: 25 Kg</t>
  </si>
  <si>
    <t>PINZAS/FORCEPS DE EXODONCIA DE 1° MOLARES INFERIOR; TIPO: ODONTOLOGIA, MEDIDA: 15 Cm</t>
  </si>
  <si>
    <t>CEMENTOS QUIRURGICOS; TIPO: FOSFATO DE ZINC, USO: ODONTOLOGIA, PRESENTACION: AVIO 35 GRS/ML</t>
  </si>
  <si>
    <t>CEMENTOS QUIRURGICOS; TIPO: HIDROXIDO DE CALCIO FRAGUABLE, USO: ODONTOLOGIA, PRESENTACION: AVIO 13 GRS/11 GRS</t>
  </si>
  <si>
    <t>TOPICOS ODONTOLOGICOS; DROGA GENERICA: FLUORURO DIAMIN. PLATA CARIOST, ESTADO: SOLUCION, PRESENTACION: ENVASE X 5 Ml</t>
  </si>
  <si>
    <t>TOPICOS ODONTOLOGICOS; DROGA GENERICA: FORMOCRESOL, ESTADO: LIQUIDO, PRESENTACION: FRASCO X 20 mL</t>
  </si>
  <si>
    <t>ADHESIVOS P/ODONTOLOGIA; TIPO: ADHESIVO+PRIMER, USO: ODONTOLOGICO, PRESENTACION: FRASCO X 4,5 mm</t>
  </si>
  <si>
    <t>PALILLOS P/ODONTOLOGIA; MATERIAL : MADERA, USO: RECONSTRUCCIONES DENTARIAS, PRESENTACION: ENVASE X 100 UNIDADES</t>
  </si>
  <si>
    <t>TUBO</t>
  </si>
  <si>
    <t>CERAS ROSAS P/ODONTOLOGIA; MATERIAL: UTILITY EN LAMINA, USO: ODONTOLOGICO, PRESENTACION: ENVASE X 1 Kg</t>
  </si>
  <si>
    <t>COMPOSITE TIPO ULTRAFILL; COLOR: A2, POLIMERIZACION: FOTOPOLIMERIZACION, TAMAÑO PARTICULA: HIBRIDO, FORMA DE PRESENTACION: JERINGA, PRESENTACION: ENVASE X 4 GR</t>
  </si>
  <si>
    <t>COMPOSITE TIPO ULTRAFILL; COLOR: A3, POLIMERIZACION: FOTOPOLIMERIZACION, TAMAÑO PARTICULA: HIBRIDO, FORMA DE PRESENTACION: JERINGA, PRESENTACION: ENVASE X 4 GR</t>
  </si>
  <si>
    <t>COMPOSITE TIPO ULTRAFILL; COLOR: A3,5, POLIMERIZACION: FOTOPOLIMERIZACION, TAMAÑO PARTICULA: HIBRIDO, FORMA DE PRESENTACION: JERINGA, PRESENTACION: ENVASE X 4 GR</t>
  </si>
  <si>
    <t>PASTAS P/ODONTOLOGIA; USO: SELLADOR, TIPO: COMPOMERO, PRESENTACION: JERINGA X 2 GR</t>
  </si>
  <si>
    <t>ESTUCHE</t>
  </si>
  <si>
    <t>ALAMBRE DE ACERO D. 0,8 MM; DESCARTABLE: SI, PRESENTACION: ROLLO X 100 GR</t>
  </si>
  <si>
    <t>ALAMBRE DE ACERO D. 0,7 MM, DESCARTABLE: SI, PRESENTACION: ROLLO X 500 GR</t>
  </si>
  <si>
    <t>LIMAS P/ODONTOLOGIA; MATERIAL: ACERO INOXIDABLE, NUMERO: 010, LARGO: 25 mm, TIPO: K, PRESENTACION: ENVASE X 6 UNIDADES</t>
  </si>
  <si>
    <t>LIMAS P/ODONTOLOGIA; MATERIAL: ACERO INOXIDABLE, NUMERO: 015, LARGO: 25 mm, TIPO: K, PRESENTACION: ENVASE X 6 UNIDADES</t>
  </si>
  <si>
    <t>LIMAS P/ODONTOLOGIA; MATERIAL: ACERO INOXIDABLE, NUMERO: 020, LARGO: 25 mm, TIPO: K, PRESENTACION: ENVASE X 6 UNIDADES</t>
  </si>
  <si>
    <t>LIMAS P/ODONTOLOGIA; MATERIAL: ACERO INOXIDABLE, NUMERO: 025, LARGO: 25 mm, TIPO: K, PRESENTACION: ENVASE X 6 UNIDADES</t>
  </si>
  <si>
    <t>LIMAS P/ODONTOLOGIA; MATERIAL: ACERO INOXIDABLE, NUMERO: 030, LARGO: 25 mm, TIPO: K, PRESENTACION: ENVASE X 6 UNIDADES</t>
  </si>
  <si>
    <t>LIMAS P/ODONTOLOGIA; MATERIAL: ACERO INOXIDABLE, NUMERO: 035, LARGO: 25 mm, TIPO: K, PRESENTACION: ENVASE X 6 UNIDADES</t>
  </si>
  <si>
    <t>LIMAS P/ODONTOLOGIA; MATERIAL: ACERO INOXIDABLE, NUMERO: 040, LARGO: 25 mm, TIPO: K, PRESENTACION: ENVASE X 6 UNIDADES</t>
  </si>
  <si>
    <t>LIMAS P/ODONTOLOGIA; MATERIAL: ACERO INOXIDABLE, NUMERO: 045, LARGO: 25 mm, TIPO: K, PRESENTACION: ENVASE X 6 UNIDADES</t>
  </si>
  <si>
    <t>LIMAS P/ODONTOLOGIA; MATERIAL: ACERO INOXIDABLE, NUMERO: 40, LARGO: 21 Cm, TIPO: LISA, PRESENTACION: ENVASE X 6 UNIDADES</t>
  </si>
  <si>
    <t>LIMAS P/ODONTOLOGIA; MATERIAL: CARBURO DE TUNGSTENO, NUMERO: 15 - 40, LARGO: 25 mm, TIPO: HEDSTRONG, PRESENTACION: ENVASE X 6 UNIDADES</t>
  </si>
  <si>
    <t>LIMAS P/ODONTOLOGIA; MATERIAL: CARBURO DE TUNGSTENO, NUMERO: 45/80, LARGO: 25 mm, TIPO: K, PRESENTACION: ENVASE X 6 UNIDADES</t>
  </si>
  <si>
    <t>LIMAS P/ODONTOLOGIA; MATERIAL: CARBURO DE TUNGSTENO, NUMERO: 15/40, LARGO: 31 mm, TIPO: K, PRESENTACION: ENVASE X 6 UNIDADES</t>
  </si>
  <si>
    <t>LIMAS P/ODONTOLOGIA; MATERIAL: ACERO INOXIDABLE, NUMERO: 15 AL 40, LARGO: 21 mm, TIPO: HEDSTROEM, PRESENTACION: ENVASE X 6 UNIDADES</t>
  </si>
  <si>
    <t>LIMAS P/ODONTOLOGIA; MATERIAL: ACERO INOXIDABLE, NUMERO: 45 AL 80, LARGO: 21 mm, TIPO: HEDSTROEM, PRESENTACION: ENVASE X 6 UNIDADES</t>
  </si>
  <si>
    <t>LIMAS P/ODONTOLOGIA; MATERIAL: ACERO INOXIDABLE, NUMERO: 15 AL 40, LARGO: 25 mm, TIPO: HEDSTROEM, PRESENTACION: ENVASE X 6 UNIDADES</t>
  </si>
  <si>
    <t>LIMAS P/ODONTOLOGIA; MATERIAL: ACERO INOXIDABLE, NUMERO: 45 AL 80, LARGO: 25 mm, TIPO: HEDSTROEM, PRESENTACION: ENVASE X 6 UNIDADES</t>
  </si>
  <si>
    <t>LIMAS P/ODONTOLOGIA; MATERIAL: ACERO INOXIDABLE, NUMERO: 15 AL 40, LARGO: 21 mm, TIPO: K, PRESENTACION: ENVASE X 6 UNIDADES</t>
  </si>
  <si>
    <t>LIMAS P/ODONTOLOGIA; MATERIAL: ACERO INOXIDABLE, NUMERO: 45 AL 80, LARGO: 21 mm, TIPO: K, PRESENTACION: ENVASE X 6 UNIDADES</t>
  </si>
  <si>
    <t>LIMAS P/ODONTOLOGIA; MATERIAL: ACERO INOXIDABLE, NUMERO: 15 AL 40, LARGO: 25 mm, TIPO: K, PRESENTACION: ENVASE X 6 UNIDADES</t>
  </si>
  <si>
    <t>LIMAS P/ODONTOLOGIA; MATERIAL: ACERO INOXIDABLE, NUMERO: 45 AL 80, LARGO: 25 mm, TIPO: K, PRESENTACION: ENVASE X 6 UNIDADES</t>
  </si>
  <si>
    <t>LIMAS P/ODONTOLOGIA; MATERIAL: ACERO INOXIDABLE, NUMERO: 15 AL 40, LARGO: 30 mm, TIPO: K, PRESENTACION: ENVASE X 6 UNIDADES</t>
  </si>
  <si>
    <t>LIMAS P/ODONTOLOGIA; MATERIAL: ACERO FLEXIBLE, NUMERO: 15 AL 40, LARGO: 31 mm, TIPO: LISA, PRESENTACION: ENVASE X 6 UNIDADES</t>
  </si>
  <si>
    <t>PRECIO UNITARIO</t>
  </si>
  <si>
    <t>2.6.5</t>
  </si>
  <si>
    <t>TOTAL RUBRO ODONTOLOGIA</t>
  </si>
  <si>
    <t>Especificidades:</t>
  </si>
  <si>
    <t>Plazos de entrega:</t>
  </si>
  <si>
    <t>Calidad Minima esperada:</t>
  </si>
  <si>
    <t>Mantenimiento:</t>
  </si>
  <si>
    <t>Ítem</t>
  </si>
  <si>
    <t>Codigo Item</t>
  </si>
  <si>
    <t>DESCRIPCIÓN</t>
  </si>
  <si>
    <t>Unidad Medida</t>
  </si>
  <si>
    <t>Precio Unitario Estimado</t>
  </si>
  <si>
    <t>Cantidad Solicitada</t>
  </si>
  <si>
    <t>Productos Farmacéuticos y Medicinales</t>
  </si>
  <si>
    <t>Adquisicion del  RUBRO INSUMOS DE ODONTOLOGIA</t>
  </si>
  <si>
    <t>ANESTESICOS LOCALES; TIPO: ANESTESIA ODONTOLOGICA, DROGA GENERICA: CLORHIDRATO DE CARTICAINA 4%, FORMA FARMACEUTICA: ANESTUBOS, PRESENTACION: ENVASE X 50 ANESTUBOS</t>
  </si>
  <si>
    <t>DISCO P/PULIR COMPOSITE, DESCARTABLE: NO, PRESENTACION: ENVASE X 50 UN</t>
  </si>
  <si>
    <t>ESPEJOS BUCALES; PRESENTACION: ENVASE X 12 UN</t>
  </si>
  <si>
    <t>NO</t>
  </si>
  <si>
    <t>Otro NEP</t>
  </si>
  <si>
    <t>Cemento, cal y yeso</t>
  </si>
  <si>
    <t>Utiles menores medicos, quirurgicos y de laboratorio</t>
  </si>
  <si>
    <t>CONO GUTAPERCHA 1ªSERIE, DESCARTABLE: SI, PRESENTACION: CAJA X 100</t>
  </si>
  <si>
    <t>CONO GUTAPERCHA 2ªSERIE, DESCARTABLE: SI, PRESENTACION: CAJA X 100</t>
  </si>
  <si>
    <t>ESPACIADOR P/CONOS GUTA-PERCHA, DESCARTABLE: NO, PRESENTACION: CAJA X 6</t>
  </si>
  <si>
    <t>ESPATULA P/CEMENTO DOBLE, DESCARTABLE: NO, PRESENTACION: UNIDAD</t>
  </si>
  <si>
    <t>JERINGAS DESCARTABLES CON AGUJA; CAPACIDAD: 20 CM3, USO: ODONTOLOGIA, PRESENTACION: ENVASE X 50 UNIDADES</t>
  </si>
  <si>
    <t>Costo total estimado: QUINCE MILLONES NOVECIENTOS DIEZ MIL CUATRO CON 80/100</t>
  </si>
  <si>
    <t>TOTAL DE PESOS:  QUINCE MILLONES NOVECIENTOS DIEZ MIL CUATRO CON 80/100.-</t>
  </si>
  <si>
    <t>ANTISEPTICOS LOCALES P/PERSONA; TIPO: MONODROGA, DROGA GENERICA: IODOFORMO, FORMA FARMACEUTICA: POLVO, PRESENTACION: FRASCO X 20 GR</t>
  </si>
  <si>
    <t>JUEGO DE FORCEPS ADULTO P/MICROCIRUGIAS; USO: ODONTOLOGIA, TIPO: EXTRACCION, MATERIAL: ACERO QUIRURGICO, PRESENTACION: ESTUCHE X 10 UNIDADES</t>
  </si>
  <si>
    <t>MICROBRUSH, DESCARTABLE: SI, PRESENTACION: ENVASE X 100 UN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</si>
  <si>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</si>
  <si>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Descripcion Tecnica:</t>
  </si>
  <si>
    <t>veinte (20) dias corridos</t>
  </si>
  <si>
    <t>DIR. PROV. DE ODONTOLOGIA - CHACABUCO N° 169 - en el horario de 8:00hs a 12:00hs de lunes a viernes</t>
  </si>
  <si>
    <t xml:space="preserve"> 15/2021</t>
  </si>
  <si>
    <t>Autorizo la realización de los  trámites correspondientes, a fin de proveer a  este Organismo los bienes que se detallan en Nota de pedido y Entrega N° 15/2021,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</si>
</sst>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&quot;$&quot;\ #,##0.00"/>
    <numFmt numFmtId="168" formatCode="_-* #,##0.00&quot; €&quot;_-;\-* #,##0.00&quot; €&quot;_-;_-* \-??&quot; €&quot;_-;_-@_-"/>
    <numFmt numFmtId="169" formatCode="_-[$$-2C0A]\ * #,##0.00_-;\-[$$-2C0A]\ * #,##0.00_-;_-[$$-2C0A]\ * &quot;-&quot;??_-;_-@_-"/>
    <numFmt numFmtId="170" formatCode="dd\-mm\-yy;@"/>
    <numFmt numFmtId="171" formatCode="[$$-2C0A]\ #,##0.00;[$$-2C0A]&quot; -&quot;#,##0.00"/>
    <numFmt numFmtId="172" formatCode="_(\$* #,##0.00_);_(\$* \(#,##0.00\);_(\$* \-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sz val="10"/>
      <color rgb="FF000000"/>
      <name val="Times New Roman"/>
      <family val="1"/>
    </font>
    <font>
      <b/>
      <sz val="11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4"/>
      <name val="Arial"/>
      <family val="2"/>
    </font>
    <font>
      <b/>
      <sz val="10"/>
      <color rgb="FF000000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20"/>
      <color theme="0"/>
      <name val="Arial"/>
      <family val="2"/>
    </font>
    <font>
      <b/>
      <sz val="8"/>
      <color theme="0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5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8" fillId="0" borderId="22" applyProtection="0"/>
    <xf numFmtId="0" fontId="18" fillId="0" borderId="22" applyProtection="0"/>
    <xf numFmtId="43" fontId="1" fillId="0" borderId="0" applyFont="0" applyFill="0" applyBorder="0" applyAlignment="0" applyProtection="0"/>
    <xf numFmtId="164" fontId="2" fillId="0" borderId="0" applyBorder="0" applyAlignment="0" applyProtection="0"/>
    <xf numFmtId="164" fontId="2" fillId="0" borderId="0" applyBorder="0" applyAlignment="0" applyProtection="0"/>
    <xf numFmtId="168" fontId="2" fillId="0" borderId="0" applyBorder="0" applyProtection="0"/>
    <xf numFmtId="168" fontId="2" fillId="0" borderId="0" applyBorder="0" applyProtection="0"/>
    <xf numFmtId="0" fontId="19" fillId="4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72" fontId="13" fillId="0" borderId="0" applyBorder="0" applyProtection="0"/>
  </cellStyleXfs>
  <cellXfs count="322">
    <xf numFmtId="0" fontId="0" fillId="0" borderId="0" xfId="0"/>
    <xf numFmtId="164" fontId="0" fillId="0" borderId="0" xfId="0" applyNumberFormat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167" fontId="6" fillId="0" borderId="0" xfId="2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 wrapText="1"/>
    </xf>
    <xf numFmtId="3" fontId="11" fillId="0" borderId="0" xfId="4" applyNumberFormat="1" applyFont="1" applyBorder="1" applyAlignment="1"/>
    <xf numFmtId="170" fontId="2" fillId="0" borderId="0" xfId="4" applyNumberFormat="1" applyAlignment="1">
      <alignment horizontal="left"/>
    </xf>
    <xf numFmtId="0" fontId="2" fillId="0" borderId="0" xfId="4"/>
    <xf numFmtId="0" fontId="2" fillId="0" borderId="0" xfId="4" applyAlignment="1">
      <alignment horizontal="left"/>
    </xf>
    <xf numFmtId="0" fontId="13" fillId="0" borderId="0" xfId="4" applyFont="1"/>
    <xf numFmtId="0" fontId="2" fillId="0" borderId="0" xfId="4" applyBorder="1"/>
    <xf numFmtId="0" fontId="2" fillId="0" borderId="9" xfId="4" applyBorder="1"/>
    <xf numFmtId="0" fontId="2" fillId="0" borderId="10" xfId="4" applyBorder="1"/>
    <xf numFmtId="0" fontId="2" fillId="0" borderId="11" xfId="4" applyBorder="1"/>
    <xf numFmtId="0" fontId="2" fillId="0" borderId="11" xfId="4" applyBorder="1" applyAlignment="1">
      <alignment horizontal="left"/>
    </xf>
    <xf numFmtId="0" fontId="2" fillId="0" borderId="12" xfId="4" applyBorder="1"/>
    <xf numFmtId="0" fontId="17" fillId="0" borderId="15" xfId="4" applyFont="1" applyBorder="1" applyAlignment="1">
      <alignment horizontal="center" vertical="center"/>
    </xf>
    <xf numFmtId="0" fontId="17" fillId="0" borderId="16" xfId="4" applyFont="1" applyBorder="1" applyAlignment="1">
      <alignment horizontal="center" vertical="center"/>
    </xf>
    <xf numFmtId="0" fontId="17" fillId="0" borderId="16" xfId="4" applyFont="1" applyBorder="1" applyAlignment="1">
      <alignment horizontal="left" vertical="center"/>
    </xf>
    <xf numFmtId="0" fontId="17" fillId="0" borderId="17" xfId="4" applyFont="1" applyBorder="1" applyAlignment="1">
      <alignment horizontal="center" vertical="center"/>
    </xf>
    <xf numFmtId="0" fontId="17" fillId="0" borderId="18" xfId="4" applyFont="1" applyBorder="1" applyAlignment="1">
      <alignment horizontal="center" vertical="center"/>
    </xf>
    <xf numFmtId="171" fontId="17" fillId="0" borderId="19" xfId="4" applyNumberFormat="1" applyFont="1" applyBorder="1" applyAlignment="1">
      <alignment horizontal="center" vertical="center"/>
    </xf>
    <xf numFmtId="0" fontId="13" fillId="0" borderId="0" xfId="4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22" fillId="0" borderId="0" xfId="0" applyFont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64" fontId="21" fillId="0" borderId="0" xfId="2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164" fontId="3" fillId="0" borderId="42" xfId="0" applyNumberFormat="1" applyFont="1" applyFill="1" applyBorder="1" applyAlignment="1">
      <alignment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164" fontId="4" fillId="0" borderId="42" xfId="0" applyNumberFormat="1" applyFont="1" applyFill="1" applyBorder="1" applyAlignment="1">
      <alignment horizontal="center" vertical="center" wrapText="1"/>
    </xf>
    <xf numFmtId="164" fontId="3" fillId="0" borderId="42" xfId="0" applyNumberFormat="1" applyFont="1" applyFill="1" applyBorder="1" applyAlignment="1">
      <alignment horizontal="center" vertical="center" wrapText="1"/>
    </xf>
    <xf numFmtId="164" fontId="3" fillId="0" borderId="4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4" fillId="0" borderId="0" xfId="0" applyFont="1" applyBorder="1" applyAlignment="1"/>
    <xf numFmtId="0" fontId="25" fillId="0" borderId="0" xfId="0" applyFont="1" applyFill="1" applyBorder="1" applyAlignment="1">
      <alignment horizontal="left" wrapText="1"/>
    </xf>
    <xf numFmtId="0" fontId="2" fillId="0" borderId="0" xfId="0" applyFont="1"/>
    <xf numFmtId="0" fontId="26" fillId="0" borderId="0" xfId="0" applyFont="1" applyAlignment="1">
      <alignment horizontal="center" wrapText="1"/>
    </xf>
    <xf numFmtId="3" fontId="26" fillId="0" borderId="0" xfId="0" applyNumberFormat="1" applyFont="1" applyAlignment="1">
      <alignment horizontal="center" wrapText="1"/>
    </xf>
    <xf numFmtId="1" fontId="26" fillId="0" borderId="0" xfId="0" applyNumberFormat="1" applyFont="1" applyAlignment="1">
      <alignment horizontal="center" wrapText="1"/>
    </xf>
    <xf numFmtId="0" fontId="25" fillId="0" borderId="0" xfId="0" applyFont="1" applyFill="1" applyAlignment="1">
      <alignment horizontal="left" vertical="center" wrapText="1"/>
    </xf>
    <xf numFmtId="0" fontId="23" fillId="0" borderId="0" xfId="0" applyFont="1" applyFill="1" applyAlignment="1">
      <alignment horizontal="left" wrapText="1"/>
    </xf>
    <xf numFmtId="0" fontId="23" fillId="0" borderId="0" xfId="0" applyFont="1" applyFill="1" applyAlignment="1">
      <alignment horizontal="left" vertical="center" wrapText="1"/>
    </xf>
    <xf numFmtId="0" fontId="26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/>
    <xf numFmtId="0" fontId="2" fillId="0" borderId="50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vertical="center" wrapText="1"/>
    </xf>
    <xf numFmtId="0" fontId="2" fillId="0" borderId="25" xfId="0" applyFont="1" applyFill="1" applyBorder="1" applyAlignment="1">
      <alignment horizontal="center" vertical="center"/>
    </xf>
    <xf numFmtId="164" fontId="2" fillId="0" borderId="25" xfId="0" applyNumberFormat="1" applyFont="1" applyFill="1" applyBorder="1" applyAlignment="1">
      <alignment vertical="center"/>
    </xf>
    <xf numFmtId="164" fontId="2" fillId="0" borderId="25" xfId="2" applyNumberFormat="1" applyFont="1" applyFill="1" applyBorder="1" applyAlignment="1">
      <alignment vertical="center" wrapText="1"/>
    </xf>
    <xf numFmtId="164" fontId="2" fillId="0" borderId="51" xfId="2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vertical="center"/>
    </xf>
    <xf numFmtId="164" fontId="2" fillId="0" borderId="1" xfId="2" applyNumberFormat="1" applyFont="1" applyFill="1" applyBorder="1" applyAlignment="1">
      <alignment vertical="center" wrapText="1"/>
    </xf>
    <xf numFmtId="164" fontId="2" fillId="0" borderId="44" xfId="2" applyNumberFormat="1" applyFont="1" applyFill="1" applyBorder="1" applyAlignment="1">
      <alignment vertical="center" wrapText="1"/>
    </xf>
    <xf numFmtId="0" fontId="2" fillId="0" borderId="0" xfId="0" applyFont="1" applyFill="1"/>
    <xf numFmtId="164" fontId="2" fillId="0" borderId="0" xfId="0" applyNumberFormat="1" applyFont="1" applyFill="1"/>
    <xf numFmtId="0" fontId="2" fillId="0" borderId="1" xfId="3" applyFont="1" applyFill="1" applyBorder="1" applyAlignment="1">
      <alignment wrapText="1"/>
    </xf>
    <xf numFmtId="0" fontId="2" fillId="0" borderId="1" xfId="3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2" applyNumberFormat="1" applyFont="1" applyFill="1" applyBorder="1" applyAlignment="1">
      <alignment horizontal="center" vertical="center" wrapText="1"/>
    </xf>
    <xf numFmtId="164" fontId="2" fillId="0" borderId="36" xfId="0" applyNumberFormat="1" applyFont="1" applyFill="1" applyBorder="1" applyAlignment="1">
      <alignment vertical="center"/>
    </xf>
    <xf numFmtId="0" fontId="2" fillId="0" borderId="41" xfId="0" applyFont="1" applyFill="1" applyBorder="1" applyAlignment="1">
      <alignment horizontal="center" vertical="center"/>
    </xf>
    <xf numFmtId="164" fontId="2" fillId="0" borderId="43" xfId="2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40" xfId="0" applyFont="1" applyFill="1" applyBorder="1" applyAlignment="1">
      <alignment vertical="center" wrapText="1"/>
    </xf>
    <xf numFmtId="0" fontId="2" fillId="0" borderId="40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164" fontId="2" fillId="0" borderId="40" xfId="0" applyNumberFormat="1" applyFont="1" applyFill="1" applyBorder="1" applyAlignment="1">
      <alignment vertical="center"/>
    </xf>
    <xf numFmtId="164" fontId="2" fillId="0" borderId="40" xfId="2" applyNumberFormat="1" applyFont="1" applyFill="1" applyBorder="1" applyAlignment="1">
      <alignment vertical="center" wrapText="1"/>
    </xf>
    <xf numFmtId="164" fontId="2" fillId="0" borderId="45" xfId="2" applyNumberFormat="1" applyFont="1" applyFill="1" applyBorder="1" applyAlignment="1">
      <alignment vertical="center" wrapText="1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vertical="center" wrapText="1"/>
    </xf>
    <xf numFmtId="0" fontId="2" fillId="0" borderId="4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vertical="center" wrapText="1"/>
    </xf>
    <xf numFmtId="164" fontId="2" fillId="0" borderId="0" xfId="2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169" fontId="21" fillId="0" borderId="0" xfId="0" applyNumberFormat="1" applyFont="1"/>
    <xf numFmtId="3" fontId="2" fillId="2" borderId="59" xfId="4" applyNumberFormat="1" applyFont="1" applyFill="1" applyBorder="1" applyAlignment="1">
      <alignment horizontal="center" vertical="center"/>
    </xf>
    <xf numFmtId="0" fontId="2" fillId="2" borderId="23" xfId="4" applyFont="1" applyFill="1" applyBorder="1" applyAlignment="1">
      <alignment vertical="center"/>
    </xf>
    <xf numFmtId="0" fontId="2" fillId="2" borderId="35" xfId="4" applyFont="1" applyFill="1" applyBorder="1" applyAlignment="1">
      <alignment vertical="center"/>
    </xf>
    <xf numFmtId="0" fontId="2" fillId="2" borderId="23" xfId="4" applyFont="1" applyFill="1" applyBorder="1" applyAlignment="1">
      <alignment vertical="center" wrapText="1"/>
    </xf>
    <xf numFmtId="0" fontId="2" fillId="2" borderId="35" xfId="4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vertical="center"/>
    </xf>
    <xf numFmtId="0" fontId="2" fillId="0" borderId="0" xfId="3" applyFill="1" applyBorder="1" applyAlignment="1">
      <alignment wrapText="1"/>
    </xf>
    <xf numFmtId="0" fontId="2" fillId="0" borderId="0" xfId="3" applyFill="1" applyBorder="1" applyAlignment="1">
      <alignment vertical="center"/>
    </xf>
    <xf numFmtId="164" fontId="0" fillId="0" borderId="0" xfId="2" applyNumberFormat="1" applyFont="1" applyFill="1" applyBorder="1" applyAlignment="1">
      <alignment horizontal="center" vertical="center" wrapText="1"/>
    </xf>
    <xf numFmtId="164" fontId="20" fillId="0" borderId="0" xfId="0" applyNumberFormat="1" applyFont="1" applyFill="1" applyBorder="1" applyAlignment="1">
      <alignment vertical="center" wrapText="1"/>
    </xf>
    <xf numFmtId="0" fontId="2" fillId="0" borderId="0" xfId="4" applyFont="1" applyBorder="1" applyAlignment="1"/>
    <xf numFmtId="0" fontId="14" fillId="3" borderId="0" xfId="4" applyFont="1" applyFill="1" applyBorder="1" applyAlignment="1">
      <alignment vertical="center" wrapText="1"/>
    </xf>
    <xf numFmtId="0" fontId="14" fillId="2" borderId="5" xfId="4" applyFont="1" applyFill="1" applyBorder="1" applyAlignment="1">
      <alignment vertical="center"/>
    </xf>
    <xf numFmtId="0" fontId="14" fillId="2" borderId="6" xfId="4" applyFont="1" applyFill="1" applyBorder="1" applyAlignment="1">
      <alignment vertical="center"/>
    </xf>
    <xf numFmtId="0" fontId="14" fillId="2" borderId="7" xfId="4" applyFont="1" applyFill="1" applyBorder="1" applyAlignment="1">
      <alignment vertical="center"/>
    </xf>
    <xf numFmtId="0" fontId="2" fillId="3" borderId="68" xfId="4" applyFont="1" applyFill="1" applyBorder="1" applyAlignment="1">
      <alignment horizontal="center" vertical="center"/>
    </xf>
    <xf numFmtId="0" fontId="2" fillId="3" borderId="69" xfId="4" applyFont="1" applyFill="1" applyBorder="1" applyAlignment="1">
      <alignment horizontal="center" vertical="center"/>
    </xf>
    <xf numFmtId="0" fontId="2" fillId="0" borderId="69" xfId="4" applyFont="1" applyBorder="1" applyAlignment="1">
      <alignment horizontal="center" vertical="center"/>
    </xf>
    <xf numFmtId="0" fontId="2" fillId="3" borderId="70" xfId="4" applyFont="1" applyFill="1" applyBorder="1" applyAlignment="1">
      <alignment horizontal="center" vertical="center"/>
    </xf>
    <xf numFmtId="0" fontId="2" fillId="3" borderId="69" xfId="4" applyFill="1" applyBorder="1" applyAlignment="1">
      <alignment horizontal="center" vertical="center"/>
    </xf>
    <xf numFmtId="171" fontId="0" fillId="0" borderId="71" xfId="24" applyNumberFormat="1" applyFont="1" applyBorder="1" applyAlignment="1" applyProtection="1">
      <alignment horizontal="center" vertical="center"/>
    </xf>
    <xf numFmtId="0" fontId="2" fillId="0" borderId="72" xfId="4" applyFont="1" applyBorder="1" applyAlignment="1">
      <alignment horizontal="center" vertical="center"/>
    </xf>
    <xf numFmtId="0" fontId="2" fillId="0" borderId="73" xfId="4" applyFont="1" applyBorder="1" applyAlignment="1">
      <alignment horizontal="center" vertical="center"/>
    </xf>
    <xf numFmtId="0" fontId="2" fillId="0" borderId="74" xfId="4" applyFont="1" applyBorder="1" applyAlignment="1">
      <alignment horizontal="center" vertical="center"/>
    </xf>
    <xf numFmtId="0" fontId="2" fillId="0" borderId="75" xfId="4" applyFont="1" applyBorder="1" applyAlignment="1">
      <alignment horizontal="center" vertical="center"/>
    </xf>
    <xf numFmtId="171" fontId="0" fillId="0" borderId="76" xfId="24" applyNumberFormat="1" applyFont="1" applyBorder="1" applyAlignment="1" applyProtection="1">
      <alignment horizontal="center" vertical="center"/>
    </xf>
    <xf numFmtId="0" fontId="14" fillId="0" borderId="72" xfId="4" applyFont="1" applyBorder="1" applyAlignment="1">
      <alignment horizontal="center" vertical="center"/>
    </xf>
    <xf numFmtId="0" fontId="14" fillId="0" borderId="73" xfId="4" applyFont="1" applyBorder="1" applyAlignment="1">
      <alignment horizontal="center" vertical="center"/>
    </xf>
    <xf numFmtId="0" fontId="2" fillId="0" borderId="75" xfId="4" applyBorder="1" applyAlignment="1">
      <alignment horizontal="center" vertical="center"/>
    </xf>
    <xf numFmtId="0" fontId="14" fillId="0" borderId="74" xfId="4" applyFont="1" applyBorder="1" applyAlignment="1">
      <alignment horizontal="center" vertical="center"/>
    </xf>
    <xf numFmtId="0" fontId="14" fillId="0" borderId="75" xfId="4" applyFont="1" applyBorder="1" applyAlignment="1">
      <alignment horizontal="center" vertical="center"/>
    </xf>
    <xf numFmtId="0" fontId="2" fillId="0" borderId="77" xfId="4" applyBorder="1" applyAlignment="1">
      <alignment horizontal="center" vertical="center"/>
    </xf>
    <xf numFmtId="0" fontId="2" fillId="0" borderId="78" xfId="4" applyBorder="1" applyAlignment="1">
      <alignment horizontal="center" vertical="center"/>
    </xf>
    <xf numFmtId="0" fontId="2" fillId="0" borderId="79" xfId="4" applyBorder="1" applyAlignment="1">
      <alignment horizontal="center" vertical="center"/>
    </xf>
    <xf numFmtId="171" fontId="0" fillId="0" borderId="80" xfId="24" applyNumberFormat="1" applyFont="1" applyBorder="1" applyAlignment="1" applyProtection="1">
      <alignment horizontal="center" vertical="center"/>
    </xf>
    <xf numFmtId="0" fontId="14" fillId="3" borderId="8" xfId="4" applyFont="1" applyFill="1" applyBorder="1" applyAlignment="1">
      <alignment vertical="center"/>
    </xf>
    <xf numFmtId="0" fontId="14" fillId="3" borderId="9" xfId="4" applyFont="1" applyFill="1" applyBorder="1" applyAlignment="1">
      <alignment vertical="center" wrapText="1"/>
    </xf>
    <xf numFmtId="0" fontId="14" fillId="3" borderId="10" xfId="4" applyFont="1" applyFill="1" applyBorder="1" applyAlignment="1">
      <alignment vertical="center" wrapText="1"/>
    </xf>
    <xf numFmtId="0" fontId="14" fillId="3" borderId="11" xfId="4" applyFont="1" applyFill="1" applyBorder="1" applyAlignment="1">
      <alignment vertical="center" wrapText="1"/>
    </xf>
    <xf numFmtId="0" fontId="14" fillId="3" borderId="12" xfId="4" applyFont="1" applyFill="1" applyBorder="1" applyAlignment="1">
      <alignment vertical="center" wrapText="1"/>
    </xf>
    <xf numFmtId="0" fontId="28" fillId="0" borderId="0" xfId="4" applyFont="1" applyBorder="1" applyAlignment="1">
      <alignment horizontal="left" vertical="center"/>
    </xf>
    <xf numFmtId="0" fontId="27" fillId="0" borderId="0" xfId="4" applyFont="1" applyBorder="1" applyAlignment="1">
      <alignment horizontal="left" vertical="center" wrapText="1" indent="1"/>
    </xf>
    <xf numFmtId="0" fontId="2" fillId="2" borderId="59" xfId="4" applyFont="1" applyFill="1" applyBorder="1" applyAlignment="1">
      <alignment horizontal="center" vertical="center"/>
    </xf>
    <xf numFmtId="0" fontId="2" fillId="2" borderId="59" xfId="4" applyFont="1" applyFill="1" applyBorder="1" applyAlignment="1">
      <alignment horizontal="left" vertical="center"/>
    </xf>
    <xf numFmtId="0" fontId="2" fillId="0" borderId="81" xfId="4" applyFont="1" applyBorder="1" applyAlignment="1">
      <alignment vertical="center"/>
    </xf>
    <xf numFmtId="0" fontId="2" fillId="0" borderId="52" xfId="4" applyFont="1" applyBorder="1" applyAlignment="1">
      <alignment vertical="center"/>
    </xf>
    <xf numFmtId="0" fontId="2" fillId="0" borderId="34" xfId="4" applyFont="1" applyBorder="1" applyAlignment="1">
      <alignment vertical="center"/>
    </xf>
    <xf numFmtId="0" fontId="2" fillId="3" borderId="60" xfId="4" applyFont="1" applyFill="1" applyBorder="1" applyAlignment="1">
      <alignment horizontal="center" vertical="center"/>
    </xf>
    <xf numFmtId="0" fontId="2" fillId="0" borderId="59" xfId="4" applyFont="1" applyBorder="1" applyAlignment="1">
      <alignment horizontal="center" vertical="center"/>
    </xf>
    <xf numFmtId="169" fontId="2" fillId="0" borderId="59" xfId="4" applyNumberFormat="1" applyFont="1" applyBorder="1" applyAlignment="1">
      <alignment horizontal="center" vertical="center"/>
    </xf>
    <xf numFmtId="0" fontId="2" fillId="0" borderId="61" xfId="4" applyFont="1" applyBorder="1" applyAlignment="1">
      <alignment vertical="center"/>
    </xf>
    <xf numFmtId="0" fontId="29" fillId="0" borderId="9" xfId="4" applyFont="1" applyBorder="1" applyAlignment="1">
      <alignment horizontal="right" vertical="center"/>
    </xf>
    <xf numFmtId="17" fontId="30" fillId="3" borderId="4" xfId="4" applyNumberFormat="1" applyFont="1" applyFill="1" applyBorder="1" applyAlignment="1">
      <alignment horizontal="center" vertical="center"/>
    </xf>
    <xf numFmtId="0" fontId="29" fillId="0" borderId="11" xfId="4" applyFont="1" applyBorder="1" applyAlignment="1">
      <alignment vertical="center"/>
    </xf>
    <xf numFmtId="0" fontId="29" fillId="0" borderId="0" xfId="4" applyFont="1" applyBorder="1" applyAlignment="1">
      <alignment vertical="center"/>
    </xf>
    <xf numFmtId="0" fontId="30" fillId="0" borderId="3" xfId="4" applyFont="1" applyBorder="1" applyAlignment="1">
      <alignment vertical="center"/>
    </xf>
    <xf numFmtId="0" fontId="30" fillId="0" borderId="48" xfId="4" applyFont="1" applyBorder="1" applyAlignment="1">
      <alignment vertical="center"/>
    </xf>
    <xf numFmtId="0" fontId="30" fillId="0" borderId="2" xfId="4" applyFont="1" applyBorder="1" applyAlignment="1">
      <alignment vertical="center"/>
    </xf>
    <xf numFmtId="0" fontId="30" fillId="0" borderId="48" xfId="4" applyFont="1" applyBorder="1" applyAlignment="1">
      <alignment vertical="center" wrapText="1"/>
    </xf>
    <xf numFmtId="0" fontId="30" fillId="0" borderId="2" xfId="4" applyFont="1" applyBorder="1" applyAlignment="1">
      <alignment vertical="center" wrapText="1"/>
    </xf>
    <xf numFmtId="0" fontId="30" fillId="0" borderId="3" xfId="4" applyFont="1" applyBorder="1" applyAlignment="1">
      <alignment vertical="center" wrapText="1"/>
    </xf>
    <xf numFmtId="0" fontId="30" fillId="0" borderId="20" xfId="4" applyFont="1" applyBorder="1" applyAlignment="1">
      <alignment vertical="center"/>
    </xf>
    <xf numFmtId="0" fontId="2" fillId="2" borderId="23" xfId="4" applyFont="1" applyFill="1" applyBorder="1" applyAlignment="1">
      <alignment horizontal="left" vertical="center" wrapText="1"/>
    </xf>
    <xf numFmtId="0" fontId="2" fillId="2" borderId="35" xfId="4" applyFont="1" applyFill="1" applyBorder="1" applyAlignment="1">
      <alignment horizontal="left" vertical="center" wrapText="1"/>
    </xf>
    <xf numFmtId="0" fontId="2" fillId="0" borderId="62" xfId="4" applyFont="1" applyBorder="1" applyAlignment="1">
      <alignment horizontal="left" vertical="center"/>
    </xf>
    <xf numFmtId="0" fontId="2" fillId="0" borderId="63" xfId="4" applyFont="1" applyBorder="1" applyAlignment="1">
      <alignment horizontal="left" vertical="center"/>
    </xf>
    <xf numFmtId="0" fontId="7" fillId="0" borderId="64" xfId="4" applyFont="1" applyBorder="1" applyAlignment="1">
      <alignment horizontal="center" vertical="center"/>
    </xf>
    <xf numFmtId="0" fontId="7" fillId="0" borderId="64" xfId="4" applyFont="1" applyBorder="1" applyAlignment="1">
      <alignment horizontal="left" vertical="center"/>
    </xf>
    <xf numFmtId="0" fontId="7" fillId="2" borderId="65" xfId="4" applyFont="1" applyFill="1" applyBorder="1" applyAlignment="1">
      <alignment vertical="center"/>
    </xf>
    <xf numFmtId="0" fontId="7" fillId="2" borderId="66" xfId="4" applyFont="1" applyFill="1" applyBorder="1" applyAlignment="1">
      <alignment vertical="center"/>
    </xf>
    <xf numFmtId="0" fontId="7" fillId="2" borderId="38" xfId="4" applyFont="1" applyFill="1" applyBorder="1" applyAlignment="1">
      <alignment vertical="center"/>
    </xf>
    <xf numFmtId="0" fontId="7" fillId="0" borderId="67" xfId="4" applyFont="1" applyBorder="1" applyAlignment="1">
      <alignment horizontal="center" vertical="center"/>
    </xf>
    <xf numFmtId="0" fontId="7" fillId="0" borderId="64" xfId="4" applyFont="1" applyBorder="1" applyAlignment="1">
      <alignment horizontal="center" vertical="center" wrapText="1"/>
    </xf>
    <xf numFmtId="44" fontId="7" fillId="0" borderId="64" xfId="4" applyNumberFormat="1" applyFont="1" applyBorder="1" applyAlignment="1">
      <alignment horizontal="center" vertical="center" wrapText="1"/>
    </xf>
    <xf numFmtId="3" fontId="7" fillId="0" borderId="64" xfId="4" applyNumberFormat="1" applyFont="1" applyBorder="1" applyAlignment="1">
      <alignment horizontal="center" vertical="center"/>
    </xf>
    <xf numFmtId="169" fontId="21" fillId="0" borderId="0" xfId="0" applyNumberFormat="1" applyFont="1" applyFill="1" applyBorder="1"/>
    <xf numFmtId="0" fontId="21" fillId="0" borderId="0" xfId="0" applyFont="1" applyFill="1" applyAlignment="1">
      <alignment horizontal="center"/>
    </xf>
    <xf numFmtId="1" fontId="21" fillId="0" borderId="0" xfId="0" applyNumberFormat="1" applyFont="1" applyFill="1" applyAlignment="1">
      <alignment horizontal="center"/>
    </xf>
    <xf numFmtId="0" fontId="33" fillId="0" borderId="0" xfId="0" applyFont="1" applyFill="1" applyBorder="1" applyAlignment="1"/>
    <xf numFmtId="0" fontId="21" fillId="0" borderId="0" xfId="0" applyFont="1" applyFill="1" applyAlignment="1">
      <alignment horizontal="center" wrapText="1"/>
    </xf>
    <xf numFmtId="1" fontId="21" fillId="0" borderId="0" xfId="0" applyNumberFormat="1" applyFont="1" applyFill="1" applyAlignment="1">
      <alignment horizontal="center" wrapText="1"/>
    </xf>
    <xf numFmtId="0" fontId="34" fillId="0" borderId="0" xfId="0" applyFont="1" applyFill="1" applyBorder="1" applyAlignment="1">
      <alignment vertical="center"/>
    </xf>
    <xf numFmtId="164" fontId="21" fillId="0" borderId="0" xfId="0" applyNumberFormat="1" applyFont="1" applyFill="1" applyBorder="1" applyAlignment="1"/>
    <xf numFmtId="164" fontId="21" fillId="0" borderId="0" xfId="0" applyNumberFormat="1" applyFont="1" applyFill="1" applyBorder="1" applyAlignment="1">
      <alignment wrapText="1"/>
    </xf>
    <xf numFmtId="0" fontId="21" fillId="0" borderId="0" xfId="0" applyFont="1" applyFill="1"/>
    <xf numFmtId="164" fontId="20" fillId="0" borderId="0" xfId="0" applyNumberFormat="1" applyFont="1" applyFill="1"/>
    <xf numFmtId="0" fontId="21" fillId="0" borderId="0" xfId="0" applyFont="1" applyFill="1" applyAlignment="1">
      <alignment vertical="center" wrapText="1"/>
    </xf>
    <xf numFmtId="167" fontId="21" fillId="0" borderId="0" xfId="0" applyNumberFormat="1" applyFont="1" applyFill="1" applyAlignment="1">
      <alignment horizontal="center"/>
    </xf>
    <xf numFmtId="0" fontId="21" fillId="0" borderId="0" xfId="0" applyFont="1" applyAlignment="1">
      <alignment vertical="center"/>
    </xf>
    <xf numFmtId="0" fontId="35" fillId="0" borderId="26" xfId="4" applyFont="1" applyFill="1" applyBorder="1" applyAlignment="1">
      <alignment horizontal="center" vertical="center" wrapText="1"/>
    </xf>
    <xf numFmtId="0" fontId="35" fillId="0" borderId="28" xfId="4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left" vertical="center" wrapText="1"/>
    </xf>
    <xf numFmtId="0" fontId="7" fillId="0" borderId="29" xfId="4" applyFont="1" applyFill="1" applyBorder="1" applyAlignment="1">
      <alignment horizontal="left" vertical="center" wrapText="1"/>
    </xf>
    <xf numFmtId="0" fontId="35" fillId="0" borderId="28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horizontal="left" vertical="center"/>
    </xf>
    <xf numFmtId="0" fontId="7" fillId="0" borderId="0" xfId="4" applyFont="1" applyFill="1" applyBorder="1" applyAlignment="1">
      <alignment horizontal="center"/>
    </xf>
    <xf numFmtId="0" fontId="7" fillId="0" borderId="0" xfId="4" applyFont="1" applyFill="1" applyBorder="1" applyAlignment="1">
      <alignment horizontal="center" vertical="center" wrapText="1"/>
    </xf>
    <xf numFmtId="0" fontId="7" fillId="0" borderId="29" xfId="4" applyFont="1" applyFill="1" applyBorder="1" applyAlignment="1">
      <alignment horizontal="center"/>
    </xf>
    <xf numFmtId="0" fontId="7" fillId="0" borderId="0" xfId="4" applyFont="1" applyFill="1" applyBorder="1" applyAlignment="1">
      <alignment horizontal="center" vertical="center"/>
    </xf>
    <xf numFmtId="0" fontId="35" fillId="0" borderId="28" xfId="4" applyFont="1" applyBorder="1" applyAlignment="1">
      <alignment horizontal="center" wrapText="1"/>
    </xf>
    <xf numFmtId="0" fontId="7" fillId="0" borderId="0" xfId="4" applyFont="1" applyBorder="1" applyAlignment="1">
      <alignment horizontal="center" vertical="center"/>
    </xf>
    <xf numFmtId="0" fontId="7" fillId="0" borderId="0" xfId="4" applyFont="1" applyBorder="1" applyAlignment="1">
      <alignment horizontal="center"/>
    </xf>
    <xf numFmtId="0" fontId="7" fillId="0" borderId="0" xfId="4" applyFont="1" applyBorder="1" applyAlignment="1">
      <alignment horizontal="center" vertical="center" wrapText="1"/>
    </xf>
    <xf numFmtId="0" fontId="7" fillId="0" borderId="29" xfId="4" applyFont="1" applyBorder="1" applyAlignment="1">
      <alignment horizontal="center"/>
    </xf>
    <xf numFmtId="0" fontId="35" fillId="0" borderId="30" xfId="4" applyFont="1" applyBorder="1" applyAlignment="1">
      <alignment horizontal="center" wrapText="1"/>
    </xf>
    <xf numFmtId="0" fontId="7" fillId="0" borderId="31" xfId="4" applyFont="1" applyBorder="1" applyAlignment="1">
      <alignment horizontal="left" vertical="center"/>
    </xf>
    <xf numFmtId="0" fontId="7" fillId="0" borderId="31" xfId="4" applyFont="1" applyBorder="1" applyAlignment="1">
      <alignment horizontal="center"/>
    </xf>
    <xf numFmtId="0" fontId="7" fillId="0" borderId="31" xfId="4" applyFont="1" applyBorder="1" applyAlignment="1">
      <alignment horizontal="center" vertical="center" wrapText="1"/>
    </xf>
    <xf numFmtId="0" fontId="7" fillId="0" borderId="32" xfId="4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33" fillId="0" borderId="0" xfId="0" applyFont="1" applyBorder="1" applyAlignment="1"/>
    <xf numFmtId="167" fontId="21" fillId="0" borderId="0" xfId="0" applyNumberFormat="1" applyFont="1" applyFill="1" applyAlignment="1">
      <alignment horizontal="center" wrapText="1"/>
    </xf>
    <xf numFmtId="3" fontId="21" fillId="0" borderId="0" xfId="0" applyNumberFormat="1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Border="1"/>
    <xf numFmtId="0" fontId="21" fillId="0" borderId="0" xfId="0" applyFont="1"/>
    <xf numFmtId="164" fontId="21" fillId="0" borderId="0" xfId="0" applyNumberFormat="1" applyFont="1" applyFill="1" applyBorder="1"/>
    <xf numFmtId="164" fontId="20" fillId="0" borderId="0" xfId="0" applyNumberFormat="1" applyFont="1"/>
    <xf numFmtId="164" fontId="21" fillId="0" borderId="0" xfId="0" applyNumberFormat="1" applyFont="1" applyFill="1"/>
    <xf numFmtId="0" fontId="21" fillId="0" borderId="0" xfId="0" applyFont="1" applyAlignment="1">
      <alignment vertical="center" wrapText="1"/>
    </xf>
    <xf numFmtId="3" fontId="21" fillId="0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4" fillId="0" borderId="0" xfId="0" applyFont="1" applyFill="1" applyBorder="1" applyAlignment="1"/>
    <xf numFmtId="0" fontId="2" fillId="0" borderId="0" xfId="0" applyFont="1" applyFill="1" applyAlignment="1">
      <alignment horizontal="center" wrapText="1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wrapText="1"/>
    </xf>
    <xf numFmtId="0" fontId="2" fillId="0" borderId="0" xfId="0" applyFont="1" applyFill="1" applyAlignment="1">
      <alignment vertical="center" wrapText="1"/>
    </xf>
    <xf numFmtId="0" fontId="34" fillId="0" borderId="0" xfId="0" applyNumberFormat="1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left" vertical="center"/>
    </xf>
    <xf numFmtId="0" fontId="7" fillId="0" borderId="29" xfId="4" applyFont="1" applyFill="1" applyBorder="1" applyAlignment="1">
      <alignment horizontal="left" vertical="center"/>
    </xf>
    <xf numFmtId="164" fontId="3" fillId="0" borderId="47" xfId="0" applyNumberFormat="1" applyFont="1" applyFill="1" applyBorder="1" applyAlignment="1">
      <alignment horizontal="center" vertical="center" wrapText="1"/>
    </xf>
    <xf numFmtId="164" fontId="3" fillId="0" borderId="48" xfId="0" applyNumberFormat="1" applyFont="1" applyFill="1" applyBorder="1" applyAlignment="1">
      <alignment horizontal="center" vertical="center" wrapText="1"/>
    </xf>
    <xf numFmtId="164" fontId="3" fillId="0" borderId="49" xfId="0" applyNumberFormat="1" applyFont="1" applyFill="1" applyBorder="1" applyAlignment="1">
      <alignment horizontal="center" vertical="center" wrapText="1"/>
    </xf>
    <xf numFmtId="3" fontId="6" fillId="2" borderId="24" xfId="0" applyNumberFormat="1" applyFont="1" applyFill="1" applyBorder="1" applyAlignment="1">
      <alignment horizontal="center" vertical="center" wrapText="1"/>
    </xf>
    <xf numFmtId="3" fontId="6" fillId="2" borderId="33" xfId="0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/>
    </xf>
    <xf numFmtId="0" fontId="7" fillId="0" borderId="27" xfId="4" applyFont="1" applyFill="1" applyBorder="1" applyAlignment="1">
      <alignment horizontal="left" vertical="center" wrapText="1"/>
    </xf>
    <xf numFmtId="0" fontId="7" fillId="0" borderId="55" xfId="4" applyFont="1" applyFill="1" applyBorder="1" applyAlignment="1">
      <alignment horizontal="left" vertical="center" wrapText="1"/>
    </xf>
    <xf numFmtId="164" fontId="10" fillId="0" borderId="0" xfId="0" applyNumberFormat="1" applyFont="1" applyFill="1" applyBorder="1" applyAlignment="1">
      <alignment horizontal="left" vertical="center" wrapText="1"/>
    </xf>
    <xf numFmtId="164" fontId="10" fillId="0" borderId="0" xfId="0" applyNumberFormat="1" applyFont="1" applyFill="1" applyBorder="1" applyAlignment="1">
      <alignment horizontal="center" vertical="center" wrapText="1"/>
    </xf>
    <xf numFmtId="0" fontId="31" fillId="0" borderId="56" xfId="4" applyFont="1" applyBorder="1" applyAlignment="1">
      <alignment horizontal="left" vertical="center" wrapText="1"/>
    </xf>
    <xf numFmtId="0" fontId="31" fillId="0" borderId="57" xfId="4" applyFont="1" applyBorder="1" applyAlignment="1">
      <alignment horizontal="left" vertical="center"/>
    </xf>
    <xf numFmtId="0" fontId="32" fillId="0" borderId="57" xfId="4" applyFont="1" applyBorder="1" applyAlignment="1">
      <alignment horizontal="center" vertical="center"/>
    </xf>
    <xf numFmtId="0" fontId="32" fillId="0" borderId="58" xfId="4" applyFont="1" applyBorder="1" applyAlignment="1">
      <alignment horizontal="center" vertical="center" wrapText="1"/>
    </xf>
    <xf numFmtId="0" fontId="30" fillId="0" borderId="3" xfId="4" applyFont="1" applyBorder="1" applyAlignment="1">
      <alignment horizontal="left" vertical="center"/>
    </xf>
    <xf numFmtId="0" fontId="30" fillId="0" borderId="48" xfId="4" applyFont="1" applyBorder="1" applyAlignment="1">
      <alignment horizontal="left" vertical="center"/>
    </xf>
    <xf numFmtId="0" fontId="30" fillId="0" borderId="2" xfId="4" applyFont="1" applyBorder="1" applyAlignment="1">
      <alignment horizontal="left" vertical="center"/>
    </xf>
    <xf numFmtId="169" fontId="30" fillId="0" borderId="48" xfId="4" applyNumberFormat="1" applyFont="1" applyBorder="1" applyAlignment="1">
      <alignment horizontal="center" vertical="center" wrapText="1"/>
    </xf>
    <xf numFmtId="169" fontId="30" fillId="0" borderId="2" xfId="4" applyNumberFormat="1" applyFont="1" applyBorder="1" applyAlignment="1">
      <alignment horizontal="center" vertical="center" wrapText="1"/>
    </xf>
    <xf numFmtId="0" fontId="29" fillId="0" borderId="0" xfId="4" applyFont="1" applyBorder="1" applyAlignment="1">
      <alignment horizontal="center" vertical="center"/>
    </xf>
    <xf numFmtId="0" fontId="31" fillId="0" borderId="5" xfId="4" applyFont="1" applyBorder="1" applyAlignment="1">
      <alignment horizontal="left" vertical="center" wrapText="1"/>
    </xf>
    <xf numFmtId="0" fontId="32" fillId="0" borderId="20" xfId="4" applyFont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left" vertical="center" wrapText="1"/>
    </xf>
    <xf numFmtId="0" fontId="15" fillId="0" borderId="6" xfId="4" applyFont="1" applyBorder="1" applyAlignment="1">
      <alignment horizontal="left" vertical="center" wrapText="1"/>
    </xf>
    <xf numFmtId="0" fontId="15" fillId="0" borderId="7" xfId="4" applyFont="1" applyBorder="1" applyAlignment="1">
      <alignment horizontal="left" vertical="center" wrapText="1"/>
    </xf>
    <xf numFmtId="0" fontId="16" fillId="0" borderId="4" xfId="4" applyFont="1" applyBorder="1" applyAlignment="1">
      <alignment horizontal="left" vertical="center"/>
    </xf>
    <xf numFmtId="0" fontId="2" fillId="0" borderId="3" xfId="4" applyFont="1" applyBorder="1" applyAlignment="1">
      <alignment horizontal="center"/>
    </xf>
    <xf numFmtId="0" fontId="11" fillId="0" borderId="2" xfId="4" applyNumberFormat="1" applyFont="1" applyBorder="1" applyAlignment="1">
      <alignment horizontal="center"/>
    </xf>
    <xf numFmtId="0" fontId="12" fillId="0" borderId="4" xfId="4" applyFont="1" applyBorder="1" applyAlignment="1">
      <alignment horizontal="center" vertical="center" wrapText="1"/>
    </xf>
    <xf numFmtId="0" fontId="13" fillId="0" borderId="4" xfId="4" applyFont="1" applyBorder="1" applyAlignment="1">
      <alignment vertical="center"/>
    </xf>
    <xf numFmtId="0" fontId="14" fillId="0" borderId="8" xfId="4" applyFont="1" applyBorder="1"/>
    <xf numFmtId="0" fontId="14" fillId="2" borderId="8" xfId="4" applyNumberFormat="1" applyFont="1" applyFill="1" applyBorder="1" applyAlignment="1">
      <alignment horizontal="left" vertical="justify" wrapText="1" indent="1"/>
    </xf>
    <xf numFmtId="0" fontId="14" fillId="2" borderId="0" xfId="4" applyNumberFormat="1" applyFont="1" applyFill="1" applyBorder="1" applyAlignment="1">
      <alignment horizontal="left" vertical="justify" wrapText="1" indent="1"/>
    </xf>
    <xf numFmtId="0" fontId="14" fillId="2" borderId="9" xfId="4" applyNumberFormat="1" applyFont="1" applyFill="1" applyBorder="1" applyAlignment="1">
      <alignment horizontal="left" vertical="justify" wrapText="1" indent="1"/>
    </xf>
    <xf numFmtId="0" fontId="17" fillId="0" borderId="13" xfId="4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0" fontId="17" fillId="0" borderId="13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/>
    </xf>
    <xf numFmtId="0" fontId="11" fillId="0" borderId="3" xfId="4" applyFont="1" applyBorder="1" applyAlignment="1">
      <alignment vertical="center" wrapText="1"/>
    </xf>
    <xf numFmtId="0" fontId="11" fillId="0" borderId="20" xfId="4" applyFont="1" applyBorder="1" applyAlignment="1">
      <alignment vertical="center" wrapText="1"/>
    </xf>
    <xf numFmtId="0" fontId="11" fillId="0" borderId="21" xfId="4" applyFont="1" applyBorder="1" applyAlignment="1">
      <alignment vertical="center" wrapText="1"/>
    </xf>
    <xf numFmtId="0" fontId="14" fillId="0" borderId="14" xfId="4" applyFont="1" applyBorder="1" applyAlignment="1">
      <alignment vertical="center" wrapText="1"/>
    </xf>
    <xf numFmtId="0" fontId="2" fillId="0" borderId="69" xfId="4" applyBorder="1" applyAlignment="1">
      <alignment horizontal="left" vertical="center" wrapText="1"/>
    </xf>
    <xf numFmtId="0" fontId="2" fillId="0" borderId="69" xfId="4" applyFont="1" applyBorder="1" applyAlignment="1">
      <alignment horizontal="left" vertical="center" wrapText="1"/>
    </xf>
    <xf numFmtId="0" fontId="2" fillId="0" borderId="75" xfId="4" applyBorder="1" applyAlignment="1">
      <alignment horizontal="left" vertical="center"/>
    </xf>
    <xf numFmtId="0" fontId="2" fillId="0" borderId="75" xfId="4" applyFont="1" applyBorder="1" applyAlignment="1">
      <alignment horizontal="left" vertical="center"/>
    </xf>
    <xf numFmtId="0" fontId="2" fillId="0" borderId="75" xfId="4" applyFont="1" applyBorder="1" applyAlignment="1">
      <alignment horizontal="left" vertical="center" wrapText="1"/>
    </xf>
    <xf numFmtId="0" fontId="2" fillId="0" borderId="78" xfId="4" applyBorder="1" applyAlignment="1">
      <alignment horizontal="left" vertical="center"/>
    </xf>
    <xf numFmtId="0" fontId="11" fillId="0" borderId="19" xfId="4" applyFont="1" applyBorder="1" applyAlignment="1">
      <alignment horizontal="left" vertical="center" wrapText="1"/>
    </xf>
    <xf numFmtId="0" fontId="2" fillId="0" borderId="13" xfId="4" applyBorder="1"/>
  </cellXfs>
  <cellStyles count="25">
    <cellStyle name="Encabezado 1" xfId="5" xr:uid="{00000000-0005-0000-0000-000000000000}"/>
    <cellStyle name="Encabezado 1 2" xfId="6" xr:uid="{00000000-0005-0000-0000-000001000000}"/>
    <cellStyle name="Euro" xfId="1" xr:uid="{00000000-0005-0000-0000-000002000000}"/>
    <cellStyle name="Millares 2" xfId="7" xr:uid="{00000000-0005-0000-0000-000003000000}"/>
    <cellStyle name="Moneda" xfId="2" builtinId="4"/>
    <cellStyle name="Moneda 2" xfId="8" xr:uid="{00000000-0005-0000-0000-000005000000}"/>
    <cellStyle name="Moneda 2 2" xfId="9" xr:uid="{00000000-0005-0000-0000-000006000000}"/>
    <cellStyle name="Moneda 3" xfId="10" xr:uid="{00000000-0005-0000-0000-000007000000}"/>
    <cellStyle name="Moneda 4" xfId="11" xr:uid="{00000000-0005-0000-0000-000008000000}"/>
    <cellStyle name="Moneda_AUTORIZACION Y NOTA DE PEDIDO" xfId="24" xr:uid="{00000000-0005-0000-0000-000009000000}"/>
    <cellStyle name="Neutral 1" xfId="12" xr:uid="{00000000-0005-0000-0000-00000A000000}"/>
    <cellStyle name="Normal" xfId="0" builtinId="0"/>
    <cellStyle name="Normal 2" xfId="3" xr:uid="{00000000-0005-0000-0000-00000C000000}"/>
    <cellStyle name="Normal 2 2" xfId="4" xr:uid="{00000000-0005-0000-0000-00000D000000}"/>
    <cellStyle name="Normal 3" xfId="13" xr:uid="{00000000-0005-0000-0000-00000E000000}"/>
    <cellStyle name="Normal 3 2" xfId="14" xr:uid="{00000000-0005-0000-0000-00000F000000}"/>
    <cellStyle name="Normal 3 2 2" xfId="15" xr:uid="{00000000-0005-0000-0000-000010000000}"/>
    <cellStyle name="Normal 3 3" xfId="16" xr:uid="{00000000-0005-0000-0000-000011000000}"/>
    <cellStyle name="Normal 3 4" xfId="17" xr:uid="{00000000-0005-0000-0000-000012000000}"/>
    <cellStyle name="Normal 4" xfId="18" xr:uid="{00000000-0005-0000-0000-000013000000}"/>
    <cellStyle name="Normal 4 2" xfId="19" xr:uid="{00000000-0005-0000-0000-000014000000}"/>
    <cellStyle name="Normal 4 3" xfId="20" xr:uid="{00000000-0005-0000-0000-000015000000}"/>
    <cellStyle name="Normal 5" xfId="21" xr:uid="{00000000-0005-0000-0000-000016000000}"/>
    <cellStyle name="Normal 6" xfId="22" xr:uid="{00000000-0005-0000-0000-000017000000}"/>
    <cellStyle name="Normal 7" xfId="23" xr:uid="{00000000-0005-0000-0000-00001800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artoné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V777"/>
  <sheetViews>
    <sheetView zoomScale="90" zoomScaleNormal="90" workbookViewId="0">
      <selection activeCell="K6" sqref="K6"/>
    </sheetView>
  </sheetViews>
  <sheetFormatPr baseColWidth="10" defaultRowHeight="12.75" x14ac:dyDescent="0.2"/>
  <cols>
    <col min="1" max="1" width="6.7109375" style="43" customWidth="1"/>
    <col min="2" max="2" width="20.28515625" style="6" customWidth="1"/>
    <col min="3" max="3" width="35" style="12" customWidth="1"/>
    <col min="4" max="4" width="16" style="12" customWidth="1"/>
    <col min="5" max="5" width="95.28515625" style="12" customWidth="1"/>
    <col min="6" max="6" width="13.28515625" style="11" customWidth="1"/>
    <col min="7" max="7" width="18" style="7" customWidth="1"/>
    <col min="8" max="8" width="17.28515625" style="7" customWidth="1"/>
    <col min="9" max="9" width="17.5703125" style="8" customWidth="1"/>
    <col min="10" max="10" width="16.28515625" style="5" customWidth="1"/>
    <col min="11" max="11" width="21.7109375" style="96" customWidth="1"/>
    <col min="12" max="14" width="16.5703125" style="221" customWidth="1"/>
    <col min="15" max="15" width="16.5703125" style="256" customWidth="1"/>
    <col min="16" max="17" width="16.5703125" style="253" customWidth="1"/>
    <col min="19" max="19" width="13" style="1" bestFit="1" customWidth="1"/>
  </cols>
  <sheetData>
    <row r="1" spans="1:48" s="19" customFormat="1" ht="14.25" x14ac:dyDescent="0.2">
      <c r="A1" s="274">
        <v>2021</v>
      </c>
      <c r="B1" s="275"/>
      <c r="C1" s="67"/>
      <c r="D1" s="67"/>
      <c r="E1" s="67"/>
      <c r="F1" s="68"/>
      <c r="G1" s="69"/>
      <c r="H1" s="70"/>
      <c r="I1" s="69"/>
      <c r="J1" s="69"/>
      <c r="K1" s="260"/>
      <c r="L1" s="213"/>
      <c r="M1" s="213"/>
      <c r="N1" s="214"/>
      <c r="O1" s="224"/>
      <c r="P1" s="246"/>
      <c r="Q1" s="247"/>
      <c r="R1" s="72"/>
      <c r="S1" s="69"/>
      <c r="T1" s="71"/>
      <c r="U1" s="69"/>
      <c r="V1" s="72"/>
      <c r="W1" s="69"/>
      <c r="X1" s="71"/>
      <c r="Y1" s="69"/>
      <c r="Z1" s="71"/>
      <c r="AA1" s="69"/>
      <c r="AB1" s="71"/>
      <c r="AC1" s="69"/>
      <c r="AD1" s="71"/>
      <c r="AE1" s="69"/>
      <c r="AF1" s="71"/>
      <c r="AG1" s="69"/>
      <c r="AH1" s="15"/>
      <c r="AI1" s="14"/>
      <c r="AJ1" s="15"/>
      <c r="AK1" s="14"/>
      <c r="AL1" s="15"/>
      <c r="AM1" s="14"/>
      <c r="AN1" s="15"/>
      <c r="AO1" s="14"/>
      <c r="AP1" s="15"/>
      <c r="AQ1" s="14"/>
      <c r="AR1" s="15"/>
      <c r="AS1" s="14"/>
      <c r="AT1" s="16"/>
      <c r="AU1" s="17"/>
      <c r="AV1" s="18"/>
    </row>
    <row r="2" spans="1:48" s="19" customFormat="1" ht="26.25" x14ac:dyDescent="0.4">
      <c r="A2" s="276" t="s">
        <v>11</v>
      </c>
      <c r="B2" s="276"/>
      <c r="C2" s="276"/>
      <c r="D2" s="276"/>
      <c r="E2" s="276"/>
      <c r="F2" s="276"/>
      <c r="G2" s="276"/>
      <c r="H2" s="276"/>
      <c r="I2" s="276"/>
      <c r="J2" s="276"/>
      <c r="K2" s="261"/>
      <c r="L2" s="215"/>
      <c r="M2" s="215"/>
      <c r="N2" s="215"/>
      <c r="O2" s="215"/>
      <c r="P2" s="248"/>
      <c r="Q2" s="248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2"/>
      <c r="AU2" s="42"/>
      <c r="AV2" s="18"/>
    </row>
    <row r="3" spans="1:48" s="19" customFormat="1" ht="14.25" x14ac:dyDescent="0.2">
      <c r="A3" s="68"/>
      <c r="B3" s="68"/>
      <c r="C3" s="67"/>
      <c r="D3" s="67"/>
      <c r="E3" s="67"/>
      <c r="F3" s="68"/>
      <c r="G3" s="69"/>
      <c r="H3" s="70"/>
      <c r="I3" s="69"/>
      <c r="J3" s="69"/>
      <c r="K3" s="260"/>
      <c r="L3" s="213"/>
      <c r="M3" s="213"/>
      <c r="N3" s="214"/>
      <c r="O3" s="224"/>
      <c r="P3" s="246"/>
      <c r="Q3" s="247"/>
      <c r="R3" s="72"/>
      <c r="S3" s="69"/>
      <c r="T3" s="71"/>
      <c r="U3" s="69"/>
      <c r="V3" s="72"/>
      <c r="W3" s="69"/>
      <c r="X3" s="71"/>
      <c r="Y3" s="69"/>
      <c r="Z3" s="71"/>
      <c r="AA3" s="69"/>
      <c r="AB3" s="71"/>
      <c r="AC3" s="69"/>
      <c r="AD3" s="71"/>
      <c r="AE3" s="69"/>
      <c r="AF3" s="71"/>
      <c r="AG3" s="69"/>
      <c r="AH3" s="15"/>
      <c r="AI3" s="14"/>
      <c r="AJ3" s="15"/>
      <c r="AK3" s="14"/>
      <c r="AL3" s="15"/>
      <c r="AM3" s="14"/>
      <c r="AN3" s="15"/>
      <c r="AO3" s="14"/>
      <c r="AP3" s="15"/>
      <c r="AQ3" s="14"/>
      <c r="AR3" s="15"/>
      <c r="AS3" s="14"/>
      <c r="AT3" s="16"/>
      <c r="AU3" s="17"/>
      <c r="AV3" s="18"/>
    </row>
    <row r="4" spans="1:48" s="19" customFormat="1" ht="18" customHeight="1" x14ac:dyDescent="0.25">
      <c r="A4" s="52" t="s">
        <v>66</v>
      </c>
      <c r="B4" s="46"/>
      <c r="C4" s="47" t="s">
        <v>114</v>
      </c>
      <c r="D4" s="47"/>
      <c r="E4" s="74"/>
      <c r="F4" s="74"/>
      <c r="G4" s="74"/>
      <c r="H4" s="75"/>
      <c r="I4" s="76"/>
      <c r="J4" s="76"/>
      <c r="K4" s="262"/>
      <c r="L4" s="216"/>
      <c r="M4" s="216"/>
      <c r="N4" s="217"/>
      <c r="O4" s="249"/>
      <c r="P4" s="250"/>
      <c r="Q4" s="251"/>
      <c r="R4" s="78"/>
      <c r="S4" s="76"/>
      <c r="T4" s="77"/>
      <c r="U4" s="76"/>
      <c r="V4" s="78"/>
      <c r="W4" s="76"/>
      <c r="X4" s="77"/>
      <c r="Y4" s="76"/>
      <c r="Z4" s="77"/>
      <c r="AA4" s="76"/>
      <c r="AB4" s="77"/>
      <c r="AC4" s="76"/>
      <c r="AD4" s="77"/>
      <c r="AE4" s="76"/>
      <c r="AF4" s="77"/>
      <c r="AG4" s="76"/>
      <c r="AH4" s="21"/>
      <c r="AI4" s="20"/>
      <c r="AJ4" s="21"/>
      <c r="AK4" s="20"/>
      <c r="AL4" s="21"/>
      <c r="AM4" s="20"/>
      <c r="AN4" s="21"/>
      <c r="AO4" s="20"/>
      <c r="AP4" s="21"/>
      <c r="AQ4" s="20"/>
      <c r="AR4" s="21"/>
      <c r="AS4" s="20"/>
      <c r="AT4" s="22"/>
      <c r="AU4" s="17"/>
      <c r="AV4" s="18"/>
    </row>
    <row r="5" spans="1:48" s="19" customFormat="1" ht="18" customHeight="1" x14ac:dyDescent="0.25">
      <c r="A5" s="48" t="s">
        <v>67</v>
      </c>
      <c r="B5" s="53"/>
      <c r="C5" s="47" t="s">
        <v>115</v>
      </c>
      <c r="D5" s="47"/>
      <c r="E5" s="74"/>
      <c r="F5" s="74"/>
      <c r="G5" s="74"/>
      <c r="H5" s="75"/>
      <c r="I5" s="76"/>
      <c r="J5" s="76"/>
      <c r="K5" s="262"/>
      <c r="L5" s="216"/>
      <c r="M5" s="216"/>
      <c r="N5" s="217"/>
      <c r="O5" s="249"/>
      <c r="P5" s="250"/>
      <c r="Q5" s="251"/>
      <c r="R5" s="78"/>
      <c r="S5" s="76"/>
      <c r="T5" s="77"/>
      <c r="U5" s="76"/>
      <c r="V5" s="78"/>
      <c r="W5" s="76"/>
      <c r="X5" s="77"/>
      <c r="Y5" s="76"/>
      <c r="Z5" s="77"/>
      <c r="AA5" s="76"/>
      <c r="AB5" s="77"/>
      <c r="AC5" s="76"/>
      <c r="AD5" s="77"/>
      <c r="AE5" s="76"/>
      <c r="AF5" s="77"/>
      <c r="AG5" s="76"/>
      <c r="AH5" s="21"/>
      <c r="AI5" s="20"/>
      <c r="AJ5" s="21"/>
      <c r="AK5" s="20"/>
      <c r="AL5" s="21"/>
      <c r="AM5" s="20"/>
      <c r="AN5" s="21"/>
      <c r="AO5" s="20"/>
      <c r="AP5" s="21"/>
      <c r="AQ5" s="20"/>
      <c r="AR5" s="21"/>
      <c r="AS5" s="20"/>
      <c r="AT5" s="22"/>
      <c r="AU5" s="17"/>
      <c r="AV5" s="18"/>
    </row>
    <row r="6" spans="1:48" s="19" customFormat="1" ht="16.5" customHeight="1" x14ac:dyDescent="0.2">
      <c r="A6" s="48" t="s">
        <v>68</v>
      </c>
      <c r="B6" s="53"/>
      <c r="C6" s="49">
        <v>2021</v>
      </c>
      <c r="D6" s="49"/>
      <c r="E6" s="79"/>
      <c r="F6" s="80"/>
      <c r="G6" s="81"/>
      <c r="H6" s="75"/>
      <c r="I6" s="76"/>
      <c r="J6" s="76"/>
      <c r="K6" s="262"/>
      <c r="L6" s="216"/>
      <c r="M6" s="216"/>
      <c r="N6" s="217"/>
      <c r="O6" s="249"/>
      <c r="P6" s="250"/>
      <c r="Q6" s="251"/>
      <c r="R6" s="78"/>
      <c r="S6" s="76"/>
      <c r="T6" s="77"/>
      <c r="U6" s="76"/>
      <c r="V6" s="78"/>
      <c r="W6" s="76"/>
      <c r="X6" s="77"/>
      <c r="Y6" s="76"/>
      <c r="Z6" s="77"/>
      <c r="AA6" s="76"/>
      <c r="AB6" s="77"/>
      <c r="AC6" s="76"/>
      <c r="AD6" s="77"/>
      <c r="AE6" s="76"/>
      <c r="AF6" s="77"/>
      <c r="AG6" s="76"/>
      <c r="AH6" s="21"/>
      <c r="AI6" s="20"/>
      <c r="AJ6" s="21"/>
      <c r="AK6" s="20"/>
      <c r="AL6" s="21"/>
      <c r="AM6" s="20"/>
      <c r="AN6" s="21"/>
      <c r="AO6" s="20"/>
      <c r="AP6" s="21"/>
      <c r="AQ6" s="20"/>
      <c r="AR6" s="21"/>
      <c r="AS6" s="20"/>
      <c r="AT6" s="22"/>
      <c r="AU6" s="17"/>
      <c r="AV6" s="18"/>
    </row>
    <row r="7" spans="1:48" s="19" customFormat="1" ht="24" customHeight="1" x14ac:dyDescent="0.2">
      <c r="A7" s="54" t="s">
        <v>116</v>
      </c>
      <c r="B7" s="50"/>
      <c r="C7" s="51" t="s">
        <v>117</v>
      </c>
      <c r="D7" s="51"/>
      <c r="E7" s="45"/>
      <c r="F7" s="45"/>
      <c r="G7" s="45"/>
      <c r="H7" s="45"/>
      <c r="I7" s="45"/>
      <c r="J7" s="82"/>
      <c r="K7" s="262"/>
      <c r="L7" s="216"/>
      <c r="M7" s="216"/>
      <c r="N7" s="217"/>
      <c r="O7" s="249"/>
      <c r="P7" s="250"/>
      <c r="Q7" s="251"/>
      <c r="R7" s="78"/>
      <c r="S7" s="76"/>
      <c r="T7" s="77"/>
      <c r="U7" s="76"/>
      <c r="V7" s="78"/>
      <c r="W7" s="76"/>
      <c r="X7" s="77"/>
      <c r="Y7" s="76"/>
      <c r="Z7" s="77"/>
      <c r="AA7" s="76"/>
      <c r="AB7" s="77"/>
      <c r="AC7" s="76"/>
      <c r="AD7" s="77"/>
      <c r="AE7" s="76"/>
      <c r="AF7" s="77"/>
      <c r="AG7" s="76"/>
      <c r="AH7" s="21"/>
      <c r="AI7" s="20"/>
      <c r="AJ7" s="21"/>
      <c r="AK7" s="20"/>
      <c r="AL7" s="21"/>
      <c r="AM7" s="20"/>
      <c r="AN7" s="21"/>
      <c r="AO7" s="20"/>
      <c r="AP7" s="21"/>
      <c r="AQ7" s="20"/>
      <c r="AR7" s="21"/>
      <c r="AS7" s="20"/>
      <c r="AT7" s="22"/>
      <c r="AU7" s="17"/>
      <c r="AV7" s="18"/>
    </row>
    <row r="8" spans="1:48" s="19" customFormat="1" ht="31.5" customHeight="1" thickBot="1" x14ac:dyDescent="0.25">
      <c r="A8" s="83"/>
      <c r="B8" s="45"/>
      <c r="C8" s="45"/>
      <c r="D8" s="45"/>
      <c r="E8" s="45"/>
      <c r="F8" s="45"/>
      <c r="G8" s="45"/>
      <c r="H8" s="45"/>
      <c r="I8" s="45"/>
      <c r="J8" s="82"/>
      <c r="K8" s="262"/>
      <c r="L8" s="216"/>
      <c r="M8" s="216"/>
      <c r="N8" s="217"/>
      <c r="O8" s="249"/>
      <c r="P8" s="250"/>
      <c r="Q8" s="251"/>
      <c r="R8" s="78"/>
      <c r="S8" s="76"/>
      <c r="T8" s="77"/>
      <c r="U8" s="76"/>
      <c r="V8" s="78"/>
      <c r="W8" s="76"/>
      <c r="X8" s="77"/>
      <c r="Y8" s="76"/>
      <c r="Z8" s="77"/>
      <c r="AA8" s="76"/>
      <c r="AB8" s="77"/>
      <c r="AC8" s="76"/>
      <c r="AD8" s="77"/>
      <c r="AE8" s="76"/>
      <c r="AF8" s="77"/>
      <c r="AG8" s="76"/>
      <c r="AH8" s="21"/>
      <c r="AI8" s="20"/>
      <c r="AJ8" s="21"/>
      <c r="AK8" s="20"/>
      <c r="AL8" s="21"/>
      <c r="AM8" s="20"/>
      <c r="AN8" s="21"/>
      <c r="AO8" s="20"/>
      <c r="AP8" s="21"/>
      <c r="AQ8" s="20"/>
      <c r="AR8" s="21"/>
      <c r="AS8" s="20"/>
      <c r="AT8" s="22"/>
      <c r="AU8" s="17"/>
      <c r="AV8" s="18"/>
    </row>
    <row r="9" spans="1:48" ht="48.75" customHeight="1" thickBot="1" x14ac:dyDescent="0.25">
      <c r="A9" s="61" t="s">
        <v>69</v>
      </c>
      <c r="B9" s="62" t="s">
        <v>10</v>
      </c>
      <c r="C9" s="63" t="s">
        <v>7</v>
      </c>
      <c r="D9" s="63" t="s">
        <v>119</v>
      </c>
      <c r="E9" s="62" t="s">
        <v>0</v>
      </c>
      <c r="F9" s="62" t="s">
        <v>1</v>
      </c>
      <c r="G9" s="64" t="s">
        <v>2</v>
      </c>
      <c r="H9" s="65" t="s">
        <v>210</v>
      </c>
      <c r="I9" s="65" t="s">
        <v>9</v>
      </c>
      <c r="J9" s="66" t="s">
        <v>105</v>
      </c>
      <c r="K9" s="263"/>
      <c r="L9" s="218">
        <v>295</v>
      </c>
      <c r="M9" s="218">
        <v>252</v>
      </c>
      <c r="N9" s="218">
        <v>265</v>
      </c>
      <c r="O9" s="268">
        <v>259</v>
      </c>
      <c r="P9" s="252"/>
      <c r="R9" s="75"/>
      <c r="S9" s="84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</row>
    <row r="10" spans="1:48" ht="30" customHeight="1" x14ac:dyDescent="0.2">
      <c r="A10" s="85">
        <v>1</v>
      </c>
      <c r="B10" s="86"/>
      <c r="C10" s="60" t="s">
        <v>8</v>
      </c>
      <c r="D10" s="60" t="s">
        <v>120</v>
      </c>
      <c r="E10" s="86" t="s">
        <v>118</v>
      </c>
      <c r="F10" s="87" t="s">
        <v>3</v>
      </c>
      <c r="G10" s="87">
        <v>150</v>
      </c>
      <c r="H10" s="88">
        <v>885</v>
      </c>
      <c r="I10" s="89">
        <f t="shared" ref="I10:I73" si="0">(H10*G10)</f>
        <v>132750</v>
      </c>
      <c r="J10" s="90"/>
      <c r="K10" s="264"/>
      <c r="L10" s="219"/>
      <c r="M10" s="219">
        <f t="shared" ref="M10:M37" si="1">+I10</f>
        <v>132750</v>
      </c>
      <c r="N10" s="219"/>
      <c r="O10" s="254"/>
      <c r="P10" s="252"/>
      <c r="R10" s="75"/>
      <c r="S10" s="84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</row>
    <row r="11" spans="1:48" ht="30" customHeight="1" x14ac:dyDescent="0.2">
      <c r="A11" s="85">
        <v>2</v>
      </c>
      <c r="B11" s="91"/>
      <c r="C11" s="56" t="s">
        <v>8</v>
      </c>
      <c r="D11" s="56" t="s">
        <v>120</v>
      </c>
      <c r="E11" s="91" t="s">
        <v>177</v>
      </c>
      <c r="F11" s="92" t="s">
        <v>3</v>
      </c>
      <c r="G11" s="92">
        <v>35</v>
      </c>
      <c r="H11" s="93">
        <v>1490</v>
      </c>
      <c r="I11" s="94">
        <f t="shared" si="0"/>
        <v>52150</v>
      </c>
      <c r="J11" s="95"/>
      <c r="K11" s="264"/>
      <c r="L11" s="219"/>
      <c r="M11" s="219">
        <f t="shared" si="1"/>
        <v>52150</v>
      </c>
      <c r="N11" s="219"/>
      <c r="O11" s="254"/>
      <c r="P11" s="252"/>
      <c r="R11" s="75"/>
      <c r="S11" s="84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</row>
    <row r="12" spans="1:48" ht="30" customHeight="1" x14ac:dyDescent="0.2">
      <c r="A12" s="85">
        <v>3</v>
      </c>
      <c r="B12" s="91"/>
      <c r="C12" s="56" t="s">
        <v>8</v>
      </c>
      <c r="D12" s="56" t="s">
        <v>121</v>
      </c>
      <c r="E12" s="91" t="s">
        <v>108</v>
      </c>
      <c r="F12" s="92" t="s">
        <v>4</v>
      </c>
      <c r="G12" s="92">
        <v>1500</v>
      </c>
      <c r="H12" s="93">
        <v>930</v>
      </c>
      <c r="I12" s="94">
        <f t="shared" si="0"/>
        <v>1395000</v>
      </c>
      <c r="J12" s="95"/>
      <c r="K12" s="265"/>
      <c r="L12" s="219">
        <f t="shared" ref="L12:L74" si="2">+I12</f>
        <v>1395000</v>
      </c>
      <c r="M12" s="219"/>
      <c r="N12" s="219"/>
      <c r="O12" s="254"/>
      <c r="P12" s="252"/>
      <c r="R12" s="75"/>
      <c r="S12" s="84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</row>
    <row r="13" spans="1:48" ht="30" customHeight="1" x14ac:dyDescent="0.2">
      <c r="A13" s="85">
        <v>4</v>
      </c>
      <c r="B13" s="91"/>
      <c r="C13" s="56" t="s">
        <v>8</v>
      </c>
      <c r="D13" s="56" t="s">
        <v>121</v>
      </c>
      <c r="E13" s="91" t="s">
        <v>187</v>
      </c>
      <c r="F13" s="92" t="s">
        <v>3</v>
      </c>
      <c r="G13" s="92">
        <v>2</v>
      </c>
      <c r="H13" s="93">
        <v>7450</v>
      </c>
      <c r="I13" s="94">
        <f t="shared" si="0"/>
        <v>14900</v>
      </c>
      <c r="J13" s="95"/>
      <c r="K13" s="265"/>
      <c r="L13" s="219">
        <f t="shared" si="2"/>
        <v>14900</v>
      </c>
      <c r="M13" s="219"/>
      <c r="N13" s="219"/>
      <c r="O13" s="254"/>
      <c r="P13" s="252"/>
      <c r="R13" s="75"/>
      <c r="S13" s="84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</row>
    <row r="14" spans="1:48" s="44" customFormat="1" ht="30" customHeight="1" x14ac:dyDescent="0.2">
      <c r="A14" s="85">
        <v>5</v>
      </c>
      <c r="B14" s="91"/>
      <c r="C14" s="56" t="s">
        <v>8</v>
      </c>
      <c r="D14" s="56" t="s">
        <v>121</v>
      </c>
      <c r="E14" s="91" t="s">
        <v>186</v>
      </c>
      <c r="F14" s="92" t="s">
        <v>3</v>
      </c>
      <c r="G14" s="92">
        <v>2</v>
      </c>
      <c r="H14" s="93">
        <v>880</v>
      </c>
      <c r="I14" s="94">
        <f t="shared" si="0"/>
        <v>1760</v>
      </c>
      <c r="J14" s="95"/>
      <c r="K14" s="266"/>
      <c r="L14" s="219">
        <f t="shared" si="2"/>
        <v>1760</v>
      </c>
      <c r="M14" s="219"/>
      <c r="N14" s="219"/>
      <c r="O14" s="254"/>
      <c r="P14" s="220"/>
      <c r="Q14" s="220"/>
      <c r="R14" s="96"/>
      <c r="S14" s="97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48" ht="30" customHeight="1" x14ac:dyDescent="0.2">
      <c r="A15" s="85">
        <v>6</v>
      </c>
      <c r="B15" s="91"/>
      <c r="C15" s="56" t="s">
        <v>8</v>
      </c>
      <c r="D15" s="56" t="s">
        <v>121</v>
      </c>
      <c r="E15" s="91" t="s">
        <v>123</v>
      </c>
      <c r="F15" s="92" t="s">
        <v>3</v>
      </c>
      <c r="G15" s="92">
        <v>2</v>
      </c>
      <c r="H15" s="93">
        <v>7450</v>
      </c>
      <c r="I15" s="94">
        <f t="shared" si="0"/>
        <v>14900</v>
      </c>
      <c r="J15" s="95"/>
      <c r="K15" s="265"/>
      <c r="L15" s="219">
        <f t="shared" si="2"/>
        <v>14900</v>
      </c>
      <c r="M15" s="219"/>
      <c r="N15" s="219"/>
      <c r="O15" s="254"/>
      <c r="P15" s="252"/>
      <c r="R15" s="75"/>
      <c r="S15" s="84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48" ht="30" customHeight="1" x14ac:dyDescent="0.2">
      <c r="A16" s="85">
        <v>7</v>
      </c>
      <c r="B16" s="91"/>
      <c r="C16" s="56" t="s">
        <v>8</v>
      </c>
      <c r="D16" s="56" t="s">
        <v>121</v>
      </c>
      <c r="E16" s="91" t="s">
        <v>124</v>
      </c>
      <c r="F16" s="92" t="s">
        <v>3</v>
      </c>
      <c r="G16" s="92">
        <v>1</v>
      </c>
      <c r="H16" s="93">
        <v>880</v>
      </c>
      <c r="I16" s="94">
        <f t="shared" si="0"/>
        <v>880</v>
      </c>
      <c r="J16" s="95"/>
      <c r="K16" s="265"/>
      <c r="L16" s="219">
        <f t="shared" si="2"/>
        <v>880</v>
      </c>
      <c r="M16" s="219"/>
      <c r="N16" s="219"/>
      <c r="O16" s="254"/>
      <c r="P16" s="252"/>
      <c r="R16" s="75"/>
      <c r="S16" s="84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30" customHeight="1" x14ac:dyDescent="0.2">
      <c r="A17" s="85">
        <v>8</v>
      </c>
      <c r="B17" s="91"/>
      <c r="C17" s="56" t="s">
        <v>8</v>
      </c>
      <c r="D17" s="56" t="s">
        <v>121</v>
      </c>
      <c r="E17" s="91" t="s">
        <v>109</v>
      </c>
      <c r="F17" s="92" t="s">
        <v>106</v>
      </c>
      <c r="G17" s="92">
        <v>500</v>
      </c>
      <c r="H17" s="93">
        <v>655</v>
      </c>
      <c r="I17" s="94">
        <f t="shared" si="0"/>
        <v>327500</v>
      </c>
      <c r="J17" s="95"/>
      <c r="K17" s="265"/>
      <c r="L17" s="219">
        <f t="shared" si="2"/>
        <v>327500</v>
      </c>
      <c r="M17" s="219"/>
      <c r="N17" s="219"/>
      <c r="O17" s="254"/>
      <c r="P17" s="252"/>
      <c r="R17" s="75"/>
      <c r="S17" s="84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ht="30" customHeight="1" x14ac:dyDescent="0.2">
      <c r="A18" s="85">
        <v>9</v>
      </c>
      <c r="B18" s="91"/>
      <c r="C18" s="56" t="s">
        <v>8</v>
      </c>
      <c r="D18" s="56" t="s">
        <v>121</v>
      </c>
      <c r="E18" s="91" t="s">
        <v>125</v>
      </c>
      <c r="F18" s="92" t="s">
        <v>3</v>
      </c>
      <c r="G18" s="92">
        <v>20</v>
      </c>
      <c r="H18" s="93">
        <v>1450</v>
      </c>
      <c r="I18" s="94">
        <f t="shared" si="0"/>
        <v>29000</v>
      </c>
      <c r="J18" s="95"/>
      <c r="K18" s="265"/>
      <c r="L18" s="219">
        <f t="shared" si="2"/>
        <v>29000</v>
      </c>
      <c r="M18" s="219"/>
      <c r="N18" s="219"/>
      <c r="O18" s="254"/>
      <c r="P18" s="252"/>
      <c r="R18" s="75"/>
      <c r="S18" s="84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ht="30" customHeight="1" x14ac:dyDescent="0.2">
      <c r="A19" s="85">
        <v>10</v>
      </c>
      <c r="B19" s="91"/>
      <c r="C19" s="56" t="s">
        <v>8</v>
      </c>
      <c r="D19" s="56" t="s">
        <v>120</v>
      </c>
      <c r="E19" s="91" t="s">
        <v>225</v>
      </c>
      <c r="F19" s="92" t="s">
        <v>4</v>
      </c>
      <c r="G19" s="92">
        <v>2000</v>
      </c>
      <c r="H19" s="93">
        <v>3360</v>
      </c>
      <c r="I19" s="94">
        <f t="shared" si="0"/>
        <v>6720000</v>
      </c>
      <c r="J19" s="95"/>
      <c r="K19" s="265"/>
      <c r="L19" s="219"/>
      <c r="M19" s="219">
        <f t="shared" si="1"/>
        <v>6720000</v>
      </c>
      <c r="N19" s="219"/>
      <c r="O19" s="254"/>
      <c r="P19" s="252"/>
      <c r="R19" s="75"/>
      <c r="S19" s="84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</row>
    <row r="20" spans="1:33" ht="30" customHeight="1" x14ac:dyDescent="0.2">
      <c r="A20" s="85">
        <v>11</v>
      </c>
      <c r="B20" s="91"/>
      <c r="C20" s="56" t="s">
        <v>8</v>
      </c>
      <c r="D20" s="56" t="s">
        <v>120</v>
      </c>
      <c r="E20" s="91" t="s">
        <v>142</v>
      </c>
      <c r="F20" s="92" t="s">
        <v>3</v>
      </c>
      <c r="G20" s="92">
        <v>100</v>
      </c>
      <c r="H20" s="93">
        <v>300</v>
      </c>
      <c r="I20" s="94">
        <f t="shared" si="0"/>
        <v>30000</v>
      </c>
      <c r="J20" s="95"/>
      <c r="K20" s="265"/>
      <c r="L20" s="219"/>
      <c r="M20" s="219">
        <f t="shared" si="1"/>
        <v>30000</v>
      </c>
      <c r="N20" s="219"/>
      <c r="O20" s="254"/>
      <c r="P20" s="252"/>
      <c r="R20" s="75"/>
      <c r="S20" s="8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</row>
    <row r="21" spans="1:33" ht="30" customHeight="1" x14ac:dyDescent="0.2">
      <c r="A21" s="85">
        <v>12</v>
      </c>
      <c r="B21" s="91"/>
      <c r="C21" s="56" t="s">
        <v>8</v>
      </c>
      <c r="D21" s="56" t="s">
        <v>120</v>
      </c>
      <c r="E21" s="91" t="s">
        <v>15</v>
      </c>
      <c r="F21" s="92" t="s">
        <v>3</v>
      </c>
      <c r="G21" s="92">
        <v>30</v>
      </c>
      <c r="H21" s="93">
        <v>270</v>
      </c>
      <c r="I21" s="94">
        <f t="shared" si="0"/>
        <v>8100</v>
      </c>
      <c r="J21" s="95"/>
      <c r="K21" s="265"/>
      <c r="L21" s="219"/>
      <c r="M21" s="219">
        <f t="shared" si="1"/>
        <v>8100</v>
      </c>
      <c r="N21" s="219"/>
      <c r="O21" s="254"/>
      <c r="P21" s="252"/>
      <c r="R21" s="75"/>
      <c r="S21" s="84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spans="1:33" ht="30" customHeight="1" x14ac:dyDescent="0.2">
      <c r="A22" s="85">
        <v>13</v>
      </c>
      <c r="B22" s="91"/>
      <c r="C22" s="56" t="s">
        <v>8</v>
      </c>
      <c r="D22" s="56" t="s">
        <v>120</v>
      </c>
      <c r="E22" s="91" t="s">
        <v>239</v>
      </c>
      <c r="F22" s="92" t="s">
        <v>3</v>
      </c>
      <c r="G22" s="92">
        <v>30</v>
      </c>
      <c r="H22" s="93">
        <v>1190</v>
      </c>
      <c r="I22" s="94">
        <f t="shared" si="0"/>
        <v>35700</v>
      </c>
      <c r="J22" s="95"/>
      <c r="K22" s="265"/>
      <c r="L22" s="219"/>
      <c r="M22" s="219">
        <f t="shared" si="1"/>
        <v>35700</v>
      </c>
      <c r="N22" s="219"/>
      <c r="O22" s="254"/>
      <c r="P22" s="252"/>
      <c r="R22" s="75"/>
      <c r="S22" s="84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</row>
    <row r="23" spans="1:33" ht="30" customHeight="1" x14ac:dyDescent="0.2">
      <c r="A23" s="85">
        <v>14</v>
      </c>
      <c r="B23" s="91"/>
      <c r="C23" s="56" t="s">
        <v>8</v>
      </c>
      <c r="D23" s="56" t="s">
        <v>121</v>
      </c>
      <c r="E23" s="91" t="s">
        <v>147</v>
      </c>
      <c r="F23" s="92" t="s">
        <v>3</v>
      </c>
      <c r="G23" s="92">
        <v>30</v>
      </c>
      <c r="H23" s="93">
        <v>299</v>
      </c>
      <c r="I23" s="94">
        <f t="shared" si="0"/>
        <v>8970</v>
      </c>
      <c r="J23" s="95"/>
      <c r="K23" s="265"/>
      <c r="L23" s="219">
        <f t="shared" si="2"/>
        <v>8970</v>
      </c>
      <c r="M23" s="219"/>
      <c r="N23" s="219"/>
      <c r="O23" s="254"/>
      <c r="P23" s="252"/>
      <c r="R23" s="75"/>
      <c r="S23" s="84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</row>
    <row r="24" spans="1:33" ht="30" customHeight="1" x14ac:dyDescent="0.2">
      <c r="A24" s="85">
        <v>15</v>
      </c>
      <c r="B24" s="91"/>
      <c r="C24" s="56" t="s">
        <v>8</v>
      </c>
      <c r="D24" s="56" t="s">
        <v>121</v>
      </c>
      <c r="E24" s="91" t="s">
        <v>148</v>
      </c>
      <c r="F24" s="92" t="s">
        <v>3</v>
      </c>
      <c r="G24" s="92">
        <v>150</v>
      </c>
      <c r="H24" s="93">
        <v>420</v>
      </c>
      <c r="I24" s="94">
        <f t="shared" si="0"/>
        <v>63000</v>
      </c>
      <c r="J24" s="95"/>
      <c r="L24" s="219">
        <f t="shared" si="2"/>
        <v>63000</v>
      </c>
      <c r="M24" s="219"/>
      <c r="N24" s="219"/>
      <c r="O24" s="254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</row>
    <row r="25" spans="1:33" ht="30" customHeight="1" x14ac:dyDescent="0.2">
      <c r="A25" s="85">
        <v>16</v>
      </c>
      <c r="B25" s="91"/>
      <c r="C25" s="56" t="s">
        <v>8</v>
      </c>
      <c r="D25" s="56" t="s">
        <v>121</v>
      </c>
      <c r="E25" s="91" t="s">
        <v>110</v>
      </c>
      <c r="F25" s="92" t="s">
        <v>3</v>
      </c>
      <c r="G25" s="92">
        <v>300</v>
      </c>
      <c r="H25" s="93">
        <v>150</v>
      </c>
      <c r="I25" s="94">
        <f t="shared" si="0"/>
        <v>45000</v>
      </c>
      <c r="J25" s="95"/>
      <c r="L25" s="219">
        <f t="shared" si="2"/>
        <v>45000</v>
      </c>
      <c r="M25" s="219"/>
      <c r="N25" s="219"/>
      <c r="O25" s="254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</row>
    <row r="26" spans="1:33" ht="30" customHeight="1" x14ac:dyDescent="0.2">
      <c r="A26" s="85">
        <v>17</v>
      </c>
      <c r="B26" s="91"/>
      <c r="C26" s="56" t="s">
        <v>8</v>
      </c>
      <c r="D26" s="56" t="s">
        <v>121</v>
      </c>
      <c r="E26" s="91" t="s">
        <v>153</v>
      </c>
      <c r="F26" s="92" t="s">
        <v>3</v>
      </c>
      <c r="G26" s="92">
        <v>30</v>
      </c>
      <c r="H26" s="93">
        <v>299</v>
      </c>
      <c r="I26" s="94">
        <f t="shared" si="0"/>
        <v>8970</v>
      </c>
      <c r="J26" s="95"/>
      <c r="L26" s="219">
        <f t="shared" si="2"/>
        <v>8970</v>
      </c>
      <c r="M26" s="219"/>
      <c r="N26" s="219"/>
      <c r="O26" s="254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</row>
    <row r="27" spans="1:33" ht="30" customHeight="1" x14ac:dyDescent="0.2">
      <c r="A27" s="85">
        <v>18</v>
      </c>
      <c r="B27" s="91"/>
      <c r="C27" s="56" t="s">
        <v>8</v>
      </c>
      <c r="D27" s="56" t="s">
        <v>121</v>
      </c>
      <c r="E27" s="91" t="s">
        <v>150</v>
      </c>
      <c r="F27" s="92" t="s">
        <v>3</v>
      </c>
      <c r="G27" s="92">
        <v>50</v>
      </c>
      <c r="H27" s="93">
        <v>62.24</v>
      </c>
      <c r="I27" s="94">
        <f t="shared" si="0"/>
        <v>3112</v>
      </c>
      <c r="J27" s="95"/>
      <c r="L27" s="219">
        <f t="shared" si="2"/>
        <v>3112</v>
      </c>
      <c r="M27" s="219"/>
      <c r="N27" s="219"/>
      <c r="O27" s="254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</row>
    <row r="28" spans="1:33" ht="30" customHeight="1" x14ac:dyDescent="0.2">
      <c r="A28" s="85">
        <v>19</v>
      </c>
      <c r="B28" s="91"/>
      <c r="C28" s="56" t="s">
        <v>8</v>
      </c>
      <c r="D28" s="56" t="s">
        <v>121</v>
      </c>
      <c r="E28" s="91" t="s">
        <v>61</v>
      </c>
      <c r="F28" s="92" t="s">
        <v>3</v>
      </c>
      <c r="G28" s="92">
        <v>200</v>
      </c>
      <c r="H28" s="93">
        <v>199</v>
      </c>
      <c r="I28" s="94">
        <f t="shared" si="0"/>
        <v>39800</v>
      </c>
      <c r="J28" s="95"/>
      <c r="L28" s="219">
        <f t="shared" si="2"/>
        <v>39800</v>
      </c>
      <c r="M28" s="219"/>
      <c r="N28" s="219"/>
      <c r="O28" s="254"/>
      <c r="R28" s="75"/>
      <c r="S28" s="84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</row>
    <row r="29" spans="1:33" ht="30" customHeight="1" x14ac:dyDescent="0.2">
      <c r="A29" s="85">
        <v>20</v>
      </c>
      <c r="B29" s="91"/>
      <c r="C29" s="56" t="s">
        <v>8</v>
      </c>
      <c r="D29" s="56" t="s">
        <v>120</v>
      </c>
      <c r="E29" s="91" t="s">
        <v>173</v>
      </c>
      <c r="F29" s="92" t="s">
        <v>4</v>
      </c>
      <c r="G29" s="92">
        <v>50</v>
      </c>
      <c r="H29" s="93">
        <v>1300</v>
      </c>
      <c r="I29" s="94">
        <f t="shared" si="0"/>
        <v>65000</v>
      </c>
      <c r="J29" s="95"/>
      <c r="K29" s="265"/>
      <c r="L29" s="219"/>
      <c r="M29" s="219">
        <f t="shared" si="1"/>
        <v>65000</v>
      </c>
      <c r="N29" s="219"/>
      <c r="O29" s="254"/>
      <c r="P29" s="252"/>
      <c r="R29" s="75"/>
      <c r="S29" s="84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</row>
    <row r="30" spans="1:33" ht="30" customHeight="1" x14ac:dyDescent="0.2">
      <c r="A30" s="85">
        <v>21</v>
      </c>
      <c r="B30" s="91"/>
      <c r="C30" s="56" t="s">
        <v>8</v>
      </c>
      <c r="D30" s="56" t="s">
        <v>120</v>
      </c>
      <c r="E30" s="91" t="s">
        <v>163</v>
      </c>
      <c r="F30" s="92" t="s">
        <v>4</v>
      </c>
      <c r="G30" s="92">
        <v>50</v>
      </c>
      <c r="H30" s="93">
        <v>440</v>
      </c>
      <c r="I30" s="94">
        <f t="shared" si="0"/>
        <v>22000</v>
      </c>
      <c r="J30" s="95"/>
      <c r="K30" s="265"/>
      <c r="L30" s="219"/>
      <c r="M30" s="219">
        <f t="shared" si="1"/>
        <v>22000</v>
      </c>
      <c r="N30" s="219"/>
      <c r="O30" s="254"/>
      <c r="P30" s="252"/>
      <c r="R30" s="75"/>
      <c r="S30" s="84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</row>
    <row r="31" spans="1:33" ht="30" customHeight="1" x14ac:dyDescent="0.2">
      <c r="A31" s="85">
        <v>22</v>
      </c>
      <c r="B31" s="91"/>
      <c r="C31" s="56" t="s">
        <v>8</v>
      </c>
      <c r="D31" s="56" t="s">
        <v>120</v>
      </c>
      <c r="E31" s="91" t="s">
        <v>174</v>
      </c>
      <c r="F31" s="92" t="s">
        <v>4</v>
      </c>
      <c r="G31" s="92">
        <v>30</v>
      </c>
      <c r="H31" s="93">
        <v>1492.5</v>
      </c>
      <c r="I31" s="94">
        <f t="shared" si="0"/>
        <v>44775</v>
      </c>
      <c r="J31" s="95"/>
      <c r="K31" s="265"/>
      <c r="L31" s="219"/>
      <c r="M31" s="219">
        <f t="shared" si="1"/>
        <v>44775</v>
      </c>
      <c r="N31" s="219"/>
      <c r="O31" s="254"/>
      <c r="P31" s="252"/>
      <c r="R31" s="75"/>
      <c r="S31" s="84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</row>
    <row r="32" spans="1:33" ht="30" customHeight="1" x14ac:dyDescent="0.2">
      <c r="A32" s="85">
        <v>23</v>
      </c>
      <c r="B32" s="91"/>
      <c r="C32" s="56" t="s">
        <v>8</v>
      </c>
      <c r="D32" s="56" t="s">
        <v>120</v>
      </c>
      <c r="E32" s="91" t="s">
        <v>164</v>
      </c>
      <c r="F32" s="92" t="s">
        <v>4</v>
      </c>
      <c r="G32" s="92">
        <v>50</v>
      </c>
      <c r="H32" s="93">
        <v>1850</v>
      </c>
      <c r="I32" s="94">
        <f t="shared" si="0"/>
        <v>92500</v>
      </c>
      <c r="J32" s="95"/>
      <c r="K32" s="265"/>
      <c r="L32" s="219"/>
      <c r="M32" s="219">
        <f t="shared" si="1"/>
        <v>92500</v>
      </c>
      <c r="N32" s="219"/>
      <c r="O32" s="254"/>
      <c r="P32" s="252"/>
      <c r="R32" s="75"/>
      <c r="S32" s="84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</row>
    <row r="33" spans="1:33" ht="30" customHeight="1" x14ac:dyDescent="0.2">
      <c r="A33" s="85">
        <v>24</v>
      </c>
      <c r="B33" s="91"/>
      <c r="C33" s="56" t="s">
        <v>8</v>
      </c>
      <c r="D33" s="56" t="s">
        <v>121</v>
      </c>
      <c r="E33" s="91" t="s">
        <v>156</v>
      </c>
      <c r="F33" s="92" t="s">
        <v>3</v>
      </c>
      <c r="G33" s="92">
        <v>20</v>
      </c>
      <c r="H33" s="93">
        <v>250</v>
      </c>
      <c r="I33" s="94">
        <f t="shared" si="0"/>
        <v>5000</v>
      </c>
      <c r="J33" s="95"/>
      <c r="K33" s="265"/>
      <c r="L33" s="219">
        <f t="shared" si="2"/>
        <v>5000</v>
      </c>
      <c r="M33" s="219"/>
      <c r="N33" s="219"/>
      <c r="O33" s="254"/>
      <c r="P33" s="252"/>
      <c r="R33" s="75"/>
      <c r="S33" s="84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</row>
    <row r="34" spans="1:33" ht="30" customHeight="1" x14ac:dyDescent="0.2">
      <c r="A34" s="85">
        <v>25</v>
      </c>
      <c r="B34" s="91"/>
      <c r="C34" s="56" t="s">
        <v>8</v>
      </c>
      <c r="D34" s="56" t="s">
        <v>122</v>
      </c>
      <c r="E34" s="91" t="s">
        <v>180</v>
      </c>
      <c r="F34" s="92" t="s">
        <v>4</v>
      </c>
      <c r="G34" s="92">
        <v>5</v>
      </c>
      <c r="H34" s="93">
        <v>2450</v>
      </c>
      <c r="I34" s="94">
        <f t="shared" si="0"/>
        <v>12250</v>
      </c>
      <c r="J34" s="95"/>
      <c r="K34" s="265"/>
      <c r="L34" s="219"/>
      <c r="M34" s="219"/>
      <c r="N34" s="219"/>
      <c r="O34" s="254">
        <v>12250</v>
      </c>
      <c r="P34" s="252"/>
      <c r="R34" s="75"/>
      <c r="S34" s="84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</row>
    <row r="35" spans="1:33" ht="30" customHeight="1" x14ac:dyDescent="0.2">
      <c r="A35" s="85">
        <v>26</v>
      </c>
      <c r="B35" s="91"/>
      <c r="C35" s="56" t="s">
        <v>8</v>
      </c>
      <c r="D35" s="56" t="s">
        <v>120</v>
      </c>
      <c r="E35" s="91" t="s">
        <v>181</v>
      </c>
      <c r="F35" s="92" t="s">
        <v>3</v>
      </c>
      <c r="G35" s="92">
        <v>250</v>
      </c>
      <c r="H35" s="93">
        <v>1290</v>
      </c>
      <c r="I35" s="94">
        <f t="shared" si="0"/>
        <v>322500</v>
      </c>
      <c r="J35" s="95"/>
      <c r="K35" s="265"/>
      <c r="L35" s="219"/>
      <c r="M35" s="219">
        <f t="shared" si="1"/>
        <v>322500</v>
      </c>
      <c r="N35" s="219"/>
      <c r="O35" s="254"/>
      <c r="P35" s="252"/>
      <c r="R35" s="75"/>
      <c r="S35" s="84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</row>
    <row r="36" spans="1:33" ht="30" customHeight="1" x14ac:dyDescent="0.2">
      <c r="A36" s="85">
        <v>27</v>
      </c>
      <c r="B36" s="91"/>
      <c r="C36" s="56" t="s">
        <v>8</v>
      </c>
      <c r="D36" s="56" t="s">
        <v>120</v>
      </c>
      <c r="E36" s="91" t="s">
        <v>182</v>
      </c>
      <c r="F36" s="92" t="s">
        <v>3</v>
      </c>
      <c r="G36" s="92">
        <v>250</v>
      </c>
      <c r="H36" s="93">
        <v>1290</v>
      </c>
      <c r="I36" s="94">
        <f t="shared" si="0"/>
        <v>322500</v>
      </c>
      <c r="J36" s="95"/>
      <c r="K36" s="265"/>
      <c r="L36" s="219"/>
      <c r="M36" s="219">
        <f t="shared" si="1"/>
        <v>322500</v>
      </c>
      <c r="N36" s="219"/>
      <c r="O36" s="254"/>
      <c r="P36" s="252"/>
      <c r="R36" s="75"/>
      <c r="S36" s="84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</row>
    <row r="37" spans="1:33" ht="30" customHeight="1" x14ac:dyDescent="0.2">
      <c r="A37" s="85">
        <v>28</v>
      </c>
      <c r="B37" s="91"/>
      <c r="C37" s="56" t="s">
        <v>8</v>
      </c>
      <c r="D37" s="56" t="s">
        <v>120</v>
      </c>
      <c r="E37" s="91" t="s">
        <v>183</v>
      </c>
      <c r="F37" s="92" t="s">
        <v>3</v>
      </c>
      <c r="G37" s="92">
        <v>100</v>
      </c>
      <c r="H37" s="93">
        <v>1290</v>
      </c>
      <c r="I37" s="94">
        <f t="shared" si="0"/>
        <v>129000</v>
      </c>
      <c r="J37" s="95"/>
      <c r="K37" s="265"/>
      <c r="L37" s="219"/>
      <c r="M37" s="219">
        <f t="shared" si="1"/>
        <v>129000</v>
      </c>
      <c r="N37" s="219"/>
      <c r="O37" s="254"/>
      <c r="P37" s="252"/>
      <c r="R37" s="75"/>
      <c r="S37" s="84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</row>
    <row r="38" spans="1:33" ht="30" customHeight="1" x14ac:dyDescent="0.2">
      <c r="A38" s="85">
        <v>29</v>
      </c>
      <c r="B38" s="91"/>
      <c r="C38" s="56" t="s">
        <v>8</v>
      </c>
      <c r="D38" s="56" t="s">
        <v>121</v>
      </c>
      <c r="E38" s="91" t="s">
        <v>161</v>
      </c>
      <c r="F38" s="92" t="s">
        <v>4</v>
      </c>
      <c r="G38" s="92">
        <v>30</v>
      </c>
      <c r="H38" s="93">
        <v>2925</v>
      </c>
      <c r="I38" s="94">
        <f t="shared" si="0"/>
        <v>87750</v>
      </c>
      <c r="J38" s="95"/>
      <c r="K38" s="265"/>
      <c r="L38" s="219">
        <f t="shared" si="2"/>
        <v>87750</v>
      </c>
      <c r="M38" s="219"/>
      <c r="N38" s="219"/>
      <c r="O38" s="254"/>
      <c r="P38" s="252"/>
      <c r="R38" s="75"/>
      <c r="S38" s="84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</row>
    <row r="39" spans="1:33" ht="30" customHeight="1" x14ac:dyDescent="0.2">
      <c r="A39" s="85">
        <v>30</v>
      </c>
      <c r="B39" s="91"/>
      <c r="C39" s="56" t="s">
        <v>8</v>
      </c>
      <c r="D39" s="56" t="s">
        <v>121</v>
      </c>
      <c r="E39" s="91" t="s">
        <v>126</v>
      </c>
      <c r="F39" s="92" t="s">
        <v>3</v>
      </c>
      <c r="G39" s="92">
        <v>10</v>
      </c>
      <c r="H39" s="93">
        <v>550</v>
      </c>
      <c r="I39" s="94">
        <f t="shared" si="0"/>
        <v>5500</v>
      </c>
      <c r="J39" s="95"/>
      <c r="K39" s="265"/>
      <c r="L39" s="219">
        <f t="shared" si="2"/>
        <v>5500</v>
      </c>
      <c r="M39" s="219"/>
      <c r="N39" s="219"/>
      <c r="O39" s="254"/>
      <c r="P39" s="252"/>
      <c r="R39" s="75"/>
      <c r="S39" s="84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</row>
    <row r="40" spans="1:33" ht="30" customHeight="1" x14ac:dyDescent="0.2">
      <c r="A40" s="85">
        <v>31</v>
      </c>
      <c r="B40" s="91"/>
      <c r="C40" s="56" t="s">
        <v>8</v>
      </c>
      <c r="D40" s="56" t="s">
        <v>121</v>
      </c>
      <c r="E40" s="91" t="s">
        <v>232</v>
      </c>
      <c r="F40" s="92" t="s">
        <v>4</v>
      </c>
      <c r="G40" s="92">
        <v>30</v>
      </c>
      <c r="H40" s="93">
        <v>730</v>
      </c>
      <c r="I40" s="94">
        <f t="shared" si="0"/>
        <v>21900</v>
      </c>
      <c r="J40" s="95"/>
      <c r="K40" s="265"/>
      <c r="L40" s="219">
        <f t="shared" si="2"/>
        <v>21900</v>
      </c>
      <c r="M40" s="219"/>
      <c r="N40" s="219"/>
      <c r="O40" s="254"/>
      <c r="P40" s="252"/>
      <c r="R40" s="75"/>
      <c r="S40" s="84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30" customHeight="1" x14ac:dyDescent="0.2">
      <c r="A41" s="85">
        <v>32</v>
      </c>
      <c r="B41" s="91"/>
      <c r="C41" s="56" t="s">
        <v>8</v>
      </c>
      <c r="D41" s="56" t="s">
        <v>121</v>
      </c>
      <c r="E41" s="91" t="s">
        <v>233</v>
      </c>
      <c r="F41" s="92" t="s">
        <v>4</v>
      </c>
      <c r="G41" s="92">
        <v>30</v>
      </c>
      <c r="H41" s="93">
        <v>730</v>
      </c>
      <c r="I41" s="94">
        <f t="shared" si="0"/>
        <v>21900</v>
      </c>
      <c r="J41" s="95"/>
      <c r="K41" s="265"/>
      <c r="L41" s="219">
        <f t="shared" si="2"/>
        <v>21900</v>
      </c>
      <c r="M41" s="219"/>
      <c r="N41" s="219"/>
      <c r="O41" s="254"/>
      <c r="P41" s="252"/>
      <c r="R41" s="75"/>
      <c r="S41" s="84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3" ht="30" customHeight="1" x14ac:dyDescent="0.2">
      <c r="A42" s="85">
        <v>33</v>
      </c>
      <c r="B42" s="91"/>
      <c r="C42" s="56" t="s">
        <v>8</v>
      </c>
      <c r="D42" s="56" t="s">
        <v>121</v>
      </c>
      <c r="E42" s="91" t="s">
        <v>127</v>
      </c>
      <c r="F42" s="92" t="s">
        <v>3</v>
      </c>
      <c r="G42" s="92">
        <v>15</v>
      </c>
      <c r="H42" s="93">
        <v>298.5</v>
      </c>
      <c r="I42" s="94">
        <f t="shared" si="0"/>
        <v>4477.5</v>
      </c>
      <c r="J42" s="95"/>
      <c r="K42" s="264"/>
      <c r="L42" s="219">
        <f t="shared" si="2"/>
        <v>4477.5</v>
      </c>
      <c r="M42" s="219"/>
      <c r="N42" s="219"/>
      <c r="O42" s="254"/>
      <c r="P42" s="252"/>
      <c r="R42" s="75"/>
      <c r="S42" s="84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</row>
    <row r="43" spans="1:33" ht="30" customHeight="1" x14ac:dyDescent="0.2">
      <c r="A43" s="85">
        <v>34</v>
      </c>
      <c r="B43" s="91"/>
      <c r="C43" s="56" t="s">
        <v>8</v>
      </c>
      <c r="D43" s="56" t="s">
        <v>121</v>
      </c>
      <c r="E43" s="91" t="s">
        <v>128</v>
      </c>
      <c r="F43" s="92" t="s">
        <v>3</v>
      </c>
      <c r="G43" s="92">
        <v>50</v>
      </c>
      <c r="H43" s="93">
        <v>1750</v>
      </c>
      <c r="I43" s="94">
        <f t="shared" si="0"/>
        <v>87500</v>
      </c>
      <c r="J43" s="95"/>
      <c r="K43" s="264"/>
      <c r="L43" s="219">
        <f t="shared" si="2"/>
        <v>87500</v>
      </c>
      <c r="M43" s="219"/>
      <c r="N43" s="219"/>
      <c r="O43" s="254"/>
      <c r="P43" s="252"/>
      <c r="R43" s="75"/>
      <c r="S43" s="84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</row>
    <row r="44" spans="1:33" ht="30" customHeight="1" x14ac:dyDescent="0.2">
      <c r="A44" s="85">
        <v>35</v>
      </c>
      <c r="B44" s="91"/>
      <c r="C44" s="56" t="s">
        <v>8</v>
      </c>
      <c r="D44" s="56" t="s">
        <v>121</v>
      </c>
      <c r="E44" s="91" t="s">
        <v>152</v>
      </c>
      <c r="F44" s="92" t="s">
        <v>3</v>
      </c>
      <c r="G44" s="92">
        <v>50</v>
      </c>
      <c r="H44" s="93">
        <v>200</v>
      </c>
      <c r="I44" s="94">
        <f t="shared" si="0"/>
        <v>10000</v>
      </c>
      <c r="J44" s="95"/>
      <c r="K44" s="265"/>
      <c r="L44" s="219">
        <f t="shared" si="2"/>
        <v>10000</v>
      </c>
      <c r="M44" s="219"/>
      <c r="N44" s="219"/>
      <c r="O44" s="254"/>
      <c r="P44" s="252"/>
      <c r="R44" s="75"/>
      <c r="S44" s="84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</row>
    <row r="45" spans="1:33" ht="30" customHeight="1" x14ac:dyDescent="0.2">
      <c r="A45" s="85">
        <v>36</v>
      </c>
      <c r="B45" s="91"/>
      <c r="C45" s="56" t="s">
        <v>8</v>
      </c>
      <c r="D45" s="56" t="s">
        <v>121</v>
      </c>
      <c r="E45" s="91" t="s">
        <v>226</v>
      </c>
      <c r="F45" s="92" t="s">
        <v>4</v>
      </c>
      <c r="G45" s="92">
        <v>20</v>
      </c>
      <c r="H45" s="93">
        <v>9950</v>
      </c>
      <c r="I45" s="94">
        <f t="shared" si="0"/>
        <v>199000</v>
      </c>
      <c r="J45" s="95"/>
      <c r="K45" s="265"/>
      <c r="L45" s="219">
        <f t="shared" si="2"/>
        <v>199000</v>
      </c>
      <c r="M45" s="219"/>
      <c r="N45" s="219"/>
      <c r="O45" s="254"/>
      <c r="P45" s="252"/>
      <c r="R45" s="75"/>
      <c r="S45" s="84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</row>
    <row r="46" spans="1:33" ht="30" customHeight="1" x14ac:dyDescent="0.2">
      <c r="A46" s="85">
        <v>37</v>
      </c>
      <c r="B46" s="91"/>
      <c r="C46" s="56" t="s">
        <v>8</v>
      </c>
      <c r="D46" s="56" t="s">
        <v>121</v>
      </c>
      <c r="E46" s="91" t="s">
        <v>234</v>
      </c>
      <c r="F46" s="92" t="s">
        <v>4</v>
      </c>
      <c r="G46" s="92">
        <v>50</v>
      </c>
      <c r="H46" s="93">
        <v>1390</v>
      </c>
      <c r="I46" s="94">
        <f t="shared" si="0"/>
        <v>69500</v>
      </c>
      <c r="J46" s="95"/>
      <c r="K46" s="265"/>
      <c r="L46" s="219">
        <f t="shared" si="2"/>
        <v>69500</v>
      </c>
      <c r="M46" s="219"/>
      <c r="N46" s="219"/>
      <c r="O46" s="254"/>
      <c r="P46" s="252"/>
      <c r="R46" s="75"/>
      <c r="S46" s="84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</row>
    <row r="47" spans="1:33" ht="30" customHeight="1" x14ac:dyDescent="0.2">
      <c r="A47" s="85">
        <v>38</v>
      </c>
      <c r="B47" s="91"/>
      <c r="C47" s="56" t="s">
        <v>8</v>
      </c>
      <c r="D47" s="56" t="s">
        <v>121</v>
      </c>
      <c r="E47" s="91" t="s">
        <v>235</v>
      </c>
      <c r="F47" s="92" t="s">
        <v>3</v>
      </c>
      <c r="G47" s="92">
        <v>150</v>
      </c>
      <c r="H47" s="93">
        <v>299</v>
      </c>
      <c r="I47" s="94">
        <f t="shared" si="0"/>
        <v>44850</v>
      </c>
      <c r="J47" s="95"/>
      <c r="L47" s="219">
        <f t="shared" si="2"/>
        <v>44850</v>
      </c>
      <c r="M47" s="219"/>
      <c r="N47" s="219"/>
      <c r="O47" s="254"/>
      <c r="R47" s="75"/>
      <c r="S47" s="84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</row>
    <row r="48" spans="1:33" ht="30" customHeight="1" x14ac:dyDescent="0.2">
      <c r="A48" s="85">
        <v>39</v>
      </c>
      <c r="B48" s="91"/>
      <c r="C48" s="56" t="s">
        <v>8</v>
      </c>
      <c r="D48" s="56" t="s">
        <v>121</v>
      </c>
      <c r="E48" s="91" t="s">
        <v>146</v>
      </c>
      <c r="F48" s="92" t="s">
        <v>3</v>
      </c>
      <c r="G48" s="92">
        <v>50</v>
      </c>
      <c r="H48" s="93">
        <v>299</v>
      </c>
      <c r="I48" s="94">
        <f t="shared" si="0"/>
        <v>14950</v>
      </c>
      <c r="J48" s="95"/>
      <c r="L48" s="219">
        <f t="shared" si="2"/>
        <v>14950</v>
      </c>
      <c r="M48" s="219"/>
      <c r="N48" s="219"/>
      <c r="O48" s="254"/>
      <c r="R48" s="75"/>
      <c r="S48" s="84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</row>
    <row r="49" spans="1:33" ht="30" customHeight="1" x14ac:dyDescent="0.2">
      <c r="A49" s="85">
        <v>40</v>
      </c>
      <c r="B49" s="98"/>
      <c r="C49" s="56" t="s">
        <v>8</v>
      </c>
      <c r="D49" s="56" t="s">
        <v>121</v>
      </c>
      <c r="E49" s="99" t="s">
        <v>227</v>
      </c>
      <c r="F49" s="92" t="s">
        <v>4</v>
      </c>
      <c r="G49" s="92">
        <v>500</v>
      </c>
      <c r="H49" s="93">
        <v>1600</v>
      </c>
      <c r="I49" s="94">
        <f t="shared" si="0"/>
        <v>800000</v>
      </c>
      <c r="J49" s="95"/>
      <c r="L49" s="219">
        <f t="shared" si="2"/>
        <v>800000</v>
      </c>
      <c r="M49" s="219"/>
      <c r="N49" s="219"/>
      <c r="O49" s="254"/>
      <c r="R49" s="75"/>
      <c r="S49" s="84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</row>
    <row r="50" spans="1:33" ht="30" customHeight="1" x14ac:dyDescent="0.2">
      <c r="A50" s="85">
        <v>41</v>
      </c>
      <c r="B50" s="91"/>
      <c r="C50" s="56" t="s">
        <v>107</v>
      </c>
      <c r="D50" s="56" t="s">
        <v>121</v>
      </c>
      <c r="E50" s="91" t="s">
        <v>162</v>
      </c>
      <c r="F50" s="92" t="s">
        <v>3</v>
      </c>
      <c r="G50" s="92">
        <v>50</v>
      </c>
      <c r="H50" s="93">
        <v>26</v>
      </c>
      <c r="I50" s="94">
        <f t="shared" si="0"/>
        <v>1300</v>
      </c>
      <c r="J50" s="95"/>
      <c r="L50" s="219">
        <f t="shared" si="2"/>
        <v>1300</v>
      </c>
      <c r="M50" s="219"/>
      <c r="N50" s="219"/>
      <c r="O50" s="254"/>
      <c r="R50" s="75"/>
      <c r="S50" s="84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</row>
    <row r="51" spans="1:33" ht="30" customHeight="1" x14ac:dyDescent="0.2">
      <c r="A51" s="85">
        <v>42</v>
      </c>
      <c r="B51" s="91"/>
      <c r="C51" s="56" t="s">
        <v>8</v>
      </c>
      <c r="D51" s="56" t="s">
        <v>121</v>
      </c>
      <c r="E51" s="91" t="s">
        <v>144</v>
      </c>
      <c r="F51" s="92" t="s">
        <v>3</v>
      </c>
      <c r="G51" s="92">
        <v>100</v>
      </c>
      <c r="H51" s="93">
        <v>202.5</v>
      </c>
      <c r="I51" s="94">
        <f t="shared" si="0"/>
        <v>20250</v>
      </c>
      <c r="J51" s="95"/>
      <c r="L51" s="219">
        <f t="shared" si="2"/>
        <v>20250</v>
      </c>
      <c r="M51" s="219"/>
      <c r="N51" s="219"/>
      <c r="O51" s="254"/>
      <c r="R51" s="75"/>
      <c r="S51" s="84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</row>
    <row r="52" spans="1:33" ht="30" customHeight="1" x14ac:dyDescent="0.2">
      <c r="A52" s="85">
        <v>43</v>
      </c>
      <c r="B52" s="100"/>
      <c r="C52" s="56" t="s">
        <v>8</v>
      </c>
      <c r="D52" s="56" t="s">
        <v>122</v>
      </c>
      <c r="E52" s="91" t="s">
        <v>169</v>
      </c>
      <c r="F52" s="92" t="s">
        <v>139</v>
      </c>
      <c r="G52" s="92">
        <v>120</v>
      </c>
      <c r="H52" s="93">
        <v>540</v>
      </c>
      <c r="I52" s="94">
        <f t="shared" si="0"/>
        <v>64800</v>
      </c>
      <c r="J52" s="95"/>
      <c r="L52" s="219"/>
      <c r="M52" s="219"/>
      <c r="N52" s="219"/>
      <c r="O52" s="254">
        <f t="shared" ref="O52" si="3">+I52</f>
        <v>64800</v>
      </c>
      <c r="R52" s="75"/>
      <c r="S52" s="84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</row>
    <row r="53" spans="1:33" ht="30" customHeight="1" x14ac:dyDescent="0.2">
      <c r="A53" s="85">
        <v>44</v>
      </c>
      <c r="B53" s="91"/>
      <c r="C53" s="56" t="s">
        <v>8</v>
      </c>
      <c r="D53" s="56" t="s">
        <v>121</v>
      </c>
      <c r="E53" s="91" t="s">
        <v>16</v>
      </c>
      <c r="F53" s="92" t="s">
        <v>3</v>
      </c>
      <c r="G53" s="92">
        <v>20</v>
      </c>
      <c r="H53" s="93">
        <v>234.48</v>
      </c>
      <c r="I53" s="94">
        <f t="shared" si="0"/>
        <v>4689.5999999999995</v>
      </c>
      <c r="J53" s="95"/>
      <c r="L53" s="219">
        <f t="shared" si="2"/>
        <v>4689.5999999999995</v>
      </c>
      <c r="M53" s="219"/>
      <c r="N53" s="219"/>
      <c r="O53" s="254"/>
      <c r="R53" s="75"/>
      <c r="S53" s="84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</row>
    <row r="54" spans="1:33" ht="30" customHeight="1" x14ac:dyDescent="0.2">
      <c r="A54" s="85">
        <v>45</v>
      </c>
      <c r="B54" s="91"/>
      <c r="C54" s="56" t="s">
        <v>8</v>
      </c>
      <c r="D54" s="56" t="s">
        <v>121</v>
      </c>
      <c r="E54" s="91" t="s">
        <v>18</v>
      </c>
      <c r="F54" s="92" t="s">
        <v>3</v>
      </c>
      <c r="G54" s="92">
        <v>20</v>
      </c>
      <c r="H54" s="93">
        <v>234.48</v>
      </c>
      <c r="I54" s="94">
        <f t="shared" si="0"/>
        <v>4689.5999999999995</v>
      </c>
      <c r="J54" s="95"/>
      <c r="L54" s="219">
        <f t="shared" si="2"/>
        <v>4689.5999999999995</v>
      </c>
      <c r="M54" s="219"/>
      <c r="N54" s="219"/>
      <c r="O54" s="254"/>
      <c r="R54" s="75"/>
      <c r="S54" s="84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</row>
    <row r="55" spans="1:33" ht="30" customHeight="1" x14ac:dyDescent="0.2">
      <c r="A55" s="85">
        <v>46</v>
      </c>
      <c r="B55" s="91"/>
      <c r="C55" s="56" t="s">
        <v>8</v>
      </c>
      <c r="D55" s="56" t="s">
        <v>121</v>
      </c>
      <c r="E55" s="91" t="s">
        <v>17</v>
      </c>
      <c r="F55" s="92" t="s">
        <v>3</v>
      </c>
      <c r="G55" s="92">
        <v>20</v>
      </c>
      <c r="H55" s="93">
        <v>450</v>
      </c>
      <c r="I55" s="94">
        <f t="shared" si="0"/>
        <v>9000</v>
      </c>
      <c r="J55" s="95"/>
      <c r="L55" s="219">
        <f t="shared" si="2"/>
        <v>9000</v>
      </c>
      <c r="M55" s="219"/>
      <c r="N55" s="219"/>
      <c r="O55" s="254"/>
      <c r="R55" s="75"/>
      <c r="S55" s="84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</row>
    <row r="56" spans="1:33" ht="30" customHeight="1" x14ac:dyDescent="0.2">
      <c r="A56" s="85">
        <v>47</v>
      </c>
      <c r="B56" s="91"/>
      <c r="C56" s="56" t="s">
        <v>8</v>
      </c>
      <c r="D56" s="56" t="s">
        <v>121</v>
      </c>
      <c r="E56" s="91" t="s">
        <v>5</v>
      </c>
      <c r="F56" s="92" t="s">
        <v>3</v>
      </c>
      <c r="G56" s="92">
        <v>20</v>
      </c>
      <c r="H56" s="93">
        <v>373.2</v>
      </c>
      <c r="I56" s="94">
        <f t="shared" si="0"/>
        <v>7464</v>
      </c>
      <c r="J56" s="95"/>
      <c r="L56" s="219">
        <f t="shared" si="2"/>
        <v>7464</v>
      </c>
      <c r="M56" s="219"/>
      <c r="N56" s="219"/>
      <c r="O56" s="254"/>
      <c r="R56" s="75"/>
      <c r="S56" s="84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</row>
    <row r="57" spans="1:33" ht="30" customHeight="1" x14ac:dyDescent="0.2">
      <c r="A57" s="85">
        <v>48</v>
      </c>
      <c r="B57" s="91"/>
      <c r="C57" s="56" t="s">
        <v>8</v>
      </c>
      <c r="D57" s="56" t="s">
        <v>121</v>
      </c>
      <c r="E57" s="91" t="s">
        <v>48</v>
      </c>
      <c r="F57" s="92" t="s">
        <v>3</v>
      </c>
      <c r="G57" s="92">
        <v>20</v>
      </c>
      <c r="H57" s="93">
        <v>373.2</v>
      </c>
      <c r="I57" s="94">
        <f t="shared" si="0"/>
        <v>7464</v>
      </c>
      <c r="J57" s="95"/>
      <c r="L57" s="219">
        <f t="shared" si="2"/>
        <v>7464</v>
      </c>
      <c r="M57" s="219"/>
      <c r="N57" s="219"/>
      <c r="O57" s="254"/>
      <c r="R57" s="75"/>
      <c r="S57" s="84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</row>
    <row r="58" spans="1:33" ht="30" customHeight="1" x14ac:dyDescent="0.2">
      <c r="A58" s="85">
        <v>49</v>
      </c>
      <c r="B58" s="91"/>
      <c r="C58" s="56" t="s">
        <v>8</v>
      </c>
      <c r="D58" s="56" t="s">
        <v>121</v>
      </c>
      <c r="E58" s="91" t="s">
        <v>6</v>
      </c>
      <c r="F58" s="92" t="s">
        <v>3</v>
      </c>
      <c r="G58" s="92">
        <v>20</v>
      </c>
      <c r="H58" s="93">
        <v>373.2</v>
      </c>
      <c r="I58" s="94">
        <f t="shared" si="0"/>
        <v>7464</v>
      </c>
      <c r="J58" s="95"/>
      <c r="L58" s="219">
        <f t="shared" si="2"/>
        <v>7464</v>
      </c>
      <c r="M58" s="219"/>
      <c r="N58" s="219"/>
      <c r="O58" s="254"/>
      <c r="R58" s="75"/>
      <c r="S58" s="84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</row>
    <row r="59" spans="1:33" ht="30" customHeight="1" x14ac:dyDescent="0.2">
      <c r="A59" s="85">
        <v>50</v>
      </c>
      <c r="B59" s="91"/>
      <c r="C59" s="56" t="s">
        <v>8</v>
      </c>
      <c r="D59" s="56" t="s">
        <v>121</v>
      </c>
      <c r="E59" s="91" t="s">
        <v>49</v>
      </c>
      <c r="F59" s="92" t="s">
        <v>3</v>
      </c>
      <c r="G59" s="92">
        <v>20</v>
      </c>
      <c r="H59" s="93">
        <v>373.2</v>
      </c>
      <c r="I59" s="94">
        <f t="shared" si="0"/>
        <v>7464</v>
      </c>
      <c r="J59" s="95"/>
      <c r="L59" s="219">
        <f t="shared" si="2"/>
        <v>7464</v>
      </c>
      <c r="M59" s="219"/>
      <c r="N59" s="219"/>
      <c r="O59" s="254"/>
      <c r="R59" s="75"/>
      <c r="S59" s="84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</row>
    <row r="60" spans="1:33" ht="30" customHeight="1" x14ac:dyDescent="0.2">
      <c r="A60" s="85">
        <v>51</v>
      </c>
      <c r="B60" s="91"/>
      <c r="C60" s="56" t="s">
        <v>8</v>
      </c>
      <c r="D60" s="56" t="s">
        <v>121</v>
      </c>
      <c r="E60" s="91" t="s">
        <v>44</v>
      </c>
      <c r="F60" s="92" t="s">
        <v>3</v>
      </c>
      <c r="G60" s="92">
        <v>20</v>
      </c>
      <c r="H60" s="93">
        <v>373.2</v>
      </c>
      <c r="I60" s="94">
        <f t="shared" si="0"/>
        <v>7464</v>
      </c>
      <c r="J60" s="95"/>
      <c r="L60" s="219">
        <f t="shared" si="2"/>
        <v>7464</v>
      </c>
      <c r="M60" s="219"/>
      <c r="N60" s="219"/>
      <c r="O60" s="254"/>
      <c r="R60" s="75"/>
      <c r="S60" s="84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</row>
    <row r="61" spans="1:33" ht="30" customHeight="1" x14ac:dyDescent="0.2">
      <c r="A61" s="85">
        <v>52</v>
      </c>
      <c r="B61" s="91"/>
      <c r="C61" s="56" t="s">
        <v>8</v>
      </c>
      <c r="D61" s="56" t="s">
        <v>121</v>
      </c>
      <c r="E61" s="91" t="s">
        <v>50</v>
      </c>
      <c r="F61" s="92" t="s">
        <v>3</v>
      </c>
      <c r="G61" s="92">
        <v>20</v>
      </c>
      <c r="H61" s="93">
        <v>373.2</v>
      </c>
      <c r="I61" s="94">
        <f t="shared" si="0"/>
        <v>7464</v>
      </c>
      <c r="J61" s="95"/>
      <c r="L61" s="219">
        <f t="shared" si="2"/>
        <v>7464</v>
      </c>
      <c r="M61" s="219"/>
      <c r="N61" s="219"/>
      <c r="O61" s="254"/>
      <c r="R61" s="75"/>
      <c r="S61" s="84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</row>
    <row r="62" spans="1:33" ht="30" customHeight="1" x14ac:dyDescent="0.2">
      <c r="A62" s="85">
        <v>53</v>
      </c>
      <c r="B62" s="91"/>
      <c r="C62" s="56" t="s">
        <v>8</v>
      </c>
      <c r="D62" s="56" t="s">
        <v>121</v>
      </c>
      <c r="E62" s="91" t="s">
        <v>56</v>
      </c>
      <c r="F62" s="92" t="s">
        <v>3</v>
      </c>
      <c r="G62" s="92">
        <v>20</v>
      </c>
      <c r="H62" s="93">
        <v>425.85</v>
      </c>
      <c r="I62" s="94">
        <f t="shared" si="0"/>
        <v>8517</v>
      </c>
      <c r="J62" s="95"/>
      <c r="L62" s="219">
        <f t="shared" si="2"/>
        <v>8517</v>
      </c>
      <c r="M62" s="219"/>
      <c r="N62" s="219"/>
      <c r="O62" s="254"/>
      <c r="R62" s="75"/>
      <c r="S62" s="84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</row>
    <row r="63" spans="1:33" ht="30" customHeight="1" x14ac:dyDescent="0.2">
      <c r="A63" s="85">
        <v>54</v>
      </c>
      <c r="B63" s="91"/>
      <c r="C63" s="56" t="s">
        <v>8</v>
      </c>
      <c r="D63" s="56" t="s">
        <v>121</v>
      </c>
      <c r="E63" s="91" t="s">
        <v>45</v>
      </c>
      <c r="F63" s="92" t="s">
        <v>3</v>
      </c>
      <c r="G63" s="92">
        <v>20</v>
      </c>
      <c r="H63" s="93">
        <v>373.2</v>
      </c>
      <c r="I63" s="94">
        <f t="shared" si="0"/>
        <v>7464</v>
      </c>
      <c r="J63" s="95"/>
      <c r="L63" s="219">
        <f t="shared" si="2"/>
        <v>7464</v>
      </c>
      <c r="M63" s="219"/>
      <c r="N63" s="219"/>
      <c r="O63" s="254"/>
      <c r="R63" s="75"/>
      <c r="S63" s="84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</row>
    <row r="64" spans="1:33" ht="30" customHeight="1" x14ac:dyDescent="0.2">
      <c r="A64" s="85">
        <v>55</v>
      </c>
      <c r="B64" s="91"/>
      <c r="C64" s="56" t="s">
        <v>8</v>
      </c>
      <c r="D64" s="56" t="s">
        <v>121</v>
      </c>
      <c r="E64" s="91" t="s">
        <v>55</v>
      </c>
      <c r="F64" s="92" t="s">
        <v>3</v>
      </c>
      <c r="G64" s="92">
        <v>20</v>
      </c>
      <c r="H64" s="93">
        <v>425.85</v>
      </c>
      <c r="I64" s="94">
        <f t="shared" si="0"/>
        <v>8517</v>
      </c>
      <c r="J64" s="95"/>
      <c r="L64" s="219">
        <f t="shared" si="2"/>
        <v>8517</v>
      </c>
      <c r="M64" s="219"/>
      <c r="N64" s="219"/>
      <c r="O64" s="254"/>
      <c r="R64" s="75"/>
      <c r="S64" s="84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</row>
    <row r="65" spans="1:33" ht="30" customHeight="1" x14ac:dyDescent="0.2">
      <c r="A65" s="85">
        <v>56</v>
      </c>
      <c r="B65" s="91"/>
      <c r="C65" s="56" t="s">
        <v>8</v>
      </c>
      <c r="D65" s="56" t="s">
        <v>121</v>
      </c>
      <c r="E65" s="91" t="s">
        <v>53</v>
      </c>
      <c r="F65" s="92" t="s">
        <v>3</v>
      </c>
      <c r="G65" s="92">
        <v>20</v>
      </c>
      <c r="H65" s="93">
        <v>567.02</v>
      </c>
      <c r="I65" s="94">
        <f t="shared" si="0"/>
        <v>11340.4</v>
      </c>
      <c r="J65" s="95"/>
      <c r="L65" s="219">
        <f t="shared" si="2"/>
        <v>11340.4</v>
      </c>
      <c r="M65" s="219"/>
      <c r="N65" s="219"/>
      <c r="O65" s="254"/>
      <c r="R65" s="75"/>
      <c r="S65" s="84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 spans="1:33" ht="30" customHeight="1" x14ac:dyDescent="0.2">
      <c r="A66" s="85">
        <v>57</v>
      </c>
      <c r="B66" s="91"/>
      <c r="C66" s="56" t="s">
        <v>8</v>
      </c>
      <c r="D66" s="56" t="s">
        <v>121</v>
      </c>
      <c r="E66" s="91" t="s">
        <v>26</v>
      </c>
      <c r="F66" s="92" t="s">
        <v>3</v>
      </c>
      <c r="G66" s="92">
        <v>20</v>
      </c>
      <c r="H66" s="93">
        <v>234.48</v>
      </c>
      <c r="I66" s="94">
        <f t="shared" si="0"/>
        <v>4689.5999999999995</v>
      </c>
      <c r="J66" s="95"/>
      <c r="L66" s="219">
        <f t="shared" si="2"/>
        <v>4689.5999999999995</v>
      </c>
      <c r="M66" s="219"/>
      <c r="N66" s="219"/>
      <c r="O66" s="254"/>
      <c r="R66" s="75"/>
      <c r="S66" s="84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 spans="1:33" ht="30" customHeight="1" x14ac:dyDescent="0.2">
      <c r="A67" s="85">
        <v>58</v>
      </c>
      <c r="B67" s="91"/>
      <c r="C67" s="56" t="s">
        <v>8</v>
      </c>
      <c r="D67" s="56" t="s">
        <v>121</v>
      </c>
      <c r="E67" s="91" t="s">
        <v>25</v>
      </c>
      <c r="F67" s="92" t="s">
        <v>3</v>
      </c>
      <c r="G67" s="92">
        <v>20</v>
      </c>
      <c r="H67" s="93">
        <v>234.48</v>
      </c>
      <c r="I67" s="94">
        <f t="shared" si="0"/>
        <v>4689.5999999999995</v>
      </c>
      <c r="J67" s="95"/>
      <c r="L67" s="219">
        <f t="shared" si="2"/>
        <v>4689.5999999999995</v>
      </c>
      <c r="M67" s="219"/>
      <c r="N67" s="219"/>
      <c r="O67" s="254"/>
      <c r="R67" s="75"/>
      <c r="S67" s="84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</row>
    <row r="68" spans="1:33" ht="30" customHeight="1" x14ac:dyDescent="0.2">
      <c r="A68" s="85">
        <v>59</v>
      </c>
      <c r="B68" s="91"/>
      <c r="C68" s="56" t="s">
        <v>8</v>
      </c>
      <c r="D68" s="56" t="s">
        <v>121</v>
      </c>
      <c r="E68" s="91" t="s">
        <v>24</v>
      </c>
      <c r="F68" s="92" t="s">
        <v>3</v>
      </c>
      <c r="G68" s="92">
        <v>20</v>
      </c>
      <c r="H68" s="93">
        <v>234.48</v>
      </c>
      <c r="I68" s="94">
        <f t="shared" si="0"/>
        <v>4689.5999999999995</v>
      </c>
      <c r="J68" s="95"/>
      <c r="L68" s="219">
        <f t="shared" si="2"/>
        <v>4689.5999999999995</v>
      </c>
      <c r="M68" s="219"/>
      <c r="N68" s="219"/>
      <c r="O68" s="254"/>
      <c r="R68" s="75"/>
      <c r="S68" s="84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 spans="1:33" ht="30" customHeight="1" x14ac:dyDescent="0.2">
      <c r="A69" s="85">
        <v>60</v>
      </c>
      <c r="B69" s="91"/>
      <c r="C69" s="56" t="s">
        <v>8</v>
      </c>
      <c r="D69" s="56" t="s">
        <v>121</v>
      </c>
      <c r="E69" s="91" t="s">
        <v>23</v>
      </c>
      <c r="F69" s="92" t="s">
        <v>3</v>
      </c>
      <c r="G69" s="92">
        <v>20</v>
      </c>
      <c r="H69" s="93">
        <v>234.48</v>
      </c>
      <c r="I69" s="94">
        <f t="shared" si="0"/>
        <v>4689.5999999999995</v>
      </c>
      <c r="J69" s="95"/>
      <c r="L69" s="219">
        <f t="shared" si="2"/>
        <v>4689.5999999999995</v>
      </c>
      <c r="M69" s="219"/>
      <c r="N69" s="219"/>
      <c r="O69" s="254"/>
      <c r="R69" s="75"/>
      <c r="S69" s="84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 spans="1:33" ht="30" customHeight="1" x14ac:dyDescent="0.2">
      <c r="A70" s="85">
        <v>61</v>
      </c>
      <c r="B70" s="91"/>
      <c r="C70" s="56" t="s">
        <v>8</v>
      </c>
      <c r="D70" s="56" t="s">
        <v>121</v>
      </c>
      <c r="E70" s="91" t="s">
        <v>22</v>
      </c>
      <c r="F70" s="92" t="s">
        <v>3</v>
      </c>
      <c r="G70" s="92">
        <v>20</v>
      </c>
      <c r="H70" s="93">
        <v>234.48</v>
      </c>
      <c r="I70" s="94">
        <f t="shared" si="0"/>
        <v>4689.5999999999995</v>
      </c>
      <c r="J70" s="95"/>
      <c r="L70" s="219">
        <f t="shared" si="2"/>
        <v>4689.5999999999995</v>
      </c>
      <c r="M70" s="219"/>
      <c r="N70" s="219"/>
      <c r="O70" s="254"/>
      <c r="R70" s="75"/>
      <c r="S70" s="84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</row>
    <row r="71" spans="1:33" ht="30" customHeight="1" x14ac:dyDescent="0.2">
      <c r="A71" s="85">
        <v>62</v>
      </c>
      <c r="B71" s="91"/>
      <c r="C71" s="56" t="s">
        <v>8</v>
      </c>
      <c r="D71" s="56" t="s">
        <v>121</v>
      </c>
      <c r="E71" s="91" t="s">
        <v>21</v>
      </c>
      <c r="F71" s="92" t="s">
        <v>3</v>
      </c>
      <c r="G71" s="92">
        <v>20</v>
      </c>
      <c r="H71" s="93">
        <v>234.48</v>
      </c>
      <c r="I71" s="94">
        <f t="shared" si="0"/>
        <v>4689.5999999999995</v>
      </c>
      <c r="J71" s="95"/>
      <c r="L71" s="219">
        <f t="shared" si="2"/>
        <v>4689.5999999999995</v>
      </c>
      <c r="M71" s="219"/>
      <c r="N71" s="219"/>
      <c r="O71" s="254"/>
      <c r="R71" s="75"/>
      <c r="S71" s="84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</row>
    <row r="72" spans="1:33" ht="30" customHeight="1" x14ac:dyDescent="0.2">
      <c r="A72" s="85">
        <v>63</v>
      </c>
      <c r="B72" s="91"/>
      <c r="C72" s="56" t="s">
        <v>8</v>
      </c>
      <c r="D72" s="56" t="s">
        <v>121</v>
      </c>
      <c r="E72" s="91" t="s">
        <v>20</v>
      </c>
      <c r="F72" s="92" t="s">
        <v>3</v>
      </c>
      <c r="G72" s="92">
        <v>20</v>
      </c>
      <c r="H72" s="93">
        <v>234.48</v>
      </c>
      <c r="I72" s="94">
        <f t="shared" si="0"/>
        <v>4689.5999999999995</v>
      </c>
      <c r="J72" s="95"/>
      <c r="L72" s="219">
        <f t="shared" si="2"/>
        <v>4689.5999999999995</v>
      </c>
      <c r="M72" s="219"/>
      <c r="N72" s="219"/>
      <c r="O72" s="254"/>
      <c r="R72" s="75"/>
      <c r="S72" s="84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</row>
    <row r="73" spans="1:33" ht="30" customHeight="1" x14ac:dyDescent="0.2">
      <c r="A73" s="85">
        <v>64</v>
      </c>
      <c r="B73" s="91"/>
      <c r="C73" s="56" t="s">
        <v>8</v>
      </c>
      <c r="D73" s="56" t="s">
        <v>121</v>
      </c>
      <c r="E73" s="91" t="s">
        <v>19</v>
      </c>
      <c r="F73" s="92" t="s">
        <v>3</v>
      </c>
      <c r="G73" s="92">
        <v>20</v>
      </c>
      <c r="H73" s="93">
        <v>234.48</v>
      </c>
      <c r="I73" s="94">
        <f t="shared" si="0"/>
        <v>4689.5999999999995</v>
      </c>
      <c r="J73" s="95"/>
      <c r="L73" s="219">
        <f t="shared" si="2"/>
        <v>4689.5999999999995</v>
      </c>
      <c r="M73" s="219"/>
      <c r="N73" s="219"/>
      <c r="O73" s="254"/>
      <c r="R73" s="75"/>
      <c r="S73" s="84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</row>
    <row r="74" spans="1:33" ht="30" customHeight="1" x14ac:dyDescent="0.2">
      <c r="A74" s="85">
        <v>65</v>
      </c>
      <c r="B74" s="91"/>
      <c r="C74" s="56" t="s">
        <v>8</v>
      </c>
      <c r="D74" s="56" t="s">
        <v>121</v>
      </c>
      <c r="E74" s="91" t="s">
        <v>54</v>
      </c>
      <c r="F74" s="92" t="s">
        <v>3</v>
      </c>
      <c r="G74" s="92">
        <v>20</v>
      </c>
      <c r="H74" s="93">
        <v>234.48</v>
      </c>
      <c r="I74" s="94">
        <f t="shared" ref="I74:I137" si="4">(H74*G74)</f>
        <v>4689.5999999999995</v>
      </c>
      <c r="J74" s="95"/>
      <c r="L74" s="219">
        <f t="shared" si="2"/>
        <v>4689.5999999999995</v>
      </c>
      <c r="M74" s="219"/>
      <c r="N74" s="219"/>
      <c r="O74" s="254"/>
      <c r="R74" s="75"/>
      <c r="S74" s="84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</row>
    <row r="75" spans="1:33" ht="30" customHeight="1" x14ac:dyDescent="0.2">
      <c r="A75" s="85">
        <v>66</v>
      </c>
      <c r="B75" s="91"/>
      <c r="C75" s="56" t="s">
        <v>8</v>
      </c>
      <c r="D75" s="56" t="s">
        <v>121</v>
      </c>
      <c r="E75" s="91" t="s">
        <v>52</v>
      </c>
      <c r="F75" s="92" t="s">
        <v>3</v>
      </c>
      <c r="G75" s="92">
        <v>20</v>
      </c>
      <c r="H75" s="93">
        <v>234.48</v>
      </c>
      <c r="I75" s="94">
        <f t="shared" si="4"/>
        <v>4689.5999999999995</v>
      </c>
      <c r="J75" s="95"/>
      <c r="L75" s="219">
        <f t="shared" ref="L75:L138" si="5">+I75</f>
        <v>4689.5999999999995</v>
      </c>
      <c r="M75" s="219"/>
      <c r="N75" s="219"/>
      <c r="O75" s="254"/>
      <c r="R75" s="75"/>
      <c r="S75" s="84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</row>
    <row r="76" spans="1:33" ht="30" customHeight="1" x14ac:dyDescent="0.2">
      <c r="A76" s="85">
        <v>67</v>
      </c>
      <c r="B76" s="91"/>
      <c r="C76" s="56" t="s">
        <v>8</v>
      </c>
      <c r="D76" s="56" t="s">
        <v>121</v>
      </c>
      <c r="E76" s="91" t="s">
        <v>27</v>
      </c>
      <c r="F76" s="92" t="s">
        <v>3</v>
      </c>
      <c r="G76" s="92">
        <v>20</v>
      </c>
      <c r="H76" s="93">
        <v>425.85</v>
      </c>
      <c r="I76" s="94">
        <f t="shared" si="4"/>
        <v>8517</v>
      </c>
      <c r="J76" s="95"/>
      <c r="L76" s="219">
        <f t="shared" si="5"/>
        <v>8517</v>
      </c>
      <c r="M76" s="219"/>
      <c r="N76" s="219"/>
      <c r="O76" s="254"/>
      <c r="R76" s="75"/>
      <c r="S76" s="84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</row>
    <row r="77" spans="1:33" ht="30" customHeight="1" x14ac:dyDescent="0.2">
      <c r="A77" s="85">
        <v>68</v>
      </c>
      <c r="B77" s="91"/>
      <c r="C77" s="56" t="s">
        <v>8</v>
      </c>
      <c r="D77" s="56" t="s">
        <v>121</v>
      </c>
      <c r="E77" s="91" t="s">
        <v>28</v>
      </c>
      <c r="F77" s="92" t="s">
        <v>3</v>
      </c>
      <c r="G77" s="92">
        <v>20</v>
      </c>
      <c r="H77" s="93">
        <v>425.85</v>
      </c>
      <c r="I77" s="94">
        <f t="shared" si="4"/>
        <v>8517</v>
      </c>
      <c r="J77" s="95"/>
      <c r="L77" s="219">
        <f t="shared" si="5"/>
        <v>8517</v>
      </c>
      <c r="M77" s="219"/>
      <c r="N77" s="219"/>
      <c r="O77" s="254"/>
      <c r="R77" s="75"/>
      <c r="S77" s="84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</row>
    <row r="78" spans="1:33" ht="30" customHeight="1" x14ac:dyDescent="0.2">
      <c r="A78" s="85">
        <v>69</v>
      </c>
      <c r="B78" s="91"/>
      <c r="C78" s="56" t="s">
        <v>8</v>
      </c>
      <c r="D78" s="56" t="s">
        <v>121</v>
      </c>
      <c r="E78" s="91" t="s">
        <v>51</v>
      </c>
      <c r="F78" s="92" t="s">
        <v>3</v>
      </c>
      <c r="G78" s="92">
        <v>20</v>
      </c>
      <c r="H78" s="93">
        <v>450</v>
      </c>
      <c r="I78" s="94">
        <f t="shared" si="4"/>
        <v>9000</v>
      </c>
      <c r="J78" s="95"/>
      <c r="L78" s="219">
        <f t="shared" si="5"/>
        <v>9000</v>
      </c>
      <c r="M78" s="219"/>
      <c r="N78" s="219"/>
      <c r="O78" s="254"/>
      <c r="R78" s="75"/>
      <c r="S78" s="84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</row>
    <row r="79" spans="1:33" ht="30" customHeight="1" x14ac:dyDescent="0.2">
      <c r="A79" s="85">
        <v>70</v>
      </c>
      <c r="B79" s="91"/>
      <c r="C79" s="56" t="s">
        <v>8</v>
      </c>
      <c r="D79" s="56" t="s">
        <v>121</v>
      </c>
      <c r="E79" s="91" t="s">
        <v>29</v>
      </c>
      <c r="F79" s="92" t="s">
        <v>3</v>
      </c>
      <c r="G79" s="92">
        <v>20</v>
      </c>
      <c r="H79" s="93">
        <v>225</v>
      </c>
      <c r="I79" s="94">
        <f t="shared" si="4"/>
        <v>4500</v>
      </c>
      <c r="J79" s="95"/>
      <c r="L79" s="219">
        <f t="shared" si="5"/>
        <v>4500</v>
      </c>
      <c r="M79" s="219"/>
      <c r="N79" s="219"/>
      <c r="O79" s="254"/>
      <c r="R79" s="75"/>
      <c r="S79" s="84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</row>
    <row r="80" spans="1:33" ht="30" customHeight="1" x14ac:dyDescent="0.2">
      <c r="A80" s="85">
        <v>71</v>
      </c>
      <c r="B80" s="91"/>
      <c r="C80" s="56" t="s">
        <v>8</v>
      </c>
      <c r="D80" s="56" t="s">
        <v>121</v>
      </c>
      <c r="E80" s="91" t="s">
        <v>58</v>
      </c>
      <c r="F80" s="92" t="s">
        <v>3</v>
      </c>
      <c r="G80" s="92">
        <v>20</v>
      </c>
      <c r="H80" s="93">
        <v>225</v>
      </c>
      <c r="I80" s="94">
        <f t="shared" si="4"/>
        <v>4500</v>
      </c>
      <c r="J80" s="95"/>
      <c r="L80" s="219">
        <f t="shared" si="5"/>
        <v>4500</v>
      </c>
      <c r="M80" s="219"/>
      <c r="N80" s="219"/>
      <c r="O80" s="254"/>
      <c r="R80" s="75"/>
      <c r="S80" s="84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</row>
    <row r="81" spans="1:33" ht="30" customHeight="1" x14ac:dyDescent="0.2">
      <c r="A81" s="85">
        <v>72</v>
      </c>
      <c r="B81" s="91"/>
      <c r="C81" s="56" t="s">
        <v>8</v>
      </c>
      <c r="D81" s="56" t="s">
        <v>121</v>
      </c>
      <c r="E81" s="91" t="s">
        <v>59</v>
      </c>
      <c r="F81" s="92" t="s">
        <v>3</v>
      </c>
      <c r="G81" s="92">
        <v>20</v>
      </c>
      <c r="H81" s="93">
        <v>225</v>
      </c>
      <c r="I81" s="94">
        <f t="shared" si="4"/>
        <v>4500</v>
      </c>
      <c r="J81" s="95"/>
      <c r="L81" s="219">
        <f t="shared" si="5"/>
        <v>4500</v>
      </c>
      <c r="M81" s="219"/>
      <c r="N81" s="219"/>
      <c r="O81" s="254"/>
      <c r="R81" s="75"/>
      <c r="S81" s="84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</row>
    <row r="82" spans="1:33" ht="30" customHeight="1" x14ac:dyDescent="0.2">
      <c r="A82" s="85">
        <v>73</v>
      </c>
      <c r="B82" s="91"/>
      <c r="C82" s="56" t="s">
        <v>8</v>
      </c>
      <c r="D82" s="56" t="s">
        <v>121</v>
      </c>
      <c r="E82" s="91" t="s">
        <v>35</v>
      </c>
      <c r="F82" s="92" t="s">
        <v>3</v>
      </c>
      <c r="G82" s="92">
        <v>20</v>
      </c>
      <c r="H82" s="93">
        <v>225</v>
      </c>
      <c r="I82" s="94">
        <f t="shared" si="4"/>
        <v>4500</v>
      </c>
      <c r="J82" s="95"/>
      <c r="L82" s="219">
        <f t="shared" si="5"/>
        <v>4500</v>
      </c>
      <c r="M82" s="219"/>
      <c r="N82" s="219"/>
      <c r="O82" s="254"/>
      <c r="R82" s="75"/>
      <c r="S82" s="84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</row>
    <row r="83" spans="1:33" ht="30" customHeight="1" x14ac:dyDescent="0.2">
      <c r="A83" s="85">
        <v>74</v>
      </c>
      <c r="B83" s="91"/>
      <c r="C83" s="56" t="s">
        <v>8</v>
      </c>
      <c r="D83" s="56" t="s">
        <v>121</v>
      </c>
      <c r="E83" s="91" t="s">
        <v>37</v>
      </c>
      <c r="F83" s="92" t="s">
        <v>3</v>
      </c>
      <c r="G83" s="92">
        <v>20</v>
      </c>
      <c r="H83" s="93">
        <v>225</v>
      </c>
      <c r="I83" s="94">
        <f t="shared" si="4"/>
        <v>4500</v>
      </c>
      <c r="J83" s="95"/>
      <c r="L83" s="219">
        <f t="shared" si="5"/>
        <v>4500</v>
      </c>
      <c r="M83" s="219"/>
      <c r="N83" s="219"/>
      <c r="O83" s="254"/>
      <c r="R83" s="75"/>
      <c r="S83" s="84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</row>
    <row r="84" spans="1:33" ht="30" customHeight="1" x14ac:dyDescent="0.2">
      <c r="A84" s="85">
        <v>75</v>
      </c>
      <c r="B84" s="91"/>
      <c r="C84" s="56" t="s">
        <v>8</v>
      </c>
      <c r="D84" s="56" t="s">
        <v>121</v>
      </c>
      <c r="E84" s="91" t="s">
        <v>36</v>
      </c>
      <c r="F84" s="92" t="s">
        <v>3</v>
      </c>
      <c r="G84" s="92">
        <v>20</v>
      </c>
      <c r="H84" s="93">
        <v>225</v>
      </c>
      <c r="I84" s="94">
        <f t="shared" si="4"/>
        <v>4500</v>
      </c>
      <c r="J84" s="95"/>
      <c r="L84" s="219">
        <f t="shared" si="5"/>
        <v>4500</v>
      </c>
      <c r="M84" s="219"/>
      <c r="N84" s="219"/>
      <c r="O84" s="254"/>
      <c r="R84" s="75"/>
      <c r="S84" s="84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</row>
    <row r="85" spans="1:33" ht="30" customHeight="1" x14ac:dyDescent="0.2">
      <c r="A85" s="85">
        <v>76</v>
      </c>
      <c r="B85" s="91"/>
      <c r="C85" s="56" t="s">
        <v>8</v>
      </c>
      <c r="D85" s="56" t="s">
        <v>121</v>
      </c>
      <c r="E85" s="91" t="s">
        <v>30</v>
      </c>
      <c r="F85" s="92" t="s">
        <v>3</v>
      </c>
      <c r="G85" s="92">
        <v>20</v>
      </c>
      <c r="H85" s="93">
        <v>225</v>
      </c>
      <c r="I85" s="94">
        <f t="shared" si="4"/>
        <v>4500</v>
      </c>
      <c r="J85" s="95"/>
      <c r="L85" s="219">
        <f t="shared" si="5"/>
        <v>4500</v>
      </c>
      <c r="M85" s="219"/>
      <c r="N85" s="219"/>
      <c r="O85" s="254"/>
      <c r="R85" s="75"/>
      <c r="S85" s="84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</row>
    <row r="86" spans="1:33" ht="30" customHeight="1" x14ac:dyDescent="0.2">
      <c r="A86" s="85">
        <v>77</v>
      </c>
      <c r="B86" s="91"/>
      <c r="C86" s="56" t="s">
        <v>8</v>
      </c>
      <c r="D86" s="56" t="s">
        <v>121</v>
      </c>
      <c r="E86" s="91" t="s">
        <v>31</v>
      </c>
      <c r="F86" s="92" t="s">
        <v>3</v>
      </c>
      <c r="G86" s="92">
        <v>20</v>
      </c>
      <c r="H86" s="93">
        <v>225</v>
      </c>
      <c r="I86" s="94">
        <f t="shared" si="4"/>
        <v>4500</v>
      </c>
      <c r="J86" s="95"/>
      <c r="L86" s="219">
        <f t="shared" si="5"/>
        <v>4500</v>
      </c>
      <c r="M86" s="219"/>
      <c r="N86" s="219"/>
      <c r="O86" s="254"/>
      <c r="R86" s="75"/>
      <c r="S86" s="84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</row>
    <row r="87" spans="1:33" ht="30" customHeight="1" x14ac:dyDescent="0.2">
      <c r="A87" s="85">
        <v>78</v>
      </c>
      <c r="B87" s="91"/>
      <c r="C87" s="56" t="s">
        <v>8</v>
      </c>
      <c r="D87" s="56" t="s">
        <v>121</v>
      </c>
      <c r="E87" s="91" t="s">
        <v>39</v>
      </c>
      <c r="F87" s="92" t="s">
        <v>3</v>
      </c>
      <c r="G87" s="92">
        <v>20</v>
      </c>
      <c r="H87" s="93">
        <v>225</v>
      </c>
      <c r="I87" s="94">
        <f t="shared" si="4"/>
        <v>4500</v>
      </c>
      <c r="J87" s="95"/>
      <c r="L87" s="219">
        <f t="shared" si="5"/>
        <v>4500</v>
      </c>
      <c r="M87" s="219"/>
      <c r="N87" s="219"/>
      <c r="O87" s="254"/>
      <c r="R87" s="75"/>
      <c r="S87" s="84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1:33" ht="30" customHeight="1" x14ac:dyDescent="0.2">
      <c r="A88" s="85">
        <v>79</v>
      </c>
      <c r="B88" s="91"/>
      <c r="C88" s="56" t="s">
        <v>8</v>
      </c>
      <c r="D88" s="56" t="s">
        <v>121</v>
      </c>
      <c r="E88" s="91" t="s">
        <v>38</v>
      </c>
      <c r="F88" s="92" t="s">
        <v>3</v>
      </c>
      <c r="G88" s="92">
        <v>20</v>
      </c>
      <c r="H88" s="93">
        <v>225</v>
      </c>
      <c r="I88" s="94">
        <f t="shared" si="4"/>
        <v>4500</v>
      </c>
      <c r="J88" s="95"/>
      <c r="L88" s="219">
        <f t="shared" si="5"/>
        <v>4500</v>
      </c>
      <c r="M88" s="219"/>
      <c r="N88" s="219"/>
      <c r="O88" s="254"/>
      <c r="R88" s="75"/>
      <c r="S88" s="84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</row>
    <row r="89" spans="1:33" ht="30" customHeight="1" x14ac:dyDescent="0.2">
      <c r="A89" s="85">
        <v>80</v>
      </c>
      <c r="B89" s="91"/>
      <c r="C89" s="56" t="s">
        <v>8</v>
      </c>
      <c r="D89" s="56" t="s">
        <v>121</v>
      </c>
      <c r="E89" s="91" t="s">
        <v>32</v>
      </c>
      <c r="F89" s="92" t="s">
        <v>3</v>
      </c>
      <c r="G89" s="92">
        <v>20</v>
      </c>
      <c r="H89" s="93">
        <v>225</v>
      </c>
      <c r="I89" s="94">
        <f t="shared" si="4"/>
        <v>4500</v>
      </c>
      <c r="J89" s="95"/>
      <c r="L89" s="219">
        <f t="shared" si="5"/>
        <v>4500</v>
      </c>
      <c r="M89" s="219"/>
      <c r="N89" s="219"/>
      <c r="O89" s="254"/>
      <c r="R89" s="75"/>
      <c r="S89" s="84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</row>
    <row r="90" spans="1:33" ht="30" customHeight="1" x14ac:dyDescent="0.2">
      <c r="A90" s="85">
        <v>81</v>
      </c>
      <c r="B90" s="91"/>
      <c r="C90" s="56" t="s">
        <v>8</v>
      </c>
      <c r="D90" s="56" t="s">
        <v>121</v>
      </c>
      <c r="E90" s="91" t="s">
        <v>33</v>
      </c>
      <c r="F90" s="92" t="s">
        <v>3</v>
      </c>
      <c r="G90" s="92">
        <v>20</v>
      </c>
      <c r="H90" s="93">
        <v>225</v>
      </c>
      <c r="I90" s="94">
        <f t="shared" si="4"/>
        <v>4500</v>
      </c>
      <c r="J90" s="95"/>
      <c r="L90" s="219">
        <f t="shared" si="5"/>
        <v>4500</v>
      </c>
      <c r="M90" s="219"/>
      <c r="N90" s="219"/>
      <c r="O90" s="254"/>
      <c r="R90" s="75"/>
      <c r="S90" s="84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</row>
    <row r="91" spans="1:33" ht="30" customHeight="1" x14ac:dyDescent="0.2">
      <c r="A91" s="85">
        <v>82</v>
      </c>
      <c r="B91" s="91"/>
      <c r="C91" s="56" t="s">
        <v>8</v>
      </c>
      <c r="D91" s="56" t="s">
        <v>121</v>
      </c>
      <c r="E91" s="91" t="s">
        <v>34</v>
      </c>
      <c r="F91" s="92" t="s">
        <v>3</v>
      </c>
      <c r="G91" s="92">
        <v>20</v>
      </c>
      <c r="H91" s="93">
        <v>225</v>
      </c>
      <c r="I91" s="94">
        <f t="shared" si="4"/>
        <v>4500</v>
      </c>
      <c r="J91" s="95"/>
      <c r="L91" s="219">
        <f t="shared" si="5"/>
        <v>4500</v>
      </c>
      <c r="M91" s="219"/>
      <c r="N91" s="219"/>
      <c r="O91" s="254"/>
      <c r="R91" s="75"/>
      <c r="S91" s="84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</row>
    <row r="92" spans="1:33" ht="30" customHeight="1" x14ac:dyDescent="0.2">
      <c r="A92" s="85">
        <v>83</v>
      </c>
      <c r="B92" s="91"/>
      <c r="C92" s="56" t="s">
        <v>8</v>
      </c>
      <c r="D92" s="56" t="s">
        <v>121</v>
      </c>
      <c r="E92" s="91" t="s">
        <v>46</v>
      </c>
      <c r="F92" s="92" t="s">
        <v>3</v>
      </c>
      <c r="G92" s="92">
        <v>20</v>
      </c>
      <c r="H92" s="93">
        <v>225</v>
      </c>
      <c r="I92" s="94">
        <f t="shared" si="4"/>
        <v>4500</v>
      </c>
      <c r="J92" s="95"/>
      <c r="L92" s="219">
        <f t="shared" si="5"/>
        <v>4500</v>
      </c>
      <c r="M92" s="219"/>
      <c r="N92" s="219"/>
      <c r="O92" s="254"/>
      <c r="R92" s="75"/>
      <c r="S92" s="84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</row>
    <row r="93" spans="1:33" ht="30" customHeight="1" x14ac:dyDescent="0.2">
      <c r="A93" s="85">
        <v>84</v>
      </c>
      <c r="B93" s="91"/>
      <c r="C93" s="56" t="s">
        <v>8</v>
      </c>
      <c r="D93" s="56" t="s">
        <v>121</v>
      </c>
      <c r="E93" s="91" t="s">
        <v>42</v>
      </c>
      <c r="F93" s="92" t="s">
        <v>3</v>
      </c>
      <c r="G93" s="92">
        <v>20</v>
      </c>
      <c r="H93" s="93">
        <v>225</v>
      </c>
      <c r="I93" s="94">
        <f t="shared" si="4"/>
        <v>4500</v>
      </c>
      <c r="J93" s="95"/>
      <c r="L93" s="219">
        <f t="shared" si="5"/>
        <v>4500</v>
      </c>
      <c r="M93" s="219"/>
      <c r="N93" s="219"/>
      <c r="O93" s="254"/>
      <c r="R93" s="75"/>
      <c r="S93" s="84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spans="1:33" ht="30" customHeight="1" x14ac:dyDescent="0.2">
      <c r="A94" s="85">
        <v>85</v>
      </c>
      <c r="B94" s="91"/>
      <c r="C94" s="56" t="s">
        <v>8</v>
      </c>
      <c r="D94" s="56" t="s">
        <v>121</v>
      </c>
      <c r="E94" s="91" t="s">
        <v>43</v>
      </c>
      <c r="F94" s="92" t="s">
        <v>3</v>
      </c>
      <c r="G94" s="92">
        <v>20</v>
      </c>
      <c r="H94" s="93">
        <v>225</v>
      </c>
      <c r="I94" s="94">
        <f t="shared" si="4"/>
        <v>4500</v>
      </c>
      <c r="J94" s="95"/>
      <c r="L94" s="219">
        <f t="shared" si="5"/>
        <v>4500</v>
      </c>
      <c r="M94" s="219"/>
      <c r="N94" s="219"/>
      <c r="O94" s="254"/>
      <c r="R94" s="75"/>
      <c r="S94" s="84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spans="1:33" ht="30" customHeight="1" x14ac:dyDescent="0.2">
      <c r="A95" s="85">
        <v>86</v>
      </c>
      <c r="B95" s="91"/>
      <c r="C95" s="56" t="s">
        <v>8</v>
      </c>
      <c r="D95" s="56" t="s">
        <v>121</v>
      </c>
      <c r="E95" s="91" t="s">
        <v>57</v>
      </c>
      <c r="F95" s="92" t="s">
        <v>3</v>
      </c>
      <c r="G95" s="92">
        <v>20</v>
      </c>
      <c r="H95" s="93">
        <v>225</v>
      </c>
      <c r="I95" s="94">
        <f t="shared" si="4"/>
        <v>4500</v>
      </c>
      <c r="J95" s="95"/>
      <c r="L95" s="219">
        <f t="shared" si="5"/>
        <v>4500</v>
      </c>
      <c r="M95" s="219"/>
      <c r="N95" s="219"/>
      <c r="O95" s="254"/>
      <c r="R95" s="75"/>
      <c r="S95" s="84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spans="1:33" ht="30" customHeight="1" x14ac:dyDescent="0.2">
      <c r="A96" s="85">
        <v>87</v>
      </c>
      <c r="B96" s="91"/>
      <c r="C96" s="56" t="s">
        <v>8</v>
      </c>
      <c r="D96" s="56" t="s">
        <v>121</v>
      </c>
      <c r="E96" s="91" t="s">
        <v>41</v>
      </c>
      <c r="F96" s="92" t="s">
        <v>3</v>
      </c>
      <c r="G96" s="92">
        <v>20</v>
      </c>
      <c r="H96" s="93">
        <v>225</v>
      </c>
      <c r="I96" s="94">
        <f t="shared" si="4"/>
        <v>4500</v>
      </c>
      <c r="J96" s="95"/>
      <c r="L96" s="219">
        <f t="shared" si="5"/>
        <v>4500</v>
      </c>
      <c r="M96" s="219"/>
      <c r="N96" s="219"/>
      <c r="O96" s="254"/>
      <c r="R96" s="75"/>
      <c r="S96" s="84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</row>
    <row r="97" spans="1:33" ht="30" customHeight="1" x14ac:dyDescent="0.2">
      <c r="A97" s="85">
        <v>88</v>
      </c>
      <c r="B97" s="91"/>
      <c r="C97" s="56" t="s">
        <v>8</v>
      </c>
      <c r="D97" s="56" t="s">
        <v>121</v>
      </c>
      <c r="E97" s="91" t="s">
        <v>40</v>
      </c>
      <c r="F97" s="92" t="s">
        <v>3</v>
      </c>
      <c r="G97" s="92">
        <v>20</v>
      </c>
      <c r="H97" s="93">
        <v>225</v>
      </c>
      <c r="I97" s="94">
        <f t="shared" si="4"/>
        <v>4500</v>
      </c>
      <c r="J97" s="95"/>
      <c r="L97" s="219">
        <f t="shared" si="5"/>
        <v>4500</v>
      </c>
      <c r="M97" s="219"/>
      <c r="N97" s="219"/>
      <c r="O97" s="254"/>
      <c r="R97" s="75"/>
      <c r="S97" s="84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</row>
    <row r="98" spans="1:33" ht="30" customHeight="1" x14ac:dyDescent="0.2">
      <c r="A98" s="85">
        <v>89</v>
      </c>
      <c r="B98" s="91"/>
      <c r="C98" s="56" t="s">
        <v>8</v>
      </c>
      <c r="D98" s="56" t="s">
        <v>121</v>
      </c>
      <c r="E98" s="91" t="s">
        <v>47</v>
      </c>
      <c r="F98" s="92" t="s">
        <v>3</v>
      </c>
      <c r="G98" s="92">
        <v>20</v>
      </c>
      <c r="H98" s="93">
        <v>225</v>
      </c>
      <c r="I98" s="94">
        <f t="shared" si="4"/>
        <v>4500</v>
      </c>
      <c r="J98" s="95"/>
      <c r="L98" s="219">
        <f t="shared" si="5"/>
        <v>4500</v>
      </c>
      <c r="M98" s="219"/>
      <c r="N98" s="219"/>
      <c r="O98" s="254"/>
      <c r="R98" s="75"/>
      <c r="S98" s="84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1:33" ht="30" customHeight="1" x14ac:dyDescent="0.2">
      <c r="A99" s="85">
        <v>90</v>
      </c>
      <c r="B99" s="91"/>
      <c r="C99" s="56" t="s">
        <v>8</v>
      </c>
      <c r="D99" s="56" t="s">
        <v>121</v>
      </c>
      <c r="E99" s="91" t="s">
        <v>158</v>
      </c>
      <c r="F99" s="92" t="s">
        <v>3</v>
      </c>
      <c r="G99" s="92">
        <v>10</v>
      </c>
      <c r="H99" s="93">
        <v>1290</v>
      </c>
      <c r="I99" s="94">
        <f t="shared" si="4"/>
        <v>12900</v>
      </c>
      <c r="J99" s="95"/>
      <c r="L99" s="219">
        <f t="shared" si="5"/>
        <v>12900</v>
      </c>
      <c r="M99" s="219"/>
      <c r="N99" s="219"/>
      <c r="O99" s="254"/>
      <c r="R99" s="75"/>
      <c r="S99" s="84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1:33" ht="30" customHeight="1" x14ac:dyDescent="0.2">
      <c r="A100" s="85">
        <v>91</v>
      </c>
      <c r="B100" s="91"/>
      <c r="C100" s="56" t="s">
        <v>8</v>
      </c>
      <c r="D100" s="56" t="s">
        <v>121</v>
      </c>
      <c r="E100" s="91" t="s">
        <v>129</v>
      </c>
      <c r="F100" s="92" t="s">
        <v>3</v>
      </c>
      <c r="G100" s="92">
        <v>80</v>
      </c>
      <c r="H100" s="93">
        <v>278.45</v>
      </c>
      <c r="I100" s="94">
        <f t="shared" si="4"/>
        <v>22276</v>
      </c>
      <c r="J100" s="95"/>
      <c r="L100" s="219">
        <f t="shared" si="5"/>
        <v>22276</v>
      </c>
      <c r="M100" s="219"/>
      <c r="N100" s="219"/>
      <c r="O100" s="254"/>
      <c r="R100" s="75"/>
      <c r="S100" s="84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1:33" ht="30" customHeight="1" x14ac:dyDescent="0.2">
      <c r="A101" s="85">
        <v>92</v>
      </c>
      <c r="B101" s="91"/>
      <c r="C101" s="56" t="s">
        <v>8</v>
      </c>
      <c r="D101" s="56" t="s">
        <v>121</v>
      </c>
      <c r="E101" s="91" t="s">
        <v>157</v>
      </c>
      <c r="F101" s="92" t="s">
        <v>3</v>
      </c>
      <c r="G101" s="92">
        <v>20</v>
      </c>
      <c r="H101" s="93">
        <v>290</v>
      </c>
      <c r="I101" s="94">
        <f t="shared" si="4"/>
        <v>5800</v>
      </c>
      <c r="J101" s="95"/>
      <c r="L101" s="219">
        <f t="shared" si="5"/>
        <v>5800</v>
      </c>
      <c r="M101" s="219"/>
      <c r="N101" s="219"/>
      <c r="O101" s="254"/>
      <c r="R101" s="75"/>
      <c r="S101" s="84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spans="1:33" ht="30" customHeight="1" x14ac:dyDescent="0.2">
      <c r="A102" s="85">
        <v>93</v>
      </c>
      <c r="B102" s="100"/>
      <c r="C102" s="56" t="s">
        <v>8</v>
      </c>
      <c r="D102" s="56" t="s">
        <v>120</v>
      </c>
      <c r="E102" s="91" t="s">
        <v>166</v>
      </c>
      <c r="F102" s="92" t="s">
        <v>4</v>
      </c>
      <c r="G102" s="92">
        <v>50</v>
      </c>
      <c r="H102" s="93">
        <v>2500</v>
      </c>
      <c r="I102" s="94">
        <f t="shared" si="4"/>
        <v>125000</v>
      </c>
      <c r="J102" s="95"/>
      <c r="L102" s="219"/>
      <c r="M102" s="219">
        <f t="shared" ref="M102:M103" si="6">+I102</f>
        <v>125000</v>
      </c>
      <c r="N102" s="219"/>
      <c r="O102" s="254"/>
      <c r="R102" s="75"/>
      <c r="S102" s="84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spans="1:33" ht="30" customHeight="1" x14ac:dyDescent="0.2">
      <c r="A103" s="85">
        <v>94</v>
      </c>
      <c r="B103" s="100"/>
      <c r="C103" s="56" t="s">
        <v>8</v>
      </c>
      <c r="D103" s="56" t="s">
        <v>120</v>
      </c>
      <c r="E103" s="91" t="s">
        <v>165</v>
      </c>
      <c r="F103" s="92" t="s">
        <v>4</v>
      </c>
      <c r="G103" s="92">
        <v>50</v>
      </c>
      <c r="H103" s="93">
        <v>5317</v>
      </c>
      <c r="I103" s="94">
        <f t="shared" si="4"/>
        <v>265850</v>
      </c>
      <c r="J103" s="95"/>
      <c r="L103" s="219"/>
      <c r="M103" s="219">
        <f t="shared" si="6"/>
        <v>265850</v>
      </c>
      <c r="N103" s="219"/>
      <c r="O103" s="254"/>
      <c r="R103" s="75"/>
      <c r="S103" s="84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</row>
    <row r="104" spans="1:33" ht="30" customHeight="1" x14ac:dyDescent="0.2">
      <c r="A104" s="85">
        <v>95</v>
      </c>
      <c r="B104" s="91"/>
      <c r="C104" s="56" t="s">
        <v>8</v>
      </c>
      <c r="D104" s="56" t="s">
        <v>121</v>
      </c>
      <c r="E104" s="91" t="s">
        <v>236</v>
      </c>
      <c r="F104" s="92" t="s">
        <v>4</v>
      </c>
      <c r="G104" s="92">
        <v>400</v>
      </c>
      <c r="H104" s="93">
        <v>1064.6400000000001</v>
      </c>
      <c r="I104" s="94">
        <f t="shared" si="4"/>
        <v>425856.00000000006</v>
      </c>
      <c r="J104" s="95"/>
      <c r="L104" s="219">
        <f t="shared" si="5"/>
        <v>425856.00000000006</v>
      </c>
      <c r="M104" s="219"/>
      <c r="N104" s="219"/>
      <c r="O104" s="254"/>
      <c r="R104" s="75"/>
      <c r="S104" s="84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spans="1:33" ht="30" customHeight="1" x14ac:dyDescent="0.2">
      <c r="A105" s="85">
        <v>96</v>
      </c>
      <c r="B105" s="91"/>
      <c r="C105" s="56" t="s">
        <v>8</v>
      </c>
      <c r="D105" s="56" t="s">
        <v>121</v>
      </c>
      <c r="E105" s="91" t="s">
        <v>145</v>
      </c>
      <c r="F105" s="92" t="s">
        <v>3</v>
      </c>
      <c r="G105" s="92">
        <v>300</v>
      </c>
      <c r="H105" s="93">
        <v>1545</v>
      </c>
      <c r="I105" s="94">
        <f t="shared" si="4"/>
        <v>463500</v>
      </c>
      <c r="J105" s="95"/>
      <c r="L105" s="219">
        <f t="shared" si="5"/>
        <v>463500</v>
      </c>
      <c r="M105" s="219"/>
      <c r="N105" s="219"/>
      <c r="O105" s="254"/>
      <c r="R105" s="75"/>
      <c r="S105" s="84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</row>
    <row r="106" spans="1:33" ht="30" customHeight="1" x14ac:dyDescent="0.2">
      <c r="A106" s="85">
        <v>97</v>
      </c>
      <c r="B106" s="91"/>
      <c r="C106" s="56" t="s">
        <v>8</v>
      </c>
      <c r="D106" s="56" t="s">
        <v>121</v>
      </c>
      <c r="E106" s="91" t="s">
        <v>130</v>
      </c>
      <c r="F106" s="92" t="s">
        <v>3</v>
      </c>
      <c r="G106" s="92">
        <v>10</v>
      </c>
      <c r="H106" s="93">
        <v>3968.28</v>
      </c>
      <c r="I106" s="94">
        <f t="shared" si="4"/>
        <v>39682.800000000003</v>
      </c>
      <c r="J106" s="95"/>
      <c r="L106" s="219">
        <f t="shared" si="5"/>
        <v>39682.800000000003</v>
      </c>
      <c r="M106" s="219"/>
      <c r="N106" s="219"/>
      <c r="O106" s="254"/>
      <c r="R106" s="75"/>
      <c r="S106" s="84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spans="1:33" ht="30" customHeight="1" x14ac:dyDescent="0.2">
      <c r="A107" s="85">
        <v>98</v>
      </c>
      <c r="B107" s="91"/>
      <c r="C107" s="56" t="s">
        <v>8</v>
      </c>
      <c r="D107" s="56" t="s">
        <v>121</v>
      </c>
      <c r="E107" s="91" t="s">
        <v>240</v>
      </c>
      <c r="F107" s="92" t="s">
        <v>185</v>
      </c>
      <c r="G107" s="92">
        <v>10</v>
      </c>
      <c r="H107" s="93">
        <v>14513.7</v>
      </c>
      <c r="I107" s="94">
        <f t="shared" si="4"/>
        <v>145137</v>
      </c>
      <c r="J107" s="95"/>
      <c r="L107" s="219">
        <f t="shared" si="5"/>
        <v>145137</v>
      </c>
      <c r="M107" s="219"/>
      <c r="N107" s="219"/>
      <c r="O107" s="254"/>
      <c r="R107" s="75"/>
      <c r="S107" s="84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</row>
    <row r="108" spans="1:33" ht="30" customHeight="1" x14ac:dyDescent="0.2">
      <c r="A108" s="85">
        <v>99</v>
      </c>
      <c r="B108" s="91"/>
      <c r="C108" s="56" t="s">
        <v>8</v>
      </c>
      <c r="D108" s="56" t="s">
        <v>121</v>
      </c>
      <c r="E108" s="91" t="s">
        <v>209</v>
      </c>
      <c r="F108" s="92" t="s">
        <v>65</v>
      </c>
      <c r="G108" s="92">
        <v>22</v>
      </c>
      <c r="H108" s="93">
        <v>1150</v>
      </c>
      <c r="I108" s="94">
        <f t="shared" si="4"/>
        <v>25300</v>
      </c>
      <c r="J108" s="95"/>
      <c r="L108" s="219">
        <f t="shared" si="5"/>
        <v>25300</v>
      </c>
      <c r="M108" s="219"/>
      <c r="N108" s="219"/>
      <c r="O108" s="254"/>
      <c r="R108" s="75"/>
      <c r="S108" s="84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spans="1:33" ht="30" customHeight="1" x14ac:dyDescent="0.2">
      <c r="A109" s="85">
        <v>100</v>
      </c>
      <c r="B109" s="91"/>
      <c r="C109" s="56" t="s">
        <v>8</v>
      </c>
      <c r="D109" s="56" t="s">
        <v>121</v>
      </c>
      <c r="E109" s="91" t="s">
        <v>188</v>
      </c>
      <c r="F109" s="92" t="s">
        <v>65</v>
      </c>
      <c r="G109" s="92">
        <v>35</v>
      </c>
      <c r="H109" s="93">
        <v>1150</v>
      </c>
      <c r="I109" s="94">
        <f t="shared" si="4"/>
        <v>40250</v>
      </c>
      <c r="J109" s="95"/>
      <c r="L109" s="219">
        <f t="shared" si="5"/>
        <v>40250</v>
      </c>
      <c r="M109" s="219"/>
      <c r="N109" s="219"/>
      <c r="O109" s="254"/>
      <c r="R109" s="75"/>
      <c r="S109" s="84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</row>
    <row r="110" spans="1:33" ht="30" customHeight="1" x14ac:dyDescent="0.2">
      <c r="A110" s="85">
        <v>101</v>
      </c>
      <c r="B110" s="91"/>
      <c r="C110" s="56" t="s">
        <v>8</v>
      </c>
      <c r="D110" s="56" t="s">
        <v>121</v>
      </c>
      <c r="E110" s="91" t="s">
        <v>189</v>
      </c>
      <c r="F110" s="92" t="s">
        <v>65</v>
      </c>
      <c r="G110" s="92">
        <v>35</v>
      </c>
      <c r="H110" s="93">
        <v>1150</v>
      </c>
      <c r="I110" s="94">
        <f t="shared" si="4"/>
        <v>40250</v>
      </c>
      <c r="J110" s="95"/>
      <c r="L110" s="219">
        <f t="shared" si="5"/>
        <v>40250</v>
      </c>
      <c r="M110" s="219"/>
      <c r="N110" s="219"/>
      <c r="O110" s="254"/>
      <c r="R110" s="75"/>
      <c r="S110" s="84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</row>
    <row r="111" spans="1:33" ht="30" customHeight="1" x14ac:dyDescent="0.2">
      <c r="A111" s="85">
        <v>102</v>
      </c>
      <c r="B111" s="91"/>
      <c r="C111" s="56" t="s">
        <v>8</v>
      </c>
      <c r="D111" s="56" t="s">
        <v>121</v>
      </c>
      <c r="E111" s="91" t="s">
        <v>190</v>
      </c>
      <c r="F111" s="92" t="s">
        <v>65</v>
      </c>
      <c r="G111" s="92">
        <v>35</v>
      </c>
      <c r="H111" s="93">
        <v>1150</v>
      </c>
      <c r="I111" s="94">
        <f t="shared" si="4"/>
        <v>40250</v>
      </c>
      <c r="J111" s="95"/>
      <c r="L111" s="219">
        <f t="shared" si="5"/>
        <v>40250</v>
      </c>
      <c r="M111" s="219"/>
      <c r="N111" s="219"/>
      <c r="O111" s="254"/>
      <c r="R111" s="75"/>
      <c r="S111" s="84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</row>
    <row r="112" spans="1:33" ht="30" customHeight="1" x14ac:dyDescent="0.2">
      <c r="A112" s="85">
        <v>103</v>
      </c>
      <c r="B112" s="91"/>
      <c r="C112" s="56" t="s">
        <v>8</v>
      </c>
      <c r="D112" s="56" t="s">
        <v>121</v>
      </c>
      <c r="E112" s="91" t="s">
        <v>191</v>
      </c>
      <c r="F112" s="92" t="s">
        <v>65</v>
      </c>
      <c r="G112" s="92">
        <v>35</v>
      </c>
      <c r="H112" s="93">
        <v>1150</v>
      </c>
      <c r="I112" s="94">
        <f t="shared" si="4"/>
        <v>40250</v>
      </c>
      <c r="J112" s="95"/>
      <c r="L112" s="219">
        <f t="shared" si="5"/>
        <v>40250</v>
      </c>
      <c r="M112" s="219"/>
      <c r="N112" s="219"/>
      <c r="O112" s="254"/>
      <c r="R112" s="75"/>
      <c r="S112" s="84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</row>
    <row r="113" spans="1:33" ht="30" customHeight="1" x14ac:dyDescent="0.2">
      <c r="A113" s="85">
        <v>104</v>
      </c>
      <c r="B113" s="91"/>
      <c r="C113" s="56" t="s">
        <v>8</v>
      </c>
      <c r="D113" s="56" t="s">
        <v>121</v>
      </c>
      <c r="E113" s="91" t="s">
        <v>192</v>
      </c>
      <c r="F113" s="92" t="s">
        <v>65</v>
      </c>
      <c r="G113" s="92">
        <v>35</v>
      </c>
      <c r="H113" s="93">
        <v>1150</v>
      </c>
      <c r="I113" s="94">
        <f t="shared" si="4"/>
        <v>40250</v>
      </c>
      <c r="J113" s="95"/>
      <c r="L113" s="219">
        <f t="shared" si="5"/>
        <v>40250</v>
      </c>
      <c r="M113" s="219"/>
      <c r="N113" s="219"/>
      <c r="O113" s="254"/>
      <c r="R113" s="75"/>
      <c r="S113" s="84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</row>
    <row r="114" spans="1:33" ht="30" customHeight="1" x14ac:dyDescent="0.2">
      <c r="A114" s="85">
        <v>105</v>
      </c>
      <c r="B114" s="91"/>
      <c r="C114" s="56" t="s">
        <v>8</v>
      </c>
      <c r="D114" s="56" t="s">
        <v>121</v>
      </c>
      <c r="E114" s="91" t="s">
        <v>193</v>
      </c>
      <c r="F114" s="92" t="s">
        <v>65</v>
      </c>
      <c r="G114" s="92">
        <v>35</v>
      </c>
      <c r="H114" s="93">
        <v>1150</v>
      </c>
      <c r="I114" s="94">
        <f t="shared" si="4"/>
        <v>40250</v>
      </c>
      <c r="J114" s="95"/>
      <c r="L114" s="219">
        <f t="shared" si="5"/>
        <v>40250</v>
      </c>
      <c r="M114" s="219"/>
      <c r="N114" s="219"/>
      <c r="O114" s="254"/>
      <c r="R114" s="75"/>
      <c r="S114" s="84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</row>
    <row r="115" spans="1:33" ht="30" customHeight="1" x14ac:dyDescent="0.2">
      <c r="A115" s="85">
        <v>106</v>
      </c>
      <c r="B115" s="91"/>
      <c r="C115" s="56" t="s">
        <v>8</v>
      </c>
      <c r="D115" s="56" t="s">
        <v>121</v>
      </c>
      <c r="E115" s="91" t="s">
        <v>194</v>
      </c>
      <c r="F115" s="92" t="s">
        <v>65</v>
      </c>
      <c r="G115" s="92">
        <v>35</v>
      </c>
      <c r="H115" s="93">
        <v>1150</v>
      </c>
      <c r="I115" s="94">
        <f t="shared" si="4"/>
        <v>40250</v>
      </c>
      <c r="J115" s="95"/>
      <c r="L115" s="219">
        <f t="shared" si="5"/>
        <v>40250</v>
      </c>
      <c r="M115" s="219"/>
      <c r="N115" s="219"/>
      <c r="O115" s="254"/>
      <c r="R115" s="75"/>
      <c r="S115" s="84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</row>
    <row r="116" spans="1:33" ht="30" customHeight="1" x14ac:dyDescent="0.2">
      <c r="A116" s="85">
        <v>107</v>
      </c>
      <c r="B116" s="91"/>
      <c r="C116" s="56" t="s">
        <v>8</v>
      </c>
      <c r="D116" s="56" t="s">
        <v>121</v>
      </c>
      <c r="E116" s="91" t="s">
        <v>195</v>
      </c>
      <c r="F116" s="92" t="s">
        <v>65</v>
      </c>
      <c r="G116" s="92">
        <v>35</v>
      </c>
      <c r="H116" s="93">
        <v>1150</v>
      </c>
      <c r="I116" s="94">
        <f t="shared" si="4"/>
        <v>40250</v>
      </c>
      <c r="J116" s="95"/>
      <c r="L116" s="219">
        <f t="shared" si="5"/>
        <v>40250</v>
      </c>
      <c r="M116" s="219"/>
      <c r="N116" s="219"/>
      <c r="O116" s="254"/>
      <c r="R116" s="75"/>
      <c r="S116" s="84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</row>
    <row r="117" spans="1:33" ht="30" customHeight="1" x14ac:dyDescent="0.2">
      <c r="A117" s="85">
        <v>108</v>
      </c>
      <c r="B117" s="91"/>
      <c r="C117" s="56" t="s">
        <v>8</v>
      </c>
      <c r="D117" s="56" t="s">
        <v>121</v>
      </c>
      <c r="E117" s="91" t="s">
        <v>200</v>
      </c>
      <c r="F117" s="92" t="s">
        <v>65</v>
      </c>
      <c r="G117" s="92">
        <v>23</v>
      </c>
      <c r="H117" s="93">
        <v>1150</v>
      </c>
      <c r="I117" s="94">
        <f t="shared" si="4"/>
        <v>26450</v>
      </c>
      <c r="J117" s="95"/>
      <c r="L117" s="219">
        <f t="shared" si="5"/>
        <v>26450</v>
      </c>
      <c r="M117" s="219"/>
      <c r="N117" s="219"/>
      <c r="O117" s="254"/>
      <c r="R117" s="75"/>
      <c r="S117" s="84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</row>
    <row r="118" spans="1:33" ht="30" customHeight="1" x14ac:dyDescent="0.2">
      <c r="A118" s="85">
        <v>109</v>
      </c>
      <c r="B118" s="91"/>
      <c r="C118" s="56" t="s">
        <v>8</v>
      </c>
      <c r="D118" s="56" t="s">
        <v>121</v>
      </c>
      <c r="E118" s="91" t="s">
        <v>204</v>
      </c>
      <c r="F118" s="92" t="s">
        <v>65</v>
      </c>
      <c r="G118" s="92">
        <v>23</v>
      </c>
      <c r="H118" s="93">
        <v>1150</v>
      </c>
      <c r="I118" s="94">
        <f t="shared" si="4"/>
        <v>26450</v>
      </c>
      <c r="J118" s="95"/>
      <c r="L118" s="219">
        <f t="shared" si="5"/>
        <v>26450</v>
      </c>
      <c r="M118" s="219"/>
      <c r="N118" s="219"/>
      <c r="O118" s="254"/>
      <c r="R118" s="75"/>
      <c r="S118" s="84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</row>
    <row r="119" spans="1:33" ht="30" customHeight="1" x14ac:dyDescent="0.2">
      <c r="A119" s="85">
        <v>110</v>
      </c>
      <c r="B119" s="91"/>
      <c r="C119" s="56" t="s">
        <v>8</v>
      </c>
      <c r="D119" s="56" t="s">
        <v>121</v>
      </c>
      <c r="E119" s="91" t="s">
        <v>202</v>
      </c>
      <c r="F119" s="92" t="s">
        <v>65</v>
      </c>
      <c r="G119" s="92">
        <v>23</v>
      </c>
      <c r="H119" s="93">
        <v>1150</v>
      </c>
      <c r="I119" s="94">
        <f t="shared" si="4"/>
        <v>26450</v>
      </c>
      <c r="J119" s="95"/>
      <c r="L119" s="219">
        <f t="shared" si="5"/>
        <v>26450</v>
      </c>
      <c r="M119" s="219"/>
      <c r="N119" s="219"/>
      <c r="O119" s="254"/>
      <c r="R119" s="75"/>
      <c r="S119" s="84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</row>
    <row r="120" spans="1:33" ht="30" customHeight="1" x14ac:dyDescent="0.2">
      <c r="A120" s="85">
        <v>111</v>
      </c>
      <c r="B120" s="91"/>
      <c r="C120" s="56" t="s">
        <v>8</v>
      </c>
      <c r="D120" s="56" t="s">
        <v>121</v>
      </c>
      <c r="E120" s="91" t="s">
        <v>206</v>
      </c>
      <c r="F120" s="92" t="s">
        <v>65</v>
      </c>
      <c r="G120" s="92">
        <v>23</v>
      </c>
      <c r="H120" s="93">
        <v>1150</v>
      </c>
      <c r="I120" s="94">
        <f t="shared" si="4"/>
        <v>26450</v>
      </c>
      <c r="J120" s="95"/>
      <c r="L120" s="219">
        <f t="shared" si="5"/>
        <v>26450</v>
      </c>
      <c r="M120" s="219"/>
      <c r="N120" s="219"/>
      <c r="O120" s="254"/>
      <c r="R120" s="75"/>
      <c r="S120" s="84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</row>
    <row r="121" spans="1:33" ht="30" customHeight="1" x14ac:dyDescent="0.2">
      <c r="A121" s="85">
        <v>112</v>
      </c>
      <c r="B121" s="91"/>
      <c r="C121" s="56" t="s">
        <v>8</v>
      </c>
      <c r="D121" s="56" t="s">
        <v>121</v>
      </c>
      <c r="E121" s="91" t="s">
        <v>208</v>
      </c>
      <c r="F121" s="92" t="s">
        <v>65</v>
      </c>
      <c r="G121" s="92">
        <v>22</v>
      </c>
      <c r="H121" s="93">
        <v>1150</v>
      </c>
      <c r="I121" s="94">
        <f t="shared" si="4"/>
        <v>25300</v>
      </c>
      <c r="J121" s="95"/>
      <c r="L121" s="219">
        <f t="shared" si="5"/>
        <v>25300</v>
      </c>
      <c r="M121" s="219"/>
      <c r="N121" s="219"/>
      <c r="O121" s="254"/>
      <c r="R121" s="75"/>
      <c r="S121" s="84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</row>
    <row r="122" spans="1:33" ht="30" customHeight="1" x14ac:dyDescent="0.2">
      <c r="A122" s="85">
        <v>113</v>
      </c>
      <c r="B122" s="91"/>
      <c r="C122" s="56" t="s">
        <v>8</v>
      </c>
      <c r="D122" s="56" t="s">
        <v>121</v>
      </c>
      <c r="E122" s="91" t="s">
        <v>196</v>
      </c>
      <c r="F122" s="92" t="s">
        <v>65</v>
      </c>
      <c r="G122" s="92">
        <v>23</v>
      </c>
      <c r="H122" s="93">
        <v>1150</v>
      </c>
      <c r="I122" s="94">
        <f t="shared" si="4"/>
        <v>26450</v>
      </c>
      <c r="J122" s="95"/>
      <c r="L122" s="219">
        <f t="shared" si="5"/>
        <v>26450</v>
      </c>
      <c r="M122" s="219"/>
      <c r="N122" s="219"/>
      <c r="O122" s="254"/>
      <c r="R122" s="75"/>
      <c r="S122" s="84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spans="1:33" ht="30" customHeight="1" x14ac:dyDescent="0.2">
      <c r="A123" s="85">
        <v>114</v>
      </c>
      <c r="B123" s="91"/>
      <c r="C123" s="56" t="s">
        <v>8</v>
      </c>
      <c r="D123" s="56" t="s">
        <v>121</v>
      </c>
      <c r="E123" s="91" t="s">
        <v>201</v>
      </c>
      <c r="F123" s="92" t="s">
        <v>65</v>
      </c>
      <c r="G123" s="92">
        <v>23</v>
      </c>
      <c r="H123" s="93">
        <v>1150</v>
      </c>
      <c r="I123" s="94">
        <f t="shared" si="4"/>
        <v>26450</v>
      </c>
      <c r="J123" s="95"/>
      <c r="L123" s="219">
        <f t="shared" si="5"/>
        <v>26450</v>
      </c>
      <c r="M123" s="219"/>
      <c r="N123" s="219"/>
      <c r="O123" s="254"/>
      <c r="R123" s="75"/>
      <c r="S123" s="84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</row>
    <row r="124" spans="1:33" ht="30" customHeight="1" x14ac:dyDescent="0.2">
      <c r="A124" s="85">
        <v>115</v>
      </c>
      <c r="B124" s="91"/>
      <c r="C124" s="56" t="s">
        <v>8</v>
      </c>
      <c r="D124" s="56" t="s">
        <v>121</v>
      </c>
      <c r="E124" s="91" t="s">
        <v>205</v>
      </c>
      <c r="F124" s="92" t="s">
        <v>65</v>
      </c>
      <c r="G124" s="92">
        <v>23</v>
      </c>
      <c r="H124" s="93">
        <v>1150</v>
      </c>
      <c r="I124" s="94">
        <f t="shared" si="4"/>
        <v>26450</v>
      </c>
      <c r="J124" s="95"/>
      <c r="L124" s="219">
        <f t="shared" si="5"/>
        <v>26450</v>
      </c>
      <c r="M124" s="219"/>
      <c r="N124" s="219"/>
      <c r="O124" s="254"/>
      <c r="R124" s="75"/>
      <c r="S124" s="84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</row>
    <row r="125" spans="1:33" ht="30" customHeight="1" x14ac:dyDescent="0.2">
      <c r="A125" s="85">
        <v>116</v>
      </c>
      <c r="B125" s="91"/>
      <c r="C125" s="56" t="s">
        <v>8</v>
      </c>
      <c r="D125" s="56" t="s">
        <v>121</v>
      </c>
      <c r="E125" s="91" t="s">
        <v>203</v>
      </c>
      <c r="F125" s="92" t="s">
        <v>65</v>
      </c>
      <c r="G125" s="92">
        <v>23</v>
      </c>
      <c r="H125" s="93">
        <v>1150</v>
      </c>
      <c r="I125" s="94">
        <f t="shared" si="4"/>
        <v>26450</v>
      </c>
      <c r="J125" s="95"/>
      <c r="L125" s="219">
        <f t="shared" si="5"/>
        <v>26450</v>
      </c>
      <c r="M125" s="219"/>
      <c r="N125" s="219"/>
      <c r="O125" s="254"/>
      <c r="R125" s="75"/>
      <c r="S125" s="84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</row>
    <row r="126" spans="1:33" ht="30" customHeight="1" x14ac:dyDescent="0.2">
      <c r="A126" s="85">
        <v>117</v>
      </c>
      <c r="B126" s="91"/>
      <c r="C126" s="56" t="s">
        <v>8</v>
      </c>
      <c r="D126" s="56" t="s">
        <v>121</v>
      </c>
      <c r="E126" s="91" t="s">
        <v>207</v>
      </c>
      <c r="F126" s="92" t="s">
        <v>65</v>
      </c>
      <c r="G126" s="92">
        <v>23</v>
      </c>
      <c r="H126" s="93">
        <v>1150</v>
      </c>
      <c r="I126" s="94">
        <f t="shared" si="4"/>
        <v>26450</v>
      </c>
      <c r="J126" s="95"/>
      <c r="L126" s="219">
        <f t="shared" si="5"/>
        <v>26450</v>
      </c>
      <c r="M126" s="219"/>
      <c r="N126" s="219"/>
      <c r="O126" s="254"/>
      <c r="R126" s="75"/>
      <c r="S126" s="84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</row>
    <row r="127" spans="1:33" ht="30" customHeight="1" x14ac:dyDescent="0.2">
      <c r="A127" s="85">
        <v>118</v>
      </c>
      <c r="B127" s="91"/>
      <c r="C127" s="56" t="s">
        <v>8</v>
      </c>
      <c r="D127" s="56" t="s">
        <v>121</v>
      </c>
      <c r="E127" s="91" t="s">
        <v>197</v>
      </c>
      <c r="F127" s="92" t="s">
        <v>65</v>
      </c>
      <c r="G127" s="92">
        <v>23</v>
      </c>
      <c r="H127" s="93">
        <v>1150</v>
      </c>
      <c r="I127" s="94">
        <f t="shared" si="4"/>
        <v>26450</v>
      </c>
      <c r="J127" s="95"/>
      <c r="L127" s="219">
        <f t="shared" si="5"/>
        <v>26450</v>
      </c>
      <c r="M127" s="219"/>
      <c r="N127" s="219"/>
      <c r="O127" s="254"/>
      <c r="R127" s="75"/>
      <c r="S127" s="84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</row>
    <row r="128" spans="1:33" ht="30" customHeight="1" x14ac:dyDescent="0.2">
      <c r="A128" s="85">
        <v>119</v>
      </c>
      <c r="B128" s="91"/>
      <c r="C128" s="56" t="s">
        <v>8</v>
      </c>
      <c r="D128" s="56" t="s">
        <v>121</v>
      </c>
      <c r="E128" s="91" t="s">
        <v>199</v>
      </c>
      <c r="F128" s="92" t="s">
        <v>65</v>
      </c>
      <c r="G128" s="92">
        <v>23</v>
      </c>
      <c r="H128" s="93">
        <v>1150</v>
      </c>
      <c r="I128" s="94">
        <f t="shared" si="4"/>
        <v>26450</v>
      </c>
      <c r="J128" s="95"/>
      <c r="L128" s="219">
        <f t="shared" si="5"/>
        <v>26450</v>
      </c>
      <c r="M128" s="219"/>
      <c r="N128" s="219"/>
      <c r="O128" s="254"/>
      <c r="R128" s="75"/>
      <c r="S128" s="84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</row>
    <row r="129" spans="1:33" ht="30" customHeight="1" x14ac:dyDescent="0.2">
      <c r="A129" s="85">
        <v>120</v>
      </c>
      <c r="B129" s="91"/>
      <c r="C129" s="56" t="s">
        <v>8</v>
      </c>
      <c r="D129" s="56" t="s">
        <v>121</v>
      </c>
      <c r="E129" s="91" t="s">
        <v>198</v>
      </c>
      <c r="F129" s="92" t="s">
        <v>65</v>
      </c>
      <c r="G129" s="92">
        <v>23</v>
      </c>
      <c r="H129" s="93">
        <v>1150</v>
      </c>
      <c r="I129" s="94">
        <f t="shared" si="4"/>
        <v>26450</v>
      </c>
      <c r="J129" s="95"/>
      <c r="L129" s="219">
        <f t="shared" si="5"/>
        <v>26450</v>
      </c>
      <c r="M129" s="219"/>
      <c r="N129" s="219"/>
      <c r="O129" s="254"/>
      <c r="R129" s="75"/>
      <c r="S129" s="84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</row>
    <row r="130" spans="1:33" ht="30" customHeight="1" x14ac:dyDescent="0.2">
      <c r="A130" s="85">
        <v>121</v>
      </c>
      <c r="B130" s="91"/>
      <c r="C130" s="56" t="s">
        <v>8</v>
      </c>
      <c r="D130" s="56" t="s">
        <v>121</v>
      </c>
      <c r="E130" s="91" t="s">
        <v>131</v>
      </c>
      <c r="F130" s="92" t="s">
        <v>3</v>
      </c>
      <c r="G130" s="92">
        <v>100</v>
      </c>
      <c r="H130" s="93">
        <v>210</v>
      </c>
      <c r="I130" s="94">
        <f t="shared" si="4"/>
        <v>21000</v>
      </c>
      <c r="J130" s="95"/>
      <c r="L130" s="219">
        <f t="shared" si="5"/>
        <v>21000</v>
      </c>
      <c r="M130" s="219"/>
      <c r="N130" s="219"/>
      <c r="O130" s="254"/>
      <c r="R130" s="75"/>
      <c r="S130" s="84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</row>
    <row r="131" spans="1:33" ht="30" customHeight="1" x14ac:dyDescent="0.2">
      <c r="A131" s="85">
        <v>122</v>
      </c>
      <c r="B131" s="91"/>
      <c r="C131" s="56" t="s">
        <v>8</v>
      </c>
      <c r="D131" s="56" t="s">
        <v>121</v>
      </c>
      <c r="E131" s="91" t="s">
        <v>62</v>
      </c>
      <c r="F131" s="92" t="s">
        <v>3</v>
      </c>
      <c r="G131" s="92">
        <v>50</v>
      </c>
      <c r="H131" s="93">
        <v>250</v>
      </c>
      <c r="I131" s="94">
        <f t="shared" si="4"/>
        <v>12500</v>
      </c>
      <c r="J131" s="95"/>
      <c r="L131" s="219">
        <f t="shared" si="5"/>
        <v>12500</v>
      </c>
      <c r="M131" s="219"/>
      <c r="N131" s="219"/>
      <c r="O131" s="254"/>
      <c r="R131" s="75"/>
      <c r="S131" s="84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</row>
    <row r="132" spans="1:33" ht="30" customHeight="1" x14ac:dyDescent="0.2">
      <c r="A132" s="85">
        <v>123</v>
      </c>
      <c r="B132" s="91"/>
      <c r="C132" s="56" t="s">
        <v>8</v>
      </c>
      <c r="D132" s="56" t="s">
        <v>121</v>
      </c>
      <c r="E132" s="91" t="s">
        <v>155</v>
      </c>
      <c r="F132" s="92" t="s">
        <v>3</v>
      </c>
      <c r="G132" s="92">
        <v>10</v>
      </c>
      <c r="H132" s="93">
        <v>870</v>
      </c>
      <c r="I132" s="94">
        <f t="shared" si="4"/>
        <v>8700</v>
      </c>
      <c r="J132" s="95"/>
      <c r="L132" s="219">
        <f t="shared" si="5"/>
        <v>8700</v>
      </c>
      <c r="M132" s="219"/>
      <c r="N132" s="219"/>
      <c r="O132" s="254"/>
      <c r="R132" s="75"/>
      <c r="S132" s="84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</row>
    <row r="133" spans="1:33" ht="30" customHeight="1" x14ac:dyDescent="0.2">
      <c r="A133" s="85">
        <v>124</v>
      </c>
      <c r="B133" s="91"/>
      <c r="C133" s="56" t="s">
        <v>8</v>
      </c>
      <c r="D133" s="56" t="s">
        <v>121</v>
      </c>
      <c r="E133" s="91" t="s">
        <v>132</v>
      </c>
      <c r="F133" s="92" t="s">
        <v>3</v>
      </c>
      <c r="G133" s="92">
        <v>20</v>
      </c>
      <c r="H133" s="93">
        <v>20</v>
      </c>
      <c r="I133" s="94">
        <f t="shared" si="4"/>
        <v>400</v>
      </c>
      <c r="J133" s="95"/>
      <c r="L133" s="219">
        <f t="shared" si="5"/>
        <v>400</v>
      </c>
      <c r="M133" s="219"/>
      <c r="N133" s="219"/>
      <c r="O133" s="254"/>
      <c r="R133" s="75"/>
      <c r="S133" s="84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</row>
    <row r="134" spans="1:33" ht="30" customHeight="1" x14ac:dyDescent="0.2">
      <c r="A134" s="85">
        <v>125</v>
      </c>
      <c r="B134" s="91"/>
      <c r="C134" s="56" t="s">
        <v>8</v>
      </c>
      <c r="D134" s="56" t="s">
        <v>121</v>
      </c>
      <c r="E134" s="91" t="s">
        <v>241</v>
      </c>
      <c r="F134" s="92" t="s">
        <v>4</v>
      </c>
      <c r="G134" s="92">
        <v>20</v>
      </c>
      <c r="H134" s="93">
        <v>520</v>
      </c>
      <c r="I134" s="94">
        <f t="shared" si="4"/>
        <v>10400</v>
      </c>
      <c r="J134" s="95"/>
      <c r="L134" s="219">
        <f t="shared" si="5"/>
        <v>10400</v>
      </c>
      <c r="M134" s="219"/>
      <c r="N134" s="219"/>
      <c r="O134" s="254"/>
      <c r="R134" s="75"/>
      <c r="S134" s="84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</row>
    <row r="135" spans="1:33" ht="30" customHeight="1" x14ac:dyDescent="0.2">
      <c r="A135" s="85">
        <v>126</v>
      </c>
      <c r="B135" s="91"/>
      <c r="C135" s="56" t="s">
        <v>8</v>
      </c>
      <c r="D135" s="56" t="s">
        <v>121</v>
      </c>
      <c r="E135" s="91" t="s">
        <v>133</v>
      </c>
      <c r="F135" s="92" t="s">
        <v>3</v>
      </c>
      <c r="G135" s="92">
        <v>10</v>
      </c>
      <c r="H135" s="93">
        <v>13195</v>
      </c>
      <c r="I135" s="94">
        <f t="shared" si="4"/>
        <v>131950</v>
      </c>
      <c r="J135" s="95"/>
      <c r="L135" s="219">
        <f t="shared" si="5"/>
        <v>131950</v>
      </c>
      <c r="M135" s="219"/>
      <c r="N135" s="219"/>
      <c r="O135" s="254"/>
      <c r="R135" s="75"/>
      <c r="S135" s="84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</row>
    <row r="136" spans="1:33" ht="30" customHeight="1" x14ac:dyDescent="0.2">
      <c r="A136" s="85">
        <v>127</v>
      </c>
      <c r="B136" s="91"/>
      <c r="C136" s="56" t="s">
        <v>8</v>
      </c>
      <c r="D136" s="56" t="s">
        <v>121</v>
      </c>
      <c r="E136" s="91" t="s">
        <v>178</v>
      </c>
      <c r="F136" s="92" t="s">
        <v>4</v>
      </c>
      <c r="G136" s="92">
        <v>10</v>
      </c>
      <c r="H136" s="93">
        <v>1764.32</v>
      </c>
      <c r="I136" s="94">
        <f t="shared" si="4"/>
        <v>17643.2</v>
      </c>
      <c r="J136" s="95"/>
      <c r="L136" s="219">
        <f t="shared" si="5"/>
        <v>17643.2</v>
      </c>
      <c r="M136" s="219"/>
      <c r="N136" s="219"/>
      <c r="O136" s="254"/>
      <c r="R136" s="75"/>
      <c r="S136" s="84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spans="1:33" ht="30" customHeight="1" x14ac:dyDescent="0.2">
      <c r="A137" s="85">
        <v>128</v>
      </c>
      <c r="B137" s="91"/>
      <c r="C137" s="56" t="s">
        <v>8</v>
      </c>
      <c r="D137" s="56" t="s">
        <v>121</v>
      </c>
      <c r="E137" s="91" t="s">
        <v>154</v>
      </c>
      <c r="F137" s="92" t="s">
        <v>4</v>
      </c>
      <c r="G137" s="92">
        <v>20</v>
      </c>
      <c r="H137" s="93">
        <v>1150</v>
      </c>
      <c r="I137" s="94">
        <f t="shared" si="4"/>
        <v>23000</v>
      </c>
      <c r="J137" s="95"/>
      <c r="L137" s="219">
        <f t="shared" si="5"/>
        <v>23000</v>
      </c>
      <c r="M137" s="219"/>
      <c r="N137" s="219"/>
      <c r="O137" s="254"/>
      <c r="R137" s="75"/>
      <c r="S137" s="84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</row>
    <row r="138" spans="1:33" ht="30" customHeight="1" x14ac:dyDescent="0.2">
      <c r="A138" s="85">
        <v>129</v>
      </c>
      <c r="B138" s="91"/>
      <c r="C138" s="56" t="s">
        <v>8</v>
      </c>
      <c r="D138" s="56" t="s">
        <v>121</v>
      </c>
      <c r="E138" s="91" t="s">
        <v>143</v>
      </c>
      <c r="F138" s="92" t="s">
        <v>3</v>
      </c>
      <c r="G138" s="92">
        <v>50</v>
      </c>
      <c r="H138" s="93">
        <v>858</v>
      </c>
      <c r="I138" s="94">
        <f t="shared" ref="I138:I162" si="7">(H138*G138)</f>
        <v>42900</v>
      </c>
      <c r="J138" s="95"/>
      <c r="L138" s="219">
        <f t="shared" si="5"/>
        <v>42900</v>
      </c>
      <c r="M138" s="219"/>
      <c r="N138" s="219"/>
      <c r="O138" s="254"/>
      <c r="R138" s="75"/>
      <c r="S138" s="84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</row>
    <row r="139" spans="1:33" ht="30" customHeight="1" x14ac:dyDescent="0.2">
      <c r="A139" s="85">
        <v>130</v>
      </c>
      <c r="B139" s="91"/>
      <c r="C139" s="56" t="s">
        <v>8</v>
      </c>
      <c r="D139" s="56" t="s">
        <v>121</v>
      </c>
      <c r="E139" s="91" t="s">
        <v>184</v>
      </c>
      <c r="F139" s="92" t="s">
        <v>3</v>
      </c>
      <c r="G139" s="92">
        <v>50</v>
      </c>
      <c r="H139" s="93">
        <v>1637</v>
      </c>
      <c r="I139" s="94">
        <f t="shared" si="7"/>
        <v>81850</v>
      </c>
      <c r="J139" s="95"/>
      <c r="L139" s="219">
        <f t="shared" ref="L139:L160" si="8">+I139</f>
        <v>81850</v>
      </c>
      <c r="M139" s="219"/>
      <c r="N139" s="219"/>
      <c r="O139" s="254"/>
      <c r="R139" s="75"/>
      <c r="S139" s="84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</row>
    <row r="140" spans="1:33" ht="30" customHeight="1" x14ac:dyDescent="0.2">
      <c r="A140" s="85">
        <v>131</v>
      </c>
      <c r="B140" s="91"/>
      <c r="C140" s="56" t="s">
        <v>8</v>
      </c>
      <c r="D140" s="56" t="s">
        <v>121</v>
      </c>
      <c r="E140" s="91" t="s">
        <v>135</v>
      </c>
      <c r="F140" s="92" t="s">
        <v>3</v>
      </c>
      <c r="G140" s="92">
        <v>50</v>
      </c>
      <c r="H140" s="93">
        <v>280</v>
      </c>
      <c r="I140" s="94">
        <f t="shared" si="7"/>
        <v>14000</v>
      </c>
      <c r="J140" s="95"/>
      <c r="L140" s="219">
        <f t="shared" si="8"/>
        <v>14000</v>
      </c>
      <c r="M140" s="219"/>
      <c r="N140" s="219"/>
      <c r="O140" s="254"/>
      <c r="R140" s="75"/>
      <c r="S140" s="84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</row>
    <row r="141" spans="1:33" ht="30" customHeight="1" x14ac:dyDescent="0.2">
      <c r="A141" s="85">
        <v>132</v>
      </c>
      <c r="B141" s="91"/>
      <c r="C141" s="56" t="s">
        <v>8</v>
      </c>
      <c r="D141" s="56" t="s">
        <v>121</v>
      </c>
      <c r="E141" s="91" t="s">
        <v>134</v>
      </c>
      <c r="F141" s="92" t="s">
        <v>3</v>
      </c>
      <c r="G141" s="92">
        <v>10</v>
      </c>
      <c r="H141" s="93">
        <v>7810.44</v>
      </c>
      <c r="I141" s="94">
        <f t="shared" si="7"/>
        <v>78104.399999999994</v>
      </c>
      <c r="J141" s="95"/>
      <c r="L141" s="219">
        <f t="shared" si="8"/>
        <v>78104.399999999994</v>
      </c>
      <c r="M141" s="219"/>
      <c r="N141" s="219"/>
      <c r="O141" s="254"/>
      <c r="R141" s="75"/>
      <c r="S141" s="84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</row>
    <row r="142" spans="1:33" ht="30" customHeight="1" x14ac:dyDescent="0.2">
      <c r="A142" s="85">
        <v>133</v>
      </c>
      <c r="B142" s="91"/>
      <c r="C142" s="56" t="s">
        <v>8</v>
      </c>
      <c r="D142" s="56" t="s">
        <v>121</v>
      </c>
      <c r="E142" s="91" t="s">
        <v>112</v>
      </c>
      <c r="F142" s="92" t="s">
        <v>3</v>
      </c>
      <c r="G142" s="92">
        <v>10</v>
      </c>
      <c r="H142" s="101">
        <v>455</v>
      </c>
      <c r="I142" s="94">
        <f t="shared" si="7"/>
        <v>4550</v>
      </c>
      <c r="J142" s="95"/>
      <c r="L142" s="219">
        <f t="shared" si="8"/>
        <v>4550</v>
      </c>
      <c r="M142" s="219"/>
      <c r="N142" s="219"/>
      <c r="O142" s="254"/>
      <c r="R142" s="75"/>
      <c r="S142" s="84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</row>
    <row r="143" spans="1:33" ht="30" customHeight="1" x14ac:dyDescent="0.2">
      <c r="A143" s="85">
        <v>134</v>
      </c>
      <c r="B143" s="91"/>
      <c r="C143" s="56" t="s">
        <v>8</v>
      </c>
      <c r="D143" s="56" t="s">
        <v>121</v>
      </c>
      <c r="E143" s="91" t="s">
        <v>63</v>
      </c>
      <c r="F143" s="92" t="s">
        <v>3</v>
      </c>
      <c r="G143" s="92">
        <v>70</v>
      </c>
      <c r="H143" s="93">
        <v>1974.69</v>
      </c>
      <c r="I143" s="94">
        <f t="shared" si="7"/>
        <v>138228.30000000002</v>
      </c>
      <c r="J143" s="95"/>
      <c r="L143" s="219">
        <f t="shared" si="8"/>
        <v>138228.30000000002</v>
      </c>
      <c r="M143" s="219"/>
      <c r="N143" s="219"/>
      <c r="O143" s="254"/>
      <c r="R143" s="75"/>
      <c r="S143" s="84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</row>
    <row r="144" spans="1:33" ht="30" customHeight="1" x14ac:dyDescent="0.2">
      <c r="A144" s="85">
        <v>135</v>
      </c>
      <c r="B144" s="91"/>
      <c r="C144" s="56" t="s">
        <v>8</v>
      </c>
      <c r="D144" s="56" t="s">
        <v>121</v>
      </c>
      <c r="E144" s="91" t="s">
        <v>64</v>
      </c>
      <c r="F144" s="92" t="s">
        <v>3</v>
      </c>
      <c r="G144" s="92">
        <v>30</v>
      </c>
      <c r="H144" s="93">
        <v>1605.2</v>
      </c>
      <c r="I144" s="94">
        <f t="shared" si="7"/>
        <v>48156</v>
      </c>
      <c r="J144" s="95"/>
      <c r="L144" s="219">
        <f t="shared" si="8"/>
        <v>48156</v>
      </c>
      <c r="M144" s="219"/>
      <c r="N144" s="219"/>
      <c r="O144" s="254"/>
      <c r="R144" s="75"/>
      <c r="S144" s="84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</row>
    <row r="145" spans="1:33" ht="30" customHeight="1" x14ac:dyDescent="0.2">
      <c r="A145" s="85">
        <v>136</v>
      </c>
      <c r="B145" s="91"/>
      <c r="C145" s="56" t="s">
        <v>8</v>
      </c>
      <c r="D145" s="56" t="s">
        <v>121</v>
      </c>
      <c r="E145" s="91" t="s">
        <v>172</v>
      </c>
      <c r="F145" s="92" t="s">
        <v>3</v>
      </c>
      <c r="G145" s="92">
        <v>100</v>
      </c>
      <c r="H145" s="93">
        <v>480</v>
      </c>
      <c r="I145" s="94">
        <f t="shared" si="7"/>
        <v>48000</v>
      </c>
      <c r="J145" s="95"/>
      <c r="L145" s="219">
        <f t="shared" si="8"/>
        <v>48000</v>
      </c>
      <c r="M145" s="219"/>
      <c r="N145" s="219"/>
      <c r="O145" s="254"/>
      <c r="R145" s="75"/>
      <c r="S145" s="84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</row>
    <row r="146" spans="1:33" ht="30" customHeight="1" x14ac:dyDescent="0.2">
      <c r="A146" s="85">
        <v>137</v>
      </c>
      <c r="B146" s="91"/>
      <c r="C146" s="56" t="s">
        <v>8</v>
      </c>
      <c r="D146" s="56" t="s">
        <v>121</v>
      </c>
      <c r="E146" s="91" t="s">
        <v>136</v>
      </c>
      <c r="F146" s="92" t="s">
        <v>4</v>
      </c>
      <c r="G146" s="92">
        <v>5</v>
      </c>
      <c r="H146" s="93">
        <v>5040</v>
      </c>
      <c r="I146" s="94">
        <f t="shared" si="7"/>
        <v>25200</v>
      </c>
      <c r="J146" s="95"/>
      <c r="L146" s="219">
        <f t="shared" si="8"/>
        <v>25200</v>
      </c>
      <c r="M146" s="219"/>
      <c r="N146" s="219"/>
      <c r="O146" s="254"/>
      <c r="R146" s="75"/>
      <c r="S146" s="84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</row>
    <row r="147" spans="1:33" ht="30" customHeight="1" x14ac:dyDescent="0.2">
      <c r="A147" s="85">
        <v>138</v>
      </c>
      <c r="B147" s="91"/>
      <c r="C147" s="56" t="s">
        <v>8</v>
      </c>
      <c r="D147" s="56" t="s">
        <v>121</v>
      </c>
      <c r="E147" s="91" t="s">
        <v>137</v>
      </c>
      <c r="F147" s="92" t="s">
        <v>4</v>
      </c>
      <c r="G147" s="92">
        <v>5</v>
      </c>
      <c r="H147" s="93">
        <v>5040</v>
      </c>
      <c r="I147" s="94">
        <f t="shared" si="7"/>
        <v>25200</v>
      </c>
      <c r="J147" s="95"/>
      <c r="L147" s="219">
        <f t="shared" si="8"/>
        <v>25200</v>
      </c>
      <c r="M147" s="219"/>
      <c r="N147" s="219"/>
      <c r="O147" s="254"/>
      <c r="R147" s="75"/>
      <c r="S147" s="84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</row>
    <row r="148" spans="1:33" ht="30" customHeight="1" x14ac:dyDescent="0.2">
      <c r="A148" s="85">
        <v>139</v>
      </c>
      <c r="B148" s="91"/>
      <c r="C148" s="56" t="s">
        <v>8</v>
      </c>
      <c r="D148" s="56" t="s">
        <v>122</v>
      </c>
      <c r="E148" s="91" t="s">
        <v>167</v>
      </c>
      <c r="F148" s="92" t="s">
        <v>4</v>
      </c>
      <c r="G148" s="92">
        <v>40</v>
      </c>
      <c r="H148" s="93">
        <v>6680</v>
      </c>
      <c r="I148" s="94">
        <f t="shared" si="7"/>
        <v>267200</v>
      </c>
      <c r="J148" s="95"/>
      <c r="L148" s="219"/>
      <c r="M148" s="219"/>
      <c r="N148" s="219"/>
      <c r="O148" s="254">
        <f t="shared" ref="O148:O150" si="9">+I148</f>
        <v>267200</v>
      </c>
      <c r="R148" s="75"/>
      <c r="S148" s="84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</row>
    <row r="149" spans="1:33" ht="30" customHeight="1" x14ac:dyDescent="0.2">
      <c r="A149" s="85">
        <v>140</v>
      </c>
      <c r="B149" s="91"/>
      <c r="C149" s="56" t="s">
        <v>8</v>
      </c>
      <c r="D149" s="56" t="s">
        <v>121</v>
      </c>
      <c r="E149" s="91" t="s">
        <v>149</v>
      </c>
      <c r="F149" s="92" t="s">
        <v>3</v>
      </c>
      <c r="G149" s="92">
        <v>30</v>
      </c>
      <c r="H149" s="93">
        <v>1040</v>
      </c>
      <c r="I149" s="94">
        <f t="shared" si="7"/>
        <v>31200</v>
      </c>
      <c r="J149" s="95"/>
      <c r="L149" s="219">
        <f t="shared" si="8"/>
        <v>31200</v>
      </c>
      <c r="M149" s="219"/>
      <c r="N149" s="219"/>
      <c r="O149" s="254"/>
      <c r="R149" s="75"/>
      <c r="S149" s="84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</row>
    <row r="150" spans="1:33" ht="30" customHeight="1" x14ac:dyDescent="0.2">
      <c r="A150" s="85">
        <v>141</v>
      </c>
      <c r="B150" s="100"/>
      <c r="C150" s="56" t="s">
        <v>8</v>
      </c>
      <c r="D150" s="56" t="s">
        <v>122</v>
      </c>
      <c r="E150" s="91" t="s">
        <v>168</v>
      </c>
      <c r="F150" s="92" t="s">
        <v>139</v>
      </c>
      <c r="G150" s="92">
        <v>120</v>
      </c>
      <c r="H150" s="93">
        <v>570</v>
      </c>
      <c r="I150" s="94">
        <f t="shared" si="7"/>
        <v>68400</v>
      </c>
      <c r="J150" s="95"/>
      <c r="L150" s="219"/>
      <c r="M150" s="219"/>
      <c r="N150" s="219"/>
      <c r="O150" s="254">
        <f t="shared" si="9"/>
        <v>68400</v>
      </c>
      <c r="R150" s="75"/>
      <c r="S150" s="84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</row>
    <row r="151" spans="1:33" ht="30" customHeight="1" x14ac:dyDescent="0.2">
      <c r="A151" s="85">
        <v>142</v>
      </c>
      <c r="B151" s="91"/>
      <c r="C151" s="56" t="s">
        <v>8</v>
      </c>
      <c r="D151" s="56" t="s">
        <v>121</v>
      </c>
      <c r="E151" s="91" t="s">
        <v>151</v>
      </c>
      <c r="F151" s="92" t="s">
        <v>3</v>
      </c>
      <c r="G151" s="92">
        <v>10</v>
      </c>
      <c r="H151" s="93">
        <v>2900</v>
      </c>
      <c r="I151" s="94">
        <f t="shared" si="7"/>
        <v>29000</v>
      </c>
      <c r="J151" s="95"/>
      <c r="L151" s="219">
        <f t="shared" si="8"/>
        <v>29000</v>
      </c>
      <c r="M151" s="219"/>
      <c r="N151" s="219"/>
      <c r="O151" s="254"/>
      <c r="R151" s="75"/>
      <c r="S151" s="84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</row>
    <row r="152" spans="1:33" ht="30" customHeight="1" x14ac:dyDescent="0.2">
      <c r="A152" s="85">
        <v>143</v>
      </c>
      <c r="B152" s="91"/>
      <c r="C152" s="56" t="s">
        <v>8</v>
      </c>
      <c r="D152" s="56" t="s">
        <v>121</v>
      </c>
      <c r="E152" s="91" t="s">
        <v>138</v>
      </c>
      <c r="F152" s="92" t="s">
        <v>3</v>
      </c>
      <c r="G152" s="92">
        <v>10</v>
      </c>
      <c r="H152" s="93">
        <v>950</v>
      </c>
      <c r="I152" s="94">
        <f t="shared" si="7"/>
        <v>9500</v>
      </c>
      <c r="J152" s="95"/>
      <c r="L152" s="219">
        <f t="shared" si="8"/>
        <v>9500</v>
      </c>
      <c r="M152" s="219"/>
      <c r="N152" s="219"/>
      <c r="O152" s="254"/>
      <c r="R152" s="75"/>
      <c r="S152" s="84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</row>
    <row r="153" spans="1:33" ht="30" customHeight="1" x14ac:dyDescent="0.2">
      <c r="A153" s="85">
        <v>144</v>
      </c>
      <c r="B153" s="91"/>
      <c r="C153" s="56" t="s">
        <v>8</v>
      </c>
      <c r="D153" s="56" t="s">
        <v>121</v>
      </c>
      <c r="E153" s="91" t="s">
        <v>159</v>
      </c>
      <c r="F153" s="92" t="s">
        <v>3</v>
      </c>
      <c r="G153" s="92">
        <v>10</v>
      </c>
      <c r="H153" s="93">
        <v>650</v>
      </c>
      <c r="I153" s="94">
        <f t="shared" si="7"/>
        <v>6500</v>
      </c>
      <c r="J153" s="95"/>
      <c r="L153" s="219">
        <f t="shared" si="8"/>
        <v>6500</v>
      </c>
      <c r="M153" s="219"/>
      <c r="N153" s="219"/>
      <c r="O153" s="254"/>
      <c r="R153" s="75"/>
      <c r="S153" s="84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</row>
    <row r="154" spans="1:33" ht="30" customHeight="1" x14ac:dyDescent="0.2">
      <c r="A154" s="85">
        <v>145</v>
      </c>
      <c r="B154" s="91"/>
      <c r="C154" s="56" t="s">
        <v>8</v>
      </c>
      <c r="D154" s="56" t="s">
        <v>121</v>
      </c>
      <c r="E154" s="91" t="s">
        <v>111</v>
      </c>
      <c r="F154" s="92" t="s">
        <v>3</v>
      </c>
      <c r="G154" s="92">
        <v>5</v>
      </c>
      <c r="H154" s="101">
        <v>899</v>
      </c>
      <c r="I154" s="94">
        <f t="shared" si="7"/>
        <v>4495</v>
      </c>
      <c r="J154" s="95"/>
      <c r="L154" s="219">
        <f t="shared" si="8"/>
        <v>4495</v>
      </c>
      <c r="M154" s="219"/>
      <c r="N154" s="219"/>
      <c r="O154" s="254"/>
      <c r="R154" s="75"/>
      <c r="S154" s="84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</row>
    <row r="155" spans="1:33" ht="30" customHeight="1" x14ac:dyDescent="0.2">
      <c r="A155" s="85">
        <v>146</v>
      </c>
      <c r="B155" s="91"/>
      <c r="C155" s="56" t="s">
        <v>8</v>
      </c>
      <c r="D155" s="56" t="s">
        <v>121</v>
      </c>
      <c r="E155" s="91" t="s">
        <v>140</v>
      </c>
      <c r="F155" s="92" t="s">
        <v>4</v>
      </c>
      <c r="G155" s="92">
        <v>30</v>
      </c>
      <c r="H155" s="93">
        <v>990</v>
      </c>
      <c r="I155" s="94">
        <f t="shared" si="7"/>
        <v>29700</v>
      </c>
      <c r="J155" s="95"/>
      <c r="L155" s="219">
        <f t="shared" si="8"/>
        <v>29700</v>
      </c>
      <c r="M155" s="219"/>
      <c r="N155" s="219"/>
      <c r="O155" s="254"/>
      <c r="R155" s="75"/>
      <c r="S155" s="84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</row>
    <row r="156" spans="1:33" ht="30" customHeight="1" x14ac:dyDescent="0.2">
      <c r="A156" s="85">
        <v>147</v>
      </c>
      <c r="B156" s="91"/>
      <c r="C156" s="56" t="s">
        <v>8</v>
      </c>
      <c r="D156" s="56" t="s">
        <v>121</v>
      </c>
      <c r="E156" s="91" t="s">
        <v>60</v>
      </c>
      <c r="F156" s="92" t="s">
        <v>179</v>
      </c>
      <c r="G156" s="92">
        <v>100</v>
      </c>
      <c r="H156" s="93">
        <v>540</v>
      </c>
      <c r="I156" s="94">
        <f t="shared" si="7"/>
        <v>54000</v>
      </c>
      <c r="J156" s="95"/>
      <c r="L156" s="219">
        <f t="shared" si="8"/>
        <v>54000</v>
      </c>
      <c r="M156" s="219"/>
      <c r="N156" s="219"/>
      <c r="O156" s="254"/>
      <c r="R156" s="75"/>
      <c r="S156" s="84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</row>
    <row r="157" spans="1:33" ht="30" customHeight="1" x14ac:dyDescent="0.2">
      <c r="A157" s="85">
        <v>148</v>
      </c>
      <c r="B157" s="91"/>
      <c r="C157" s="56" t="s">
        <v>8</v>
      </c>
      <c r="D157" s="56" t="s">
        <v>120</v>
      </c>
      <c r="E157" s="91" t="s">
        <v>175</v>
      </c>
      <c r="F157" s="92" t="s">
        <v>3</v>
      </c>
      <c r="G157" s="92">
        <v>150</v>
      </c>
      <c r="H157" s="93">
        <v>1790</v>
      </c>
      <c r="I157" s="94">
        <f t="shared" si="7"/>
        <v>268500</v>
      </c>
      <c r="J157" s="95"/>
      <c r="L157" s="219"/>
      <c r="M157" s="219">
        <f t="shared" ref="M157:M158" si="10">+I157</f>
        <v>268500</v>
      </c>
      <c r="N157" s="219"/>
      <c r="O157" s="254"/>
      <c r="R157" s="75"/>
      <c r="S157" s="84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</row>
    <row r="158" spans="1:33" ht="30" customHeight="1" x14ac:dyDescent="0.2">
      <c r="A158" s="85">
        <v>149</v>
      </c>
      <c r="B158" s="91"/>
      <c r="C158" s="56" t="s">
        <v>8</v>
      </c>
      <c r="D158" s="56" t="s">
        <v>120</v>
      </c>
      <c r="E158" s="91" t="s">
        <v>176</v>
      </c>
      <c r="F158" s="92" t="s">
        <v>3</v>
      </c>
      <c r="G158" s="92">
        <v>30</v>
      </c>
      <c r="H158" s="93">
        <v>360</v>
      </c>
      <c r="I158" s="94">
        <f t="shared" si="7"/>
        <v>10800</v>
      </c>
      <c r="J158" s="95"/>
      <c r="L158" s="219"/>
      <c r="M158" s="219">
        <f t="shared" si="10"/>
        <v>10800</v>
      </c>
      <c r="N158" s="219"/>
      <c r="O158" s="254"/>
      <c r="R158" s="75"/>
      <c r="S158" s="84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</row>
    <row r="159" spans="1:33" ht="30" customHeight="1" x14ac:dyDescent="0.2">
      <c r="A159" s="85">
        <v>150</v>
      </c>
      <c r="B159" s="91"/>
      <c r="C159" s="56" t="s">
        <v>8</v>
      </c>
      <c r="D159" s="56" t="s">
        <v>121</v>
      </c>
      <c r="E159" s="91" t="s">
        <v>141</v>
      </c>
      <c r="F159" s="92" t="s">
        <v>3</v>
      </c>
      <c r="G159" s="92">
        <v>20</v>
      </c>
      <c r="H159" s="93">
        <v>10900</v>
      </c>
      <c r="I159" s="94">
        <f t="shared" si="7"/>
        <v>218000</v>
      </c>
      <c r="J159" s="95"/>
      <c r="L159" s="219">
        <f t="shared" si="8"/>
        <v>218000</v>
      </c>
      <c r="M159" s="219"/>
      <c r="N159" s="219"/>
      <c r="O159" s="254"/>
      <c r="R159" s="75"/>
      <c r="S159" s="84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</row>
    <row r="160" spans="1:33" ht="30" customHeight="1" x14ac:dyDescent="0.2">
      <c r="A160" s="85">
        <v>151</v>
      </c>
      <c r="B160" s="91"/>
      <c r="C160" s="56" t="s">
        <v>8</v>
      </c>
      <c r="D160" s="56" t="s">
        <v>121</v>
      </c>
      <c r="E160" s="91" t="s">
        <v>160</v>
      </c>
      <c r="F160" s="92" t="s">
        <v>4</v>
      </c>
      <c r="G160" s="92">
        <v>10</v>
      </c>
      <c r="H160" s="93">
        <v>13080</v>
      </c>
      <c r="I160" s="94">
        <f t="shared" si="7"/>
        <v>130800</v>
      </c>
      <c r="J160" s="95"/>
      <c r="L160" s="219">
        <f t="shared" si="8"/>
        <v>130800</v>
      </c>
      <c r="M160" s="219"/>
      <c r="N160" s="219"/>
      <c r="O160" s="254"/>
      <c r="R160" s="75"/>
      <c r="S160" s="84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</row>
    <row r="161" spans="1:33" ht="30" customHeight="1" x14ac:dyDescent="0.2">
      <c r="A161" s="85">
        <v>152</v>
      </c>
      <c r="B161" s="110"/>
      <c r="C161" s="57" t="s">
        <v>14</v>
      </c>
      <c r="D161" s="57" t="s">
        <v>211</v>
      </c>
      <c r="E161" s="110" t="s">
        <v>171</v>
      </c>
      <c r="F161" s="111" t="s">
        <v>106</v>
      </c>
      <c r="G161" s="112">
        <v>25</v>
      </c>
      <c r="H161" s="113">
        <v>3970</v>
      </c>
      <c r="I161" s="114">
        <f t="shared" si="7"/>
        <v>99250</v>
      </c>
      <c r="J161" s="115"/>
      <c r="L161" s="219"/>
      <c r="M161" s="219"/>
      <c r="N161" s="219">
        <f t="shared" ref="N161:N162" si="11">+I161</f>
        <v>99250</v>
      </c>
      <c r="O161" s="254"/>
      <c r="R161" s="75"/>
      <c r="S161" s="84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</row>
    <row r="162" spans="1:33" ht="30" customHeight="1" thickBot="1" x14ac:dyDescent="0.25">
      <c r="A162" s="116">
        <v>153</v>
      </c>
      <c r="B162" s="110"/>
      <c r="C162" s="57" t="s">
        <v>14</v>
      </c>
      <c r="D162" s="57" t="s">
        <v>211</v>
      </c>
      <c r="E162" s="117" t="s">
        <v>170</v>
      </c>
      <c r="F162" s="128" t="s">
        <v>106</v>
      </c>
      <c r="G162" s="128">
        <v>25</v>
      </c>
      <c r="H162" s="102">
        <v>3690</v>
      </c>
      <c r="I162" s="114">
        <f t="shared" si="7"/>
        <v>92250</v>
      </c>
      <c r="J162" s="115"/>
      <c r="L162" s="219"/>
      <c r="M162" s="219"/>
      <c r="N162" s="219">
        <f t="shared" si="11"/>
        <v>92250</v>
      </c>
      <c r="O162" s="254"/>
      <c r="R162" s="75"/>
      <c r="S162" s="84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</row>
    <row r="163" spans="1:33" ht="21.75" customHeight="1" thickBot="1" x14ac:dyDescent="0.25">
      <c r="A163" s="103"/>
      <c r="B163" s="118"/>
      <c r="C163" s="58"/>
      <c r="D163" s="58"/>
      <c r="E163" s="271" t="s">
        <v>212</v>
      </c>
      <c r="F163" s="272"/>
      <c r="G163" s="272"/>
      <c r="H163" s="273"/>
      <c r="I163" s="59">
        <f>SUM(I10:I162)</f>
        <v>15910004.799999997</v>
      </c>
      <c r="J163" s="104"/>
      <c r="L163" s="222">
        <f>SUM(L10:L162)</f>
        <v>6658729.8000000017</v>
      </c>
      <c r="M163" s="222">
        <f t="shared" ref="M163:O163" si="12">SUM(M10:M162)</f>
        <v>8647125</v>
      </c>
      <c r="N163" s="222">
        <f t="shared" si="12"/>
        <v>191500</v>
      </c>
      <c r="O163" s="222">
        <f t="shared" si="12"/>
        <v>412650</v>
      </c>
      <c r="P163" s="255">
        <f>SUM(L163:O163)</f>
        <v>15910004.800000001</v>
      </c>
      <c r="R163" s="75"/>
      <c r="S163" s="84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</row>
    <row r="164" spans="1:33" ht="21.75" customHeight="1" thickBot="1" x14ac:dyDescent="0.25">
      <c r="A164" s="119"/>
      <c r="B164" s="120"/>
      <c r="C164" s="121"/>
      <c r="D164" s="121"/>
      <c r="E164" s="122"/>
      <c r="F164" s="122"/>
      <c r="G164" s="122"/>
      <c r="H164" s="122"/>
      <c r="I164" s="123"/>
      <c r="J164" s="124"/>
      <c r="R164" s="75"/>
      <c r="S164" s="84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</row>
    <row r="165" spans="1:33" ht="85.5" customHeight="1" x14ac:dyDescent="0.2">
      <c r="A165" s="125"/>
      <c r="B165" s="226" t="s">
        <v>213</v>
      </c>
      <c r="C165" s="277" t="s">
        <v>242</v>
      </c>
      <c r="D165" s="277"/>
      <c r="E165" s="277"/>
      <c r="F165" s="278"/>
      <c r="G165" s="108"/>
      <c r="H165" s="108"/>
      <c r="I165" s="108"/>
      <c r="J165" s="108"/>
      <c r="K165" s="267"/>
      <c r="L165" s="223"/>
      <c r="M165" s="223"/>
      <c r="N165" s="223"/>
      <c r="O165" s="223"/>
      <c r="P165" s="257"/>
      <c r="Q165" s="257"/>
      <c r="R165" s="69"/>
      <c r="S165" s="71"/>
      <c r="T165" s="69"/>
      <c r="U165" s="72"/>
      <c r="V165" s="69"/>
      <c r="W165" s="71"/>
      <c r="X165" s="69"/>
      <c r="Y165" s="71"/>
      <c r="Z165" s="69"/>
      <c r="AA165" s="71"/>
      <c r="AB165" s="69"/>
      <c r="AC165" s="71"/>
      <c r="AD165" s="69"/>
      <c r="AE165" s="71"/>
      <c r="AF165" s="69"/>
      <c r="AG165" s="71"/>
    </row>
    <row r="166" spans="1:33" ht="19.5" customHeight="1" x14ac:dyDescent="0.2">
      <c r="A166" s="109"/>
      <c r="B166" s="227"/>
      <c r="C166" s="228"/>
      <c r="D166" s="228"/>
      <c r="E166" s="228"/>
      <c r="F166" s="229"/>
      <c r="G166" s="70"/>
      <c r="H166" s="69"/>
      <c r="I166" s="69"/>
      <c r="J166" s="69"/>
      <c r="K166" s="260"/>
      <c r="L166" s="213"/>
      <c r="M166" s="214"/>
      <c r="N166" s="224"/>
      <c r="O166" s="258"/>
      <c r="P166" s="247"/>
      <c r="Q166" s="259"/>
      <c r="R166" s="69"/>
      <c r="S166" s="71"/>
      <c r="T166" s="69"/>
      <c r="U166" s="72"/>
      <c r="V166" s="69"/>
      <c r="W166" s="71"/>
      <c r="X166" s="69"/>
      <c r="Y166" s="71"/>
      <c r="Z166" s="69"/>
      <c r="AA166" s="71"/>
      <c r="AB166" s="69"/>
      <c r="AC166" s="71"/>
      <c r="AD166" s="69"/>
      <c r="AE166" s="71"/>
      <c r="AF166" s="69"/>
      <c r="AG166" s="71"/>
    </row>
    <row r="167" spans="1:33" ht="40.5" customHeight="1" x14ac:dyDescent="0.25">
      <c r="A167" s="126"/>
      <c r="B167" s="227" t="s">
        <v>243</v>
      </c>
      <c r="C167" s="228"/>
      <c r="D167" s="228"/>
      <c r="E167" s="228"/>
      <c r="F167" s="229"/>
      <c r="G167" s="70"/>
      <c r="H167" s="69"/>
      <c r="I167" s="69"/>
      <c r="J167" s="69"/>
      <c r="K167" s="260"/>
      <c r="L167" s="213"/>
      <c r="M167" s="214"/>
      <c r="N167" s="224"/>
      <c r="O167" s="258"/>
      <c r="P167" s="247"/>
      <c r="Q167" s="259"/>
      <c r="R167" s="69"/>
      <c r="S167" s="71"/>
      <c r="T167" s="69"/>
      <c r="U167" s="72"/>
      <c r="V167" s="69"/>
      <c r="W167" s="71"/>
      <c r="X167" s="69"/>
      <c r="Y167" s="71"/>
      <c r="Z167" s="69"/>
      <c r="AA167" s="71"/>
      <c r="AB167" s="69"/>
      <c r="AC167" s="71"/>
      <c r="AD167" s="69"/>
      <c r="AE167" s="71"/>
      <c r="AF167" s="69"/>
      <c r="AG167" s="71"/>
    </row>
    <row r="168" spans="1:33" ht="19.5" customHeight="1" x14ac:dyDescent="0.2">
      <c r="A168" s="109"/>
      <c r="B168" s="227"/>
      <c r="C168" s="228"/>
      <c r="D168" s="228"/>
      <c r="E168" s="228"/>
      <c r="F168" s="229"/>
      <c r="G168" s="70"/>
      <c r="H168" s="69"/>
      <c r="I168" s="69"/>
      <c r="J168" s="69"/>
      <c r="K168" s="260"/>
      <c r="L168" s="213"/>
      <c r="M168" s="214"/>
      <c r="N168" s="224"/>
      <c r="O168" s="258"/>
      <c r="P168" s="247"/>
      <c r="Q168" s="259"/>
      <c r="R168" s="69"/>
      <c r="S168" s="71"/>
      <c r="T168" s="69"/>
      <c r="U168" s="72"/>
      <c r="V168" s="69"/>
      <c r="W168" s="71"/>
      <c r="X168" s="69"/>
      <c r="Y168" s="71"/>
      <c r="Z168" s="69"/>
      <c r="AA168" s="71"/>
      <c r="AB168" s="69"/>
      <c r="AC168" s="71"/>
      <c r="AD168" s="69"/>
      <c r="AE168" s="71"/>
      <c r="AF168" s="69"/>
      <c r="AG168" s="71"/>
    </row>
    <row r="169" spans="1:33" ht="19.5" customHeight="1" x14ac:dyDescent="0.25">
      <c r="A169" s="126"/>
      <c r="B169" s="230" t="s">
        <v>214</v>
      </c>
      <c r="C169" s="231" t="s">
        <v>244</v>
      </c>
      <c r="D169" s="232"/>
      <c r="E169" s="233"/>
      <c r="F169" s="234"/>
      <c r="G169" s="70"/>
      <c r="H169" s="69"/>
      <c r="I169" s="69"/>
      <c r="J169" s="69"/>
      <c r="K169" s="260"/>
      <c r="L169" s="213"/>
      <c r="M169" s="214"/>
      <c r="N169" s="224"/>
      <c r="O169" s="258"/>
      <c r="P169" s="247"/>
      <c r="Q169" s="259"/>
      <c r="R169" s="69"/>
      <c r="S169" s="71"/>
      <c r="T169" s="69"/>
      <c r="U169" s="72"/>
      <c r="V169" s="69"/>
      <c r="W169" s="71"/>
      <c r="X169" s="69"/>
      <c r="Y169" s="71"/>
      <c r="Z169" s="69"/>
      <c r="AA169" s="71"/>
      <c r="AB169" s="69"/>
      <c r="AC169" s="71"/>
      <c r="AD169" s="69"/>
      <c r="AE169" s="71"/>
      <c r="AF169" s="69"/>
      <c r="AG169" s="71"/>
    </row>
    <row r="170" spans="1:33" ht="19.5" customHeight="1" x14ac:dyDescent="0.25">
      <c r="A170" s="109"/>
      <c r="B170" s="230"/>
      <c r="C170" s="235"/>
      <c r="D170" s="232"/>
      <c r="E170" s="233"/>
      <c r="F170" s="234"/>
      <c r="G170" s="70"/>
      <c r="H170" s="69"/>
      <c r="I170" s="69"/>
      <c r="J170" s="69"/>
      <c r="K170" s="260"/>
      <c r="L170" s="213"/>
      <c r="M170" s="214"/>
      <c r="N170" s="224"/>
      <c r="O170" s="258"/>
      <c r="P170" s="247"/>
      <c r="Q170" s="259"/>
      <c r="R170" s="69"/>
      <c r="S170" s="71"/>
      <c r="T170" s="69"/>
      <c r="U170" s="72"/>
      <c r="V170" s="69"/>
      <c r="W170" s="71"/>
      <c r="X170" s="69"/>
      <c r="Y170" s="71"/>
      <c r="Z170" s="69"/>
      <c r="AA170" s="71"/>
      <c r="AB170" s="69"/>
      <c r="AC170" s="71"/>
      <c r="AD170" s="69"/>
      <c r="AE170" s="71"/>
      <c r="AF170" s="69"/>
      <c r="AG170" s="71"/>
    </row>
    <row r="171" spans="1:33" ht="38.25" customHeight="1" x14ac:dyDescent="0.25">
      <c r="A171" s="126"/>
      <c r="B171" s="230" t="s">
        <v>103</v>
      </c>
      <c r="C171" s="269" t="s">
        <v>245</v>
      </c>
      <c r="D171" s="269"/>
      <c r="E171" s="269"/>
      <c r="F171" s="270"/>
      <c r="G171" s="127"/>
      <c r="H171" s="127"/>
      <c r="I171" s="127"/>
      <c r="J171" s="127"/>
      <c r="K171" s="127"/>
      <c r="L171" s="225"/>
      <c r="M171" s="225"/>
      <c r="N171" s="225"/>
      <c r="O171" s="225"/>
      <c r="P171" s="225"/>
      <c r="Q171" s="225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</row>
    <row r="172" spans="1:33" ht="19.5" customHeight="1" x14ac:dyDescent="0.25">
      <c r="A172" s="109"/>
      <c r="B172" s="230"/>
      <c r="C172" s="269"/>
      <c r="D172" s="269"/>
      <c r="E172" s="269"/>
      <c r="F172" s="270"/>
      <c r="G172" s="127"/>
      <c r="H172" s="127"/>
      <c r="I172" s="127"/>
      <c r="J172" s="127"/>
      <c r="K172" s="127"/>
      <c r="L172" s="225"/>
      <c r="M172" s="225"/>
      <c r="N172" s="225"/>
      <c r="O172" s="225"/>
      <c r="P172" s="225"/>
      <c r="Q172" s="225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</row>
    <row r="173" spans="1:33" ht="37.5" customHeight="1" x14ac:dyDescent="0.25">
      <c r="A173" s="109"/>
      <c r="B173" s="236" t="s">
        <v>215</v>
      </c>
      <c r="C173" s="237"/>
      <c r="D173" s="238"/>
      <c r="E173" s="239"/>
      <c r="F173" s="240"/>
      <c r="G173" s="127"/>
      <c r="H173" s="127"/>
      <c r="I173" s="127"/>
      <c r="J173" s="127"/>
      <c r="K173" s="127"/>
      <c r="L173" s="225"/>
      <c r="M173" s="225"/>
      <c r="N173" s="225"/>
      <c r="O173" s="225"/>
      <c r="P173" s="225"/>
      <c r="Q173" s="225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</row>
    <row r="174" spans="1:33" ht="19.5" customHeight="1" x14ac:dyDescent="0.25">
      <c r="A174" s="109"/>
      <c r="B174" s="236"/>
      <c r="C174" s="237"/>
      <c r="D174" s="238"/>
      <c r="E174" s="239"/>
      <c r="F174" s="240"/>
      <c r="G174" s="127"/>
      <c r="H174" s="127"/>
      <c r="I174" s="127"/>
      <c r="J174" s="127"/>
      <c r="K174" s="127"/>
      <c r="L174" s="225"/>
      <c r="M174" s="225"/>
      <c r="N174" s="225"/>
      <c r="O174" s="225"/>
      <c r="P174" s="225"/>
      <c r="Q174" s="225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</row>
    <row r="175" spans="1:33" ht="19.5" customHeight="1" thickBot="1" x14ac:dyDescent="0.3">
      <c r="A175" s="126"/>
      <c r="B175" s="241" t="s">
        <v>216</v>
      </c>
      <c r="C175" s="242" t="s">
        <v>104</v>
      </c>
      <c r="D175" s="243"/>
      <c r="E175" s="244"/>
      <c r="F175" s="245"/>
      <c r="G175" s="70"/>
      <c r="H175" s="69"/>
      <c r="I175" s="69"/>
      <c r="J175" s="69"/>
      <c r="K175" s="260"/>
      <c r="L175" s="213"/>
      <c r="M175" s="214"/>
      <c r="N175" s="224"/>
      <c r="O175" s="258"/>
      <c r="P175" s="247"/>
      <c r="Q175" s="259"/>
      <c r="R175" s="69"/>
      <c r="S175" s="71"/>
      <c r="T175" s="69"/>
      <c r="U175" s="72"/>
      <c r="V175" s="69"/>
      <c r="W175" s="71"/>
      <c r="X175" s="69"/>
      <c r="Y175" s="71"/>
      <c r="Z175" s="69"/>
      <c r="AA175" s="71"/>
      <c r="AB175" s="69"/>
      <c r="AC175" s="71"/>
      <c r="AD175" s="69"/>
      <c r="AE175" s="71"/>
      <c r="AF175" s="69"/>
      <c r="AG175" s="71"/>
    </row>
    <row r="176" spans="1:33" ht="12.75" customHeight="1" x14ac:dyDescent="0.25">
      <c r="A176" s="126"/>
      <c r="B176" s="126"/>
      <c r="C176" s="13"/>
      <c r="D176" s="127"/>
      <c r="E176" s="127"/>
      <c r="F176" s="127"/>
      <c r="G176" s="70"/>
      <c r="H176" s="69"/>
      <c r="I176" s="69"/>
      <c r="J176" s="69"/>
      <c r="K176" s="260"/>
      <c r="L176" s="213"/>
      <c r="M176" s="214"/>
      <c r="N176" s="224"/>
      <c r="O176" s="258"/>
      <c r="P176" s="247"/>
      <c r="Q176" s="259"/>
      <c r="R176" s="69"/>
      <c r="S176" s="71"/>
      <c r="T176" s="69"/>
      <c r="U176" s="72"/>
      <c r="V176" s="69"/>
      <c r="W176" s="71"/>
      <c r="X176" s="69"/>
      <c r="Y176" s="71"/>
      <c r="Z176" s="69"/>
      <c r="AA176" s="71"/>
      <c r="AB176" s="69"/>
      <c r="AC176" s="71"/>
      <c r="AD176" s="69"/>
      <c r="AE176" s="71"/>
      <c r="AF176" s="69"/>
      <c r="AG176" s="71"/>
    </row>
    <row r="177" spans="1:33" x14ac:dyDescent="0.2">
      <c r="A177" s="68"/>
      <c r="B177" s="105"/>
      <c r="C177" s="13"/>
      <c r="D177" s="13"/>
      <c r="E177" s="13"/>
      <c r="F177" s="106"/>
      <c r="G177" s="107"/>
      <c r="H177" s="107"/>
      <c r="I177" s="4"/>
      <c r="R177" s="75"/>
      <c r="S177" s="84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</row>
    <row r="178" spans="1:33" x14ac:dyDescent="0.2">
      <c r="A178" s="68"/>
      <c r="B178" s="105"/>
      <c r="C178" s="13"/>
      <c r="D178" s="13"/>
      <c r="E178" s="13"/>
      <c r="F178" s="106"/>
      <c r="G178" s="107"/>
      <c r="H178" s="107"/>
      <c r="I178" s="4"/>
      <c r="R178" s="75"/>
      <c r="S178" s="84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</row>
    <row r="179" spans="1:33" x14ac:dyDescent="0.2">
      <c r="A179" s="68"/>
      <c r="B179" s="105"/>
      <c r="C179" s="13"/>
      <c r="D179" s="13"/>
      <c r="E179" s="13"/>
      <c r="F179" s="106"/>
      <c r="G179" s="107"/>
      <c r="H179" s="107"/>
      <c r="I179" s="4"/>
      <c r="R179" s="75"/>
      <c r="S179" s="84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</row>
    <row r="180" spans="1:33" x14ac:dyDescent="0.2">
      <c r="A180" s="68"/>
      <c r="B180" s="105"/>
      <c r="C180" s="13"/>
      <c r="D180" s="13"/>
      <c r="E180" s="13"/>
      <c r="F180" s="106"/>
      <c r="G180" s="107"/>
      <c r="H180" s="107"/>
      <c r="I180" s="4"/>
      <c r="R180" s="75"/>
      <c r="S180" s="84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</row>
    <row r="181" spans="1:33" x14ac:dyDescent="0.2">
      <c r="A181" s="68"/>
      <c r="B181" s="105"/>
      <c r="C181" s="13"/>
      <c r="D181" s="13"/>
      <c r="E181" s="13"/>
      <c r="F181" s="106"/>
      <c r="G181" s="107"/>
      <c r="H181" s="107"/>
      <c r="I181" s="4"/>
      <c r="R181" s="75"/>
      <c r="S181" s="84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</row>
    <row r="182" spans="1:33" x14ac:dyDescent="0.2">
      <c r="B182" s="2"/>
      <c r="C182" s="13"/>
      <c r="D182" s="13"/>
      <c r="E182" s="13"/>
      <c r="F182" s="10"/>
      <c r="G182" s="3"/>
      <c r="H182" s="3"/>
      <c r="I182" s="4"/>
    </row>
    <row r="183" spans="1:33" x14ac:dyDescent="0.2">
      <c r="B183" s="2"/>
      <c r="C183" s="13"/>
      <c r="D183" s="13"/>
      <c r="E183" s="13"/>
      <c r="F183" s="10"/>
      <c r="G183" s="3"/>
      <c r="H183" s="3"/>
      <c r="I183" s="4"/>
    </row>
    <row r="184" spans="1:33" x14ac:dyDescent="0.2">
      <c r="B184" s="2"/>
      <c r="C184" s="13"/>
      <c r="D184" s="13"/>
      <c r="E184" s="13"/>
      <c r="F184" s="10"/>
      <c r="G184" s="3"/>
      <c r="H184" s="3"/>
      <c r="I184" s="4"/>
    </row>
    <row r="185" spans="1:33" x14ac:dyDescent="0.2">
      <c r="B185" s="2"/>
      <c r="C185" s="13"/>
      <c r="D185" s="13"/>
      <c r="E185" s="13"/>
      <c r="F185" s="10"/>
      <c r="G185" s="3"/>
      <c r="H185" s="3"/>
      <c r="I185" s="4"/>
    </row>
    <row r="186" spans="1:33" x14ac:dyDescent="0.2">
      <c r="B186" s="2"/>
      <c r="C186" s="13"/>
      <c r="D186" s="13"/>
      <c r="E186" s="13"/>
      <c r="F186" s="10"/>
      <c r="G186" s="3"/>
      <c r="H186" s="3"/>
      <c r="I186" s="4"/>
    </row>
    <row r="187" spans="1:33" x14ac:dyDescent="0.2">
      <c r="B187" s="2"/>
      <c r="C187" s="13"/>
      <c r="D187" s="13"/>
      <c r="E187" s="13"/>
      <c r="F187" s="10"/>
      <c r="G187" s="3"/>
      <c r="H187" s="3"/>
      <c r="I187" s="4"/>
    </row>
    <row r="188" spans="1:33" x14ac:dyDescent="0.2">
      <c r="B188" s="2"/>
      <c r="C188" s="13"/>
      <c r="D188" s="13"/>
      <c r="E188" s="13"/>
      <c r="F188" s="10"/>
      <c r="G188" s="3"/>
      <c r="H188" s="3"/>
      <c r="I188" s="4"/>
    </row>
    <row r="189" spans="1:33" x14ac:dyDescent="0.2">
      <c r="B189" s="2"/>
      <c r="C189" s="13"/>
      <c r="D189" s="13"/>
      <c r="E189" s="13"/>
      <c r="F189" s="10"/>
      <c r="G189" s="3"/>
      <c r="H189" s="3"/>
      <c r="I189" s="4"/>
    </row>
    <row r="190" spans="1:33" x14ac:dyDescent="0.2">
      <c r="B190" s="2"/>
      <c r="C190" s="13"/>
      <c r="D190" s="13"/>
      <c r="E190" s="13"/>
      <c r="F190" s="10"/>
      <c r="G190" s="3"/>
      <c r="H190" s="3"/>
      <c r="I190" s="4"/>
    </row>
    <row r="191" spans="1:33" x14ac:dyDescent="0.2">
      <c r="B191" s="2"/>
      <c r="C191" s="13"/>
      <c r="D191" s="13"/>
      <c r="E191" s="13"/>
      <c r="F191" s="10"/>
      <c r="G191" s="3"/>
      <c r="H191" s="3"/>
      <c r="I191" s="4"/>
    </row>
    <row r="192" spans="1:33" x14ac:dyDescent="0.2">
      <c r="B192" s="2"/>
      <c r="C192" s="13"/>
      <c r="D192" s="13"/>
      <c r="E192" s="13"/>
      <c r="F192" s="10"/>
      <c r="G192" s="3"/>
      <c r="H192" s="3"/>
      <c r="I192" s="4"/>
    </row>
    <row r="193" spans="2:9" x14ac:dyDescent="0.2">
      <c r="B193" s="2"/>
      <c r="C193" s="13"/>
      <c r="D193" s="13"/>
      <c r="E193" s="13"/>
      <c r="F193" s="10"/>
      <c r="G193" s="3"/>
      <c r="H193" s="3"/>
      <c r="I193" s="4"/>
    </row>
    <row r="194" spans="2:9" x14ac:dyDescent="0.2">
      <c r="B194" s="2"/>
      <c r="C194" s="13"/>
      <c r="D194" s="13"/>
      <c r="E194" s="13"/>
      <c r="F194" s="10"/>
      <c r="G194" s="3"/>
      <c r="H194" s="3"/>
      <c r="I194" s="4"/>
    </row>
    <row r="195" spans="2:9" x14ac:dyDescent="0.2">
      <c r="B195" s="2"/>
      <c r="C195" s="13"/>
      <c r="D195" s="13"/>
      <c r="E195" s="13"/>
      <c r="F195" s="10"/>
      <c r="G195" s="3"/>
      <c r="H195" s="3"/>
      <c r="I195" s="4"/>
    </row>
    <row r="196" spans="2:9" x14ac:dyDescent="0.2">
      <c r="B196" s="2"/>
      <c r="C196" s="13"/>
      <c r="D196" s="13"/>
      <c r="E196" s="13"/>
      <c r="F196" s="10"/>
      <c r="G196" s="3"/>
      <c r="H196" s="3"/>
      <c r="I196" s="4"/>
    </row>
    <row r="197" spans="2:9" x14ac:dyDescent="0.2">
      <c r="B197" s="2"/>
      <c r="C197" s="13"/>
      <c r="D197" s="13"/>
      <c r="E197" s="13"/>
      <c r="F197" s="10"/>
      <c r="G197" s="3"/>
      <c r="H197" s="3"/>
      <c r="I197" s="4"/>
    </row>
    <row r="198" spans="2:9" x14ac:dyDescent="0.2">
      <c r="B198" s="2"/>
      <c r="C198" s="13"/>
      <c r="D198" s="13"/>
      <c r="E198" s="13"/>
      <c r="F198" s="10"/>
      <c r="G198" s="3"/>
      <c r="H198" s="3"/>
      <c r="I198" s="4"/>
    </row>
    <row r="199" spans="2:9" x14ac:dyDescent="0.2">
      <c r="B199" s="2"/>
      <c r="C199" s="13"/>
      <c r="D199" s="13"/>
      <c r="E199" s="13"/>
      <c r="F199" s="10"/>
      <c r="G199" s="3"/>
      <c r="H199" s="3"/>
      <c r="I199" s="4"/>
    </row>
    <row r="200" spans="2:9" x14ac:dyDescent="0.2">
      <c r="B200" s="2"/>
      <c r="C200" s="13"/>
      <c r="D200" s="13"/>
      <c r="E200" s="13"/>
      <c r="F200" s="10"/>
      <c r="G200" s="3"/>
      <c r="H200" s="3"/>
      <c r="I200" s="4"/>
    </row>
    <row r="201" spans="2:9" x14ac:dyDescent="0.2">
      <c r="B201" s="2"/>
      <c r="C201" s="13"/>
      <c r="D201" s="13"/>
      <c r="E201" s="13"/>
      <c r="F201" s="10"/>
      <c r="G201" s="3"/>
      <c r="H201" s="3"/>
      <c r="I201" s="4"/>
    </row>
    <row r="202" spans="2:9" x14ac:dyDescent="0.2">
      <c r="B202" s="2"/>
      <c r="C202" s="13"/>
      <c r="D202" s="13"/>
      <c r="E202" s="13"/>
      <c r="F202" s="10"/>
      <c r="G202" s="3"/>
      <c r="H202" s="3"/>
      <c r="I202" s="4"/>
    </row>
    <row r="203" spans="2:9" x14ac:dyDescent="0.2">
      <c r="B203" s="2"/>
      <c r="C203" s="13"/>
      <c r="D203" s="13"/>
      <c r="E203" s="13"/>
      <c r="F203" s="10"/>
      <c r="G203" s="3"/>
      <c r="H203" s="3"/>
      <c r="I203" s="4"/>
    </row>
    <row r="204" spans="2:9" x14ac:dyDescent="0.2">
      <c r="B204" s="2"/>
      <c r="C204" s="13"/>
      <c r="D204" s="13"/>
      <c r="E204" s="13"/>
      <c r="F204" s="10"/>
      <c r="G204" s="3"/>
      <c r="H204" s="3"/>
      <c r="I204" s="4"/>
    </row>
    <row r="205" spans="2:9" x14ac:dyDescent="0.2">
      <c r="B205" s="2"/>
      <c r="C205" s="13"/>
      <c r="D205" s="13"/>
      <c r="E205" s="13"/>
      <c r="F205" s="10"/>
      <c r="G205" s="3"/>
      <c r="H205" s="3"/>
      <c r="I205" s="4"/>
    </row>
    <row r="206" spans="2:9" x14ac:dyDescent="0.2">
      <c r="B206" s="2"/>
      <c r="C206" s="13"/>
      <c r="D206" s="13"/>
      <c r="E206" s="13"/>
      <c r="F206" s="10"/>
      <c r="G206" s="3"/>
      <c r="H206" s="3"/>
      <c r="I206" s="4"/>
    </row>
    <row r="207" spans="2:9" x14ac:dyDescent="0.2">
      <c r="B207" s="2"/>
      <c r="C207" s="13"/>
      <c r="D207" s="13"/>
      <c r="E207" s="13"/>
      <c r="F207" s="10"/>
      <c r="G207" s="3"/>
      <c r="H207" s="3"/>
      <c r="I207" s="4"/>
    </row>
    <row r="208" spans="2:9" x14ac:dyDescent="0.2">
      <c r="B208" s="2"/>
      <c r="C208" s="13"/>
      <c r="D208" s="13"/>
      <c r="E208" s="13"/>
      <c r="F208" s="10"/>
      <c r="G208" s="3"/>
      <c r="H208" s="3"/>
      <c r="I208" s="4"/>
    </row>
    <row r="209" spans="2:9" x14ac:dyDescent="0.2">
      <c r="B209" s="2"/>
      <c r="C209" s="13"/>
      <c r="D209" s="13"/>
      <c r="E209" s="13"/>
      <c r="F209" s="10"/>
      <c r="G209" s="3"/>
      <c r="H209" s="3"/>
      <c r="I209" s="4"/>
    </row>
    <row r="210" spans="2:9" x14ac:dyDescent="0.2">
      <c r="B210" s="2"/>
      <c r="C210" s="13"/>
      <c r="D210" s="13"/>
      <c r="E210" s="13"/>
      <c r="F210" s="10"/>
      <c r="G210" s="3"/>
      <c r="H210" s="3"/>
      <c r="I210" s="4"/>
    </row>
    <row r="211" spans="2:9" x14ac:dyDescent="0.2">
      <c r="B211" s="2"/>
      <c r="C211" s="13"/>
      <c r="D211" s="13"/>
      <c r="E211" s="13"/>
      <c r="F211" s="10"/>
      <c r="G211" s="3"/>
      <c r="H211" s="3"/>
      <c r="I211" s="4"/>
    </row>
    <row r="212" spans="2:9" x14ac:dyDescent="0.2">
      <c r="B212" s="2"/>
      <c r="C212" s="13"/>
      <c r="D212" s="13"/>
      <c r="E212" s="13"/>
      <c r="F212" s="10"/>
      <c r="G212" s="3"/>
      <c r="H212" s="3"/>
      <c r="I212" s="4"/>
    </row>
    <row r="213" spans="2:9" x14ac:dyDescent="0.2">
      <c r="B213" s="2"/>
      <c r="C213" s="13"/>
      <c r="D213" s="13"/>
      <c r="E213" s="13"/>
      <c r="F213" s="10"/>
      <c r="G213" s="3"/>
      <c r="H213" s="3"/>
      <c r="I213" s="4"/>
    </row>
    <row r="214" spans="2:9" x14ac:dyDescent="0.2">
      <c r="B214" s="2"/>
      <c r="C214" s="13"/>
      <c r="D214" s="13"/>
      <c r="E214" s="13"/>
      <c r="F214" s="10"/>
      <c r="G214" s="3"/>
      <c r="H214" s="3"/>
      <c r="I214" s="4"/>
    </row>
    <row r="215" spans="2:9" x14ac:dyDescent="0.2">
      <c r="B215" s="2"/>
      <c r="C215" s="13"/>
      <c r="D215" s="13"/>
      <c r="E215" s="13"/>
      <c r="F215" s="10"/>
      <c r="G215" s="3"/>
      <c r="H215" s="3"/>
      <c r="I215" s="4"/>
    </row>
    <row r="216" spans="2:9" x14ac:dyDescent="0.2">
      <c r="B216" s="2"/>
      <c r="C216" s="13"/>
      <c r="D216" s="13"/>
      <c r="E216" s="13"/>
      <c r="F216" s="10"/>
      <c r="G216" s="3"/>
      <c r="H216" s="3"/>
      <c r="I216" s="4"/>
    </row>
    <row r="217" spans="2:9" x14ac:dyDescent="0.2">
      <c r="B217" s="2"/>
      <c r="C217" s="13"/>
      <c r="D217" s="13"/>
      <c r="E217" s="13"/>
      <c r="F217" s="10"/>
      <c r="G217" s="3"/>
      <c r="H217" s="3"/>
      <c r="I217" s="4"/>
    </row>
    <row r="218" spans="2:9" x14ac:dyDescent="0.2">
      <c r="B218" s="2"/>
      <c r="C218" s="13"/>
      <c r="D218" s="13"/>
      <c r="E218" s="13"/>
      <c r="F218" s="10"/>
      <c r="G218" s="3"/>
      <c r="H218" s="3"/>
      <c r="I218" s="4"/>
    </row>
    <row r="219" spans="2:9" x14ac:dyDescent="0.2">
      <c r="B219" s="2"/>
      <c r="C219" s="13"/>
      <c r="D219" s="13"/>
      <c r="E219" s="13"/>
      <c r="F219" s="10"/>
      <c r="G219" s="3"/>
      <c r="H219" s="3"/>
      <c r="I219" s="4"/>
    </row>
    <row r="220" spans="2:9" x14ac:dyDescent="0.2">
      <c r="B220" s="2"/>
      <c r="C220" s="13"/>
      <c r="D220" s="13"/>
      <c r="E220" s="13"/>
      <c r="F220" s="10"/>
      <c r="G220" s="3"/>
      <c r="H220" s="3"/>
      <c r="I220" s="4"/>
    </row>
    <row r="221" spans="2:9" x14ac:dyDescent="0.2">
      <c r="B221" s="2"/>
      <c r="C221" s="13"/>
      <c r="D221" s="13"/>
      <c r="E221" s="13"/>
      <c r="F221" s="10"/>
      <c r="G221" s="3"/>
      <c r="H221" s="3"/>
      <c r="I221" s="4"/>
    </row>
    <row r="222" spans="2:9" x14ac:dyDescent="0.2">
      <c r="B222" s="2"/>
      <c r="C222" s="13"/>
      <c r="D222" s="13"/>
      <c r="E222" s="13"/>
      <c r="F222" s="10"/>
      <c r="G222" s="3"/>
      <c r="H222" s="3"/>
      <c r="I222" s="4"/>
    </row>
    <row r="223" spans="2:9" x14ac:dyDescent="0.2">
      <c r="B223" s="2"/>
      <c r="C223" s="13"/>
      <c r="D223" s="13"/>
      <c r="E223" s="13"/>
      <c r="F223" s="10"/>
      <c r="G223" s="3"/>
      <c r="H223" s="3"/>
      <c r="I223" s="4"/>
    </row>
    <row r="224" spans="2:9" x14ac:dyDescent="0.2">
      <c r="B224" s="2"/>
      <c r="C224" s="13"/>
      <c r="D224" s="13"/>
      <c r="E224" s="13"/>
      <c r="F224" s="10"/>
      <c r="G224" s="3"/>
      <c r="H224" s="3"/>
      <c r="I224" s="4"/>
    </row>
    <row r="225" spans="2:9" x14ac:dyDescent="0.2">
      <c r="B225" s="2"/>
      <c r="C225" s="13"/>
      <c r="D225" s="13"/>
      <c r="E225" s="13"/>
      <c r="F225" s="10"/>
      <c r="G225" s="3"/>
      <c r="H225" s="3"/>
      <c r="I225" s="4"/>
    </row>
    <row r="226" spans="2:9" x14ac:dyDescent="0.2">
      <c r="B226" s="2"/>
      <c r="C226" s="13"/>
      <c r="D226" s="13"/>
      <c r="E226" s="13"/>
      <c r="F226" s="10"/>
      <c r="G226" s="3"/>
      <c r="H226" s="3"/>
      <c r="I226" s="4"/>
    </row>
    <row r="227" spans="2:9" x14ac:dyDescent="0.2">
      <c r="B227" s="2"/>
      <c r="C227" s="13"/>
      <c r="D227" s="13"/>
      <c r="E227" s="13"/>
      <c r="F227" s="10"/>
      <c r="G227" s="3"/>
      <c r="H227" s="3"/>
      <c r="I227" s="4"/>
    </row>
    <row r="228" spans="2:9" x14ac:dyDescent="0.2">
      <c r="B228" s="2"/>
      <c r="C228" s="13"/>
      <c r="D228" s="13"/>
      <c r="E228" s="13"/>
      <c r="F228" s="10"/>
      <c r="G228" s="3"/>
      <c r="H228" s="3"/>
      <c r="I228" s="4"/>
    </row>
    <row r="229" spans="2:9" x14ac:dyDescent="0.2">
      <c r="B229" s="2"/>
      <c r="C229" s="13"/>
      <c r="D229" s="13"/>
      <c r="E229" s="13"/>
      <c r="F229" s="10"/>
      <c r="G229" s="3"/>
      <c r="H229" s="3"/>
      <c r="I229" s="4"/>
    </row>
    <row r="230" spans="2:9" x14ac:dyDescent="0.2">
      <c r="B230" s="2"/>
      <c r="C230" s="13"/>
      <c r="D230" s="13"/>
      <c r="E230" s="13"/>
      <c r="F230" s="10"/>
      <c r="G230" s="3"/>
      <c r="H230" s="3"/>
      <c r="I230" s="4"/>
    </row>
    <row r="231" spans="2:9" x14ac:dyDescent="0.2">
      <c r="B231" s="2"/>
      <c r="C231" s="13"/>
      <c r="D231" s="13"/>
      <c r="E231" s="13"/>
      <c r="F231" s="10"/>
      <c r="G231" s="3"/>
      <c r="H231" s="3"/>
      <c r="I231" s="4"/>
    </row>
    <row r="232" spans="2:9" x14ac:dyDescent="0.2">
      <c r="B232" s="2"/>
      <c r="C232" s="13"/>
      <c r="D232" s="13"/>
      <c r="E232" s="13"/>
      <c r="F232" s="10"/>
      <c r="G232" s="3"/>
      <c r="H232" s="3"/>
      <c r="I232" s="4"/>
    </row>
    <row r="233" spans="2:9" x14ac:dyDescent="0.2">
      <c r="B233" s="2"/>
      <c r="C233" s="13"/>
      <c r="D233" s="13"/>
      <c r="E233" s="13"/>
      <c r="F233" s="10"/>
      <c r="G233" s="3"/>
      <c r="H233" s="3"/>
      <c r="I233" s="4"/>
    </row>
    <row r="234" spans="2:9" x14ac:dyDescent="0.2">
      <c r="B234" s="2"/>
      <c r="C234" s="13"/>
      <c r="D234" s="13"/>
      <c r="E234" s="13"/>
      <c r="F234" s="10"/>
      <c r="G234" s="3"/>
      <c r="H234" s="3"/>
      <c r="I234" s="4"/>
    </row>
    <row r="235" spans="2:9" x14ac:dyDescent="0.2">
      <c r="B235" s="2"/>
      <c r="C235" s="13"/>
      <c r="D235" s="13"/>
      <c r="E235" s="13"/>
      <c r="F235" s="10"/>
      <c r="G235" s="3"/>
      <c r="H235" s="3"/>
      <c r="I235" s="4"/>
    </row>
    <row r="236" spans="2:9" x14ac:dyDescent="0.2">
      <c r="B236" s="2"/>
      <c r="C236" s="13"/>
      <c r="D236" s="13"/>
      <c r="E236" s="13"/>
      <c r="F236" s="10"/>
      <c r="G236" s="3"/>
      <c r="H236" s="3"/>
      <c r="I236" s="4"/>
    </row>
    <row r="237" spans="2:9" x14ac:dyDescent="0.2">
      <c r="B237" s="2"/>
      <c r="C237" s="13"/>
      <c r="D237" s="13"/>
      <c r="E237" s="13"/>
      <c r="F237" s="10"/>
      <c r="G237" s="3"/>
      <c r="H237" s="3"/>
      <c r="I237" s="4"/>
    </row>
    <row r="238" spans="2:9" x14ac:dyDescent="0.2">
      <c r="B238" s="2"/>
      <c r="C238" s="13"/>
      <c r="D238" s="13"/>
      <c r="E238" s="13"/>
      <c r="F238" s="10"/>
      <c r="G238" s="3"/>
      <c r="H238" s="3"/>
      <c r="I238" s="4"/>
    </row>
    <row r="239" spans="2:9" x14ac:dyDescent="0.2">
      <c r="B239" s="2"/>
      <c r="C239" s="13"/>
      <c r="D239" s="13"/>
      <c r="E239" s="13"/>
      <c r="F239" s="10"/>
      <c r="G239" s="3"/>
      <c r="H239" s="3"/>
      <c r="I239" s="4"/>
    </row>
    <row r="240" spans="2:9" x14ac:dyDescent="0.2">
      <c r="B240" s="2"/>
      <c r="C240" s="13"/>
      <c r="D240" s="13"/>
      <c r="E240" s="13"/>
      <c r="F240" s="10"/>
      <c r="G240" s="3"/>
      <c r="H240" s="3"/>
      <c r="I240" s="4"/>
    </row>
    <row r="241" spans="2:9" x14ac:dyDescent="0.2">
      <c r="B241" s="2"/>
      <c r="C241" s="13"/>
      <c r="D241" s="13"/>
      <c r="E241" s="13"/>
      <c r="F241" s="10"/>
      <c r="G241" s="3"/>
      <c r="H241" s="3"/>
      <c r="I241" s="4"/>
    </row>
    <row r="242" spans="2:9" x14ac:dyDescent="0.2">
      <c r="B242" s="2"/>
      <c r="C242" s="13"/>
      <c r="D242" s="13"/>
      <c r="E242" s="13"/>
      <c r="F242" s="10"/>
      <c r="G242" s="3"/>
      <c r="H242" s="3"/>
      <c r="I242" s="4"/>
    </row>
    <row r="243" spans="2:9" x14ac:dyDescent="0.2">
      <c r="B243" s="2"/>
      <c r="C243" s="13"/>
      <c r="D243" s="13"/>
      <c r="E243" s="13"/>
      <c r="F243" s="10"/>
      <c r="G243" s="3"/>
      <c r="H243" s="3"/>
      <c r="I243" s="4"/>
    </row>
    <row r="244" spans="2:9" x14ac:dyDescent="0.2">
      <c r="B244" s="2"/>
      <c r="C244" s="13"/>
      <c r="D244" s="13"/>
      <c r="E244" s="13"/>
      <c r="F244" s="10"/>
      <c r="G244" s="3"/>
      <c r="H244" s="3"/>
      <c r="I244" s="4"/>
    </row>
    <row r="245" spans="2:9" x14ac:dyDescent="0.2">
      <c r="B245" s="2"/>
      <c r="C245" s="13"/>
      <c r="D245" s="13"/>
      <c r="E245" s="13"/>
      <c r="F245" s="10"/>
      <c r="G245" s="3"/>
      <c r="H245" s="3"/>
      <c r="I245" s="4"/>
    </row>
    <row r="246" spans="2:9" x14ac:dyDescent="0.2">
      <c r="B246" s="2"/>
      <c r="C246" s="13"/>
      <c r="D246" s="13"/>
      <c r="E246" s="13"/>
      <c r="F246" s="10"/>
      <c r="G246" s="3"/>
      <c r="H246" s="3"/>
      <c r="I246" s="4"/>
    </row>
    <row r="247" spans="2:9" x14ac:dyDescent="0.2">
      <c r="B247" s="2"/>
      <c r="C247" s="13"/>
      <c r="D247" s="13"/>
      <c r="E247" s="13"/>
      <c r="F247" s="10"/>
      <c r="G247" s="3"/>
      <c r="H247" s="3"/>
      <c r="I247" s="4"/>
    </row>
    <row r="248" spans="2:9" x14ac:dyDescent="0.2">
      <c r="B248" s="2"/>
      <c r="C248" s="13"/>
      <c r="D248" s="13"/>
      <c r="E248" s="13"/>
      <c r="F248" s="10"/>
      <c r="G248" s="3"/>
      <c r="H248" s="3"/>
      <c r="I248" s="4"/>
    </row>
    <row r="249" spans="2:9" x14ac:dyDescent="0.2">
      <c r="B249" s="2"/>
      <c r="C249" s="13"/>
      <c r="D249" s="13"/>
      <c r="E249" s="13"/>
      <c r="F249" s="10"/>
      <c r="G249" s="3"/>
      <c r="H249" s="3"/>
      <c r="I249" s="4"/>
    </row>
    <row r="250" spans="2:9" x14ac:dyDescent="0.2">
      <c r="B250" s="2"/>
      <c r="C250" s="13"/>
      <c r="D250" s="13"/>
      <c r="E250" s="13"/>
      <c r="F250" s="10"/>
      <c r="G250" s="3"/>
      <c r="H250" s="3"/>
      <c r="I250" s="4"/>
    </row>
    <row r="251" spans="2:9" x14ac:dyDescent="0.2">
      <c r="B251" s="2"/>
      <c r="C251" s="13"/>
      <c r="D251" s="13"/>
      <c r="E251" s="13"/>
      <c r="F251" s="10"/>
      <c r="G251" s="3"/>
      <c r="H251" s="3"/>
      <c r="I251" s="4"/>
    </row>
    <row r="252" spans="2:9" x14ac:dyDescent="0.2">
      <c r="B252" s="2"/>
      <c r="C252" s="13"/>
      <c r="D252" s="13"/>
      <c r="E252" s="13"/>
      <c r="F252" s="10"/>
      <c r="G252" s="3"/>
      <c r="H252" s="3"/>
      <c r="I252" s="4"/>
    </row>
    <row r="253" spans="2:9" x14ac:dyDescent="0.2">
      <c r="B253" s="2"/>
      <c r="C253" s="13"/>
      <c r="D253" s="13"/>
      <c r="E253" s="13"/>
      <c r="F253" s="10"/>
      <c r="G253" s="3"/>
      <c r="H253" s="3"/>
      <c r="I253" s="4"/>
    </row>
    <row r="254" spans="2:9" x14ac:dyDescent="0.2">
      <c r="B254" s="2"/>
      <c r="C254" s="13"/>
      <c r="D254" s="13"/>
      <c r="E254" s="13"/>
      <c r="F254" s="10"/>
      <c r="G254" s="3"/>
      <c r="H254" s="3"/>
      <c r="I254" s="4"/>
    </row>
    <row r="255" spans="2:9" x14ac:dyDescent="0.2">
      <c r="B255" s="2"/>
      <c r="C255" s="13"/>
      <c r="D255" s="13"/>
      <c r="E255" s="13"/>
      <c r="F255" s="10"/>
      <c r="G255" s="3"/>
      <c r="H255" s="3"/>
      <c r="I255" s="4"/>
    </row>
    <row r="256" spans="2:9" x14ac:dyDescent="0.2">
      <c r="B256" s="2"/>
      <c r="C256" s="13"/>
      <c r="D256" s="13"/>
      <c r="E256" s="13"/>
      <c r="F256" s="10"/>
      <c r="G256" s="3"/>
      <c r="H256" s="3"/>
      <c r="I256" s="4"/>
    </row>
    <row r="257" spans="2:9" x14ac:dyDescent="0.2">
      <c r="B257" s="2"/>
      <c r="C257" s="13"/>
      <c r="D257" s="13"/>
      <c r="E257" s="13"/>
      <c r="F257" s="10"/>
      <c r="G257" s="3"/>
      <c r="H257" s="3"/>
      <c r="I257" s="4"/>
    </row>
    <row r="258" spans="2:9" x14ac:dyDescent="0.2">
      <c r="B258" s="2"/>
      <c r="C258" s="13"/>
      <c r="D258" s="13"/>
      <c r="E258" s="13"/>
      <c r="F258" s="10"/>
      <c r="G258" s="3"/>
      <c r="H258" s="3"/>
      <c r="I258" s="4"/>
    </row>
    <row r="259" spans="2:9" x14ac:dyDescent="0.2">
      <c r="B259" s="2"/>
      <c r="C259" s="13"/>
      <c r="D259" s="13"/>
      <c r="E259" s="13"/>
      <c r="F259" s="10"/>
      <c r="G259" s="3"/>
      <c r="H259" s="3"/>
      <c r="I259" s="4"/>
    </row>
    <row r="260" spans="2:9" x14ac:dyDescent="0.2">
      <c r="B260" s="2"/>
      <c r="C260" s="13"/>
      <c r="D260" s="13"/>
      <c r="E260" s="13"/>
      <c r="F260" s="10"/>
      <c r="G260" s="3"/>
      <c r="H260" s="3"/>
      <c r="I260" s="4"/>
    </row>
    <row r="261" spans="2:9" x14ac:dyDescent="0.2">
      <c r="B261" s="2"/>
      <c r="C261" s="13"/>
      <c r="D261" s="13"/>
      <c r="E261" s="13"/>
      <c r="F261" s="10"/>
      <c r="G261" s="3"/>
      <c r="H261" s="3"/>
      <c r="I261" s="4"/>
    </row>
    <row r="262" spans="2:9" x14ac:dyDescent="0.2">
      <c r="B262" s="2"/>
      <c r="C262" s="13"/>
      <c r="D262" s="13"/>
      <c r="E262" s="13"/>
      <c r="F262" s="10"/>
      <c r="G262" s="3"/>
      <c r="H262" s="3"/>
      <c r="I262" s="4"/>
    </row>
    <row r="263" spans="2:9" x14ac:dyDescent="0.2">
      <c r="B263" s="2"/>
      <c r="C263" s="13"/>
      <c r="D263" s="13"/>
      <c r="E263" s="13"/>
      <c r="F263" s="10"/>
      <c r="G263" s="3"/>
      <c r="H263" s="3"/>
      <c r="I263" s="4"/>
    </row>
    <row r="264" spans="2:9" x14ac:dyDescent="0.2">
      <c r="B264" s="2"/>
      <c r="C264" s="13"/>
      <c r="D264" s="13"/>
      <c r="E264" s="13"/>
      <c r="F264" s="10"/>
      <c r="G264" s="3"/>
      <c r="H264" s="3"/>
      <c r="I264" s="4"/>
    </row>
    <row r="265" spans="2:9" x14ac:dyDescent="0.2">
      <c r="B265" s="2"/>
      <c r="C265" s="13"/>
      <c r="D265" s="13"/>
      <c r="E265" s="13"/>
      <c r="F265" s="10"/>
      <c r="G265" s="3"/>
      <c r="H265" s="3"/>
      <c r="I265" s="4"/>
    </row>
    <row r="266" spans="2:9" x14ac:dyDescent="0.2">
      <c r="B266" s="2"/>
      <c r="C266" s="13"/>
      <c r="D266" s="13"/>
      <c r="E266" s="13"/>
      <c r="F266" s="10"/>
      <c r="G266" s="3"/>
      <c r="H266" s="3"/>
      <c r="I266" s="4"/>
    </row>
    <row r="267" spans="2:9" x14ac:dyDescent="0.2">
      <c r="B267" s="2"/>
      <c r="C267" s="13"/>
      <c r="D267" s="13"/>
      <c r="E267" s="13"/>
      <c r="F267" s="10"/>
      <c r="G267" s="3"/>
      <c r="H267" s="3"/>
      <c r="I267" s="4"/>
    </row>
    <row r="268" spans="2:9" x14ac:dyDescent="0.2">
      <c r="B268" s="2"/>
      <c r="C268" s="13"/>
      <c r="D268" s="13"/>
      <c r="E268" s="13"/>
      <c r="F268" s="10"/>
      <c r="G268" s="3"/>
      <c r="H268" s="3"/>
      <c r="I268" s="4"/>
    </row>
    <row r="269" spans="2:9" x14ac:dyDescent="0.2">
      <c r="B269" s="2"/>
      <c r="C269" s="13"/>
      <c r="D269" s="13"/>
      <c r="E269" s="13"/>
      <c r="F269" s="10"/>
      <c r="G269" s="3"/>
      <c r="H269" s="3"/>
      <c r="I269" s="4"/>
    </row>
    <row r="270" spans="2:9" x14ac:dyDescent="0.2">
      <c r="B270" s="2"/>
      <c r="C270" s="13"/>
      <c r="D270" s="13"/>
      <c r="E270" s="13"/>
      <c r="F270" s="10"/>
      <c r="G270" s="3"/>
      <c r="H270" s="3"/>
      <c r="I270" s="4"/>
    </row>
    <row r="271" spans="2:9" x14ac:dyDescent="0.2">
      <c r="B271" s="2"/>
      <c r="C271" s="13"/>
      <c r="D271" s="13"/>
      <c r="E271" s="13"/>
      <c r="F271" s="10"/>
      <c r="G271" s="3"/>
      <c r="H271" s="3"/>
      <c r="I271" s="4"/>
    </row>
    <row r="272" spans="2:9" x14ac:dyDescent="0.2">
      <c r="B272" s="2"/>
      <c r="C272" s="13"/>
      <c r="D272" s="13"/>
      <c r="E272" s="13"/>
      <c r="F272" s="10"/>
      <c r="G272" s="3"/>
      <c r="H272" s="3"/>
      <c r="I272" s="4"/>
    </row>
    <row r="273" spans="2:9" x14ac:dyDescent="0.2">
      <c r="B273" s="2"/>
      <c r="C273" s="13"/>
      <c r="D273" s="13"/>
      <c r="E273" s="13"/>
      <c r="F273" s="10"/>
      <c r="G273" s="3"/>
      <c r="H273" s="3"/>
      <c r="I273" s="4"/>
    </row>
    <row r="274" spans="2:9" x14ac:dyDescent="0.2">
      <c r="B274" s="2"/>
      <c r="C274" s="13"/>
      <c r="D274" s="13"/>
      <c r="E274" s="13"/>
      <c r="F274" s="10"/>
      <c r="G274" s="3"/>
      <c r="H274" s="3"/>
      <c r="I274" s="4"/>
    </row>
    <row r="275" spans="2:9" x14ac:dyDescent="0.2">
      <c r="B275" s="2"/>
      <c r="C275" s="13"/>
      <c r="D275" s="13"/>
      <c r="E275" s="13"/>
      <c r="F275" s="10"/>
      <c r="G275" s="3"/>
      <c r="H275" s="3"/>
      <c r="I275" s="4"/>
    </row>
    <row r="276" spans="2:9" x14ac:dyDescent="0.2">
      <c r="B276" s="2"/>
      <c r="C276" s="13"/>
      <c r="D276" s="13"/>
      <c r="E276" s="13"/>
      <c r="F276" s="10"/>
      <c r="G276" s="3"/>
      <c r="H276" s="3"/>
      <c r="I276" s="4"/>
    </row>
    <row r="277" spans="2:9" x14ac:dyDescent="0.2">
      <c r="B277" s="2"/>
      <c r="C277" s="13"/>
      <c r="D277" s="13"/>
      <c r="E277" s="13"/>
      <c r="F277" s="10"/>
      <c r="G277" s="3"/>
      <c r="H277" s="3"/>
      <c r="I277" s="4"/>
    </row>
    <row r="278" spans="2:9" x14ac:dyDescent="0.2">
      <c r="B278" s="2"/>
      <c r="C278" s="13"/>
      <c r="D278" s="13"/>
      <c r="E278" s="13"/>
      <c r="F278" s="10"/>
      <c r="G278" s="3"/>
      <c r="H278" s="3"/>
      <c r="I278" s="4"/>
    </row>
    <row r="279" spans="2:9" x14ac:dyDescent="0.2">
      <c r="B279" s="2"/>
      <c r="C279" s="13"/>
      <c r="D279" s="13"/>
      <c r="E279" s="13"/>
      <c r="F279" s="10"/>
      <c r="G279" s="3"/>
      <c r="H279" s="3"/>
      <c r="I279" s="4"/>
    </row>
    <row r="280" spans="2:9" x14ac:dyDescent="0.2">
      <c r="B280" s="2"/>
      <c r="C280" s="13"/>
      <c r="D280" s="13"/>
      <c r="E280" s="13"/>
      <c r="F280" s="10"/>
      <c r="G280" s="3"/>
      <c r="H280" s="3"/>
      <c r="I280" s="4"/>
    </row>
    <row r="281" spans="2:9" x14ac:dyDescent="0.2">
      <c r="B281" s="2"/>
      <c r="C281" s="13"/>
      <c r="D281" s="13"/>
      <c r="E281" s="13"/>
      <c r="F281" s="10"/>
      <c r="G281" s="3"/>
      <c r="H281" s="3"/>
      <c r="I281" s="4"/>
    </row>
    <row r="282" spans="2:9" x14ac:dyDescent="0.2">
      <c r="B282" s="2"/>
      <c r="C282" s="13"/>
      <c r="D282" s="13"/>
      <c r="E282" s="13"/>
      <c r="F282" s="10"/>
      <c r="G282" s="3"/>
      <c r="H282" s="3"/>
      <c r="I282" s="4"/>
    </row>
    <row r="283" spans="2:9" x14ac:dyDescent="0.2">
      <c r="B283" s="2"/>
      <c r="C283" s="13"/>
      <c r="D283" s="13"/>
      <c r="E283" s="13"/>
      <c r="F283" s="10"/>
      <c r="G283" s="3"/>
      <c r="H283" s="3"/>
      <c r="I283" s="4"/>
    </row>
    <row r="284" spans="2:9" x14ac:dyDescent="0.2">
      <c r="B284" s="2"/>
      <c r="C284" s="13"/>
      <c r="D284" s="13"/>
      <c r="E284" s="13"/>
      <c r="F284" s="10"/>
      <c r="G284" s="3"/>
      <c r="H284" s="3"/>
      <c r="I284" s="4"/>
    </row>
    <row r="285" spans="2:9" x14ac:dyDescent="0.2">
      <c r="B285" s="2"/>
      <c r="C285" s="13"/>
      <c r="D285" s="13"/>
      <c r="E285" s="13"/>
      <c r="F285" s="10"/>
      <c r="G285" s="3"/>
      <c r="H285" s="3"/>
      <c r="I285" s="4"/>
    </row>
    <row r="286" spans="2:9" x14ac:dyDescent="0.2">
      <c r="B286" s="2"/>
      <c r="C286" s="13"/>
      <c r="D286" s="13"/>
      <c r="E286" s="13"/>
      <c r="F286" s="10"/>
      <c r="G286" s="3"/>
      <c r="H286" s="3"/>
      <c r="I286" s="4"/>
    </row>
    <row r="287" spans="2:9" x14ac:dyDescent="0.2">
      <c r="B287" s="2"/>
      <c r="C287" s="13"/>
      <c r="D287" s="13"/>
      <c r="E287" s="13"/>
      <c r="F287" s="10"/>
      <c r="G287" s="3"/>
      <c r="H287" s="3"/>
      <c r="I287" s="4"/>
    </row>
    <row r="288" spans="2:9" x14ac:dyDescent="0.2">
      <c r="B288" s="2"/>
      <c r="C288" s="13"/>
      <c r="D288" s="13"/>
      <c r="E288" s="13"/>
      <c r="F288" s="10"/>
      <c r="G288" s="3"/>
      <c r="H288" s="3"/>
      <c r="I288" s="4"/>
    </row>
    <row r="289" spans="2:9" x14ac:dyDescent="0.2">
      <c r="B289" s="2"/>
      <c r="C289" s="13"/>
      <c r="D289" s="13"/>
      <c r="E289" s="13"/>
      <c r="F289" s="10"/>
      <c r="G289" s="3"/>
      <c r="H289" s="3"/>
      <c r="I289" s="4"/>
    </row>
    <row r="290" spans="2:9" x14ac:dyDescent="0.2">
      <c r="B290" s="2"/>
      <c r="C290" s="13"/>
      <c r="D290" s="13"/>
      <c r="E290" s="13"/>
      <c r="F290" s="10"/>
      <c r="G290" s="3"/>
      <c r="H290" s="3"/>
      <c r="I290" s="4"/>
    </row>
    <row r="291" spans="2:9" x14ac:dyDescent="0.2">
      <c r="B291" s="2"/>
      <c r="C291" s="13"/>
      <c r="D291" s="13"/>
      <c r="E291" s="13"/>
      <c r="F291" s="10"/>
      <c r="G291" s="3"/>
      <c r="H291" s="3"/>
      <c r="I291" s="4"/>
    </row>
    <row r="292" spans="2:9" x14ac:dyDescent="0.2">
      <c r="B292" s="2"/>
      <c r="C292" s="13"/>
      <c r="D292" s="13"/>
      <c r="E292" s="13"/>
      <c r="F292" s="10"/>
      <c r="G292" s="3"/>
      <c r="H292" s="3"/>
      <c r="I292" s="4"/>
    </row>
    <row r="293" spans="2:9" x14ac:dyDescent="0.2">
      <c r="B293" s="2"/>
      <c r="C293" s="13"/>
      <c r="D293" s="13"/>
      <c r="E293" s="13"/>
      <c r="F293" s="10"/>
      <c r="G293" s="3"/>
      <c r="H293" s="3"/>
      <c r="I293" s="4"/>
    </row>
    <row r="294" spans="2:9" x14ac:dyDescent="0.2">
      <c r="B294" s="2"/>
      <c r="C294" s="13"/>
      <c r="D294" s="13"/>
      <c r="E294" s="13"/>
      <c r="F294" s="10"/>
      <c r="G294" s="3"/>
      <c r="H294" s="3"/>
      <c r="I294" s="4"/>
    </row>
    <row r="295" spans="2:9" x14ac:dyDescent="0.2">
      <c r="B295" s="2"/>
      <c r="C295" s="13"/>
      <c r="D295" s="13"/>
      <c r="E295" s="13"/>
      <c r="F295" s="10"/>
      <c r="G295" s="3"/>
      <c r="H295" s="3"/>
      <c r="I295" s="4"/>
    </row>
    <row r="296" spans="2:9" x14ac:dyDescent="0.2">
      <c r="B296" s="2"/>
      <c r="C296" s="13"/>
      <c r="D296" s="13"/>
      <c r="E296" s="13"/>
      <c r="F296" s="10"/>
      <c r="G296" s="3"/>
      <c r="H296" s="3"/>
      <c r="I296" s="4"/>
    </row>
    <row r="297" spans="2:9" x14ac:dyDescent="0.2">
      <c r="B297" s="2"/>
      <c r="C297" s="13"/>
      <c r="D297" s="13"/>
      <c r="E297" s="13"/>
      <c r="F297" s="10"/>
      <c r="G297" s="3"/>
      <c r="H297" s="3"/>
      <c r="I297" s="4"/>
    </row>
    <row r="298" spans="2:9" x14ac:dyDescent="0.2">
      <c r="B298" s="2"/>
      <c r="C298" s="13"/>
      <c r="D298" s="13"/>
      <c r="E298" s="13"/>
      <c r="F298" s="10"/>
      <c r="G298" s="3"/>
      <c r="H298" s="3"/>
      <c r="I298" s="4"/>
    </row>
    <row r="299" spans="2:9" x14ac:dyDescent="0.2">
      <c r="B299" s="2"/>
      <c r="C299" s="13"/>
      <c r="D299" s="13"/>
      <c r="E299" s="13"/>
      <c r="F299" s="10"/>
      <c r="G299" s="3"/>
      <c r="H299" s="3"/>
      <c r="I299" s="4"/>
    </row>
    <row r="300" spans="2:9" x14ac:dyDescent="0.2">
      <c r="B300" s="2"/>
      <c r="C300" s="13"/>
      <c r="D300" s="13"/>
      <c r="E300" s="13"/>
      <c r="F300" s="10"/>
      <c r="G300" s="3"/>
      <c r="H300" s="3"/>
      <c r="I300" s="4"/>
    </row>
    <row r="301" spans="2:9" x14ac:dyDescent="0.2">
      <c r="B301" s="2"/>
      <c r="C301" s="13"/>
      <c r="D301" s="13"/>
      <c r="E301" s="13"/>
      <c r="F301" s="10"/>
      <c r="G301" s="3"/>
      <c r="H301" s="3"/>
      <c r="I301" s="4"/>
    </row>
    <row r="302" spans="2:9" x14ac:dyDescent="0.2">
      <c r="B302" s="2"/>
      <c r="C302" s="13"/>
      <c r="D302" s="13"/>
      <c r="E302" s="13"/>
      <c r="F302" s="10"/>
      <c r="G302" s="3"/>
      <c r="H302" s="3"/>
      <c r="I302" s="4"/>
    </row>
    <row r="303" spans="2:9" x14ac:dyDescent="0.2">
      <c r="B303" s="2"/>
      <c r="C303" s="13"/>
      <c r="D303" s="13"/>
      <c r="E303" s="13"/>
      <c r="F303" s="10"/>
      <c r="G303" s="3"/>
      <c r="H303" s="3"/>
      <c r="I303" s="4"/>
    </row>
    <row r="304" spans="2:9" x14ac:dyDescent="0.2">
      <c r="B304" s="2"/>
      <c r="C304" s="13"/>
      <c r="D304" s="13"/>
      <c r="E304" s="13"/>
      <c r="F304" s="10"/>
      <c r="G304" s="3"/>
      <c r="H304" s="3"/>
      <c r="I304" s="4"/>
    </row>
    <row r="305" spans="2:9" x14ac:dyDescent="0.2">
      <c r="B305" s="2"/>
      <c r="C305" s="13"/>
      <c r="D305" s="13"/>
      <c r="E305" s="13"/>
      <c r="F305" s="10"/>
      <c r="G305" s="3"/>
      <c r="H305" s="3"/>
      <c r="I305" s="4"/>
    </row>
    <row r="306" spans="2:9" x14ac:dyDescent="0.2">
      <c r="B306" s="2"/>
      <c r="C306" s="13"/>
      <c r="D306" s="13"/>
      <c r="E306" s="13"/>
      <c r="F306" s="10"/>
      <c r="G306" s="3"/>
      <c r="H306" s="3"/>
      <c r="I306" s="4"/>
    </row>
    <row r="307" spans="2:9" x14ac:dyDescent="0.2">
      <c r="B307" s="2"/>
      <c r="C307" s="13"/>
      <c r="D307" s="13"/>
      <c r="E307" s="13"/>
      <c r="F307" s="10"/>
      <c r="G307" s="3"/>
      <c r="H307" s="3"/>
      <c r="I307" s="4"/>
    </row>
    <row r="308" spans="2:9" x14ac:dyDescent="0.2">
      <c r="B308" s="2"/>
      <c r="C308" s="13"/>
      <c r="D308" s="13"/>
      <c r="E308" s="13"/>
      <c r="F308" s="10"/>
      <c r="G308" s="3"/>
      <c r="H308" s="3"/>
      <c r="I308" s="4"/>
    </row>
    <row r="309" spans="2:9" x14ac:dyDescent="0.2">
      <c r="B309" s="2"/>
      <c r="C309" s="13"/>
      <c r="D309" s="13"/>
      <c r="E309" s="13"/>
      <c r="F309" s="10"/>
      <c r="G309" s="3"/>
      <c r="H309" s="3"/>
      <c r="I309" s="4"/>
    </row>
    <row r="310" spans="2:9" x14ac:dyDescent="0.2">
      <c r="B310" s="2"/>
      <c r="C310" s="13"/>
      <c r="D310" s="13"/>
      <c r="E310" s="13"/>
      <c r="F310" s="10"/>
      <c r="G310" s="3"/>
      <c r="H310" s="3"/>
      <c r="I310" s="4"/>
    </row>
    <row r="311" spans="2:9" x14ac:dyDescent="0.2">
      <c r="B311" s="2"/>
      <c r="C311" s="13"/>
      <c r="D311" s="13"/>
      <c r="E311" s="13"/>
      <c r="F311" s="10"/>
      <c r="G311" s="3"/>
      <c r="H311" s="3"/>
      <c r="I311" s="4"/>
    </row>
    <row r="312" spans="2:9" x14ac:dyDescent="0.2">
      <c r="B312" s="2"/>
      <c r="C312" s="13"/>
      <c r="D312" s="13"/>
      <c r="E312" s="13"/>
      <c r="F312" s="10"/>
      <c r="G312" s="3"/>
      <c r="H312" s="3"/>
      <c r="I312" s="4"/>
    </row>
    <row r="313" spans="2:9" x14ac:dyDescent="0.2">
      <c r="B313" s="2"/>
      <c r="C313" s="13"/>
      <c r="D313" s="13"/>
      <c r="E313" s="13"/>
      <c r="F313" s="10"/>
      <c r="G313" s="3"/>
      <c r="H313" s="3"/>
      <c r="I313" s="4"/>
    </row>
    <row r="314" spans="2:9" x14ac:dyDescent="0.2">
      <c r="B314" s="2"/>
      <c r="C314" s="13"/>
      <c r="D314" s="13"/>
      <c r="E314" s="13"/>
      <c r="F314" s="10"/>
      <c r="G314" s="3"/>
      <c r="H314" s="3"/>
      <c r="I314" s="4"/>
    </row>
    <row r="315" spans="2:9" x14ac:dyDescent="0.2">
      <c r="B315" s="2"/>
      <c r="C315" s="13"/>
      <c r="D315" s="13"/>
      <c r="E315" s="13"/>
      <c r="F315" s="10"/>
      <c r="G315" s="3"/>
      <c r="H315" s="3"/>
      <c r="I315" s="4"/>
    </row>
    <row r="316" spans="2:9" x14ac:dyDescent="0.2">
      <c r="B316" s="2"/>
      <c r="C316" s="13"/>
      <c r="D316" s="13"/>
      <c r="E316" s="13"/>
      <c r="F316" s="10"/>
      <c r="G316" s="3"/>
      <c r="H316" s="3"/>
      <c r="I316" s="4"/>
    </row>
    <row r="317" spans="2:9" x14ac:dyDescent="0.2">
      <c r="B317" s="2"/>
      <c r="C317" s="13"/>
      <c r="D317" s="13"/>
      <c r="E317" s="13"/>
      <c r="F317" s="10"/>
      <c r="G317" s="3"/>
      <c r="H317" s="3"/>
      <c r="I317" s="4"/>
    </row>
    <row r="318" spans="2:9" x14ac:dyDescent="0.2">
      <c r="B318" s="2"/>
      <c r="C318" s="13"/>
      <c r="D318" s="13"/>
      <c r="E318" s="13"/>
      <c r="F318" s="10"/>
      <c r="G318" s="3"/>
      <c r="H318" s="3"/>
      <c r="I318" s="4"/>
    </row>
    <row r="319" spans="2:9" x14ac:dyDescent="0.2">
      <c r="B319" s="2"/>
      <c r="C319" s="13"/>
      <c r="D319" s="13"/>
      <c r="E319" s="13"/>
      <c r="F319" s="10"/>
      <c r="G319" s="3"/>
      <c r="H319" s="3"/>
      <c r="I319" s="4"/>
    </row>
    <row r="320" spans="2:9" x14ac:dyDescent="0.2">
      <c r="B320" s="2"/>
      <c r="C320" s="13"/>
      <c r="D320" s="13"/>
      <c r="E320" s="13"/>
      <c r="F320" s="10"/>
      <c r="G320" s="3"/>
      <c r="H320" s="3"/>
      <c r="I320" s="4"/>
    </row>
    <row r="321" spans="2:9" x14ac:dyDescent="0.2">
      <c r="B321" s="2"/>
      <c r="C321" s="13"/>
      <c r="D321" s="13"/>
      <c r="E321" s="13"/>
      <c r="F321" s="10"/>
      <c r="G321" s="3"/>
      <c r="H321" s="3"/>
      <c r="I321" s="4"/>
    </row>
    <row r="322" spans="2:9" x14ac:dyDescent="0.2">
      <c r="B322" s="2"/>
      <c r="C322" s="13"/>
      <c r="D322" s="13"/>
      <c r="E322" s="13"/>
      <c r="F322" s="10"/>
      <c r="G322" s="3"/>
      <c r="H322" s="3"/>
      <c r="I322" s="4"/>
    </row>
    <row r="323" spans="2:9" x14ac:dyDescent="0.2">
      <c r="B323" s="2"/>
      <c r="C323" s="13"/>
      <c r="D323" s="13"/>
      <c r="E323" s="13"/>
      <c r="F323" s="10"/>
      <c r="G323" s="3"/>
      <c r="H323" s="3"/>
      <c r="I323" s="4"/>
    </row>
    <row r="324" spans="2:9" x14ac:dyDescent="0.2">
      <c r="B324" s="2"/>
      <c r="C324" s="13"/>
      <c r="D324" s="13"/>
      <c r="E324" s="13"/>
      <c r="F324" s="10"/>
      <c r="G324" s="3"/>
      <c r="H324" s="3"/>
      <c r="I324" s="4"/>
    </row>
    <row r="325" spans="2:9" x14ac:dyDescent="0.2">
      <c r="B325" s="2"/>
      <c r="C325" s="13"/>
      <c r="D325" s="13"/>
      <c r="E325" s="13"/>
      <c r="F325" s="10"/>
      <c r="G325" s="3"/>
      <c r="H325" s="3"/>
      <c r="I325" s="4"/>
    </row>
    <row r="326" spans="2:9" x14ac:dyDescent="0.2">
      <c r="B326" s="2"/>
      <c r="C326" s="13"/>
      <c r="D326" s="13"/>
      <c r="E326" s="13"/>
      <c r="F326" s="10"/>
      <c r="G326" s="3"/>
      <c r="H326" s="3"/>
      <c r="I326" s="4"/>
    </row>
    <row r="327" spans="2:9" x14ac:dyDescent="0.2">
      <c r="B327" s="2"/>
      <c r="C327" s="13"/>
      <c r="D327" s="13"/>
      <c r="E327" s="13"/>
      <c r="F327" s="10"/>
      <c r="G327" s="3"/>
      <c r="H327" s="3"/>
      <c r="I327" s="4"/>
    </row>
    <row r="328" spans="2:9" x14ac:dyDescent="0.2">
      <c r="B328" s="2"/>
      <c r="C328" s="13"/>
      <c r="D328" s="13"/>
      <c r="E328" s="13"/>
      <c r="F328" s="10"/>
      <c r="G328" s="3"/>
      <c r="H328" s="3"/>
      <c r="I328" s="4"/>
    </row>
    <row r="329" spans="2:9" x14ac:dyDescent="0.2">
      <c r="B329" s="2"/>
      <c r="C329" s="13"/>
      <c r="D329" s="13"/>
      <c r="E329" s="13"/>
      <c r="F329" s="10"/>
      <c r="G329" s="3"/>
      <c r="H329" s="3"/>
      <c r="I329" s="4"/>
    </row>
    <row r="330" spans="2:9" x14ac:dyDescent="0.2">
      <c r="B330" s="2"/>
      <c r="C330" s="13"/>
      <c r="D330" s="13"/>
      <c r="E330" s="13"/>
      <c r="F330" s="10"/>
      <c r="G330" s="3"/>
      <c r="H330" s="3"/>
      <c r="I330" s="4"/>
    </row>
    <row r="331" spans="2:9" x14ac:dyDescent="0.2">
      <c r="B331" s="2"/>
      <c r="C331" s="13"/>
      <c r="D331" s="13"/>
      <c r="E331" s="13"/>
      <c r="F331" s="10"/>
      <c r="G331" s="3"/>
      <c r="H331" s="3"/>
      <c r="I331" s="4"/>
    </row>
    <row r="332" spans="2:9" x14ac:dyDescent="0.2">
      <c r="B332" s="2"/>
      <c r="C332" s="13"/>
      <c r="D332" s="13"/>
      <c r="E332" s="13"/>
      <c r="F332" s="10"/>
      <c r="G332" s="3"/>
      <c r="H332" s="3"/>
      <c r="I332" s="4"/>
    </row>
    <row r="333" spans="2:9" x14ac:dyDescent="0.2">
      <c r="B333" s="2"/>
      <c r="C333" s="13"/>
      <c r="D333" s="13"/>
      <c r="E333" s="13"/>
      <c r="F333" s="10"/>
      <c r="G333" s="3"/>
      <c r="H333" s="3"/>
      <c r="I333" s="4"/>
    </row>
    <row r="334" spans="2:9" x14ac:dyDescent="0.2">
      <c r="B334" s="2"/>
      <c r="C334" s="13"/>
      <c r="D334" s="13"/>
      <c r="E334" s="13"/>
      <c r="F334" s="10"/>
      <c r="G334" s="3"/>
      <c r="H334" s="3"/>
      <c r="I334" s="4"/>
    </row>
    <row r="335" spans="2:9" x14ac:dyDescent="0.2">
      <c r="B335" s="2"/>
      <c r="C335" s="13"/>
      <c r="D335" s="13"/>
      <c r="E335" s="13"/>
      <c r="F335" s="10"/>
      <c r="G335" s="3"/>
      <c r="H335" s="3"/>
      <c r="I335" s="4"/>
    </row>
    <row r="336" spans="2:9" x14ac:dyDescent="0.2">
      <c r="B336" s="2"/>
      <c r="C336" s="13"/>
      <c r="D336" s="13"/>
      <c r="E336" s="13"/>
      <c r="F336" s="10"/>
      <c r="G336" s="3"/>
      <c r="H336" s="3"/>
      <c r="I336" s="4"/>
    </row>
    <row r="337" spans="2:9" x14ac:dyDescent="0.2">
      <c r="B337" s="2"/>
      <c r="C337" s="13"/>
      <c r="D337" s="13"/>
      <c r="E337" s="13"/>
      <c r="F337" s="10"/>
      <c r="G337" s="3"/>
      <c r="H337" s="3"/>
      <c r="I337" s="4"/>
    </row>
    <row r="338" spans="2:9" x14ac:dyDescent="0.2">
      <c r="B338" s="2"/>
      <c r="C338" s="13"/>
      <c r="D338" s="13"/>
      <c r="E338" s="13"/>
      <c r="F338" s="10"/>
      <c r="G338" s="3"/>
      <c r="H338" s="3"/>
      <c r="I338" s="4"/>
    </row>
    <row r="339" spans="2:9" x14ac:dyDescent="0.2">
      <c r="B339" s="2"/>
      <c r="C339" s="13"/>
      <c r="D339" s="13"/>
      <c r="E339" s="13"/>
      <c r="F339" s="10"/>
      <c r="G339" s="3"/>
      <c r="H339" s="3"/>
      <c r="I339" s="4"/>
    </row>
    <row r="340" spans="2:9" x14ac:dyDescent="0.2">
      <c r="B340" s="2"/>
      <c r="C340" s="13"/>
      <c r="D340" s="13"/>
      <c r="E340" s="13"/>
      <c r="F340" s="10"/>
      <c r="G340" s="3"/>
      <c r="H340" s="3"/>
      <c r="I340" s="4"/>
    </row>
    <row r="341" spans="2:9" x14ac:dyDescent="0.2">
      <c r="B341" s="2"/>
      <c r="C341" s="13"/>
      <c r="D341" s="13"/>
      <c r="E341" s="13"/>
      <c r="F341" s="10"/>
      <c r="G341" s="3"/>
      <c r="H341" s="3"/>
      <c r="I341" s="4"/>
    </row>
    <row r="342" spans="2:9" x14ac:dyDescent="0.2">
      <c r="B342" s="2"/>
      <c r="C342" s="13"/>
      <c r="D342" s="13"/>
      <c r="E342" s="13"/>
      <c r="F342" s="10"/>
      <c r="G342" s="3"/>
      <c r="H342" s="3"/>
      <c r="I342" s="4"/>
    </row>
    <row r="343" spans="2:9" x14ac:dyDescent="0.2">
      <c r="B343" s="2"/>
      <c r="C343" s="13"/>
      <c r="D343" s="13"/>
      <c r="E343" s="13"/>
      <c r="F343" s="10"/>
      <c r="G343" s="3"/>
      <c r="H343" s="3"/>
      <c r="I343" s="4"/>
    </row>
    <row r="344" spans="2:9" x14ac:dyDescent="0.2">
      <c r="B344" s="2"/>
      <c r="C344" s="13"/>
      <c r="D344" s="13"/>
      <c r="E344" s="13"/>
      <c r="F344" s="10"/>
      <c r="G344" s="3"/>
      <c r="H344" s="3"/>
      <c r="I344" s="4"/>
    </row>
    <row r="345" spans="2:9" x14ac:dyDescent="0.2">
      <c r="B345" s="2"/>
      <c r="C345" s="13"/>
      <c r="D345" s="13"/>
      <c r="E345" s="13"/>
      <c r="F345" s="10"/>
      <c r="G345" s="3"/>
      <c r="H345" s="3"/>
      <c r="I345" s="4"/>
    </row>
    <row r="346" spans="2:9" x14ac:dyDescent="0.2">
      <c r="B346" s="2"/>
      <c r="C346" s="13"/>
      <c r="D346" s="13"/>
      <c r="E346" s="13"/>
      <c r="F346" s="10"/>
      <c r="G346" s="3"/>
      <c r="H346" s="3"/>
      <c r="I346" s="4"/>
    </row>
    <row r="347" spans="2:9" x14ac:dyDescent="0.2">
      <c r="B347" s="2"/>
      <c r="C347" s="13"/>
      <c r="D347" s="13"/>
      <c r="E347" s="13"/>
      <c r="F347" s="10"/>
      <c r="G347" s="3"/>
      <c r="H347" s="3"/>
      <c r="I347" s="4"/>
    </row>
    <row r="348" spans="2:9" x14ac:dyDescent="0.2">
      <c r="B348" s="2"/>
      <c r="C348" s="13"/>
      <c r="D348" s="13"/>
      <c r="E348" s="13"/>
      <c r="F348" s="10"/>
      <c r="G348" s="3"/>
      <c r="H348" s="3"/>
      <c r="I348" s="4"/>
    </row>
    <row r="349" spans="2:9" x14ac:dyDescent="0.2">
      <c r="B349" s="2"/>
      <c r="C349" s="13"/>
      <c r="D349" s="13"/>
      <c r="E349" s="13"/>
      <c r="F349" s="10"/>
      <c r="G349" s="3"/>
      <c r="H349" s="3"/>
      <c r="I349" s="4"/>
    </row>
    <row r="350" spans="2:9" x14ac:dyDescent="0.2">
      <c r="B350" s="2"/>
      <c r="C350" s="13"/>
      <c r="D350" s="13"/>
      <c r="E350" s="13"/>
      <c r="F350" s="10"/>
      <c r="G350" s="3"/>
      <c r="H350" s="3"/>
      <c r="I350" s="4"/>
    </row>
    <row r="351" spans="2:9" x14ac:dyDescent="0.2">
      <c r="B351" s="2"/>
      <c r="C351" s="13"/>
      <c r="D351" s="13"/>
      <c r="E351" s="13"/>
      <c r="F351" s="10"/>
      <c r="G351" s="3"/>
      <c r="H351" s="3"/>
      <c r="I351" s="4"/>
    </row>
    <row r="352" spans="2:9" x14ac:dyDescent="0.2">
      <c r="B352" s="2"/>
      <c r="C352" s="13"/>
      <c r="D352" s="13"/>
      <c r="E352" s="13"/>
      <c r="F352" s="10"/>
      <c r="G352" s="3"/>
      <c r="H352" s="3"/>
      <c r="I352" s="4"/>
    </row>
    <row r="353" spans="2:9" x14ac:dyDescent="0.2">
      <c r="B353" s="2"/>
      <c r="C353" s="13"/>
      <c r="D353" s="13"/>
      <c r="E353" s="13"/>
      <c r="F353" s="10"/>
      <c r="G353" s="3"/>
      <c r="H353" s="3"/>
      <c r="I353" s="4"/>
    </row>
    <row r="354" spans="2:9" x14ac:dyDescent="0.2">
      <c r="B354" s="2"/>
      <c r="C354" s="13"/>
      <c r="D354" s="13"/>
      <c r="E354" s="13"/>
      <c r="F354" s="10"/>
      <c r="G354" s="3"/>
      <c r="H354" s="3"/>
      <c r="I354" s="4"/>
    </row>
    <row r="355" spans="2:9" x14ac:dyDescent="0.2">
      <c r="B355" s="2"/>
      <c r="C355" s="13"/>
      <c r="D355" s="13"/>
      <c r="E355" s="13"/>
      <c r="F355" s="10"/>
      <c r="G355" s="3"/>
      <c r="H355" s="3"/>
      <c r="I355" s="4"/>
    </row>
    <row r="356" spans="2:9" x14ac:dyDescent="0.2">
      <c r="B356" s="2"/>
      <c r="C356" s="13"/>
      <c r="D356" s="13"/>
      <c r="E356" s="13"/>
      <c r="F356" s="10"/>
      <c r="G356" s="3"/>
      <c r="H356" s="3"/>
      <c r="I356" s="4"/>
    </row>
    <row r="357" spans="2:9" x14ac:dyDescent="0.2">
      <c r="B357" s="2"/>
      <c r="C357" s="13"/>
      <c r="D357" s="13"/>
      <c r="E357" s="13"/>
      <c r="F357" s="10"/>
      <c r="G357" s="3"/>
      <c r="H357" s="3"/>
      <c r="I357" s="4"/>
    </row>
    <row r="358" spans="2:9" x14ac:dyDescent="0.2">
      <c r="B358" s="2"/>
      <c r="C358" s="13"/>
      <c r="D358" s="13"/>
      <c r="E358" s="13"/>
      <c r="F358" s="10"/>
      <c r="G358" s="3"/>
      <c r="H358" s="3"/>
      <c r="I358" s="4"/>
    </row>
    <row r="359" spans="2:9" x14ac:dyDescent="0.2">
      <c r="B359" s="2"/>
      <c r="C359" s="13"/>
      <c r="D359" s="13"/>
      <c r="E359" s="13"/>
      <c r="F359" s="10"/>
      <c r="G359" s="3"/>
      <c r="H359" s="3"/>
      <c r="I359" s="4"/>
    </row>
    <row r="360" spans="2:9" x14ac:dyDescent="0.2">
      <c r="B360" s="2"/>
      <c r="C360" s="13"/>
      <c r="D360" s="13"/>
      <c r="E360" s="13"/>
      <c r="F360" s="10"/>
      <c r="G360" s="3"/>
      <c r="H360" s="3"/>
      <c r="I360" s="4"/>
    </row>
    <row r="361" spans="2:9" x14ac:dyDescent="0.2">
      <c r="B361" s="2"/>
      <c r="C361" s="13"/>
      <c r="D361" s="13"/>
      <c r="E361" s="13"/>
      <c r="F361" s="10"/>
      <c r="G361" s="3"/>
      <c r="H361" s="3"/>
      <c r="I361" s="4"/>
    </row>
    <row r="362" spans="2:9" x14ac:dyDescent="0.2">
      <c r="B362" s="2"/>
      <c r="C362" s="13"/>
      <c r="D362" s="13"/>
      <c r="E362" s="13"/>
      <c r="F362" s="10"/>
      <c r="G362" s="3"/>
      <c r="H362" s="3"/>
      <c r="I362" s="4"/>
    </row>
    <row r="363" spans="2:9" x14ac:dyDescent="0.2">
      <c r="B363" s="2"/>
      <c r="C363" s="13"/>
      <c r="D363" s="13"/>
      <c r="E363" s="13"/>
      <c r="F363" s="10"/>
      <c r="G363" s="3"/>
      <c r="H363" s="3"/>
      <c r="I363" s="4"/>
    </row>
    <row r="364" spans="2:9" x14ac:dyDescent="0.2">
      <c r="B364" s="2"/>
      <c r="C364" s="13"/>
      <c r="D364" s="13"/>
      <c r="E364" s="13"/>
      <c r="F364" s="10"/>
      <c r="G364" s="3"/>
      <c r="H364" s="3"/>
      <c r="I364" s="4"/>
    </row>
    <row r="365" spans="2:9" x14ac:dyDescent="0.2">
      <c r="B365" s="2"/>
      <c r="C365" s="13"/>
      <c r="D365" s="13"/>
      <c r="E365" s="13"/>
      <c r="F365" s="10"/>
      <c r="G365" s="3"/>
      <c r="H365" s="3"/>
      <c r="I365" s="4"/>
    </row>
    <row r="366" spans="2:9" x14ac:dyDescent="0.2">
      <c r="B366" s="2"/>
      <c r="C366" s="13"/>
      <c r="D366" s="13"/>
      <c r="E366" s="13"/>
      <c r="F366" s="10"/>
      <c r="G366" s="3"/>
      <c r="H366" s="3"/>
      <c r="I366" s="4"/>
    </row>
    <row r="367" spans="2:9" x14ac:dyDescent="0.2">
      <c r="B367" s="2"/>
      <c r="C367" s="13"/>
      <c r="D367" s="13"/>
      <c r="E367" s="13"/>
      <c r="F367" s="10"/>
      <c r="G367" s="3"/>
      <c r="H367" s="3"/>
      <c r="I367" s="4"/>
    </row>
    <row r="368" spans="2:9" x14ac:dyDescent="0.2">
      <c r="B368" s="2"/>
      <c r="C368" s="13"/>
      <c r="D368" s="13"/>
      <c r="E368" s="13"/>
      <c r="F368" s="10"/>
      <c r="G368" s="3"/>
      <c r="H368" s="3"/>
      <c r="I368" s="4"/>
    </row>
    <row r="369" spans="2:9" x14ac:dyDescent="0.2">
      <c r="B369" s="2"/>
      <c r="C369" s="13"/>
      <c r="D369" s="13"/>
      <c r="E369" s="13"/>
      <c r="F369" s="10"/>
      <c r="G369" s="3"/>
      <c r="H369" s="3"/>
      <c r="I369" s="4"/>
    </row>
    <row r="370" spans="2:9" x14ac:dyDescent="0.2">
      <c r="B370" s="2"/>
      <c r="C370" s="13"/>
      <c r="D370" s="13"/>
      <c r="E370" s="13"/>
      <c r="F370" s="10"/>
      <c r="G370" s="3"/>
      <c r="H370" s="3"/>
      <c r="I370" s="4"/>
    </row>
    <row r="371" spans="2:9" x14ac:dyDescent="0.2">
      <c r="B371" s="2"/>
      <c r="C371" s="13"/>
      <c r="D371" s="13"/>
      <c r="E371" s="13"/>
      <c r="F371" s="10"/>
      <c r="G371" s="3"/>
      <c r="H371" s="3"/>
      <c r="I371" s="4"/>
    </row>
    <row r="372" spans="2:9" x14ac:dyDescent="0.2">
      <c r="B372" s="2"/>
      <c r="C372" s="13"/>
      <c r="D372" s="13"/>
      <c r="E372" s="13"/>
      <c r="F372" s="10"/>
      <c r="G372" s="3"/>
      <c r="H372" s="3"/>
      <c r="I372" s="4"/>
    </row>
    <row r="373" spans="2:9" x14ac:dyDescent="0.2">
      <c r="B373" s="2"/>
      <c r="C373" s="13"/>
      <c r="D373" s="13"/>
      <c r="E373" s="13"/>
      <c r="F373" s="10"/>
      <c r="G373" s="3"/>
      <c r="H373" s="3"/>
      <c r="I373" s="4"/>
    </row>
    <row r="374" spans="2:9" x14ac:dyDescent="0.2">
      <c r="B374" s="2"/>
      <c r="C374" s="13"/>
      <c r="D374" s="13"/>
      <c r="E374" s="13"/>
      <c r="F374" s="10"/>
      <c r="G374" s="3"/>
      <c r="H374" s="3"/>
      <c r="I374" s="4"/>
    </row>
    <row r="375" spans="2:9" x14ac:dyDescent="0.2">
      <c r="B375" s="2"/>
      <c r="C375" s="13"/>
      <c r="D375" s="13"/>
      <c r="E375" s="13"/>
      <c r="F375" s="10"/>
      <c r="G375" s="3"/>
      <c r="H375" s="3"/>
      <c r="I375" s="4"/>
    </row>
    <row r="376" spans="2:9" x14ac:dyDescent="0.2">
      <c r="B376" s="2"/>
      <c r="C376" s="13"/>
      <c r="D376" s="13"/>
      <c r="E376" s="13"/>
      <c r="F376" s="10"/>
      <c r="G376" s="3"/>
      <c r="H376" s="3"/>
      <c r="I376" s="4"/>
    </row>
    <row r="377" spans="2:9" x14ac:dyDescent="0.2">
      <c r="B377" s="2"/>
      <c r="C377" s="13"/>
      <c r="D377" s="13"/>
      <c r="E377" s="13"/>
      <c r="F377" s="10"/>
      <c r="G377" s="3"/>
      <c r="H377" s="3"/>
      <c r="I377" s="4"/>
    </row>
    <row r="378" spans="2:9" x14ac:dyDescent="0.2">
      <c r="B378" s="2"/>
      <c r="C378" s="13"/>
      <c r="D378" s="13"/>
      <c r="E378" s="13"/>
      <c r="F378" s="10"/>
      <c r="G378" s="3"/>
      <c r="H378" s="3"/>
      <c r="I378" s="4"/>
    </row>
    <row r="379" spans="2:9" x14ac:dyDescent="0.2">
      <c r="B379" s="2"/>
      <c r="C379" s="13"/>
      <c r="D379" s="13"/>
      <c r="E379" s="13"/>
      <c r="F379" s="10"/>
      <c r="G379" s="3"/>
      <c r="H379" s="3"/>
      <c r="I379" s="4"/>
    </row>
    <row r="380" spans="2:9" x14ac:dyDescent="0.2">
      <c r="B380" s="2"/>
      <c r="C380" s="13"/>
      <c r="D380" s="13"/>
      <c r="E380" s="13"/>
      <c r="F380" s="10"/>
      <c r="G380" s="3"/>
      <c r="H380" s="3"/>
      <c r="I380" s="4"/>
    </row>
    <row r="381" spans="2:9" x14ac:dyDescent="0.2">
      <c r="B381" s="2"/>
      <c r="C381" s="13"/>
      <c r="D381" s="13"/>
      <c r="E381" s="13"/>
      <c r="F381" s="10"/>
      <c r="G381" s="3"/>
      <c r="H381" s="3"/>
      <c r="I381" s="4"/>
    </row>
    <row r="382" spans="2:9" x14ac:dyDescent="0.2">
      <c r="B382" s="2"/>
      <c r="C382" s="13"/>
      <c r="D382" s="13"/>
      <c r="E382" s="13"/>
      <c r="F382" s="10"/>
      <c r="G382" s="3"/>
      <c r="H382" s="3"/>
      <c r="I382" s="4"/>
    </row>
    <row r="383" spans="2:9" x14ac:dyDescent="0.2">
      <c r="B383" s="2"/>
      <c r="C383" s="13"/>
      <c r="D383" s="13"/>
      <c r="E383" s="13"/>
      <c r="F383" s="10"/>
      <c r="G383" s="3"/>
      <c r="H383" s="3"/>
      <c r="I383" s="4"/>
    </row>
    <row r="384" spans="2:9" x14ac:dyDescent="0.2">
      <c r="B384" s="2"/>
      <c r="C384" s="13"/>
      <c r="D384" s="13"/>
      <c r="E384" s="13"/>
      <c r="F384" s="10"/>
      <c r="G384" s="3"/>
      <c r="H384" s="3"/>
      <c r="I384" s="4"/>
    </row>
    <row r="385" spans="2:9" x14ac:dyDescent="0.2">
      <c r="B385" s="2"/>
      <c r="C385" s="13"/>
      <c r="D385" s="13"/>
      <c r="E385" s="13"/>
      <c r="F385" s="10"/>
      <c r="G385" s="3"/>
      <c r="H385" s="3"/>
      <c r="I385" s="4"/>
    </row>
    <row r="386" spans="2:9" x14ac:dyDescent="0.2">
      <c r="B386" s="2"/>
      <c r="C386" s="13"/>
      <c r="D386" s="13"/>
      <c r="E386" s="13"/>
      <c r="F386" s="10"/>
      <c r="G386" s="3"/>
      <c r="H386" s="3"/>
      <c r="I386" s="4"/>
    </row>
    <row r="387" spans="2:9" x14ac:dyDescent="0.2">
      <c r="B387" s="2"/>
      <c r="C387" s="13"/>
      <c r="D387" s="13"/>
      <c r="E387" s="13"/>
      <c r="F387" s="10"/>
      <c r="G387" s="3"/>
      <c r="H387" s="3"/>
      <c r="I387" s="4"/>
    </row>
    <row r="388" spans="2:9" x14ac:dyDescent="0.2">
      <c r="B388" s="2"/>
      <c r="C388" s="13"/>
      <c r="D388" s="13"/>
      <c r="E388" s="13"/>
      <c r="F388" s="10"/>
      <c r="G388" s="3"/>
      <c r="H388" s="3"/>
      <c r="I388" s="4"/>
    </row>
    <row r="389" spans="2:9" x14ac:dyDescent="0.2">
      <c r="B389" s="2"/>
      <c r="C389" s="13"/>
      <c r="D389" s="13"/>
      <c r="E389" s="13"/>
      <c r="F389" s="10"/>
      <c r="G389" s="3"/>
      <c r="H389" s="3"/>
      <c r="I389" s="4"/>
    </row>
    <row r="390" spans="2:9" x14ac:dyDescent="0.2">
      <c r="B390" s="2"/>
      <c r="C390" s="13"/>
      <c r="D390" s="13"/>
      <c r="E390" s="13"/>
      <c r="F390" s="10"/>
      <c r="G390" s="3"/>
      <c r="H390" s="3"/>
      <c r="I390" s="4"/>
    </row>
    <row r="391" spans="2:9" x14ac:dyDescent="0.2">
      <c r="B391" s="2"/>
      <c r="C391" s="13"/>
      <c r="D391" s="13"/>
      <c r="E391" s="13"/>
      <c r="F391" s="10"/>
      <c r="G391" s="3"/>
      <c r="H391" s="3"/>
      <c r="I391" s="4"/>
    </row>
    <row r="392" spans="2:9" x14ac:dyDescent="0.2">
      <c r="B392" s="2"/>
      <c r="C392" s="13"/>
      <c r="D392" s="13"/>
      <c r="E392" s="13"/>
      <c r="F392" s="10"/>
      <c r="G392" s="3"/>
      <c r="H392" s="3"/>
      <c r="I392" s="4"/>
    </row>
    <row r="393" spans="2:9" x14ac:dyDescent="0.2">
      <c r="B393" s="2"/>
      <c r="C393" s="13"/>
      <c r="D393" s="13"/>
      <c r="E393" s="13"/>
      <c r="F393" s="10"/>
      <c r="G393" s="3"/>
      <c r="H393" s="3"/>
      <c r="I393" s="4"/>
    </row>
    <row r="394" spans="2:9" x14ac:dyDescent="0.2">
      <c r="B394" s="2"/>
      <c r="C394" s="13"/>
      <c r="D394" s="13"/>
      <c r="E394" s="13"/>
      <c r="F394" s="10"/>
      <c r="G394" s="3"/>
      <c r="H394" s="3"/>
      <c r="I394" s="4"/>
    </row>
    <row r="395" spans="2:9" x14ac:dyDescent="0.2">
      <c r="B395" s="2"/>
      <c r="C395" s="13"/>
      <c r="D395" s="13"/>
      <c r="E395" s="13"/>
      <c r="F395" s="10"/>
      <c r="G395" s="3"/>
      <c r="H395" s="3"/>
      <c r="I395" s="4"/>
    </row>
    <row r="396" spans="2:9" x14ac:dyDescent="0.2">
      <c r="B396" s="2"/>
      <c r="C396" s="13"/>
      <c r="D396" s="13"/>
      <c r="E396" s="13"/>
      <c r="F396" s="10"/>
      <c r="G396" s="3"/>
      <c r="H396" s="3"/>
      <c r="I396" s="4"/>
    </row>
    <row r="397" spans="2:9" x14ac:dyDescent="0.2">
      <c r="B397" s="2"/>
      <c r="C397" s="13"/>
      <c r="D397" s="13"/>
      <c r="E397" s="13"/>
      <c r="F397" s="10"/>
      <c r="G397" s="3"/>
      <c r="H397" s="3"/>
      <c r="I397" s="4"/>
    </row>
    <row r="398" spans="2:9" x14ac:dyDescent="0.2">
      <c r="B398" s="2"/>
      <c r="C398" s="13"/>
      <c r="D398" s="13"/>
      <c r="E398" s="13"/>
      <c r="F398" s="10"/>
      <c r="G398" s="3"/>
      <c r="H398" s="3"/>
      <c r="I398" s="4"/>
    </row>
    <row r="399" spans="2:9" x14ac:dyDescent="0.2">
      <c r="B399" s="2"/>
      <c r="C399" s="13"/>
      <c r="D399" s="13"/>
      <c r="E399" s="13"/>
      <c r="F399" s="10"/>
      <c r="G399" s="3"/>
      <c r="H399" s="3"/>
      <c r="I399" s="4"/>
    </row>
    <row r="400" spans="2:9" x14ac:dyDescent="0.2">
      <c r="B400" s="2"/>
      <c r="C400" s="13"/>
      <c r="D400" s="13"/>
      <c r="E400" s="13"/>
      <c r="F400" s="10"/>
      <c r="G400" s="3"/>
      <c r="H400" s="3"/>
      <c r="I400" s="4"/>
    </row>
    <row r="401" spans="2:9" x14ac:dyDescent="0.2">
      <c r="B401" s="2"/>
      <c r="C401" s="13"/>
      <c r="D401" s="13"/>
      <c r="E401" s="13"/>
      <c r="F401" s="10"/>
      <c r="G401" s="3"/>
      <c r="H401" s="3"/>
      <c r="I401" s="4"/>
    </row>
    <row r="402" spans="2:9" x14ac:dyDescent="0.2">
      <c r="B402" s="2"/>
      <c r="C402" s="13"/>
      <c r="D402" s="13"/>
      <c r="E402" s="13"/>
      <c r="F402" s="10"/>
      <c r="G402" s="3"/>
      <c r="H402" s="3"/>
      <c r="I402" s="4"/>
    </row>
    <row r="403" spans="2:9" x14ac:dyDescent="0.2">
      <c r="B403" s="2"/>
      <c r="C403" s="13"/>
      <c r="D403" s="13"/>
      <c r="E403" s="13"/>
      <c r="F403" s="10"/>
      <c r="G403" s="3"/>
      <c r="H403" s="3"/>
      <c r="I403" s="4"/>
    </row>
    <row r="404" spans="2:9" x14ac:dyDescent="0.2">
      <c r="B404" s="2"/>
      <c r="C404" s="13"/>
      <c r="D404" s="13"/>
      <c r="E404" s="13"/>
      <c r="F404" s="10"/>
      <c r="G404" s="3"/>
      <c r="H404" s="3"/>
      <c r="I404" s="4"/>
    </row>
    <row r="405" spans="2:9" x14ac:dyDescent="0.2">
      <c r="B405" s="2"/>
      <c r="C405" s="13"/>
      <c r="D405" s="13"/>
      <c r="E405" s="13"/>
      <c r="F405" s="10"/>
      <c r="G405" s="3"/>
      <c r="H405" s="3"/>
      <c r="I405" s="4"/>
    </row>
    <row r="406" spans="2:9" x14ac:dyDescent="0.2">
      <c r="B406" s="2"/>
      <c r="C406" s="13"/>
      <c r="D406" s="13"/>
      <c r="E406" s="13"/>
      <c r="F406" s="10"/>
      <c r="G406" s="3"/>
      <c r="H406" s="3"/>
      <c r="I406" s="4"/>
    </row>
    <row r="407" spans="2:9" x14ac:dyDescent="0.2">
      <c r="B407" s="2"/>
      <c r="C407" s="13"/>
      <c r="D407" s="13"/>
      <c r="E407" s="13"/>
      <c r="F407" s="10"/>
      <c r="G407" s="3"/>
      <c r="H407" s="3"/>
      <c r="I407" s="4"/>
    </row>
    <row r="408" spans="2:9" x14ac:dyDescent="0.2">
      <c r="B408" s="2"/>
      <c r="C408" s="13"/>
      <c r="D408" s="13"/>
      <c r="E408" s="13"/>
      <c r="F408" s="10"/>
      <c r="G408" s="3"/>
      <c r="H408" s="3"/>
      <c r="I408" s="4"/>
    </row>
    <row r="409" spans="2:9" x14ac:dyDescent="0.2">
      <c r="B409" s="2"/>
      <c r="C409" s="13"/>
      <c r="D409" s="13"/>
      <c r="E409" s="13"/>
      <c r="F409" s="10"/>
      <c r="G409" s="3"/>
      <c r="H409" s="3"/>
      <c r="I409" s="4"/>
    </row>
    <row r="410" spans="2:9" x14ac:dyDescent="0.2">
      <c r="B410" s="2"/>
      <c r="C410" s="13"/>
      <c r="D410" s="13"/>
      <c r="E410" s="13"/>
      <c r="F410" s="10"/>
      <c r="G410" s="3"/>
      <c r="H410" s="3"/>
      <c r="I410" s="4"/>
    </row>
    <row r="411" spans="2:9" x14ac:dyDescent="0.2">
      <c r="B411" s="2"/>
      <c r="C411" s="13"/>
      <c r="D411" s="13"/>
      <c r="E411" s="13"/>
      <c r="F411" s="10"/>
      <c r="G411" s="3"/>
      <c r="H411" s="3"/>
      <c r="I411" s="4"/>
    </row>
    <row r="412" spans="2:9" x14ac:dyDescent="0.2">
      <c r="B412" s="2"/>
      <c r="C412" s="13"/>
      <c r="D412" s="13"/>
      <c r="E412" s="13"/>
      <c r="F412" s="10"/>
      <c r="G412" s="3"/>
      <c r="H412" s="3"/>
      <c r="I412" s="4"/>
    </row>
    <row r="413" spans="2:9" x14ac:dyDescent="0.2">
      <c r="B413" s="2"/>
      <c r="C413" s="13"/>
      <c r="D413" s="13"/>
      <c r="E413" s="13"/>
      <c r="F413" s="10"/>
      <c r="G413" s="3"/>
      <c r="H413" s="3"/>
      <c r="I413" s="4"/>
    </row>
    <row r="414" spans="2:9" x14ac:dyDescent="0.2">
      <c r="B414" s="2"/>
      <c r="C414" s="13"/>
      <c r="D414" s="13"/>
      <c r="E414" s="13"/>
      <c r="F414" s="10"/>
      <c r="G414" s="3"/>
      <c r="H414" s="3"/>
      <c r="I414" s="4"/>
    </row>
    <row r="415" spans="2:9" x14ac:dyDescent="0.2">
      <c r="B415" s="2"/>
      <c r="C415" s="13"/>
      <c r="D415" s="13"/>
      <c r="E415" s="13"/>
      <c r="F415" s="10"/>
      <c r="G415" s="3"/>
      <c r="H415" s="3"/>
      <c r="I415" s="4"/>
    </row>
    <row r="416" spans="2:9" x14ac:dyDescent="0.2">
      <c r="B416" s="2"/>
      <c r="C416" s="13"/>
      <c r="D416" s="13"/>
      <c r="E416" s="13"/>
      <c r="F416" s="10"/>
      <c r="G416" s="3"/>
      <c r="H416" s="3"/>
      <c r="I416" s="4"/>
    </row>
    <row r="417" spans="2:9" x14ac:dyDescent="0.2">
      <c r="B417" s="2"/>
      <c r="C417" s="13"/>
      <c r="D417" s="13"/>
      <c r="E417" s="13"/>
      <c r="F417" s="10"/>
      <c r="G417" s="3"/>
      <c r="H417" s="3"/>
      <c r="I417" s="4"/>
    </row>
    <row r="418" spans="2:9" x14ac:dyDescent="0.2">
      <c r="B418" s="2"/>
      <c r="C418" s="13"/>
      <c r="D418" s="13"/>
      <c r="E418" s="13"/>
      <c r="F418" s="10"/>
      <c r="G418" s="3"/>
      <c r="H418" s="3"/>
      <c r="I418" s="4"/>
    </row>
    <row r="419" spans="2:9" x14ac:dyDescent="0.2">
      <c r="B419" s="2"/>
      <c r="C419" s="13"/>
      <c r="D419" s="13"/>
      <c r="E419" s="13"/>
      <c r="F419" s="10"/>
      <c r="G419" s="3"/>
      <c r="H419" s="3"/>
      <c r="I419" s="4"/>
    </row>
    <row r="420" spans="2:9" x14ac:dyDescent="0.2">
      <c r="B420" s="2"/>
      <c r="C420" s="13"/>
      <c r="D420" s="13"/>
      <c r="E420" s="13"/>
      <c r="F420" s="10"/>
      <c r="G420" s="3"/>
      <c r="H420" s="3"/>
      <c r="I420" s="4"/>
    </row>
    <row r="421" spans="2:9" x14ac:dyDescent="0.2">
      <c r="B421" s="2"/>
      <c r="C421" s="13"/>
      <c r="D421" s="13"/>
      <c r="E421" s="13"/>
      <c r="F421" s="10"/>
      <c r="G421" s="3"/>
      <c r="H421" s="3"/>
      <c r="I421" s="4"/>
    </row>
    <row r="422" spans="2:9" x14ac:dyDescent="0.2">
      <c r="B422" s="2"/>
      <c r="C422" s="13"/>
      <c r="D422" s="13"/>
      <c r="E422" s="13"/>
      <c r="F422" s="10"/>
      <c r="G422" s="3"/>
      <c r="H422" s="3"/>
      <c r="I422" s="4"/>
    </row>
    <row r="423" spans="2:9" x14ac:dyDescent="0.2">
      <c r="B423" s="2"/>
      <c r="C423" s="13"/>
      <c r="D423" s="13"/>
      <c r="E423" s="13"/>
      <c r="F423" s="10"/>
      <c r="G423" s="3"/>
      <c r="H423" s="3"/>
      <c r="I423" s="4"/>
    </row>
    <row r="424" spans="2:9" x14ac:dyDescent="0.2">
      <c r="B424" s="2"/>
      <c r="C424" s="13"/>
      <c r="D424" s="13"/>
      <c r="E424" s="13"/>
      <c r="F424" s="10"/>
      <c r="G424" s="3"/>
      <c r="H424" s="3"/>
      <c r="I424" s="4"/>
    </row>
    <row r="425" spans="2:9" x14ac:dyDescent="0.2">
      <c r="B425" s="2"/>
      <c r="C425" s="13"/>
      <c r="D425" s="13"/>
      <c r="E425" s="13"/>
      <c r="F425" s="10"/>
      <c r="G425" s="3"/>
      <c r="H425" s="3"/>
      <c r="I425" s="4"/>
    </row>
    <row r="426" spans="2:9" x14ac:dyDescent="0.2">
      <c r="B426" s="2"/>
      <c r="C426" s="13"/>
      <c r="D426" s="13"/>
      <c r="E426" s="13"/>
      <c r="F426" s="10"/>
      <c r="G426" s="3"/>
      <c r="H426" s="3"/>
      <c r="I426" s="4"/>
    </row>
    <row r="427" spans="2:9" x14ac:dyDescent="0.2">
      <c r="B427" s="2"/>
      <c r="C427" s="13"/>
      <c r="D427" s="13"/>
      <c r="E427" s="13"/>
      <c r="F427" s="10"/>
      <c r="G427" s="3"/>
      <c r="H427" s="3"/>
      <c r="I427" s="4"/>
    </row>
    <row r="428" spans="2:9" x14ac:dyDescent="0.2">
      <c r="B428" s="2"/>
      <c r="C428" s="13"/>
      <c r="D428" s="13"/>
      <c r="E428" s="13"/>
      <c r="F428" s="10"/>
      <c r="G428" s="3"/>
      <c r="H428" s="3"/>
      <c r="I428" s="4"/>
    </row>
    <row r="429" spans="2:9" x14ac:dyDescent="0.2">
      <c r="B429" s="2"/>
      <c r="C429" s="13"/>
      <c r="D429" s="13"/>
      <c r="E429" s="13"/>
      <c r="F429" s="10"/>
      <c r="G429" s="3"/>
      <c r="H429" s="3"/>
      <c r="I429" s="4"/>
    </row>
    <row r="430" spans="2:9" x14ac:dyDescent="0.2">
      <c r="B430" s="2"/>
      <c r="C430" s="13"/>
      <c r="D430" s="13"/>
      <c r="E430" s="13"/>
      <c r="F430" s="10"/>
      <c r="G430" s="3"/>
      <c r="H430" s="3"/>
      <c r="I430" s="4"/>
    </row>
    <row r="431" spans="2:9" x14ac:dyDescent="0.2">
      <c r="B431" s="2"/>
      <c r="C431" s="13"/>
      <c r="D431" s="13"/>
      <c r="E431" s="13"/>
      <c r="F431" s="10"/>
      <c r="G431" s="3"/>
      <c r="H431" s="3"/>
      <c r="I431" s="4"/>
    </row>
    <row r="432" spans="2:9" x14ac:dyDescent="0.2">
      <c r="B432" s="2"/>
      <c r="C432" s="13"/>
      <c r="D432" s="13"/>
      <c r="E432" s="13"/>
      <c r="F432" s="10"/>
      <c r="G432" s="3"/>
      <c r="H432" s="3"/>
      <c r="I432" s="4"/>
    </row>
    <row r="433" spans="2:9" x14ac:dyDescent="0.2">
      <c r="B433" s="2"/>
      <c r="C433" s="13"/>
      <c r="D433" s="13"/>
      <c r="E433" s="13"/>
      <c r="F433" s="10"/>
      <c r="G433" s="3"/>
      <c r="H433" s="3"/>
      <c r="I433" s="4"/>
    </row>
    <row r="434" spans="2:9" x14ac:dyDescent="0.2">
      <c r="B434" s="2"/>
      <c r="C434" s="13"/>
      <c r="D434" s="13"/>
      <c r="E434" s="13"/>
      <c r="F434" s="10"/>
      <c r="G434" s="3"/>
      <c r="H434" s="3"/>
      <c r="I434" s="4"/>
    </row>
    <row r="435" spans="2:9" x14ac:dyDescent="0.2">
      <c r="B435" s="2"/>
      <c r="C435" s="13"/>
      <c r="D435" s="13"/>
      <c r="E435" s="13"/>
      <c r="F435" s="10"/>
      <c r="G435" s="3"/>
      <c r="H435" s="3"/>
      <c r="I435" s="4"/>
    </row>
    <row r="436" spans="2:9" x14ac:dyDescent="0.2">
      <c r="B436" s="2"/>
      <c r="C436" s="13"/>
      <c r="D436" s="13"/>
      <c r="E436" s="13"/>
      <c r="F436" s="10"/>
      <c r="G436" s="3"/>
      <c r="H436" s="3"/>
      <c r="I436" s="4"/>
    </row>
    <row r="437" spans="2:9" x14ac:dyDescent="0.2">
      <c r="B437" s="2"/>
      <c r="C437" s="13"/>
      <c r="D437" s="13"/>
      <c r="E437" s="13"/>
      <c r="F437" s="10"/>
      <c r="G437" s="3"/>
      <c r="H437" s="3"/>
      <c r="I437" s="4"/>
    </row>
    <row r="438" spans="2:9" x14ac:dyDescent="0.2">
      <c r="B438" s="2"/>
      <c r="C438" s="13"/>
      <c r="D438" s="13"/>
      <c r="E438" s="13"/>
      <c r="F438" s="10"/>
      <c r="G438" s="3"/>
      <c r="H438" s="3"/>
      <c r="I438" s="4"/>
    </row>
    <row r="439" spans="2:9" x14ac:dyDescent="0.2">
      <c r="B439" s="2"/>
      <c r="C439" s="13"/>
      <c r="D439" s="13"/>
      <c r="E439" s="13"/>
      <c r="F439" s="10"/>
      <c r="G439" s="3"/>
      <c r="H439" s="3"/>
      <c r="I439" s="4"/>
    </row>
    <row r="440" spans="2:9" x14ac:dyDescent="0.2">
      <c r="B440" s="2"/>
      <c r="C440" s="13"/>
      <c r="D440" s="13"/>
      <c r="E440" s="13"/>
      <c r="F440" s="10"/>
      <c r="G440" s="3"/>
      <c r="H440" s="3"/>
      <c r="I440" s="4"/>
    </row>
    <row r="441" spans="2:9" x14ac:dyDescent="0.2">
      <c r="B441" s="2"/>
      <c r="C441" s="13"/>
      <c r="D441" s="13"/>
      <c r="E441" s="13"/>
      <c r="F441" s="10"/>
      <c r="G441" s="3"/>
      <c r="H441" s="3"/>
      <c r="I441" s="4"/>
    </row>
    <row r="442" spans="2:9" x14ac:dyDescent="0.2">
      <c r="B442" s="2"/>
      <c r="C442" s="13"/>
      <c r="D442" s="13"/>
      <c r="E442" s="13"/>
      <c r="F442" s="10"/>
      <c r="G442" s="3"/>
      <c r="H442" s="3"/>
      <c r="I442" s="4"/>
    </row>
    <row r="443" spans="2:9" x14ac:dyDescent="0.2">
      <c r="B443" s="2"/>
      <c r="C443" s="13"/>
      <c r="D443" s="13"/>
      <c r="E443" s="13"/>
      <c r="F443" s="10"/>
      <c r="G443" s="3"/>
      <c r="H443" s="3"/>
      <c r="I443" s="4"/>
    </row>
    <row r="444" spans="2:9" x14ac:dyDescent="0.2">
      <c r="B444" s="2"/>
      <c r="C444" s="13"/>
      <c r="D444" s="13"/>
      <c r="E444" s="13"/>
      <c r="F444" s="10"/>
      <c r="G444" s="3"/>
      <c r="H444" s="3"/>
      <c r="I444" s="4"/>
    </row>
    <row r="445" spans="2:9" x14ac:dyDescent="0.2">
      <c r="B445" s="2"/>
      <c r="C445" s="13"/>
      <c r="D445" s="13"/>
      <c r="E445" s="13"/>
      <c r="F445" s="10"/>
      <c r="G445" s="3"/>
      <c r="H445" s="3"/>
      <c r="I445" s="4"/>
    </row>
    <row r="446" spans="2:9" x14ac:dyDescent="0.2">
      <c r="B446" s="2"/>
      <c r="C446" s="13"/>
      <c r="D446" s="13"/>
      <c r="E446" s="13"/>
      <c r="F446" s="10"/>
      <c r="G446" s="3"/>
      <c r="H446" s="3"/>
      <c r="I446" s="4"/>
    </row>
    <row r="447" spans="2:9" x14ac:dyDescent="0.2">
      <c r="B447" s="2"/>
      <c r="C447" s="13"/>
      <c r="D447" s="13"/>
      <c r="E447" s="13"/>
      <c r="F447" s="10"/>
      <c r="G447" s="3"/>
      <c r="H447" s="3"/>
      <c r="I447" s="4"/>
    </row>
    <row r="448" spans="2:9" x14ac:dyDescent="0.2">
      <c r="B448" s="2"/>
      <c r="C448" s="13"/>
      <c r="D448" s="13"/>
      <c r="E448" s="13"/>
      <c r="F448" s="10"/>
      <c r="G448" s="3"/>
      <c r="H448" s="3"/>
      <c r="I448" s="4"/>
    </row>
    <row r="449" spans="2:9" x14ac:dyDescent="0.2">
      <c r="B449" s="2"/>
      <c r="C449" s="13"/>
      <c r="D449" s="13"/>
      <c r="E449" s="13"/>
      <c r="F449" s="10"/>
      <c r="G449" s="3"/>
      <c r="H449" s="3"/>
      <c r="I449" s="4"/>
    </row>
    <row r="450" spans="2:9" x14ac:dyDescent="0.2">
      <c r="B450" s="2"/>
      <c r="C450" s="13"/>
      <c r="D450" s="13"/>
      <c r="E450" s="13"/>
      <c r="F450" s="10"/>
      <c r="G450" s="3"/>
      <c r="H450" s="3"/>
      <c r="I450" s="4"/>
    </row>
    <row r="451" spans="2:9" x14ac:dyDescent="0.2">
      <c r="B451" s="2"/>
      <c r="C451" s="13"/>
      <c r="D451" s="13"/>
      <c r="E451" s="13"/>
      <c r="F451" s="10"/>
      <c r="G451" s="3"/>
      <c r="H451" s="3"/>
      <c r="I451" s="4"/>
    </row>
    <row r="452" spans="2:9" x14ac:dyDescent="0.2">
      <c r="B452" s="2"/>
      <c r="C452" s="13"/>
      <c r="D452" s="13"/>
      <c r="E452" s="13"/>
      <c r="F452" s="10"/>
      <c r="G452" s="3"/>
      <c r="H452" s="3"/>
      <c r="I452" s="4"/>
    </row>
    <row r="453" spans="2:9" x14ac:dyDescent="0.2">
      <c r="B453" s="2"/>
      <c r="C453" s="13"/>
      <c r="D453" s="13"/>
      <c r="E453" s="13"/>
      <c r="F453" s="10"/>
      <c r="G453" s="3"/>
      <c r="H453" s="3"/>
      <c r="I453" s="4"/>
    </row>
    <row r="454" spans="2:9" x14ac:dyDescent="0.2">
      <c r="B454" s="2"/>
      <c r="C454" s="13"/>
      <c r="D454" s="13"/>
      <c r="E454" s="13"/>
      <c r="F454" s="10"/>
      <c r="G454" s="3"/>
      <c r="H454" s="3"/>
      <c r="I454" s="4"/>
    </row>
    <row r="455" spans="2:9" x14ac:dyDescent="0.2">
      <c r="B455" s="2"/>
      <c r="C455" s="13"/>
      <c r="D455" s="13"/>
      <c r="E455" s="13"/>
      <c r="F455" s="10"/>
      <c r="G455" s="3"/>
      <c r="H455" s="3"/>
      <c r="I455" s="4"/>
    </row>
    <row r="456" spans="2:9" x14ac:dyDescent="0.2">
      <c r="B456" s="2"/>
      <c r="C456" s="13"/>
      <c r="D456" s="13"/>
      <c r="E456" s="13"/>
      <c r="F456" s="10"/>
      <c r="G456" s="3"/>
      <c r="H456" s="3"/>
      <c r="I456" s="4"/>
    </row>
    <row r="457" spans="2:9" x14ac:dyDescent="0.2">
      <c r="B457" s="2"/>
      <c r="C457" s="13"/>
      <c r="D457" s="13"/>
      <c r="E457" s="13"/>
      <c r="F457" s="10"/>
      <c r="G457" s="3"/>
      <c r="H457" s="3"/>
      <c r="I457" s="4"/>
    </row>
    <row r="458" spans="2:9" x14ac:dyDescent="0.2">
      <c r="B458" s="2"/>
      <c r="C458" s="13"/>
      <c r="D458" s="13"/>
      <c r="E458" s="13"/>
      <c r="F458" s="10"/>
      <c r="G458" s="3"/>
      <c r="H458" s="3"/>
      <c r="I458" s="4"/>
    </row>
    <row r="459" spans="2:9" x14ac:dyDescent="0.2">
      <c r="B459" s="2"/>
      <c r="C459" s="13"/>
      <c r="D459" s="13"/>
      <c r="E459" s="13"/>
      <c r="F459" s="10"/>
      <c r="G459" s="3"/>
      <c r="H459" s="3"/>
      <c r="I459" s="4"/>
    </row>
    <row r="460" spans="2:9" x14ac:dyDescent="0.2">
      <c r="B460" s="2"/>
      <c r="C460" s="13"/>
      <c r="D460" s="13"/>
      <c r="E460" s="13"/>
      <c r="F460" s="10"/>
      <c r="G460" s="3"/>
      <c r="H460" s="3"/>
      <c r="I460" s="4"/>
    </row>
    <row r="461" spans="2:9" x14ac:dyDescent="0.2">
      <c r="B461" s="2"/>
      <c r="C461" s="13"/>
      <c r="D461" s="13"/>
      <c r="E461" s="13"/>
      <c r="F461" s="10"/>
      <c r="G461" s="3"/>
      <c r="H461" s="3"/>
      <c r="I461" s="4"/>
    </row>
    <row r="462" spans="2:9" x14ac:dyDescent="0.2">
      <c r="B462" s="2"/>
      <c r="C462" s="13"/>
      <c r="D462" s="13"/>
      <c r="E462" s="13"/>
      <c r="F462" s="10"/>
      <c r="G462" s="3"/>
      <c r="H462" s="3"/>
      <c r="I462" s="4"/>
    </row>
    <row r="463" spans="2:9" x14ac:dyDescent="0.2">
      <c r="B463" s="2"/>
      <c r="C463" s="13"/>
      <c r="D463" s="13"/>
      <c r="E463" s="13"/>
      <c r="F463" s="10"/>
      <c r="G463" s="3"/>
      <c r="H463" s="3"/>
      <c r="I463" s="4"/>
    </row>
    <row r="464" spans="2:9" x14ac:dyDescent="0.2">
      <c r="B464" s="2"/>
      <c r="C464" s="13"/>
      <c r="D464" s="13"/>
      <c r="E464" s="13"/>
      <c r="F464" s="10"/>
      <c r="G464" s="3"/>
      <c r="H464" s="3"/>
      <c r="I464" s="4"/>
    </row>
    <row r="465" spans="2:9" x14ac:dyDescent="0.2">
      <c r="B465" s="2"/>
      <c r="C465" s="13"/>
      <c r="D465" s="13"/>
      <c r="E465" s="13"/>
      <c r="F465" s="10"/>
      <c r="G465" s="3"/>
      <c r="H465" s="3"/>
      <c r="I465" s="4"/>
    </row>
    <row r="466" spans="2:9" x14ac:dyDescent="0.2">
      <c r="B466" s="2"/>
      <c r="C466" s="13"/>
      <c r="D466" s="13"/>
      <c r="E466" s="13"/>
      <c r="F466" s="10"/>
      <c r="G466" s="3"/>
      <c r="H466" s="3"/>
      <c r="I466" s="4"/>
    </row>
    <row r="467" spans="2:9" x14ac:dyDescent="0.2">
      <c r="B467" s="2"/>
      <c r="C467" s="13"/>
      <c r="D467" s="13"/>
      <c r="E467" s="13"/>
      <c r="F467" s="10"/>
      <c r="G467" s="3"/>
      <c r="H467" s="3"/>
      <c r="I467" s="4"/>
    </row>
    <row r="468" spans="2:9" x14ac:dyDescent="0.2">
      <c r="B468" s="2"/>
      <c r="C468" s="13"/>
      <c r="D468" s="13"/>
      <c r="E468" s="13"/>
      <c r="F468" s="10"/>
      <c r="G468" s="3"/>
      <c r="H468" s="3"/>
      <c r="I468" s="4"/>
    </row>
    <row r="469" spans="2:9" x14ac:dyDescent="0.2">
      <c r="B469" s="2"/>
      <c r="C469" s="13"/>
      <c r="D469" s="13"/>
      <c r="E469" s="13"/>
      <c r="F469" s="10"/>
      <c r="G469" s="3"/>
      <c r="H469" s="3"/>
      <c r="I469" s="4"/>
    </row>
    <row r="470" spans="2:9" x14ac:dyDescent="0.2">
      <c r="B470" s="2"/>
      <c r="C470" s="13"/>
      <c r="D470" s="13"/>
      <c r="E470" s="13"/>
      <c r="F470" s="10"/>
      <c r="G470" s="3"/>
      <c r="H470" s="3"/>
      <c r="I470" s="4"/>
    </row>
    <row r="471" spans="2:9" x14ac:dyDescent="0.2">
      <c r="B471" s="2"/>
      <c r="C471" s="13"/>
      <c r="D471" s="13"/>
      <c r="E471" s="13"/>
      <c r="F471" s="10"/>
      <c r="G471" s="3"/>
      <c r="H471" s="3"/>
      <c r="I471" s="4"/>
    </row>
    <row r="472" spans="2:9" x14ac:dyDescent="0.2">
      <c r="B472" s="2"/>
      <c r="C472" s="13"/>
      <c r="D472" s="13"/>
      <c r="E472" s="13"/>
      <c r="F472" s="10"/>
      <c r="G472" s="3"/>
      <c r="H472" s="3"/>
      <c r="I472" s="4"/>
    </row>
    <row r="473" spans="2:9" x14ac:dyDescent="0.2">
      <c r="B473" s="2"/>
      <c r="C473" s="13"/>
      <c r="D473" s="13"/>
      <c r="E473" s="13"/>
      <c r="F473" s="10"/>
      <c r="G473" s="3"/>
      <c r="H473" s="3"/>
      <c r="I473" s="4"/>
    </row>
    <row r="474" spans="2:9" x14ac:dyDescent="0.2">
      <c r="B474" s="2"/>
      <c r="C474" s="13"/>
      <c r="D474" s="13"/>
      <c r="E474" s="13"/>
      <c r="F474" s="10"/>
      <c r="G474" s="3"/>
      <c r="H474" s="3"/>
      <c r="I474" s="4"/>
    </row>
    <row r="475" spans="2:9" x14ac:dyDescent="0.2">
      <c r="B475" s="2"/>
      <c r="C475" s="13"/>
      <c r="D475" s="13"/>
      <c r="E475" s="13"/>
      <c r="F475" s="10"/>
      <c r="G475" s="3"/>
      <c r="H475" s="3"/>
      <c r="I475" s="4"/>
    </row>
    <row r="476" spans="2:9" x14ac:dyDescent="0.2">
      <c r="B476" s="2"/>
      <c r="C476" s="13"/>
      <c r="D476" s="13"/>
      <c r="E476" s="13"/>
      <c r="F476" s="10"/>
      <c r="G476" s="3"/>
      <c r="H476" s="3"/>
      <c r="I476" s="4"/>
    </row>
    <row r="477" spans="2:9" x14ac:dyDescent="0.2">
      <c r="B477" s="2"/>
      <c r="C477" s="13"/>
      <c r="D477" s="13"/>
      <c r="E477" s="13"/>
      <c r="F477" s="10"/>
      <c r="G477" s="3"/>
      <c r="H477" s="3"/>
      <c r="I477" s="4"/>
    </row>
    <row r="478" spans="2:9" x14ac:dyDescent="0.2">
      <c r="B478" s="2"/>
      <c r="C478" s="13"/>
      <c r="D478" s="13"/>
      <c r="E478" s="13"/>
      <c r="F478" s="10"/>
      <c r="G478" s="3"/>
      <c r="H478" s="3"/>
      <c r="I478" s="4"/>
    </row>
    <row r="479" spans="2:9" x14ac:dyDescent="0.2">
      <c r="B479" s="2"/>
      <c r="C479" s="13"/>
      <c r="D479" s="13"/>
      <c r="E479" s="13"/>
      <c r="F479" s="10"/>
      <c r="G479" s="3"/>
      <c r="H479" s="3"/>
      <c r="I479" s="4"/>
    </row>
    <row r="480" spans="2:9" x14ac:dyDescent="0.2">
      <c r="B480" s="2"/>
      <c r="C480" s="13"/>
      <c r="D480" s="13"/>
      <c r="E480" s="13"/>
      <c r="F480" s="10"/>
      <c r="G480" s="3"/>
      <c r="H480" s="3"/>
      <c r="I480" s="4"/>
    </row>
    <row r="481" spans="2:9" x14ac:dyDescent="0.2">
      <c r="B481" s="2"/>
      <c r="C481" s="13"/>
      <c r="D481" s="13"/>
      <c r="E481" s="13"/>
      <c r="F481" s="10"/>
      <c r="G481" s="3"/>
      <c r="H481" s="3"/>
      <c r="I481" s="4"/>
    </row>
    <row r="482" spans="2:9" x14ac:dyDescent="0.2">
      <c r="B482" s="2"/>
      <c r="C482" s="13"/>
      <c r="D482" s="13"/>
      <c r="E482" s="13"/>
      <c r="F482" s="10"/>
      <c r="G482" s="3"/>
      <c r="H482" s="3"/>
      <c r="I482" s="4"/>
    </row>
    <row r="483" spans="2:9" x14ac:dyDescent="0.2">
      <c r="B483" s="2"/>
      <c r="C483" s="13"/>
      <c r="D483" s="13"/>
      <c r="E483" s="13"/>
      <c r="F483" s="10"/>
      <c r="G483" s="3"/>
      <c r="H483" s="3"/>
      <c r="I483" s="4"/>
    </row>
    <row r="484" spans="2:9" x14ac:dyDescent="0.2">
      <c r="B484" s="2"/>
      <c r="C484" s="13"/>
      <c r="D484" s="13"/>
      <c r="E484" s="13"/>
      <c r="F484" s="10"/>
      <c r="G484" s="3"/>
      <c r="H484" s="3"/>
      <c r="I484" s="4"/>
    </row>
    <row r="485" spans="2:9" x14ac:dyDescent="0.2">
      <c r="B485" s="2"/>
      <c r="C485" s="13"/>
      <c r="D485" s="13"/>
      <c r="E485" s="13"/>
      <c r="F485" s="10"/>
      <c r="G485" s="3"/>
      <c r="H485" s="3"/>
      <c r="I485" s="4"/>
    </row>
    <row r="486" spans="2:9" x14ac:dyDescent="0.2">
      <c r="B486" s="2"/>
      <c r="C486" s="13"/>
      <c r="D486" s="13"/>
      <c r="E486" s="13"/>
      <c r="F486" s="10"/>
      <c r="G486" s="3"/>
      <c r="H486" s="3"/>
      <c r="I486" s="4"/>
    </row>
    <row r="487" spans="2:9" x14ac:dyDescent="0.2">
      <c r="B487" s="2"/>
      <c r="C487" s="13"/>
      <c r="D487" s="13"/>
      <c r="E487" s="13"/>
      <c r="F487" s="10"/>
      <c r="G487" s="3"/>
      <c r="H487" s="3"/>
      <c r="I487" s="4"/>
    </row>
    <row r="488" spans="2:9" x14ac:dyDescent="0.2">
      <c r="B488" s="2"/>
      <c r="C488" s="13"/>
      <c r="D488" s="13"/>
      <c r="E488" s="13"/>
      <c r="F488" s="10"/>
      <c r="G488" s="3"/>
      <c r="H488" s="3"/>
      <c r="I488" s="4"/>
    </row>
    <row r="489" spans="2:9" x14ac:dyDescent="0.2">
      <c r="B489" s="2"/>
      <c r="C489" s="13"/>
      <c r="D489" s="13"/>
      <c r="E489" s="13"/>
      <c r="F489" s="10"/>
      <c r="G489" s="3"/>
      <c r="H489" s="3"/>
      <c r="I489" s="4"/>
    </row>
    <row r="490" spans="2:9" x14ac:dyDescent="0.2">
      <c r="B490" s="2"/>
      <c r="C490" s="13"/>
      <c r="D490" s="13"/>
      <c r="E490" s="13"/>
      <c r="F490" s="10"/>
      <c r="G490" s="3"/>
      <c r="H490" s="3"/>
      <c r="I490" s="4"/>
    </row>
    <row r="491" spans="2:9" x14ac:dyDescent="0.2">
      <c r="B491" s="2"/>
      <c r="C491" s="13"/>
      <c r="D491" s="13"/>
      <c r="E491" s="13"/>
      <c r="F491" s="10"/>
      <c r="G491" s="3"/>
      <c r="H491" s="3"/>
      <c r="I491" s="4"/>
    </row>
    <row r="492" spans="2:9" x14ac:dyDescent="0.2">
      <c r="B492" s="2"/>
      <c r="C492" s="13"/>
      <c r="D492" s="13"/>
      <c r="E492" s="13"/>
      <c r="F492" s="10"/>
      <c r="G492" s="3"/>
      <c r="H492" s="3"/>
      <c r="I492" s="4"/>
    </row>
    <row r="493" spans="2:9" x14ac:dyDescent="0.2">
      <c r="B493" s="2"/>
      <c r="C493" s="13"/>
      <c r="D493" s="13"/>
      <c r="E493" s="13"/>
      <c r="F493" s="10"/>
      <c r="G493" s="3"/>
      <c r="H493" s="3"/>
      <c r="I493" s="4"/>
    </row>
    <row r="494" spans="2:9" x14ac:dyDescent="0.2">
      <c r="B494" s="2"/>
      <c r="C494" s="13"/>
      <c r="D494" s="13"/>
      <c r="E494" s="13"/>
      <c r="F494" s="10"/>
      <c r="G494" s="3"/>
      <c r="H494" s="3"/>
      <c r="I494" s="4"/>
    </row>
    <row r="495" spans="2:9" x14ac:dyDescent="0.2">
      <c r="B495" s="2"/>
      <c r="C495" s="13"/>
      <c r="D495" s="13"/>
      <c r="E495" s="13"/>
      <c r="F495" s="10"/>
      <c r="G495" s="3"/>
      <c r="H495" s="3"/>
      <c r="I495" s="4"/>
    </row>
    <row r="496" spans="2:9" x14ac:dyDescent="0.2">
      <c r="B496" s="2"/>
      <c r="C496" s="13"/>
      <c r="D496" s="13"/>
      <c r="E496" s="13"/>
      <c r="F496" s="10"/>
      <c r="G496" s="3"/>
      <c r="H496" s="3"/>
      <c r="I496" s="4"/>
    </row>
    <row r="497" spans="2:9" x14ac:dyDescent="0.2">
      <c r="B497" s="2"/>
      <c r="C497" s="13"/>
      <c r="D497" s="13"/>
      <c r="E497" s="13"/>
      <c r="F497" s="10"/>
      <c r="G497" s="3"/>
      <c r="H497" s="3"/>
      <c r="I497" s="4"/>
    </row>
    <row r="498" spans="2:9" x14ac:dyDescent="0.2">
      <c r="B498" s="2"/>
      <c r="C498" s="13"/>
      <c r="D498" s="13"/>
      <c r="E498" s="13"/>
      <c r="F498" s="10"/>
      <c r="G498" s="3"/>
      <c r="H498" s="3"/>
      <c r="I498" s="4"/>
    </row>
    <row r="499" spans="2:9" x14ac:dyDescent="0.2">
      <c r="B499" s="2"/>
      <c r="C499" s="13"/>
      <c r="D499" s="13"/>
      <c r="E499" s="13"/>
      <c r="F499" s="10"/>
      <c r="G499" s="3"/>
      <c r="H499" s="3"/>
      <c r="I499" s="4"/>
    </row>
    <row r="500" spans="2:9" x14ac:dyDescent="0.2">
      <c r="B500" s="2"/>
      <c r="C500" s="13"/>
      <c r="D500" s="13"/>
      <c r="E500" s="13"/>
      <c r="F500" s="10"/>
      <c r="G500" s="3"/>
      <c r="H500" s="3"/>
      <c r="I500" s="4"/>
    </row>
    <row r="501" spans="2:9" x14ac:dyDescent="0.2">
      <c r="B501" s="2"/>
      <c r="C501" s="13"/>
      <c r="D501" s="13"/>
      <c r="E501" s="13"/>
      <c r="F501" s="10"/>
      <c r="G501" s="3"/>
      <c r="H501" s="3"/>
      <c r="I501" s="4"/>
    </row>
    <row r="502" spans="2:9" x14ac:dyDescent="0.2">
      <c r="B502" s="2"/>
      <c r="C502" s="13"/>
      <c r="D502" s="13"/>
      <c r="E502" s="13"/>
      <c r="F502" s="10"/>
      <c r="G502" s="3"/>
      <c r="H502" s="3"/>
      <c r="I502" s="4"/>
    </row>
    <row r="503" spans="2:9" x14ac:dyDescent="0.2">
      <c r="B503" s="2"/>
      <c r="C503" s="13"/>
      <c r="D503" s="13"/>
      <c r="E503" s="13"/>
      <c r="F503" s="10"/>
      <c r="G503" s="3"/>
      <c r="H503" s="3"/>
      <c r="I503" s="4"/>
    </row>
    <row r="504" spans="2:9" x14ac:dyDescent="0.2">
      <c r="B504" s="2"/>
      <c r="C504" s="13"/>
      <c r="D504" s="13"/>
      <c r="E504" s="13"/>
      <c r="F504" s="10"/>
      <c r="G504" s="3"/>
      <c r="H504" s="3"/>
      <c r="I504" s="4"/>
    </row>
    <row r="505" spans="2:9" x14ac:dyDescent="0.2">
      <c r="B505" s="2"/>
      <c r="C505" s="13"/>
      <c r="D505" s="13"/>
      <c r="E505" s="13"/>
      <c r="F505" s="10"/>
      <c r="G505" s="3"/>
      <c r="H505" s="3"/>
      <c r="I505" s="4"/>
    </row>
    <row r="506" spans="2:9" x14ac:dyDescent="0.2">
      <c r="B506" s="2"/>
      <c r="C506" s="13"/>
      <c r="D506" s="13"/>
      <c r="E506" s="13"/>
      <c r="F506" s="10"/>
      <c r="G506" s="3"/>
      <c r="H506" s="3"/>
      <c r="I506" s="4"/>
    </row>
    <row r="507" spans="2:9" x14ac:dyDescent="0.2">
      <c r="B507" s="2"/>
      <c r="C507" s="13"/>
      <c r="D507" s="13"/>
      <c r="E507" s="13"/>
      <c r="F507" s="10"/>
      <c r="G507" s="3"/>
      <c r="H507" s="3"/>
      <c r="I507" s="4"/>
    </row>
    <row r="508" spans="2:9" x14ac:dyDescent="0.2">
      <c r="B508" s="2"/>
      <c r="C508" s="13"/>
      <c r="D508" s="13"/>
      <c r="E508" s="13"/>
      <c r="F508" s="10"/>
      <c r="G508" s="3"/>
      <c r="H508" s="3"/>
      <c r="I508" s="4"/>
    </row>
    <row r="509" spans="2:9" x14ac:dyDescent="0.2">
      <c r="B509" s="2"/>
      <c r="C509" s="13"/>
      <c r="D509" s="13"/>
      <c r="E509" s="13"/>
      <c r="F509" s="10"/>
      <c r="G509" s="3"/>
      <c r="H509" s="3"/>
      <c r="I509" s="4"/>
    </row>
    <row r="510" spans="2:9" x14ac:dyDescent="0.2">
      <c r="B510" s="2"/>
      <c r="C510" s="13"/>
      <c r="D510" s="13"/>
      <c r="E510" s="13"/>
      <c r="F510" s="10"/>
      <c r="G510" s="3"/>
      <c r="H510" s="3"/>
      <c r="I510" s="4"/>
    </row>
    <row r="511" spans="2:9" x14ac:dyDescent="0.2">
      <c r="B511" s="2"/>
      <c r="C511" s="13"/>
      <c r="D511" s="13"/>
      <c r="E511" s="13"/>
      <c r="F511" s="10"/>
      <c r="G511" s="3"/>
      <c r="H511" s="3"/>
      <c r="I511" s="4"/>
    </row>
    <row r="512" spans="2:9" x14ac:dyDescent="0.2">
      <c r="B512" s="2"/>
      <c r="C512" s="13"/>
      <c r="D512" s="13"/>
      <c r="E512" s="13"/>
      <c r="F512" s="10"/>
      <c r="G512" s="3"/>
      <c r="H512" s="3"/>
      <c r="I512" s="4"/>
    </row>
    <row r="513" spans="2:9" x14ac:dyDescent="0.2">
      <c r="B513" s="2"/>
      <c r="C513" s="13"/>
      <c r="D513" s="13"/>
      <c r="E513" s="13"/>
      <c r="F513" s="10"/>
      <c r="G513" s="3"/>
      <c r="H513" s="3"/>
      <c r="I513" s="4"/>
    </row>
    <row r="514" spans="2:9" x14ac:dyDescent="0.2">
      <c r="B514" s="2"/>
      <c r="C514" s="13"/>
      <c r="D514" s="13"/>
      <c r="E514" s="13"/>
      <c r="F514" s="10"/>
      <c r="G514" s="3"/>
      <c r="H514" s="3"/>
      <c r="I514" s="4"/>
    </row>
    <row r="515" spans="2:9" x14ac:dyDescent="0.2">
      <c r="B515" s="2"/>
      <c r="C515" s="13"/>
      <c r="D515" s="13"/>
      <c r="E515" s="13"/>
      <c r="F515" s="10"/>
      <c r="G515" s="3"/>
      <c r="H515" s="3"/>
      <c r="I515" s="4"/>
    </row>
    <row r="516" spans="2:9" x14ac:dyDescent="0.2">
      <c r="B516" s="2"/>
      <c r="C516" s="13"/>
      <c r="D516" s="13"/>
      <c r="E516" s="13"/>
      <c r="F516" s="10"/>
      <c r="G516" s="3"/>
      <c r="H516" s="3"/>
      <c r="I516" s="4"/>
    </row>
    <row r="517" spans="2:9" x14ac:dyDescent="0.2">
      <c r="B517" s="2"/>
      <c r="C517" s="13"/>
      <c r="D517" s="13"/>
      <c r="E517" s="13"/>
      <c r="F517" s="10"/>
      <c r="G517" s="3"/>
      <c r="H517" s="3"/>
      <c r="I517" s="4"/>
    </row>
    <row r="518" spans="2:9" x14ac:dyDescent="0.2">
      <c r="B518" s="2"/>
      <c r="C518" s="13"/>
      <c r="D518" s="13"/>
      <c r="E518" s="13"/>
      <c r="F518" s="10"/>
      <c r="G518" s="3"/>
      <c r="H518" s="3"/>
      <c r="I518" s="4"/>
    </row>
    <row r="519" spans="2:9" x14ac:dyDescent="0.2">
      <c r="B519" s="2"/>
      <c r="C519" s="13"/>
      <c r="D519" s="13"/>
      <c r="E519" s="13"/>
      <c r="F519" s="10"/>
      <c r="G519" s="3"/>
      <c r="H519" s="3"/>
      <c r="I519" s="4"/>
    </row>
    <row r="520" spans="2:9" x14ac:dyDescent="0.2">
      <c r="B520" s="2"/>
      <c r="C520" s="13"/>
      <c r="D520" s="13"/>
      <c r="E520" s="13"/>
      <c r="F520" s="10"/>
      <c r="G520" s="3"/>
      <c r="H520" s="3"/>
      <c r="I520" s="4"/>
    </row>
    <row r="521" spans="2:9" x14ac:dyDescent="0.2">
      <c r="B521" s="2"/>
      <c r="C521" s="13"/>
      <c r="D521" s="13"/>
      <c r="E521" s="13"/>
      <c r="F521" s="10"/>
      <c r="G521" s="3"/>
      <c r="H521" s="3"/>
      <c r="I521" s="4"/>
    </row>
    <row r="522" spans="2:9" x14ac:dyDescent="0.2">
      <c r="B522" s="2"/>
      <c r="C522" s="13"/>
      <c r="D522" s="13"/>
      <c r="E522" s="13"/>
      <c r="F522" s="10"/>
      <c r="G522" s="3"/>
      <c r="H522" s="3"/>
      <c r="I522" s="4"/>
    </row>
    <row r="523" spans="2:9" x14ac:dyDescent="0.2">
      <c r="B523" s="2"/>
      <c r="C523" s="13"/>
      <c r="D523" s="13"/>
      <c r="E523" s="13"/>
      <c r="F523" s="10"/>
      <c r="G523" s="3"/>
      <c r="H523" s="3"/>
      <c r="I523" s="4"/>
    </row>
    <row r="524" spans="2:9" x14ac:dyDescent="0.2">
      <c r="B524" s="2"/>
      <c r="C524" s="13"/>
      <c r="D524" s="13"/>
      <c r="E524" s="13"/>
      <c r="F524" s="10"/>
      <c r="G524" s="3"/>
      <c r="H524" s="3"/>
      <c r="I524" s="4"/>
    </row>
    <row r="525" spans="2:9" x14ac:dyDescent="0.2">
      <c r="B525" s="2"/>
      <c r="C525" s="13"/>
      <c r="D525" s="13"/>
      <c r="E525" s="13"/>
      <c r="F525" s="10"/>
      <c r="G525" s="3"/>
      <c r="H525" s="3"/>
      <c r="I525" s="4"/>
    </row>
    <row r="526" spans="2:9" x14ac:dyDescent="0.2">
      <c r="B526" s="2"/>
      <c r="C526" s="13"/>
      <c r="D526" s="13"/>
      <c r="E526" s="13"/>
      <c r="F526" s="10"/>
      <c r="G526" s="3"/>
      <c r="H526" s="3"/>
      <c r="I526" s="4"/>
    </row>
    <row r="527" spans="2:9" x14ac:dyDescent="0.2">
      <c r="B527" s="2"/>
      <c r="C527" s="13"/>
      <c r="D527" s="13"/>
      <c r="E527" s="13"/>
      <c r="F527" s="10"/>
      <c r="G527" s="3"/>
      <c r="H527" s="3"/>
      <c r="I527" s="4"/>
    </row>
    <row r="528" spans="2:9" x14ac:dyDescent="0.2">
      <c r="B528" s="2"/>
      <c r="C528" s="13"/>
      <c r="D528" s="13"/>
      <c r="E528" s="13"/>
      <c r="F528" s="10"/>
      <c r="G528" s="3"/>
      <c r="H528" s="3"/>
      <c r="I528" s="4"/>
    </row>
    <row r="529" spans="2:9" x14ac:dyDescent="0.2">
      <c r="B529" s="2"/>
      <c r="C529" s="13"/>
      <c r="D529" s="13"/>
      <c r="E529" s="13"/>
      <c r="F529" s="10"/>
      <c r="G529" s="3"/>
      <c r="H529" s="3"/>
      <c r="I529" s="4"/>
    </row>
    <row r="530" spans="2:9" x14ac:dyDescent="0.2">
      <c r="B530" s="2"/>
      <c r="C530" s="13"/>
      <c r="D530" s="13"/>
      <c r="E530" s="13"/>
      <c r="F530" s="10"/>
      <c r="G530" s="3"/>
      <c r="H530" s="3"/>
      <c r="I530" s="4"/>
    </row>
    <row r="531" spans="2:9" x14ac:dyDescent="0.2">
      <c r="B531" s="2"/>
      <c r="C531" s="13"/>
      <c r="D531" s="13"/>
      <c r="E531" s="13"/>
      <c r="F531" s="10"/>
      <c r="G531" s="3"/>
      <c r="H531" s="3"/>
      <c r="I531" s="4"/>
    </row>
    <row r="532" spans="2:9" x14ac:dyDescent="0.2">
      <c r="B532" s="2"/>
      <c r="C532" s="13"/>
      <c r="D532" s="13"/>
      <c r="E532" s="13"/>
      <c r="F532" s="10"/>
      <c r="G532" s="3"/>
      <c r="H532" s="3"/>
      <c r="I532" s="4"/>
    </row>
    <row r="533" spans="2:9" x14ac:dyDescent="0.2">
      <c r="B533" s="2"/>
      <c r="C533" s="13"/>
      <c r="D533" s="13"/>
      <c r="E533" s="13"/>
      <c r="F533" s="10"/>
      <c r="G533" s="3"/>
      <c r="H533" s="3"/>
      <c r="I533" s="4"/>
    </row>
    <row r="534" spans="2:9" x14ac:dyDescent="0.2">
      <c r="B534" s="2"/>
      <c r="C534" s="13"/>
      <c r="D534" s="13"/>
      <c r="E534" s="13"/>
      <c r="F534" s="10"/>
      <c r="G534" s="3"/>
      <c r="H534" s="3"/>
      <c r="I534" s="4"/>
    </row>
    <row r="535" spans="2:9" x14ac:dyDescent="0.2">
      <c r="B535" s="2"/>
      <c r="C535" s="13"/>
      <c r="D535" s="13"/>
      <c r="E535" s="13"/>
      <c r="F535" s="10"/>
      <c r="G535" s="3"/>
      <c r="H535" s="3"/>
      <c r="I535" s="4"/>
    </row>
    <row r="536" spans="2:9" x14ac:dyDescent="0.2">
      <c r="B536" s="2"/>
      <c r="C536" s="13"/>
      <c r="D536" s="13"/>
      <c r="E536" s="13"/>
      <c r="F536" s="10"/>
      <c r="G536" s="3"/>
      <c r="H536" s="3"/>
      <c r="I536" s="4"/>
    </row>
    <row r="537" spans="2:9" x14ac:dyDescent="0.2">
      <c r="B537" s="2"/>
      <c r="C537" s="13"/>
      <c r="D537" s="13"/>
      <c r="E537" s="13"/>
      <c r="F537" s="10"/>
      <c r="G537" s="3"/>
      <c r="H537" s="3"/>
      <c r="I537" s="4"/>
    </row>
    <row r="538" spans="2:9" x14ac:dyDescent="0.2">
      <c r="B538" s="2"/>
      <c r="C538" s="13"/>
      <c r="D538" s="13"/>
      <c r="E538" s="13"/>
      <c r="F538" s="10"/>
      <c r="G538" s="3"/>
      <c r="H538" s="3"/>
      <c r="I538" s="4"/>
    </row>
    <row r="539" spans="2:9" x14ac:dyDescent="0.2">
      <c r="B539" s="2"/>
      <c r="C539" s="13"/>
      <c r="D539" s="13"/>
      <c r="E539" s="13"/>
      <c r="F539" s="10"/>
      <c r="G539" s="3"/>
      <c r="H539" s="3"/>
      <c r="I539" s="4"/>
    </row>
    <row r="540" spans="2:9" x14ac:dyDescent="0.2">
      <c r="B540" s="2"/>
      <c r="C540" s="13"/>
      <c r="D540" s="13"/>
      <c r="E540" s="13"/>
      <c r="F540" s="10"/>
      <c r="G540" s="3"/>
      <c r="H540" s="3"/>
      <c r="I540" s="4"/>
    </row>
    <row r="541" spans="2:9" x14ac:dyDescent="0.2">
      <c r="B541" s="2"/>
      <c r="C541" s="13"/>
      <c r="D541" s="13"/>
      <c r="E541" s="13"/>
      <c r="F541" s="10"/>
      <c r="G541" s="3"/>
      <c r="H541" s="3"/>
      <c r="I541" s="4"/>
    </row>
    <row r="542" spans="2:9" x14ac:dyDescent="0.2">
      <c r="B542" s="2"/>
      <c r="C542" s="13"/>
      <c r="D542" s="13"/>
      <c r="E542" s="13"/>
      <c r="F542" s="10"/>
      <c r="G542" s="3"/>
      <c r="H542" s="3"/>
      <c r="I542" s="4"/>
    </row>
    <row r="543" spans="2:9" x14ac:dyDescent="0.2">
      <c r="B543" s="2"/>
      <c r="C543" s="13"/>
      <c r="D543" s="13"/>
      <c r="E543" s="13"/>
      <c r="F543" s="10"/>
      <c r="G543" s="3"/>
      <c r="H543" s="3"/>
      <c r="I543" s="4"/>
    </row>
    <row r="544" spans="2:9" x14ac:dyDescent="0.2">
      <c r="B544" s="2"/>
      <c r="C544" s="13"/>
      <c r="D544" s="13"/>
      <c r="E544" s="13"/>
      <c r="F544" s="10"/>
      <c r="G544" s="3"/>
      <c r="H544" s="3"/>
      <c r="I544" s="4"/>
    </row>
    <row r="545" spans="2:9" x14ac:dyDescent="0.2">
      <c r="B545" s="2"/>
      <c r="C545" s="13"/>
      <c r="D545" s="13"/>
      <c r="E545" s="13"/>
      <c r="F545" s="10"/>
      <c r="G545" s="3"/>
      <c r="H545" s="3"/>
      <c r="I545" s="4"/>
    </row>
    <row r="546" spans="2:9" x14ac:dyDescent="0.2">
      <c r="B546" s="2"/>
      <c r="C546" s="13"/>
      <c r="D546" s="13"/>
      <c r="E546" s="13"/>
      <c r="F546" s="10"/>
      <c r="G546" s="3"/>
      <c r="H546" s="3"/>
      <c r="I546" s="4"/>
    </row>
    <row r="547" spans="2:9" x14ac:dyDescent="0.2">
      <c r="B547" s="2"/>
      <c r="C547" s="13"/>
      <c r="D547" s="13"/>
      <c r="E547" s="13"/>
      <c r="F547" s="10"/>
      <c r="G547" s="3"/>
      <c r="H547" s="3"/>
      <c r="I547" s="4"/>
    </row>
    <row r="548" spans="2:9" x14ac:dyDescent="0.2">
      <c r="B548" s="2"/>
      <c r="C548" s="13"/>
      <c r="D548" s="13"/>
      <c r="E548" s="13"/>
      <c r="F548" s="10"/>
      <c r="G548" s="3"/>
      <c r="H548" s="3"/>
      <c r="I548" s="4"/>
    </row>
    <row r="549" spans="2:9" x14ac:dyDescent="0.2">
      <c r="B549" s="2"/>
      <c r="C549" s="13"/>
      <c r="D549" s="13"/>
      <c r="E549" s="13"/>
      <c r="F549" s="10"/>
      <c r="G549" s="3"/>
      <c r="H549" s="3"/>
      <c r="I549" s="4"/>
    </row>
    <row r="550" spans="2:9" x14ac:dyDescent="0.2">
      <c r="B550" s="2"/>
      <c r="C550" s="13"/>
      <c r="D550" s="13"/>
      <c r="E550" s="13"/>
      <c r="F550" s="10"/>
      <c r="G550" s="3"/>
      <c r="H550" s="3"/>
      <c r="I550" s="4"/>
    </row>
    <row r="551" spans="2:9" x14ac:dyDescent="0.2">
      <c r="B551" s="2"/>
      <c r="C551" s="13"/>
      <c r="D551" s="13"/>
      <c r="E551" s="13"/>
      <c r="F551" s="10"/>
      <c r="G551" s="3"/>
      <c r="H551" s="3"/>
      <c r="I551" s="4"/>
    </row>
    <row r="552" spans="2:9" x14ac:dyDescent="0.2">
      <c r="B552" s="2"/>
      <c r="C552" s="13"/>
      <c r="D552" s="13"/>
      <c r="E552" s="13"/>
      <c r="F552" s="10"/>
      <c r="G552" s="3"/>
      <c r="H552" s="3"/>
      <c r="I552" s="4"/>
    </row>
    <row r="553" spans="2:9" x14ac:dyDescent="0.2">
      <c r="B553" s="2"/>
      <c r="C553" s="13"/>
      <c r="D553" s="13"/>
      <c r="E553" s="13"/>
      <c r="F553" s="10"/>
      <c r="G553" s="3"/>
      <c r="H553" s="3"/>
      <c r="I553" s="4"/>
    </row>
    <row r="554" spans="2:9" x14ac:dyDescent="0.2">
      <c r="B554" s="2"/>
      <c r="C554" s="13"/>
      <c r="D554" s="13"/>
      <c r="E554" s="13"/>
      <c r="F554" s="10"/>
      <c r="G554" s="3"/>
      <c r="H554" s="3"/>
      <c r="I554" s="4"/>
    </row>
    <row r="555" spans="2:9" x14ac:dyDescent="0.2">
      <c r="B555" s="2"/>
      <c r="C555" s="13"/>
      <c r="D555" s="13"/>
      <c r="E555" s="13"/>
      <c r="F555" s="10"/>
      <c r="G555" s="3"/>
      <c r="H555" s="3"/>
      <c r="I555" s="4"/>
    </row>
    <row r="556" spans="2:9" x14ac:dyDescent="0.2">
      <c r="B556" s="2"/>
      <c r="C556" s="13"/>
      <c r="D556" s="13"/>
      <c r="E556" s="13"/>
      <c r="F556" s="10"/>
      <c r="G556" s="3"/>
      <c r="H556" s="3"/>
      <c r="I556" s="4"/>
    </row>
    <row r="557" spans="2:9" x14ac:dyDescent="0.2">
      <c r="B557" s="2"/>
      <c r="C557" s="13"/>
      <c r="D557" s="13"/>
      <c r="E557" s="13"/>
      <c r="F557" s="10"/>
      <c r="G557" s="3"/>
      <c r="H557" s="3"/>
      <c r="I557" s="4"/>
    </row>
    <row r="558" spans="2:9" x14ac:dyDescent="0.2">
      <c r="B558" s="2"/>
      <c r="C558" s="13"/>
      <c r="D558" s="13"/>
      <c r="E558" s="13"/>
      <c r="F558" s="10"/>
      <c r="G558" s="3"/>
      <c r="H558" s="3"/>
      <c r="I558" s="4"/>
    </row>
    <row r="559" spans="2:9" x14ac:dyDescent="0.2">
      <c r="B559" s="2"/>
      <c r="C559" s="13"/>
      <c r="D559" s="13"/>
      <c r="E559" s="13"/>
      <c r="F559" s="10"/>
      <c r="G559" s="3"/>
      <c r="H559" s="3"/>
      <c r="I559" s="4"/>
    </row>
    <row r="560" spans="2:9" x14ac:dyDescent="0.2">
      <c r="B560" s="2"/>
      <c r="C560" s="13"/>
      <c r="D560" s="13"/>
      <c r="E560" s="13"/>
      <c r="F560" s="10"/>
      <c r="G560" s="3"/>
      <c r="H560" s="3"/>
      <c r="I560" s="4"/>
    </row>
    <row r="561" spans="2:9" x14ac:dyDescent="0.2">
      <c r="B561" s="2"/>
      <c r="C561" s="13"/>
      <c r="D561" s="13"/>
      <c r="E561" s="13"/>
      <c r="F561" s="10"/>
      <c r="G561" s="3"/>
      <c r="H561" s="3"/>
      <c r="I561" s="4"/>
    </row>
    <row r="562" spans="2:9" x14ac:dyDescent="0.2">
      <c r="B562" s="2"/>
      <c r="C562" s="13"/>
      <c r="D562" s="13"/>
      <c r="E562" s="13"/>
      <c r="F562" s="10"/>
      <c r="G562" s="3"/>
      <c r="H562" s="3"/>
      <c r="I562" s="4"/>
    </row>
    <row r="563" spans="2:9" x14ac:dyDescent="0.2">
      <c r="B563" s="2"/>
      <c r="C563" s="13"/>
      <c r="D563" s="13"/>
      <c r="E563" s="13"/>
      <c r="F563" s="10"/>
      <c r="G563" s="3"/>
      <c r="H563" s="3"/>
      <c r="I563" s="4"/>
    </row>
    <row r="564" spans="2:9" x14ac:dyDescent="0.2">
      <c r="B564" s="2"/>
      <c r="C564" s="13"/>
      <c r="D564" s="13"/>
      <c r="E564" s="13"/>
      <c r="F564" s="10"/>
      <c r="G564" s="3"/>
      <c r="H564" s="3"/>
      <c r="I564" s="4"/>
    </row>
    <row r="565" spans="2:9" x14ac:dyDescent="0.2">
      <c r="B565" s="2"/>
      <c r="C565" s="13"/>
      <c r="D565" s="13"/>
      <c r="E565" s="13"/>
      <c r="F565" s="10"/>
      <c r="G565" s="3"/>
      <c r="H565" s="3"/>
      <c r="I565" s="4"/>
    </row>
    <row r="566" spans="2:9" x14ac:dyDescent="0.2">
      <c r="B566" s="2"/>
      <c r="C566" s="13"/>
      <c r="D566" s="13"/>
      <c r="E566" s="13"/>
      <c r="F566" s="10"/>
      <c r="G566" s="3"/>
      <c r="H566" s="3"/>
      <c r="I566" s="4"/>
    </row>
    <row r="567" spans="2:9" x14ac:dyDescent="0.2">
      <c r="B567" s="2"/>
      <c r="C567" s="13"/>
      <c r="D567" s="13"/>
      <c r="E567" s="13"/>
      <c r="F567" s="10"/>
      <c r="G567" s="3"/>
      <c r="H567" s="3"/>
      <c r="I567" s="4"/>
    </row>
    <row r="568" spans="2:9" x14ac:dyDescent="0.2">
      <c r="B568" s="2"/>
      <c r="C568" s="13"/>
      <c r="D568" s="13"/>
      <c r="E568" s="13"/>
      <c r="F568" s="10"/>
      <c r="G568" s="3"/>
      <c r="H568" s="3"/>
      <c r="I568" s="4"/>
    </row>
    <row r="569" spans="2:9" x14ac:dyDescent="0.2">
      <c r="B569" s="2"/>
      <c r="C569" s="13"/>
      <c r="D569" s="13"/>
      <c r="E569" s="13"/>
      <c r="F569" s="10"/>
      <c r="G569" s="3"/>
      <c r="H569" s="3"/>
      <c r="I569" s="4"/>
    </row>
    <row r="570" spans="2:9" x14ac:dyDescent="0.2">
      <c r="B570" s="2"/>
      <c r="C570" s="13"/>
      <c r="D570" s="13"/>
      <c r="E570" s="13"/>
      <c r="F570" s="10"/>
      <c r="G570" s="3"/>
      <c r="H570" s="3"/>
      <c r="I570" s="4"/>
    </row>
    <row r="571" spans="2:9" x14ac:dyDescent="0.2">
      <c r="B571" s="2"/>
      <c r="C571" s="13"/>
      <c r="D571" s="13"/>
      <c r="E571" s="13"/>
      <c r="F571" s="10"/>
      <c r="G571" s="3"/>
      <c r="H571" s="3"/>
      <c r="I571" s="4"/>
    </row>
    <row r="572" spans="2:9" x14ac:dyDescent="0.2">
      <c r="B572" s="2"/>
      <c r="C572" s="13"/>
      <c r="D572" s="13"/>
      <c r="E572" s="13"/>
      <c r="F572" s="10"/>
      <c r="G572" s="3"/>
      <c r="H572" s="3"/>
      <c r="I572" s="4"/>
    </row>
    <row r="573" spans="2:9" x14ac:dyDescent="0.2">
      <c r="B573" s="2"/>
      <c r="C573" s="13"/>
      <c r="D573" s="13"/>
      <c r="E573" s="13"/>
      <c r="F573" s="10"/>
      <c r="G573" s="3"/>
      <c r="H573" s="3"/>
      <c r="I573" s="4"/>
    </row>
    <row r="574" spans="2:9" x14ac:dyDescent="0.2">
      <c r="B574" s="2"/>
      <c r="C574" s="13"/>
      <c r="D574" s="13"/>
      <c r="E574" s="13"/>
      <c r="F574" s="10"/>
      <c r="G574" s="3"/>
      <c r="H574" s="3"/>
      <c r="I574" s="4"/>
    </row>
    <row r="575" spans="2:9" x14ac:dyDescent="0.2">
      <c r="B575" s="2"/>
      <c r="C575" s="13"/>
      <c r="D575" s="13"/>
      <c r="E575" s="13"/>
      <c r="F575" s="10"/>
      <c r="G575" s="3"/>
      <c r="H575" s="3"/>
      <c r="I575" s="4"/>
    </row>
    <row r="576" spans="2:9" x14ac:dyDescent="0.2">
      <c r="B576" s="2"/>
      <c r="C576" s="13"/>
      <c r="D576" s="13"/>
      <c r="E576" s="13"/>
      <c r="F576" s="10"/>
      <c r="G576" s="3"/>
      <c r="H576" s="3"/>
      <c r="I576" s="4"/>
    </row>
    <row r="577" spans="2:9" x14ac:dyDescent="0.2">
      <c r="B577" s="2"/>
      <c r="C577" s="13"/>
      <c r="D577" s="13"/>
      <c r="E577" s="13"/>
      <c r="F577" s="10"/>
      <c r="G577" s="3"/>
      <c r="H577" s="3"/>
      <c r="I577" s="4"/>
    </row>
    <row r="578" spans="2:9" x14ac:dyDescent="0.2">
      <c r="B578" s="2"/>
      <c r="C578" s="13"/>
      <c r="D578" s="13"/>
      <c r="E578" s="13"/>
      <c r="F578" s="10"/>
      <c r="G578" s="3"/>
      <c r="H578" s="3"/>
      <c r="I578" s="4"/>
    </row>
    <row r="579" spans="2:9" x14ac:dyDescent="0.2">
      <c r="B579" s="2"/>
      <c r="C579" s="13"/>
      <c r="D579" s="13"/>
      <c r="E579" s="13"/>
      <c r="F579" s="10"/>
      <c r="G579" s="3"/>
      <c r="H579" s="3"/>
      <c r="I579" s="4"/>
    </row>
    <row r="580" spans="2:9" x14ac:dyDescent="0.2">
      <c r="B580" s="2"/>
      <c r="C580" s="13"/>
      <c r="D580" s="13"/>
      <c r="E580" s="13"/>
      <c r="F580" s="10"/>
      <c r="G580" s="3"/>
      <c r="H580" s="3"/>
      <c r="I580" s="4"/>
    </row>
    <row r="581" spans="2:9" x14ac:dyDescent="0.2">
      <c r="B581" s="2"/>
      <c r="C581" s="13"/>
      <c r="D581" s="13"/>
      <c r="E581" s="13"/>
      <c r="F581" s="10"/>
      <c r="G581" s="3"/>
      <c r="H581" s="3"/>
      <c r="I581" s="4"/>
    </row>
    <row r="582" spans="2:9" x14ac:dyDescent="0.2">
      <c r="B582" s="2"/>
      <c r="C582" s="13"/>
      <c r="D582" s="13"/>
      <c r="E582" s="13"/>
      <c r="F582" s="10"/>
      <c r="G582" s="3"/>
      <c r="H582" s="3"/>
      <c r="I582" s="4"/>
    </row>
    <row r="583" spans="2:9" x14ac:dyDescent="0.2">
      <c r="B583" s="2"/>
      <c r="C583" s="13"/>
      <c r="D583" s="13"/>
      <c r="E583" s="13"/>
      <c r="F583" s="10"/>
      <c r="G583" s="3"/>
      <c r="H583" s="3"/>
      <c r="I583" s="4"/>
    </row>
    <row r="584" spans="2:9" x14ac:dyDescent="0.2">
      <c r="B584" s="2"/>
      <c r="C584" s="13"/>
      <c r="D584" s="13"/>
      <c r="E584" s="13"/>
      <c r="F584" s="10"/>
      <c r="G584" s="3"/>
      <c r="H584" s="3"/>
      <c r="I584" s="4"/>
    </row>
    <row r="585" spans="2:9" x14ac:dyDescent="0.2">
      <c r="B585" s="2"/>
      <c r="C585" s="13"/>
      <c r="D585" s="13"/>
      <c r="E585" s="13"/>
      <c r="F585" s="10"/>
      <c r="G585" s="3"/>
      <c r="H585" s="3"/>
      <c r="I585" s="4"/>
    </row>
    <row r="586" spans="2:9" x14ac:dyDescent="0.2">
      <c r="B586" s="2"/>
      <c r="C586" s="13"/>
      <c r="D586" s="13"/>
      <c r="E586" s="13"/>
      <c r="F586" s="10"/>
      <c r="G586" s="3"/>
      <c r="H586" s="3"/>
      <c r="I586" s="4"/>
    </row>
    <row r="587" spans="2:9" x14ac:dyDescent="0.2">
      <c r="B587" s="2"/>
      <c r="C587" s="13"/>
      <c r="D587" s="13"/>
      <c r="E587" s="13"/>
      <c r="F587" s="10"/>
      <c r="G587" s="3"/>
      <c r="H587" s="3"/>
      <c r="I587" s="4"/>
    </row>
    <row r="588" spans="2:9" x14ac:dyDescent="0.2">
      <c r="B588" s="2"/>
      <c r="C588" s="13"/>
      <c r="D588" s="13"/>
      <c r="E588" s="13"/>
      <c r="F588" s="10"/>
      <c r="G588" s="3"/>
      <c r="H588" s="3"/>
      <c r="I588" s="4"/>
    </row>
    <row r="589" spans="2:9" x14ac:dyDescent="0.2">
      <c r="B589" s="2"/>
      <c r="C589" s="13"/>
      <c r="D589" s="13"/>
      <c r="E589" s="13"/>
      <c r="F589" s="10"/>
      <c r="G589" s="3"/>
      <c r="H589" s="3"/>
      <c r="I589" s="4"/>
    </row>
    <row r="590" spans="2:9" x14ac:dyDescent="0.2">
      <c r="B590" s="2"/>
      <c r="C590" s="13"/>
      <c r="D590" s="13"/>
      <c r="E590" s="13"/>
      <c r="F590" s="10"/>
      <c r="G590" s="3"/>
      <c r="H590" s="3"/>
      <c r="I590" s="4"/>
    </row>
    <row r="591" spans="2:9" x14ac:dyDescent="0.2">
      <c r="B591" s="2"/>
      <c r="C591" s="13"/>
      <c r="D591" s="13"/>
      <c r="E591" s="13"/>
      <c r="F591" s="10"/>
      <c r="G591" s="3"/>
      <c r="H591" s="3"/>
      <c r="I591" s="4"/>
    </row>
    <row r="592" spans="2:9" x14ac:dyDescent="0.2">
      <c r="B592" s="2"/>
      <c r="C592" s="13"/>
      <c r="D592" s="13"/>
      <c r="E592" s="13"/>
      <c r="F592" s="10"/>
      <c r="G592" s="3"/>
      <c r="H592" s="3"/>
      <c r="I592" s="4"/>
    </row>
    <row r="593" spans="2:9" x14ac:dyDescent="0.2">
      <c r="B593" s="2"/>
      <c r="C593" s="13"/>
      <c r="D593" s="13"/>
      <c r="E593" s="13"/>
      <c r="F593" s="10"/>
      <c r="G593" s="3"/>
      <c r="H593" s="3"/>
      <c r="I593" s="4"/>
    </row>
    <row r="594" spans="2:9" x14ac:dyDescent="0.2">
      <c r="B594" s="2"/>
      <c r="C594" s="13"/>
      <c r="D594" s="13"/>
      <c r="E594" s="13"/>
      <c r="F594" s="10"/>
      <c r="G594" s="3"/>
      <c r="H594" s="3"/>
      <c r="I594" s="4"/>
    </row>
    <row r="595" spans="2:9" x14ac:dyDescent="0.2">
      <c r="B595" s="2"/>
      <c r="C595" s="13"/>
      <c r="D595" s="13"/>
      <c r="E595" s="13"/>
      <c r="F595" s="10"/>
      <c r="G595" s="3"/>
      <c r="H595" s="3"/>
      <c r="I595" s="4"/>
    </row>
    <row r="596" spans="2:9" x14ac:dyDescent="0.2">
      <c r="B596" s="2"/>
      <c r="C596" s="13"/>
      <c r="D596" s="13"/>
      <c r="E596" s="13"/>
      <c r="F596" s="10"/>
      <c r="G596" s="3"/>
      <c r="H596" s="3"/>
      <c r="I596" s="4"/>
    </row>
    <row r="597" spans="2:9" x14ac:dyDescent="0.2">
      <c r="B597" s="2"/>
      <c r="C597" s="13"/>
      <c r="D597" s="13"/>
      <c r="E597" s="13"/>
      <c r="F597" s="10"/>
      <c r="G597" s="3"/>
      <c r="H597" s="3"/>
      <c r="I597" s="4"/>
    </row>
    <row r="598" spans="2:9" x14ac:dyDescent="0.2">
      <c r="B598" s="2"/>
      <c r="C598" s="13"/>
      <c r="D598" s="13"/>
      <c r="E598" s="13"/>
      <c r="F598" s="10"/>
      <c r="G598" s="3"/>
      <c r="H598" s="3"/>
      <c r="I598" s="4"/>
    </row>
    <row r="599" spans="2:9" x14ac:dyDescent="0.2">
      <c r="B599" s="2"/>
      <c r="C599" s="13"/>
      <c r="D599" s="13"/>
      <c r="E599" s="13"/>
      <c r="F599" s="10"/>
      <c r="G599" s="3"/>
      <c r="H599" s="3"/>
      <c r="I599" s="4"/>
    </row>
    <row r="600" spans="2:9" x14ac:dyDescent="0.2">
      <c r="B600" s="2"/>
      <c r="C600" s="13"/>
      <c r="D600" s="13"/>
      <c r="E600" s="13"/>
      <c r="F600" s="10"/>
      <c r="G600" s="3"/>
      <c r="H600" s="3"/>
      <c r="I600" s="4"/>
    </row>
    <row r="601" spans="2:9" x14ac:dyDescent="0.2">
      <c r="B601" s="2"/>
      <c r="C601" s="13"/>
      <c r="D601" s="13"/>
      <c r="E601" s="13"/>
      <c r="F601" s="10"/>
      <c r="G601" s="3"/>
      <c r="H601" s="3"/>
      <c r="I601" s="4"/>
    </row>
    <row r="602" spans="2:9" x14ac:dyDescent="0.2">
      <c r="B602" s="2"/>
      <c r="C602" s="13"/>
      <c r="D602" s="13"/>
      <c r="E602" s="13"/>
      <c r="F602" s="10"/>
      <c r="G602" s="3"/>
      <c r="H602" s="3"/>
      <c r="I602" s="4"/>
    </row>
    <row r="603" spans="2:9" x14ac:dyDescent="0.2">
      <c r="B603" s="2"/>
      <c r="C603" s="13"/>
      <c r="D603" s="13"/>
      <c r="E603" s="13"/>
      <c r="F603" s="10"/>
      <c r="G603" s="3"/>
      <c r="H603" s="3"/>
      <c r="I603" s="4"/>
    </row>
    <row r="604" spans="2:9" x14ac:dyDescent="0.2">
      <c r="B604" s="2"/>
      <c r="C604" s="13"/>
      <c r="D604" s="13"/>
      <c r="E604" s="13"/>
      <c r="F604" s="10"/>
      <c r="G604" s="3"/>
      <c r="H604" s="3"/>
      <c r="I604" s="4"/>
    </row>
    <row r="605" spans="2:9" x14ac:dyDescent="0.2">
      <c r="B605" s="2"/>
      <c r="C605" s="13"/>
      <c r="D605" s="13"/>
      <c r="E605" s="13"/>
      <c r="F605" s="10"/>
      <c r="G605" s="3"/>
      <c r="H605" s="3"/>
      <c r="I605" s="4"/>
    </row>
    <row r="606" spans="2:9" x14ac:dyDescent="0.2">
      <c r="B606" s="2"/>
      <c r="C606" s="13"/>
      <c r="D606" s="13"/>
      <c r="E606" s="13"/>
      <c r="F606" s="10"/>
      <c r="G606" s="3"/>
      <c r="H606" s="3"/>
      <c r="I606" s="4"/>
    </row>
    <row r="607" spans="2:9" x14ac:dyDescent="0.2">
      <c r="B607" s="2"/>
      <c r="C607" s="13"/>
      <c r="D607" s="13"/>
      <c r="E607" s="13"/>
      <c r="F607" s="10"/>
      <c r="G607" s="3"/>
      <c r="H607" s="3"/>
      <c r="I607" s="4"/>
    </row>
    <row r="608" spans="2:9" x14ac:dyDescent="0.2">
      <c r="B608" s="2"/>
      <c r="C608" s="13"/>
      <c r="D608" s="13"/>
      <c r="E608" s="13"/>
      <c r="F608" s="10"/>
      <c r="G608" s="3"/>
      <c r="H608" s="3"/>
      <c r="I608" s="4"/>
    </row>
    <row r="609" spans="2:9" x14ac:dyDescent="0.2">
      <c r="B609" s="2"/>
      <c r="C609" s="13"/>
      <c r="D609" s="13"/>
      <c r="E609" s="13"/>
      <c r="F609" s="10"/>
      <c r="G609" s="3"/>
      <c r="H609" s="3"/>
      <c r="I609" s="4"/>
    </row>
    <row r="610" spans="2:9" x14ac:dyDescent="0.2">
      <c r="B610" s="2"/>
      <c r="C610" s="13"/>
      <c r="D610" s="13"/>
      <c r="E610" s="13"/>
      <c r="F610" s="10"/>
      <c r="G610" s="3"/>
      <c r="H610" s="3"/>
      <c r="I610" s="4"/>
    </row>
    <row r="611" spans="2:9" x14ac:dyDescent="0.2">
      <c r="B611" s="2"/>
      <c r="C611" s="13"/>
      <c r="D611" s="13"/>
      <c r="E611" s="13"/>
      <c r="F611" s="10"/>
      <c r="G611" s="3"/>
      <c r="H611" s="3"/>
      <c r="I611" s="4"/>
    </row>
    <row r="612" spans="2:9" x14ac:dyDescent="0.2">
      <c r="B612" s="2"/>
      <c r="C612" s="13"/>
      <c r="D612" s="13"/>
      <c r="E612" s="13"/>
      <c r="F612" s="10"/>
      <c r="G612" s="3"/>
      <c r="H612" s="3"/>
      <c r="I612" s="4"/>
    </row>
    <row r="613" spans="2:9" x14ac:dyDescent="0.2">
      <c r="B613" s="2"/>
      <c r="C613" s="13"/>
      <c r="D613" s="13"/>
      <c r="E613" s="13"/>
      <c r="F613" s="10"/>
      <c r="G613" s="3"/>
      <c r="H613" s="3"/>
      <c r="I613" s="4"/>
    </row>
    <row r="614" spans="2:9" x14ac:dyDescent="0.2">
      <c r="B614" s="2"/>
      <c r="C614" s="13"/>
      <c r="D614" s="13"/>
      <c r="E614" s="13"/>
      <c r="F614" s="10"/>
      <c r="G614" s="3"/>
      <c r="H614" s="3"/>
      <c r="I614" s="4"/>
    </row>
    <row r="615" spans="2:9" x14ac:dyDescent="0.2">
      <c r="B615" s="2"/>
      <c r="C615" s="13"/>
      <c r="D615" s="13"/>
      <c r="E615" s="13"/>
      <c r="F615" s="10"/>
      <c r="G615" s="3"/>
      <c r="H615" s="3"/>
      <c r="I615" s="4"/>
    </row>
    <row r="616" spans="2:9" x14ac:dyDescent="0.2">
      <c r="B616" s="2"/>
      <c r="C616" s="13"/>
      <c r="D616" s="13"/>
      <c r="E616" s="13"/>
      <c r="F616" s="10"/>
      <c r="G616" s="3"/>
      <c r="H616" s="3"/>
      <c r="I616" s="4"/>
    </row>
    <row r="617" spans="2:9" x14ac:dyDescent="0.2">
      <c r="B617" s="2"/>
      <c r="C617" s="13"/>
      <c r="D617" s="13"/>
      <c r="E617" s="13"/>
      <c r="F617" s="10"/>
      <c r="G617" s="3"/>
      <c r="H617" s="3"/>
      <c r="I617" s="4"/>
    </row>
    <row r="618" spans="2:9" x14ac:dyDescent="0.2">
      <c r="B618" s="2"/>
      <c r="C618" s="13"/>
      <c r="D618" s="13"/>
      <c r="E618" s="13"/>
      <c r="F618" s="10"/>
      <c r="G618" s="3"/>
      <c r="H618" s="3"/>
      <c r="I618" s="4"/>
    </row>
    <row r="619" spans="2:9" x14ac:dyDescent="0.2">
      <c r="B619" s="2"/>
      <c r="C619" s="13"/>
      <c r="D619" s="13"/>
      <c r="E619" s="13"/>
      <c r="F619" s="10"/>
      <c r="G619" s="3"/>
      <c r="H619" s="3"/>
      <c r="I619" s="4"/>
    </row>
    <row r="620" spans="2:9" x14ac:dyDescent="0.2">
      <c r="B620" s="2"/>
      <c r="C620" s="13"/>
      <c r="D620" s="13"/>
      <c r="E620" s="13"/>
      <c r="F620" s="10"/>
      <c r="G620" s="3"/>
      <c r="H620" s="3"/>
      <c r="I620" s="4"/>
    </row>
    <row r="621" spans="2:9" x14ac:dyDescent="0.2">
      <c r="B621" s="2"/>
      <c r="C621" s="13"/>
      <c r="D621" s="13"/>
      <c r="E621" s="13"/>
      <c r="F621" s="10"/>
      <c r="G621" s="3"/>
      <c r="H621" s="3"/>
      <c r="I621" s="4"/>
    </row>
    <row r="622" spans="2:9" x14ac:dyDescent="0.2">
      <c r="B622" s="2"/>
      <c r="C622" s="13"/>
      <c r="D622" s="13"/>
      <c r="E622" s="13"/>
      <c r="F622" s="10"/>
      <c r="G622" s="3"/>
      <c r="H622" s="3"/>
      <c r="I622" s="4"/>
    </row>
    <row r="623" spans="2:9" x14ac:dyDescent="0.2">
      <c r="B623" s="2"/>
      <c r="C623" s="13"/>
      <c r="D623" s="13"/>
      <c r="E623" s="13"/>
      <c r="F623" s="10"/>
      <c r="G623" s="3"/>
      <c r="H623" s="3"/>
      <c r="I623" s="4"/>
    </row>
    <row r="624" spans="2:9" x14ac:dyDescent="0.2">
      <c r="B624" s="2"/>
      <c r="C624" s="13"/>
      <c r="D624" s="13"/>
      <c r="E624" s="13"/>
      <c r="F624" s="10"/>
      <c r="G624" s="3"/>
      <c r="H624" s="3"/>
      <c r="I624" s="4"/>
    </row>
    <row r="625" spans="2:9" x14ac:dyDescent="0.2">
      <c r="B625" s="2"/>
      <c r="C625" s="13"/>
      <c r="D625" s="13"/>
      <c r="E625" s="13"/>
      <c r="F625" s="10"/>
      <c r="G625" s="3"/>
      <c r="H625" s="3"/>
      <c r="I625" s="4"/>
    </row>
    <row r="626" spans="2:9" x14ac:dyDescent="0.2">
      <c r="B626" s="2"/>
      <c r="C626" s="13"/>
      <c r="D626" s="13"/>
      <c r="E626" s="13"/>
      <c r="F626" s="10"/>
      <c r="G626" s="3"/>
      <c r="H626" s="3"/>
      <c r="I626" s="4"/>
    </row>
    <row r="627" spans="2:9" x14ac:dyDescent="0.2">
      <c r="B627" s="2"/>
      <c r="C627" s="13"/>
      <c r="D627" s="13"/>
      <c r="E627" s="13"/>
      <c r="F627" s="10"/>
      <c r="G627" s="3"/>
      <c r="H627" s="3"/>
      <c r="I627" s="4"/>
    </row>
    <row r="628" spans="2:9" x14ac:dyDescent="0.2">
      <c r="B628" s="2"/>
      <c r="C628" s="13"/>
      <c r="D628" s="13"/>
      <c r="E628" s="13"/>
      <c r="F628" s="10"/>
      <c r="G628" s="3"/>
      <c r="H628" s="3"/>
      <c r="I628" s="4"/>
    </row>
    <row r="629" spans="2:9" x14ac:dyDescent="0.2">
      <c r="B629" s="2"/>
      <c r="C629" s="13"/>
      <c r="D629" s="13"/>
      <c r="E629" s="13"/>
      <c r="F629" s="10"/>
      <c r="G629" s="3"/>
      <c r="H629" s="3"/>
      <c r="I629" s="4"/>
    </row>
    <row r="630" spans="2:9" x14ac:dyDescent="0.2">
      <c r="B630" s="2"/>
      <c r="C630" s="13"/>
      <c r="D630" s="13"/>
      <c r="E630" s="13"/>
      <c r="F630" s="10"/>
      <c r="G630" s="3"/>
      <c r="H630" s="3"/>
      <c r="I630" s="4"/>
    </row>
    <row r="631" spans="2:9" x14ac:dyDescent="0.2">
      <c r="B631" s="2"/>
      <c r="C631" s="13"/>
      <c r="D631" s="13"/>
      <c r="E631" s="13"/>
      <c r="F631" s="10"/>
      <c r="G631" s="3"/>
      <c r="H631" s="3"/>
      <c r="I631" s="4"/>
    </row>
    <row r="632" spans="2:9" x14ac:dyDescent="0.2">
      <c r="B632" s="2"/>
      <c r="C632" s="13"/>
      <c r="D632" s="13"/>
      <c r="E632" s="13"/>
      <c r="F632" s="10"/>
      <c r="G632" s="3"/>
      <c r="H632" s="3"/>
      <c r="I632" s="4"/>
    </row>
    <row r="633" spans="2:9" x14ac:dyDescent="0.2">
      <c r="B633" s="2"/>
      <c r="C633" s="13"/>
      <c r="D633" s="13"/>
      <c r="E633" s="13"/>
      <c r="F633" s="10"/>
      <c r="G633" s="3"/>
      <c r="H633" s="3"/>
      <c r="I633" s="4"/>
    </row>
    <row r="634" spans="2:9" x14ac:dyDescent="0.2">
      <c r="B634" s="2"/>
      <c r="C634" s="13"/>
      <c r="D634" s="13"/>
      <c r="E634" s="13"/>
      <c r="F634" s="10"/>
      <c r="G634" s="3"/>
      <c r="H634" s="3"/>
      <c r="I634" s="4"/>
    </row>
    <row r="635" spans="2:9" x14ac:dyDescent="0.2">
      <c r="B635" s="2"/>
      <c r="C635" s="13"/>
      <c r="D635" s="13"/>
      <c r="E635" s="13"/>
      <c r="F635" s="10"/>
      <c r="G635" s="3"/>
      <c r="H635" s="3"/>
      <c r="I635" s="4"/>
    </row>
    <row r="636" spans="2:9" x14ac:dyDescent="0.2">
      <c r="B636" s="2"/>
      <c r="C636" s="13"/>
      <c r="D636" s="13"/>
      <c r="E636" s="13"/>
      <c r="F636" s="10"/>
      <c r="G636" s="3"/>
      <c r="H636" s="3"/>
      <c r="I636" s="4"/>
    </row>
    <row r="637" spans="2:9" x14ac:dyDescent="0.2">
      <c r="B637" s="2"/>
      <c r="C637" s="13"/>
      <c r="D637" s="13"/>
      <c r="E637" s="13"/>
      <c r="F637" s="10"/>
      <c r="G637" s="3"/>
      <c r="H637" s="3"/>
      <c r="I637" s="4"/>
    </row>
    <row r="638" spans="2:9" x14ac:dyDescent="0.2">
      <c r="B638" s="2"/>
      <c r="C638" s="13"/>
      <c r="D638" s="13"/>
      <c r="E638" s="13"/>
      <c r="F638" s="10"/>
      <c r="G638" s="3"/>
      <c r="H638" s="3"/>
      <c r="I638" s="4"/>
    </row>
    <row r="639" spans="2:9" x14ac:dyDescent="0.2">
      <c r="B639" s="2"/>
      <c r="C639" s="13"/>
      <c r="D639" s="13"/>
      <c r="E639" s="13"/>
      <c r="F639" s="10"/>
      <c r="G639" s="3"/>
      <c r="H639" s="3"/>
      <c r="I639" s="4"/>
    </row>
    <row r="640" spans="2:9" x14ac:dyDescent="0.2">
      <c r="B640" s="2"/>
      <c r="C640" s="13"/>
      <c r="D640" s="13"/>
      <c r="E640" s="13"/>
      <c r="F640" s="10"/>
      <c r="G640" s="3"/>
      <c r="H640" s="3"/>
      <c r="I640" s="4"/>
    </row>
    <row r="641" spans="2:9" x14ac:dyDescent="0.2">
      <c r="B641" s="2"/>
      <c r="C641" s="13"/>
      <c r="D641" s="13"/>
      <c r="E641" s="13"/>
      <c r="F641" s="10"/>
      <c r="G641" s="3"/>
      <c r="H641" s="3"/>
      <c r="I641" s="4"/>
    </row>
    <row r="642" spans="2:9" x14ac:dyDescent="0.2">
      <c r="B642" s="2"/>
      <c r="C642" s="13"/>
      <c r="D642" s="13"/>
      <c r="E642" s="13"/>
      <c r="F642" s="10"/>
      <c r="G642" s="3"/>
      <c r="H642" s="3"/>
      <c r="I642" s="4"/>
    </row>
    <row r="643" spans="2:9" x14ac:dyDescent="0.2">
      <c r="B643" s="2"/>
      <c r="C643" s="13"/>
      <c r="D643" s="13"/>
      <c r="E643" s="13"/>
      <c r="F643" s="10"/>
      <c r="G643" s="3"/>
      <c r="H643" s="3"/>
      <c r="I643" s="4"/>
    </row>
    <row r="644" spans="2:9" x14ac:dyDescent="0.2">
      <c r="B644" s="2"/>
      <c r="C644" s="13"/>
      <c r="D644" s="13"/>
      <c r="E644" s="13"/>
      <c r="F644" s="10"/>
      <c r="G644" s="3"/>
      <c r="H644" s="3"/>
      <c r="I644" s="4"/>
    </row>
    <row r="645" spans="2:9" x14ac:dyDescent="0.2">
      <c r="B645" s="2"/>
      <c r="C645" s="13"/>
      <c r="D645" s="13"/>
      <c r="E645" s="13"/>
      <c r="F645" s="10"/>
      <c r="G645" s="3"/>
      <c r="H645" s="3"/>
      <c r="I645" s="4"/>
    </row>
    <row r="646" spans="2:9" x14ac:dyDescent="0.2">
      <c r="B646" s="2"/>
      <c r="C646" s="13"/>
      <c r="D646" s="13"/>
      <c r="E646" s="13"/>
      <c r="F646" s="10"/>
      <c r="G646" s="3"/>
      <c r="H646" s="3"/>
      <c r="I646" s="4"/>
    </row>
    <row r="647" spans="2:9" x14ac:dyDescent="0.2">
      <c r="B647" s="2"/>
      <c r="C647" s="13"/>
      <c r="D647" s="13"/>
      <c r="E647" s="13"/>
      <c r="F647" s="10"/>
      <c r="G647" s="3"/>
      <c r="H647" s="3"/>
      <c r="I647" s="4"/>
    </row>
    <row r="648" spans="2:9" x14ac:dyDescent="0.2">
      <c r="B648" s="2"/>
      <c r="C648" s="13"/>
      <c r="D648" s="13"/>
      <c r="E648" s="13"/>
      <c r="F648" s="10"/>
      <c r="G648" s="3"/>
      <c r="H648" s="3"/>
      <c r="I648" s="4"/>
    </row>
    <row r="649" spans="2:9" x14ac:dyDescent="0.2">
      <c r="B649" s="2"/>
      <c r="C649" s="13"/>
      <c r="D649" s="13"/>
      <c r="E649" s="13"/>
      <c r="F649" s="10"/>
      <c r="G649" s="3"/>
      <c r="H649" s="3"/>
      <c r="I649" s="4"/>
    </row>
    <row r="650" spans="2:9" x14ac:dyDescent="0.2">
      <c r="B650" s="2"/>
      <c r="C650" s="13"/>
      <c r="D650" s="13"/>
      <c r="E650" s="13"/>
      <c r="F650" s="10"/>
      <c r="G650" s="3"/>
      <c r="H650" s="3"/>
      <c r="I650" s="4"/>
    </row>
    <row r="651" spans="2:9" x14ac:dyDescent="0.2">
      <c r="B651" s="2"/>
      <c r="C651" s="13"/>
      <c r="D651" s="13"/>
      <c r="E651" s="13"/>
      <c r="F651" s="10"/>
      <c r="G651" s="3"/>
      <c r="H651" s="3"/>
      <c r="I651" s="4"/>
    </row>
    <row r="652" spans="2:9" x14ac:dyDescent="0.2">
      <c r="B652" s="2"/>
      <c r="C652" s="13"/>
      <c r="D652" s="13"/>
      <c r="E652" s="13"/>
      <c r="F652" s="10"/>
      <c r="G652" s="3"/>
      <c r="H652" s="3"/>
      <c r="I652" s="4"/>
    </row>
    <row r="653" spans="2:9" x14ac:dyDescent="0.2">
      <c r="B653" s="2"/>
      <c r="C653" s="13"/>
      <c r="D653" s="13"/>
      <c r="E653" s="13"/>
      <c r="F653" s="10"/>
      <c r="G653" s="3"/>
      <c r="H653" s="3"/>
      <c r="I653" s="4"/>
    </row>
    <row r="654" spans="2:9" x14ac:dyDescent="0.2">
      <c r="B654" s="2"/>
      <c r="C654" s="13"/>
      <c r="D654" s="13"/>
      <c r="E654" s="13"/>
      <c r="F654" s="10"/>
      <c r="G654" s="3"/>
      <c r="H654" s="3"/>
      <c r="I654" s="4"/>
    </row>
    <row r="655" spans="2:9" x14ac:dyDescent="0.2">
      <c r="B655" s="2"/>
      <c r="C655" s="13"/>
      <c r="D655" s="13"/>
      <c r="E655" s="13"/>
      <c r="F655" s="10"/>
      <c r="G655" s="3"/>
      <c r="H655" s="3"/>
      <c r="I655" s="4"/>
    </row>
    <row r="656" spans="2:9" x14ac:dyDescent="0.2">
      <c r="B656" s="2"/>
      <c r="C656" s="13"/>
      <c r="D656" s="13"/>
      <c r="E656" s="13"/>
      <c r="F656" s="10"/>
      <c r="G656" s="3"/>
      <c r="H656" s="3"/>
      <c r="I656" s="4"/>
    </row>
    <row r="657" spans="2:9" x14ac:dyDescent="0.2">
      <c r="B657" s="2"/>
      <c r="C657" s="13"/>
      <c r="D657" s="13"/>
      <c r="E657" s="13"/>
      <c r="F657" s="10"/>
      <c r="G657" s="3"/>
      <c r="H657" s="3"/>
      <c r="I657" s="4"/>
    </row>
    <row r="658" spans="2:9" x14ac:dyDescent="0.2">
      <c r="B658" s="2"/>
      <c r="C658" s="13"/>
      <c r="D658" s="13"/>
      <c r="E658" s="13"/>
      <c r="F658" s="10"/>
      <c r="G658" s="3"/>
      <c r="H658" s="3"/>
      <c r="I658" s="4"/>
    </row>
    <row r="659" spans="2:9" x14ac:dyDescent="0.2">
      <c r="B659" s="2"/>
      <c r="C659" s="13"/>
      <c r="D659" s="13"/>
      <c r="E659" s="13"/>
      <c r="F659" s="10"/>
      <c r="G659" s="3"/>
      <c r="H659" s="3"/>
      <c r="I659" s="4"/>
    </row>
    <row r="660" spans="2:9" x14ac:dyDescent="0.2">
      <c r="B660" s="2"/>
      <c r="C660" s="13"/>
      <c r="D660" s="13"/>
      <c r="E660" s="13"/>
      <c r="F660" s="10"/>
      <c r="G660" s="3"/>
      <c r="H660" s="3"/>
      <c r="I660" s="4"/>
    </row>
    <row r="661" spans="2:9" x14ac:dyDescent="0.2">
      <c r="B661" s="2"/>
      <c r="C661" s="13"/>
      <c r="D661" s="13"/>
      <c r="E661" s="13"/>
      <c r="F661" s="10"/>
      <c r="G661" s="3"/>
      <c r="H661" s="3"/>
      <c r="I661" s="4"/>
    </row>
    <row r="662" spans="2:9" x14ac:dyDescent="0.2">
      <c r="B662" s="2"/>
      <c r="C662" s="13"/>
      <c r="D662" s="13"/>
      <c r="E662" s="13"/>
      <c r="F662" s="10"/>
      <c r="G662" s="3"/>
      <c r="H662" s="3"/>
      <c r="I662" s="4"/>
    </row>
    <row r="663" spans="2:9" x14ac:dyDescent="0.2">
      <c r="B663" s="2"/>
      <c r="C663" s="13"/>
      <c r="D663" s="13"/>
      <c r="E663" s="13"/>
      <c r="F663" s="10"/>
      <c r="G663" s="3"/>
      <c r="H663" s="3"/>
      <c r="I663" s="4"/>
    </row>
    <row r="664" spans="2:9" x14ac:dyDescent="0.2">
      <c r="B664" s="2"/>
      <c r="C664" s="13"/>
      <c r="D664" s="13"/>
      <c r="E664" s="13"/>
      <c r="F664" s="10"/>
      <c r="G664" s="3"/>
      <c r="H664" s="3"/>
      <c r="I664" s="4"/>
    </row>
    <row r="665" spans="2:9" x14ac:dyDescent="0.2">
      <c r="B665" s="2"/>
      <c r="C665" s="13"/>
      <c r="D665" s="13"/>
      <c r="E665" s="13"/>
      <c r="F665" s="10"/>
      <c r="G665" s="3"/>
      <c r="H665" s="3"/>
      <c r="I665" s="4"/>
    </row>
    <row r="666" spans="2:9" x14ac:dyDescent="0.2">
      <c r="B666" s="2"/>
      <c r="C666" s="13"/>
      <c r="D666" s="13"/>
      <c r="E666" s="13"/>
      <c r="F666" s="10"/>
      <c r="G666" s="3"/>
      <c r="H666" s="3"/>
      <c r="I666" s="4"/>
    </row>
    <row r="667" spans="2:9" x14ac:dyDescent="0.2">
      <c r="B667" s="2"/>
      <c r="C667" s="13"/>
      <c r="D667" s="13"/>
      <c r="E667" s="13"/>
      <c r="F667" s="10"/>
      <c r="G667" s="3"/>
      <c r="H667" s="3"/>
      <c r="I667" s="4"/>
    </row>
    <row r="668" spans="2:9" x14ac:dyDescent="0.2">
      <c r="B668" s="2"/>
      <c r="C668" s="13"/>
      <c r="D668" s="13"/>
      <c r="E668" s="13"/>
      <c r="F668" s="10"/>
      <c r="G668" s="3"/>
      <c r="H668" s="3"/>
      <c r="I668" s="4"/>
    </row>
    <row r="669" spans="2:9" x14ac:dyDescent="0.2">
      <c r="B669" s="2"/>
      <c r="C669" s="13"/>
      <c r="D669" s="13"/>
      <c r="E669" s="13"/>
      <c r="F669" s="10"/>
      <c r="G669" s="3"/>
      <c r="H669" s="3"/>
      <c r="I669" s="4"/>
    </row>
    <row r="670" spans="2:9" x14ac:dyDescent="0.2">
      <c r="B670" s="2"/>
      <c r="C670" s="13"/>
      <c r="D670" s="13"/>
      <c r="E670" s="13"/>
      <c r="F670" s="10"/>
      <c r="G670" s="3"/>
      <c r="H670" s="3"/>
      <c r="I670" s="4"/>
    </row>
    <row r="671" spans="2:9" x14ac:dyDescent="0.2">
      <c r="B671" s="2"/>
      <c r="C671" s="13"/>
      <c r="D671" s="13"/>
      <c r="E671" s="13"/>
      <c r="F671" s="10"/>
      <c r="G671" s="3"/>
      <c r="H671" s="3"/>
      <c r="I671" s="4"/>
    </row>
    <row r="672" spans="2:9" x14ac:dyDescent="0.2">
      <c r="B672" s="2"/>
      <c r="C672" s="13"/>
      <c r="D672" s="13"/>
      <c r="E672" s="13"/>
      <c r="F672" s="10"/>
      <c r="G672" s="3"/>
      <c r="H672" s="3"/>
      <c r="I672" s="4"/>
    </row>
    <row r="673" spans="2:9" x14ac:dyDescent="0.2">
      <c r="B673" s="2"/>
      <c r="C673" s="13"/>
      <c r="D673" s="13"/>
      <c r="E673" s="13"/>
      <c r="F673" s="10"/>
      <c r="G673" s="3"/>
      <c r="H673" s="3"/>
      <c r="I673" s="4"/>
    </row>
    <row r="674" spans="2:9" x14ac:dyDescent="0.2">
      <c r="B674" s="2"/>
      <c r="C674" s="13"/>
      <c r="D674" s="13"/>
      <c r="E674" s="13"/>
      <c r="F674" s="10"/>
      <c r="G674" s="3"/>
      <c r="H674" s="3"/>
      <c r="I674" s="4"/>
    </row>
    <row r="675" spans="2:9" x14ac:dyDescent="0.2">
      <c r="B675" s="2"/>
      <c r="C675" s="13"/>
      <c r="D675" s="13"/>
      <c r="E675" s="13"/>
      <c r="F675" s="10"/>
      <c r="G675" s="3"/>
      <c r="H675" s="3"/>
      <c r="I675" s="4"/>
    </row>
    <row r="676" spans="2:9" x14ac:dyDescent="0.2">
      <c r="B676" s="2"/>
      <c r="C676" s="13"/>
      <c r="D676" s="13"/>
      <c r="E676" s="13"/>
      <c r="F676" s="10"/>
      <c r="G676" s="3"/>
      <c r="H676" s="3"/>
      <c r="I676" s="4"/>
    </row>
    <row r="677" spans="2:9" x14ac:dyDescent="0.2">
      <c r="B677" s="2"/>
      <c r="C677" s="13"/>
      <c r="D677" s="13"/>
      <c r="E677" s="13"/>
      <c r="F677" s="10"/>
      <c r="G677" s="3"/>
      <c r="H677" s="3"/>
      <c r="I677" s="4"/>
    </row>
    <row r="678" spans="2:9" x14ac:dyDescent="0.2">
      <c r="B678" s="2"/>
      <c r="C678" s="13"/>
      <c r="D678" s="13"/>
      <c r="E678" s="13"/>
      <c r="F678" s="10"/>
      <c r="G678" s="3"/>
      <c r="H678" s="3"/>
      <c r="I678" s="4"/>
    </row>
    <row r="679" spans="2:9" x14ac:dyDescent="0.2">
      <c r="B679" s="2"/>
      <c r="C679" s="13"/>
      <c r="D679" s="13"/>
      <c r="E679" s="13"/>
      <c r="F679" s="10"/>
      <c r="G679" s="3"/>
      <c r="H679" s="3"/>
      <c r="I679" s="4"/>
    </row>
    <row r="680" spans="2:9" x14ac:dyDescent="0.2">
      <c r="B680" s="2"/>
      <c r="C680" s="13"/>
      <c r="D680" s="13"/>
      <c r="E680" s="13"/>
      <c r="F680" s="10"/>
      <c r="G680" s="3"/>
      <c r="H680" s="3"/>
      <c r="I680" s="4"/>
    </row>
    <row r="681" spans="2:9" x14ac:dyDescent="0.2">
      <c r="B681" s="2"/>
      <c r="C681" s="13"/>
      <c r="D681" s="13"/>
      <c r="E681" s="13"/>
      <c r="F681" s="10"/>
      <c r="G681" s="3"/>
      <c r="H681" s="3"/>
      <c r="I681" s="4"/>
    </row>
    <row r="682" spans="2:9" x14ac:dyDescent="0.2">
      <c r="B682" s="2"/>
      <c r="C682" s="13"/>
      <c r="D682" s="13"/>
      <c r="E682" s="13"/>
      <c r="F682" s="10"/>
      <c r="G682" s="3"/>
      <c r="H682" s="3"/>
      <c r="I682" s="4"/>
    </row>
    <row r="683" spans="2:9" x14ac:dyDescent="0.2">
      <c r="B683" s="2"/>
      <c r="C683" s="13"/>
      <c r="D683" s="13"/>
      <c r="E683" s="13"/>
      <c r="F683" s="10"/>
      <c r="G683" s="3"/>
      <c r="H683" s="3"/>
      <c r="I683" s="4"/>
    </row>
    <row r="684" spans="2:9" x14ac:dyDescent="0.2">
      <c r="B684" s="2"/>
      <c r="C684" s="13"/>
      <c r="D684" s="13"/>
      <c r="E684" s="13"/>
      <c r="F684" s="10"/>
      <c r="G684" s="3"/>
      <c r="H684" s="3"/>
      <c r="I684" s="4"/>
    </row>
    <row r="685" spans="2:9" x14ac:dyDescent="0.2">
      <c r="B685" s="2"/>
      <c r="C685" s="13"/>
      <c r="D685" s="13"/>
      <c r="E685" s="13"/>
      <c r="F685" s="10"/>
      <c r="G685" s="3"/>
      <c r="H685" s="3"/>
      <c r="I685" s="4"/>
    </row>
    <row r="686" spans="2:9" x14ac:dyDescent="0.2">
      <c r="B686" s="2"/>
      <c r="C686" s="13"/>
      <c r="D686" s="13"/>
      <c r="E686" s="13"/>
      <c r="F686" s="10"/>
      <c r="G686" s="3"/>
      <c r="H686" s="3"/>
      <c r="I686" s="4"/>
    </row>
    <row r="687" spans="2:9" x14ac:dyDescent="0.2">
      <c r="B687" s="2"/>
      <c r="C687" s="13"/>
      <c r="D687" s="13"/>
      <c r="E687" s="13"/>
      <c r="F687" s="10"/>
      <c r="G687" s="3"/>
      <c r="H687" s="3"/>
      <c r="I687" s="4"/>
    </row>
    <row r="688" spans="2:9" x14ac:dyDescent="0.2">
      <c r="B688" s="2"/>
      <c r="C688" s="13"/>
      <c r="D688" s="13"/>
      <c r="E688" s="13"/>
      <c r="F688" s="10"/>
      <c r="G688" s="3"/>
      <c r="H688" s="3"/>
      <c r="I688" s="4"/>
    </row>
    <row r="689" spans="2:9" x14ac:dyDescent="0.2">
      <c r="B689" s="2"/>
      <c r="C689" s="13"/>
      <c r="D689" s="13"/>
      <c r="E689" s="13"/>
      <c r="F689" s="10"/>
      <c r="G689" s="3"/>
      <c r="H689" s="3"/>
      <c r="I689" s="4"/>
    </row>
    <row r="690" spans="2:9" x14ac:dyDescent="0.2">
      <c r="B690" s="2"/>
      <c r="C690" s="13"/>
      <c r="D690" s="13"/>
      <c r="E690" s="13"/>
      <c r="F690" s="10"/>
      <c r="G690" s="3"/>
      <c r="H690" s="3"/>
      <c r="I690" s="4"/>
    </row>
    <row r="691" spans="2:9" x14ac:dyDescent="0.2">
      <c r="B691" s="2"/>
      <c r="C691" s="13"/>
      <c r="D691" s="13"/>
      <c r="E691" s="13"/>
      <c r="F691" s="10"/>
      <c r="G691" s="3"/>
      <c r="H691" s="3"/>
      <c r="I691" s="4"/>
    </row>
    <row r="692" spans="2:9" x14ac:dyDescent="0.2">
      <c r="B692" s="2"/>
      <c r="C692" s="13"/>
      <c r="D692" s="13"/>
      <c r="E692" s="13"/>
      <c r="F692" s="10"/>
      <c r="G692" s="3"/>
      <c r="H692" s="3"/>
      <c r="I692" s="4"/>
    </row>
    <row r="693" spans="2:9" x14ac:dyDescent="0.2">
      <c r="B693" s="2"/>
      <c r="C693" s="13"/>
      <c r="D693" s="13"/>
      <c r="E693" s="13"/>
      <c r="F693" s="10"/>
      <c r="G693" s="3"/>
      <c r="H693" s="3"/>
      <c r="I693" s="4"/>
    </row>
    <row r="694" spans="2:9" x14ac:dyDescent="0.2">
      <c r="B694" s="2"/>
      <c r="C694" s="13"/>
      <c r="D694" s="13"/>
      <c r="E694" s="13"/>
      <c r="F694" s="10"/>
      <c r="G694" s="3"/>
      <c r="H694" s="3"/>
      <c r="I694" s="4"/>
    </row>
    <row r="695" spans="2:9" x14ac:dyDescent="0.2">
      <c r="B695" s="2"/>
      <c r="C695" s="13"/>
      <c r="D695" s="13"/>
      <c r="E695" s="13"/>
      <c r="F695" s="10"/>
      <c r="G695" s="3"/>
      <c r="H695" s="3"/>
      <c r="I695" s="4"/>
    </row>
    <row r="696" spans="2:9" x14ac:dyDescent="0.2">
      <c r="B696" s="2"/>
      <c r="C696" s="13"/>
      <c r="D696" s="13"/>
      <c r="E696" s="13"/>
      <c r="F696" s="10"/>
      <c r="G696" s="3"/>
      <c r="H696" s="3"/>
      <c r="I696" s="4"/>
    </row>
    <row r="697" spans="2:9" x14ac:dyDescent="0.2">
      <c r="B697" s="2"/>
      <c r="C697" s="13"/>
      <c r="D697" s="13"/>
      <c r="E697" s="13"/>
      <c r="F697" s="10"/>
      <c r="G697" s="3"/>
      <c r="H697" s="3"/>
      <c r="I697" s="4"/>
    </row>
    <row r="698" spans="2:9" x14ac:dyDescent="0.2">
      <c r="B698" s="2"/>
      <c r="C698" s="13"/>
      <c r="D698" s="13"/>
      <c r="E698" s="13"/>
      <c r="F698" s="10"/>
      <c r="G698" s="3"/>
      <c r="H698" s="3"/>
      <c r="I698" s="4"/>
    </row>
    <row r="699" spans="2:9" x14ac:dyDescent="0.2">
      <c r="B699" s="2"/>
      <c r="C699" s="13"/>
      <c r="D699" s="13"/>
      <c r="E699" s="13"/>
      <c r="F699" s="10"/>
      <c r="G699" s="3"/>
      <c r="H699" s="3"/>
      <c r="I699" s="4"/>
    </row>
    <row r="700" spans="2:9" x14ac:dyDescent="0.2">
      <c r="B700" s="2"/>
      <c r="C700" s="13"/>
      <c r="D700" s="13"/>
      <c r="E700" s="13"/>
      <c r="F700" s="10"/>
      <c r="G700" s="3"/>
      <c r="H700" s="3"/>
      <c r="I700" s="4"/>
    </row>
    <row r="701" spans="2:9" x14ac:dyDescent="0.2">
      <c r="B701" s="2"/>
      <c r="C701" s="13"/>
      <c r="D701" s="13"/>
      <c r="E701" s="13"/>
      <c r="F701" s="10"/>
      <c r="G701" s="3"/>
      <c r="H701" s="3"/>
      <c r="I701" s="4"/>
    </row>
    <row r="702" spans="2:9" x14ac:dyDescent="0.2">
      <c r="B702" s="2"/>
      <c r="C702" s="13"/>
      <c r="D702" s="13"/>
      <c r="E702" s="13"/>
      <c r="F702" s="10"/>
      <c r="G702" s="3"/>
      <c r="H702" s="3"/>
      <c r="I702" s="4"/>
    </row>
    <row r="703" spans="2:9" x14ac:dyDescent="0.2">
      <c r="B703" s="2"/>
      <c r="C703" s="13"/>
      <c r="D703" s="13"/>
      <c r="E703" s="13"/>
      <c r="F703" s="10"/>
      <c r="G703" s="3"/>
      <c r="H703" s="3"/>
      <c r="I703" s="4"/>
    </row>
    <row r="704" spans="2:9" x14ac:dyDescent="0.2">
      <c r="B704" s="2"/>
      <c r="C704" s="13"/>
      <c r="D704" s="13"/>
      <c r="E704" s="13"/>
      <c r="F704" s="10"/>
      <c r="G704" s="3"/>
      <c r="H704" s="3"/>
      <c r="I704" s="4"/>
    </row>
    <row r="705" spans="2:9" x14ac:dyDescent="0.2">
      <c r="B705" s="2"/>
      <c r="C705" s="13"/>
      <c r="D705" s="13"/>
      <c r="E705" s="13"/>
      <c r="F705" s="10"/>
      <c r="G705" s="3"/>
      <c r="H705" s="3"/>
      <c r="I705" s="4"/>
    </row>
    <row r="706" spans="2:9" x14ac:dyDescent="0.2">
      <c r="B706" s="2"/>
      <c r="C706" s="13"/>
      <c r="D706" s="13"/>
      <c r="E706" s="13"/>
      <c r="F706" s="10"/>
      <c r="G706" s="3"/>
      <c r="H706" s="3"/>
      <c r="I706" s="4"/>
    </row>
    <row r="707" spans="2:9" x14ac:dyDescent="0.2">
      <c r="B707" s="2"/>
      <c r="C707" s="13"/>
      <c r="D707" s="13"/>
      <c r="E707" s="13"/>
      <c r="F707" s="10"/>
      <c r="G707" s="3"/>
      <c r="H707" s="3"/>
      <c r="I707" s="4"/>
    </row>
    <row r="708" spans="2:9" x14ac:dyDescent="0.2">
      <c r="B708" s="2"/>
      <c r="C708" s="13"/>
      <c r="D708" s="13"/>
      <c r="E708" s="13"/>
      <c r="F708" s="10"/>
      <c r="G708" s="3"/>
      <c r="H708" s="3"/>
      <c r="I708" s="4"/>
    </row>
    <row r="709" spans="2:9" x14ac:dyDescent="0.2">
      <c r="B709" s="2"/>
      <c r="C709" s="13"/>
      <c r="D709" s="13"/>
      <c r="E709" s="13"/>
      <c r="F709" s="10"/>
      <c r="G709" s="3"/>
      <c r="H709" s="3"/>
      <c r="I709" s="4"/>
    </row>
    <row r="710" spans="2:9" x14ac:dyDescent="0.2">
      <c r="B710" s="2"/>
      <c r="C710" s="13"/>
      <c r="D710" s="13"/>
      <c r="E710" s="13"/>
      <c r="F710" s="10"/>
      <c r="G710" s="3"/>
      <c r="H710" s="3"/>
      <c r="I710" s="4"/>
    </row>
    <row r="711" spans="2:9" x14ac:dyDescent="0.2">
      <c r="B711" s="2"/>
      <c r="C711" s="13"/>
      <c r="D711" s="13"/>
      <c r="E711" s="13"/>
      <c r="F711" s="10"/>
      <c r="G711" s="3"/>
      <c r="H711" s="3"/>
      <c r="I711" s="4"/>
    </row>
    <row r="712" spans="2:9" x14ac:dyDescent="0.2">
      <c r="B712" s="2"/>
      <c r="C712" s="13"/>
      <c r="D712" s="13"/>
      <c r="E712" s="13"/>
      <c r="F712" s="10"/>
      <c r="G712" s="3"/>
      <c r="H712" s="3"/>
      <c r="I712" s="4"/>
    </row>
    <row r="713" spans="2:9" x14ac:dyDescent="0.2">
      <c r="B713" s="2"/>
      <c r="C713" s="13"/>
      <c r="D713" s="13"/>
      <c r="E713" s="13"/>
      <c r="F713" s="10"/>
      <c r="G713" s="3"/>
      <c r="H713" s="3"/>
      <c r="I713" s="4"/>
    </row>
    <row r="714" spans="2:9" x14ac:dyDescent="0.2">
      <c r="B714" s="2"/>
      <c r="C714" s="13"/>
      <c r="D714" s="13"/>
      <c r="E714" s="13"/>
      <c r="F714" s="10"/>
      <c r="G714" s="3"/>
      <c r="H714" s="3"/>
      <c r="I714" s="4"/>
    </row>
    <row r="715" spans="2:9" x14ac:dyDescent="0.2">
      <c r="B715" s="2"/>
      <c r="C715" s="13"/>
      <c r="D715" s="13"/>
      <c r="E715" s="13"/>
      <c r="F715" s="10"/>
      <c r="G715" s="3"/>
      <c r="H715" s="3"/>
      <c r="I715" s="4"/>
    </row>
    <row r="716" spans="2:9" x14ac:dyDescent="0.2">
      <c r="B716" s="2"/>
      <c r="C716" s="13"/>
      <c r="D716" s="13"/>
      <c r="E716" s="13"/>
      <c r="F716" s="10"/>
      <c r="G716" s="3"/>
      <c r="H716" s="3"/>
      <c r="I716" s="4"/>
    </row>
    <row r="717" spans="2:9" x14ac:dyDescent="0.2">
      <c r="B717" s="2"/>
      <c r="C717" s="13"/>
      <c r="D717" s="13"/>
      <c r="E717" s="13"/>
      <c r="F717" s="10"/>
      <c r="G717" s="3"/>
      <c r="H717" s="3"/>
      <c r="I717" s="4"/>
    </row>
    <row r="718" spans="2:9" x14ac:dyDescent="0.2">
      <c r="B718" s="2"/>
      <c r="C718" s="13"/>
      <c r="D718" s="13"/>
      <c r="E718" s="13"/>
      <c r="F718" s="10"/>
      <c r="G718" s="3"/>
      <c r="H718" s="3"/>
      <c r="I718" s="4"/>
    </row>
    <row r="719" spans="2:9" x14ac:dyDescent="0.2">
      <c r="B719" s="2"/>
      <c r="C719" s="13"/>
      <c r="D719" s="13"/>
      <c r="E719" s="13"/>
      <c r="F719" s="10"/>
      <c r="G719" s="3"/>
      <c r="H719" s="3"/>
      <c r="I719" s="4"/>
    </row>
    <row r="720" spans="2:9" x14ac:dyDescent="0.2">
      <c r="B720" s="2"/>
      <c r="C720" s="13"/>
      <c r="D720" s="13"/>
      <c r="E720" s="13"/>
      <c r="F720" s="10"/>
      <c r="G720" s="3"/>
      <c r="H720" s="3"/>
      <c r="I720" s="4"/>
    </row>
    <row r="721" spans="2:9" x14ac:dyDescent="0.2">
      <c r="B721" s="2"/>
      <c r="C721" s="13"/>
      <c r="D721" s="13"/>
      <c r="E721" s="13"/>
      <c r="F721" s="10"/>
      <c r="G721" s="3"/>
      <c r="H721" s="3"/>
      <c r="I721" s="4"/>
    </row>
    <row r="722" spans="2:9" x14ac:dyDescent="0.2">
      <c r="B722" s="2"/>
      <c r="C722" s="13"/>
      <c r="D722" s="13"/>
      <c r="E722" s="13"/>
      <c r="F722" s="10"/>
      <c r="G722" s="3"/>
      <c r="H722" s="3"/>
      <c r="I722" s="4"/>
    </row>
    <row r="723" spans="2:9" x14ac:dyDescent="0.2">
      <c r="B723" s="2"/>
      <c r="C723" s="13"/>
      <c r="D723" s="13"/>
      <c r="E723" s="13"/>
      <c r="F723" s="10"/>
      <c r="G723" s="3"/>
      <c r="H723" s="3"/>
      <c r="I723" s="4"/>
    </row>
    <row r="724" spans="2:9" x14ac:dyDescent="0.2">
      <c r="B724" s="2"/>
      <c r="C724" s="13"/>
      <c r="D724" s="13"/>
      <c r="E724" s="13"/>
      <c r="F724" s="10"/>
      <c r="G724" s="3"/>
      <c r="H724" s="3"/>
      <c r="I724" s="4"/>
    </row>
    <row r="725" spans="2:9" x14ac:dyDescent="0.2">
      <c r="B725" s="2"/>
      <c r="C725" s="13"/>
      <c r="D725" s="13"/>
      <c r="E725" s="13"/>
      <c r="F725" s="10"/>
      <c r="G725" s="3"/>
      <c r="H725" s="3"/>
      <c r="I725" s="4"/>
    </row>
    <row r="726" spans="2:9" x14ac:dyDescent="0.2">
      <c r="B726" s="2"/>
      <c r="C726" s="13"/>
      <c r="D726" s="13"/>
      <c r="E726" s="13"/>
      <c r="F726" s="10"/>
      <c r="G726" s="3"/>
      <c r="H726" s="3"/>
      <c r="I726" s="4"/>
    </row>
    <row r="727" spans="2:9" x14ac:dyDescent="0.2">
      <c r="B727" s="2"/>
      <c r="C727" s="13"/>
      <c r="D727" s="13"/>
      <c r="E727" s="13"/>
      <c r="F727" s="10"/>
      <c r="G727" s="3"/>
      <c r="H727" s="3"/>
      <c r="I727" s="4"/>
    </row>
    <row r="728" spans="2:9" x14ac:dyDescent="0.2">
      <c r="B728" s="2"/>
      <c r="C728" s="13"/>
      <c r="D728" s="13"/>
      <c r="E728" s="13"/>
      <c r="F728" s="10"/>
      <c r="G728" s="3"/>
      <c r="H728" s="3"/>
      <c r="I728" s="4"/>
    </row>
    <row r="729" spans="2:9" x14ac:dyDescent="0.2">
      <c r="B729" s="2"/>
      <c r="C729" s="13"/>
      <c r="D729" s="13"/>
      <c r="E729" s="13"/>
      <c r="F729" s="10"/>
      <c r="G729" s="3"/>
      <c r="H729" s="3"/>
      <c r="I729" s="4"/>
    </row>
    <row r="730" spans="2:9" x14ac:dyDescent="0.2">
      <c r="B730" s="2"/>
      <c r="C730" s="13"/>
      <c r="D730" s="13"/>
      <c r="E730" s="13"/>
      <c r="F730" s="10"/>
      <c r="G730" s="3"/>
      <c r="H730" s="3"/>
      <c r="I730" s="4"/>
    </row>
    <row r="731" spans="2:9" x14ac:dyDescent="0.2">
      <c r="B731" s="2"/>
      <c r="C731" s="13"/>
      <c r="D731" s="13"/>
      <c r="E731" s="13"/>
      <c r="F731" s="10"/>
      <c r="G731" s="3"/>
      <c r="H731" s="3"/>
      <c r="I731" s="4"/>
    </row>
    <row r="732" spans="2:9" x14ac:dyDescent="0.2">
      <c r="B732" s="2"/>
      <c r="C732" s="13"/>
      <c r="D732" s="13"/>
      <c r="E732" s="13"/>
      <c r="F732" s="10"/>
      <c r="G732" s="3"/>
      <c r="H732" s="3"/>
      <c r="I732" s="4"/>
    </row>
    <row r="733" spans="2:9" x14ac:dyDescent="0.2">
      <c r="B733" s="2"/>
      <c r="C733" s="13"/>
      <c r="D733" s="13"/>
      <c r="E733" s="13"/>
      <c r="F733" s="10"/>
      <c r="G733" s="3"/>
      <c r="H733" s="3"/>
      <c r="I733" s="4"/>
    </row>
    <row r="734" spans="2:9" x14ac:dyDescent="0.2">
      <c r="B734" s="2"/>
      <c r="C734" s="13"/>
      <c r="D734" s="13"/>
      <c r="E734" s="13"/>
      <c r="F734" s="10"/>
      <c r="G734" s="3"/>
      <c r="H734" s="3"/>
      <c r="I734" s="4"/>
    </row>
    <row r="735" spans="2:9" x14ac:dyDescent="0.2">
      <c r="B735" s="2"/>
      <c r="C735" s="13"/>
      <c r="D735" s="13"/>
      <c r="E735" s="13"/>
      <c r="F735" s="10"/>
      <c r="G735" s="3"/>
      <c r="H735" s="3"/>
      <c r="I735" s="4"/>
    </row>
    <row r="736" spans="2:9" x14ac:dyDescent="0.2">
      <c r="B736" s="2"/>
      <c r="C736" s="13"/>
      <c r="D736" s="13"/>
      <c r="E736" s="13"/>
      <c r="F736" s="10"/>
      <c r="G736" s="3"/>
      <c r="H736" s="3"/>
      <c r="I736" s="4"/>
    </row>
    <row r="737" spans="2:9" x14ac:dyDescent="0.2">
      <c r="B737" s="2"/>
      <c r="C737" s="13"/>
      <c r="D737" s="13"/>
      <c r="E737" s="13"/>
      <c r="F737" s="10"/>
      <c r="G737" s="3"/>
      <c r="H737" s="3"/>
      <c r="I737" s="4"/>
    </row>
    <row r="738" spans="2:9" x14ac:dyDescent="0.2">
      <c r="B738" s="2"/>
      <c r="C738" s="13"/>
      <c r="D738" s="13"/>
      <c r="E738" s="13"/>
      <c r="F738" s="10"/>
      <c r="G738" s="3"/>
      <c r="H738" s="3"/>
      <c r="I738" s="4"/>
    </row>
    <row r="739" spans="2:9" x14ac:dyDescent="0.2">
      <c r="B739" s="2"/>
      <c r="C739" s="13"/>
      <c r="D739" s="13"/>
      <c r="E739" s="13"/>
      <c r="F739" s="10"/>
      <c r="G739" s="3"/>
      <c r="H739" s="3"/>
      <c r="I739" s="4"/>
    </row>
    <row r="740" spans="2:9" x14ac:dyDescent="0.2">
      <c r="B740" s="2"/>
      <c r="C740" s="13"/>
      <c r="D740" s="13"/>
      <c r="E740" s="13"/>
      <c r="F740" s="10"/>
      <c r="G740" s="3"/>
      <c r="H740" s="3"/>
      <c r="I740" s="4"/>
    </row>
    <row r="741" spans="2:9" x14ac:dyDescent="0.2">
      <c r="B741" s="2"/>
      <c r="C741" s="13"/>
      <c r="D741" s="13"/>
      <c r="E741" s="13"/>
      <c r="F741" s="10"/>
      <c r="G741" s="3"/>
      <c r="H741" s="3"/>
      <c r="I741" s="4"/>
    </row>
    <row r="742" spans="2:9" x14ac:dyDescent="0.2">
      <c r="B742" s="2"/>
      <c r="C742" s="13"/>
      <c r="D742" s="13"/>
      <c r="E742" s="13"/>
      <c r="F742" s="10"/>
      <c r="G742" s="3"/>
      <c r="H742" s="3"/>
      <c r="I742" s="4"/>
    </row>
    <row r="743" spans="2:9" x14ac:dyDescent="0.2">
      <c r="B743" s="2"/>
      <c r="C743" s="13"/>
      <c r="D743" s="13"/>
      <c r="E743" s="13"/>
      <c r="F743" s="10"/>
      <c r="G743" s="3"/>
      <c r="H743" s="3"/>
      <c r="I743" s="4"/>
    </row>
    <row r="744" spans="2:9" x14ac:dyDescent="0.2">
      <c r="B744" s="2"/>
      <c r="C744" s="13"/>
      <c r="D744" s="13"/>
      <c r="E744" s="13"/>
      <c r="F744" s="10"/>
      <c r="G744" s="3"/>
      <c r="H744" s="3"/>
      <c r="I744" s="4"/>
    </row>
    <row r="745" spans="2:9" x14ac:dyDescent="0.2">
      <c r="B745" s="2"/>
      <c r="C745" s="13"/>
      <c r="D745" s="13"/>
      <c r="E745" s="13"/>
      <c r="F745" s="10"/>
      <c r="G745" s="3"/>
      <c r="H745" s="3"/>
      <c r="I745" s="4"/>
    </row>
    <row r="746" spans="2:9" x14ac:dyDescent="0.2">
      <c r="B746" s="2"/>
      <c r="C746" s="13"/>
      <c r="D746" s="13"/>
      <c r="E746" s="13"/>
      <c r="F746" s="10"/>
      <c r="G746" s="3"/>
      <c r="H746" s="3"/>
      <c r="I746" s="4"/>
    </row>
    <row r="747" spans="2:9" x14ac:dyDescent="0.2">
      <c r="B747" s="2"/>
      <c r="C747" s="13"/>
      <c r="D747" s="13"/>
      <c r="E747" s="13"/>
      <c r="F747" s="10"/>
      <c r="G747" s="3"/>
      <c r="H747" s="3"/>
      <c r="I747" s="4"/>
    </row>
    <row r="748" spans="2:9" x14ac:dyDescent="0.2">
      <c r="B748" s="2"/>
      <c r="C748" s="13"/>
      <c r="D748" s="13"/>
      <c r="E748" s="13"/>
      <c r="F748" s="10"/>
      <c r="G748" s="3"/>
      <c r="H748" s="3"/>
      <c r="I748" s="4"/>
    </row>
    <row r="749" spans="2:9" x14ac:dyDescent="0.2">
      <c r="B749" s="2"/>
      <c r="C749" s="13"/>
      <c r="D749" s="13"/>
      <c r="E749" s="13"/>
      <c r="F749" s="10"/>
      <c r="G749" s="3"/>
      <c r="H749" s="3"/>
      <c r="I749" s="4"/>
    </row>
    <row r="750" spans="2:9" x14ac:dyDescent="0.2">
      <c r="B750" s="2"/>
      <c r="C750" s="13"/>
      <c r="D750" s="13"/>
      <c r="E750" s="13"/>
      <c r="F750" s="10"/>
      <c r="G750" s="3"/>
      <c r="H750" s="3"/>
      <c r="I750" s="4"/>
    </row>
    <row r="751" spans="2:9" x14ac:dyDescent="0.2">
      <c r="B751" s="2"/>
      <c r="C751" s="13"/>
      <c r="D751" s="13"/>
      <c r="E751" s="13"/>
      <c r="F751" s="10"/>
      <c r="G751" s="3"/>
      <c r="H751" s="3"/>
      <c r="I751" s="4"/>
    </row>
    <row r="752" spans="2:9" x14ac:dyDescent="0.2">
      <c r="B752" s="2"/>
      <c r="C752" s="13"/>
      <c r="D752" s="13"/>
      <c r="E752" s="13"/>
      <c r="F752" s="10"/>
      <c r="G752" s="3"/>
      <c r="H752" s="3"/>
      <c r="I752" s="4"/>
    </row>
    <row r="753" spans="2:9" x14ac:dyDescent="0.2">
      <c r="B753" s="2"/>
      <c r="C753" s="13"/>
      <c r="D753" s="13"/>
      <c r="E753" s="13"/>
      <c r="F753" s="10"/>
      <c r="G753" s="3"/>
      <c r="H753" s="3"/>
      <c r="I753" s="4"/>
    </row>
    <row r="754" spans="2:9" x14ac:dyDescent="0.2">
      <c r="B754" s="2"/>
      <c r="C754" s="13"/>
      <c r="D754" s="13"/>
      <c r="E754" s="13"/>
      <c r="F754" s="10"/>
      <c r="G754" s="3"/>
      <c r="H754" s="3"/>
      <c r="I754" s="4"/>
    </row>
    <row r="755" spans="2:9" x14ac:dyDescent="0.2">
      <c r="B755" s="2"/>
      <c r="C755" s="13"/>
      <c r="D755" s="13"/>
      <c r="E755" s="13"/>
      <c r="F755" s="10"/>
      <c r="G755" s="3"/>
      <c r="H755" s="3"/>
      <c r="I755" s="4"/>
    </row>
    <row r="756" spans="2:9" x14ac:dyDescent="0.2">
      <c r="B756" s="2"/>
      <c r="C756" s="13"/>
      <c r="D756" s="13"/>
      <c r="E756" s="13"/>
      <c r="F756" s="10"/>
      <c r="G756" s="3"/>
      <c r="H756" s="3"/>
      <c r="I756" s="4"/>
    </row>
    <row r="757" spans="2:9" x14ac:dyDescent="0.2">
      <c r="B757" s="2"/>
      <c r="C757" s="13"/>
      <c r="D757" s="13"/>
      <c r="E757" s="13"/>
      <c r="F757" s="10"/>
      <c r="G757" s="3"/>
      <c r="H757" s="3"/>
      <c r="I757" s="4"/>
    </row>
    <row r="758" spans="2:9" x14ac:dyDescent="0.2">
      <c r="B758" s="2"/>
      <c r="C758" s="13"/>
      <c r="D758" s="13"/>
      <c r="E758" s="13"/>
      <c r="F758" s="10"/>
      <c r="G758" s="3"/>
      <c r="H758" s="3"/>
      <c r="I758" s="4"/>
    </row>
    <row r="759" spans="2:9" x14ac:dyDescent="0.2">
      <c r="B759" s="2"/>
      <c r="C759" s="13"/>
      <c r="D759" s="13"/>
      <c r="E759" s="13"/>
      <c r="F759" s="10"/>
      <c r="G759" s="3"/>
      <c r="H759" s="3"/>
      <c r="I759" s="4"/>
    </row>
    <row r="760" spans="2:9" x14ac:dyDescent="0.2">
      <c r="B760" s="2"/>
      <c r="C760" s="13"/>
      <c r="D760" s="13"/>
      <c r="E760" s="13"/>
      <c r="F760" s="10"/>
      <c r="G760" s="3"/>
      <c r="H760" s="3"/>
      <c r="I760" s="4"/>
    </row>
    <row r="761" spans="2:9" x14ac:dyDescent="0.2">
      <c r="B761" s="2"/>
      <c r="C761" s="13"/>
      <c r="D761" s="13"/>
      <c r="E761" s="13"/>
      <c r="F761" s="10"/>
      <c r="G761" s="3"/>
      <c r="H761" s="3"/>
      <c r="I761" s="4"/>
    </row>
    <row r="762" spans="2:9" x14ac:dyDescent="0.2">
      <c r="B762" s="2"/>
      <c r="C762" s="13"/>
      <c r="D762" s="13"/>
      <c r="E762" s="13"/>
      <c r="F762" s="10"/>
      <c r="G762" s="3"/>
      <c r="H762" s="3"/>
      <c r="I762" s="4"/>
    </row>
    <row r="763" spans="2:9" x14ac:dyDescent="0.2">
      <c r="B763" s="2"/>
      <c r="C763" s="13"/>
      <c r="D763" s="13"/>
      <c r="E763" s="13"/>
      <c r="F763" s="10"/>
      <c r="G763" s="3"/>
      <c r="H763" s="3"/>
      <c r="I763" s="4"/>
    </row>
    <row r="764" spans="2:9" x14ac:dyDescent="0.2">
      <c r="B764" s="2"/>
      <c r="C764" s="13"/>
      <c r="D764" s="13"/>
      <c r="E764" s="13"/>
      <c r="F764" s="10"/>
      <c r="G764" s="3"/>
      <c r="H764" s="3"/>
      <c r="I764" s="4"/>
    </row>
    <row r="765" spans="2:9" x14ac:dyDescent="0.2">
      <c r="B765" s="2"/>
      <c r="C765" s="13"/>
      <c r="D765" s="13"/>
      <c r="E765" s="13"/>
      <c r="F765" s="10"/>
      <c r="G765" s="3"/>
      <c r="H765" s="3"/>
      <c r="I765" s="4"/>
    </row>
    <row r="766" spans="2:9" x14ac:dyDescent="0.2">
      <c r="B766" s="2"/>
      <c r="C766" s="13"/>
      <c r="D766" s="13"/>
      <c r="E766" s="13"/>
      <c r="F766" s="10"/>
      <c r="G766" s="3"/>
      <c r="H766" s="3"/>
      <c r="I766" s="4"/>
    </row>
    <row r="767" spans="2:9" x14ac:dyDescent="0.2">
      <c r="B767" s="2"/>
      <c r="C767" s="13"/>
      <c r="D767" s="13"/>
      <c r="E767" s="13"/>
      <c r="F767" s="10"/>
      <c r="G767" s="3"/>
      <c r="H767" s="3"/>
      <c r="I767" s="4"/>
    </row>
    <row r="768" spans="2:9" x14ac:dyDescent="0.2">
      <c r="B768" s="2"/>
      <c r="C768" s="13"/>
      <c r="D768" s="13"/>
      <c r="E768" s="13"/>
      <c r="F768" s="10"/>
      <c r="G768" s="3"/>
      <c r="H768" s="3"/>
      <c r="I768" s="4"/>
    </row>
    <row r="769" spans="2:9" x14ac:dyDescent="0.2">
      <c r="B769" s="2"/>
      <c r="C769" s="13"/>
      <c r="D769" s="13"/>
      <c r="E769" s="13"/>
      <c r="F769" s="10"/>
      <c r="G769" s="3"/>
      <c r="H769" s="3"/>
      <c r="I769" s="4"/>
    </row>
    <row r="770" spans="2:9" x14ac:dyDescent="0.2">
      <c r="B770" s="2"/>
      <c r="C770" s="13"/>
      <c r="D770" s="13"/>
      <c r="E770" s="13"/>
      <c r="F770" s="10"/>
      <c r="G770" s="3"/>
      <c r="H770" s="3"/>
      <c r="I770" s="4"/>
    </row>
    <row r="771" spans="2:9" x14ac:dyDescent="0.2">
      <c r="B771" s="2"/>
      <c r="C771" s="13"/>
      <c r="D771" s="13"/>
      <c r="E771" s="13"/>
      <c r="F771" s="10"/>
      <c r="G771" s="3"/>
      <c r="H771" s="3"/>
      <c r="I771" s="4"/>
    </row>
    <row r="772" spans="2:9" x14ac:dyDescent="0.2">
      <c r="B772" s="2"/>
      <c r="C772" s="13"/>
      <c r="D772" s="13"/>
      <c r="E772" s="13"/>
      <c r="F772" s="10"/>
      <c r="G772" s="3"/>
      <c r="H772" s="3"/>
      <c r="I772" s="4"/>
    </row>
    <row r="773" spans="2:9" x14ac:dyDescent="0.2">
      <c r="B773" s="2"/>
      <c r="C773" s="13"/>
      <c r="D773" s="13"/>
      <c r="E773" s="13"/>
      <c r="F773" s="10"/>
      <c r="G773" s="3"/>
      <c r="H773" s="3"/>
      <c r="I773" s="4"/>
    </row>
    <row r="774" spans="2:9" x14ac:dyDescent="0.2">
      <c r="B774" s="2"/>
      <c r="C774" s="13"/>
      <c r="D774" s="13"/>
      <c r="E774" s="13"/>
      <c r="F774" s="10"/>
      <c r="G774" s="3"/>
      <c r="H774" s="3"/>
      <c r="I774" s="4"/>
    </row>
    <row r="775" spans="2:9" x14ac:dyDescent="0.2">
      <c r="B775" s="2"/>
      <c r="C775" s="13"/>
      <c r="D775" s="13"/>
      <c r="E775" s="13"/>
      <c r="F775" s="10"/>
      <c r="G775" s="3"/>
      <c r="H775" s="3"/>
      <c r="I775" s="4"/>
    </row>
    <row r="776" spans="2:9" x14ac:dyDescent="0.2">
      <c r="B776" s="2"/>
      <c r="C776" s="13"/>
      <c r="D776" s="13"/>
      <c r="E776" s="13"/>
      <c r="F776" s="10"/>
      <c r="G776" s="3"/>
      <c r="H776" s="3"/>
      <c r="I776" s="4"/>
    </row>
    <row r="777" spans="2:9" x14ac:dyDescent="0.2">
      <c r="B777" s="2"/>
      <c r="C777" s="13"/>
      <c r="D777" s="13"/>
      <c r="E777" s="13"/>
      <c r="F777" s="10"/>
      <c r="G777" s="3"/>
      <c r="H777" s="3"/>
      <c r="I777" s="4"/>
    </row>
  </sheetData>
  <autoFilter ref="A9:J163" xr:uid="{00000000-0001-0000-0000-000000000000}"/>
  <sortState xmlns:xlrd2="http://schemas.microsoft.com/office/spreadsheetml/2017/richdata2" ref="A10:J163">
    <sortCondition ref="E10"/>
  </sortState>
  <mergeCells count="6">
    <mergeCell ref="C172:F172"/>
    <mergeCell ref="E163:H163"/>
    <mergeCell ref="A1:B1"/>
    <mergeCell ref="A2:J2"/>
    <mergeCell ref="C165:F165"/>
    <mergeCell ref="C171:F171"/>
  </mergeCells>
  <conditionalFormatting sqref="C1:E1 C3:E3 A2 C7:E8 C4:D6">
    <cfRule type="duplicateValues" dxfId="27" priority="31"/>
  </conditionalFormatting>
  <conditionalFormatting sqref="H1 H3 H7:H8 G4:G6">
    <cfRule type="duplicateValues" dxfId="26" priority="30"/>
  </conditionalFormatting>
  <conditionalFormatting sqref="H1 H3 H7:H8 G4:G6">
    <cfRule type="duplicateValues" dxfId="25" priority="28"/>
    <cfRule type="duplicateValues" dxfId="24" priority="29"/>
  </conditionalFormatting>
  <conditionalFormatting sqref="C1:E1 C3:E3 A2 H1 H3 H7:H8 G4:G6 C7:E8 C4:D6">
    <cfRule type="duplicateValues" dxfId="23" priority="27"/>
  </conditionalFormatting>
  <conditionalFormatting sqref="H1 C1:E1 C3:E3 A2 H3 H7:H8 G4:G6 C7:E8 C4:D6">
    <cfRule type="duplicateValues" dxfId="22" priority="26"/>
  </conditionalFormatting>
  <conditionalFormatting sqref="E173:E175 E169:E170">
    <cfRule type="duplicateValues" dxfId="21" priority="5"/>
  </conditionalFormatting>
  <conditionalFormatting sqref="E173:E175 B169:B175 E169:E170">
    <cfRule type="duplicateValues" dxfId="20" priority="4"/>
  </conditionalFormatting>
  <conditionalFormatting sqref="E173:E175">
    <cfRule type="duplicateValues" dxfId="19" priority="3"/>
  </conditionalFormatting>
  <conditionalFormatting sqref="E173:E175 E169:E170">
    <cfRule type="duplicateValues" dxfId="18" priority="1"/>
    <cfRule type="duplicateValues" dxfId="17" priority="2"/>
  </conditionalFormatting>
  <conditionalFormatting sqref="B169:B175">
    <cfRule type="duplicateValues" dxfId="16" priority="6"/>
  </conditionalFormatting>
  <conditionalFormatting sqref="E169:E175">
    <cfRule type="duplicateValues" dxfId="15" priority="7"/>
    <cfRule type="duplicateValues" dxfId="14" priority="8"/>
  </conditionalFormatting>
  <conditionalFormatting sqref="E169:E175">
    <cfRule type="duplicateValues" dxfId="13" priority="9"/>
  </conditionalFormatting>
  <conditionalFormatting sqref="E169:E175">
    <cfRule type="duplicateValues" dxfId="12" priority="10"/>
  </conditionalFormatting>
  <conditionalFormatting sqref="B169:B175 E169:E175">
    <cfRule type="duplicateValues" dxfId="11" priority="11"/>
  </conditionalFormatting>
  <conditionalFormatting sqref="B169:B175">
    <cfRule type="duplicateValues" dxfId="10" priority="12"/>
  </conditionalFormatting>
  <conditionalFormatting sqref="G166:G176">
    <cfRule type="duplicateValues" dxfId="9" priority="32"/>
    <cfRule type="duplicateValues" dxfId="8" priority="33"/>
  </conditionalFormatting>
  <conditionalFormatting sqref="G166:G176">
    <cfRule type="duplicateValues" dxfId="7" priority="36"/>
  </conditionalFormatting>
  <conditionalFormatting sqref="G166:G176">
    <cfRule type="duplicateValues" dxfId="6" priority="38"/>
  </conditionalFormatting>
  <conditionalFormatting sqref="G175:G176 G166:G170">
    <cfRule type="duplicateValues" dxfId="5" priority="40"/>
  </conditionalFormatting>
  <conditionalFormatting sqref="G166:G170 G175:G176">
    <cfRule type="duplicateValues" dxfId="4" priority="43"/>
  </conditionalFormatting>
  <conditionalFormatting sqref="G175:G176 G166:G170">
    <cfRule type="duplicateValues" dxfId="3" priority="46"/>
  </conditionalFormatting>
  <conditionalFormatting sqref="G175:G176 G166:G170">
    <cfRule type="duplicateValues" dxfId="2" priority="49"/>
    <cfRule type="duplicateValues" dxfId="1" priority="50"/>
  </conditionalFormatting>
  <printOptions horizontalCentered="1"/>
  <pageMargins left="0.23622047244094491" right="0.23622047244094491" top="0.35433070866141736" bottom="0.35433070866141736" header="0.31496062992125984" footer="0.31496062992125984"/>
  <pageSetup paperSize="5" scale="6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>
    <pageSetUpPr fitToPage="1"/>
  </sheetPr>
  <dimension ref="A1:N874"/>
  <sheetViews>
    <sheetView tabSelected="1" topLeftCell="A40" zoomScaleNormal="100" workbookViewId="0">
      <selection activeCell="C65" sqref="C65:G65"/>
    </sheetView>
  </sheetViews>
  <sheetFormatPr baseColWidth="10" defaultRowHeight="12.75" x14ac:dyDescent="0.2"/>
  <cols>
    <col min="1" max="1" width="5.5703125" customWidth="1"/>
    <col min="2" max="2" width="15.140625" style="6" customWidth="1"/>
    <col min="3" max="3" width="14.140625" style="11" customWidth="1"/>
    <col min="4" max="4" width="26" style="11" customWidth="1"/>
    <col min="5" max="5" width="21.140625" style="7" customWidth="1"/>
    <col min="6" max="6" width="7.85546875" style="8" customWidth="1"/>
    <col min="7" max="7" width="114.28515625" style="7" customWidth="1"/>
    <col min="8" max="8" width="9.28515625" style="9" customWidth="1"/>
    <col min="9" max="9" width="14.5703125" customWidth="1"/>
    <col min="10" max="10" width="16" customWidth="1"/>
    <col min="11" max="11" width="15.5703125" customWidth="1"/>
    <col min="12" max="12" width="19" style="129" customWidth="1"/>
    <col min="13" max="13" width="15.42578125" bestFit="1" customWidth="1"/>
  </cols>
  <sheetData>
    <row r="1" spans="1:14" s="40" customFormat="1" ht="18" customHeight="1" thickBot="1" x14ac:dyDescent="0.25">
      <c r="A1" s="290" t="s">
        <v>96</v>
      </c>
      <c r="B1" s="290"/>
      <c r="C1" s="290"/>
      <c r="D1" s="290"/>
      <c r="E1" s="290"/>
      <c r="F1" s="290"/>
      <c r="G1" s="290"/>
      <c r="H1" s="290"/>
      <c r="I1" s="290"/>
      <c r="J1" s="188" t="s">
        <v>97</v>
      </c>
      <c r="K1" s="189" t="s">
        <v>246</v>
      </c>
      <c r="L1" s="129"/>
      <c r="M1" s="129"/>
      <c r="N1"/>
    </row>
    <row r="2" spans="1:14" s="40" customFormat="1" ht="18.75" customHeight="1" thickBot="1" x14ac:dyDescent="0.25">
      <c r="A2" s="190"/>
      <c r="B2" s="190"/>
      <c r="C2" s="190"/>
      <c r="D2" s="191"/>
      <c r="E2" s="191"/>
      <c r="F2" s="191"/>
      <c r="G2" s="191"/>
      <c r="H2" s="191"/>
      <c r="I2" s="191"/>
      <c r="J2" s="191"/>
      <c r="K2" s="191"/>
      <c r="L2" s="129"/>
      <c r="M2" s="129"/>
      <c r="N2"/>
    </row>
    <row r="3" spans="1:14" s="40" customFormat="1" ht="22.5" customHeight="1" thickBot="1" x14ac:dyDescent="0.25">
      <c r="A3" s="291" t="s">
        <v>98</v>
      </c>
      <c r="B3" s="291"/>
      <c r="C3" s="291"/>
      <c r="D3" s="192" t="s">
        <v>72</v>
      </c>
      <c r="E3" s="193"/>
      <c r="F3" s="193"/>
      <c r="G3" s="193"/>
      <c r="H3" s="193"/>
      <c r="I3" s="193"/>
      <c r="J3" s="193"/>
      <c r="K3" s="194"/>
      <c r="L3" s="129"/>
      <c r="M3" s="129"/>
      <c r="N3"/>
    </row>
    <row r="4" spans="1:14" s="40" customFormat="1" ht="22.5" customHeight="1" thickBot="1" x14ac:dyDescent="0.25">
      <c r="A4" s="281" t="s">
        <v>12</v>
      </c>
      <c r="B4" s="281"/>
      <c r="C4" s="281"/>
      <c r="D4" s="192" t="s">
        <v>99</v>
      </c>
      <c r="E4" s="193"/>
      <c r="F4" s="193"/>
      <c r="G4" s="193"/>
      <c r="H4" s="193"/>
      <c r="I4" s="193"/>
      <c r="J4" s="193"/>
      <c r="K4" s="194"/>
      <c r="L4" s="129"/>
      <c r="M4" s="129"/>
      <c r="N4"/>
    </row>
    <row r="5" spans="1:14" s="40" customFormat="1" ht="22.5" customHeight="1" thickBot="1" x14ac:dyDescent="0.25">
      <c r="A5" s="281" t="s">
        <v>73</v>
      </c>
      <c r="B5" s="281"/>
      <c r="C5" s="281"/>
      <c r="D5" s="192" t="s">
        <v>74</v>
      </c>
      <c r="E5" s="195"/>
      <c r="F5" s="195"/>
      <c r="G5" s="195"/>
      <c r="H5" s="195"/>
      <c r="I5" s="195"/>
      <c r="J5" s="195"/>
      <c r="K5" s="196"/>
      <c r="L5" s="129"/>
      <c r="M5" s="129"/>
      <c r="N5"/>
    </row>
    <row r="6" spans="1:14" s="40" customFormat="1" ht="22.5" customHeight="1" thickBot="1" x14ac:dyDescent="0.25">
      <c r="A6" s="291" t="s">
        <v>13</v>
      </c>
      <c r="B6" s="291"/>
      <c r="C6" s="291"/>
      <c r="D6" s="192" t="s">
        <v>74</v>
      </c>
      <c r="E6" s="195"/>
      <c r="F6" s="195"/>
      <c r="G6" s="195"/>
      <c r="H6" s="195"/>
      <c r="I6" s="195"/>
      <c r="J6" s="195"/>
      <c r="K6" s="196"/>
      <c r="L6" s="129"/>
      <c r="M6" s="129"/>
      <c r="N6"/>
    </row>
    <row r="7" spans="1:14" s="40" customFormat="1" ht="22.5" customHeight="1" thickBot="1" x14ac:dyDescent="0.25">
      <c r="A7" s="281" t="s">
        <v>100</v>
      </c>
      <c r="B7" s="281"/>
      <c r="C7" s="281"/>
      <c r="D7" s="197" t="s">
        <v>113</v>
      </c>
      <c r="E7" s="195"/>
      <c r="F7" s="195"/>
      <c r="G7" s="195"/>
      <c r="H7" s="195"/>
      <c r="I7" s="195"/>
      <c r="J7" s="195"/>
      <c r="K7" s="196"/>
      <c r="L7" s="129"/>
      <c r="M7" s="129"/>
      <c r="N7"/>
    </row>
    <row r="8" spans="1:14" s="40" customFormat="1" ht="22.5" customHeight="1" thickBot="1" x14ac:dyDescent="0.25">
      <c r="A8" s="282" t="s">
        <v>101</v>
      </c>
      <c r="B8" s="282"/>
      <c r="C8" s="282"/>
      <c r="D8" s="198" t="s">
        <v>224</v>
      </c>
      <c r="E8" s="195"/>
      <c r="F8" s="195"/>
      <c r="G8" s="195"/>
      <c r="H8" s="195"/>
      <c r="I8" s="195"/>
      <c r="J8" s="195"/>
      <c r="K8" s="196"/>
      <c r="L8" s="129"/>
      <c r="M8" s="129"/>
      <c r="N8"/>
    </row>
    <row r="9" spans="1:14" s="40" customFormat="1" ht="16.5" thickBot="1" x14ac:dyDescent="0.25">
      <c r="A9" s="177"/>
      <c r="B9" s="177"/>
      <c r="C9" s="177"/>
      <c r="D9" s="178"/>
      <c r="E9" s="178"/>
      <c r="F9" s="178"/>
      <c r="G9" s="178"/>
      <c r="H9" s="178"/>
      <c r="I9" s="178"/>
      <c r="J9" s="178"/>
      <c r="K9" s="178"/>
      <c r="L9" s="129"/>
      <c r="M9" s="129"/>
      <c r="N9"/>
    </row>
    <row r="10" spans="1:14" ht="48.75" customHeight="1" thickBot="1" x14ac:dyDescent="0.25">
      <c r="A10" s="283" t="s">
        <v>217</v>
      </c>
      <c r="B10" s="284" t="s">
        <v>218</v>
      </c>
      <c r="C10" s="284" t="s">
        <v>219</v>
      </c>
      <c r="D10" s="284"/>
      <c r="E10" s="284"/>
      <c r="F10" s="284"/>
      <c r="G10" s="284"/>
      <c r="H10" s="292" t="s">
        <v>102</v>
      </c>
      <c r="I10" s="293" t="s">
        <v>220</v>
      </c>
      <c r="J10" s="293" t="s">
        <v>221</v>
      </c>
      <c r="K10" s="293" t="s">
        <v>222</v>
      </c>
      <c r="M10" s="129"/>
    </row>
    <row r="11" spans="1:14" ht="6" customHeight="1" thickBot="1" x14ac:dyDescent="0.25">
      <c r="A11" s="283"/>
      <c r="B11" s="284"/>
      <c r="C11" s="284"/>
      <c r="D11" s="284"/>
      <c r="E11" s="284"/>
      <c r="F11" s="284"/>
      <c r="G11" s="284"/>
      <c r="H11" s="292"/>
      <c r="I11" s="293"/>
      <c r="J11" s="293"/>
      <c r="K11" s="293"/>
      <c r="M11" s="129"/>
    </row>
    <row r="12" spans="1:14" ht="18.75" customHeight="1" x14ac:dyDescent="0.2">
      <c r="A12" s="179">
        <v>1</v>
      </c>
      <c r="B12" s="180"/>
      <c r="C12" s="181" t="str">
        <f>'NECESIDADES TRIMESTRALES'!E10</f>
        <v>ACIDO GRABADOR ODONTOLOG.; ESTADO: GEL, PRESENTACION: JERINGA X 12 GR</v>
      </c>
      <c r="D12" s="182"/>
      <c r="E12" s="182"/>
      <c r="F12" s="182"/>
      <c r="G12" s="183"/>
      <c r="H12" s="184" t="s">
        <v>228</v>
      </c>
      <c r="I12" s="185" t="str">
        <f>'NECESIDADES TRIMESTRALES'!F10</f>
        <v>UNIDAD</v>
      </c>
      <c r="J12" s="186">
        <f>'NECESIDADES TRIMESTRALES'!H10</f>
        <v>885</v>
      </c>
      <c r="K12" s="130">
        <f>'NECESIDADES TRIMESTRALES'!G10</f>
        <v>150</v>
      </c>
      <c r="L12" s="129">
        <f>+J12*K12</f>
        <v>132750</v>
      </c>
      <c r="M12" s="129">
        <f>+J12*K12</f>
        <v>132750</v>
      </c>
    </row>
    <row r="13" spans="1:14" ht="18.75" customHeight="1" x14ac:dyDescent="0.2">
      <c r="A13" s="179">
        <v>2</v>
      </c>
      <c r="B13" s="180"/>
      <c r="C13" s="187" t="str">
        <f>'NECESIDADES TRIMESTRALES'!E11</f>
        <v>ADHESIVOS P/ODONTOLOGIA; TIPO: ADHESIVO+PRIMER, USO: ODONTOLOGICO, PRESENTACION: FRASCO X 4,5 mm</v>
      </c>
      <c r="D13" s="131"/>
      <c r="E13" s="131"/>
      <c r="F13" s="131"/>
      <c r="G13" s="132"/>
      <c r="H13" s="184" t="s">
        <v>228</v>
      </c>
      <c r="I13" s="185" t="str">
        <f>'NECESIDADES TRIMESTRALES'!F11</f>
        <v>UNIDAD</v>
      </c>
      <c r="J13" s="186">
        <f>'NECESIDADES TRIMESTRALES'!H11</f>
        <v>1490</v>
      </c>
      <c r="K13" s="130">
        <f>'NECESIDADES TRIMESTRALES'!G11</f>
        <v>35</v>
      </c>
      <c r="L13" s="129">
        <f t="shared" ref="L13:L76" si="0">+J13*K13</f>
        <v>52150</v>
      </c>
      <c r="M13" s="129">
        <f t="shared" ref="M13:M124" si="1">+J13*K13</f>
        <v>52150</v>
      </c>
    </row>
    <row r="14" spans="1:14" ht="18.75" customHeight="1" x14ac:dyDescent="0.2">
      <c r="A14" s="179">
        <v>3</v>
      </c>
      <c r="B14" s="180"/>
      <c r="C14" s="187" t="str">
        <f>'NECESIDADES TRIMESTRALES'!E12</f>
        <v>AGUJAS QUIRURGICAS; TIPO: ODONTOLOGICA, ESPECIFICACION: CORTA DE 21 mm, PRESENTACION: ENVASE X 100 UN</v>
      </c>
      <c r="D14" s="131"/>
      <c r="E14" s="131"/>
      <c r="F14" s="131"/>
      <c r="G14" s="132"/>
      <c r="H14" s="184" t="s">
        <v>228</v>
      </c>
      <c r="I14" s="185" t="str">
        <f>'NECESIDADES TRIMESTRALES'!F12</f>
        <v>CAJA</v>
      </c>
      <c r="J14" s="186">
        <f>'NECESIDADES TRIMESTRALES'!H12</f>
        <v>930</v>
      </c>
      <c r="K14" s="130">
        <f>'NECESIDADES TRIMESTRALES'!G12</f>
        <v>1500</v>
      </c>
      <c r="L14" s="129">
        <f t="shared" si="0"/>
        <v>1395000</v>
      </c>
      <c r="M14" s="129">
        <f t="shared" si="1"/>
        <v>1395000</v>
      </c>
    </row>
    <row r="15" spans="1:14" ht="18.75" customHeight="1" x14ac:dyDescent="0.2">
      <c r="A15" s="179">
        <v>4</v>
      </c>
      <c r="B15" s="180"/>
      <c r="C15" s="187" t="str">
        <f>'NECESIDADES TRIMESTRALES'!E13</f>
        <v>ALAMBRE DE ACERO D. 0,7 MM, DESCARTABLE: SI, PRESENTACION: ROLLO X 500 GR</v>
      </c>
      <c r="D15" s="133"/>
      <c r="E15" s="133"/>
      <c r="F15" s="133"/>
      <c r="G15" s="134"/>
      <c r="H15" s="184" t="s">
        <v>228</v>
      </c>
      <c r="I15" s="185" t="str">
        <f>'NECESIDADES TRIMESTRALES'!F13</f>
        <v>UNIDAD</v>
      </c>
      <c r="J15" s="186">
        <f>'NECESIDADES TRIMESTRALES'!H13</f>
        <v>7450</v>
      </c>
      <c r="K15" s="130">
        <f>'NECESIDADES TRIMESTRALES'!G13</f>
        <v>2</v>
      </c>
      <c r="L15" s="129">
        <f t="shared" si="0"/>
        <v>14900</v>
      </c>
      <c r="M15" s="129">
        <f t="shared" si="1"/>
        <v>14900</v>
      </c>
    </row>
    <row r="16" spans="1:14" ht="18.75" customHeight="1" x14ac:dyDescent="0.2">
      <c r="A16" s="179">
        <v>5</v>
      </c>
      <c r="B16" s="180"/>
      <c r="C16" s="187" t="str">
        <f>'NECESIDADES TRIMESTRALES'!E14</f>
        <v>ALAMBRE DE ACERO D. 0,8 MM; DESCARTABLE: SI, PRESENTACION: ROLLO X 100 GR</v>
      </c>
      <c r="D16" s="199"/>
      <c r="E16" s="199"/>
      <c r="F16" s="199"/>
      <c r="G16" s="200"/>
      <c r="H16" s="184" t="s">
        <v>228</v>
      </c>
      <c r="I16" s="185" t="str">
        <f>'NECESIDADES TRIMESTRALES'!F14</f>
        <v>UNIDAD</v>
      </c>
      <c r="J16" s="186">
        <f>'NECESIDADES TRIMESTRALES'!H14</f>
        <v>880</v>
      </c>
      <c r="K16" s="130">
        <f>'NECESIDADES TRIMESTRALES'!G14</f>
        <v>2</v>
      </c>
      <c r="L16" s="129">
        <f t="shared" si="0"/>
        <v>1760</v>
      </c>
      <c r="M16" s="129">
        <f t="shared" si="1"/>
        <v>1760</v>
      </c>
    </row>
    <row r="17" spans="1:13" ht="18.75" customHeight="1" x14ac:dyDescent="0.2">
      <c r="A17" s="179">
        <v>6</v>
      </c>
      <c r="B17" s="180"/>
      <c r="C17" s="187" t="str">
        <f>'NECESIDADES TRIMESTRALES'!E15</f>
        <v>ALAMBRE DE ACERO D. 0,9 MM, DESCARTABLE: SI, PRESENTACION: ROLLO X 500 GR</v>
      </c>
      <c r="D17" s="199"/>
      <c r="E17" s="199"/>
      <c r="F17" s="199"/>
      <c r="G17" s="200"/>
      <c r="H17" s="184" t="s">
        <v>228</v>
      </c>
      <c r="I17" s="185" t="str">
        <f>'NECESIDADES TRIMESTRALES'!F15</f>
        <v>UNIDAD</v>
      </c>
      <c r="J17" s="186">
        <f>'NECESIDADES TRIMESTRALES'!H15</f>
        <v>7450</v>
      </c>
      <c r="K17" s="130">
        <f>'NECESIDADES TRIMESTRALES'!G15</f>
        <v>2</v>
      </c>
      <c r="L17" s="129">
        <f t="shared" si="0"/>
        <v>14900</v>
      </c>
      <c r="M17" s="129">
        <f t="shared" si="1"/>
        <v>14900</v>
      </c>
    </row>
    <row r="18" spans="1:13" ht="18.75" customHeight="1" x14ac:dyDescent="0.2">
      <c r="A18" s="179">
        <v>7</v>
      </c>
      <c r="B18" s="180"/>
      <c r="C18" s="187" t="str">
        <f>'NECESIDADES TRIMESTRALES'!E16</f>
        <v>ALAMBRE DE ACERO D.1 MM, DESCARTABLE: SI, PRESENTACION: ROLLO X 50 GR</v>
      </c>
      <c r="D18" s="199"/>
      <c r="E18" s="199"/>
      <c r="F18" s="199"/>
      <c r="G18" s="200"/>
      <c r="H18" s="184" t="s">
        <v>228</v>
      </c>
      <c r="I18" s="185" t="str">
        <f>'NECESIDADES TRIMESTRALES'!F16</f>
        <v>UNIDAD</v>
      </c>
      <c r="J18" s="186">
        <f>'NECESIDADES TRIMESTRALES'!H16</f>
        <v>880</v>
      </c>
      <c r="K18" s="130">
        <f>'NECESIDADES TRIMESTRALES'!G16</f>
        <v>1</v>
      </c>
      <c r="L18" s="129">
        <f t="shared" si="0"/>
        <v>880</v>
      </c>
      <c r="M18" s="129">
        <f t="shared" si="1"/>
        <v>880</v>
      </c>
    </row>
    <row r="19" spans="1:13" ht="18.75" customHeight="1" x14ac:dyDescent="0.2">
      <c r="A19" s="179">
        <v>8</v>
      </c>
      <c r="B19" s="180"/>
      <c r="C19" s="187" t="str">
        <f>'NECESIDADES TRIMESTRALES'!E17</f>
        <v>ALGODONES; TIPO: ROLLO P/ODONTOLOGIA, PRESENTACION: ENVASE X 500 UN</v>
      </c>
      <c r="D19" s="199"/>
      <c r="E19" s="199"/>
      <c r="F19" s="199"/>
      <c r="G19" s="200"/>
      <c r="H19" s="184" t="s">
        <v>228</v>
      </c>
      <c r="I19" s="185" t="str">
        <f>'NECESIDADES TRIMESTRALES'!F17</f>
        <v>BOLSA</v>
      </c>
      <c r="J19" s="186">
        <f>'NECESIDADES TRIMESTRALES'!H17</f>
        <v>655</v>
      </c>
      <c r="K19" s="130">
        <f>'NECESIDADES TRIMESTRALES'!G17</f>
        <v>500</v>
      </c>
      <c r="L19" s="129">
        <f t="shared" si="0"/>
        <v>327500</v>
      </c>
      <c r="M19" s="129">
        <f t="shared" si="1"/>
        <v>327500</v>
      </c>
    </row>
    <row r="20" spans="1:13" ht="18.75" customHeight="1" x14ac:dyDescent="0.2">
      <c r="A20" s="179">
        <v>9</v>
      </c>
      <c r="B20" s="180"/>
      <c r="C20" s="187" t="str">
        <f>'NECESIDADES TRIMESTRALES'!E18</f>
        <v>ALICATE UNIVERSAL, DESCARTABLE: NO, PRESENTACION: UNIDAD</v>
      </c>
      <c r="D20" s="199"/>
      <c r="E20" s="199"/>
      <c r="F20" s="199"/>
      <c r="G20" s="200"/>
      <c r="H20" s="184" t="s">
        <v>228</v>
      </c>
      <c r="I20" s="185" t="str">
        <f>'NECESIDADES TRIMESTRALES'!F18</f>
        <v>UNIDAD</v>
      </c>
      <c r="J20" s="186">
        <f>'NECESIDADES TRIMESTRALES'!H18</f>
        <v>1450</v>
      </c>
      <c r="K20" s="130">
        <f>'NECESIDADES TRIMESTRALES'!G18</f>
        <v>20</v>
      </c>
      <c r="L20" s="129">
        <f t="shared" si="0"/>
        <v>29000</v>
      </c>
      <c r="M20" s="129">
        <f t="shared" si="1"/>
        <v>29000</v>
      </c>
    </row>
    <row r="21" spans="1:13" ht="18.75" customHeight="1" x14ac:dyDescent="0.2">
      <c r="A21" s="179">
        <v>10</v>
      </c>
      <c r="B21" s="180"/>
      <c r="C21" s="187" t="str">
        <f>'NECESIDADES TRIMESTRALES'!E19</f>
        <v>ANESTESICOS LOCALES; TIPO: ANESTESIA ODONTOLOGICA, DROGA GENERICA: CLORHIDRATO DE CARTICAINA 4%, FORMA FARMACEUTICA: ANESTUBOS, PRESENTACION: ENVASE X 50 ANESTUBOS</v>
      </c>
      <c r="D21" s="199"/>
      <c r="E21" s="199"/>
      <c r="F21" s="199"/>
      <c r="G21" s="200"/>
      <c r="H21" s="184" t="s">
        <v>228</v>
      </c>
      <c r="I21" s="185" t="str">
        <f>'NECESIDADES TRIMESTRALES'!F19</f>
        <v>CAJA</v>
      </c>
      <c r="J21" s="186">
        <f>'NECESIDADES TRIMESTRALES'!H19</f>
        <v>3360</v>
      </c>
      <c r="K21" s="130">
        <f>'NECESIDADES TRIMESTRALES'!G19</f>
        <v>2000</v>
      </c>
      <c r="L21" s="129">
        <f t="shared" si="0"/>
        <v>6720000</v>
      </c>
      <c r="M21" s="129">
        <f t="shared" si="1"/>
        <v>6720000</v>
      </c>
    </row>
    <row r="22" spans="1:13" ht="18.75" customHeight="1" x14ac:dyDescent="0.2">
      <c r="A22" s="179">
        <v>11</v>
      </c>
      <c r="B22" s="180"/>
      <c r="C22" s="187" t="str">
        <f>'NECESIDADES TRIMESTRALES'!E20</f>
        <v>ANTISEPTICOS LOCALES P/PERSONA; TIPO: ANTISEPTICO, DROGA GENERICA: EUGENOL, FORMA FARMACEUTICA: LIQUIDO, PRESENTACION: FRASCO X 10 mL</v>
      </c>
      <c r="D22" s="199"/>
      <c r="E22" s="199"/>
      <c r="F22" s="199"/>
      <c r="G22" s="200"/>
      <c r="H22" s="184" t="s">
        <v>228</v>
      </c>
      <c r="I22" s="185" t="str">
        <f>'NECESIDADES TRIMESTRALES'!F20</f>
        <v>UNIDAD</v>
      </c>
      <c r="J22" s="186">
        <f>'NECESIDADES TRIMESTRALES'!H20</f>
        <v>300</v>
      </c>
      <c r="K22" s="130">
        <f>'NECESIDADES TRIMESTRALES'!G20</f>
        <v>100</v>
      </c>
      <c r="L22" s="129">
        <f t="shared" si="0"/>
        <v>30000</v>
      </c>
      <c r="M22" s="129">
        <f t="shared" si="1"/>
        <v>30000</v>
      </c>
    </row>
    <row r="23" spans="1:13" ht="18.75" customHeight="1" x14ac:dyDescent="0.2">
      <c r="A23" s="179">
        <v>12</v>
      </c>
      <c r="B23" s="180"/>
      <c r="C23" s="187" t="str">
        <f>'NECESIDADES TRIMESTRALES'!E21</f>
        <v>ANTISEPTICOS LOCALES P/PERSONA; TIPO: MONODROGA, DROGA GENERICA: EDTAC, FORMA FARMACEUTICA: SOLUCION, PRESENTACION: FRASCO X 20 mL</v>
      </c>
      <c r="D23" s="199"/>
      <c r="E23" s="199"/>
      <c r="F23" s="199"/>
      <c r="G23" s="200"/>
      <c r="H23" s="184" t="s">
        <v>228</v>
      </c>
      <c r="I23" s="185" t="str">
        <f>'NECESIDADES TRIMESTRALES'!F21</f>
        <v>UNIDAD</v>
      </c>
      <c r="J23" s="186">
        <f>'NECESIDADES TRIMESTRALES'!H21</f>
        <v>270</v>
      </c>
      <c r="K23" s="130">
        <f>'NECESIDADES TRIMESTRALES'!G21</f>
        <v>30</v>
      </c>
      <c r="L23" s="129">
        <f t="shared" si="0"/>
        <v>8100</v>
      </c>
      <c r="M23" s="129">
        <f t="shared" si="1"/>
        <v>8100</v>
      </c>
    </row>
    <row r="24" spans="1:13" ht="18.75" customHeight="1" x14ac:dyDescent="0.2">
      <c r="A24" s="179">
        <v>13</v>
      </c>
      <c r="B24" s="180"/>
      <c r="C24" s="187" t="str">
        <f>'NECESIDADES TRIMESTRALES'!E22</f>
        <v>ANTISEPTICOS LOCALES P/PERSONA; TIPO: MONODROGA, DROGA GENERICA: IODOFORMO, FORMA FARMACEUTICA: POLVO, PRESENTACION: FRASCO X 20 GR</v>
      </c>
      <c r="D24" s="199"/>
      <c r="E24" s="199"/>
      <c r="F24" s="199"/>
      <c r="G24" s="200"/>
      <c r="H24" s="184" t="s">
        <v>228</v>
      </c>
      <c r="I24" s="185" t="str">
        <f>'NECESIDADES TRIMESTRALES'!F22</f>
        <v>UNIDAD</v>
      </c>
      <c r="J24" s="186">
        <f>'NECESIDADES TRIMESTRALES'!H22</f>
        <v>1190</v>
      </c>
      <c r="K24" s="130">
        <f>'NECESIDADES TRIMESTRALES'!G22</f>
        <v>30</v>
      </c>
      <c r="L24" s="129">
        <f t="shared" si="0"/>
        <v>35700</v>
      </c>
      <c r="M24" s="129">
        <f t="shared" si="1"/>
        <v>35700</v>
      </c>
    </row>
    <row r="25" spans="1:13" ht="18.75" customHeight="1" x14ac:dyDescent="0.2">
      <c r="A25" s="179">
        <v>14</v>
      </c>
      <c r="B25" s="180"/>
      <c r="C25" s="187" t="str">
        <f>'NECESIDADES TRIMESTRALES'!E23</f>
        <v>ATACADOR P/CONOS GUTA-PERCHA, PRESENTACION: UNIDAD, DESCARTABLE: NO</v>
      </c>
      <c r="D25" s="199"/>
      <c r="E25" s="199"/>
      <c r="F25" s="199"/>
      <c r="G25" s="200"/>
      <c r="H25" s="184" t="s">
        <v>228</v>
      </c>
      <c r="I25" s="185" t="str">
        <f>'NECESIDADES TRIMESTRALES'!F23</f>
        <v>UNIDAD</v>
      </c>
      <c r="J25" s="186">
        <f>'NECESIDADES TRIMESTRALES'!H23</f>
        <v>299</v>
      </c>
      <c r="K25" s="130">
        <f>'NECESIDADES TRIMESTRALES'!G23</f>
        <v>30</v>
      </c>
      <c r="L25" s="129">
        <f t="shared" si="0"/>
        <v>8970</v>
      </c>
      <c r="M25" s="129">
        <f t="shared" si="1"/>
        <v>8970</v>
      </c>
    </row>
    <row r="26" spans="1:13" ht="18.75" customHeight="1" x14ac:dyDescent="0.2">
      <c r="A26" s="179">
        <v>15</v>
      </c>
      <c r="B26" s="180"/>
      <c r="C26" s="187" t="str">
        <f>'NECESIDADES TRIMESTRALES'!E24</f>
        <v>BANDEJA METALICA PARA EL INSTRUMENTAL, DESCARTABLE: NO, PRESENTACION: UNIDAD</v>
      </c>
      <c r="D26" s="199"/>
      <c r="E26" s="199"/>
      <c r="F26" s="199"/>
      <c r="G26" s="200"/>
      <c r="H26" s="184" t="s">
        <v>228</v>
      </c>
      <c r="I26" s="185" t="str">
        <f>'NECESIDADES TRIMESTRALES'!F24</f>
        <v>UNIDAD</v>
      </c>
      <c r="J26" s="186">
        <f>'NECESIDADES TRIMESTRALES'!H24</f>
        <v>420</v>
      </c>
      <c r="K26" s="130">
        <f>'NECESIDADES TRIMESTRALES'!G24</f>
        <v>150</v>
      </c>
      <c r="L26" s="129">
        <f t="shared" si="0"/>
        <v>63000</v>
      </c>
      <c r="M26" s="129">
        <f t="shared" si="1"/>
        <v>63000</v>
      </c>
    </row>
    <row r="27" spans="1:13" ht="18.75" customHeight="1" x14ac:dyDescent="0.2">
      <c r="A27" s="179">
        <v>16</v>
      </c>
      <c r="B27" s="180"/>
      <c r="C27" s="187" t="str">
        <f>'NECESIDADES TRIMESTRALES'!E25</f>
        <v>BARBIJOS; TIPO: COPA N95 SIN VALVULA, MATERIAL: NO TEJIDO, CANTIDAD DE CAPAS: DOS, DESCARTABLE: SI, PRESENTACION: UNIDAD</v>
      </c>
      <c r="D27" s="199"/>
      <c r="E27" s="199"/>
      <c r="F27" s="199"/>
      <c r="G27" s="200"/>
      <c r="H27" s="184" t="s">
        <v>228</v>
      </c>
      <c r="I27" s="185" t="str">
        <f>'NECESIDADES TRIMESTRALES'!F25</f>
        <v>UNIDAD</v>
      </c>
      <c r="J27" s="186">
        <f>'NECESIDADES TRIMESTRALES'!H25</f>
        <v>150</v>
      </c>
      <c r="K27" s="130">
        <f>'NECESIDADES TRIMESTRALES'!G25</f>
        <v>300</v>
      </c>
      <c r="L27" s="129">
        <f t="shared" si="0"/>
        <v>45000</v>
      </c>
      <c r="M27" s="129">
        <f t="shared" si="1"/>
        <v>45000</v>
      </c>
    </row>
    <row r="28" spans="1:13" ht="18.75" customHeight="1" x14ac:dyDescent="0.2">
      <c r="A28" s="179">
        <v>17</v>
      </c>
      <c r="B28" s="180"/>
      <c r="C28" s="187" t="str">
        <f>'NECESIDADES TRIMESTRALES'!E26</f>
        <v>BARRA ALTO BRILLO P/PULIR, DESCARTABLE: NO, PRESENTACION: UNIDAD</v>
      </c>
      <c r="D28" s="199"/>
      <c r="E28" s="199"/>
      <c r="F28" s="199"/>
      <c r="G28" s="200"/>
      <c r="H28" s="184" t="s">
        <v>228</v>
      </c>
      <c r="I28" s="185" t="str">
        <f>'NECESIDADES TRIMESTRALES'!F26</f>
        <v>UNIDAD</v>
      </c>
      <c r="J28" s="186">
        <f>'NECESIDADES TRIMESTRALES'!H26</f>
        <v>299</v>
      </c>
      <c r="K28" s="130">
        <f>'NECESIDADES TRIMESTRALES'!G26</f>
        <v>30</v>
      </c>
      <c r="L28" s="129">
        <f t="shared" si="0"/>
        <v>8970</v>
      </c>
      <c r="M28" s="129">
        <f t="shared" si="1"/>
        <v>8970</v>
      </c>
    </row>
    <row r="29" spans="1:13" ht="18.75" customHeight="1" x14ac:dyDescent="0.2">
      <c r="A29" s="179">
        <v>18</v>
      </c>
      <c r="B29" s="180"/>
      <c r="C29" s="187" t="str">
        <f>'NECESIDADES TRIMESTRALES'!E27</f>
        <v>BROCHITA P/ LIMPIEZA, DESCARTABLE: SI, PRESENTACION: UNIDAD</v>
      </c>
      <c r="D29" s="199"/>
      <c r="E29" s="199"/>
      <c r="F29" s="199"/>
      <c r="G29" s="200"/>
      <c r="H29" s="184" t="s">
        <v>228</v>
      </c>
      <c r="I29" s="185" t="str">
        <f>'NECESIDADES TRIMESTRALES'!F27</f>
        <v>UNIDAD</v>
      </c>
      <c r="J29" s="186">
        <f>'NECESIDADES TRIMESTRALES'!H27</f>
        <v>62.24</v>
      </c>
      <c r="K29" s="130">
        <f>'NECESIDADES TRIMESTRALES'!G27</f>
        <v>50</v>
      </c>
      <c r="L29" s="129">
        <f t="shared" si="0"/>
        <v>3112</v>
      </c>
      <c r="M29" s="129">
        <f t="shared" si="1"/>
        <v>3112</v>
      </c>
    </row>
    <row r="30" spans="1:13" ht="18.75" customHeight="1" x14ac:dyDescent="0.2">
      <c r="A30" s="179">
        <v>19</v>
      </c>
      <c r="B30" s="180"/>
      <c r="C30" s="187" t="str">
        <f>'NECESIDADES TRIMESTRALES'!E28</f>
        <v>CADENAS P/BABEROS; MATERIAL : 147 dBV/mPa , USO: ODONTOLOGIA, MATERIAL: METAL</v>
      </c>
      <c r="D30" s="199"/>
      <c r="E30" s="199"/>
      <c r="F30" s="199"/>
      <c r="G30" s="200"/>
      <c r="H30" s="184" t="s">
        <v>228</v>
      </c>
      <c r="I30" s="185" t="str">
        <f>'NECESIDADES TRIMESTRALES'!F28</f>
        <v>UNIDAD</v>
      </c>
      <c r="J30" s="186">
        <f>'NECESIDADES TRIMESTRALES'!H28</f>
        <v>199</v>
      </c>
      <c r="K30" s="130">
        <f>'NECESIDADES TRIMESTRALES'!G28</f>
        <v>200</v>
      </c>
      <c r="L30" s="129">
        <f t="shared" si="0"/>
        <v>39800</v>
      </c>
      <c r="M30" s="129">
        <f t="shared" si="1"/>
        <v>39800</v>
      </c>
    </row>
    <row r="31" spans="1:13" ht="18.75" customHeight="1" x14ac:dyDescent="0.2">
      <c r="A31" s="179">
        <v>20</v>
      </c>
      <c r="B31" s="180"/>
      <c r="C31" s="187" t="str">
        <f>'NECESIDADES TRIMESTRALES'!E29</f>
        <v>CEMENTOS QUIRURGICOS; TIPO: FOSFATO DE ZINC, USO: ODONTOLOGIA, PRESENTACION: AVIO 35 GRS/ML</v>
      </c>
      <c r="D31" s="199"/>
      <c r="E31" s="199"/>
      <c r="F31" s="199"/>
      <c r="G31" s="200"/>
      <c r="H31" s="184" t="s">
        <v>228</v>
      </c>
      <c r="I31" s="185" t="str">
        <f>'NECESIDADES TRIMESTRALES'!F29</f>
        <v>CAJA</v>
      </c>
      <c r="J31" s="186">
        <f>'NECESIDADES TRIMESTRALES'!H29</f>
        <v>1300</v>
      </c>
      <c r="K31" s="130">
        <f>'NECESIDADES TRIMESTRALES'!G29</f>
        <v>50</v>
      </c>
      <c r="L31" s="129">
        <f t="shared" si="0"/>
        <v>65000</v>
      </c>
      <c r="M31" s="129">
        <f t="shared" si="1"/>
        <v>65000</v>
      </c>
    </row>
    <row r="32" spans="1:13" ht="18.75" customHeight="1" x14ac:dyDescent="0.2">
      <c r="A32" s="179">
        <v>21</v>
      </c>
      <c r="B32" s="180"/>
      <c r="C32" s="187" t="str">
        <f>'NECESIDADES TRIMESTRALES'!E30</f>
        <v>CEMENTOS QUIRURGICOS; TIPO: GROSSMAN, USO: ODONTOLOGIA, PRESENTACION: ENVASE X 20 GR</v>
      </c>
      <c r="D32" s="199"/>
      <c r="E32" s="199"/>
      <c r="F32" s="199"/>
      <c r="G32" s="200"/>
      <c r="H32" s="184" t="s">
        <v>228</v>
      </c>
      <c r="I32" s="185" t="str">
        <f>'NECESIDADES TRIMESTRALES'!F30</f>
        <v>CAJA</v>
      </c>
      <c r="J32" s="186">
        <f>'NECESIDADES TRIMESTRALES'!H30</f>
        <v>440</v>
      </c>
      <c r="K32" s="130">
        <f>'NECESIDADES TRIMESTRALES'!G30</f>
        <v>50</v>
      </c>
      <c r="L32" s="129">
        <f t="shared" si="0"/>
        <v>22000</v>
      </c>
      <c r="M32" s="129">
        <f t="shared" si="1"/>
        <v>22000</v>
      </c>
    </row>
    <row r="33" spans="1:13" ht="18.75" customHeight="1" x14ac:dyDescent="0.2">
      <c r="A33" s="179">
        <v>22</v>
      </c>
      <c r="B33" s="180"/>
      <c r="C33" s="187" t="str">
        <f>'NECESIDADES TRIMESTRALES'!E31</f>
        <v>CEMENTOS QUIRURGICOS; TIPO: HIDROXIDO DE CALCIO FRAGUABLE, USO: ODONTOLOGIA, PRESENTACION: AVIO 13 GRS/11 GRS</v>
      </c>
      <c r="D33" s="199"/>
      <c r="E33" s="199"/>
      <c r="F33" s="199"/>
      <c r="G33" s="200"/>
      <c r="H33" s="184" t="s">
        <v>228</v>
      </c>
      <c r="I33" s="185" t="str">
        <f>'NECESIDADES TRIMESTRALES'!F31</f>
        <v>CAJA</v>
      </c>
      <c r="J33" s="186">
        <f>'NECESIDADES TRIMESTRALES'!H31</f>
        <v>1492.5</v>
      </c>
      <c r="K33" s="130">
        <f>'NECESIDADES TRIMESTRALES'!G31</f>
        <v>30</v>
      </c>
      <c r="L33" s="129">
        <f t="shared" si="0"/>
        <v>44775</v>
      </c>
      <c r="M33" s="129">
        <f t="shared" si="1"/>
        <v>44775</v>
      </c>
    </row>
    <row r="34" spans="1:13" ht="18.75" customHeight="1" x14ac:dyDescent="0.2">
      <c r="A34" s="179">
        <v>23</v>
      </c>
      <c r="B34" s="201"/>
      <c r="C34" s="187" t="str">
        <f>'NECESIDADES TRIMESTRALES'!E32</f>
        <v>CEMENTOS QUIRURGICOS; TIPO: OXIDO DE ZINC Y EUGENOL REFORZ, USO: ODONTOLOGICO, PRESENTACION: AVIO 38 GRS/15 ML</v>
      </c>
      <c r="D34" s="133"/>
      <c r="E34" s="133"/>
      <c r="F34" s="133"/>
      <c r="G34" s="134"/>
      <c r="H34" s="184" t="s">
        <v>228</v>
      </c>
      <c r="I34" s="185" t="str">
        <f>'NECESIDADES TRIMESTRALES'!F32</f>
        <v>CAJA</v>
      </c>
      <c r="J34" s="186">
        <f>'NECESIDADES TRIMESTRALES'!H32</f>
        <v>1850</v>
      </c>
      <c r="K34" s="130">
        <f>'NECESIDADES TRIMESTRALES'!G32</f>
        <v>50</v>
      </c>
      <c r="L34" s="129">
        <f t="shared" si="0"/>
        <v>92500</v>
      </c>
      <c r="M34" s="129">
        <f t="shared" si="1"/>
        <v>92500</v>
      </c>
    </row>
    <row r="35" spans="1:13" ht="18.75" customHeight="1" x14ac:dyDescent="0.2">
      <c r="A35" s="179">
        <v>24</v>
      </c>
      <c r="B35" s="202"/>
      <c r="C35" s="187" t="str">
        <f>'NECESIDADES TRIMESTRALES'!E33</f>
        <v>CEPILLO LIMPIAFRESA, DESCARTABLE: NO, PRESENTACION: UNIDAD</v>
      </c>
      <c r="D35" s="133"/>
      <c r="E35" s="133"/>
      <c r="F35" s="133"/>
      <c r="G35" s="134"/>
      <c r="H35" s="184" t="s">
        <v>228</v>
      </c>
      <c r="I35" s="185" t="str">
        <f>'NECESIDADES TRIMESTRALES'!F33</f>
        <v>UNIDAD</v>
      </c>
      <c r="J35" s="186">
        <f>'NECESIDADES TRIMESTRALES'!H33</f>
        <v>250</v>
      </c>
      <c r="K35" s="130">
        <f>'NECESIDADES TRIMESTRALES'!G33</f>
        <v>20</v>
      </c>
      <c r="L35" s="129">
        <f t="shared" si="0"/>
        <v>5000</v>
      </c>
      <c r="M35" s="129">
        <f t="shared" si="1"/>
        <v>5000</v>
      </c>
    </row>
    <row r="36" spans="1:13" ht="18.75" customHeight="1" x14ac:dyDescent="0.2">
      <c r="A36" s="179">
        <v>25</v>
      </c>
      <c r="B36" s="202"/>
      <c r="C36" s="187" t="str">
        <f>'NECESIDADES TRIMESTRALES'!E34</f>
        <v>CERAS ROSAS P/ODONTOLOGIA; MATERIAL: UTILITY EN LAMINA, USO: ODONTOLOGICO, PRESENTACION: ENVASE X 1 Kg</v>
      </c>
      <c r="D36" s="133"/>
      <c r="E36" s="133"/>
      <c r="F36" s="133"/>
      <c r="G36" s="134"/>
      <c r="H36" s="184" t="s">
        <v>228</v>
      </c>
      <c r="I36" s="185" t="str">
        <f>'NECESIDADES TRIMESTRALES'!F34</f>
        <v>CAJA</v>
      </c>
      <c r="J36" s="186">
        <f>'NECESIDADES TRIMESTRALES'!H34</f>
        <v>2450</v>
      </c>
      <c r="K36" s="130">
        <f>'NECESIDADES TRIMESTRALES'!G34</f>
        <v>5</v>
      </c>
      <c r="L36" s="129">
        <f t="shared" si="0"/>
        <v>12250</v>
      </c>
      <c r="M36" s="129">
        <f t="shared" si="1"/>
        <v>12250</v>
      </c>
    </row>
    <row r="37" spans="1:13" ht="18.75" customHeight="1" x14ac:dyDescent="0.2">
      <c r="A37" s="179">
        <v>26</v>
      </c>
      <c r="B37" s="202"/>
      <c r="C37" s="187" t="str">
        <f>'NECESIDADES TRIMESTRALES'!E35</f>
        <v>COMPOSITE TIPO ULTRAFILL; COLOR: A2, POLIMERIZACION: FOTOPOLIMERIZACION, TAMAÑO PARTICULA: HIBRIDO, FORMA DE PRESENTACION: JERINGA, PRESENTACION: ENVASE X 4 GR</v>
      </c>
      <c r="D37" s="133"/>
      <c r="E37" s="133"/>
      <c r="F37" s="133"/>
      <c r="G37" s="134"/>
      <c r="H37" s="184" t="s">
        <v>228</v>
      </c>
      <c r="I37" s="185" t="str">
        <f>'NECESIDADES TRIMESTRALES'!F35</f>
        <v>UNIDAD</v>
      </c>
      <c r="J37" s="186">
        <f>'NECESIDADES TRIMESTRALES'!H35</f>
        <v>1290</v>
      </c>
      <c r="K37" s="130">
        <f>'NECESIDADES TRIMESTRALES'!G35</f>
        <v>250</v>
      </c>
      <c r="L37" s="129">
        <f t="shared" si="0"/>
        <v>322500</v>
      </c>
      <c r="M37" s="129">
        <f t="shared" si="1"/>
        <v>322500</v>
      </c>
    </row>
    <row r="38" spans="1:13" ht="18.75" customHeight="1" x14ac:dyDescent="0.2">
      <c r="A38" s="179">
        <v>27</v>
      </c>
      <c r="B38" s="202"/>
      <c r="C38" s="187" t="str">
        <f>'NECESIDADES TRIMESTRALES'!E36</f>
        <v>COMPOSITE TIPO ULTRAFILL; COLOR: A3, POLIMERIZACION: FOTOPOLIMERIZACION, TAMAÑO PARTICULA: HIBRIDO, FORMA DE PRESENTACION: JERINGA, PRESENTACION: ENVASE X 4 GR</v>
      </c>
      <c r="D38" s="133"/>
      <c r="E38" s="133"/>
      <c r="F38" s="133"/>
      <c r="G38" s="134"/>
      <c r="H38" s="184" t="s">
        <v>228</v>
      </c>
      <c r="I38" s="185" t="str">
        <f>'NECESIDADES TRIMESTRALES'!F36</f>
        <v>UNIDAD</v>
      </c>
      <c r="J38" s="186">
        <f>'NECESIDADES TRIMESTRALES'!H36</f>
        <v>1290</v>
      </c>
      <c r="K38" s="130">
        <f>'NECESIDADES TRIMESTRALES'!G36</f>
        <v>250</v>
      </c>
      <c r="L38" s="129">
        <f t="shared" si="0"/>
        <v>322500</v>
      </c>
      <c r="M38" s="129">
        <f t="shared" si="1"/>
        <v>322500</v>
      </c>
    </row>
    <row r="39" spans="1:13" ht="18.75" customHeight="1" x14ac:dyDescent="0.2">
      <c r="A39" s="179">
        <v>28</v>
      </c>
      <c r="B39" s="202"/>
      <c r="C39" s="187" t="str">
        <f>'NECESIDADES TRIMESTRALES'!E37</f>
        <v>COMPOSITE TIPO ULTRAFILL; COLOR: A3,5, POLIMERIZACION: FOTOPOLIMERIZACION, TAMAÑO PARTICULA: HIBRIDO, FORMA DE PRESENTACION: JERINGA, PRESENTACION: ENVASE X 4 GR</v>
      </c>
      <c r="D39" s="133"/>
      <c r="E39" s="133"/>
      <c r="F39" s="133"/>
      <c r="G39" s="134"/>
      <c r="H39" s="184" t="s">
        <v>228</v>
      </c>
      <c r="I39" s="185" t="str">
        <f>'NECESIDADES TRIMESTRALES'!F37</f>
        <v>UNIDAD</v>
      </c>
      <c r="J39" s="186">
        <f>'NECESIDADES TRIMESTRALES'!H37</f>
        <v>1290</v>
      </c>
      <c r="K39" s="130">
        <f>'NECESIDADES TRIMESTRALES'!G37</f>
        <v>100</v>
      </c>
      <c r="L39" s="129">
        <f t="shared" si="0"/>
        <v>129000</v>
      </c>
      <c r="M39" s="129">
        <f t="shared" si="1"/>
        <v>129000</v>
      </c>
    </row>
    <row r="40" spans="1:13" ht="18.75" customHeight="1" x14ac:dyDescent="0.2">
      <c r="A40" s="179">
        <v>29</v>
      </c>
      <c r="B40" s="202"/>
      <c r="C40" s="187" t="str">
        <f>'NECESIDADES TRIMESTRALES'!E38</f>
        <v>COMPRESA P/PLATINA AZUL, DESCARTABLE: SI, PRESENTACION: CAJA X 500 UN</v>
      </c>
      <c r="D40" s="133"/>
      <c r="E40" s="133"/>
      <c r="F40" s="133"/>
      <c r="G40" s="134"/>
      <c r="H40" s="184" t="s">
        <v>228</v>
      </c>
      <c r="I40" s="185" t="str">
        <f>'NECESIDADES TRIMESTRALES'!F38</f>
        <v>CAJA</v>
      </c>
      <c r="J40" s="186">
        <f>'NECESIDADES TRIMESTRALES'!H38</f>
        <v>2925</v>
      </c>
      <c r="K40" s="130">
        <f>'NECESIDADES TRIMESTRALES'!G38</f>
        <v>30</v>
      </c>
      <c r="L40" s="129">
        <f t="shared" si="0"/>
        <v>87750</v>
      </c>
      <c r="M40" s="129">
        <f t="shared" si="1"/>
        <v>87750</v>
      </c>
    </row>
    <row r="41" spans="1:13" ht="18.75" customHeight="1" x14ac:dyDescent="0.2">
      <c r="A41" s="179">
        <v>30</v>
      </c>
      <c r="B41" s="202"/>
      <c r="C41" s="187" t="str">
        <f>'NECESIDADES TRIMESTRALES'!E39</f>
        <v>CONO DE FIELTRO Nº 4, DESCARTABLE: SI, PRESENTACION: UNIDAD</v>
      </c>
      <c r="D41" s="133"/>
      <c r="E41" s="133"/>
      <c r="F41" s="133"/>
      <c r="G41" s="134"/>
      <c r="H41" s="184" t="s">
        <v>228</v>
      </c>
      <c r="I41" s="185" t="str">
        <f>'NECESIDADES TRIMESTRALES'!F39</f>
        <v>UNIDAD</v>
      </c>
      <c r="J41" s="186">
        <f>'NECESIDADES TRIMESTRALES'!H39</f>
        <v>550</v>
      </c>
      <c r="K41" s="130">
        <f>'NECESIDADES TRIMESTRALES'!G39</f>
        <v>10</v>
      </c>
      <c r="L41" s="129">
        <f t="shared" si="0"/>
        <v>5500</v>
      </c>
      <c r="M41" s="129">
        <f t="shared" si="1"/>
        <v>5500</v>
      </c>
    </row>
    <row r="42" spans="1:13" ht="18.75" customHeight="1" x14ac:dyDescent="0.2">
      <c r="A42" s="179">
        <v>31</v>
      </c>
      <c r="B42" s="202"/>
      <c r="C42" s="187" t="str">
        <f>'NECESIDADES TRIMESTRALES'!E40</f>
        <v>CONO GUTAPERCHA 1ªSERIE, DESCARTABLE: SI, PRESENTACION: CAJA X 100</v>
      </c>
      <c r="D42" s="133"/>
      <c r="E42" s="133"/>
      <c r="F42" s="133"/>
      <c r="G42" s="134"/>
      <c r="H42" s="184" t="s">
        <v>228</v>
      </c>
      <c r="I42" s="185" t="str">
        <f>'NECESIDADES TRIMESTRALES'!F40</f>
        <v>CAJA</v>
      </c>
      <c r="J42" s="186">
        <f>'NECESIDADES TRIMESTRALES'!H40</f>
        <v>730</v>
      </c>
      <c r="K42" s="130">
        <f>'NECESIDADES TRIMESTRALES'!G40</f>
        <v>30</v>
      </c>
      <c r="L42" s="129">
        <f t="shared" si="0"/>
        <v>21900</v>
      </c>
      <c r="M42" s="129">
        <f t="shared" si="1"/>
        <v>21900</v>
      </c>
    </row>
    <row r="43" spans="1:13" ht="18.75" customHeight="1" x14ac:dyDescent="0.2">
      <c r="A43" s="179">
        <v>32</v>
      </c>
      <c r="B43" s="202"/>
      <c r="C43" s="187" t="str">
        <f>'NECESIDADES TRIMESTRALES'!E41</f>
        <v>CONO GUTAPERCHA 2ªSERIE, DESCARTABLE: SI, PRESENTACION: CAJA X 100</v>
      </c>
      <c r="D43" s="133"/>
      <c r="E43" s="133"/>
      <c r="F43" s="133"/>
      <c r="G43" s="134"/>
      <c r="H43" s="184" t="s">
        <v>228</v>
      </c>
      <c r="I43" s="185" t="str">
        <f>'NECESIDADES TRIMESTRALES'!F41</f>
        <v>CAJA</v>
      </c>
      <c r="J43" s="186">
        <f>'NECESIDADES TRIMESTRALES'!H41</f>
        <v>730</v>
      </c>
      <c r="K43" s="130">
        <f>'NECESIDADES TRIMESTRALES'!G41</f>
        <v>30</v>
      </c>
      <c r="L43" s="129">
        <f t="shared" si="0"/>
        <v>21900</v>
      </c>
      <c r="M43" s="129">
        <f t="shared" si="1"/>
        <v>21900</v>
      </c>
    </row>
    <row r="44" spans="1:13" ht="18.75" customHeight="1" x14ac:dyDescent="0.2">
      <c r="A44" s="179">
        <v>33</v>
      </c>
      <c r="B44" s="202"/>
      <c r="C44" s="187" t="str">
        <f>'NECESIDADES TRIMESTRALES'!E42</f>
        <v>CUCHARITAS DE BLACK DOBLES, DESCARTABLE: NO, PRESENTACION: UNIDAD</v>
      </c>
      <c r="D44" s="133"/>
      <c r="E44" s="133"/>
      <c r="F44" s="133"/>
      <c r="G44" s="134"/>
      <c r="H44" s="184" t="s">
        <v>228</v>
      </c>
      <c r="I44" s="185" t="str">
        <f>'NECESIDADES TRIMESTRALES'!F42</f>
        <v>UNIDAD</v>
      </c>
      <c r="J44" s="186">
        <f>'NECESIDADES TRIMESTRALES'!H42</f>
        <v>298.5</v>
      </c>
      <c r="K44" s="130">
        <f>'NECESIDADES TRIMESTRALES'!G42</f>
        <v>15</v>
      </c>
      <c r="L44" s="129">
        <f t="shared" si="0"/>
        <v>4477.5</v>
      </c>
      <c r="M44" s="129"/>
    </row>
    <row r="45" spans="1:13" ht="18.75" customHeight="1" x14ac:dyDescent="0.2">
      <c r="A45" s="179">
        <v>34</v>
      </c>
      <c r="B45" s="202"/>
      <c r="C45" s="187" t="str">
        <f>'NECESIDADES TRIMESTRALES'!E43</f>
        <v>CURETA DE GRACEY, DESCARTABLE: NO, PRESENTACION: UNIDAD</v>
      </c>
      <c r="D45" s="133"/>
      <c r="E45" s="133"/>
      <c r="F45" s="133"/>
      <c r="G45" s="134"/>
      <c r="H45" s="184" t="s">
        <v>228</v>
      </c>
      <c r="I45" s="185" t="str">
        <f>'NECESIDADES TRIMESTRALES'!F43</f>
        <v>UNIDAD</v>
      </c>
      <c r="J45" s="186">
        <f>'NECESIDADES TRIMESTRALES'!H43</f>
        <v>1750</v>
      </c>
      <c r="K45" s="130">
        <f>'NECESIDADES TRIMESTRALES'!G43</f>
        <v>50</v>
      </c>
      <c r="L45" s="129">
        <f t="shared" si="0"/>
        <v>87500</v>
      </c>
      <c r="M45" s="129"/>
    </row>
    <row r="46" spans="1:13" ht="18.75" customHeight="1" x14ac:dyDescent="0.2">
      <c r="A46" s="179">
        <v>35</v>
      </c>
      <c r="B46" s="202"/>
      <c r="C46" s="187" t="str">
        <f>'NECESIDADES TRIMESTRALES'!E44</f>
        <v>DISCO P/ PULIR, DESCARTABLE: NO, PRESENTACION: UNIDAD</v>
      </c>
      <c r="D46" s="133"/>
      <c r="E46" s="133"/>
      <c r="F46" s="133"/>
      <c r="G46" s="134"/>
      <c r="H46" s="184" t="s">
        <v>228</v>
      </c>
      <c r="I46" s="185" t="str">
        <f>'NECESIDADES TRIMESTRALES'!F44</f>
        <v>UNIDAD</v>
      </c>
      <c r="J46" s="186">
        <f>'NECESIDADES TRIMESTRALES'!H44</f>
        <v>200</v>
      </c>
      <c r="K46" s="130">
        <f>'NECESIDADES TRIMESTRALES'!G44</f>
        <v>50</v>
      </c>
      <c r="L46" s="129">
        <f t="shared" si="0"/>
        <v>10000</v>
      </c>
      <c r="M46" s="129"/>
    </row>
    <row r="47" spans="1:13" ht="18.75" customHeight="1" x14ac:dyDescent="0.2">
      <c r="A47" s="179">
        <v>36</v>
      </c>
      <c r="B47" s="202"/>
      <c r="C47" s="187" t="str">
        <f>'NECESIDADES TRIMESTRALES'!E45</f>
        <v>DISCO P/PULIR COMPOSITE, DESCARTABLE: NO, PRESENTACION: ENVASE X 50 UN</v>
      </c>
      <c r="D47" s="133"/>
      <c r="E47" s="133"/>
      <c r="F47" s="133"/>
      <c r="G47" s="134"/>
      <c r="H47" s="184" t="s">
        <v>228</v>
      </c>
      <c r="I47" s="185" t="str">
        <f>'NECESIDADES TRIMESTRALES'!F45</f>
        <v>CAJA</v>
      </c>
      <c r="J47" s="186">
        <f>'NECESIDADES TRIMESTRALES'!H45</f>
        <v>9950</v>
      </c>
      <c r="K47" s="130">
        <f>'NECESIDADES TRIMESTRALES'!G45</f>
        <v>20</v>
      </c>
      <c r="L47" s="129">
        <f t="shared" si="0"/>
        <v>199000</v>
      </c>
      <c r="M47" s="129"/>
    </row>
    <row r="48" spans="1:13" ht="18.75" customHeight="1" x14ac:dyDescent="0.2">
      <c r="A48" s="179">
        <v>37</v>
      </c>
      <c r="B48" s="202"/>
      <c r="C48" s="187" t="str">
        <f>'NECESIDADES TRIMESTRALES'!E46</f>
        <v>ESPACIADOR P/CONOS GUTA-PERCHA, DESCARTABLE: NO, PRESENTACION: CAJA X 6</v>
      </c>
      <c r="D48" s="133"/>
      <c r="E48" s="133"/>
      <c r="F48" s="133"/>
      <c r="G48" s="134"/>
      <c r="H48" s="184" t="s">
        <v>228</v>
      </c>
      <c r="I48" s="185" t="str">
        <f>'NECESIDADES TRIMESTRALES'!F46</f>
        <v>CAJA</v>
      </c>
      <c r="J48" s="186">
        <f>'NECESIDADES TRIMESTRALES'!H46</f>
        <v>1390</v>
      </c>
      <c r="K48" s="130">
        <f>'NECESIDADES TRIMESTRALES'!G46</f>
        <v>50</v>
      </c>
      <c r="L48" s="129">
        <f t="shared" si="0"/>
        <v>69500</v>
      </c>
      <c r="M48" s="129"/>
    </row>
    <row r="49" spans="1:13" ht="18.75" customHeight="1" x14ac:dyDescent="0.2">
      <c r="A49" s="179">
        <v>38</v>
      </c>
      <c r="B49" s="202"/>
      <c r="C49" s="187" t="str">
        <f>'NECESIDADES TRIMESTRALES'!E47</f>
        <v>ESPATULA P/CEMENTO DOBLE, DESCARTABLE: NO, PRESENTACION: UNIDAD</v>
      </c>
      <c r="D49" s="133"/>
      <c r="E49" s="133"/>
      <c r="F49" s="133"/>
      <c r="G49" s="134"/>
      <c r="H49" s="184" t="s">
        <v>228</v>
      </c>
      <c r="I49" s="185" t="str">
        <f>'NECESIDADES TRIMESTRALES'!F47</f>
        <v>UNIDAD</v>
      </c>
      <c r="J49" s="186">
        <f>'NECESIDADES TRIMESTRALES'!H47</f>
        <v>299</v>
      </c>
      <c r="K49" s="130">
        <f>'NECESIDADES TRIMESTRALES'!G47</f>
        <v>150</v>
      </c>
      <c r="L49" s="129">
        <f t="shared" si="0"/>
        <v>44850</v>
      </c>
      <c r="M49" s="129"/>
    </row>
    <row r="50" spans="1:13" ht="18.75" customHeight="1" x14ac:dyDescent="0.2">
      <c r="A50" s="179">
        <v>39</v>
      </c>
      <c r="B50" s="202"/>
      <c r="C50" s="187" t="str">
        <f>'NECESIDADES TRIMESTRALES'!E48</f>
        <v>ESPATULA PARA GUTTA, DESCARTABLE: NO, PRESENTACION: UNIDAD</v>
      </c>
      <c r="D50" s="133"/>
      <c r="E50" s="133"/>
      <c r="F50" s="133"/>
      <c r="G50" s="134"/>
      <c r="H50" s="184" t="s">
        <v>228</v>
      </c>
      <c r="I50" s="185" t="str">
        <f>'NECESIDADES TRIMESTRALES'!F48</f>
        <v>UNIDAD</v>
      </c>
      <c r="J50" s="186">
        <f>'NECESIDADES TRIMESTRALES'!H48</f>
        <v>299</v>
      </c>
      <c r="K50" s="130">
        <f>'NECESIDADES TRIMESTRALES'!G48</f>
        <v>50</v>
      </c>
      <c r="L50" s="129">
        <f t="shared" si="0"/>
        <v>14950</v>
      </c>
      <c r="M50" s="129"/>
    </row>
    <row r="51" spans="1:13" ht="18.75" customHeight="1" x14ac:dyDescent="0.2">
      <c r="A51" s="179">
        <v>40</v>
      </c>
      <c r="B51" s="202"/>
      <c r="C51" s="187" t="str">
        <f>'NECESIDADES TRIMESTRALES'!E49</f>
        <v>ESPEJOS BUCALES; PRESENTACION: ENVASE X 12 UN</v>
      </c>
      <c r="D51" s="133"/>
      <c r="E51" s="133"/>
      <c r="F51" s="133"/>
      <c r="G51" s="134"/>
      <c r="H51" s="184" t="s">
        <v>228</v>
      </c>
      <c r="I51" s="185" t="str">
        <f>'NECESIDADES TRIMESTRALES'!F49</f>
        <v>CAJA</v>
      </c>
      <c r="J51" s="186">
        <f>'NECESIDADES TRIMESTRALES'!H49</f>
        <v>1600</v>
      </c>
      <c r="K51" s="130">
        <f>'NECESIDADES TRIMESTRALES'!G49</f>
        <v>500</v>
      </c>
      <c r="L51" s="129">
        <f t="shared" si="0"/>
        <v>800000</v>
      </c>
      <c r="M51" s="129"/>
    </row>
    <row r="52" spans="1:13" ht="18.75" customHeight="1" x14ac:dyDescent="0.2">
      <c r="A52" s="179">
        <v>41</v>
      </c>
      <c r="B52" s="202"/>
      <c r="C52" s="187" t="str">
        <f>'NECESIDADES TRIMESTRALES'!E50</f>
        <v>ESPONJAS; MATERIAL: POLIESTER, USO: ODONTOLOGICO, ADITAMENTO: CON, FORMA: REDONDA, LARGO X ANCHO X ESP: DIAMETRO 4 Cm, PRESENTACION: UNIDAD</v>
      </c>
      <c r="D52" s="133"/>
      <c r="E52" s="133"/>
      <c r="F52" s="133"/>
      <c r="G52" s="134"/>
      <c r="H52" s="184" t="s">
        <v>228</v>
      </c>
      <c r="I52" s="185" t="str">
        <f>'NECESIDADES TRIMESTRALES'!F50</f>
        <v>UNIDAD</v>
      </c>
      <c r="J52" s="186">
        <f>'NECESIDADES TRIMESTRALES'!H50</f>
        <v>26</v>
      </c>
      <c r="K52" s="130">
        <f>'NECESIDADES TRIMESTRALES'!G50</f>
        <v>50</v>
      </c>
      <c r="L52" s="129">
        <f t="shared" si="0"/>
        <v>1300</v>
      </c>
      <c r="M52" s="129"/>
    </row>
    <row r="53" spans="1:13" ht="18.75" customHeight="1" x14ac:dyDescent="0.2">
      <c r="A53" s="179">
        <v>42</v>
      </c>
      <c r="B53" s="202"/>
      <c r="C53" s="187" t="str">
        <f>'NECESIDADES TRIMESTRALES'!E51</f>
        <v>EXPLORADOR CURVO P/EXAMEN BUCA; DESCARTABLE: NO, PRESENTACION: UNIDAD</v>
      </c>
      <c r="D53" s="133"/>
      <c r="E53" s="133"/>
      <c r="F53" s="133"/>
      <c r="G53" s="134"/>
      <c r="H53" s="184" t="s">
        <v>228</v>
      </c>
      <c r="I53" s="185" t="str">
        <f>'NECESIDADES TRIMESTRALES'!F51</f>
        <v>UNIDAD</v>
      </c>
      <c r="J53" s="186">
        <f>'NECESIDADES TRIMESTRALES'!H51</f>
        <v>202.5</v>
      </c>
      <c r="K53" s="130">
        <f>'NECESIDADES TRIMESTRALES'!G51</f>
        <v>100</v>
      </c>
      <c r="L53" s="129">
        <f t="shared" si="0"/>
        <v>20250</v>
      </c>
      <c r="M53" s="129"/>
    </row>
    <row r="54" spans="1:13" ht="18.75" customHeight="1" x14ac:dyDescent="0.2">
      <c r="A54" s="179">
        <v>43</v>
      </c>
      <c r="B54" s="202"/>
      <c r="C54" s="187" t="str">
        <f>'NECESIDADES TRIMESTRALES'!E52</f>
        <v>FIJADORES P/RADIOLOGIA; SENSIBILIDAD: AL VERDE, PROCESO: MANUAL, PROCESO DE UTILIZACION: MANUAL, PRESENTACION: BOTELLA, CAPACIDAD: 480 mL</v>
      </c>
      <c r="D54" s="133"/>
      <c r="E54" s="133"/>
      <c r="F54" s="133"/>
      <c r="G54" s="134"/>
      <c r="H54" s="184" t="s">
        <v>228</v>
      </c>
      <c r="I54" s="185" t="str">
        <f>'NECESIDADES TRIMESTRALES'!F52</f>
        <v>BOTELLA</v>
      </c>
      <c r="J54" s="186">
        <f>'NECESIDADES TRIMESTRALES'!H52</f>
        <v>540</v>
      </c>
      <c r="K54" s="130">
        <f>'NECESIDADES TRIMESTRALES'!G52</f>
        <v>120</v>
      </c>
      <c r="L54" s="129">
        <f t="shared" si="0"/>
        <v>64800</v>
      </c>
      <c r="M54" s="129"/>
    </row>
    <row r="55" spans="1:13" ht="18.75" customHeight="1" x14ac:dyDescent="0.2">
      <c r="A55" s="179">
        <v>44</v>
      </c>
      <c r="B55" s="202"/>
      <c r="C55" s="187" t="str">
        <f>'NECESIDADES TRIMESTRALES'!E53</f>
        <v>FRESAS P/ODONTOLOGIA; MATERIAL: ACERO INOXIDABLE, Nº: 6991, LARGO: CHICA, TIPO: TRONCOCONICA, NUMERO: 6991</v>
      </c>
      <c r="D55" s="133"/>
      <c r="E55" s="133"/>
      <c r="F55" s="133"/>
      <c r="G55" s="134"/>
      <c r="H55" s="184" t="s">
        <v>228</v>
      </c>
      <c r="I55" s="185" t="str">
        <f>'NECESIDADES TRIMESTRALES'!F53</f>
        <v>UNIDAD</v>
      </c>
      <c r="J55" s="186">
        <f>'NECESIDADES TRIMESTRALES'!H53</f>
        <v>234.48</v>
      </c>
      <c r="K55" s="130">
        <f>'NECESIDADES TRIMESTRALES'!G53</f>
        <v>20</v>
      </c>
      <c r="L55" s="129">
        <f t="shared" si="0"/>
        <v>4689.5999999999995</v>
      </c>
      <c r="M55" s="129"/>
    </row>
    <row r="56" spans="1:13" ht="18.75" customHeight="1" x14ac:dyDescent="0.2">
      <c r="A56" s="179">
        <v>45</v>
      </c>
      <c r="B56" s="202"/>
      <c r="C56" s="187" t="str">
        <f>'NECESIDADES TRIMESTRALES'!E54</f>
        <v>FRESAS P/ODONTOLOGIA; MATERIAL: ACERO INOXIDABLE, Nº: 701L, LARGO: MEDIANA, TIPO: TRONCOCONICA, NUMERO: 701L</v>
      </c>
      <c r="D56" s="133"/>
      <c r="E56" s="133"/>
      <c r="F56" s="133"/>
      <c r="G56" s="134"/>
      <c r="H56" s="184" t="s">
        <v>228</v>
      </c>
      <c r="I56" s="185" t="str">
        <f>'NECESIDADES TRIMESTRALES'!F54</f>
        <v>UNIDAD</v>
      </c>
      <c r="J56" s="186">
        <f>'NECESIDADES TRIMESTRALES'!H54</f>
        <v>234.48</v>
      </c>
      <c r="K56" s="130">
        <f>'NECESIDADES TRIMESTRALES'!G54</f>
        <v>20</v>
      </c>
      <c r="L56" s="129">
        <f t="shared" si="0"/>
        <v>4689.5999999999995</v>
      </c>
      <c r="M56" s="129"/>
    </row>
    <row r="57" spans="1:13" ht="18.75" customHeight="1" x14ac:dyDescent="0.2">
      <c r="A57" s="179">
        <v>46</v>
      </c>
      <c r="B57" s="202"/>
      <c r="C57" s="187" t="str">
        <f>'NECESIDADES TRIMESTRALES'!E55</f>
        <v>FRESAS P/ODONTOLOGIA; MATERIAL: ACERO INOXIDABLE, Nº: 703, LARGO: GRANDE, TIPO: TRONCOCONICA, NUMERO: 703</v>
      </c>
      <c r="D57" s="133"/>
      <c r="E57" s="133"/>
      <c r="F57" s="133"/>
      <c r="G57" s="134"/>
      <c r="H57" s="184" t="s">
        <v>228</v>
      </c>
      <c r="I57" s="185" t="str">
        <f>'NECESIDADES TRIMESTRALES'!F55</f>
        <v>UNIDAD</v>
      </c>
      <c r="J57" s="186">
        <f>'NECESIDADES TRIMESTRALES'!H55</f>
        <v>450</v>
      </c>
      <c r="K57" s="130">
        <f>'NECESIDADES TRIMESTRALES'!G55</f>
        <v>20</v>
      </c>
      <c r="L57" s="129">
        <f t="shared" si="0"/>
        <v>9000</v>
      </c>
      <c r="M57" s="129"/>
    </row>
    <row r="58" spans="1:13" ht="18.75" customHeight="1" x14ac:dyDescent="0.2">
      <c r="A58" s="179">
        <v>47</v>
      </c>
      <c r="B58" s="202"/>
      <c r="C58" s="187" t="str">
        <f>'NECESIDADES TRIMESTRALES'!E56</f>
        <v>FRESAS P/ODONTOLOGIA; MATERIAL: ACERO INOXIDABLE, NUMERO: 1, LARGO: 32 mm, TIPO: GATES</v>
      </c>
      <c r="D58" s="133"/>
      <c r="E58" s="133"/>
      <c r="F58" s="133"/>
      <c r="G58" s="134"/>
      <c r="H58" s="184" t="s">
        <v>228</v>
      </c>
      <c r="I58" s="185" t="str">
        <f>'NECESIDADES TRIMESTRALES'!F56</f>
        <v>UNIDAD</v>
      </c>
      <c r="J58" s="186">
        <f>'NECESIDADES TRIMESTRALES'!H56</f>
        <v>373.2</v>
      </c>
      <c r="K58" s="130">
        <f>'NECESIDADES TRIMESTRALES'!G56</f>
        <v>20</v>
      </c>
      <c r="L58" s="129">
        <f t="shared" si="0"/>
        <v>7464</v>
      </c>
      <c r="M58" s="129"/>
    </row>
    <row r="59" spans="1:13" ht="18.75" customHeight="1" x14ac:dyDescent="0.2">
      <c r="A59" s="179">
        <v>48</v>
      </c>
      <c r="B59" s="202"/>
      <c r="C59" s="187" t="str">
        <f>'NECESIDADES TRIMESTRALES'!E57</f>
        <v>FRESAS P/ODONTOLOGIA; MATERIAL: ACERO INOXIDABLE, NUMERO: 1, LARGO: 32 mm, TIPO: PEESO</v>
      </c>
      <c r="D59" s="133"/>
      <c r="E59" s="133"/>
      <c r="F59" s="133"/>
      <c r="G59" s="134"/>
      <c r="H59" s="184" t="s">
        <v>228</v>
      </c>
      <c r="I59" s="185" t="str">
        <f>'NECESIDADES TRIMESTRALES'!F57</f>
        <v>UNIDAD</v>
      </c>
      <c r="J59" s="186">
        <f>'NECESIDADES TRIMESTRALES'!H57</f>
        <v>373.2</v>
      </c>
      <c r="K59" s="130">
        <f>'NECESIDADES TRIMESTRALES'!G57</f>
        <v>20</v>
      </c>
      <c r="L59" s="129">
        <f t="shared" si="0"/>
        <v>7464</v>
      </c>
      <c r="M59" s="129"/>
    </row>
    <row r="60" spans="1:13" ht="18.75" customHeight="1" x14ac:dyDescent="0.2">
      <c r="A60" s="179">
        <v>49</v>
      </c>
      <c r="B60" s="202"/>
      <c r="C60" s="187" t="str">
        <f>'NECESIDADES TRIMESTRALES'!E58</f>
        <v>FRESAS P/ODONTOLOGIA; MATERIAL: ACERO INOXIDABLE, NUMERO: 2, LARGO: 32 mm, TIPO: GATES</v>
      </c>
      <c r="D60" s="133"/>
      <c r="E60" s="133"/>
      <c r="F60" s="133"/>
      <c r="G60" s="134"/>
      <c r="H60" s="184" t="s">
        <v>228</v>
      </c>
      <c r="I60" s="185" t="str">
        <f>'NECESIDADES TRIMESTRALES'!F58</f>
        <v>UNIDAD</v>
      </c>
      <c r="J60" s="186">
        <f>'NECESIDADES TRIMESTRALES'!H58</f>
        <v>373.2</v>
      </c>
      <c r="K60" s="130">
        <f>'NECESIDADES TRIMESTRALES'!G58</f>
        <v>20</v>
      </c>
      <c r="L60" s="129">
        <f t="shared" si="0"/>
        <v>7464</v>
      </c>
      <c r="M60" s="129"/>
    </row>
    <row r="61" spans="1:13" ht="18.75" customHeight="1" x14ac:dyDescent="0.2">
      <c r="A61" s="179">
        <v>50</v>
      </c>
      <c r="B61" s="202"/>
      <c r="C61" s="187" t="str">
        <f>'NECESIDADES TRIMESTRALES'!E59</f>
        <v>FRESAS P/ODONTOLOGIA; MATERIAL: ACERO INOXIDABLE, NUMERO: 2, LARGO: 32 mm, TIPO: PEESO</v>
      </c>
      <c r="D61" s="133"/>
      <c r="E61" s="133"/>
      <c r="F61" s="133"/>
      <c r="G61" s="134"/>
      <c r="H61" s="184" t="s">
        <v>228</v>
      </c>
      <c r="I61" s="185" t="str">
        <f>'NECESIDADES TRIMESTRALES'!F59</f>
        <v>UNIDAD</v>
      </c>
      <c r="J61" s="186">
        <f>'NECESIDADES TRIMESTRALES'!H59</f>
        <v>373.2</v>
      </c>
      <c r="K61" s="130">
        <f>'NECESIDADES TRIMESTRALES'!G59</f>
        <v>20</v>
      </c>
      <c r="L61" s="129">
        <f t="shared" si="0"/>
        <v>7464</v>
      </c>
      <c r="M61" s="129"/>
    </row>
    <row r="62" spans="1:13" ht="18.75" customHeight="1" x14ac:dyDescent="0.2">
      <c r="A62" s="179">
        <v>51</v>
      </c>
      <c r="B62" s="202"/>
      <c r="C62" s="187" t="str">
        <f>'NECESIDADES TRIMESTRALES'!E60</f>
        <v>FRESAS P/ODONTOLOGIA; MATERIAL: ACERO INOXIDABLE, NUMERO: 3, LARGO: 32 mm, TIPO: GATES</v>
      </c>
      <c r="D62" s="133"/>
      <c r="E62" s="133"/>
      <c r="F62" s="133"/>
      <c r="G62" s="134"/>
      <c r="H62" s="184" t="s">
        <v>228</v>
      </c>
      <c r="I62" s="185" t="str">
        <f>'NECESIDADES TRIMESTRALES'!F60</f>
        <v>UNIDAD</v>
      </c>
      <c r="J62" s="186">
        <f>'NECESIDADES TRIMESTRALES'!H60</f>
        <v>373.2</v>
      </c>
      <c r="K62" s="130">
        <f>'NECESIDADES TRIMESTRALES'!G60</f>
        <v>20</v>
      </c>
      <c r="L62" s="129">
        <f t="shared" si="0"/>
        <v>7464</v>
      </c>
      <c r="M62" s="129"/>
    </row>
    <row r="63" spans="1:13" ht="18.75" customHeight="1" x14ac:dyDescent="0.2">
      <c r="A63" s="179">
        <v>52</v>
      </c>
      <c r="B63" s="202"/>
      <c r="C63" s="187" t="str">
        <f>'NECESIDADES TRIMESTRALES'!E61</f>
        <v>FRESAS P/ODONTOLOGIA; MATERIAL: ACERO INOXIDABLE, NUMERO: 3, LARGO: 32 mm, TIPO: PEESO</v>
      </c>
      <c r="D63" s="133"/>
      <c r="E63" s="133"/>
      <c r="F63" s="133"/>
      <c r="G63" s="134"/>
      <c r="H63" s="184" t="s">
        <v>228</v>
      </c>
      <c r="I63" s="185" t="str">
        <f>'NECESIDADES TRIMESTRALES'!F61</f>
        <v>UNIDAD</v>
      </c>
      <c r="J63" s="186">
        <f>'NECESIDADES TRIMESTRALES'!H61</f>
        <v>373.2</v>
      </c>
      <c r="K63" s="130">
        <f>'NECESIDADES TRIMESTRALES'!G61</f>
        <v>20</v>
      </c>
      <c r="L63" s="129">
        <f t="shared" si="0"/>
        <v>7464</v>
      </c>
      <c r="M63" s="129"/>
    </row>
    <row r="64" spans="1:13" ht="18.75" customHeight="1" x14ac:dyDescent="0.2">
      <c r="A64" s="179">
        <v>53</v>
      </c>
      <c r="B64" s="202"/>
      <c r="C64" s="187" t="str">
        <f>'NECESIDADES TRIMESTRALES'!E62</f>
        <v>FRESAS P/ODONTOLOGIA; MATERIAL: ACERO INOXIDABLE, NUMERO: 4, LARGO: 22 mm, TIPO: CIRUGIA P/EXTRACCIONES</v>
      </c>
      <c r="D64" s="133"/>
      <c r="E64" s="133"/>
      <c r="F64" s="133"/>
      <c r="G64" s="134"/>
      <c r="H64" s="184" t="s">
        <v>228</v>
      </c>
      <c r="I64" s="185" t="str">
        <f>'NECESIDADES TRIMESTRALES'!F62</f>
        <v>UNIDAD</v>
      </c>
      <c r="J64" s="186">
        <f>'NECESIDADES TRIMESTRALES'!H62</f>
        <v>425.85</v>
      </c>
      <c r="K64" s="130">
        <f>'NECESIDADES TRIMESTRALES'!G62</f>
        <v>20</v>
      </c>
      <c r="L64" s="129">
        <f t="shared" si="0"/>
        <v>8517</v>
      </c>
      <c r="M64" s="129"/>
    </row>
    <row r="65" spans="1:13" ht="18.75" customHeight="1" x14ac:dyDescent="0.2">
      <c r="A65" s="179">
        <v>54</v>
      </c>
      <c r="B65" s="202"/>
      <c r="C65" s="187" t="str">
        <f>'NECESIDADES TRIMESTRALES'!E63</f>
        <v>FRESAS P/ODONTOLOGIA; MATERIAL: ACERO INOXIDABLE, NUMERO: 4, LARGO: 32 mm, TIPO: GATES</v>
      </c>
      <c r="D65" s="133"/>
      <c r="E65" s="133"/>
      <c r="F65" s="133"/>
      <c r="G65" s="134"/>
      <c r="H65" s="184" t="s">
        <v>228</v>
      </c>
      <c r="I65" s="185" t="str">
        <f>'NECESIDADES TRIMESTRALES'!F63</f>
        <v>UNIDAD</v>
      </c>
      <c r="J65" s="186">
        <f>'NECESIDADES TRIMESTRALES'!H63</f>
        <v>373.2</v>
      </c>
      <c r="K65" s="130">
        <f>'NECESIDADES TRIMESTRALES'!G63</f>
        <v>20</v>
      </c>
      <c r="L65" s="129">
        <f t="shared" si="0"/>
        <v>7464</v>
      </c>
      <c r="M65" s="129"/>
    </row>
    <row r="66" spans="1:13" ht="18.75" customHeight="1" x14ac:dyDescent="0.2">
      <c r="A66" s="179">
        <v>55</v>
      </c>
      <c r="B66" s="202"/>
      <c r="C66" s="187" t="str">
        <f>'NECESIDADES TRIMESTRALES'!E64</f>
        <v>FRESAS P/ODONTOLOGIA; MATERIAL: ACERO INOXIDABLE, NUMERO: 6, LARGO: 25 mm, TIPO: CIRUGIA FG MD</v>
      </c>
      <c r="D66" s="133"/>
      <c r="E66" s="133"/>
      <c r="F66" s="133"/>
      <c r="G66" s="134"/>
      <c r="H66" s="184" t="s">
        <v>228</v>
      </c>
      <c r="I66" s="185" t="str">
        <f>'NECESIDADES TRIMESTRALES'!F64</f>
        <v>UNIDAD</v>
      </c>
      <c r="J66" s="186">
        <f>'NECESIDADES TRIMESTRALES'!H64</f>
        <v>425.85</v>
      </c>
      <c r="K66" s="130">
        <f>'NECESIDADES TRIMESTRALES'!G64</f>
        <v>20</v>
      </c>
      <c r="L66" s="129">
        <f t="shared" si="0"/>
        <v>8517</v>
      </c>
      <c r="M66" s="129"/>
    </row>
    <row r="67" spans="1:13" ht="18.75" customHeight="1" x14ac:dyDescent="0.2">
      <c r="A67" s="179">
        <v>56</v>
      </c>
      <c r="B67" s="202"/>
      <c r="C67" s="187" t="str">
        <f>'NECESIDADES TRIMESTRALES'!E65</f>
        <v>FRESAS P/ODONTOLOGIA; MATERIAL: ACERO INOXIDABLE, NUMERO: SIN, LARGO: LARGA, TIPO: PIMPOLLA P/TURBINA</v>
      </c>
      <c r="D67" s="133"/>
      <c r="E67" s="133"/>
      <c r="F67" s="133"/>
      <c r="G67" s="134"/>
      <c r="H67" s="184" t="s">
        <v>228</v>
      </c>
      <c r="I67" s="185" t="str">
        <f>'NECESIDADES TRIMESTRALES'!F65</f>
        <v>UNIDAD</v>
      </c>
      <c r="J67" s="186">
        <f>'NECESIDADES TRIMESTRALES'!H65</f>
        <v>567.02</v>
      </c>
      <c r="K67" s="130">
        <f>'NECESIDADES TRIMESTRALES'!G65</f>
        <v>20</v>
      </c>
      <c r="L67" s="129">
        <f t="shared" si="0"/>
        <v>11340.4</v>
      </c>
      <c r="M67" s="129"/>
    </row>
    <row r="68" spans="1:13" ht="18.75" customHeight="1" x14ac:dyDescent="0.2">
      <c r="A68" s="179">
        <v>57</v>
      </c>
      <c r="B68" s="202"/>
      <c r="C68" s="187" t="str">
        <f>'NECESIDADES TRIMESTRALES'!E66</f>
        <v>FRESAS P/ODONTOLOGIA; MATERIAL: CARBURO DE TUNGSTENO, NUMERO: 1, LARGO: STANDAR, TIPO: REDONDA CONTRAANGULO</v>
      </c>
      <c r="D68" s="133"/>
      <c r="E68" s="133"/>
      <c r="F68" s="133"/>
      <c r="G68" s="134"/>
      <c r="H68" s="184" t="s">
        <v>228</v>
      </c>
      <c r="I68" s="185" t="str">
        <f>'NECESIDADES TRIMESTRALES'!F66</f>
        <v>UNIDAD</v>
      </c>
      <c r="J68" s="186">
        <f>'NECESIDADES TRIMESTRALES'!H66</f>
        <v>234.48</v>
      </c>
      <c r="K68" s="130">
        <f>'NECESIDADES TRIMESTRALES'!G66</f>
        <v>20</v>
      </c>
      <c r="L68" s="129">
        <f t="shared" si="0"/>
        <v>4689.5999999999995</v>
      </c>
      <c r="M68" s="129"/>
    </row>
    <row r="69" spans="1:13" ht="18.75" customHeight="1" x14ac:dyDescent="0.2">
      <c r="A69" s="179">
        <v>58</v>
      </c>
      <c r="B69" s="202"/>
      <c r="C69" s="187" t="str">
        <f>'NECESIDADES TRIMESTRALES'!E67</f>
        <v>FRESAS P/ODONTOLOGIA; MATERIAL: CARBURO DE TUNGSTENO, NUMERO: 2, LARGO: STANDAR, TIPO: REDONDA CONTRAANGULO</v>
      </c>
      <c r="D69" s="133"/>
      <c r="E69" s="133"/>
      <c r="F69" s="133"/>
      <c r="G69" s="134"/>
      <c r="H69" s="184" t="s">
        <v>228</v>
      </c>
      <c r="I69" s="185" t="str">
        <f>'NECESIDADES TRIMESTRALES'!F67</f>
        <v>UNIDAD</v>
      </c>
      <c r="J69" s="186">
        <f>'NECESIDADES TRIMESTRALES'!H67</f>
        <v>234.48</v>
      </c>
      <c r="K69" s="130">
        <f>'NECESIDADES TRIMESTRALES'!G67</f>
        <v>20</v>
      </c>
      <c r="L69" s="129">
        <f t="shared" si="0"/>
        <v>4689.5999999999995</v>
      </c>
      <c r="M69" s="129"/>
    </row>
    <row r="70" spans="1:13" ht="18.75" customHeight="1" x14ac:dyDescent="0.2">
      <c r="A70" s="179">
        <v>59</v>
      </c>
      <c r="B70" s="202"/>
      <c r="C70" s="187" t="str">
        <f>'NECESIDADES TRIMESTRALES'!E68</f>
        <v>FRESAS P/ODONTOLOGIA; MATERIAL: CARBURO DE TUNGSTENO, NUMERO: 3, LARGO: STANDAR, TIPO: REDONDA CONTRAANGULO</v>
      </c>
      <c r="D70" s="133"/>
      <c r="E70" s="133"/>
      <c r="F70" s="133"/>
      <c r="G70" s="134"/>
      <c r="H70" s="184" t="s">
        <v>228</v>
      </c>
      <c r="I70" s="185" t="str">
        <f>'NECESIDADES TRIMESTRALES'!F68</f>
        <v>UNIDAD</v>
      </c>
      <c r="J70" s="186">
        <f>'NECESIDADES TRIMESTRALES'!H68</f>
        <v>234.48</v>
      </c>
      <c r="K70" s="130">
        <f>'NECESIDADES TRIMESTRALES'!G68</f>
        <v>20</v>
      </c>
      <c r="L70" s="129">
        <f t="shared" si="0"/>
        <v>4689.5999999999995</v>
      </c>
      <c r="M70" s="129"/>
    </row>
    <row r="71" spans="1:13" ht="18.75" customHeight="1" x14ac:dyDescent="0.2">
      <c r="A71" s="179">
        <v>60</v>
      </c>
      <c r="B71" s="202"/>
      <c r="C71" s="187" t="str">
        <f>'NECESIDADES TRIMESTRALES'!E69</f>
        <v>FRESAS P/ODONTOLOGIA; MATERIAL: CARBURO DE TUNGSTENO, NUMERO: 4, LARGO: STANDAR, TIPO: REDONDA CONTRAANGULO</v>
      </c>
      <c r="D71" s="133"/>
      <c r="E71" s="133"/>
      <c r="F71" s="133"/>
      <c r="G71" s="134"/>
      <c r="H71" s="184" t="s">
        <v>228</v>
      </c>
      <c r="I71" s="185" t="str">
        <f>'NECESIDADES TRIMESTRALES'!F69</f>
        <v>UNIDAD</v>
      </c>
      <c r="J71" s="186">
        <f>'NECESIDADES TRIMESTRALES'!H69</f>
        <v>234.48</v>
      </c>
      <c r="K71" s="130">
        <f>'NECESIDADES TRIMESTRALES'!G69</f>
        <v>20</v>
      </c>
      <c r="L71" s="129">
        <f t="shared" si="0"/>
        <v>4689.5999999999995</v>
      </c>
      <c r="M71" s="129"/>
    </row>
    <row r="72" spans="1:13" ht="18.75" customHeight="1" x14ac:dyDescent="0.2">
      <c r="A72" s="179">
        <v>61</v>
      </c>
      <c r="B72" s="202"/>
      <c r="C72" s="187" t="str">
        <f>'NECESIDADES TRIMESTRALES'!E70</f>
        <v>FRESAS P/ODONTOLOGIA; MATERIAL: CARBURO DE TUNGSTENO, NUMERO: 5, LARGO: STANDAR, TIPO: REDONDA CONTRAANGULO</v>
      </c>
      <c r="D72" s="133"/>
      <c r="E72" s="133"/>
      <c r="F72" s="133"/>
      <c r="G72" s="134"/>
      <c r="H72" s="184" t="s">
        <v>228</v>
      </c>
      <c r="I72" s="185" t="str">
        <f>'NECESIDADES TRIMESTRALES'!F70</f>
        <v>UNIDAD</v>
      </c>
      <c r="J72" s="186">
        <f>'NECESIDADES TRIMESTRALES'!H70</f>
        <v>234.48</v>
      </c>
      <c r="K72" s="130">
        <f>'NECESIDADES TRIMESTRALES'!G70</f>
        <v>20</v>
      </c>
      <c r="L72" s="129">
        <f t="shared" si="0"/>
        <v>4689.5999999999995</v>
      </c>
      <c r="M72" s="129"/>
    </row>
    <row r="73" spans="1:13" ht="18.75" customHeight="1" x14ac:dyDescent="0.2">
      <c r="A73" s="179">
        <v>62</v>
      </c>
      <c r="B73" s="202"/>
      <c r="C73" s="187" t="str">
        <f>'NECESIDADES TRIMESTRALES'!E71</f>
        <v>FRESAS P/ODONTOLOGIA; MATERIAL: CARBURO DE TUNGSTENO, NUMERO: 6, LARGO: STANDAR, TIPO: REDONDA CONTRAANGULO</v>
      </c>
      <c r="D73" s="133"/>
      <c r="E73" s="133"/>
      <c r="F73" s="133"/>
      <c r="G73" s="134"/>
      <c r="H73" s="184" t="s">
        <v>228</v>
      </c>
      <c r="I73" s="185" t="str">
        <f>'NECESIDADES TRIMESTRALES'!F71</f>
        <v>UNIDAD</v>
      </c>
      <c r="J73" s="186">
        <f>'NECESIDADES TRIMESTRALES'!H71</f>
        <v>234.48</v>
      </c>
      <c r="K73" s="130">
        <f>'NECESIDADES TRIMESTRALES'!G71</f>
        <v>20</v>
      </c>
      <c r="L73" s="129">
        <f t="shared" si="0"/>
        <v>4689.5999999999995</v>
      </c>
      <c r="M73" s="129"/>
    </row>
    <row r="74" spans="1:13" ht="18.75" customHeight="1" x14ac:dyDescent="0.2">
      <c r="A74" s="179">
        <v>63</v>
      </c>
      <c r="B74" s="202"/>
      <c r="C74" s="187" t="str">
        <f>'NECESIDADES TRIMESTRALES'!E72</f>
        <v>FRESAS P/ODONTOLOGIA; MATERIAL: CARBURO DE TUNGSTENO, NUMERO: 7, LARGO: STANDAR, TIPO: REDONDA CONTRAANGULO</v>
      </c>
      <c r="D74" s="133"/>
      <c r="E74" s="133"/>
      <c r="F74" s="133"/>
      <c r="G74" s="134"/>
      <c r="H74" s="184" t="s">
        <v>228</v>
      </c>
      <c r="I74" s="185" t="str">
        <f>'NECESIDADES TRIMESTRALES'!F72</f>
        <v>UNIDAD</v>
      </c>
      <c r="J74" s="186">
        <f>'NECESIDADES TRIMESTRALES'!H72</f>
        <v>234.48</v>
      </c>
      <c r="K74" s="130">
        <f>'NECESIDADES TRIMESTRALES'!G72</f>
        <v>20</v>
      </c>
      <c r="L74" s="129">
        <f t="shared" si="0"/>
        <v>4689.5999999999995</v>
      </c>
      <c r="M74" s="129"/>
    </row>
    <row r="75" spans="1:13" ht="18.75" customHeight="1" x14ac:dyDescent="0.2">
      <c r="A75" s="179">
        <v>64</v>
      </c>
      <c r="B75" s="202"/>
      <c r="C75" s="187" t="str">
        <f>'NECESIDADES TRIMESTRALES'!E73</f>
        <v>FRESAS P/ODONTOLOGIA; MATERIAL: CARBURO DE TUNGSTENO, NUMERO: 8, LARGO: STANDAR, TIPO: REDONDA CONTRAANGULO</v>
      </c>
      <c r="D75" s="133"/>
      <c r="E75" s="133"/>
      <c r="F75" s="133"/>
      <c r="G75" s="134"/>
      <c r="H75" s="184" t="s">
        <v>228</v>
      </c>
      <c r="I75" s="185" t="str">
        <f>'NECESIDADES TRIMESTRALES'!F73</f>
        <v>UNIDAD</v>
      </c>
      <c r="J75" s="186">
        <f>'NECESIDADES TRIMESTRALES'!H73</f>
        <v>234.48</v>
      </c>
      <c r="K75" s="130">
        <f>'NECESIDADES TRIMESTRALES'!G73</f>
        <v>20</v>
      </c>
      <c r="L75" s="129">
        <f t="shared" si="0"/>
        <v>4689.5999999999995</v>
      </c>
      <c r="M75" s="129"/>
    </row>
    <row r="76" spans="1:13" ht="18.75" customHeight="1" x14ac:dyDescent="0.2">
      <c r="A76" s="179">
        <v>65</v>
      </c>
      <c r="B76" s="202"/>
      <c r="C76" s="187" t="str">
        <f>'NECESIDADES TRIMESTRALES'!E74</f>
        <v>FRESAS P/ODONTOLOGIA; MATERIAL: CARBURO DE TUNGSTENO, NUMERO: 801, LARGO: 19 mm, TIPO: REDONDA MEDIANA</v>
      </c>
      <c r="D76" s="133"/>
      <c r="E76" s="133"/>
      <c r="F76" s="133"/>
      <c r="G76" s="134"/>
      <c r="H76" s="184" t="s">
        <v>228</v>
      </c>
      <c r="I76" s="185" t="str">
        <f>'NECESIDADES TRIMESTRALES'!F74</f>
        <v>UNIDAD</v>
      </c>
      <c r="J76" s="186">
        <f>'NECESIDADES TRIMESTRALES'!H74</f>
        <v>234.48</v>
      </c>
      <c r="K76" s="130">
        <f>'NECESIDADES TRIMESTRALES'!G74</f>
        <v>20</v>
      </c>
      <c r="L76" s="129">
        <f t="shared" si="0"/>
        <v>4689.5999999999995</v>
      </c>
      <c r="M76" s="129"/>
    </row>
    <row r="77" spans="1:13" ht="18.75" customHeight="1" x14ac:dyDescent="0.2">
      <c r="A77" s="179">
        <v>66</v>
      </c>
      <c r="B77" s="202"/>
      <c r="C77" s="187" t="str">
        <f>'NECESIDADES TRIMESTRALES'!E75</f>
        <v>FRESAS P/ODONTOLOGIA; MATERIAL: CARBURO DE TUNGSTENO, NUMERO: FG 2-1-331, LARGO: 19 mm, TIPO: CILINDRICA</v>
      </c>
      <c r="D77" s="133"/>
      <c r="E77" s="133"/>
      <c r="F77" s="133"/>
      <c r="G77" s="134"/>
      <c r="H77" s="184" t="s">
        <v>228</v>
      </c>
      <c r="I77" s="185" t="str">
        <f>'NECESIDADES TRIMESTRALES'!F75</f>
        <v>UNIDAD</v>
      </c>
      <c r="J77" s="186">
        <f>'NECESIDADES TRIMESTRALES'!H75</f>
        <v>234.48</v>
      </c>
      <c r="K77" s="130">
        <f>'NECESIDADES TRIMESTRALES'!G75</f>
        <v>20</v>
      </c>
      <c r="L77" s="129">
        <f t="shared" ref="L77:L140" si="2">+J77*K77</f>
        <v>4689.5999999999995</v>
      </c>
      <c r="M77" s="129"/>
    </row>
    <row r="78" spans="1:13" ht="18.75" customHeight="1" x14ac:dyDescent="0.2">
      <c r="A78" s="179">
        <v>67</v>
      </c>
      <c r="B78" s="202"/>
      <c r="C78" s="187" t="str">
        <f>'NECESIDADES TRIMESTRALES'!E76</f>
        <v>FRESAS P/ODONTOLOGIA; MATERIAL: CARBURO DE TUNGSTENO, NUMERO: SIN, LARGO: EXTRA LARGA, TIPO: CILINDRICA FG P/ CIRUGIA</v>
      </c>
      <c r="D78" s="133"/>
      <c r="E78" s="133"/>
      <c r="F78" s="133"/>
      <c r="G78" s="134"/>
      <c r="H78" s="184" t="s">
        <v>228</v>
      </c>
      <c r="I78" s="185" t="str">
        <f>'NECESIDADES TRIMESTRALES'!F76</f>
        <v>UNIDAD</v>
      </c>
      <c r="J78" s="186">
        <f>'NECESIDADES TRIMESTRALES'!H76</f>
        <v>425.85</v>
      </c>
      <c r="K78" s="130">
        <f>'NECESIDADES TRIMESTRALES'!G76</f>
        <v>20</v>
      </c>
      <c r="L78" s="129">
        <f t="shared" si="2"/>
        <v>8517</v>
      </c>
      <c r="M78" s="129"/>
    </row>
    <row r="79" spans="1:13" ht="18.75" customHeight="1" x14ac:dyDescent="0.2">
      <c r="A79" s="179">
        <v>68</v>
      </c>
      <c r="B79" s="202"/>
      <c r="C79" s="187" t="str">
        <f>'NECESIDADES TRIMESTRALES'!E77</f>
        <v>FRESAS P/ODONTOLOGIA; MATERIAL: CARBURO TUNGSTENO, NUMERO: 8, LARGO: EXTRA LARGA, TIPO: REDONDA CONTRAANGULO P/CIRUGIA</v>
      </c>
      <c r="D79" s="133"/>
      <c r="E79" s="133"/>
      <c r="F79" s="133"/>
      <c r="G79" s="134"/>
      <c r="H79" s="184" t="s">
        <v>228</v>
      </c>
      <c r="I79" s="185" t="str">
        <f>'NECESIDADES TRIMESTRALES'!F77</f>
        <v>UNIDAD</v>
      </c>
      <c r="J79" s="186">
        <f>'NECESIDADES TRIMESTRALES'!H77</f>
        <v>425.85</v>
      </c>
      <c r="K79" s="130">
        <f>'NECESIDADES TRIMESTRALES'!G77</f>
        <v>20</v>
      </c>
      <c r="L79" s="129">
        <f t="shared" si="2"/>
        <v>8517</v>
      </c>
      <c r="M79" s="129"/>
    </row>
    <row r="80" spans="1:13" ht="18.75" customHeight="1" x14ac:dyDescent="0.2">
      <c r="A80" s="179">
        <v>69</v>
      </c>
      <c r="B80" s="202"/>
      <c r="C80" s="187" t="str">
        <f>'NECESIDADES TRIMESTRALES'!E78</f>
        <v>FRESAS P/ODONTOLOGIA; MATERIAL: CARBURO, NUMERO: 120 X 157, LARGO: EXTRA LARGA, TIPO: CILINDRICA</v>
      </c>
      <c r="D80" s="133"/>
      <c r="E80" s="133"/>
      <c r="F80" s="133"/>
      <c r="G80" s="134"/>
      <c r="H80" s="184" t="s">
        <v>228</v>
      </c>
      <c r="I80" s="185" t="str">
        <f>'NECESIDADES TRIMESTRALES'!F78</f>
        <v>UNIDAD</v>
      </c>
      <c r="J80" s="186">
        <f>'NECESIDADES TRIMESTRALES'!H78</f>
        <v>450</v>
      </c>
      <c r="K80" s="130">
        <f>'NECESIDADES TRIMESTRALES'!G78</f>
        <v>20</v>
      </c>
      <c r="L80" s="129">
        <f t="shared" si="2"/>
        <v>9000</v>
      </c>
      <c r="M80" s="129"/>
    </row>
    <row r="81" spans="1:13" ht="18.75" customHeight="1" x14ac:dyDescent="0.2">
      <c r="A81" s="179">
        <v>70</v>
      </c>
      <c r="B81" s="202"/>
      <c r="C81" s="187" t="str">
        <f>'NECESIDADES TRIMESTRALES'!E79</f>
        <v>FRESAS P/ODONTOLOGIA; MATERIAL: PIEDRA DE DIAMANTE, NUMERO: 1, LARGO: STANDAR, TIPO: REDONDA FG</v>
      </c>
      <c r="D81" s="133"/>
      <c r="E81" s="133"/>
      <c r="F81" s="133"/>
      <c r="G81" s="134"/>
      <c r="H81" s="184" t="s">
        <v>228</v>
      </c>
      <c r="I81" s="185" t="str">
        <f>'NECESIDADES TRIMESTRALES'!F79</f>
        <v>UNIDAD</v>
      </c>
      <c r="J81" s="186">
        <f>'NECESIDADES TRIMESTRALES'!H79</f>
        <v>225</v>
      </c>
      <c r="K81" s="130">
        <f>'NECESIDADES TRIMESTRALES'!G79</f>
        <v>20</v>
      </c>
      <c r="L81" s="129">
        <f t="shared" si="2"/>
        <v>4500</v>
      </c>
      <c r="M81" s="129"/>
    </row>
    <row r="82" spans="1:13" ht="18.75" customHeight="1" x14ac:dyDescent="0.2">
      <c r="A82" s="179">
        <v>71</v>
      </c>
      <c r="B82" s="202"/>
      <c r="C82" s="187" t="str">
        <f>'NECESIDADES TRIMESTRALES'!E80</f>
        <v>FRESAS P/ODONTOLOGIA; MATERIAL: PIEDRA DE DIAMANTE, NUMERO: 1/2, LARGO: STANDAR, TIPO: REDONDA FG</v>
      </c>
      <c r="D82" s="133"/>
      <c r="E82" s="133"/>
      <c r="F82" s="133"/>
      <c r="G82" s="134"/>
      <c r="H82" s="184" t="s">
        <v>228</v>
      </c>
      <c r="I82" s="185" t="str">
        <f>'NECESIDADES TRIMESTRALES'!F80</f>
        <v>UNIDAD</v>
      </c>
      <c r="J82" s="186">
        <f>'NECESIDADES TRIMESTRALES'!H80</f>
        <v>225</v>
      </c>
      <c r="K82" s="130">
        <f>'NECESIDADES TRIMESTRALES'!G80</f>
        <v>20</v>
      </c>
      <c r="L82" s="129">
        <f t="shared" si="2"/>
        <v>4500</v>
      </c>
      <c r="M82" s="129"/>
    </row>
    <row r="83" spans="1:13" ht="18.75" customHeight="1" x14ac:dyDescent="0.2">
      <c r="A83" s="179">
        <v>72</v>
      </c>
      <c r="B83" s="202"/>
      <c r="C83" s="187" t="str">
        <f>'NECESIDADES TRIMESTRALES'!E81</f>
        <v>FRESAS P/ODONTOLOGIA; MATERIAL: PIEDRA DE DIAMANTE, NUMERO: 1/4, LARGO: STANDAR, TIPO: REDONDA FG</v>
      </c>
      <c r="D83" s="133"/>
      <c r="E83" s="133"/>
      <c r="F83" s="133"/>
      <c r="G83" s="134"/>
      <c r="H83" s="184" t="s">
        <v>228</v>
      </c>
      <c r="I83" s="185" t="str">
        <f>'NECESIDADES TRIMESTRALES'!F81</f>
        <v>UNIDAD</v>
      </c>
      <c r="J83" s="186">
        <f>'NECESIDADES TRIMESTRALES'!H81</f>
        <v>225</v>
      </c>
      <c r="K83" s="130">
        <f>'NECESIDADES TRIMESTRALES'!G81</f>
        <v>20</v>
      </c>
      <c r="L83" s="129">
        <f t="shared" si="2"/>
        <v>4500</v>
      </c>
      <c r="M83" s="129"/>
    </row>
    <row r="84" spans="1:13" ht="18.75" customHeight="1" x14ac:dyDescent="0.2">
      <c r="A84" s="179">
        <v>73</v>
      </c>
      <c r="B84" s="202"/>
      <c r="C84" s="187" t="str">
        <f>'NECESIDADES TRIMESTRALES'!E82</f>
        <v>FRESAS P/ODONTOLOGIA; MATERIAL: PIEDRA DE DIAMANTE, NUMERO: 170, LARGO: STANDAR, TIPO: TRONCOCONICA FG</v>
      </c>
      <c r="D84" s="133"/>
      <c r="E84" s="133"/>
      <c r="F84" s="133"/>
      <c r="G84" s="134"/>
      <c r="H84" s="184" t="s">
        <v>228</v>
      </c>
      <c r="I84" s="185" t="str">
        <f>'NECESIDADES TRIMESTRALES'!F82</f>
        <v>UNIDAD</v>
      </c>
      <c r="J84" s="186">
        <f>'NECESIDADES TRIMESTRALES'!H82</f>
        <v>225</v>
      </c>
      <c r="K84" s="130">
        <f>'NECESIDADES TRIMESTRALES'!G82</f>
        <v>20</v>
      </c>
      <c r="L84" s="129">
        <f t="shared" si="2"/>
        <v>4500</v>
      </c>
      <c r="M84" s="129"/>
    </row>
    <row r="85" spans="1:13" ht="18.75" customHeight="1" x14ac:dyDescent="0.2">
      <c r="A85" s="179">
        <v>74</v>
      </c>
      <c r="B85" s="202"/>
      <c r="C85" s="187" t="str">
        <f>'NECESIDADES TRIMESTRALES'!E83</f>
        <v>FRESAS P/ODONTOLOGIA; MATERIAL: PIEDRA DE DIAMANTE, NUMERO: 171 L, LARGO: STANDAR, TIPO: TRONCOCONICA FG</v>
      </c>
      <c r="D85" s="133"/>
      <c r="E85" s="133"/>
      <c r="F85" s="133"/>
      <c r="G85" s="134"/>
      <c r="H85" s="184" t="s">
        <v>228</v>
      </c>
      <c r="I85" s="185" t="str">
        <f>'NECESIDADES TRIMESTRALES'!F83</f>
        <v>UNIDAD</v>
      </c>
      <c r="J85" s="186">
        <f>'NECESIDADES TRIMESTRALES'!H83</f>
        <v>225</v>
      </c>
      <c r="K85" s="130">
        <f>'NECESIDADES TRIMESTRALES'!G83</f>
        <v>20</v>
      </c>
      <c r="L85" s="129">
        <f t="shared" si="2"/>
        <v>4500</v>
      </c>
      <c r="M85" s="129"/>
    </row>
    <row r="86" spans="1:13" ht="18.75" customHeight="1" x14ac:dyDescent="0.2">
      <c r="A86" s="179">
        <v>75</v>
      </c>
      <c r="B86" s="202"/>
      <c r="C86" s="187" t="str">
        <f>'NECESIDADES TRIMESTRALES'!E84</f>
        <v>FRESAS P/ODONTOLOGIA; MATERIAL: PIEDRA DE DIAMANTE, NUMERO: 171, LARGO: STANDAR, TIPO: TRONCOCONICA FG</v>
      </c>
      <c r="D86" s="133"/>
      <c r="E86" s="133"/>
      <c r="F86" s="133"/>
      <c r="G86" s="134"/>
      <c r="H86" s="184" t="s">
        <v>228</v>
      </c>
      <c r="I86" s="185" t="str">
        <f>'NECESIDADES TRIMESTRALES'!F84</f>
        <v>UNIDAD</v>
      </c>
      <c r="J86" s="186">
        <f>'NECESIDADES TRIMESTRALES'!H84</f>
        <v>225</v>
      </c>
      <c r="K86" s="130">
        <f>'NECESIDADES TRIMESTRALES'!G84</f>
        <v>20</v>
      </c>
      <c r="L86" s="129">
        <f t="shared" si="2"/>
        <v>4500</v>
      </c>
      <c r="M86" s="129"/>
    </row>
    <row r="87" spans="1:13" ht="18.75" customHeight="1" x14ac:dyDescent="0.2">
      <c r="A87" s="179">
        <v>76</v>
      </c>
      <c r="B87" s="202"/>
      <c r="C87" s="187" t="str">
        <f>'NECESIDADES TRIMESTRALES'!E85</f>
        <v>FRESAS P/ODONTOLOGIA; MATERIAL: PIEDRA DE DIAMANTE, NUMERO: 2, LARGO: STANDAR, TIPO: REDONDA FG</v>
      </c>
      <c r="D87" s="133"/>
      <c r="E87" s="133"/>
      <c r="F87" s="133"/>
      <c r="G87" s="134"/>
      <c r="H87" s="184" t="s">
        <v>228</v>
      </c>
      <c r="I87" s="185" t="str">
        <f>'NECESIDADES TRIMESTRALES'!F85</f>
        <v>UNIDAD</v>
      </c>
      <c r="J87" s="186">
        <f>'NECESIDADES TRIMESTRALES'!H85</f>
        <v>225</v>
      </c>
      <c r="K87" s="130">
        <f>'NECESIDADES TRIMESTRALES'!G85</f>
        <v>20</v>
      </c>
      <c r="L87" s="129">
        <f t="shared" si="2"/>
        <v>4500</v>
      </c>
      <c r="M87" s="129"/>
    </row>
    <row r="88" spans="1:13" ht="18.75" customHeight="1" x14ac:dyDescent="0.2">
      <c r="A88" s="179">
        <v>77</v>
      </c>
      <c r="B88" s="202"/>
      <c r="C88" s="187" t="str">
        <f>'NECESIDADES TRIMESTRALES'!E86</f>
        <v>FRESAS P/ODONTOLOGIA; MATERIAL: PIEDRA DE DIAMANTE, NUMERO: 3, LARGO: STANDAR, TIPO: REDONDA FG</v>
      </c>
      <c r="D88" s="133"/>
      <c r="E88" s="133"/>
      <c r="F88" s="133"/>
      <c r="G88" s="134"/>
      <c r="H88" s="184" t="s">
        <v>228</v>
      </c>
      <c r="I88" s="185" t="str">
        <f>'NECESIDADES TRIMESTRALES'!F86</f>
        <v>UNIDAD</v>
      </c>
      <c r="J88" s="186">
        <f>'NECESIDADES TRIMESTRALES'!H86</f>
        <v>225</v>
      </c>
      <c r="K88" s="130">
        <f>'NECESIDADES TRIMESTRALES'!G86</f>
        <v>20</v>
      </c>
      <c r="L88" s="129">
        <f t="shared" si="2"/>
        <v>4500</v>
      </c>
      <c r="M88" s="129"/>
    </row>
    <row r="89" spans="1:13" ht="18.75" customHeight="1" x14ac:dyDescent="0.2">
      <c r="A89" s="179">
        <v>78</v>
      </c>
      <c r="B89" s="202"/>
      <c r="C89" s="187" t="str">
        <f>'NECESIDADES TRIMESTRALES'!E87</f>
        <v>FRESAS P/ODONTOLOGIA; MATERIAL: PIEDRA DE DIAMANTE, NUMERO: 34, LARGO: STANDAR, TIPO: CONO INVERTIDO FG</v>
      </c>
      <c r="D89" s="133"/>
      <c r="E89" s="133"/>
      <c r="F89" s="133"/>
      <c r="G89" s="134"/>
      <c r="H89" s="184" t="s">
        <v>228</v>
      </c>
      <c r="I89" s="185" t="str">
        <f>'NECESIDADES TRIMESTRALES'!F87</f>
        <v>UNIDAD</v>
      </c>
      <c r="J89" s="186">
        <f>'NECESIDADES TRIMESTRALES'!H87</f>
        <v>225</v>
      </c>
      <c r="K89" s="130">
        <f>'NECESIDADES TRIMESTRALES'!G87</f>
        <v>20</v>
      </c>
      <c r="L89" s="129">
        <f t="shared" si="2"/>
        <v>4500</v>
      </c>
      <c r="M89" s="129"/>
    </row>
    <row r="90" spans="1:13" ht="18.75" customHeight="1" x14ac:dyDescent="0.2">
      <c r="A90" s="179">
        <v>79</v>
      </c>
      <c r="B90" s="202"/>
      <c r="C90" s="187" t="str">
        <f>'NECESIDADES TRIMESTRALES'!E88</f>
        <v>FRESAS P/ODONTOLOGIA; MATERIAL: PIEDRA DE DIAMANTE, NUMERO: 35, LARGO: STANDAR, TIPO: CONO INVERTIDO FG</v>
      </c>
      <c r="D90" s="133"/>
      <c r="E90" s="133"/>
      <c r="F90" s="133"/>
      <c r="G90" s="134"/>
      <c r="H90" s="184" t="s">
        <v>228</v>
      </c>
      <c r="I90" s="185" t="str">
        <f>'NECESIDADES TRIMESTRALES'!F88</f>
        <v>UNIDAD</v>
      </c>
      <c r="J90" s="186">
        <f>'NECESIDADES TRIMESTRALES'!H88</f>
        <v>225</v>
      </c>
      <c r="K90" s="130">
        <f>'NECESIDADES TRIMESTRALES'!G88</f>
        <v>20</v>
      </c>
      <c r="L90" s="129">
        <f t="shared" si="2"/>
        <v>4500</v>
      </c>
      <c r="M90" s="129"/>
    </row>
    <row r="91" spans="1:13" ht="18.75" customHeight="1" x14ac:dyDescent="0.2">
      <c r="A91" s="179">
        <v>80</v>
      </c>
      <c r="B91" s="202"/>
      <c r="C91" s="187" t="str">
        <f>'NECESIDADES TRIMESTRALES'!E89</f>
        <v>FRESAS P/ODONTOLOGIA; MATERIAL: PIEDRA DE DIAMANTE, NUMERO: 4, LARGO: STANDAR, TIPO: REDONDA FG</v>
      </c>
      <c r="D91" s="133"/>
      <c r="E91" s="133"/>
      <c r="F91" s="133"/>
      <c r="G91" s="134"/>
      <c r="H91" s="184" t="s">
        <v>228</v>
      </c>
      <c r="I91" s="185" t="str">
        <f>'NECESIDADES TRIMESTRALES'!F89</f>
        <v>UNIDAD</v>
      </c>
      <c r="J91" s="186">
        <f>'NECESIDADES TRIMESTRALES'!H89</f>
        <v>225</v>
      </c>
      <c r="K91" s="130">
        <f>'NECESIDADES TRIMESTRALES'!G89</f>
        <v>20</v>
      </c>
      <c r="L91" s="129">
        <f t="shared" si="2"/>
        <v>4500</v>
      </c>
      <c r="M91" s="129"/>
    </row>
    <row r="92" spans="1:13" ht="18.75" customHeight="1" x14ac:dyDescent="0.2">
      <c r="A92" s="179">
        <v>81</v>
      </c>
      <c r="B92" s="202"/>
      <c r="C92" s="187" t="str">
        <f>'NECESIDADES TRIMESTRALES'!E90</f>
        <v>FRESAS P/ODONTOLOGIA; MATERIAL: PIEDRA DE DIAMANTE, NUMERO: 5, LARGO: STANDAR, TIPO: REDONDA FG</v>
      </c>
      <c r="D92" s="133"/>
      <c r="E92" s="133"/>
      <c r="F92" s="133"/>
      <c r="G92" s="134"/>
      <c r="H92" s="184" t="s">
        <v>228</v>
      </c>
      <c r="I92" s="185" t="str">
        <f>'NECESIDADES TRIMESTRALES'!F90</f>
        <v>UNIDAD</v>
      </c>
      <c r="J92" s="186">
        <f>'NECESIDADES TRIMESTRALES'!H90</f>
        <v>225</v>
      </c>
      <c r="K92" s="130">
        <f>'NECESIDADES TRIMESTRALES'!G90</f>
        <v>20</v>
      </c>
      <c r="L92" s="129">
        <f t="shared" si="2"/>
        <v>4500</v>
      </c>
      <c r="M92" s="129"/>
    </row>
    <row r="93" spans="1:13" ht="18.75" customHeight="1" x14ac:dyDescent="0.2">
      <c r="A93" s="179">
        <v>82</v>
      </c>
      <c r="B93" s="202"/>
      <c r="C93" s="187" t="str">
        <f>'NECESIDADES TRIMESTRALES'!E91</f>
        <v>FRESAS P/ODONTOLOGIA; MATERIAL: PIEDRA DE DIAMANTE, NUMERO: 6, LARGO: STANDAR, TIPO: REDONDA FG</v>
      </c>
      <c r="D93" s="133"/>
      <c r="E93" s="133"/>
      <c r="F93" s="133"/>
      <c r="G93" s="134"/>
      <c r="H93" s="184" t="s">
        <v>228</v>
      </c>
      <c r="I93" s="185" t="str">
        <f>'NECESIDADES TRIMESTRALES'!F91</f>
        <v>UNIDAD</v>
      </c>
      <c r="J93" s="186">
        <f>'NECESIDADES TRIMESTRALES'!H91</f>
        <v>225</v>
      </c>
      <c r="K93" s="130">
        <f>'NECESIDADES TRIMESTRALES'!G91</f>
        <v>20</v>
      </c>
      <c r="L93" s="129">
        <f t="shared" si="2"/>
        <v>4500</v>
      </c>
      <c r="M93" s="129"/>
    </row>
    <row r="94" spans="1:13" ht="18.75" customHeight="1" x14ac:dyDescent="0.2">
      <c r="A94" s="179">
        <v>83</v>
      </c>
      <c r="B94" s="202"/>
      <c r="C94" s="187" t="str">
        <f>'NECESIDADES TRIMESTRALES'!E92</f>
        <v>FRESAS P/ODONTOLOGIA; MATERIAL: PIEDRA DE DIAMANTE, NUMERO: 8, LARGO: STANDAR, TIPO: REDONDA FG</v>
      </c>
      <c r="D94" s="133"/>
      <c r="E94" s="133"/>
      <c r="F94" s="133"/>
      <c r="G94" s="134"/>
      <c r="H94" s="184" t="s">
        <v>228</v>
      </c>
      <c r="I94" s="185" t="str">
        <f>'NECESIDADES TRIMESTRALES'!F92</f>
        <v>UNIDAD</v>
      </c>
      <c r="J94" s="186">
        <f>'NECESIDADES TRIMESTRALES'!H92</f>
        <v>225</v>
      </c>
      <c r="K94" s="130">
        <f>'NECESIDADES TRIMESTRALES'!G92</f>
        <v>20</v>
      </c>
      <c r="L94" s="129">
        <f t="shared" si="2"/>
        <v>4500</v>
      </c>
      <c r="M94" s="129"/>
    </row>
    <row r="95" spans="1:13" ht="18.75" customHeight="1" x14ac:dyDescent="0.2">
      <c r="A95" s="179">
        <v>84</v>
      </c>
      <c r="B95" s="202"/>
      <c r="C95" s="187" t="str">
        <f>'NECESIDADES TRIMESTRALES'!E93</f>
        <v>FRESAS P/ODONTOLOGIA; MATERIAL: PIEDRA DE DIAMANTE, NUMERO: SIN, LARGO: STANDAR, TIPO: AGUJA GRANO FINO FG</v>
      </c>
      <c r="D95" s="133"/>
      <c r="E95" s="133"/>
      <c r="F95" s="133"/>
      <c r="G95" s="134"/>
      <c r="H95" s="184" t="s">
        <v>228</v>
      </c>
      <c r="I95" s="185" t="str">
        <f>'NECESIDADES TRIMESTRALES'!F93</f>
        <v>UNIDAD</v>
      </c>
      <c r="J95" s="186">
        <f>'NECESIDADES TRIMESTRALES'!H93</f>
        <v>225</v>
      </c>
      <c r="K95" s="130">
        <f>'NECESIDADES TRIMESTRALES'!G93</f>
        <v>20</v>
      </c>
      <c r="L95" s="129">
        <f t="shared" si="2"/>
        <v>4500</v>
      </c>
      <c r="M95" s="129"/>
    </row>
    <row r="96" spans="1:13" ht="18.75" customHeight="1" x14ac:dyDescent="0.2">
      <c r="A96" s="179">
        <v>85</v>
      </c>
      <c r="B96" s="202"/>
      <c r="C96" s="187" t="str">
        <f>'NECESIDADES TRIMESTRALES'!E94</f>
        <v>FRESAS P/ODONTOLOGIA; MATERIAL: PIEDRA DE DIAMANTE, NUMERO: SIN, LARGO: STANDAR, TIPO: AGUJA GRANO ULTRA FINO FG</v>
      </c>
      <c r="D96" s="133"/>
      <c r="E96" s="133"/>
      <c r="F96" s="133"/>
      <c r="G96" s="134"/>
      <c r="H96" s="184" t="s">
        <v>228</v>
      </c>
      <c r="I96" s="185" t="str">
        <f>'NECESIDADES TRIMESTRALES'!F94</f>
        <v>UNIDAD</v>
      </c>
      <c r="J96" s="186">
        <f>'NECESIDADES TRIMESTRALES'!H94</f>
        <v>225</v>
      </c>
      <c r="K96" s="130">
        <f>'NECESIDADES TRIMESTRALES'!G94</f>
        <v>20</v>
      </c>
      <c r="L96" s="129">
        <f t="shared" si="2"/>
        <v>4500</v>
      </c>
      <c r="M96" s="129"/>
    </row>
    <row r="97" spans="1:13" ht="18.75" customHeight="1" x14ac:dyDescent="0.2">
      <c r="A97" s="179">
        <v>86</v>
      </c>
      <c r="B97" s="202"/>
      <c r="C97" s="187" t="str">
        <f>'NECESIDADES TRIMESTRALES'!E95</f>
        <v>FRESAS P/ODONTOLOGIA; MATERIAL: PIEDRA DE DIAMANTE, NUMERO: SIN, LARGO: STANDAR, TIPO: CILINDRICA FG</v>
      </c>
      <c r="D97" s="133"/>
      <c r="E97" s="133"/>
      <c r="F97" s="133"/>
      <c r="G97" s="134"/>
      <c r="H97" s="184" t="s">
        <v>228</v>
      </c>
      <c r="I97" s="185" t="str">
        <f>'NECESIDADES TRIMESTRALES'!F95</f>
        <v>UNIDAD</v>
      </c>
      <c r="J97" s="186">
        <f>'NECESIDADES TRIMESTRALES'!H95</f>
        <v>225</v>
      </c>
      <c r="K97" s="130">
        <f>'NECESIDADES TRIMESTRALES'!G95</f>
        <v>20</v>
      </c>
      <c r="L97" s="129">
        <f t="shared" si="2"/>
        <v>4500</v>
      </c>
      <c r="M97" s="129"/>
    </row>
    <row r="98" spans="1:13" ht="18.75" customHeight="1" x14ac:dyDescent="0.2">
      <c r="A98" s="179">
        <v>87</v>
      </c>
      <c r="B98" s="202"/>
      <c r="C98" s="187" t="str">
        <f>'NECESIDADES TRIMESTRALES'!E96</f>
        <v>FRESAS P/ODONTOLOGIA; MATERIAL: PIEDRA DE DIAMANTE, NUMERO: SIN, LARGO: STANDAR, TIPO: TRONCOC CORTA GR ULTRA FINO FG</v>
      </c>
      <c r="D98" s="133"/>
      <c r="E98" s="133"/>
      <c r="F98" s="133"/>
      <c r="G98" s="134"/>
      <c r="H98" s="184" t="s">
        <v>228</v>
      </c>
      <c r="I98" s="185" t="str">
        <f>'NECESIDADES TRIMESTRALES'!F96</f>
        <v>UNIDAD</v>
      </c>
      <c r="J98" s="186">
        <f>'NECESIDADES TRIMESTRALES'!H96</f>
        <v>225</v>
      </c>
      <c r="K98" s="130">
        <f>'NECESIDADES TRIMESTRALES'!G96</f>
        <v>20</v>
      </c>
      <c r="L98" s="129">
        <f t="shared" si="2"/>
        <v>4500</v>
      </c>
      <c r="M98" s="129">
        <f t="shared" si="1"/>
        <v>4500</v>
      </c>
    </row>
    <row r="99" spans="1:13" ht="18.75" customHeight="1" x14ac:dyDescent="0.2">
      <c r="A99" s="179">
        <v>88</v>
      </c>
      <c r="B99" s="202"/>
      <c r="C99" s="187" t="str">
        <f>'NECESIDADES TRIMESTRALES'!E97</f>
        <v>FRESAS P/ODONTOLOGIA; MATERIAL: PIEDRA DE DIAMANTE, NUMERO: SIN, LARGO: STANDAR, TIPO: TRONCOC LARGA GR ULTRA FINO FG</v>
      </c>
      <c r="D99" s="133"/>
      <c r="E99" s="133"/>
      <c r="F99" s="133"/>
      <c r="G99" s="134"/>
      <c r="H99" s="184" t="s">
        <v>228</v>
      </c>
      <c r="I99" s="185" t="str">
        <f>'NECESIDADES TRIMESTRALES'!F97</f>
        <v>UNIDAD</v>
      </c>
      <c r="J99" s="186">
        <f>'NECESIDADES TRIMESTRALES'!H97</f>
        <v>225</v>
      </c>
      <c r="K99" s="130">
        <f>'NECESIDADES TRIMESTRALES'!G97</f>
        <v>20</v>
      </c>
      <c r="L99" s="129">
        <f t="shared" si="2"/>
        <v>4500</v>
      </c>
      <c r="M99" s="129">
        <f t="shared" si="1"/>
        <v>4500</v>
      </c>
    </row>
    <row r="100" spans="1:13" ht="18.75" customHeight="1" x14ac:dyDescent="0.2">
      <c r="A100" s="179">
        <v>89</v>
      </c>
      <c r="B100" s="202"/>
      <c r="C100" s="187" t="str">
        <f>'NECESIDADES TRIMESTRALES'!E98</f>
        <v>FRESAS P/ODONTOLOGIA; MATERIAL: PIEDRA DE DIAMANTE, NUMERO: SIN, LARGO: STANDAR, TIPO: TRONCOCON LARG GRUES FG</v>
      </c>
      <c r="D100" s="133"/>
      <c r="E100" s="133"/>
      <c r="F100" s="133"/>
      <c r="G100" s="134"/>
      <c r="H100" s="184" t="s">
        <v>228</v>
      </c>
      <c r="I100" s="185" t="str">
        <f>'NECESIDADES TRIMESTRALES'!F98</f>
        <v>UNIDAD</v>
      </c>
      <c r="J100" s="186">
        <f>'NECESIDADES TRIMESTRALES'!H98</f>
        <v>225</v>
      </c>
      <c r="K100" s="130">
        <f>'NECESIDADES TRIMESTRALES'!G98</f>
        <v>20</v>
      </c>
      <c r="L100" s="129">
        <f t="shared" si="2"/>
        <v>4500</v>
      </c>
      <c r="M100" s="129">
        <f t="shared" si="1"/>
        <v>4500</v>
      </c>
    </row>
    <row r="101" spans="1:13" ht="18.75" customHeight="1" x14ac:dyDescent="0.2">
      <c r="A101" s="179">
        <v>90</v>
      </c>
      <c r="B101" s="202"/>
      <c r="C101" s="187" t="str">
        <f>'NECESIDADES TRIMESTRALES'!E99</f>
        <v>FRESERO P/ODONTOLOGIA, DESCARTABLE: NO, PRESENTACION: UNIDAD</v>
      </c>
      <c r="D101" s="133"/>
      <c r="E101" s="133"/>
      <c r="F101" s="133"/>
      <c r="G101" s="134"/>
      <c r="H101" s="184" t="s">
        <v>228</v>
      </c>
      <c r="I101" s="185" t="str">
        <f>'NECESIDADES TRIMESTRALES'!F99</f>
        <v>UNIDAD</v>
      </c>
      <c r="J101" s="186">
        <f>'NECESIDADES TRIMESTRALES'!H99</f>
        <v>1290</v>
      </c>
      <c r="K101" s="130">
        <f>'NECESIDADES TRIMESTRALES'!G99</f>
        <v>10</v>
      </c>
      <c r="L101" s="129">
        <f t="shared" si="2"/>
        <v>12900</v>
      </c>
      <c r="M101" s="129">
        <f t="shared" si="1"/>
        <v>12900</v>
      </c>
    </row>
    <row r="102" spans="1:13" ht="18.75" customHeight="1" x14ac:dyDescent="0.2">
      <c r="A102" s="179">
        <v>91</v>
      </c>
      <c r="B102" s="202"/>
      <c r="C102" s="187" t="str">
        <f>'NECESIDADES TRIMESTRALES'!E100</f>
        <v>GOMAS BLANCAS P/PULIDO, DESCARTABLE: NO, PRESENTACION: UNIDAD</v>
      </c>
      <c r="D102" s="133"/>
      <c r="E102" s="133"/>
      <c r="F102" s="133"/>
      <c r="G102" s="134"/>
      <c r="H102" s="184" t="s">
        <v>228</v>
      </c>
      <c r="I102" s="185" t="str">
        <f>'NECESIDADES TRIMESTRALES'!F100</f>
        <v>UNIDAD</v>
      </c>
      <c r="J102" s="186">
        <f>'NECESIDADES TRIMESTRALES'!H100</f>
        <v>278.45</v>
      </c>
      <c r="K102" s="130">
        <f>'NECESIDADES TRIMESTRALES'!G100</f>
        <v>80</v>
      </c>
      <c r="L102" s="129">
        <f t="shared" si="2"/>
        <v>22276</v>
      </c>
      <c r="M102" s="129">
        <f t="shared" si="1"/>
        <v>22276</v>
      </c>
    </row>
    <row r="103" spans="1:13" ht="18.75" customHeight="1" x14ac:dyDescent="0.2">
      <c r="A103" s="179">
        <v>92</v>
      </c>
      <c r="B103" s="202"/>
      <c r="C103" s="187" t="str">
        <f>'NECESIDADES TRIMESTRALES'!E101</f>
        <v>HOJA DE SIERRA PLANA; DESCARTABLE: SI, PRESENTACION: UNIDAD</v>
      </c>
      <c r="D103" s="133"/>
      <c r="E103" s="133"/>
      <c r="F103" s="133"/>
      <c r="G103" s="134"/>
      <c r="H103" s="184" t="s">
        <v>228</v>
      </c>
      <c r="I103" s="185" t="str">
        <f>'NECESIDADES TRIMESTRALES'!F101</f>
        <v>UNIDAD</v>
      </c>
      <c r="J103" s="186">
        <f>'NECESIDADES TRIMESTRALES'!H101</f>
        <v>290</v>
      </c>
      <c r="K103" s="130">
        <f>'NECESIDADES TRIMESTRALES'!G101</f>
        <v>20</v>
      </c>
      <c r="L103" s="129">
        <f t="shared" si="2"/>
        <v>5800</v>
      </c>
      <c r="M103" s="129">
        <f t="shared" si="1"/>
        <v>5800</v>
      </c>
    </row>
    <row r="104" spans="1:13" ht="18.75" customHeight="1" x14ac:dyDescent="0.2">
      <c r="A104" s="179">
        <v>93</v>
      </c>
      <c r="B104" s="202"/>
      <c r="C104" s="187" t="str">
        <f>'NECESIDADES TRIMESTRALES'!E102</f>
        <v>IONOMEROS VITREOS; USO: AUTOCURADO, ESTADO: POLVO - LIQUIDO, FORMA DE PRESENTACION: POLVO - LIQUIDO, PRESENTACION: AVIO 10 GRS/ 10 ML</v>
      </c>
      <c r="D104" s="133"/>
      <c r="E104" s="133"/>
      <c r="F104" s="133"/>
      <c r="G104" s="134"/>
      <c r="H104" s="184" t="s">
        <v>228</v>
      </c>
      <c r="I104" s="185" t="str">
        <f>'NECESIDADES TRIMESTRALES'!F102</f>
        <v>CAJA</v>
      </c>
      <c r="J104" s="186">
        <f>'NECESIDADES TRIMESTRALES'!H102</f>
        <v>2500</v>
      </c>
      <c r="K104" s="130">
        <f>'NECESIDADES TRIMESTRALES'!G102</f>
        <v>50</v>
      </c>
      <c r="L104" s="129">
        <f t="shared" si="2"/>
        <v>125000</v>
      </c>
      <c r="M104" s="129">
        <f t="shared" si="1"/>
        <v>125000</v>
      </c>
    </row>
    <row r="105" spans="1:13" ht="18.75" customHeight="1" x14ac:dyDescent="0.2">
      <c r="A105" s="179">
        <v>94</v>
      </c>
      <c r="B105" s="202"/>
      <c r="C105" s="187" t="str">
        <f>'NECESIDADES TRIMESTRALES'!E103</f>
        <v>IONOMEROS VITREOS; USO: FOTOCURADO, FORMA DE PRESENTACION: POLVO - LIQUIDO, PRESENTACION: AVIO 5 GRS/ 3 ML</v>
      </c>
      <c r="D105" s="133"/>
      <c r="E105" s="133"/>
      <c r="F105" s="133"/>
      <c r="G105" s="134"/>
      <c r="H105" s="184" t="s">
        <v>228</v>
      </c>
      <c r="I105" s="185" t="str">
        <f>'NECESIDADES TRIMESTRALES'!F103</f>
        <v>CAJA</v>
      </c>
      <c r="J105" s="186">
        <f>'NECESIDADES TRIMESTRALES'!H103</f>
        <v>5317</v>
      </c>
      <c r="K105" s="130">
        <f>'NECESIDADES TRIMESTRALES'!G103</f>
        <v>50</v>
      </c>
      <c r="L105" s="129">
        <f t="shared" si="2"/>
        <v>265850</v>
      </c>
      <c r="M105" s="129">
        <f t="shared" si="1"/>
        <v>265850</v>
      </c>
    </row>
    <row r="106" spans="1:13" ht="18.75" customHeight="1" x14ac:dyDescent="0.2">
      <c r="A106" s="179">
        <v>95</v>
      </c>
      <c r="B106" s="202"/>
      <c r="C106" s="187" t="str">
        <f>'NECESIDADES TRIMESTRALES'!E104</f>
        <v>JERINGAS DESCARTABLES CON AGUJA; CAPACIDAD: 20 CM3, USO: ODONTOLOGIA, PRESENTACION: ENVASE X 50 UNIDADES</v>
      </c>
      <c r="D106" s="133"/>
      <c r="E106" s="133"/>
      <c r="F106" s="133"/>
      <c r="G106" s="134"/>
      <c r="H106" s="184" t="s">
        <v>228</v>
      </c>
      <c r="I106" s="185" t="str">
        <f>'NECESIDADES TRIMESTRALES'!F104</f>
        <v>CAJA</v>
      </c>
      <c r="J106" s="186">
        <f>'NECESIDADES TRIMESTRALES'!H104</f>
        <v>1064.6400000000001</v>
      </c>
      <c r="K106" s="130">
        <f>'NECESIDADES TRIMESTRALES'!G104</f>
        <v>400</v>
      </c>
      <c r="L106" s="129">
        <f t="shared" si="2"/>
        <v>425856.00000000006</v>
      </c>
      <c r="M106" s="129">
        <f t="shared" si="1"/>
        <v>425856.00000000006</v>
      </c>
    </row>
    <row r="107" spans="1:13" ht="18.75" customHeight="1" x14ac:dyDescent="0.2">
      <c r="A107" s="179">
        <v>96</v>
      </c>
      <c r="B107" s="202"/>
      <c r="C107" s="187" t="str">
        <f>'NECESIDADES TRIMESTRALES'!E105</f>
        <v>JERINGAS TIPO CARPULE, DESCARTABLE: NO, PRESENTACION: UNIDAD</v>
      </c>
      <c r="D107" s="133"/>
      <c r="E107" s="133"/>
      <c r="F107" s="133"/>
      <c r="G107" s="134"/>
      <c r="H107" s="184" t="s">
        <v>228</v>
      </c>
      <c r="I107" s="185" t="str">
        <f>'NECESIDADES TRIMESTRALES'!F105</f>
        <v>UNIDAD</v>
      </c>
      <c r="J107" s="186">
        <f>'NECESIDADES TRIMESTRALES'!H105</f>
        <v>1545</v>
      </c>
      <c r="K107" s="130">
        <f>'NECESIDADES TRIMESTRALES'!G105</f>
        <v>300</v>
      </c>
      <c r="L107" s="129">
        <f t="shared" si="2"/>
        <v>463500</v>
      </c>
      <c r="M107" s="129">
        <f t="shared" si="1"/>
        <v>463500</v>
      </c>
    </row>
    <row r="108" spans="1:13" ht="18.75" customHeight="1" x14ac:dyDescent="0.2">
      <c r="A108" s="179">
        <v>97</v>
      </c>
      <c r="B108" s="202"/>
      <c r="C108" s="187" t="str">
        <f>'NECESIDADES TRIMESTRALES'!E106</f>
        <v>JERINGAS TRIPLES METALICAS, DESCARTABLE: NO, PRESENTACION: UNIDAD</v>
      </c>
      <c r="D108" s="133"/>
      <c r="E108" s="133"/>
      <c r="F108" s="133"/>
      <c r="G108" s="134"/>
      <c r="H108" s="184" t="s">
        <v>228</v>
      </c>
      <c r="I108" s="185" t="str">
        <f>'NECESIDADES TRIMESTRALES'!F106</f>
        <v>UNIDAD</v>
      </c>
      <c r="J108" s="186">
        <f>'NECESIDADES TRIMESTRALES'!H106</f>
        <v>3968.28</v>
      </c>
      <c r="K108" s="130">
        <f>'NECESIDADES TRIMESTRALES'!G106</f>
        <v>10</v>
      </c>
      <c r="L108" s="129">
        <f t="shared" si="2"/>
        <v>39682.800000000003</v>
      </c>
      <c r="M108" s="129">
        <f t="shared" si="1"/>
        <v>39682.800000000003</v>
      </c>
    </row>
    <row r="109" spans="1:13" ht="18.75" customHeight="1" x14ac:dyDescent="0.2">
      <c r="A109" s="179">
        <v>98</v>
      </c>
      <c r="B109" s="202"/>
      <c r="C109" s="187" t="str">
        <f>'NECESIDADES TRIMESTRALES'!E107</f>
        <v>JUEGO DE FORCEPS ADULTO P/MICROCIRUGIAS; USO: ODONTOLOGIA, TIPO: EXTRACCION, MATERIAL: ACERO QUIRURGICO, PRESENTACION: ESTUCHE X 10 UNIDADES</v>
      </c>
      <c r="D109" s="133"/>
      <c r="E109" s="133"/>
      <c r="F109" s="133"/>
      <c r="G109" s="134"/>
      <c r="H109" s="184" t="s">
        <v>228</v>
      </c>
      <c r="I109" s="185" t="str">
        <f>'NECESIDADES TRIMESTRALES'!F107</f>
        <v>ESTUCHE</v>
      </c>
      <c r="J109" s="186">
        <f>'NECESIDADES TRIMESTRALES'!H107</f>
        <v>14513.7</v>
      </c>
      <c r="K109" s="130">
        <f>'NECESIDADES TRIMESTRALES'!G107</f>
        <v>10</v>
      </c>
      <c r="L109" s="129">
        <f t="shared" si="2"/>
        <v>145137</v>
      </c>
      <c r="M109" s="129">
        <f t="shared" si="1"/>
        <v>145137</v>
      </c>
    </row>
    <row r="110" spans="1:13" ht="18.75" customHeight="1" x14ac:dyDescent="0.2">
      <c r="A110" s="179">
        <v>99</v>
      </c>
      <c r="B110" s="202"/>
      <c r="C110" s="187" t="str">
        <f>'NECESIDADES TRIMESTRALES'!E108</f>
        <v>LIMAS P/ODONTOLOGIA; MATERIAL: ACERO FLEXIBLE, NUMERO: 15 AL 40, LARGO: 31 mm, TIPO: LISA, PRESENTACION: ENVASE X 6 UNIDADES</v>
      </c>
      <c r="D110" s="133"/>
      <c r="E110" s="133"/>
      <c r="F110" s="133"/>
      <c r="G110" s="134"/>
      <c r="H110" s="184" t="s">
        <v>228</v>
      </c>
      <c r="I110" s="185" t="str">
        <f>'NECESIDADES TRIMESTRALES'!F108</f>
        <v>BLISTER</v>
      </c>
      <c r="J110" s="186">
        <f>'NECESIDADES TRIMESTRALES'!H108</f>
        <v>1150</v>
      </c>
      <c r="K110" s="130">
        <f>'NECESIDADES TRIMESTRALES'!G108</f>
        <v>22</v>
      </c>
      <c r="L110" s="129">
        <f t="shared" si="2"/>
        <v>25300</v>
      </c>
      <c r="M110" s="129">
        <f t="shared" si="1"/>
        <v>25300</v>
      </c>
    </row>
    <row r="111" spans="1:13" ht="18.75" customHeight="1" x14ac:dyDescent="0.2">
      <c r="A111" s="179">
        <v>100</v>
      </c>
      <c r="B111" s="202"/>
      <c r="C111" s="187" t="str">
        <f>'NECESIDADES TRIMESTRALES'!E109</f>
        <v>LIMAS P/ODONTOLOGIA; MATERIAL: ACERO INOXIDABLE, NUMERO: 010, LARGO: 25 mm, TIPO: K, PRESENTACION: ENVASE X 6 UNIDADES</v>
      </c>
      <c r="D111" s="133"/>
      <c r="E111" s="133"/>
      <c r="F111" s="133"/>
      <c r="G111" s="134"/>
      <c r="H111" s="184" t="s">
        <v>228</v>
      </c>
      <c r="I111" s="185" t="str">
        <f>'NECESIDADES TRIMESTRALES'!F109</f>
        <v>BLISTER</v>
      </c>
      <c r="J111" s="186">
        <f>'NECESIDADES TRIMESTRALES'!H109</f>
        <v>1150</v>
      </c>
      <c r="K111" s="130">
        <f>'NECESIDADES TRIMESTRALES'!G109</f>
        <v>35</v>
      </c>
      <c r="L111" s="129">
        <f t="shared" si="2"/>
        <v>40250</v>
      </c>
      <c r="M111" s="129">
        <f t="shared" si="1"/>
        <v>40250</v>
      </c>
    </row>
    <row r="112" spans="1:13" ht="18.75" customHeight="1" x14ac:dyDescent="0.2">
      <c r="A112" s="179">
        <v>101</v>
      </c>
      <c r="B112" s="202"/>
      <c r="C112" s="187" t="str">
        <f>'NECESIDADES TRIMESTRALES'!E110</f>
        <v>LIMAS P/ODONTOLOGIA; MATERIAL: ACERO INOXIDABLE, NUMERO: 015, LARGO: 25 mm, TIPO: K, PRESENTACION: ENVASE X 6 UNIDADES</v>
      </c>
      <c r="D112" s="133"/>
      <c r="E112" s="133"/>
      <c r="F112" s="133"/>
      <c r="G112" s="134"/>
      <c r="H112" s="184" t="s">
        <v>228</v>
      </c>
      <c r="I112" s="185" t="str">
        <f>'NECESIDADES TRIMESTRALES'!F110</f>
        <v>BLISTER</v>
      </c>
      <c r="J112" s="186">
        <f>'NECESIDADES TRIMESTRALES'!H110</f>
        <v>1150</v>
      </c>
      <c r="K112" s="130">
        <f>'NECESIDADES TRIMESTRALES'!G110</f>
        <v>35</v>
      </c>
      <c r="L112" s="129">
        <f t="shared" si="2"/>
        <v>40250</v>
      </c>
      <c r="M112" s="129">
        <f t="shared" si="1"/>
        <v>40250</v>
      </c>
    </row>
    <row r="113" spans="1:13" ht="18.75" customHeight="1" x14ac:dyDescent="0.2">
      <c r="A113" s="179">
        <v>102</v>
      </c>
      <c r="B113" s="202"/>
      <c r="C113" s="187" t="str">
        <f>'NECESIDADES TRIMESTRALES'!E111</f>
        <v>LIMAS P/ODONTOLOGIA; MATERIAL: ACERO INOXIDABLE, NUMERO: 020, LARGO: 25 mm, TIPO: K, PRESENTACION: ENVASE X 6 UNIDADES</v>
      </c>
      <c r="D113" s="133"/>
      <c r="E113" s="133"/>
      <c r="F113" s="133"/>
      <c r="G113" s="134"/>
      <c r="H113" s="184" t="s">
        <v>228</v>
      </c>
      <c r="I113" s="185" t="str">
        <f>'NECESIDADES TRIMESTRALES'!F111</f>
        <v>BLISTER</v>
      </c>
      <c r="J113" s="186">
        <f>'NECESIDADES TRIMESTRALES'!H111</f>
        <v>1150</v>
      </c>
      <c r="K113" s="130">
        <f>'NECESIDADES TRIMESTRALES'!G111</f>
        <v>35</v>
      </c>
      <c r="L113" s="129">
        <f t="shared" si="2"/>
        <v>40250</v>
      </c>
      <c r="M113" s="129">
        <f t="shared" si="1"/>
        <v>40250</v>
      </c>
    </row>
    <row r="114" spans="1:13" ht="18.75" customHeight="1" x14ac:dyDescent="0.2">
      <c r="A114" s="179">
        <v>103</v>
      </c>
      <c r="B114" s="202"/>
      <c r="C114" s="187" t="str">
        <f>'NECESIDADES TRIMESTRALES'!E112</f>
        <v>LIMAS P/ODONTOLOGIA; MATERIAL: ACERO INOXIDABLE, NUMERO: 025, LARGO: 25 mm, TIPO: K, PRESENTACION: ENVASE X 6 UNIDADES</v>
      </c>
      <c r="D114" s="133"/>
      <c r="E114" s="133"/>
      <c r="F114" s="133"/>
      <c r="G114" s="134"/>
      <c r="H114" s="184" t="s">
        <v>228</v>
      </c>
      <c r="I114" s="185" t="str">
        <f>'NECESIDADES TRIMESTRALES'!F112</f>
        <v>BLISTER</v>
      </c>
      <c r="J114" s="186">
        <f>'NECESIDADES TRIMESTRALES'!H112</f>
        <v>1150</v>
      </c>
      <c r="K114" s="130">
        <f>'NECESIDADES TRIMESTRALES'!G112</f>
        <v>35</v>
      </c>
      <c r="L114" s="129">
        <f t="shared" si="2"/>
        <v>40250</v>
      </c>
      <c r="M114" s="129">
        <f t="shared" si="1"/>
        <v>40250</v>
      </c>
    </row>
    <row r="115" spans="1:13" ht="18.75" customHeight="1" x14ac:dyDescent="0.2">
      <c r="A115" s="179">
        <v>104</v>
      </c>
      <c r="B115" s="202"/>
      <c r="C115" s="187" t="str">
        <f>'NECESIDADES TRIMESTRALES'!E113</f>
        <v>LIMAS P/ODONTOLOGIA; MATERIAL: ACERO INOXIDABLE, NUMERO: 030, LARGO: 25 mm, TIPO: K, PRESENTACION: ENVASE X 6 UNIDADES</v>
      </c>
      <c r="D115" s="133"/>
      <c r="E115" s="133"/>
      <c r="F115" s="133"/>
      <c r="G115" s="134"/>
      <c r="H115" s="184" t="s">
        <v>228</v>
      </c>
      <c r="I115" s="185" t="str">
        <f>'NECESIDADES TRIMESTRALES'!F113</f>
        <v>BLISTER</v>
      </c>
      <c r="J115" s="186">
        <f>'NECESIDADES TRIMESTRALES'!H113</f>
        <v>1150</v>
      </c>
      <c r="K115" s="130">
        <f>'NECESIDADES TRIMESTRALES'!G113</f>
        <v>35</v>
      </c>
      <c r="L115" s="129">
        <f t="shared" si="2"/>
        <v>40250</v>
      </c>
      <c r="M115" s="129">
        <f t="shared" si="1"/>
        <v>40250</v>
      </c>
    </row>
    <row r="116" spans="1:13" ht="18.75" customHeight="1" x14ac:dyDescent="0.2">
      <c r="A116" s="179">
        <v>105</v>
      </c>
      <c r="B116" s="202"/>
      <c r="C116" s="187" t="str">
        <f>'NECESIDADES TRIMESTRALES'!E114</f>
        <v>LIMAS P/ODONTOLOGIA; MATERIAL: ACERO INOXIDABLE, NUMERO: 035, LARGO: 25 mm, TIPO: K, PRESENTACION: ENVASE X 6 UNIDADES</v>
      </c>
      <c r="D116" s="133"/>
      <c r="E116" s="133"/>
      <c r="F116" s="133"/>
      <c r="G116" s="134"/>
      <c r="H116" s="184" t="s">
        <v>228</v>
      </c>
      <c r="I116" s="185" t="str">
        <f>'NECESIDADES TRIMESTRALES'!F114</f>
        <v>BLISTER</v>
      </c>
      <c r="J116" s="186">
        <f>'NECESIDADES TRIMESTRALES'!H114</f>
        <v>1150</v>
      </c>
      <c r="K116" s="130">
        <f>'NECESIDADES TRIMESTRALES'!G114</f>
        <v>35</v>
      </c>
      <c r="L116" s="129">
        <f t="shared" si="2"/>
        <v>40250</v>
      </c>
      <c r="M116" s="129">
        <f t="shared" si="1"/>
        <v>40250</v>
      </c>
    </row>
    <row r="117" spans="1:13" ht="18.75" customHeight="1" x14ac:dyDescent="0.2">
      <c r="A117" s="179">
        <v>106</v>
      </c>
      <c r="B117" s="202"/>
      <c r="C117" s="187" t="str">
        <f>'NECESIDADES TRIMESTRALES'!E115</f>
        <v>LIMAS P/ODONTOLOGIA; MATERIAL: ACERO INOXIDABLE, NUMERO: 040, LARGO: 25 mm, TIPO: K, PRESENTACION: ENVASE X 6 UNIDADES</v>
      </c>
      <c r="D117" s="133"/>
      <c r="E117" s="133"/>
      <c r="F117" s="133"/>
      <c r="G117" s="134"/>
      <c r="H117" s="184" t="s">
        <v>228</v>
      </c>
      <c r="I117" s="185" t="str">
        <f>'NECESIDADES TRIMESTRALES'!F115</f>
        <v>BLISTER</v>
      </c>
      <c r="J117" s="186">
        <f>'NECESIDADES TRIMESTRALES'!H115</f>
        <v>1150</v>
      </c>
      <c r="K117" s="130">
        <f>'NECESIDADES TRIMESTRALES'!G115</f>
        <v>35</v>
      </c>
      <c r="L117" s="129">
        <f t="shared" si="2"/>
        <v>40250</v>
      </c>
      <c r="M117" s="129">
        <f t="shared" si="1"/>
        <v>40250</v>
      </c>
    </row>
    <row r="118" spans="1:13" ht="18.75" customHeight="1" x14ac:dyDescent="0.2">
      <c r="A118" s="179">
        <v>107</v>
      </c>
      <c r="B118" s="202"/>
      <c r="C118" s="187" t="str">
        <f>'NECESIDADES TRIMESTRALES'!E116</f>
        <v>LIMAS P/ODONTOLOGIA; MATERIAL: ACERO INOXIDABLE, NUMERO: 045, LARGO: 25 mm, TIPO: K, PRESENTACION: ENVASE X 6 UNIDADES</v>
      </c>
      <c r="D118" s="133"/>
      <c r="E118" s="133"/>
      <c r="F118" s="133"/>
      <c r="G118" s="134"/>
      <c r="H118" s="184" t="s">
        <v>228</v>
      </c>
      <c r="I118" s="185" t="str">
        <f>'NECESIDADES TRIMESTRALES'!F116</f>
        <v>BLISTER</v>
      </c>
      <c r="J118" s="186">
        <f>'NECESIDADES TRIMESTRALES'!H116</f>
        <v>1150</v>
      </c>
      <c r="K118" s="130">
        <f>'NECESIDADES TRIMESTRALES'!G116</f>
        <v>35</v>
      </c>
      <c r="L118" s="129">
        <f t="shared" si="2"/>
        <v>40250</v>
      </c>
      <c r="M118" s="129">
        <f t="shared" si="1"/>
        <v>40250</v>
      </c>
    </row>
    <row r="119" spans="1:13" ht="18.75" customHeight="1" x14ac:dyDescent="0.2">
      <c r="A119" s="179">
        <v>108</v>
      </c>
      <c r="B119" s="202"/>
      <c r="C119" s="187" t="str">
        <f>'NECESIDADES TRIMESTRALES'!E117</f>
        <v>LIMAS P/ODONTOLOGIA; MATERIAL: ACERO INOXIDABLE, NUMERO: 15 AL 40, LARGO: 21 mm, TIPO: HEDSTROEM, PRESENTACION: ENVASE X 6 UNIDADES</v>
      </c>
      <c r="D119" s="133"/>
      <c r="E119" s="133"/>
      <c r="F119" s="133"/>
      <c r="G119" s="134"/>
      <c r="H119" s="184" t="s">
        <v>228</v>
      </c>
      <c r="I119" s="185" t="str">
        <f>'NECESIDADES TRIMESTRALES'!F117</f>
        <v>BLISTER</v>
      </c>
      <c r="J119" s="186">
        <f>'NECESIDADES TRIMESTRALES'!H117</f>
        <v>1150</v>
      </c>
      <c r="K119" s="130">
        <f>'NECESIDADES TRIMESTRALES'!G117</f>
        <v>23</v>
      </c>
      <c r="L119" s="129">
        <f t="shared" si="2"/>
        <v>26450</v>
      </c>
      <c r="M119" s="129">
        <f t="shared" si="1"/>
        <v>26450</v>
      </c>
    </row>
    <row r="120" spans="1:13" ht="18.75" customHeight="1" x14ac:dyDescent="0.2">
      <c r="A120" s="179">
        <v>109</v>
      </c>
      <c r="B120" s="202"/>
      <c r="C120" s="187" t="str">
        <f>'NECESIDADES TRIMESTRALES'!E118</f>
        <v>LIMAS P/ODONTOLOGIA; MATERIAL: ACERO INOXIDABLE, NUMERO: 15 AL 40, LARGO: 21 mm, TIPO: K, PRESENTACION: ENVASE X 6 UNIDADES</v>
      </c>
      <c r="D120" s="133"/>
      <c r="E120" s="133"/>
      <c r="F120" s="133"/>
      <c r="G120" s="134"/>
      <c r="H120" s="184" t="s">
        <v>228</v>
      </c>
      <c r="I120" s="185" t="str">
        <f>'NECESIDADES TRIMESTRALES'!F118</f>
        <v>BLISTER</v>
      </c>
      <c r="J120" s="186">
        <f>'NECESIDADES TRIMESTRALES'!H118</f>
        <v>1150</v>
      </c>
      <c r="K120" s="130">
        <f>'NECESIDADES TRIMESTRALES'!G118</f>
        <v>23</v>
      </c>
      <c r="L120" s="129">
        <f t="shared" si="2"/>
        <v>26450</v>
      </c>
      <c r="M120" s="129">
        <f t="shared" si="1"/>
        <v>26450</v>
      </c>
    </row>
    <row r="121" spans="1:13" ht="18.75" customHeight="1" x14ac:dyDescent="0.2">
      <c r="A121" s="179">
        <v>110</v>
      </c>
      <c r="B121" s="202"/>
      <c r="C121" s="187" t="str">
        <f>'NECESIDADES TRIMESTRALES'!E119</f>
        <v>LIMAS P/ODONTOLOGIA; MATERIAL: ACERO INOXIDABLE, NUMERO: 15 AL 40, LARGO: 25 mm, TIPO: HEDSTROEM, PRESENTACION: ENVASE X 6 UNIDADES</v>
      </c>
      <c r="D121" s="133"/>
      <c r="E121" s="133"/>
      <c r="F121" s="133"/>
      <c r="G121" s="134"/>
      <c r="H121" s="184" t="s">
        <v>228</v>
      </c>
      <c r="I121" s="185" t="str">
        <f>'NECESIDADES TRIMESTRALES'!F119</f>
        <v>BLISTER</v>
      </c>
      <c r="J121" s="186">
        <f>'NECESIDADES TRIMESTRALES'!H119</f>
        <v>1150</v>
      </c>
      <c r="K121" s="130">
        <f>'NECESIDADES TRIMESTRALES'!G119</f>
        <v>23</v>
      </c>
      <c r="L121" s="129">
        <f t="shared" si="2"/>
        <v>26450</v>
      </c>
      <c r="M121" s="129">
        <f t="shared" si="1"/>
        <v>26450</v>
      </c>
    </row>
    <row r="122" spans="1:13" ht="18.75" customHeight="1" x14ac:dyDescent="0.2">
      <c r="A122" s="179">
        <v>111</v>
      </c>
      <c r="B122" s="202"/>
      <c r="C122" s="187" t="str">
        <f>'NECESIDADES TRIMESTRALES'!E120</f>
        <v>LIMAS P/ODONTOLOGIA; MATERIAL: ACERO INOXIDABLE, NUMERO: 15 AL 40, LARGO: 25 mm, TIPO: K, PRESENTACION: ENVASE X 6 UNIDADES</v>
      </c>
      <c r="D122" s="133"/>
      <c r="E122" s="133"/>
      <c r="F122" s="133"/>
      <c r="G122" s="134"/>
      <c r="H122" s="184" t="s">
        <v>228</v>
      </c>
      <c r="I122" s="185" t="str">
        <f>'NECESIDADES TRIMESTRALES'!F120</f>
        <v>BLISTER</v>
      </c>
      <c r="J122" s="186">
        <f>'NECESIDADES TRIMESTRALES'!H120</f>
        <v>1150</v>
      </c>
      <c r="K122" s="130">
        <f>'NECESIDADES TRIMESTRALES'!G120</f>
        <v>23</v>
      </c>
      <c r="L122" s="129">
        <f t="shared" si="2"/>
        <v>26450</v>
      </c>
      <c r="M122" s="129">
        <f t="shared" si="1"/>
        <v>26450</v>
      </c>
    </row>
    <row r="123" spans="1:13" ht="18.75" customHeight="1" x14ac:dyDescent="0.2">
      <c r="A123" s="179">
        <v>112</v>
      </c>
      <c r="B123" s="202"/>
      <c r="C123" s="187" t="str">
        <f>'NECESIDADES TRIMESTRALES'!E121</f>
        <v>LIMAS P/ODONTOLOGIA; MATERIAL: ACERO INOXIDABLE, NUMERO: 15 AL 40, LARGO: 30 mm, TIPO: K, PRESENTACION: ENVASE X 6 UNIDADES</v>
      </c>
      <c r="D123" s="133"/>
      <c r="E123" s="133"/>
      <c r="F123" s="133"/>
      <c r="G123" s="134"/>
      <c r="H123" s="184" t="s">
        <v>228</v>
      </c>
      <c r="I123" s="185" t="str">
        <f>'NECESIDADES TRIMESTRALES'!F121</f>
        <v>BLISTER</v>
      </c>
      <c r="J123" s="186">
        <f>'NECESIDADES TRIMESTRALES'!H121</f>
        <v>1150</v>
      </c>
      <c r="K123" s="130">
        <f>'NECESIDADES TRIMESTRALES'!G121</f>
        <v>22</v>
      </c>
      <c r="L123" s="129">
        <f t="shared" si="2"/>
        <v>25300</v>
      </c>
      <c r="M123" s="129">
        <f t="shared" si="1"/>
        <v>25300</v>
      </c>
    </row>
    <row r="124" spans="1:13" ht="18.75" customHeight="1" x14ac:dyDescent="0.2">
      <c r="A124" s="179">
        <v>113</v>
      </c>
      <c r="B124" s="202"/>
      <c r="C124" s="187" t="str">
        <f>'NECESIDADES TRIMESTRALES'!E122</f>
        <v>LIMAS P/ODONTOLOGIA; MATERIAL: ACERO INOXIDABLE, NUMERO: 40, LARGO: 21 Cm, TIPO: LISA, PRESENTACION: ENVASE X 6 UNIDADES</v>
      </c>
      <c r="D124" s="133"/>
      <c r="E124" s="133"/>
      <c r="F124" s="133"/>
      <c r="G124" s="134"/>
      <c r="H124" s="184" t="s">
        <v>228</v>
      </c>
      <c r="I124" s="185" t="str">
        <f>'NECESIDADES TRIMESTRALES'!F122</f>
        <v>BLISTER</v>
      </c>
      <c r="J124" s="186">
        <f>'NECESIDADES TRIMESTRALES'!H122</f>
        <v>1150</v>
      </c>
      <c r="K124" s="130">
        <f>'NECESIDADES TRIMESTRALES'!G122</f>
        <v>23</v>
      </c>
      <c r="L124" s="129">
        <f t="shared" si="2"/>
        <v>26450</v>
      </c>
      <c r="M124" s="129">
        <f t="shared" si="1"/>
        <v>26450</v>
      </c>
    </row>
    <row r="125" spans="1:13" ht="18.75" customHeight="1" x14ac:dyDescent="0.2">
      <c r="A125" s="179">
        <v>114</v>
      </c>
      <c r="B125" s="202"/>
      <c r="C125" s="187" t="str">
        <f>'NECESIDADES TRIMESTRALES'!E123</f>
        <v>LIMAS P/ODONTOLOGIA; MATERIAL: ACERO INOXIDABLE, NUMERO: 45 AL 80, LARGO: 21 mm, TIPO: HEDSTROEM, PRESENTACION: ENVASE X 6 UNIDADES</v>
      </c>
      <c r="D125" s="133"/>
      <c r="E125" s="133"/>
      <c r="F125" s="133"/>
      <c r="G125" s="134"/>
      <c r="H125" s="184" t="s">
        <v>228</v>
      </c>
      <c r="I125" s="185" t="str">
        <f>'NECESIDADES TRIMESTRALES'!F123</f>
        <v>BLISTER</v>
      </c>
      <c r="J125" s="186">
        <f>'NECESIDADES TRIMESTRALES'!H123</f>
        <v>1150</v>
      </c>
      <c r="K125" s="130">
        <f>'NECESIDADES TRIMESTRALES'!G123</f>
        <v>23</v>
      </c>
      <c r="L125" s="129">
        <f t="shared" si="2"/>
        <v>26450</v>
      </c>
      <c r="M125" s="129"/>
    </row>
    <row r="126" spans="1:13" ht="18.75" customHeight="1" x14ac:dyDescent="0.2">
      <c r="A126" s="179">
        <v>115</v>
      </c>
      <c r="B126" s="202"/>
      <c r="C126" s="187" t="str">
        <f>'NECESIDADES TRIMESTRALES'!E124</f>
        <v>LIMAS P/ODONTOLOGIA; MATERIAL: ACERO INOXIDABLE, NUMERO: 45 AL 80, LARGO: 21 mm, TIPO: K, PRESENTACION: ENVASE X 6 UNIDADES</v>
      </c>
      <c r="D126" s="133"/>
      <c r="E126" s="133"/>
      <c r="F126" s="133"/>
      <c r="G126" s="134"/>
      <c r="H126" s="184" t="s">
        <v>228</v>
      </c>
      <c r="I126" s="185" t="str">
        <f>'NECESIDADES TRIMESTRALES'!F124</f>
        <v>BLISTER</v>
      </c>
      <c r="J126" s="186">
        <f>'NECESIDADES TRIMESTRALES'!H124</f>
        <v>1150</v>
      </c>
      <c r="K126" s="130">
        <f>'NECESIDADES TRIMESTRALES'!G124</f>
        <v>23</v>
      </c>
      <c r="L126" s="129">
        <f t="shared" si="2"/>
        <v>26450</v>
      </c>
      <c r="M126" s="129"/>
    </row>
    <row r="127" spans="1:13" ht="18.75" customHeight="1" x14ac:dyDescent="0.2">
      <c r="A127" s="179">
        <v>116</v>
      </c>
      <c r="B127" s="202"/>
      <c r="C127" s="187" t="str">
        <f>'NECESIDADES TRIMESTRALES'!E125</f>
        <v>LIMAS P/ODONTOLOGIA; MATERIAL: ACERO INOXIDABLE, NUMERO: 45 AL 80, LARGO: 25 mm, TIPO: HEDSTROEM, PRESENTACION: ENVASE X 6 UNIDADES</v>
      </c>
      <c r="D127" s="133"/>
      <c r="E127" s="133"/>
      <c r="F127" s="133"/>
      <c r="G127" s="134"/>
      <c r="H127" s="184" t="s">
        <v>228</v>
      </c>
      <c r="I127" s="185" t="str">
        <f>'NECESIDADES TRIMESTRALES'!F125</f>
        <v>BLISTER</v>
      </c>
      <c r="J127" s="186">
        <f>'NECESIDADES TRIMESTRALES'!H125</f>
        <v>1150</v>
      </c>
      <c r="K127" s="130">
        <f>'NECESIDADES TRIMESTRALES'!G125</f>
        <v>23</v>
      </c>
      <c r="L127" s="129">
        <f t="shared" si="2"/>
        <v>26450</v>
      </c>
      <c r="M127" s="129"/>
    </row>
    <row r="128" spans="1:13" ht="18.75" customHeight="1" x14ac:dyDescent="0.2">
      <c r="A128" s="179">
        <v>117</v>
      </c>
      <c r="B128" s="202"/>
      <c r="C128" s="187" t="str">
        <f>'NECESIDADES TRIMESTRALES'!E126</f>
        <v>LIMAS P/ODONTOLOGIA; MATERIAL: ACERO INOXIDABLE, NUMERO: 45 AL 80, LARGO: 25 mm, TIPO: K, PRESENTACION: ENVASE X 6 UNIDADES</v>
      </c>
      <c r="D128" s="133"/>
      <c r="E128" s="133"/>
      <c r="F128" s="133"/>
      <c r="G128" s="134"/>
      <c r="H128" s="184" t="s">
        <v>228</v>
      </c>
      <c r="I128" s="185" t="str">
        <f>'NECESIDADES TRIMESTRALES'!F126</f>
        <v>BLISTER</v>
      </c>
      <c r="J128" s="186">
        <f>'NECESIDADES TRIMESTRALES'!H126</f>
        <v>1150</v>
      </c>
      <c r="K128" s="130">
        <f>'NECESIDADES TRIMESTRALES'!G126</f>
        <v>23</v>
      </c>
      <c r="L128" s="129">
        <f t="shared" si="2"/>
        <v>26450</v>
      </c>
      <c r="M128" s="129"/>
    </row>
    <row r="129" spans="1:13" ht="18.75" customHeight="1" x14ac:dyDescent="0.2">
      <c r="A129" s="179">
        <v>118</v>
      </c>
      <c r="B129" s="202"/>
      <c r="C129" s="187" t="str">
        <f>'NECESIDADES TRIMESTRALES'!E127</f>
        <v>LIMAS P/ODONTOLOGIA; MATERIAL: CARBURO DE TUNGSTENO, NUMERO: 15 - 40, LARGO: 25 mm, TIPO: HEDSTRONG, PRESENTACION: ENVASE X 6 UNIDADES</v>
      </c>
      <c r="D129" s="133"/>
      <c r="E129" s="133"/>
      <c r="F129" s="133"/>
      <c r="G129" s="134"/>
      <c r="H129" s="184" t="s">
        <v>228</v>
      </c>
      <c r="I129" s="185" t="str">
        <f>'NECESIDADES TRIMESTRALES'!F127</f>
        <v>BLISTER</v>
      </c>
      <c r="J129" s="186">
        <f>'NECESIDADES TRIMESTRALES'!H127</f>
        <v>1150</v>
      </c>
      <c r="K129" s="130">
        <f>'NECESIDADES TRIMESTRALES'!G127</f>
        <v>23</v>
      </c>
      <c r="L129" s="129">
        <f t="shared" si="2"/>
        <v>26450</v>
      </c>
      <c r="M129" s="129"/>
    </row>
    <row r="130" spans="1:13" ht="18.75" customHeight="1" x14ac:dyDescent="0.2">
      <c r="A130" s="179">
        <v>119</v>
      </c>
      <c r="B130" s="202"/>
      <c r="C130" s="187" t="str">
        <f>'NECESIDADES TRIMESTRALES'!E128</f>
        <v>LIMAS P/ODONTOLOGIA; MATERIAL: CARBURO DE TUNGSTENO, NUMERO: 15/40, LARGO: 31 mm, TIPO: K, PRESENTACION: ENVASE X 6 UNIDADES</v>
      </c>
      <c r="D130" s="133"/>
      <c r="E130" s="133"/>
      <c r="F130" s="133"/>
      <c r="G130" s="134"/>
      <c r="H130" s="184" t="s">
        <v>228</v>
      </c>
      <c r="I130" s="185" t="str">
        <f>'NECESIDADES TRIMESTRALES'!F128</f>
        <v>BLISTER</v>
      </c>
      <c r="J130" s="186">
        <f>'NECESIDADES TRIMESTRALES'!H128</f>
        <v>1150</v>
      </c>
      <c r="K130" s="130">
        <f>'NECESIDADES TRIMESTRALES'!G128</f>
        <v>23</v>
      </c>
      <c r="L130" s="129">
        <f t="shared" si="2"/>
        <v>26450</v>
      </c>
      <c r="M130" s="129"/>
    </row>
    <row r="131" spans="1:13" ht="18.75" customHeight="1" x14ac:dyDescent="0.2">
      <c r="A131" s="179">
        <v>120</v>
      </c>
      <c r="B131" s="202"/>
      <c r="C131" s="187" t="str">
        <f>'NECESIDADES TRIMESTRALES'!E129</f>
        <v>LIMAS P/ODONTOLOGIA; MATERIAL: CARBURO DE TUNGSTENO, NUMERO: 45/80, LARGO: 25 mm, TIPO: K, PRESENTACION: ENVASE X 6 UNIDADES</v>
      </c>
      <c r="D131" s="133"/>
      <c r="E131" s="133"/>
      <c r="F131" s="133"/>
      <c r="G131" s="134"/>
      <c r="H131" s="184" t="s">
        <v>228</v>
      </c>
      <c r="I131" s="185" t="str">
        <f>'NECESIDADES TRIMESTRALES'!F129</f>
        <v>BLISTER</v>
      </c>
      <c r="J131" s="186">
        <f>'NECESIDADES TRIMESTRALES'!H129</f>
        <v>1150</v>
      </c>
      <c r="K131" s="130">
        <f>'NECESIDADES TRIMESTRALES'!G129</f>
        <v>23</v>
      </c>
      <c r="L131" s="129">
        <f t="shared" si="2"/>
        <v>26450</v>
      </c>
      <c r="M131" s="129"/>
    </row>
    <row r="132" spans="1:13" ht="18.75" customHeight="1" x14ac:dyDescent="0.2">
      <c r="A132" s="179">
        <v>121</v>
      </c>
      <c r="B132" s="202"/>
      <c r="C132" s="187" t="str">
        <f>'NECESIDADES TRIMESTRALES'!E130</f>
        <v>MANGO PARA ESPEJO BUCAL, DESCARTABLE: NO, PRESENTACION: UNIDAD</v>
      </c>
      <c r="D132" s="133"/>
      <c r="E132" s="133"/>
      <c r="F132" s="133"/>
      <c r="G132" s="134"/>
      <c r="H132" s="184" t="s">
        <v>228</v>
      </c>
      <c r="I132" s="185" t="str">
        <f>'NECESIDADES TRIMESTRALES'!F130</f>
        <v>UNIDAD</v>
      </c>
      <c r="J132" s="186">
        <f>'NECESIDADES TRIMESTRALES'!H130</f>
        <v>210</v>
      </c>
      <c r="K132" s="130">
        <f>'NECESIDADES TRIMESTRALES'!G130</f>
        <v>100</v>
      </c>
      <c r="L132" s="129">
        <f t="shared" si="2"/>
        <v>21000</v>
      </c>
      <c r="M132" s="129"/>
    </row>
    <row r="133" spans="1:13" ht="18.75" customHeight="1" x14ac:dyDescent="0.2">
      <c r="A133" s="179">
        <v>122</v>
      </c>
      <c r="B133" s="202"/>
      <c r="C133" s="187" t="str">
        <f>'NECESIDADES TRIMESTRALES'!E131</f>
        <v>MANGOS DE BISTURI; TIPO: MANGO DE BISTURI, USO: ODONTOLOGICO, CUERPO: 147 dBV/mPa , CAMBIAR HOJAS: SI, NUMERO: 15, MATERIAL DEL CUERPO: 147 dBV/mPa , MATERIAL: METAL</v>
      </c>
      <c r="D133" s="133"/>
      <c r="E133" s="133"/>
      <c r="F133" s="133"/>
      <c r="G133" s="134"/>
      <c r="H133" s="184" t="s">
        <v>228</v>
      </c>
      <c r="I133" s="185" t="str">
        <f>'NECESIDADES TRIMESTRALES'!F131</f>
        <v>UNIDAD</v>
      </c>
      <c r="J133" s="186">
        <f>'NECESIDADES TRIMESTRALES'!H131</f>
        <v>250</v>
      </c>
      <c r="K133" s="130">
        <f>'NECESIDADES TRIMESTRALES'!G131</f>
        <v>50</v>
      </c>
      <c r="L133" s="129">
        <f t="shared" si="2"/>
        <v>12500</v>
      </c>
      <c r="M133" s="129"/>
    </row>
    <row r="134" spans="1:13" ht="18.75" customHeight="1" x14ac:dyDescent="0.2">
      <c r="A134" s="179">
        <v>123</v>
      </c>
      <c r="B134" s="202"/>
      <c r="C134" s="187" t="str">
        <f>'NECESIDADES TRIMESTRALES'!E132</f>
        <v>MATRIZ METALICA, DESCARTABLE: NO, PRESENTACION: UNIDAD</v>
      </c>
      <c r="D134" s="133"/>
      <c r="E134" s="133"/>
      <c r="F134" s="133"/>
      <c r="G134" s="134"/>
      <c r="H134" s="184" t="s">
        <v>228</v>
      </c>
      <c r="I134" s="185" t="str">
        <f>'NECESIDADES TRIMESTRALES'!F132</f>
        <v>UNIDAD</v>
      </c>
      <c r="J134" s="186">
        <f>'NECESIDADES TRIMESTRALES'!H132</f>
        <v>870</v>
      </c>
      <c r="K134" s="130">
        <f>'NECESIDADES TRIMESTRALES'!G132</f>
        <v>10</v>
      </c>
      <c r="L134" s="129">
        <f t="shared" si="2"/>
        <v>8700</v>
      </c>
      <c r="M134" s="129"/>
    </row>
    <row r="135" spans="1:13" ht="18.75" customHeight="1" x14ac:dyDescent="0.2">
      <c r="A135" s="179">
        <v>124</v>
      </c>
      <c r="B135" s="202"/>
      <c r="C135" s="187" t="str">
        <f>'NECESIDADES TRIMESTRALES'!E133</f>
        <v>MECHA FLAMEADOR, DESCARTABLE: SI, PRESENTACION: UNIDAD</v>
      </c>
      <c r="D135" s="133"/>
      <c r="E135" s="133"/>
      <c r="F135" s="133"/>
      <c r="G135" s="134"/>
      <c r="H135" s="184" t="s">
        <v>228</v>
      </c>
      <c r="I135" s="185" t="str">
        <f>'NECESIDADES TRIMESTRALES'!F133</f>
        <v>UNIDAD</v>
      </c>
      <c r="J135" s="186">
        <f>'NECESIDADES TRIMESTRALES'!H133</f>
        <v>20</v>
      </c>
      <c r="K135" s="130">
        <f>'NECESIDADES TRIMESTRALES'!G133</f>
        <v>20</v>
      </c>
      <c r="L135" s="129">
        <f t="shared" si="2"/>
        <v>400</v>
      </c>
      <c r="M135" s="129"/>
    </row>
    <row r="136" spans="1:13" ht="18.75" customHeight="1" x14ac:dyDescent="0.2">
      <c r="A136" s="179">
        <v>125</v>
      </c>
      <c r="B136" s="202"/>
      <c r="C136" s="187" t="str">
        <f>'NECESIDADES TRIMESTRALES'!E134</f>
        <v>MICROBRUSH, DESCARTABLE: SI, PRESENTACION: ENVASE X 100 UN</v>
      </c>
      <c r="D136" s="133"/>
      <c r="E136" s="133"/>
      <c r="F136" s="133"/>
      <c r="G136" s="134"/>
      <c r="H136" s="184" t="s">
        <v>228</v>
      </c>
      <c r="I136" s="185" t="str">
        <f>'NECESIDADES TRIMESTRALES'!F134</f>
        <v>CAJA</v>
      </c>
      <c r="J136" s="186">
        <f>'NECESIDADES TRIMESTRALES'!H134</f>
        <v>520</v>
      </c>
      <c r="K136" s="130">
        <f>'NECESIDADES TRIMESTRALES'!G134</f>
        <v>20</v>
      </c>
      <c r="L136" s="129">
        <f t="shared" si="2"/>
        <v>10400</v>
      </c>
      <c r="M136" s="129"/>
    </row>
    <row r="137" spans="1:13" ht="18.75" customHeight="1" x14ac:dyDescent="0.2">
      <c r="A137" s="179">
        <v>126</v>
      </c>
      <c r="B137" s="202"/>
      <c r="C137" s="187" t="str">
        <f>'NECESIDADES TRIMESTRALES'!E135</f>
        <v>MICROMOTOR, DESCARTABLE: NO, PRESENTACION: UNIDAD</v>
      </c>
      <c r="D137" s="133"/>
      <c r="E137" s="133"/>
      <c r="F137" s="133"/>
      <c r="G137" s="134"/>
      <c r="H137" s="184" t="s">
        <v>228</v>
      </c>
      <c r="I137" s="185" t="str">
        <f>'NECESIDADES TRIMESTRALES'!F135</f>
        <v>UNIDAD</v>
      </c>
      <c r="J137" s="186">
        <f>'NECESIDADES TRIMESTRALES'!H135</f>
        <v>13195</v>
      </c>
      <c r="K137" s="130">
        <f>'NECESIDADES TRIMESTRALES'!G135</f>
        <v>10</v>
      </c>
      <c r="L137" s="129">
        <f t="shared" si="2"/>
        <v>131950</v>
      </c>
      <c r="M137" s="129"/>
    </row>
    <row r="138" spans="1:13" ht="18.75" customHeight="1" x14ac:dyDescent="0.2">
      <c r="A138" s="179">
        <v>127</v>
      </c>
      <c r="B138" s="202"/>
      <c r="C138" s="187" t="str">
        <f>'NECESIDADES TRIMESTRALES'!E136</f>
        <v>PALILLOS P/ODONTOLOGIA; MATERIAL : MADERA, USO: RECONSTRUCCIONES DENTARIAS, PRESENTACION: ENVASE X 100 UNIDADES</v>
      </c>
      <c r="D138" s="133"/>
      <c r="E138" s="133"/>
      <c r="F138" s="133"/>
      <c r="G138" s="134"/>
      <c r="H138" s="184" t="s">
        <v>228</v>
      </c>
      <c r="I138" s="185" t="str">
        <f>'NECESIDADES TRIMESTRALES'!F136</f>
        <v>CAJA</v>
      </c>
      <c r="J138" s="186">
        <f>'NECESIDADES TRIMESTRALES'!H136</f>
        <v>1764.32</v>
      </c>
      <c r="K138" s="130">
        <f>'NECESIDADES TRIMESTRALES'!G136</f>
        <v>10</v>
      </c>
      <c r="L138" s="129">
        <f t="shared" si="2"/>
        <v>17643.2</v>
      </c>
      <c r="M138" s="129"/>
    </row>
    <row r="139" spans="1:13" ht="18.75" customHeight="1" x14ac:dyDescent="0.2">
      <c r="A139" s="179">
        <v>128</v>
      </c>
      <c r="B139" s="202"/>
      <c r="C139" s="187" t="str">
        <f>'NECESIDADES TRIMESTRALES'!E137</f>
        <v>PAPEL DE ARTICULAR, PRESENTACION: ENVASE X 12 BLOCKS, DESCARTABLE: SI</v>
      </c>
      <c r="D139" s="133"/>
      <c r="E139" s="133"/>
      <c r="F139" s="133"/>
      <c r="G139" s="134"/>
      <c r="H139" s="184" t="s">
        <v>228</v>
      </c>
      <c r="I139" s="185" t="str">
        <f>'NECESIDADES TRIMESTRALES'!F137</f>
        <v>CAJA</v>
      </c>
      <c r="J139" s="186">
        <f>'NECESIDADES TRIMESTRALES'!H137</f>
        <v>1150</v>
      </c>
      <c r="K139" s="130">
        <f>'NECESIDADES TRIMESTRALES'!G137</f>
        <v>20</v>
      </c>
      <c r="L139" s="129">
        <f t="shared" si="2"/>
        <v>23000</v>
      </c>
      <c r="M139" s="129"/>
    </row>
    <row r="140" spans="1:13" ht="18.75" customHeight="1" x14ac:dyDescent="0.2">
      <c r="A140" s="179">
        <v>129</v>
      </c>
      <c r="B140" s="202"/>
      <c r="C140" s="187" t="str">
        <f>'NECESIDADES TRIMESTRALES'!E138</f>
        <v>PASTAS P/ODONTOLOGIA; USO: OBTURACION, TIPO: GUTAPERCHA, PRESENTACION: ENVASE X 40 GR</v>
      </c>
      <c r="D140" s="133"/>
      <c r="E140" s="133"/>
      <c r="F140" s="133"/>
      <c r="G140" s="134"/>
      <c r="H140" s="184" t="s">
        <v>228</v>
      </c>
      <c r="I140" s="185" t="str">
        <f>'NECESIDADES TRIMESTRALES'!F138</f>
        <v>UNIDAD</v>
      </c>
      <c r="J140" s="186">
        <f>'NECESIDADES TRIMESTRALES'!H138</f>
        <v>858</v>
      </c>
      <c r="K140" s="130">
        <f>'NECESIDADES TRIMESTRALES'!G138</f>
        <v>50</v>
      </c>
      <c r="L140" s="129">
        <f t="shared" si="2"/>
        <v>42900</v>
      </c>
      <c r="M140" s="129"/>
    </row>
    <row r="141" spans="1:13" ht="18.75" customHeight="1" x14ac:dyDescent="0.2">
      <c r="A141" s="179">
        <v>130</v>
      </c>
      <c r="B141" s="202"/>
      <c r="C141" s="187" t="str">
        <f>'NECESIDADES TRIMESTRALES'!E139</f>
        <v>PASTAS P/ODONTOLOGIA; USO: SELLADOR, TIPO: COMPOMERO, PRESENTACION: JERINGA X 2 GR</v>
      </c>
      <c r="D141" s="133"/>
      <c r="E141" s="133"/>
      <c r="F141" s="133"/>
      <c r="G141" s="134"/>
      <c r="H141" s="184" t="s">
        <v>228</v>
      </c>
      <c r="I141" s="185" t="str">
        <f>'NECESIDADES TRIMESTRALES'!F139</f>
        <v>UNIDAD</v>
      </c>
      <c r="J141" s="186">
        <f>'NECESIDADES TRIMESTRALES'!H139</f>
        <v>1637</v>
      </c>
      <c r="K141" s="130">
        <f>'NECESIDADES TRIMESTRALES'!G139</f>
        <v>50</v>
      </c>
      <c r="L141" s="129">
        <f t="shared" ref="L141:L164" si="3">+J141*K141</f>
        <v>81850</v>
      </c>
      <c r="M141" s="129"/>
    </row>
    <row r="142" spans="1:13" ht="18.75" customHeight="1" x14ac:dyDescent="0.2">
      <c r="A142" s="179">
        <v>131</v>
      </c>
      <c r="B142" s="202"/>
      <c r="C142" s="187" t="str">
        <f>'NECESIDADES TRIMESTRALES'!E140</f>
        <v>PINZA DE ALGODON, DESCARTABLE: NO, PRESENTACION: UNIDAD</v>
      </c>
      <c r="D142" s="133"/>
      <c r="E142" s="133"/>
      <c r="F142" s="133"/>
      <c r="G142" s="134"/>
      <c r="H142" s="184" t="s">
        <v>228</v>
      </c>
      <c r="I142" s="185" t="str">
        <f>'NECESIDADES TRIMESTRALES'!F140</f>
        <v>UNIDAD</v>
      </c>
      <c r="J142" s="186">
        <f>'NECESIDADES TRIMESTRALES'!H140</f>
        <v>280</v>
      </c>
      <c r="K142" s="130">
        <f>'NECESIDADES TRIMESTRALES'!G140</f>
        <v>50</v>
      </c>
      <c r="L142" s="129">
        <f t="shared" si="3"/>
        <v>14000</v>
      </c>
      <c r="M142" s="129"/>
    </row>
    <row r="143" spans="1:13" ht="18.75" customHeight="1" x14ac:dyDescent="0.2">
      <c r="A143" s="179">
        <v>132</v>
      </c>
      <c r="B143" s="202"/>
      <c r="C143" s="187" t="str">
        <f>'NECESIDADES TRIMESTRALES'!E141</f>
        <v>PINZA P/ CONO DE GUTAPERCHA, DESCARTABLE: NO, PRESENTACION: UNIDAD</v>
      </c>
      <c r="D143" s="133"/>
      <c r="E143" s="133"/>
      <c r="F143" s="133"/>
      <c r="G143" s="134"/>
      <c r="H143" s="184" t="s">
        <v>228</v>
      </c>
      <c r="I143" s="185" t="str">
        <f>'NECESIDADES TRIMESTRALES'!F141</f>
        <v>UNIDAD</v>
      </c>
      <c r="J143" s="186">
        <f>'NECESIDADES TRIMESTRALES'!H141</f>
        <v>7810.44</v>
      </c>
      <c r="K143" s="130">
        <f>'NECESIDADES TRIMESTRALES'!G141</f>
        <v>10</v>
      </c>
      <c r="L143" s="129">
        <f t="shared" si="3"/>
        <v>78104.399999999994</v>
      </c>
      <c r="M143" s="129"/>
    </row>
    <row r="144" spans="1:13" ht="18.75" customHeight="1" x14ac:dyDescent="0.2">
      <c r="A144" s="179">
        <v>133</v>
      </c>
      <c r="B144" s="202"/>
      <c r="C144" s="187" t="str">
        <f>'NECESIDADES TRIMESTRALES'!E142</f>
        <v>PINZAS DE CIRUGIA; TIPO: DISECCION SIN DIENTE, MEDIDA: 13 Cm</v>
      </c>
      <c r="D144" s="133"/>
      <c r="E144" s="133"/>
      <c r="F144" s="133"/>
      <c r="G144" s="134"/>
      <c r="H144" s="184" t="s">
        <v>228</v>
      </c>
      <c r="I144" s="185" t="str">
        <f>'NECESIDADES TRIMESTRALES'!F142</f>
        <v>UNIDAD</v>
      </c>
      <c r="J144" s="186">
        <f>'NECESIDADES TRIMESTRALES'!H142</f>
        <v>455</v>
      </c>
      <c r="K144" s="130">
        <f>'NECESIDADES TRIMESTRALES'!G142</f>
        <v>10</v>
      </c>
      <c r="L144" s="129">
        <f t="shared" si="3"/>
        <v>4550</v>
      </c>
      <c r="M144" s="129"/>
    </row>
    <row r="145" spans="1:13" ht="18.75" customHeight="1" x14ac:dyDescent="0.2">
      <c r="A145" s="179">
        <v>134</v>
      </c>
      <c r="B145" s="202"/>
      <c r="C145" s="187" t="str">
        <f>'NECESIDADES TRIMESTRALES'!E143</f>
        <v>PINZAS P/MEDICINA; USO: ODONTOLOGICO, TIPO: GUBIA, MEDIDA: 20 Cm</v>
      </c>
      <c r="D145" s="133"/>
      <c r="E145" s="133"/>
      <c r="F145" s="133"/>
      <c r="G145" s="134"/>
      <c r="H145" s="184" t="s">
        <v>228</v>
      </c>
      <c r="I145" s="185" t="str">
        <f>'NECESIDADES TRIMESTRALES'!F143</f>
        <v>UNIDAD</v>
      </c>
      <c r="J145" s="186">
        <f>'NECESIDADES TRIMESTRALES'!H143</f>
        <v>1974.69</v>
      </c>
      <c r="K145" s="130">
        <f>'NECESIDADES TRIMESTRALES'!G143</f>
        <v>70</v>
      </c>
      <c r="L145" s="129">
        <f t="shared" si="3"/>
        <v>138228.30000000002</v>
      </c>
      <c r="M145" s="129"/>
    </row>
    <row r="146" spans="1:13" ht="18.75" customHeight="1" x14ac:dyDescent="0.2">
      <c r="A146" s="179">
        <v>135</v>
      </c>
      <c r="B146" s="202"/>
      <c r="C146" s="187" t="str">
        <f>'NECESIDADES TRIMESTRALES'!E144</f>
        <v>PINZAS P/MEDICINA; USO: ODONTOLOGICO, TIPO: PORTA CLAMPS, MEDIDA: 20 Cm</v>
      </c>
      <c r="D146" s="133"/>
      <c r="E146" s="133"/>
      <c r="F146" s="133"/>
      <c r="G146" s="134"/>
      <c r="H146" s="184" t="s">
        <v>228</v>
      </c>
      <c r="I146" s="185" t="str">
        <f>'NECESIDADES TRIMESTRALES'!F144</f>
        <v>UNIDAD</v>
      </c>
      <c r="J146" s="186">
        <f>'NECESIDADES TRIMESTRALES'!H144</f>
        <v>1605.2</v>
      </c>
      <c r="K146" s="130">
        <f>'NECESIDADES TRIMESTRALES'!G144</f>
        <v>30</v>
      </c>
      <c r="L146" s="129">
        <f t="shared" si="3"/>
        <v>48156</v>
      </c>
      <c r="M146" s="129"/>
    </row>
    <row r="147" spans="1:13" ht="18.75" customHeight="1" x14ac:dyDescent="0.2">
      <c r="A147" s="179">
        <v>136</v>
      </c>
      <c r="B147" s="202"/>
      <c r="C147" s="187" t="str">
        <f>'NECESIDADES TRIMESTRALES'!E145</f>
        <v>PINZAS/FORCEPS DE EXODONCIA DE 1° MOLARES INFERIOR; TIPO: ODONTOLOGIA, MEDIDA: 15 Cm</v>
      </c>
      <c r="D147" s="133"/>
      <c r="E147" s="133"/>
      <c r="F147" s="133"/>
      <c r="G147" s="134"/>
      <c r="H147" s="184" t="s">
        <v>228</v>
      </c>
      <c r="I147" s="185" t="str">
        <f>'NECESIDADES TRIMESTRALES'!F145</f>
        <v>UNIDAD</v>
      </c>
      <c r="J147" s="186">
        <f>'NECESIDADES TRIMESTRALES'!H145</f>
        <v>480</v>
      </c>
      <c r="K147" s="130">
        <f>'NECESIDADES TRIMESTRALES'!G145</f>
        <v>100</v>
      </c>
      <c r="L147" s="129">
        <f t="shared" si="3"/>
        <v>48000</v>
      </c>
      <c r="M147" s="129"/>
    </row>
    <row r="148" spans="1:13" ht="18.75" customHeight="1" x14ac:dyDescent="0.2">
      <c r="A148" s="179">
        <v>137</v>
      </c>
      <c r="B148" s="202"/>
      <c r="C148" s="187" t="str">
        <f>'NECESIDADES TRIMESTRALES'!E146</f>
        <v>PLACA BASE INFERIOR, PRESENTACION: ENVASE X 100</v>
      </c>
      <c r="D148" s="133"/>
      <c r="E148" s="133"/>
      <c r="F148" s="133"/>
      <c r="G148" s="134"/>
      <c r="H148" s="184" t="s">
        <v>228</v>
      </c>
      <c r="I148" s="185" t="str">
        <f>'NECESIDADES TRIMESTRALES'!F146</f>
        <v>CAJA</v>
      </c>
      <c r="J148" s="186">
        <f>'NECESIDADES TRIMESTRALES'!H146</f>
        <v>5040</v>
      </c>
      <c r="K148" s="130">
        <f>'NECESIDADES TRIMESTRALES'!G146</f>
        <v>5</v>
      </c>
      <c r="L148" s="129">
        <f t="shared" si="3"/>
        <v>25200</v>
      </c>
      <c r="M148" s="129"/>
    </row>
    <row r="149" spans="1:13" ht="18.75" customHeight="1" x14ac:dyDescent="0.2">
      <c r="A149" s="179">
        <v>138</v>
      </c>
      <c r="B149" s="202"/>
      <c r="C149" s="187" t="str">
        <f>'NECESIDADES TRIMESTRALES'!E147</f>
        <v>PLACA BASE SUPERIOR, PRESENTACION: ENVASE X 100</v>
      </c>
      <c r="D149" s="133"/>
      <c r="E149" s="133"/>
      <c r="F149" s="133"/>
      <c r="G149" s="134"/>
      <c r="H149" s="184" t="s">
        <v>228</v>
      </c>
      <c r="I149" s="185" t="str">
        <f>'NECESIDADES TRIMESTRALES'!F147</f>
        <v>CAJA</v>
      </c>
      <c r="J149" s="186">
        <f>'NECESIDADES TRIMESTRALES'!H147</f>
        <v>5040</v>
      </c>
      <c r="K149" s="130">
        <f>'NECESIDADES TRIMESTRALES'!G147</f>
        <v>5</v>
      </c>
      <c r="L149" s="129">
        <f t="shared" si="3"/>
        <v>25200</v>
      </c>
      <c r="M149" s="129"/>
    </row>
    <row r="150" spans="1:13" ht="18.75" customHeight="1" x14ac:dyDescent="0.2">
      <c r="A150" s="179">
        <v>139</v>
      </c>
      <c r="B150" s="202"/>
      <c r="C150" s="187" t="str">
        <f>'NECESIDADES TRIMESTRALES'!E148</f>
        <v>PLACAS RADIOGRAFICAS; SENSIBILIDAD: AL VERDE, DIMENSION: P/ODONTOLOGIA, PRESENTACION: ENVASE X 150 UNIDADES</v>
      </c>
      <c r="D150" s="133"/>
      <c r="E150" s="133"/>
      <c r="F150" s="133"/>
      <c r="G150" s="134"/>
      <c r="H150" s="184" t="s">
        <v>228</v>
      </c>
      <c r="I150" s="185" t="str">
        <f>'NECESIDADES TRIMESTRALES'!F148</f>
        <v>CAJA</v>
      </c>
      <c r="J150" s="186">
        <f>'NECESIDADES TRIMESTRALES'!H148</f>
        <v>6680</v>
      </c>
      <c r="K150" s="130">
        <f>'NECESIDADES TRIMESTRALES'!G148</f>
        <v>40</v>
      </c>
      <c r="L150" s="129">
        <f t="shared" si="3"/>
        <v>267200</v>
      </c>
      <c r="M150" s="129"/>
    </row>
    <row r="151" spans="1:13" ht="18.75" customHeight="1" x14ac:dyDescent="0.2">
      <c r="A151" s="179">
        <v>140</v>
      </c>
      <c r="B151" s="202"/>
      <c r="C151" s="187" t="str">
        <f>'NECESIDADES TRIMESTRALES'!E149</f>
        <v>PORTA ALGODÓN, DESCARTABLE: NO, PRESENTACION: UNIDAD</v>
      </c>
      <c r="D151" s="133"/>
      <c r="E151" s="133"/>
      <c r="F151" s="133"/>
      <c r="G151" s="134"/>
      <c r="H151" s="184" t="s">
        <v>228</v>
      </c>
      <c r="I151" s="185" t="str">
        <f>'NECESIDADES TRIMESTRALES'!F149</f>
        <v>UNIDAD</v>
      </c>
      <c r="J151" s="186">
        <f>'NECESIDADES TRIMESTRALES'!H149</f>
        <v>1040</v>
      </c>
      <c r="K151" s="130">
        <f>'NECESIDADES TRIMESTRALES'!G149</f>
        <v>30</v>
      </c>
      <c r="L151" s="129">
        <f t="shared" si="3"/>
        <v>31200</v>
      </c>
      <c r="M151" s="129"/>
    </row>
    <row r="152" spans="1:13" ht="18.75" customHeight="1" x14ac:dyDescent="0.2">
      <c r="A152" s="179">
        <v>141</v>
      </c>
      <c r="B152" s="202"/>
      <c r="C152" s="187" t="str">
        <f>'NECESIDADES TRIMESTRALES'!E150</f>
        <v>REVELADORES P/RADIOLOGIA; SENSIBILIDAD: AL VERDE, PROCESO: MANUAL, PROCESO DE UTILIZACION: MANUAL, PRESENTACION: BOTELLA, CAPACIDAD: 480 Ml</v>
      </c>
      <c r="D152" s="133"/>
      <c r="E152" s="133"/>
      <c r="F152" s="133"/>
      <c r="G152" s="134"/>
      <c r="H152" s="184" t="s">
        <v>228</v>
      </c>
      <c r="I152" s="185" t="str">
        <f>'NECESIDADES TRIMESTRALES'!F150</f>
        <v>BOTELLA</v>
      </c>
      <c r="J152" s="186">
        <f>'NECESIDADES TRIMESTRALES'!H150</f>
        <v>570</v>
      </c>
      <c r="K152" s="130">
        <f>'NECESIDADES TRIMESTRALES'!G150</f>
        <v>120</v>
      </c>
      <c r="L152" s="129">
        <f t="shared" si="3"/>
        <v>68400</v>
      </c>
      <c r="M152" s="129"/>
    </row>
    <row r="153" spans="1:13" ht="18.75" customHeight="1" x14ac:dyDescent="0.2">
      <c r="A153" s="179">
        <v>142</v>
      </c>
      <c r="B153" s="202"/>
      <c r="C153" s="187" t="str">
        <f>'NECESIDADES TRIMESTRALES'!E151</f>
        <v>SACABANDAS P/MOLARES; DESCARTABLE: NO, PRESENTACION: UNIDAD</v>
      </c>
      <c r="D153" s="133"/>
      <c r="E153" s="133"/>
      <c r="F153" s="133"/>
      <c r="G153" s="134"/>
      <c r="H153" s="184" t="s">
        <v>228</v>
      </c>
      <c r="I153" s="185" t="str">
        <f>'NECESIDADES TRIMESTRALES'!F151</f>
        <v>UNIDAD</v>
      </c>
      <c r="J153" s="186">
        <f>'NECESIDADES TRIMESTRALES'!H151</f>
        <v>2900</v>
      </c>
      <c r="K153" s="130">
        <f>'NECESIDADES TRIMESTRALES'!G151</f>
        <v>10</v>
      </c>
      <c r="L153" s="129">
        <f t="shared" si="3"/>
        <v>29000</v>
      </c>
      <c r="M153" s="129"/>
    </row>
    <row r="154" spans="1:13" ht="18.75" customHeight="1" x14ac:dyDescent="0.2">
      <c r="A154" s="179">
        <v>143</v>
      </c>
      <c r="B154" s="202"/>
      <c r="C154" s="187" t="str">
        <f>'NECESIDADES TRIMESTRALES'!E152</f>
        <v>SEPARADOR DE YESO ROSA, DESCARTABLE: SI, PRESENTACION: ENVASE X 1 L</v>
      </c>
      <c r="D154" s="133"/>
      <c r="E154" s="133"/>
      <c r="F154" s="133"/>
      <c r="G154" s="134"/>
      <c r="H154" s="184" t="s">
        <v>228</v>
      </c>
      <c r="I154" s="185" t="str">
        <f>'NECESIDADES TRIMESTRALES'!F152</f>
        <v>UNIDAD</v>
      </c>
      <c r="J154" s="186">
        <f>'NECESIDADES TRIMESTRALES'!H152</f>
        <v>950</v>
      </c>
      <c r="K154" s="130">
        <f>'NECESIDADES TRIMESTRALES'!G152</f>
        <v>10</v>
      </c>
      <c r="L154" s="129">
        <f t="shared" si="3"/>
        <v>9500</v>
      </c>
      <c r="M154" s="129"/>
    </row>
    <row r="155" spans="1:13" ht="18.75" customHeight="1" x14ac:dyDescent="0.2">
      <c r="A155" s="179">
        <v>144</v>
      </c>
      <c r="B155" s="202"/>
      <c r="C155" s="187" t="str">
        <f>'NECESIDADES TRIMESTRALES'!E153</f>
        <v>SEPARADORES DE CIRUGIA, DESCARTABLE: NO, PRESENTACION: UNIDAD</v>
      </c>
      <c r="D155" s="133"/>
      <c r="E155" s="133"/>
      <c r="F155" s="133"/>
      <c r="G155" s="134"/>
      <c r="H155" s="184" t="s">
        <v>228</v>
      </c>
      <c r="I155" s="185" t="str">
        <f>'NECESIDADES TRIMESTRALES'!F153</f>
        <v>UNIDAD</v>
      </c>
      <c r="J155" s="186">
        <f>'NECESIDADES TRIMESTRALES'!H153</f>
        <v>650</v>
      </c>
      <c r="K155" s="130">
        <f>'NECESIDADES TRIMESTRALES'!G153</f>
        <v>10</v>
      </c>
      <c r="L155" s="129">
        <f t="shared" si="3"/>
        <v>6500</v>
      </c>
      <c r="M155" s="129"/>
    </row>
    <row r="156" spans="1:13" ht="18.75" customHeight="1" x14ac:dyDescent="0.2">
      <c r="A156" s="179">
        <v>145</v>
      </c>
      <c r="B156" s="202"/>
      <c r="C156" s="187" t="str">
        <f>'NECESIDADES TRIMESTRALES'!E154</f>
        <v>TIJERAS P/MEDICINA; TIPO: SPENCER, MEDIDA: 11 Cm, USO: SUTURA</v>
      </c>
      <c r="D156" s="133"/>
      <c r="E156" s="133"/>
      <c r="F156" s="133"/>
      <c r="G156" s="134"/>
      <c r="H156" s="184" t="s">
        <v>228</v>
      </c>
      <c r="I156" s="185" t="str">
        <f>'NECESIDADES TRIMESTRALES'!F154</f>
        <v>UNIDAD</v>
      </c>
      <c r="J156" s="186">
        <f>'NECESIDADES TRIMESTRALES'!H154</f>
        <v>899</v>
      </c>
      <c r="K156" s="130">
        <f>'NECESIDADES TRIMESTRALES'!G154</f>
        <v>5</v>
      </c>
      <c r="L156" s="129">
        <f t="shared" si="3"/>
        <v>4495</v>
      </c>
      <c r="M156" s="129"/>
    </row>
    <row r="157" spans="1:13" ht="18.75" customHeight="1" x14ac:dyDescent="0.2">
      <c r="A157" s="179">
        <v>146</v>
      </c>
      <c r="B157" s="202"/>
      <c r="C157" s="187" t="str">
        <f>'NECESIDADES TRIMESTRALES'!E155</f>
        <v>TIRA P/PULIR COMPOSITE, DESCARTABLE: NO, PRESENTACION: ENVASE X 100 UN</v>
      </c>
      <c r="D157" s="133"/>
      <c r="E157" s="133"/>
      <c r="F157" s="133"/>
      <c r="G157" s="134"/>
      <c r="H157" s="184" t="s">
        <v>228</v>
      </c>
      <c r="I157" s="185" t="str">
        <f>'NECESIDADES TRIMESTRALES'!F155</f>
        <v>CAJA</v>
      </c>
      <c r="J157" s="186">
        <f>'NECESIDADES TRIMESTRALES'!H155</f>
        <v>990</v>
      </c>
      <c r="K157" s="130">
        <f>'NECESIDADES TRIMESTRALES'!G155</f>
        <v>30</v>
      </c>
      <c r="L157" s="129">
        <f t="shared" si="3"/>
        <v>29700</v>
      </c>
      <c r="M157" s="129"/>
    </row>
    <row r="158" spans="1:13" ht="18.75" customHeight="1" x14ac:dyDescent="0.2">
      <c r="A158" s="179">
        <v>147</v>
      </c>
      <c r="B158" s="202"/>
      <c r="C158" s="187" t="str">
        <f>'NECESIDADES TRIMESTRALES'!E156</f>
        <v>TOALLITAS P/ODONTOLOGIA; TIPO: DESCONTAMINANTE DE SUPERFICIE, PRESENTACION: ENVASE X 170 UN</v>
      </c>
      <c r="D158" s="133"/>
      <c r="E158" s="133"/>
      <c r="F158" s="133"/>
      <c r="G158" s="134"/>
      <c r="H158" s="184" t="s">
        <v>228</v>
      </c>
      <c r="I158" s="185" t="str">
        <f>'NECESIDADES TRIMESTRALES'!F156</f>
        <v>TUBO</v>
      </c>
      <c r="J158" s="186">
        <f>'NECESIDADES TRIMESTRALES'!H156</f>
        <v>540</v>
      </c>
      <c r="K158" s="130">
        <f>'NECESIDADES TRIMESTRALES'!G156</f>
        <v>100</v>
      </c>
      <c r="L158" s="129">
        <f t="shared" si="3"/>
        <v>54000</v>
      </c>
      <c r="M158" s="129"/>
    </row>
    <row r="159" spans="1:13" ht="18.75" customHeight="1" x14ac:dyDescent="0.2">
      <c r="A159" s="179">
        <v>148</v>
      </c>
      <c r="B159" s="202"/>
      <c r="C159" s="187" t="str">
        <f>'NECESIDADES TRIMESTRALES'!E157</f>
        <v>TOPICOS ODONTOLOGICOS; DROGA GENERICA: FLUORURO DIAMIN. PLATA CARIOST, ESTADO: SOLUCION, PRESENTACION: ENVASE X 5 Ml</v>
      </c>
      <c r="D159" s="133"/>
      <c r="E159" s="133"/>
      <c r="F159" s="133"/>
      <c r="G159" s="134"/>
      <c r="H159" s="184" t="s">
        <v>228</v>
      </c>
      <c r="I159" s="185" t="str">
        <f>'NECESIDADES TRIMESTRALES'!F157</f>
        <v>UNIDAD</v>
      </c>
      <c r="J159" s="186">
        <f>'NECESIDADES TRIMESTRALES'!H157</f>
        <v>1790</v>
      </c>
      <c r="K159" s="130">
        <f>'NECESIDADES TRIMESTRALES'!G157</f>
        <v>150</v>
      </c>
      <c r="L159" s="129">
        <f t="shared" si="3"/>
        <v>268500</v>
      </c>
      <c r="M159" s="129"/>
    </row>
    <row r="160" spans="1:13" ht="18.75" customHeight="1" x14ac:dyDescent="0.2">
      <c r="A160" s="179">
        <v>149</v>
      </c>
      <c r="B160" s="202"/>
      <c r="C160" s="187" t="str">
        <f>'NECESIDADES TRIMESTRALES'!E158</f>
        <v>TOPICOS ODONTOLOGICOS; DROGA GENERICA: FORMOCRESOL, ESTADO: LIQUIDO, PRESENTACION: FRASCO X 20 mL</v>
      </c>
      <c r="D160" s="133"/>
      <c r="E160" s="133"/>
      <c r="F160" s="133"/>
      <c r="G160" s="134"/>
      <c r="H160" s="184" t="s">
        <v>228</v>
      </c>
      <c r="I160" s="185" t="str">
        <f>'NECESIDADES TRIMESTRALES'!F158</f>
        <v>UNIDAD</v>
      </c>
      <c r="J160" s="186">
        <f>'NECESIDADES TRIMESTRALES'!H158</f>
        <v>360</v>
      </c>
      <c r="K160" s="130">
        <f>'NECESIDADES TRIMESTRALES'!G158</f>
        <v>30</v>
      </c>
      <c r="L160" s="129">
        <f t="shared" si="3"/>
        <v>10800</v>
      </c>
      <c r="M160" s="129"/>
    </row>
    <row r="161" spans="1:13" ht="18.75" customHeight="1" x14ac:dyDescent="0.2">
      <c r="A161" s="179">
        <v>150</v>
      </c>
      <c r="B161" s="202"/>
      <c r="C161" s="187" t="str">
        <f>'NECESIDADES TRIMESTRALES'!E159</f>
        <v>TURBINA DE ALTA PRECISION, DESCARTABLE: NO, PRESENTACION: UNIDAD</v>
      </c>
      <c r="D161" s="133"/>
      <c r="E161" s="133"/>
      <c r="F161" s="133"/>
      <c r="G161" s="134"/>
      <c r="H161" s="184" t="s">
        <v>228</v>
      </c>
      <c r="I161" s="185" t="str">
        <f>'NECESIDADES TRIMESTRALES'!F159</f>
        <v>UNIDAD</v>
      </c>
      <c r="J161" s="186">
        <f>'NECESIDADES TRIMESTRALES'!H159</f>
        <v>10900</v>
      </c>
      <c r="K161" s="130">
        <f>'NECESIDADES TRIMESTRALES'!G159</f>
        <v>20</v>
      </c>
      <c r="L161" s="129">
        <f t="shared" si="3"/>
        <v>218000</v>
      </c>
      <c r="M161" s="129"/>
    </row>
    <row r="162" spans="1:13" ht="18.75" customHeight="1" x14ac:dyDescent="0.2">
      <c r="A162" s="179">
        <v>151</v>
      </c>
      <c r="B162" s="202"/>
      <c r="C162" s="187" t="str">
        <f>'NECESIDADES TRIMESTRALES'!E160</f>
        <v>VASOS, DESCARTABLE: SI, PRESENTACION: CAJA X 3500 UN</v>
      </c>
      <c r="D162" s="133"/>
      <c r="E162" s="133"/>
      <c r="F162" s="133"/>
      <c r="G162" s="134"/>
      <c r="H162" s="184" t="s">
        <v>228</v>
      </c>
      <c r="I162" s="185" t="str">
        <f>'NECESIDADES TRIMESTRALES'!F160</f>
        <v>CAJA</v>
      </c>
      <c r="J162" s="186">
        <f>'NECESIDADES TRIMESTRALES'!H160</f>
        <v>13080</v>
      </c>
      <c r="K162" s="130">
        <f>'NECESIDADES TRIMESTRALES'!G160</f>
        <v>10</v>
      </c>
      <c r="L162" s="129">
        <f t="shared" si="3"/>
        <v>130800</v>
      </c>
      <c r="M162" s="129"/>
    </row>
    <row r="163" spans="1:13" ht="18.75" customHeight="1" x14ac:dyDescent="0.2">
      <c r="A163" s="179">
        <v>152</v>
      </c>
      <c r="B163" s="202"/>
      <c r="C163" s="187" t="str">
        <f>'NECESIDADES TRIMESTRALES'!E161</f>
        <v>YESO EN POLVO; USO: ODONTOLOGICO, TIPO: PIEDRA, PRESENTACION: BOLSA, PESO: 25 Kg</v>
      </c>
      <c r="D163" s="133"/>
      <c r="E163" s="133"/>
      <c r="F163" s="133"/>
      <c r="G163" s="134"/>
      <c r="H163" s="184" t="s">
        <v>228</v>
      </c>
      <c r="I163" s="185" t="str">
        <f>'NECESIDADES TRIMESTRALES'!F161</f>
        <v>BOLSA</v>
      </c>
      <c r="J163" s="186">
        <f>'NECESIDADES TRIMESTRALES'!H161</f>
        <v>3970</v>
      </c>
      <c r="K163" s="130">
        <f>'NECESIDADES TRIMESTRALES'!G161</f>
        <v>25</v>
      </c>
      <c r="L163" s="129">
        <f t="shared" si="3"/>
        <v>99250</v>
      </c>
      <c r="M163" s="129"/>
    </row>
    <row r="164" spans="1:13" ht="18.75" customHeight="1" x14ac:dyDescent="0.2">
      <c r="A164" s="179">
        <v>153</v>
      </c>
      <c r="B164" s="202"/>
      <c r="C164" s="187" t="str">
        <f>'NECESIDADES TRIMESTRALES'!E162</f>
        <v>YESO EN POLVO; USO: ODONTOLOGICO, TIPO: TALLER, PRESENTACION: BOLSA, PESO: 25 Kg</v>
      </c>
      <c r="D164" s="133"/>
      <c r="E164" s="133"/>
      <c r="F164" s="133"/>
      <c r="G164" s="134"/>
      <c r="H164" s="184" t="s">
        <v>228</v>
      </c>
      <c r="I164" s="185" t="str">
        <f>'NECESIDADES TRIMESTRALES'!F162</f>
        <v>BOLSA</v>
      </c>
      <c r="J164" s="186">
        <f>'NECESIDADES TRIMESTRALES'!H162</f>
        <v>3690</v>
      </c>
      <c r="K164" s="130">
        <f>'NECESIDADES TRIMESTRALES'!G162</f>
        <v>25</v>
      </c>
      <c r="L164" s="129">
        <f t="shared" si="3"/>
        <v>92250</v>
      </c>
      <c r="M164" s="129"/>
    </row>
    <row r="165" spans="1:13" ht="13.5" thickBot="1" x14ac:dyDescent="0.25">
      <c r="A165" s="203"/>
      <c r="B165" s="204"/>
      <c r="C165" s="205"/>
      <c r="D165" s="206"/>
      <c r="E165" s="206"/>
      <c r="F165" s="206"/>
      <c r="G165" s="207"/>
      <c r="H165" s="208"/>
      <c r="I165" s="209"/>
      <c r="J165" s="210"/>
      <c r="K165" s="211"/>
      <c r="M165" s="129"/>
    </row>
    <row r="166" spans="1:13" ht="16.5" thickBot="1" x14ac:dyDescent="0.25">
      <c r="A166" s="285" t="s">
        <v>237</v>
      </c>
      <c r="B166" s="286"/>
      <c r="C166" s="286"/>
      <c r="D166" s="286"/>
      <c r="E166" s="286"/>
      <c r="F166" s="286"/>
      <c r="G166" s="286"/>
      <c r="H166" s="286"/>
      <c r="I166" s="287"/>
      <c r="J166" s="288">
        <f>+L166</f>
        <v>15910004.799999997</v>
      </c>
      <c r="K166" s="289"/>
      <c r="L166" s="129">
        <f>SUM(L12:L165)</f>
        <v>15910004.799999997</v>
      </c>
      <c r="M166" s="129">
        <f>SUM(M12:M165)</f>
        <v>12108418.800000001</v>
      </c>
    </row>
    <row r="167" spans="1:13" x14ac:dyDescent="0.2">
      <c r="B167"/>
      <c r="C167"/>
      <c r="D167"/>
      <c r="E167"/>
      <c r="F167"/>
      <c r="G167"/>
      <c r="H167"/>
    </row>
    <row r="168" spans="1:13" s="135" customFormat="1" x14ac:dyDescent="0.2">
      <c r="A168" s="137"/>
      <c r="B168" s="121"/>
      <c r="C168" s="137"/>
      <c r="D168" s="138"/>
      <c r="E168" s="141"/>
      <c r="F168" s="142"/>
      <c r="G168" s="141"/>
      <c r="H168" s="55"/>
      <c r="L168" s="212"/>
    </row>
    <row r="169" spans="1:13" s="135" customFormat="1" x14ac:dyDescent="0.2">
      <c r="A169" s="137"/>
      <c r="B169" s="121"/>
      <c r="C169" s="137"/>
      <c r="D169" s="138"/>
      <c r="E169" s="141"/>
      <c r="F169" s="142"/>
      <c r="G169" s="141"/>
      <c r="H169" s="55"/>
      <c r="L169" s="212"/>
    </row>
    <row r="170" spans="1:13" s="135" customFormat="1" x14ac:dyDescent="0.2">
      <c r="A170" s="137"/>
      <c r="B170" s="121"/>
      <c r="C170" s="137"/>
      <c r="D170" s="138"/>
      <c r="E170" s="141"/>
      <c r="F170" s="142"/>
      <c r="G170" s="141"/>
      <c r="H170" s="55"/>
      <c r="L170" s="212"/>
    </row>
    <row r="171" spans="1:13" s="135" customFormat="1" x14ac:dyDescent="0.2">
      <c r="A171" s="137"/>
      <c r="B171" s="121"/>
      <c r="C171" s="137"/>
      <c r="D171" s="138"/>
      <c r="E171" s="141"/>
      <c r="F171" s="142"/>
      <c r="G171" s="141"/>
      <c r="H171" s="55"/>
      <c r="L171" s="212"/>
    </row>
    <row r="172" spans="1:13" s="135" customFormat="1" x14ac:dyDescent="0.2">
      <c r="A172" s="137"/>
      <c r="B172" s="121"/>
      <c r="C172" s="137"/>
      <c r="D172" s="138"/>
      <c r="E172" s="141"/>
      <c r="F172" s="142"/>
      <c r="G172" s="141"/>
      <c r="H172" s="55"/>
      <c r="L172" s="212"/>
    </row>
    <row r="173" spans="1:13" s="135" customFormat="1" x14ac:dyDescent="0.2">
      <c r="A173" s="137"/>
      <c r="B173" s="121"/>
      <c r="C173" s="137"/>
      <c r="D173" s="138"/>
      <c r="E173" s="141"/>
      <c r="F173" s="142"/>
      <c r="G173" s="141"/>
      <c r="H173" s="55"/>
      <c r="L173" s="212"/>
    </row>
    <row r="174" spans="1:13" s="135" customFormat="1" x14ac:dyDescent="0.2">
      <c r="A174" s="137"/>
      <c r="B174" s="121"/>
      <c r="C174" s="137"/>
      <c r="D174" s="138"/>
      <c r="E174" s="141"/>
      <c r="F174" s="142"/>
      <c r="G174" s="141"/>
      <c r="H174" s="55"/>
      <c r="L174" s="212"/>
    </row>
    <row r="175" spans="1:13" s="135" customFormat="1" x14ac:dyDescent="0.2">
      <c r="A175" s="137"/>
      <c r="B175" s="121"/>
      <c r="C175" s="137"/>
      <c r="D175" s="138"/>
      <c r="E175" s="141"/>
      <c r="F175" s="142"/>
      <c r="G175" s="141"/>
      <c r="H175" s="55"/>
      <c r="L175" s="212"/>
    </row>
    <row r="176" spans="1:13" s="135" customFormat="1" x14ac:dyDescent="0.2">
      <c r="A176" s="137"/>
      <c r="B176" s="121"/>
      <c r="C176" s="137"/>
      <c r="D176" s="138"/>
      <c r="E176" s="141"/>
      <c r="F176" s="142"/>
      <c r="G176" s="141"/>
      <c r="H176" s="55"/>
      <c r="L176" s="212"/>
    </row>
    <row r="177" spans="1:12" s="135" customFormat="1" x14ac:dyDescent="0.2">
      <c r="A177" s="137"/>
      <c r="B177" s="121"/>
      <c r="C177" s="137"/>
      <c r="D177" s="138"/>
      <c r="E177" s="141"/>
      <c r="F177" s="142"/>
      <c r="G177" s="141"/>
      <c r="H177" s="55"/>
      <c r="L177" s="212"/>
    </row>
    <row r="178" spans="1:12" s="135" customFormat="1" x14ac:dyDescent="0.2">
      <c r="A178" s="137"/>
      <c r="B178" s="121"/>
      <c r="C178" s="137"/>
      <c r="D178" s="138"/>
      <c r="E178" s="141"/>
      <c r="F178" s="142"/>
      <c r="G178" s="141"/>
      <c r="H178" s="55"/>
      <c r="L178" s="212"/>
    </row>
    <row r="179" spans="1:12" s="135" customFormat="1" x14ac:dyDescent="0.2">
      <c r="A179" s="137"/>
      <c r="B179" s="121"/>
      <c r="C179" s="137"/>
      <c r="D179" s="138"/>
      <c r="E179" s="141"/>
      <c r="F179" s="142"/>
      <c r="G179" s="141"/>
      <c r="H179" s="55"/>
      <c r="L179" s="212"/>
    </row>
    <row r="180" spans="1:12" s="135" customFormat="1" x14ac:dyDescent="0.2">
      <c r="A180" s="137"/>
      <c r="B180" s="121"/>
      <c r="C180" s="137"/>
      <c r="D180" s="138"/>
      <c r="E180" s="141"/>
      <c r="F180" s="142"/>
      <c r="G180" s="141"/>
      <c r="H180" s="55"/>
      <c r="L180" s="212"/>
    </row>
    <row r="181" spans="1:12" s="135" customFormat="1" x14ac:dyDescent="0.2">
      <c r="A181" s="137"/>
      <c r="B181" s="121"/>
      <c r="C181" s="137"/>
      <c r="D181" s="138"/>
      <c r="E181" s="141"/>
      <c r="F181" s="142"/>
      <c r="G181" s="141"/>
      <c r="H181" s="55"/>
      <c r="L181" s="212"/>
    </row>
    <row r="182" spans="1:12" s="135" customFormat="1" x14ac:dyDescent="0.2">
      <c r="A182" s="137"/>
      <c r="B182" s="121"/>
      <c r="C182" s="137"/>
      <c r="D182" s="138"/>
      <c r="E182" s="141"/>
      <c r="F182" s="142"/>
      <c r="G182" s="141"/>
      <c r="H182" s="55"/>
      <c r="L182" s="212"/>
    </row>
    <row r="183" spans="1:12" s="135" customFormat="1" x14ac:dyDescent="0.2">
      <c r="A183" s="137"/>
      <c r="B183" s="121"/>
      <c r="C183" s="137"/>
      <c r="D183" s="138"/>
      <c r="E183" s="141"/>
      <c r="F183" s="142"/>
      <c r="G183" s="141"/>
      <c r="H183" s="55"/>
      <c r="L183" s="212"/>
    </row>
    <row r="184" spans="1:12" s="135" customFormat="1" x14ac:dyDescent="0.2">
      <c r="A184" s="137"/>
      <c r="B184" s="121"/>
      <c r="C184" s="137"/>
      <c r="D184" s="138"/>
      <c r="E184" s="141"/>
      <c r="F184" s="142"/>
      <c r="G184" s="141"/>
      <c r="H184" s="55"/>
      <c r="L184" s="212"/>
    </row>
    <row r="185" spans="1:12" s="135" customFormat="1" x14ac:dyDescent="0.2">
      <c r="A185" s="137"/>
      <c r="B185" s="121"/>
      <c r="C185" s="137"/>
      <c r="D185" s="138"/>
      <c r="E185" s="141"/>
      <c r="F185" s="142"/>
      <c r="G185" s="141"/>
      <c r="H185" s="55"/>
      <c r="L185" s="212"/>
    </row>
    <row r="186" spans="1:12" s="135" customFormat="1" x14ac:dyDescent="0.2">
      <c r="A186" s="137"/>
      <c r="B186" s="121"/>
      <c r="C186" s="137"/>
      <c r="D186" s="138"/>
      <c r="E186" s="141"/>
      <c r="F186" s="142"/>
      <c r="G186" s="141"/>
      <c r="H186" s="55"/>
      <c r="L186" s="212"/>
    </row>
    <row r="187" spans="1:12" s="135" customFormat="1" x14ac:dyDescent="0.2">
      <c r="A187" s="137"/>
      <c r="B187" s="121"/>
      <c r="C187" s="137"/>
      <c r="D187" s="138"/>
      <c r="E187" s="141"/>
      <c r="F187" s="142"/>
      <c r="G187" s="141"/>
      <c r="H187" s="55"/>
      <c r="L187" s="212"/>
    </row>
    <row r="188" spans="1:12" s="135" customFormat="1" x14ac:dyDescent="0.2">
      <c r="A188" s="137"/>
      <c r="B188" s="121"/>
      <c r="C188" s="137"/>
      <c r="D188" s="138"/>
      <c r="E188" s="141"/>
      <c r="F188" s="142"/>
      <c r="G188" s="141"/>
      <c r="H188" s="55"/>
      <c r="L188" s="212"/>
    </row>
    <row r="189" spans="1:12" s="135" customFormat="1" x14ac:dyDescent="0.2">
      <c r="A189" s="137"/>
      <c r="B189" s="121"/>
      <c r="C189" s="137"/>
      <c r="D189" s="138"/>
      <c r="E189" s="141"/>
      <c r="F189" s="142"/>
      <c r="G189" s="141"/>
      <c r="H189" s="55"/>
      <c r="L189" s="212"/>
    </row>
    <row r="190" spans="1:12" s="135" customFormat="1" x14ac:dyDescent="0.2">
      <c r="A190" s="137"/>
      <c r="B190" s="121"/>
      <c r="C190" s="137"/>
      <c r="D190" s="138"/>
      <c r="E190" s="141"/>
      <c r="F190" s="142"/>
      <c r="G190" s="141"/>
      <c r="H190" s="55"/>
      <c r="L190" s="212"/>
    </row>
    <row r="191" spans="1:12" s="135" customFormat="1" x14ac:dyDescent="0.2">
      <c r="A191" s="137"/>
      <c r="B191" s="121"/>
      <c r="C191" s="137"/>
      <c r="D191" s="138"/>
      <c r="E191" s="141"/>
      <c r="F191" s="142"/>
      <c r="G191" s="141"/>
      <c r="H191" s="55"/>
      <c r="L191" s="212"/>
    </row>
    <row r="192" spans="1:12" s="135" customFormat="1" x14ac:dyDescent="0.2">
      <c r="A192" s="137"/>
      <c r="B192" s="121"/>
      <c r="C192" s="137"/>
      <c r="D192" s="138"/>
      <c r="E192" s="141"/>
      <c r="F192" s="142"/>
      <c r="G192" s="141"/>
      <c r="H192" s="55"/>
      <c r="L192" s="212"/>
    </row>
    <row r="193" spans="1:12" s="135" customFormat="1" x14ac:dyDescent="0.2">
      <c r="A193" s="137"/>
      <c r="B193" s="121"/>
      <c r="C193" s="137"/>
      <c r="D193" s="138"/>
      <c r="E193" s="141"/>
      <c r="F193" s="142"/>
      <c r="G193" s="141"/>
      <c r="H193" s="55"/>
      <c r="L193" s="212"/>
    </row>
    <row r="194" spans="1:12" s="135" customFormat="1" x14ac:dyDescent="0.2">
      <c r="A194" s="137"/>
      <c r="B194" s="121"/>
      <c r="C194" s="137"/>
      <c r="D194" s="138"/>
      <c r="E194" s="141"/>
      <c r="F194" s="142"/>
      <c r="G194" s="141"/>
      <c r="H194" s="55"/>
      <c r="L194" s="212"/>
    </row>
    <row r="195" spans="1:12" s="135" customFormat="1" x14ac:dyDescent="0.2">
      <c r="A195" s="137"/>
      <c r="B195" s="121"/>
      <c r="C195" s="137"/>
      <c r="D195" s="138"/>
      <c r="E195" s="141"/>
      <c r="F195" s="142"/>
      <c r="G195" s="141"/>
      <c r="H195" s="55"/>
      <c r="L195" s="212"/>
    </row>
    <row r="196" spans="1:12" s="135" customFormat="1" x14ac:dyDescent="0.2">
      <c r="A196" s="137"/>
      <c r="B196" s="121"/>
      <c r="C196" s="137"/>
      <c r="D196" s="138"/>
      <c r="E196" s="141"/>
      <c r="F196" s="142"/>
      <c r="G196" s="141"/>
      <c r="H196" s="55"/>
      <c r="L196" s="212"/>
    </row>
    <row r="197" spans="1:12" s="135" customFormat="1" x14ac:dyDescent="0.2">
      <c r="A197" s="137"/>
      <c r="B197" s="121"/>
      <c r="C197" s="137"/>
      <c r="D197" s="138"/>
      <c r="E197" s="141"/>
      <c r="F197" s="142"/>
      <c r="G197" s="141"/>
      <c r="H197" s="55"/>
      <c r="L197" s="212"/>
    </row>
    <row r="198" spans="1:12" s="135" customFormat="1" x14ac:dyDescent="0.2">
      <c r="A198" s="137"/>
      <c r="B198" s="121"/>
      <c r="C198" s="137"/>
      <c r="D198" s="138"/>
      <c r="E198" s="141"/>
      <c r="F198" s="142"/>
      <c r="G198" s="141"/>
      <c r="H198" s="55"/>
      <c r="L198" s="212"/>
    </row>
    <row r="199" spans="1:12" s="135" customFormat="1" x14ac:dyDescent="0.2">
      <c r="A199" s="137"/>
      <c r="B199" s="121"/>
      <c r="C199" s="137"/>
      <c r="D199" s="138"/>
      <c r="E199" s="141"/>
      <c r="F199" s="142"/>
      <c r="G199" s="141"/>
      <c r="H199" s="55"/>
      <c r="L199" s="212"/>
    </row>
    <row r="200" spans="1:12" s="135" customFormat="1" ht="23.25" customHeight="1" x14ac:dyDescent="0.2">
      <c r="A200" s="137"/>
      <c r="B200" s="121"/>
      <c r="C200" s="137"/>
      <c r="D200" s="138"/>
      <c r="E200" s="141"/>
      <c r="F200" s="142"/>
      <c r="G200" s="141"/>
      <c r="H200" s="55"/>
      <c r="L200" s="212"/>
    </row>
    <row r="201" spans="1:12" s="135" customFormat="1" ht="27.75" customHeight="1" x14ac:dyDescent="0.2">
      <c r="A201" s="137"/>
      <c r="B201" s="121"/>
      <c r="C201" s="137"/>
      <c r="D201" s="138"/>
      <c r="E201" s="141"/>
      <c r="F201" s="142"/>
      <c r="G201" s="141"/>
      <c r="H201" s="55"/>
      <c r="L201" s="212"/>
    </row>
    <row r="202" spans="1:12" s="135" customFormat="1" x14ac:dyDescent="0.2">
      <c r="A202" s="137"/>
      <c r="B202" s="121"/>
      <c r="C202" s="137"/>
      <c r="D202" s="138"/>
      <c r="E202" s="141"/>
      <c r="F202" s="142"/>
      <c r="G202" s="141"/>
      <c r="H202" s="55"/>
      <c r="L202" s="212"/>
    </row>
    <row r="203" spans="1:12" s="135" customFormat="1" ht="30.75" customHeight="1" x14ac:dyDescent="0.2">
      <c r="A203" s="137"/>
      <c r="B203" s="121"/>
      <c r="C203" s="137"/>
      <c r="D203" s="138"/>
      <c r="E203" s="141"/>
      <c r="F203" s="142"/>
      <c r="G203" s="141"/>
      <c r="H203" s="55"/>
      <c r="L203" s="212"/>
    </row>
    <row r="204" spans="1:12" s="135" customFormat="1" x14ac:dyDescent="0.2">
      <c r="A204" s="137"/>
      <c r="B204" s="121"/>
      <c r="C204" s="137"/>
      <c r="D204" s="138"/>
      <c r="E204" s="141"/>
      <c r="F204" s="142"/>
      <c r="G204" s="141"/>
      <c r="H204" s="55"/>
      <c r="L204" s="212"/>
    </row>
    <row r="205" spans="1:12" s="135" customFormat="1" ht="36.75" customHeight="1" x14ac:dyDescent="0.2">
      <c r="A205" s="137"/>
      <c r="B205" s="121"/>
      <c r="C205" s="137"/>
      <c r="D205" s="138"/>
      <c r="E205" s="141"/>
      <c r="F205" s="142"/>
      <c r="G205" s="141"/>
      <c r="H205" s="55"/>
      <c r="L205" s="212"/>
    </row>
    <row r="206" spans="1:12" s="135" customFormat="1" x14ac:dyDescent="0.2">
      <c r="A206" s="137"/>
      <c r="B206" s="121"/>
      <c r="C206" s="137"/>
      <c r="D206" s="138"/>
      <c r="E206" s="141"/>
      <c r="F206" s="142"/>
      <c r="G206" s="141"/>
      <c r="H206" s="55"/>
      <c r="L206" s="212"/>
    </row>
    <row r="207" spans="1:12" s="135" customFormat="1" x14ac:dyDescent="0.2">
      <c r="A207" s="137"/>
      <c r="B207" s="121"/>
      <c r="C207" s="137"/>
      <c r="D207" s="138"/>
      <c r="E207" s="141"/>
      <c r="F207" s="142"/>
      <c r="G207" s="141"/>
      <c r="H207" s="55"/>
      <c r="L207" s="212"/>
    </row>
    <row r="208" spans="1:12" s="135" customFormat="1" x14ac:dyDescent="0.2">
      <c r="A208" s="137"/>
      <c r="B208" s="121"/>
      <c r="C208" s="137"/>
      <c r="D208" s="138"/>
      <c r="E208" s="141"/>
      <c r="F208" s="142"/>
      <c r="G208" s="141"/>
      <c r="H208" s="55"/>
      <c r="L208" s="212"/>
    </row>
    <row r="209" spans="1:12" s="135" customFormat="1" ht="24.75" customHeight="1" x14ac:dyDescent="0.2">
      <c r="A209" s="137"/>
      <c r="B209" s="121"/>
      <c r="C209" s="137"/>
      <c r="D209" s="138"/>
      <c r="E209" s="141"/>
      <c r="F209" s="142"/>
      <c r="G209" s="141"/>
      <c r="H209" s="55"/>
      <c r="L209" s="212"/>
    </row>
    <row r="210" spans="1:12" s="135" customFormat="1" ht="24.75" customHeight="1" x14ac:dyDescent="0.2">
      <c r="A210" s="137"/>
      <c r="B210" s="121"/>
      <c r="C210" s="137"/>
      <c r="D210" s="138"/>
      <c r="E210" s="141"/>
      <c r="F210" s="142"/>
      <c r="G210" s="141"/>
      <c r="H210" s="55"/>
      <c r="L210" s="212"/>
    </row>
    <row r="211" spans="1:12" s="135" customFormat="1" ht="24.75" customHeight="1" x14ac:dyDescent="0.2">
      <c r="A211" s="137"/>
      <c r="B211" s="121"/>
      <c r="C211" s="137"/>
      <c r="D211" s="138"/>
      <c r="E211" s="141"/>
      <c r="F211" s="142"/>
      <c r="G211" s="141"/>
      <c r="H211" s="55"/>
      <c r="L211" s="212"/>
    </row>
    <row r="212" spans="1:12" s="135" customFormat="1" ht="24.75" customHeight="1" x14ac:dyDescent="0.2">
      <c r="A212" s="137"/>
      <c r="B212" s="121"/>
      <c r="C212" s="137"/>
      <c r="D212" s="138"/>
      <c r="E212" s="141"/>
      <c r="F212" s="142"/>
      <c r="G212" s="141"/>
      <c r="H212" s="55"/>
      <c r="L212" s="212"/>
    </row>
    <row r="213" spans="1:12" s="135" customFormat="1" ht="24.75" customHeight="1" x14ac:dyDescent="0.2">
      <c r="A213" s="143"/>
      <c r="B213" s="121"/>
      <c r="C213" s="144"/>
      <c r="D213" s="138"/>
      <c r="E213" s="141"/>
      <c r="F213" s="142"/>
      <c r="G213" s="141"/>
      <c r="H213" s="55"/>
      <c r="L213" s="212"/>
    </row>
    <row r="214" spans="1:12" s="135" customFormat="1" ht="24.75" customHeight="1" x14ac:dyDescent="0.2">
      <c r="A214" s="137"/>
      <c r="B214" s="121"/>
      <c r="C214" s="137"/>
      <c r="D214" s="138"/>
      <c r="E214" s="141"/>
      <c r="F214" s="142"/>
      <c r="G214" s="141"/>
      <c r="H214" s="55"/>
      <c r="L214" s="212"/>
    </row>
    <row r="215" spans="1:12" s="135" customFormat="1" ht="24.75" customHeight="1" x14ac:dyDescent="0.2">
      <c r="A215" s="137"/>
      <c r="B215" s="121"/>
      <c r="C215" s="137"/>
      <c r="D215" s="138"/>
      <c r="E215" s="141"/>
      <c r="F215" s="142"/>
      <c r="G215" s="141"/>
      <c r="H215" s="55"/>
      <c r="L215" s="212"/>
    </row>
    <row r="216" spans="1:12" s="135" customFormat="1" ht="24.75" customHeight="1" x14ac:dyDescent="0.2">
      <c r="A216" s="137"/>
      <c r="B216" s="121"/>
      <c r="C216" s="137"/>
      <c r="D216" s="138"/>
      <c r="E216" s="141"/>
      <c r="F216" s="142"/>
      <c r="G216" s="141"/>
      <c r="H216" s="55"/>
      <c r="L216" s="212"/>
    </row>
    <row r="217" spans="1:12" s="135" customFormat="1" x14ac:dyDescent="0.2">
      <c r="A217" s="137"/>
      <c r="B217" s="121"/>
      <c r="C217" s="137"/>
      <c r="D217" s="138"/>
      <c r="E217" s="141"/>
      <c r="F217" s="142"/>
      <c r="G217" s="141"/>
      <c r="H217" s="55"/>
      <c r="L217" s="212"/>
    </row>
    <row r="218" spans="1:12" s="135" customFormat="1" x14ac:dyDescent="0.2">
      <c r="A218" s="137"/>
      <c r="B218" s="121"/>
      <c r="C218" s="137"/>
      <c r="D218" s="138"/>
      <c r="E218" s="141"/>
      <c r="F218" s="142"/>
      <c r="G218" s="141"/>
      <c r="H218" s="55"/>
      <c r="L218" s="212"/>
    </row>
    <row r="219" spans="1:12" s="135" customFormat="1" x14ac:dyDescent="0.2">
      <c r="A219" s="137"/>
      <c r="B219" s="121"/>
      <c r="C219" s="137"/>
      <c r="D219" s="138"/>
      <c r="E219" s="141"/>
      <c r="F219" s="142"/>
      <c r="G219" s="141"/>
      <c r="H219" s="55"/>
      <c r="L219" s="212"/>
    </row>
    <row r="220" spans="1:12" s="135" customFormat="1" x14ac:dyDescent="0.2">
      <c r="A220" s="137"/>
      <c r="B220" s="121"/>
      <c r="C220" s="137"/>
      <c r="D220" s="138"/>
      <c r="E220" s="141"/>
      <c r="F220" s="142"/>
      <c r="G220" s="141"/>
      <c r="H220" s="55"/>
      <c r="L220" s="212"/>
    </row>
    <row r="221" spans="1:12" s="135" customFormat="1" x14ac:dyDescent="0.2">
      <c r="A221" s="137"/>
      <c r="B221" s="121"/>
      <c r="C221" s="137"/>
      <c r="D221" s="138"/>
      <c r="E221" s="141"/>
      <c r="F221" s="142"/>
      <c r="G221" s="141"/>
      <c r="H221" s="55"/>
      <c r="L221" s="212"/>
    </row>
    <row r="222" spans="1:12" s="135" customFormat="1" x14ac:dyDescent="0.2">
      <c r="A222" s="137"/>
      <c r="B222" s="121"/>
      <c r="C222" s="137"/>
      <c r="D222" s="138"/>
      <c r="E222" s="141"/>
      <c r="F222" s="142"/>
      <c r="G222" s="141"/>
      <c r="H222" s="55"/>
      <c r="L222" s="212"/>
    </row>
    <row r="223" spans="1:12" s="135" customFormat="1" x14ac:dyDescent="0.2">
      <c r="A223" s="137"/>
      <c r="B223" s="121"/>
      <c r="C223" s="137"/>
      <c r="D223" s="138"/>
      <c r="E223" s="141"/>
      <c r="F223" s="142"/>
      <c r="G223" s="141"/>
      <c r="H223" s="55"/>
      <c r="L223" s="212"/>
    </row>
    <row r="224" spans="1:12" s="135" customFormat="1" x14ac:dyDescent="0.2">
      <c r="A224" s="137"/>
      <c r="B224" s="121"/>
      <c r="C224" s="137"/>
      <c r="D224" s="138"/>
      <c r="E224" s="141"/>
      <c r="F224" s="142"/>
      <c r="G224" s="141"/>
      <c r="H224" s="55"/>
      <c r="L224" s="212"/>
    </row>
    <row r="225" spans="1:12" s="135" customFormat="1" x14ac:dyDescent="0.2">
      <c r="A225" s="137"/>
      <c r="B225" s="121"/>
      <c r="C225" s="137"/>
      <c r="D225" s="138"/>
      <c r="E225" s="141"/>
      <c r="F225" s="142"/>
      <c r="G225" s="141"/>
      <c r="H225" s="55"/>
      <c r="L225" s="212"/>
    </row>
    <row r="226" spans="1:12" s="135" customFormat="1" x14ac:dyDescent="0.2">
      <c r="A226" s="137"/>
      <c r="B226" s="121"/>
      <c r="C226" s="137"/>
      <c r="D226" s="138"/>
      <c r="E226" s="141"/>
      <c r="F226" s="142"/>
      <c r="G226" s="141"/>
      <c r="H226" s="55"/>
      <c r="L226" s="212"/>
    </row>
    <row r="227" spans="1:12" s="135" customFormat="1" x14ac:dyDescent="0.2">
      <c r="A227" s="137"/>
      <c r="B227" s="121"/>
      <c r="C227" s="137"/>
      <c r="D227" s="138"/>
      <c r="E227" s="141"/>
      <c r="F227" s="142"/>
      <c r="G227" s="141"/>
      <c r="H227" s="55"/>
      <c r="L227" s="212"/>
    </row>
    <row r="228" spans="1:12" s="135" customFormat="1" x14ac:dyDescent="0.2">
      <c r="A228" s="137"/>
      <c r="B228" s="121"/>
      <c r="C228" s="137"/>
      <c r="D228" s="138"/>
      <c r="E228" s="141"/>
      <c r="F228" s="142"/>
      <c r="G228" s="141"/>
      <c r="H228" s="55"/>
      <c r="L228" s="212"/>
    </row>
    <row r="229" spans="1:12" s="135" customFormat="1" x14ac:dyDescent="0.2">
      <c r="A229" s="137"/>
      <c r="B229" s="121"/>
      <c r="C229" s="137"/>
      <c r="D229" s="138"/>
      <c r="E229" s="141"/>
      <c r="F229" s="142"/>
      <c r="G229" s="141"/>
      <c r="H229" s="55"/>
      <c r="L229" s="212"/>
    </row>
    <row r="230" spans="1:12" s="135" customFormat="1" x14ac:dyDescent="0.2">
      <c r="A230" s="137"/>
      <c r="B230" s="121"/>
      <c r="C230" s="137"/>
      <c r="D230" s="138"/>
      <c r="E230" s="141"/>
      <c r="F230" s="142"/>
      <c r="G230" s="141"/>
      <c r="H230" s="55"/>
      <c r="L230" s="212"/>
    </row>
    <row r="231" spans="1:12" s="135" customFormat="1" x14ac:dyDescent="0.2">
      <c r="A231" s="137"/>
      <c r="B231" s="121"/>
      <c r="C231" s="137"/>
      <c r="D231" s="138"/>
      <c r="E231" s="141"/>
      <c r="F231" s="142"/>
      <c r="G231" s="141"/>
      <c r="H231" s="55"/>
      <c r="L231" s="212"/>
    </row>
    <row r="232" spans="1:12" s="135" customFormat="1" x14ac:dyDescent="0.2">
      <c r="A232" s="137"/>
      <c r="B232" s="121"/>
      <c r="C232" s="137"/>
      <c r="D232" s="138"/>
      <c r="E232" s="141"/>
      <c r="F232" s="142"/>
      <c r="G232" s="141"/>
      <c r="H232" s="55"/>
      <c r="L232" s="212"/>
    </row>
    <row r="233" spans="1:12" s="135" customFormat="1" x14ac:dyDescent="0.2">
      <c r="A233" s="137"/>
      <c r="B233" s="121"/>
      <c r="C233" s="137"/>
      <c r="D233" s="138"/>
      <c r="E233" s="141"/>
      <c r="F233" s="142"/>
      <c r="G233" s="141"/>
      <c r="H233" s="55"/>
      <c r="L233" s="212"/>
    </row>
    <row r="234" spans="1:12" s="135" customFormat="1" x14ac:dyDescent="0.2">
      <c r="A234" s="137"/>
      <c r="B234" s="121"/>
      <c r="C234" s="137"/>
      <c r="D234" s="138"/>
      <c r="E234" s="141"/>
      <c r="F234" s="142"/>
      <c r="G234" s="141"/>
      <c r="H234" s="55"/>
      <c r="L234" s="212"/>
    </row>
    <row r="235" spans="1:12" s="135" customFormat="1" x14ac:dyDescent="0.2">
      <c r="A235" s="137"/>
      <c r="B235" s="121"/>
      <c r="C235" s="137"/>
      <c r="D235" s="138"/>
      <c r="E235" s="141"/>
      <c r="F235" s="142"/>
      <c r="G235" s="141"/>
      <c r="H235" s="55"/>
      <c r="L235" s="212"/>
    </row>
    <row r="236" spans="1:12" s="135" customFormat="1" x14ac:dyDescent="0.2">
      <c r="A236" s="137"/>
      <c r="B236" s="121"/>
      <c r="C236" s="137"/>
      <c r="D236" s="138"/>
      <c r="E236" s="141"/>
      <c r="F236" s="142"/>
      <c r="G236" s="141"/>
      <c r="H236" s="55"/>
      <c r="L236" s="212"/>
    </row>
    <row r="237" spans="1:12" s="135" customFormat="1" x14ac:dyDescent="0.2">
      <c r="A237" s="137"/>
      <c r="B237" s="121"/>
      <c r="C237" s="137"/>
      <c r="D237" s="138"/>
      <c r="E237" s="141"/>
      <c r="F237" s="142"/>
      <c r="G237" s="141"/>
      <c r="H237" s="55"/>
      <c r="L237" s="212"/>
    </row>
    <row r="238" spans="1:12" s="135" customFormat="1" x14ac:dyDescent="0.2">
      <c r="A238" s="137"/>
      <c r="B238" s="121"/>
      <c r="C238" s="137"/>
      <c r="D238" s="138"/>
      <c r="E238" s="141"/>
      <c r="F238" s="142"/>
      <c r="G238" s="141"/>
      <c r="H238" s="55"/>
      <c r="L238" s="212"/>
    </row>
    <row r="239" spans="1:12" s="135" customFormat="1" x14ac:dyDescent="0.2">
      <c r="A239" s="137"/>
      <c r="B239" s="121"/>
      <c r="C239" s="137"/>
      <c r="D239" s="138"/>
      <c r="E239" s="141"/>
      <c r="F239" s="142"/>
      <c r="G239" s="141"/>
      <c r="H239" s="55"/>
      <c r="L239" s="212"/>
    </row>
    <row r="240" spans="1:12" s="135" customFormat="1" x14ac:dyDescent="0.2">
      <c r="A240" s="137"/>
      <c r="B240" s="121"/>
      <c r="C240" s="137"/>
      <c r="D240" s="138"/>
      <c r="E240" s="141"/>
      <c r="F240" s="142"/>
      <c r="G240" s="141"/>
      <c r="H240" s="55"/>
      <c r="L240" s="212"/>
    </row>
    <row r="241" spans="1:12" s="135" customFormat="1" x14ac:dyDescent="0.2">
      <c r="A241" s="137"/>
      <c r="B241" s="121"/>
      <c r="C241" s="137"/>
      <c r="D241" s="138"/>
      <c r="E241" s="141"/>
      <c r="F241" s="142"/>
      <c r="G241" s="141"/>
      <c r="H241" s="55"/>
      <c r="L241" s="212"/>
    </row>
    <row r="242" spans="1:12" s="135" customFormat="1" x14ac:dyDescent="0.2">
      <c r="A242" s="137"/>
      <c r="B242" s="121"/>
      <c r="C242" s="137"/>
      <c r="D242" s="138"/>
      <c r="E242" s="141"/>
      <c r="F242" s="142"/>
      <c r="G242" s="141"/>
      <c r="H242" s="55"/>
      <c r="L242" s="212"/>
    </row>
    <row r="243" spans="1:12" s="135" customFormat="1" x14ac:dyDescent="0.2">
      <c r="A243" s="137"/>
      <c r="B243" s="121"/>
      <c r="C243" s="137"/>
      <c r="D243" s="138"/>
      <c r="E243" s="141"/>
      <c r="F243" s="142"/>
      <c r="G243" s="141"/>
      <c r="H243" s="55"/>
      <c r="L243" s="212"/>
    </row>
    <row r="244" spans="1:12" s="135" customFormat="1" x14ac:dyDescent="0.2">
      <c r="A244" s="137"/>
      <c r="B244" s="121"/>
      <c r="C244" s="137"/>
      <c r="D244" s="138"/>
      <c r="E244" s="141"/>
      <c r="F244" s="142"/>
      <c r="G244" s="141"/>
      <c r="H244" s="55"/>
      <c r="L244" s="212"/>
    </row>
    <row r="245" spans="1:12" s="135" customFormat="1" x14ac:dyDescent="0.2">
      <c r="A245" s="137"/>
      <c r="B245" s="121"/>
      <c r="C245" s="137"/>
      <c r="D245" s="138"/>
      <c r="E245" s="141"/>
      <c r="F245" s="142"/>
      <c r="G245" s="141"/>
      <c r="H245" s="55"/>
      <c r="L245" s="212"/>
    </row>
    <row r="246" spans="1:12" s="135" customFormat="1" x14ac:dyDescent="0.2">
      <c r="A246" s="137"/>
      <c r="B246" s="121"/>
      <c r="C246" s="137"/>
      <c r="D246" s="138"/>
      <c r="E246" s="141"/>
      <c r="F246" s="142"/>
      <c r="G246" s="141"/>
      <c r="H246" s="55"/>
      <c r="L246" s="212"/>
    </row>
    <row r="247" spans="1:12" s="135" customFormat="1" x14ac:dyDescent="0.2">
      <c r="A247" s="137"/>
      <c r="B247" s="121"/>
      <c r="C247" s="137"/>
      <c r="D247" s="138"/>
      <c r="E247" s="141"/>
      <c r="F247" s="142"/>
      <c r="G247" s="141"/>
      <c r="H247" s="55"/>
      <c r="L247" s="212"/>
    </row>
    <row r="248" spans="1:12" s="135" customFormat="1" x14ac:dyDescent="0.2">
      <c r="A248" s="137"/>
      <c r="B248" s="121"/>
      <c r="C248" s="137"/>
      <c r="D248" s="138"/>
      <c r="E248" s="141"/>
      <c r="F248" s="142"/>
      <c r="G248" s="141"/>
      <c r="H248" s="55"/>
      <c r="L248" s="212"/>
    </row>
    <row r="249" spans="1:12" s="135" customFormat="1" x14ac:dyDescent="0.2">
      <c r="A249" s="137"/>
      <c r="B249" s="121"/>
      <c r="C249" s="137"/>
      <c r="D249" s="138"/>
      <c r="E249" s="141"/>
      <c r="F249" s="142"/>
      <c r="G249" s="141"/>
      <c r="H249" s="55"/>
      <c r="L249" s="212"/>
    </row>
    <row r="250" spans="1:12" s="135" customFormat="1" x14ac:dyDescent="0.2">
      <c r="A250" s="137"/>
      <c r="B250" s="121"/>
      <c r="C250" s="137"/>
      <c r="D250" s="138"/>
      <c r="E250" s="141"/>
      <c r="F250" s="142"/>
      <c r="G250" s="141"/>
      <c r="H250" s="55"/>
      <c r="L250" s="212"/>
    </row>
    <row r="251" spans="1:12" s="135" customFormat="1" x14ac:dyDescent="0.2">
      <c r="A251" s="137"/>
      <c r="B251" s="121"/>
      <c r="C251" s="137"/>
      <c r="D251" s="138"/>
      <c r="E251" s="141"/>
      <c r="F251" s="142"/>
      <c r="G251" s="141"/>
      <c r="H251" s="55"/>
      <c r="L251" s="212"/>
    </row>
    <row r="252" spans="1:12" s="135" customFormat="1" x14ac:dyDescent="0.2">
      <c r="A252" s="137"/>
      <c r="B252" s="121"/>
      <c r="C252" s="137"/>
      <c r="D252" s="138"/>
      <c r="E252" s="141"/>
      <c r="F252" s="142"/>
      <c r="G252" s="141"/>
      <c r="H252" s="55"/>
      <c r="L252" s="212"/>
    </row>
    <row r="253" spans="1:12" s="135" customFormat="1" x14ac:dyDescent="0.2">
      <c r="A253" s="137"/>
      <c r="B253" s="121"/>
      <c r="C253" s="137"/>
      <c r="D253" s="138"/>
      <c r="E253" s="141"/>
      <c r="F253" s="142"/>
      <c r="G253" s="141"/>
      <c r="H253" s="55"/>
      <c r="L253" s="212"/>
    </row>
    <row r="254" spans="1:12" s="135" customFormat="1" x14ac:dyDescent="0.2">
      <c r="A254" s="137"/>
      <c r="B254" s="121"/>
      <c r="C254" s="137"/>
      <c r="D254" s="138"/>
      <c r="E254" s="141"/>
      <c r="F254" s="142"/>
      <c r="G254" s="141"/>
      <c r="H254" s="55"/>
      <c r="L254" s="212"/>
    </row>
    <row r="255" spans="1:12" s="135" customFormat="1" x14ac:dyDescent="0.2">
      <c r="A255" s="137"/>
      <c r="B255" s="121"/>
      <c r="C255" s="137"/>
      <c r="D255" s="138"/>
      <c r="E255" s="141"/>
      <c r="F255" s="142"/>
      <c r="G255" s="141"/>
      <c r="H255" s="55"/>
      <c r="L255" s="212"/>
    </row>
    <row r="256" spans="1:12" s="135" customFormat="1" ht="30" customHeight="1" x14ac:dyDescent="0.2">
      <c r="A256" s="137"/>
      <c r="B256" s="121"/>
      <c r="C256" s="137"/>
      <c r="D256" s="138"/>
      <c r="E256" s="141"/>
      <c r="F256" s="145"/>
      <c r="G256" s="141"/>
      <c r="H256" s="55"/>
      <c r="L256" s="212"/>
    </row>
    <row r="257" spans="1:12" s="135" customFormat="1" ht="30" customHeight="1" x14ac:dyDescent="0.2">
      <c r="A257" s="137"/>
      <c r="B257" s="121"/>
      <c r="C257" s="137"/>
      <c r="D257" s="138"/>
      <c r="E257" s="141"/>
      <c r="F257" s="145"/>
      <c r="G257" s="141"/>
      <c r="H257" s="55"/>
      <c r="L257" s="212"/>
    </row>
    <row r="258" spans="1:12" s="135" customFormat="1" ht="29.25" customHeight="1" x14ac:dyDescent="0.2">
      <c r="A258" s="279"/>
      <c r="B258" s="279"/>
      <c r="C258" s="279"/>
      <c r="D258" s="279"/>
      <c r="E258" s="279"/>
      <c r="F258" s="280"/>
      <c r="G258" s="280"/>
      <c r="H258" s="146"/>
      <c r="L258" s="212"/>
    </row>
    <row r="259" spans="1:12" s="135" customFormat="1" x14ac:dyDescent="0.2">
      <c r="B259" s="136"/>
      <c r="C259" s="137"/>
      <c r="D259" s="137"/>
      <c r="E259" s="138"/>
      <c r="F259" s="139"/>
      <c r="G259" s="138"/>
      <c r="H259" s="140"/>
      <c r="L259" s="212"/>
    </row>
    <row r="260" spans="1:12" s="135" customFormat="1" x14ac:dyDescent="0.2">
      <c r="B260" s="136"/>
      <c r="C260" s="137"/>
      <c r="D260" s="137"/>
      <c r="E260" s="138"/>
      <c r="F260" s="139"/>
      <c r="G260" s="138"/>
      <c r="H260" s="140"/>
      <c r="L260" s="212"/>
    </row>
    <row r="261" spans="1:12" s="135" customFormat="1" x14ac:dyDescent="0.2">
      <c r="B261" s="136"/>
      <c r="C261" s="137"/>
      <c r="D261" s="137"/>
      <c r="E261" s="138"/>
      <c r="F261" s="139"/>
      <c r="G261" s="138"/>
      <c r="H261" s="140"/>
      <c r="L261" s="212"/>
    </row>
    <row r="262" spans="1:12" s="135" customFormat="1" x14ac:dyDescent="0.2">
      <c r="B262" s="136"/>
      <c r="C262" s="137"/>
      <c r="D262" s="137"/>
      <c r="E262" s="138"/>
      <c r="F262" s="139"/>
      <c r="G262" s="138"/>
      <c r="H262" s="140"/>
      <c r="L262" s="212"/>
    </row>
    <row r="263" spans="1:12" s="135" customFormat="1" x14ac:dyDescent="0.2">
      <c r="B263" s="136"/>
      <c r="C263" s="137"/>
      <c r="D263" s="137"/>
      <c r="E263" s="138"/>
      <c r="F263" s="139"/>
      <c r="G263" s="138"/>
      <c r="H263" s="140"/>
      <c r="L263" s="212"/>
    </row>
    <row r="264" spans="1:12" s="135" customFormat="1" x14ac:dyDescent="0.2">
      <c r="B264" s="136"/>
      <c r="C264" s="137"/>
      <c r="D264" s="137"/>
      <c r="E264" s="138"/>
      <c r="F264" s="139"/>
      <c r="G264" s="138"/>
      <c r="H264" s="140"/>
      <c r="L264" s="212"/>
    </row>
    <row r="265" spans="1:12" s="135" customFormat="1" x14ac:dyDescent="0.2">
      <c r="B265" s="136"/>
      <c r="C265" s="137"/>
      <c r="D265" s="137"/>
      <c r="E265" s="138"/>
      <c r="F265" s="139"/>
      <c r="G265" s="138"/>
      <c r="H265" s="140"/>
      <c r="L265" s="212"/>
    </row>
    <row r="266" spans="1:12" s="135" customFormat="1" x14ac:dyDescent="0.2">
      <c r="B266" s="136"/>
      <c r="C266" s="137"/>
      <c r="D266" s="137"/>
      <c r="E266" s="138"/>
      <c r="F266" s="139"/>
      <c r="G266" s="138"/>
      <c r="H266" s="140"/>
      <c r="L266" s="212"/>
    </row>
    <row r="267" spans="1:12" s="135" customFormat="1" x14ac:dyDescent="0.2">
      <c r="B267" s="136"/>
      <c r="C267" s="137"/>
      <c r="D267" s="137"/>
      <c r="E267" s="138"/>
      <c r="F267" s="139"/>
      <c r="G267" s="138"/>
      <c r="H267" s="140"/>
      <c r="L267" s="212"/>
    </row>
    <row r="268" spans="1:12" s="135" customFormat="1" x14ac:dyDescent="0.2">
      <c r="B268" s="136"/>
      <c r="C268" s="137"/>
      <c r="D268" s="137"/>
      <c r="E268" s="138"/>
      <c r="F268" s="139"/>
      <c r="G268" s="138"/>
      <c r="H268" s="140"/>
      <c r="L268" s="212"/>
    </row>
    <row r="269" spans="1:12" s="135" customFormat="1" x14ac:dyDescent="0.2">
      <c r="B269" s="136"/>
      <c r="C269" s="137"/>
      <c r="D269" s="137"/>
      <c r="E269" s="138"/>
      <c r="F269" s="139"/>
      <c r="G269" s="138"/>
      <c r="H269" s="140"/>
      <c r="L269" s="212"/>
    </row>
    <row r="270" spans="1:12" s="135" customFormat="1" x14ac:dyDescent="0.2">
      <c r="B270" s="136"/>
      <c r="C270" s="137"/>
      <c r="D270" s="137"/>
      <c r="E270" s="138"/>
      <c r="F270" s="139"/>
      <c r="G270" s="138"/>
      <c r="H270" s="140"/>
      <c r="L270" s="212"/>
    </row>
    <row r="271" spans="1:12" s="135" customFormat="1" x14ac:dyDescent="0.2">
      <c r="B271" s="136"/>
      <c r="C271" s="137"/>
      <c r="D271" s="137"/>
      <c r="E271" s="138"/>
      <c r="F271" s="139"/>
      <c r="G271" s="138"/>
      <c r="H271" s="140"/>
      <c r="L271" s="212"/>
    </row>
    <row r="272" spans="1:12" s="135" customFormat="1" x14ac:dyDescent="0.2">
      <c r="B272" s="136"/>
      <c r="C272" s="137"/>
      <c r="D272" s="137"/>
      <c r="E272" s="138"/>
      <c r="F272" s="139"/>
      <c r="G272" s="138"/>
      <c r="H272" s="140"/>
      <c r="L272" s="212"/>
    </row>
    <row r="273" spans="2:12" s="135" customFormat="1" x14ac:dyDescent="0.2">
      <c r="B273" s="136"/>
      <c r="C273" s="137"/>
      <c r="D273" s="137"/>
      <c r="E273" s="138"/>
      <c r="F273" s="139"/>
      <c r="G273" s="138"/>
      <c r="H273" s="140"/>
      <c r="L273" s="212"/>
    </row>
    <row r="274" spans="2:12" s="135" customFormat="1" x14ac:dyDescent="0.2">
      <c r="B274" s="136"/>
      <c r="C274" s="137"/>
      <c r="D274" s="137"/>
      <c r="E274" s="138"/>
      <c r="F274" s="139"/>
      <c r="G274" s="138"/>
      <c r="H274" s="140"/>
      <c r="L274" s="212"/>
    </row>
    <row r="275" spans="2:12" s="135" customFormat="1" x14ac:dyDescent="0.2">
      <c r="B275" s="136"/>
      <c r="C275" s="137"/>
      <c r="D275" s="137"/>
      <c r="E275" s="138"/>
      <c r="F275" s="139"/>
      <c r="G275" s="138"/>
      <c r="H275" s="140"/>
      <c r="L275" s="212"/>
    </row>
    <row r="276" spans="2:12" s="135" customFormat="1" x14ac:dyDescent="0.2">
      <c r="B276" s="136"/>
      <c r="C276" s="137"/>
      <c r="D276" s="137"/>
      <c r="E276" s="138"/>
      <c r="F276" s="139"/>
      <c r="G276" s="138"/>
      <c r="H276" s="140"/>
      <c r="L276" s="212"/>
    </row>
    <row r="277" spans="2:12" s="135" customFormat="1" x14ac:dyDescent="0.2">
      <c r="B277" s="136"/>
      <c r="C277" s="137"/>
      <c r="D277" s="137"/>
      <c r="E277" s="138"/>
      <c r="F277" s="139"/>
      <c r="G277" s="138"/>
      <c r="H277" s="140"/>
      <c r="L277" s="212"/>
    </row>
    <row r="278" spans="2:12" s="135" customFormat="1" x14ac:dyDescent="0.2">
      <c r="B278" s="136"/>
      <c r="C278" s="137"/>
      <c r="D278" s="137"/>
      <c r="E278" s="138"/>
      <c r="F278" s="139"/>
      <c r="G278" s="138"/>
      <c r="H278" s="140"/>
      <c r="L278" s="212"/>
    </row>
    <row r="279" spans="2:12" s="135" customFormat="1" x14ac:dyDescent="0.2">
      <c r="B279" s="136"/>
      <c r="C279" s="137"/>
      <c r="D279" s="137"/>
      <c r="E279" s="138"/>
      <c r="F279" s="139"/>
      <c r="G279" s="138"/>
      <c r="H279" s="140"/>
      <c r="L279" s="212"/>
    </row>
    <row r="280" spans="2:12" s="135" customFormat="1" x14ac:dyDescent="0.2">
      <c r="B280" s="136"/>
      <c r="C280" s="137"/>
      <c r="D280" s="137"/>
      <c r="E280" s="138"/>
      <c r="F280" s="139"/>
      <c r="G280" s="138"/>
      <c r="H280" s="140"/>
      <c r="L280" s="212"/>
    </row>
    <row r="281" spans="2:12" s="135" customFormat="1" x14ac:dyDescent="0.2">
      <c r="B281" s="136"/>
      <c r="C281" s="137"/>
      <c r="D281" s="137"/>
      <c r="E281" s="138"/>
      <c r="F281" s="139"/>
      <c r="G281" s="138"/>
      <c r="H281" s="140"/>
      <c r="L281" s="212"/>
    </row>
    <row r="282" spans="2:12" s="135" customFormat="1" x14ac:dyDescent="0.2">
      <c r="B282" s="136"/>
      <c r="C282" s="137"/>
      <c r="D282" s="137"/>
      <c r="E282" s="138"/>
      <c r="F282" s="139"/>
      <c r="G282" s="138"/>
      <c r="H282" s="140"/>
      <c r="L282" s="212"/>
    </row>
    <row r="283" spans="2:12" s="135" customFormat="1" x14ac:dyDescent="0.2">
      <c r="B283" s="136"/>
      <c r="C283" s="137"/>
      <c r="D283" s="137"/>
      <c r="E283" s="138"/>
      <c r="F283" s="139"/>
      <c r="G283" s="138"/>
      <c r="H283" s="140"/>
      <c r="L283" s="212"/>
    </row>
    <row r="284" spans="2:12" s="135" customFormat="1" x14ac:dyDescent="0.2">
      <c r="B284" s="136"/>
      <c r="C284" s="137"/>
      <c r="D284" s="137"/>
      <c r="E284" s="138"/>
      <c r="F284" s="139"/>
      <c r="G284" s="138"/>
      <c r="H284" s="140"/>
      <c r="L284" s="212"/>
    </row>
    <row r="285" spans="2:12" s="135" customFormat="1" x14ac:dyDescent="0.2">
      <c r="B285" s="136"/>
      <c r="C285" s="137"/>
      <c r="D285" s="137"/>
      <c r="E285" s="138"/>
      <c r="F285" s="139"/>
      <c r="G285" s="138"/>
      <c r="H285" s="140"/>
      <c r="L285" s="212"/>
    </row>
    <row r="286" spans="2:12" s="135" customFormat="1" x14ac:dyDescent="0.2">
      <c r="B286" s="136"/>
      <c r="C286" s="137"/>
      <c r="D286" s="137"/>
      <c r="E286" s="138"/>
      <c r="F286" s="139"/>
      <c r="G286" s="138"/>
      <c r="H286" s="140"/>
      <c r="L286" s="212"/>
    </row>
    <row r="287" spans="2:12" s="135" customFormat="1" x14ac:dyDescent="0.2">
      <c r="B287" s="136"/>
      <c r="C287" s="137"/>
      <c r="D287" s="137"/>
      <c r="E287" s="138"/>
      <c r="F287" s="139"/>
      <c r="G287" s="138"/>
      <c r="H287" s="140"/>
      <c r="L287" s="212"/>
    </row>
    <row r="288" spans="2:12" s="135" customFormat="1" x14ac:dyDescent="0.2">
      <c r="B288" s="136"/>
      <c r="C288" s="137"/>
      <c r="D288" s="137"/>
      <c r="E288" s="138"/>
      <c r="F288" s="139"/>
      <c r="G288" s="138"/>
      <c r="H288" s="140"/>
      <c r="L288" s="212"/>
    </row>
    <row r="289" spans="2:12" s="135" customFormat="1" x14ac:dyDescent="0.2">
      <c r="B289" s="136"/>
      <c r="C289" s="137"/>
      <c r="D289" s="137"/>
      <c r="E289" s="138"/>
      <c r="F289" s="139"/>
      <c r="G289" s="138"/>
      <c r="H289" s="140"/>
      <c r="L289" s="212"/>
    </row>
    <row r="290" spans="2:12" s="135" customFormat="1" x14ac:dyDescent="0.2">
      <c r="B290" s="136"/>
      <c r="C290" s="137"/>
      <c r="D290" s="137"/>
      <c r="E290" s="138"/>
      <c r="F290" s="139"/>
      <c r="G290" s="138"/>
      <c r="H290" s="140"/>
      <c r="L290" s="212"/>
    </row>
    <row r="291" spans="2:12" s="135" customFormat="1" x14ac:dyDescent="0.2">
      <c r="B291" s="136"/>
      <c r="C291" s="137"/>
      <c r="D291" s="137"/>
      <c r="E291" s="138"/>
      <c r="F291" s="139"/>
      <c r="G291" s="138"/>
      <c r="H291" s="140"/>
      <c r="L291" s="212"/>
    </row>
    <row r="292" spans="2:12" s="135" customFormat="1" x14ac:dyDescent="0.2">
      <c r="B292" s="136"/>
      <c r="C292" s="137"/>
      <c r="D292" s="137"/>
      <c r="E292" s="138"/>
      <c r="F292" s="139"/>
      <c r="G292" s="138"/>
      <c r="H292" s="140"/>
      <c r="L292" s="212"/>
    </row>
    <row r="293" spans="2:12" s="135" customFormat="1" x14ac:dyDescent="0.2">
      <c r="B293" s="136"/>
      <c r="C293" s="137"/>
      <c r="D293" s="137"/>
      <c r="E293" s="138"/>
      <c r="F293" s="139"/>
      <c r="G293" s="138"/>
      <c r="H293" s="140"/>
      <c r="L293" s="212"/>
    </row>
    <row r="294" spans="2:12" s="135" customFormat="1" x14ac:dyDescent="0.2">
      <c r="B294" s="136"/>
      <c r="C294" s="137"/>
      <c r="D294" s="137"/>
      <c r="E294" s="138"/>
      <c r="F294" s="139"/>
      <c r="G294" s="138"/>
      <c r="H294" s="140"/>
      <c r="L294" s="212"/>
    </row>
    <row r="295" spans="2:12" s="135" customFormat="1" x14ac:dyDescent="0.2">
      <c r="B295" s="136"/>
      <c r="C295" s="137"/>
      <c r="D295" s="137"/>
      <c r="E295" s="138"/>
      <c r="F295" s="139"/>
      <c r="G295" s="138"/>
      <c r="H295" s="140"/>
      <c r="L295" s="212"/>
    </row>
    <row r="296" spans="2:12" s="135" customFormat="1" x14ac:dyDescent="0.2">
      <c r="B296" s="136"/>
      <c r="C296" s="137"/>
      <c r="D296" s="137"/>
      <c r="E296" s="138"/>
      <c r="F296" s="139"/>
      <c r="G296" s="138"/>
      <c r="H296" s="140"/>
      <c r="L296" s="212"/>
    </row>
    <row r="297" spans="2:12" s="135" customFormat="1" x14ac:dyDescent="0.2">
      <c r="B297" s="136"/>
      <c r="C297" s="137"/>
      <c r="D297" s="137"/>
      <c r="E297" s="138"/>
      <c r="F297" s="139"/>
      <c r="G297" s="138"/>
      <c r="H297" s="140"/>
      <c r="L297" s="212"/>
    </row>
    <row r="298" spans="2:12" s="135" customFormat="1" x14ac:dyDescent="0.2">
      <c r="B298" s="136"/>
      <c r="C298" s="137"/>
      <c r="D298" s="137"/>
      <c r="E298" s="138"/>
      <c r="F298" s="139"/>
      <c r="G298" s="138"/>
      <c r="H298" s="140"/>
      <c r="L298" s="212"/>
    </row>
    <row r="299" spans="2:12" s="135" customFormat="1" x14ac:dyDescent="0.2">
      <c r="B299" s="136"/>
      <c r="C299" s="137"/>
      <c r="D299" s="137"/>
      <c r="E299" s="138"/>
      <c r="F299" s="139"/>
      <c r="G299" s="138"/>
      <c r="H299" s="140"/>
      <c r="L299" s="212"/>
    </row>
    <row r="300" spans="2:12" s="135" customFormat="1" x14ac:dyDescent="0.2">
      <c r="B300" s="136"/>
      <c r="C300" s="137"/>
      <c r="D300" s="137"/>
      <c r="E300" s="138"/>
      <c r="F300" s="139"/>
      <c r="G300" s="138"/>
      <c r="H300" s="140"/>
      <c r="L300" s="212"/>
    </row>
    <row r="301" spans="2:12" s="135" customFormat="1" x14ac:dyDescent="0.2">
      <c r="B301" s="136"/>
      <c r="C301" s="137"/>
      <c r="D301" s="137"/>
      <c r="E301" s="138"/>
      <c r="F301" s="139"/>
      <c r="G301" s="138"/>
      <c r="H301" s="140"/>
      <c r="L301" s="212"/>
    </row>
    <row r="302" spans="2:12" s="135" customFormat="1" x14ac:dyDescent="0.2">
      <c r="B302" s="136"/>
      <c r="C302" s="137"/>
      <c r="D302" s="137"/>
      <c r="E302" s="138"/>
      <c r="F302" s="139"/>
      <c r="G302" s="138"/>
      <c r="H302" s="140"/>
      <c r="L302" s="212"/>
    </row>
    <row r="303" spans="2:12" s="135" customFormat="1" x14ac:dyDescent="0.2">
      <c r="B303" s="136"/>
      <c r="C303" s="137"/>
      <c r="D303" s="137"/>
      <c r="E303" s="138"/>
      <c r="F303" s="139"/>
      <c r="G303" s="138"/>
      <c r="H303" s="140"/>
      <c r="L303" s="212"/>
    </row>
    <row r="304" spans="2:12" s="135" customFormat="1" x14ac:dyDescent="0.2">
      <c r="B304" s="136"/>
      <c r="C304" s="137"/>
      <c r="D304" s="137"/>
      <c r="E304" s="138"/>
      <c r="F304" s="139"/>
      <c r="G304" s="138"/>
      <c r="H304" s="140"/>
      <c r="L304" s="212"/>
    </row>
    <row r="305" spans="2:12" s="135" customFormat="1" x14ac:dyDescent="0.2">
      <c r="B305" s="136"/>
      <c r="C305" s="137"/>
      <c r="D305" s="137"/>
      <c r="E305" s="138"/>
      <c r="F305" s="139"/>
      <c r="G305" s="138"/>
      <c r="H305" s="140"/>
      <c r="L305" s="212"/>
    </row>
    <row r="306" spans="2:12" s="135" customFormat="1" x14ac:dyDescent="0.2">
      <c r="B306" s="136"/>
      <c r="C306" s="137"/>
      <c r="D306" s="137"/>
      <c r="E306" s="138"/>
      <c r="F306" s="139"/>
      <c r="G306" s="138"/>
      <c r="H306" s="140"/>
      <c r="L306" s="212"/>
    </row>
    <row r="307" spans="2:12" s="135" customFormat="1" x14ac:dyDescent="0.2">
      <c r="B307" s="136"/>
      <c r="C307" s="137"/>
      <c r="D307" s="137"/>
      <c r="E307" s="138"/>
      <c r="F307" s="139"/>
      <c r="G307" s="138"/>
      <c r="H307" s="140"/>
      <c r="L307" s="212"/>
    </row>
    <row r="308" spans="2:12" s="135" customFormat="1" x14ac:dyDescent="0.2">
      <c r="B308" s="136"/>
      <c r="C308" s="137"/>
      <c r="D308" s="137"/>
      <c r="E308" s="138"/>
      <c r="F308" s="139"/>
      <c r="G308" s="138"/>
      <c r="H308" s="140"/>
      <c r="L308" s="212"/>
    </row>
    <row r="309" spans="2:12" s="135" customFormat="1" x14ac:dyDescent="0.2">
      <c r="B309" s="136"/>
      <c r="C309" s="137"/>
      <c r="D309" s="137"/>
      <c r="E309" s="138"/>
      <c r="F309" s="139"/>
      <c r="G309" s="138"/>
      <c r="H309" s="140"/>
      <c r="L309" s="212"/>
    </row>
    <row r="310" spans="2:12" s="135" customFormat="1" x14ac:dyDescent="0.2">
      <c r="B310" s="136"/>
      <c r="C310" s="137"/>
      <c r="D310" s="137"/>
      <c r="E310" s="138"/>
      <c r="F310" s="139"/>
      <c r="G310" s="138"/>
      <c r="H310" s="140"/>
      <c r="L310" s="212"/>
    </row>
    <row r="311" spans="2:12" s="135" customFormat="1" x14ac:dyDescent="0.2">
      <c r="B311" s="136"/>
      <c r="C311" s="137"/>
      <c r="D311" s="137"/>
      <c r="E311" s="138"/>
      <c r="F311" s="139"/>
      <c r="G311" s="138"/>
      <c r="H311" s="140"/>
      <c r="L311" s="212"/>
    </row>
    <row r="312" spans="2:12" s="135" customFormat="1" x14ac:dyDescent="0.2">
      <c r="B312" s="136"/>
      <c r="C312" s="137"/>
      <c r="D312" s="137"/>
      <c r="E312" s="138"/>
      <c r="F312" s="139"/>
      <c r="G312" s="138"/>
      <c r="H312" s="140"/>
      <c r="L312" s="212"/>
    </row>
    <row r="313" spans="2:12" s="135" customFormat="1" x14ac:dyDescent="0.2">
      <c r="B313" s="136"/>
      <c r="C313" s="137"/>
      <c r="D313" s="137"/>
      <c r="E313" s="138"/>
      <c r="F313" s="139"/>
      <c r="G313" s="138"/>
      <c r="H313" s="140"/>
      <c r="L313" s="212"/>
    </row>
    <row r="314" spans="2:12" s="135" customFormat="1" x14ac:dyDescent="0.2">
      <c r="B314" s="136"/>
      <c r="C314" s="137"/>
      <c r="D314" s="137"/>
      <c r="E314" s="138"/>
      <c r="F314" s="139"/>
      <c r="G314" s="138"/>
      <c r="H314" s="140"/>
      <c r="L314" s="212"/>
    </row>
    <row r="315" spans="2:12" s="135" customFormat="1" x14ac:dyDescent="0.2">
      <c r="B315" s="136"/>
      <c r="C315" s="137"/>
      <c r="D315" s="137"/>
      <c r="E315" s="138"/>
      <c r="F315" s="139"/>
      <c r="G315" s="138"/>
      <c r="H315" s="140"/>
      <c r="L315" s="212"/>
    </row>
    <row r="316" spans="2:12" s="135" customFormat="1" x14ac:dyDescent="0.2">
      <c r="B316" s="136"/>
      <c r="C316" s="137"/>
      <c r="D316" s="137"/>
      <c r="E316" s="138"/>
      <c r="F316" s="139"/>
      <c r="G316" s="138"/>
      <c r="H316" s="140"/>
      <c r="L316" s="212"/>
    </row>
    <row r="317" spans="2:12" s="135" customFormat="1" x14ac:dyDescent="0.2">
      <c r="B317" s="136"/>
      <c r="C317" s="137"/>
      <c r="D317" s="137"/>
      <c r="E317" s="138"/>
      <c r="F317" s="139"/>
      <c r="G317" s="138"/>
      <c r="H317" s="140"/>
      <c r="L317" s="212"/>
    </row>
    <row r="318" spans="2:12" s="135" customFormat="1" x14ac:dyDescent="0.2">
      <c r="B318" s="136"/>
      <c r="C318" s="137"/>
      <c r="D318" s="137"/>
      <c r="E318" s="138"/>
      <c r="F318" s="139"/>
      <c r="G318" s="138"/>
      <c r="H318" s="140"/>
      <c r="L318" s="212"/>
    </row>
    <row r="319" spans="2:12" s="135" customFormat="1" x14ac:dyDescent="0.2">
      <c r="B319" s="136"/>
      <c r="C319" s="137"/>
      <c r="D319" s="137"/>
      <c r="E319" s="138"/>
      <c r="F319" s="139"/>
      <c r="G319" s="138"/>
      <c r="H319" s="140"/>
      <c r="L319" s="212"/>
    </row>
    <row r="320" spans="2:12" s="135" customFormat="1" x14ac:dyDescent="0.2">
      <c r="B320" s="136"/>
      <c r="C320" s="137"/>
      <c r="D320" s="137"/>
      <c r="E320" s="138"/>
      <c r="F320" s="139"/>
      <c r="G320" s="138"/>
      <c r="H320" s="140"/>
      <c r="L320" s="212"/>
    </row>
    <row r="321" spans="2:12" s="135" customFormat="1" x14ac:dyDescent="0.2">
      <c r="B321" s="136"/>
      <c r="C321" s="137"/>
      <c r="D321" s="137"/>
      <c r="E321" s="138"/>
      <c r="F321" s="139"/>
      <c r="G321" s="138"/>
      <c r="H321" s="140"/>
      <c r="L321" s="212"/>
    </row>
    <row r="322" spans="2:12" s="135" customFormat="1" x14ac:dyDescent="0.2">
      <c r="B322" s="136"/>
      <c r="C322" s="137"/>
      <c r="D322" s="137"/>
      <c r="E322" s="138"/>
      <c r="F322" s="139"/>
      <c r="G322" s="138"/>
      <c r="H322" s="140"/>
      <c r="L322" s="212"/>
    </row>
    <row r="323" spans="2:12" s="135" customFormat="1" x14ac:dyDescent="0.2">
      <c r="B323" s="136"/>
      <c r="C323" s="137"/>
      <c r="D323" s="137"/>
      <c r="E323" s="138"/>
      <c r="F323" s="139"/>
      <c r="G323" s="138"/>
      <c r="H323" s="140"/>
      <c r="L323" s="212"/>
    </row>
    <row r="324" spans="2:12" s="135" customFormat="1" x14ac:dyDescent="0.2">
      <c r="B324" s="136"/>
      <c r="C324" s="137"/>
      <c r="D324" s="137"/>
      <c r="E324" s="138"/>
      <c r="F324" s="139"/>
      <c r="G324" s="138"/>
      <c r="H324" s="140"/>
      <c r="L324" s="212"/>
    </row>
    <row r="325" spans="2:12" s="135" customFormat="1" x14ac:dyDescent="0.2">
      <c r="B325" s="136"/>
      <c r="C325" s="137"/>
      <c r="D325" s="137"/>
      <c r="E325" s="138"/>
      <c r="F325" s="139"/>
      <c r="G325" s="138"/>
      <c r="H325" s="140"/>
      <c r="L325" s="212"/>
    </row>
    <row r="326" spans="2:12" s="135" customFormat="1" x14ac:dyDescent="0.2">
      <c r="B326" s="136"/>
      <c r="C326" s="137"/>
      <c r="D326" s="137"/>
      <c r="E326" s="138"/>
      <c r="F326" s="139"/>
      <c r="G326" s="138"/>
      <c r="H326" s="140"/>
      <c r="L326" s="212"/>
    </row>
    <row r="327" spans="2:12" s="135" customFormat="1" x14ac:dyDescent="0.2">
      <c r="B327" s="136"/>
      <c r="C327" s="137"/>
      <c r="D327" s="137"/>
      <c r="E327" s="138"/>
      <c r="F327" s="139"/>
      <c r="G327" s="138"/>
      <c r="H327" s="140"/>
      <c r="L327" s="212"/>
    </row>
    <row r="328" spans="2:12" s="135" customFormat="1" x14ac:dyDescent="0.2">
      <c r="B328" s="136"/>
      <c r="C328" s="137"/>
      <c r="D328" s="137"/>
      <c r="E328" s="138"/>
      <c r="F328" s="139"/>
      <c r="G328" s="138"/>
      <c r="H328" s="140"/>
      <c r="L328" s="212"/>
    </row>
    <row r="329" spans="2:12" s="135" customFormat="1" x14ac:dyDescent="0.2">
      <c r="B329" s="136"/>
      <c r="C329" s="137"/>
      <c r="D329" s="137"/>
      <c r="E329" s="138"/>
      <c r="F329" s="139"/>
      <c r="G329" s="138"/>
      <c r="H329" s="140"/>
      <c r="L329" s="212"/>
    </row>
    <row r="330" spans="2:12" s="135" customFormat="1" x14ac:dyDescent="0.2">
      <c r="B330" s="136"/>
      <c r="C330" s="137"/>
      <c r="D330" s="137"/>
      <c r="E330" s="138"/>
      <c r="F330" s="139"/>
      <c r="G330" s="138"/>
      <c r="H330" s="140"/>
      <c r="L330" s="212"/>
    </row>
    <row r="331" spans="2:12" s="135" customFormat="1" x14ac:dyDescent="0.2">
      <c r="B331" s="136"/>
      <c r="C331" s="137"/>
      <c r="D331" s="137"/>
      <c r="E331" s="138"/>
      <c r="F331" s="139"/>
      <c r="G331" s="138"/>
      <c r="H331" s="140"/>
      <c r="L331" s="212"/>
    </row>
    <row r="332" spans="2:12" s="135" customFormat="1" x14ac:dyDescent="0.2">
      <c r="B332" s="136"/>
      <c r="C332" s="137"/>
      <c r="D332" s="137"/>
      <c r="E332" s="138"/>
      <c r="F332" s="139"/>
      <c r="G332" s="138"/>
      <c r="H332" s="140"/>
      <c r="L332" s="212"/>
    </row>
    <row r="333" spans="2:12" s="135" customFormat="1" x14ac:dyDescent="0.2">
      <c r="B333" s="136"/>
      <c r="C333" s="137"/>
      <c r="D333" s="137"/>
      <c r="E333" s="138"/>
      <c r="F333" s="139"/>
      <c r="G333" s="138"/>
      <c r="H333" s="140"/>
      <c r="L333" s="212"/>
    </row>
    <row r="334" spans="2:12" s="135" customFormat="1" x14ac:dyDescent="0.2">
      <c r="B334" s="136"/>
      <c r="C334" s="137"/>
      <c r="D334" s="137"/>
      <c r="E334" s="138"/>
      <c r="F334" s="139"/>
      <c r="G334" s="138"/>
      <c r="H334" s="140"/>
      <c r="L334" s="212"/>
    </row>
    <row r="335" spans="2:12" s="135" customFormat="1" x14ac:dyDescent="0.2">
      <c r="B335" s="136"/>
      <c r="C335" s="137"/>
      <c r="D335" s="137"/>
      <c r="E335" s="138"/>
      <c r="F335" s="139"/>
      <c r="G335" s="138"/>
      <c r="H335" s="140"/>
      <c r="L335" s="212"/>
    </row>
    <row r="336" spans="2:12" s="135" customFormat="1" x14ac:dyDescent="0.2">
      <c r="B336" s="136"/>
      <c r="C336" s="137"/>
      <c r="D336" s="137"/>
      <c r="E336" s="138"/>
      <c r="F336" s="139"/>
      <c r="G336" s="138"/>
      <c r="H336" s="140"/>
      <c r="L336" s="212"/>
    </row>
    <row r="337" spans="2:12" s="135" customFormat="1" x14ac:dyDescent="0.2">
      <c r="B337" s="136"/>
      <c r="C337" s="137"/>
      <c r="D337" s="137"/>
      <c r="E337" s="138"/>
      <c r="F337" s="139"/>
      <c r="G337" s="138"/>
      <c r="H337" s="140"/>
      <c r="L337" s="212"/>
    </row>
    <row r="338" spans="2:12" s="135" customFormat="1" x14ac:dyDescent="0.2">
      <c r="B338" s="136"/>
      <c r="C338" s="137"/>
      <c r="D338" s="137"/>
      <c r="E338" s="138"/>
      <c r="F338" s="139"/>
      <c r="G338" s="138"/>
      <c r="H338" s="140"/>
      <c r="L338" s="212"/>
    </row>
    <row r="339" spans="2:12" s="135" customFormat="1" x14ac:dyDescent="0.2">
      <c r="B339" s="136"/>
      <c r="C339" s="137"/>
      <c r="D339" s="137"/>
      <c r="E339" s="138"/>
      <c r="F339" s="139"/>
      <c r="G339" s="138"/>
      <c r="H339" s="140"/>
      <c r="L339" s="212"/>
    </row>
    <row r="340" spans="2:12" s="135" customFormat="1" x14ac:dyDescent="0.2">
      <c r="B340" s="136"/>
      <c r="C340" s="137"/>
      <c r="D340" s="137"/>
      <c r="E340" s="138"/>
      <c r="F340" s="139"/>
      <c r="G340" s="138"/>
      <c r="H340" s="140"/>
      <c r="L340" s="212"/>
    </row>
    <row r="341" spans="2:12" s="135" customFormat="1" x14ac:dyDescent="0.2">
      <c r="B341" s="136"/>
      <c r="C341" s="137"/>
      <c r="D341" s="137"/>
      <c r="E341" s="138"/>
      <c r="F341" s="139"/>
      <c r="G341" s="138"/>
      <c r="H341" s="140"/>
      <c r="L341" s="212"/>
    </row>
    <row r="342" spans="2:12" s="135" customFormat="1" x14ac:dyDescent="0.2">
      <c r="B342" s="136"/>
      <c r="C342" s="137"/>
      <c r="D342" s="137"/>
      <c r="E342" s="138"/>
      <c r="F342" s="139"/>
      <c r="G342" s="138"/>
      <c r="H342" s="140"/>
      <c r="L342" s="212"/>
    </row>
    <row r="343" spans="2:12" s="135" customFormat="1" x14ac:dyDescent="0.2">
      <c r="B343" s="136"/>
      <c r="C343" s="137"/>
      <c r="D343" s="137"/>
      <c r="E343" s="138"/>
      <c r="F343" s="139"/>
      <c r="G343" s="138"/>
      <c r="H343" s="140"/>
      <c r="L343" s="212"/>
    </row>
    <row r="344" spans="2:12" s="135" customFormat="1" x14ac:dyDescent="0.2">
      <c r="B344" s="136"/>
      <c r="C344" s="137"/>
      <c r="D344" s="137"/>
      <c r="E344" s="138"/>
      <c r="F344" s="139"/>
      <c r="G344" s="138"/>
      <c r="H344" s="140"/>
      <c r="L344" s="212"/>
    </row>
    <row r="345" spans="2:12" s="135" customFormat="1" x14ac:dyDescent="0.2">
      <c r="B345" s="136"/>
      <c r="C345" s="137"/>
      <c r="D345" s="137"/>
      <c r="E345" s="138"/>
      <c r="F345" s="139"/>
      <c r="G345" s="138"/>
      <c r="H345" s="140"/>
      <c r="L345" s="212"/>
    </row>
    <row r="346" spans="2:12" s="135" customFormat="1" x14ac:dyDescent="0.2">
      <c r="B346" s="136"/>
      <c r="C346" s="137"/>
      <c r="D346" s="137"/>
      <c r="E346" s="138"/>
      <c r="F346" s="139"/>
      <c r="G346" s="138"/>
      <c r="H346" s="140"/>
      <c r="L346" s="212"/>
    </row>
    <row r="347" spans="2:12" s="135" customFormat="1" x14ac:dyDescent="0.2">
      <c r="B347" s="136"/>
      <c r="C347" s="137"/>
      <c r="D347" s="137"/>
      <c r="E347" s="138"/>
      <c r="F347" s="139"/>
      <c r="G347" s="138"/>
      <c r="H347" s="140"/>
      <c r="L347" s="212"/>
    </row>
    <row r="348" spans="2:12" s="135" customFormat="1" x14ac:dyDescent="0.2">
      <c r="B348" s="136"/>
      <c r="C348" s="137"/>
      <c r="D348" s="137"/>
      <c r="E348" s="138"/>
      <c r="F348" s="139"/>
      <c r="G348" s="138"/>
      <c r="H348" s="140"/>
      <c r="L348" s="212"/>
    </row>
    <row r="349" spans="2:12" s="135" customFormat="1" x14ac:dyDescent="0.2">
      <c r="B349" s="136"/>
      <c r="C349" s="137"/>
      <c r="D349" s="137"/>
      <c r="E349" s="138"/>
      <c r="F349" s="139"/>
      <c r="G349" s="138"/>
      <c r="H349" s="140"/>
      <c r="L349" s="212"/>
    </row>
    <row r="350" spans="2:12" s="135" customFormat="1" x14ac:dyDescent="0.2">
      <c r="B350" s="136"/>
      <c r="C350" s="137"/>
      <c r="D350" s="137"/>
      <c r="E350" s="138"/>
      <c r="F350" s="139"/>
      <c r="G350" s="138"/>
      <c r="H350" s="140"/>
      <c r="L350" s="212"/>
    </row>
    <row r="351" spans="2:12" s="135" customFormat="1" x14ac:dyDescent="0.2">
      <c r="B351" s="136"/>
      <c r="C351" s="137"/>
      <c r="D351" s="137"/>
      <c r="E351" s="138"/>
      <c r="F351" s="139"/>
      <c r="G351" s="138"/>
      <c r="H351" s="140"/>
      <c r="L351" s="212"/>
    </row>
    <row r="352" spans="2:12" s="135" customFormat="1" x14ac:dyDescent="0.2">
      <c r="B352" s="136"/>
      <c r="C352" s="137"/>
      <c r="D352" s="137"/>
      <c r="E352" s="138"/>
      <c r="F352" s="139"/>
      <c r="G352" s="138"/>
      <c r="H352" s="140"/>
      <c r="L352" s="212"/>
    </row>
    <row r="353" spans="2:12" s="135" customFormat="1" x14ac:dyDescent="0.2">
      <c r="B353" s="136"/>
      <c r="C353" s="137"/>
      <c r="D353" s="137"/>
      <c r="E353" s="138"/>
      <c r="F353" s="139"/>
      <c r="G353" s="138"/>
      <c r="H353" s="140"/>
      <c r="L353" s="212"/>
    </row>
    <row r="354" spans="2:12" s="135" customFormat="1" x14ac:dyDescent="0.2">
      <c r="B354" s="136"/>
      <c r="C354" s="137"/>
      <c r="D354" s="137"/>
      <c r="E354" s="138"/>
      <c r="F354" s="139"/>
      <c r="G354" s="138"/>
      <c r="H354" s="140"/>
      <c r="L354" s="212"/>
    </row>
    <row r="355" spans="2:12" s="135" customFormat="1" x14ac:dyDescent="0.2">
      <c r="B355" s="136"/>
      <c r="C355" s="137"/>
      <c r="D355" s="137"/>
      <c r="E355" s="138"/>
      <c r="F355" s="139"/>
      <c r="G355" s="138"/>
      <c r="H355" s="140"/>
      <c r="L355" s="212"/>
    </row>
    <row r="356" spans="2:12" s="135" customFormat="1" x14ac:dyDescent="0.2">
      <c r="B356" s="136"/>
      <c r="C356" s="137"/>
      <c r="D356" s="137"/>
      <c r="E356" s="138"/>
      <c r="F356" s="139"/>
      <c r="G356" s="138"/>
      <c r="H356" s="140"/>
      <c r="L356" s="212"/>
    </row>
    <row r="357" spans="2:12" s="135" customFormat="1" x14ac:dyDescent="0.2">
      <c r="B357" s="136"/>
      <c r="C357" s="137"/>
      <c r="D357" s="137"/>
      <c r="E357" s="138"/>
      <c r="F357" s="139"/>
      <c r="G357" s="138"/>
      <c r="H357" s="140"/>
      <c r="L357" s="212"/>
    </row>
    <row r="358" spans="2:12" s="135" customFormat="1" x14ac:dyDescent="0.2">
      <c r="B358" s="136"/>
      <c r="C358" s="137"/>
      <c r="D358" s="137"/>
      <c r="E358" s="138"/>
      <c r="F358" s="139"/>
      <c r="G358" s="138"/>
      <c r="H358" s="140"/>
      <c r="L358" s="212"/>
    </row>
    <row r="359" spans="2:12" s="135" customFormat="1" x14ac:dyDescent="0.2">
      <c r="B359" s="136"/>
      <c r="C359" s="137"/>
      <c r="D359" s="137"/>
      <c r="E359" s="138"/>
      <c r="F359" s="139"/>
      <c r="G359" s="138"/>
      <c r="H359" s="140"/>
      <c r="L359" s="212"/>
    </row>
    <row r="360" spans="2:12" s="135" customFormat="1" x14ac:dyDescent="0.2">
      <c r="B360" s="136"/>
      <c r="C360" s="137"/>
      <c r="D360" s="137"/>
      <c r="E360" s="138"/>
      <c r="F360" s="139"/>
      <c r="G360" s="138"/>
      <c r="H360" s="140"/>
      <c r="L360" s="212"/>
    </row>
    <row r="361" spans="2:12" s="135" customFormat="1" x14ac:dyDescent="0.2">
      <c r="B361" s="136"/>
      <c r="C361" s="137"/>
      <c r="D361" s="137"/>
      <c r="E361" s="138"/>
      <c r="F361" s="139"/>
      <c r="G361" s="138"/>
      <c r="H361" s="140"/>
      <c r="L361" s="212"/>
    </row>
    <row r="362" spans="2:12" s="135" customFormat="1" x14ac:dyDescent="0.2">
      <c r="B362" s="136"/>
      <c r="C362" s="137"/>
      <c r="D362" s="137"/>
      <c r="E362" s="138"/>
      <c r="F362" s="139"/>
      <c r="G362" s="138"/>
      <c r="H362" s="140"/>
      <c r="L362" s="212"/>
    </row>
    <row r="363" spans="2:12" s="135" customFormat="1" x14ac:dyDescent="0.2">
      <c r="B363" s="136"/>
      <c r="C363" s="137"/>
      <c r="D363" s="137"/>
      <c r="E363" s="138"/>
      <c r="F363" s="139"/>
      <c r="G363" s="138"/>
      <c r="H363" s="140"/>
      <c r="L363" s="212"/>
    </row>
    <row r="364" spans="2:12" s="135" customFormat="1" x14ac:dyDescent="0.2">
      <c r="B364" s="136"/>
      <c r="C364" s="137"/>
      <c r="D364" s="137"/>
      <c r="E364" s="138"/>
      <c r="F364" s="139"/>
      <c r="G364" s="138"/>
      <c r="H364" s="140"/>
      <c r="L364" s="212"/>
    </row>
    <row r="365" spans="2:12" s="135" customFormat="1" x14ac:dyDescent="0.2">
      <c r="B365" s="136"/>
      <c r="C365" s="137"/>
      <c r="D365" s="137"/>
      <c r="E365" s="138"/>
      <c r="F365" s="139"/>
      <c r="G365" s="138"/>
      <c r="H365" s="140"/>
      <c r="L365" s="212"/>
    </row>
    <row r="366" spans="2:12" s="135" customFormat="1" x14ac:dyDescent="0.2">
      <c r="B366" s="136"/>
      <c r="C366" s="137"/>
      <c r="D366" s="137"/>
      <c r="E366" s="138"/>
      <c r="F366" s="139"/>
      <c r="G366" s="138"/>
      <c r="H366" s="140"/>
      <c r="L366" s="212"/>
    </row>
    <row r="367" spans="2:12" s="135" customFormat="1" x14ac:dyDescent="0.2">
      <c r="B367" s="136"/>
      <c r="C367" s="137"/>
      <c r="D367" s="137"/>
      <c r="E367" s="138"/>
      <c r="F367" s="139"/>
      <c r="G367" s="138"/>
      <c r="H367" s="140"/>
      <c r="L367" s="212"/>
    </row>
    <row r="368" spans="2:12" s="135" customFormat="1" x14ac:dyDescent="0.2">
      <c r="B368" s="136"/>
      <c r="C368" s="137"/>
      <c r="D368" s="137"/>
      <c r="E368" s="138"/>
      <c r="F368" s="139"/>
      <c r="G368" s="138"/>
      <c r="H368" s="140"/>
      <c r="L368" s="212"/>
    </row>
    <row r="369" spans="2:12" s="135" customFormat="1" x14ac:dyDescent="0.2">
      <c r="B369" s="136"/>
      <c r="C369" s="137"/>
      <c r="D369" s="137"/>
      <c r="E369" s="138"/>
      <c r="F369" s="139"/>
      <c r="G369" s="138"/>
      <c r="H369" s="140"/>
      <c r="L369" s="212"/>
    </row>
    <row r="370" spans="2:12" s="135" customFormat="1" x14ac:dyDescent="0.2">
      <c r="B370" s="136"/>
      <c r="C370" s="137"/>
      <c r="D370" s="137"/>
      <c r="E370" s="138"/>
      <c r="F370" s="139"/>
      <c r="G370" s="138"/>
      <c r="H370" s="140"/>
      <c r="L370" s="212"/>
    </row>
    <row r="371" spans="2:12" s="135" customFormat="1" x14ac:dyDescent="0.2">
      <c r="B371" s="136"/>
      <c r="C371" s="137"/>
      <c r="D371" s="137"/>
      <c r="E371" s="138"/>
      <c r="F371" s="139"/>
      <c r="G371" s="138"/>
      <c r="H371" s="140"/>
      <c r="L371" s="212"/>
    </row>
    <row r="372" spans="2:12" s="135" customFormat="1" x14ac:dyDescent="0.2">
      <c r="B372" s="136"/>
      <c r="C372" s="137"/>
      <c r="D372" s="137"/>
      <c r="E372" s="138"/>
      <c r="F372" s="139"/>
      <c r="G372" s="138"/>
      <c r="H372" s="140"/>
      <c r="L372" s="212"/>
    </row>
    <row r="373" spans="2:12" s="135" customFormat="1" x14ac:dyDescent="0.2">
      <c r="B373" s="136"/>
      <c r="C373" s="137"/>
      <c r="D373" s="137"/>
      <c r="E373" s="138"/>
      <c r="F373" s="139"/>
      <c r="G373" s="138"/>
      <c r="H373" s="140"/>
      <c r="L373" s="212"/>
    </row>
    <row r="374" spans="2:12" s="135" customFormat="1" x14ac:dyDescent="0.2">
      <c r="B374" s="136"/>
      <c r="C374" s="137"/>
      <c r="D374" s="137"/>
      <c r="E374" s="138"/>
      <c r="F374" s="139"/>
      <c r="G374" s="138"/>
      <c r="H374" s="140"/>
      <c r="L374" s="212"/>
    </row>
    <row r="375" spans="2:12" s="135" customFormat="1" x14ac:dyDescent="0.2">
      <c r="B375" s="136"/>
      <c r="C375" s="137"/>
      <c r="D375" s="137"/>
      <c r="E375" s="138"/>
      <c r="F375" s="139"/>
      <c r="G375" s="138"/>
      <c r="H375" s="140"/>
      <c r="L375" s="212"/>
    </row>
    <row r="376" spans="2:12" s="135" customFormat="1" x14ac:dyDescent="0.2">
      <c r="B376" s="136"/>
      <c r="C376" s="137"/>
      <c r="D376" s="137"/>
      <c r="E376" s="138"/>
      <c r="F376" s="139"/>
      <c r="G376" s="138"/>
      <c r="H376" s="140"/>
      <c r="L376" s="212"/>
    </row>
    <row r="377" spans="2:12" s="135" customFormat="1" x14ac:dyDescent="0.2">
      <c r="B377" s="136"/>
      <c r="C377" s="137"/>
      <c r="D377" s="137"/>
      <c r="E377" s="138"/>
      <c r="F377" s="139"/>
      <c r="G377" s="138"/>
      <c r="H377" s="140"/>
      <c r="L377" s="212"/>
    </row>
    <row r="378" spans="2:12" s="135" customFormat="1" x14ac:dyDescent="0.2">
      <c r="B378" s="136"/>
      <c r="C378" s="137"/>
      <c r="D378" s="137"/>
      <c r="E378" s="138"/>
      <c r="F378" s="139"/>
      <c r="G378" s="138"/>
      <c r="H378" s="140"/>
      <c r="L378" s="212"/>
    </row>
    <row r="379" spans="2:12" s="135" customFormat="1" x14ac:dyDescent="0.2">
      <c r="B379" s="136"/>
      <c r="C379" s="137"/>
      <c r="D379" s="137"/>
      <c r="E379" s="138"/>
      <c r="F379" s="139"/>
      <c r="G379" s="138"/>
      <c r="H379" s="140"/>
      <c r="L379" s="212"/>
    </row>
    <row r="380" spans="2:12" s="135" customFormat="1" x14ac:dyDescent="0.2">
      <c r="B380" s="136"/>
      <c r="C380" s="137"/>
      <c r="D380" s="137"/>
      <c r="E380" s="138"/>
      <c r="F380" s="139"/>
      <c r="G380" s="138"/>
      <c r="H380" s="140"/>
      <c r="L380" s="212"/>
    </row>
    <row r="381" spans="2:12" s="135" customFormat="1" x14ac:dyDescent="0.2">
      <c r="B381" s="136"/>
      <c r="C381" s="137"/>
      <c r="D381" s="137"/>
      <c r="E381" s="138"/>
      <c r="F381" s="139"/>
      <c r="G381" s="138"/>
      <c r="H381" s="140"/>
      <c r="L381" s="212"/>
    </row>
    <row r="382" spans="2:12" s="135" customFormat="1" x14ac:dyDescent="0.2">
      <c r="B382" s="136"/>
      <c r="C382" s="137"/>
      <c r="D382" s="137"/>
      <c r="E382" s="138"/>
      <c r="F382" s="139"/>
      <c r="G382" s="138"/>
      <c r="H382" s="140"/>
      <c r="L382" s="212"/>
    </row>
    <row r="383" spans="2:12" s="135" customFormat="1" x14ac:dyDescent="0.2">
      <c r="B383" s="136"/>
      <c r="C383" s="137"/>
      <c r="D383" s="137"/>
      <c r="E383" s="138"/>
      <c r="F383" s="139"/>
      <c r="G383" s="138"/>
      <c r="H383" s="140"/>
      <c r="L383" s="212"/>
    </row>
    <row r="384" spans="2:12" s="135" customFormat="1" x14ac:dyDescent="0.2">
      <c r="B384" s="136"/>
      <c r="C384" s="137"/>
      <c r="D384" s="137"/>
      <c r="E384" s="138"/>
      <c r="F384" s="139"/>
      <c r="G384" s="138"/>
      <c r="H384" s="140"/>
      <c r="L384" s="212"/>
    </row>
    <row r="385" spans="2:12" s="135" customFormat="1" x14ac:dyDescent="0.2">
      <c r="B385" s="136"/>
      <c r="C385" s="137"/>
      <c r="D385" s="137"/>
      <c r="E385" s="138"/>
      <c r="F385" s="139"/>
      <c r="G385" s="138"/>
      <c r="H385" s="140"/>
      <c r="L385" s="212"/>
    </row>
    <row r="386" spans="2:12" s="135" customFormat="1" x14ac:dyDescent="0.2">
      <c r="B386" s="136"/>
      <c r="C386" s="137"/>
      <c r="D386" s="137"/>
      <c r="E386" s="138"/>
      <c r="F386" s="139"/>
      <c r="G386" s="138"/>
      <c r="H386" s="140"/>
      <c r="L386" s="212"/>
    </row>
    <row r="387" spans="2:12" s="135" customFormat="1" x14ac:dyDescent="0.2">
      <c r="B387" s="136"/>
      <c r="C387" s="137"/>
      <c r="D387" s="137"/>
      <c r="E387" s="138"/>
      <c r="F387" s="139"/>
      <c r="G387" s="138"/>
      <c r="H387" s="140"/>
      <c r="L387" s="212"/>
    </row>
    <row r="388" spans="2:12" s="135" customFormat="1" x14ac:dyDescent="0.2">
      <c r="B388" s="136"/>
      <c r="C388" s="137"/>
      <c r="D388" s="137"/>
      <c r="E388" s="138"/>
      <c r="F388" s="139"/>
      <c r="G388" s="138"/>
      <c r="H388" s="140"/>
      <c r="L388" s="212"/>
    </row>
    <row r="389" spans="2:12" s="135" customFormat="1" x14ac:dyDescent="0.2">
      <c r="B389" s="136"/>
      <c r="C389" s="137"/>
      <c r="D389" s="137"/>
      <c r="E389" s="138"/>
      <c r="F389" s="139"/>
      <c r="G389" s="138"/>
      <c r="H389" s="140"/>
      <c r="L389" s="212"/>
    </row>
    <row r="390" spans="2:12" s="135" customFormat="1" x14ac:dyDescent="0.2">
      <c r="B390" s="136"/>
      <c r="C390" s="137"/>
      <c r="D390" s="137"/>
      <c r="E390" s="138"/>
      <c r="F390" s="139"/>
      <c r="G390" s="138"/>
      <c r="H390" s="140"/>
      <c r="L390" s="212"/>
    </row>
    <row r="391" spans="2:12" s="135" customFormat="1" x14ac:dyDescent="0.2">
      <c r="B391" s="136"/>
      <c r="C391" s="137"/>
      <c r="D391" s="137"/>
      <c r="E391" s="138"/>
      <c r="F391" s="139"/>
      <c r="G391" s="138"/>
      <c r="H391" s="140"/>
      <c r="L391" s="212"/>
    </row>
    <row r="392" spans="2:12" s="135" customFormat="1" x14ac:dyDescent="0.2">
      <c r="B392" s="136"/>
      <c r="C392" s="137"/>
      <c r="D392" s="137"/>
      <c r="E392" s="138"/>
      <c r="F392" s="139"/>
      <c r="G392" s="138"/>
      <c r="H392" s="140"/>
      <c r="L392" s="212"/>
    </row>
    <row r="393" spans="2:12" s="135" customFormat="1" x14ac:dyDescent="0.2">
      <c r="B393" s="136"/>
      <c r="C393" s="137"/>
      <c r="D393" s="137"/>
      <c r="E393" s="138"/>
      <c r="F393" s="139"/>
      <c r="G393" s="138"/>
      <c r="H393" s="140"/>
      <c r="L393" s="212"/>
    </row>
    <row r="394" spans="2:12" s="135" customFormat="1" x14ac:dyDescent="0.2">
      <c r="B394" s="136"/>
      <c r="C394" s="137"/>
      <c r="D394" s="137"/>
      <c r="E394" s="138"/>
      <c r="F394" s="139"/>
      <c r="G394" s="138"/>
      <c r="H394" s="140"/>
      <c r="L394" s="212"/>
    </row>
    <row r="395" spans="2:12" s="135" customFormat="1" x14ac:dyDescent="0.2">
      <c r="B395" s="136"/>
      <c r="C395" s="137"/>
      <c r="D395" s="137"/>
      <c r="E395" s="138"/>
      <c r="F395" s="139"/>
      <c r="G395" s="138"/>
      <c r="H395" s="140"/>
      <c r="L395" s="212"/>
    </row>
    <row r="396" spans="2:12" s="135" customFormat="1" x14ac:dyDescent="0.2">
      <c r="B396" s="136"/>
      <c r="C396" s="137"/>
      <c r="D396" s="137"/>
      <c r="E396" s="138"/>
      <c r="F396" s="139"/>
      <c r="G396" s="138"/>
      <c r="H396" s="140"/>
      <c r="L396" s="212"/>
    </row>
    <row r="397" spans="2:12" s="135" customFormat="1" x14ac:dyDescent="0.2">
      <c r="B397" s="136"/>
      <c r="C397" s="137"/>
      <c r="D397" s="137"/>
      <c r="E397" s="138"/>
      <c r="F397" s="139"/>
      <c r="G397" s="138"/>
      <c r="H397" s="140"/>
      <c r="L397" s="212"/>
    </row>
    <row r="398" spans="2:12" s="135" customFormat="1" x14ac:dyDescent="0.2">
      <c r="B398" s="136"/>
      <c r="C398" s="137"/>
      <c r="D398" s="137"/>
      <c r="E398" s="138"/>
      <c r="F398" s="139"/>
      <c r="G398" s="138"/>
      <c r="H398" s="140"/>
      <c r="L398" s="212"/>
    </row>
    <row r="399" spans="2:12" s="135" customFormat="1" x14ac:dyDescent="0.2">
      <c r="B399" s="136"/>
      <c r="C399" s="137"/>
      <c r="D399" s="137"/>
      <c r="E399" s="138"/>
      <c r="F399" s="139"/>
      <c r="G399" s="138"/>
      <c r="H399" s="140"/>
      <c r="L399" s="212"/>
    </row>
    <row r="400" spans="2:12" s="135" customFormat="1" x14ac:dyDescent="0.2">
      <c r="B400" s="136"/>
      <c r="C400" s="137"/>
      <c r="D400" s="137"/>
      <c r="E400" s="138"/>
      <c r="F400" s="139"/>
      <c r="G400" s="138"/>
      <c r="H400" s="140"/>
      <c r="L400" s="212"/>
    </row>
    <row r="401" spans="2:12" s="135" customFormat="1" x14ac:dyDescent="0.2">
      <c r="B401" s="136"/>
      <c r="C401" s="137"/>
      <c r="D401" s="137"/>
      <c r="E401" s="138"/>
      <c r="F401" s="139"/>
      <c r="G401" s="138"/>
      <c r="H401" s="140"/>
      <c r="L401" s="212"/>
    </row>
    <row r="402" spans="2:12" s="135" customFormat="1" x14ac:dyDescent="0.2">
      <c r="B402" s="136"/>
      <c r="C402" s="137"/>
      <c r="D402" s="137"/>
      <c r="E402" s="138"/>
      <c r="F402" s="139"/>
      <c r="G402" s="138"/>
      <c r="H402" s="140"/>
      <c r="L402" s="212"/>
    </row>
    <row r="403" spans="2:12" s="135" customFormat="1" x14ac:dyDescent="0.2">
      <c r="B403" s="136"/>
      <c r="C403" s="137"/>
      <c r="D403" s="137"/>
      <c r="E403" s="138"/>
      <c r="F403" s="139"/>
      <c r="G403" s="138"/>
      <c r="H403" s="140"/>
      <c r="L403" s="212"/>
    </row>
    <row r="404" spans="2:12" s="135" customFormat="1" x14ac:dyDescent="0.2">
      <c r="B404" s="136"/>
      <c r="C404" s="137"/>
      <c r="D404" s="137"/>
      <c r="E404" s="138"/>
      <c r="F404" s="139"/>
      <c r="G404" s="138"/>
      <c r="H404" s="140"/>
      <c r="L404" s="212"/>
    </row>
    <row r="405" spans="2:12" s="135" customFormat="1" x14ac:dyDescent="0.2">
      <c r="B405" s="136"/>
      <c r="C405" s="137"/>
      <c r="D405" s="137"/>
      <c r="E405" s="138"/>
      <c r="F405" s="139"/>
      <c r="G405" s="138"/>
      <c r="H405" s="140"/>
      <c r="L405" s="212"/>
    </row>
    <row r="406" spans="2:12" s="135" customFormat="1" x14ac:dyDescent="0.2">
      <c r="B406" s="136"/>
      <c r="C406" s="137"/>
      <c r="D406" s="137"/>
      <c r="E406" s="138"/>
      <c r="F406" s="139"/>
      <c r="G406" s="138"/>
      <c r="H406" s="140"/>
      <c r="L406" s="212"/>
    </row>
    <row r="407" spans="2:12" s="135" customFormat="1" x14ac:dyDescent="0.2">
      <c r="B407" s="136"/>
      <c r="C407" s="137"/>
      <c r="D407" s="137"/>
      <c r="E407" s="138"/>
      <c r="F407" s="139"/>
      <c r="G407" s="138"/>
      <c r="H407" s="140"/>
      <c r="L407" s="212"/>
    </row>
    <row r="408" spans="2:12" s="135" customFormat="1" x14ac:dyDescent="0.2">
      <c r="B408" s="136"/>
      <c r="C408" s="137"/>
      <c r="D408" s="137"/>
      <c r="E408" s="138"/>
      <c r="F408" s="139"/>
      <c r="G408" s="138"/>
      <c r="H408" s="140"/>
      <c r="L408" s="212"/>
    </row>
    <row r="409" spans="2:12" s="135" customFormat="1" x14ac:dyDescent="0.2">
      <c r="B409" s="136"/>
      <c r="C409" s="137"/>
      <c r="D409" s="137"/>
      <c r="E409" s="138"/>
      <c r="F409" s="139"/>
      <c r="G409" s="138"/>
      <c r="H409" s="140"/>
      <c r="L409" s="212"/>
    </row>
    <row r="410" spans="2:12" s="135" customFormat="1" x14ac:dyDescent="0.2">
      <c r="B410" s="136"/>
      <c r="C410" s="137"/>
      <c r="D410" s="137"/>
      <c r="E410" s="138"/>
      <c r="F410" s="139"/>
      <c r="G410" s="138"/>
      <c r="H410" s="140"/>
      <c r="L410" s="212"/>
    </row>
    <row r="411" spans="2:12" s="135" customFormat="1" x14ac:dyDescent="0.2">
      <c r="B411" s="136"/>
      <c r="C411" s="137"/>
      <c r="D411" s="137"/>
      <c r="E411" s="138"/>
      <c r="F411" s="139"/>
      <c r="G411" s="138"/>
      <c r="H411" s="140"/>
      <c r="L411" s="212"/>
    </row>
    <row r="412" spans="2:12" s="135" customFormat="1" x14ac:dyDescent="0.2">
      <c r="B412" s="136"/>
      <c r="C412" s="137"/>
      <c r="D412" s="137"/>
      <c r="E412" s="138"/>
      <c r="F412" s="139"/>
      <c r="G412" s="138"/>
      <c r="H412" s="140"/>
      <c r="L412" s="212"/>
    </row>
    <row r="413" spans="2:12" s="135" customFormat="1" x14ac:dyDescent="0.2">
      <c r="B413" s="136"/>
      <c r="C413" s="137"/>
      <c r="D413" s="137"/>
      <c r="E413" s="138"/>
      <c r="F413" s="139"/>
      <c r="G413" s="138"/>
      <c r="H413" s="140"/>
      <c r="L413" s="212"/>
    </row>
    <row r="414" spans="2:12" s="135" customFormat="1" x14ac:dyDescent="0.2">
      <c r="B414" s="136"/>
      <c r="C414" s="137"/>
      <c r="D414" s="137"/>
      <c r="E414" s="138"/>
      <c r="F414" s="139"/>
      <c r="G414" s="138"/>
      <c r="H414" s="140"/>
      <c r="L414" s="212"/>
    </row>
    <row r="415" spans="2:12" s="135" customFormat="1" x14ac:dyDescent="0.2">
      <c r="B415" s="136"/>
      <c r="C415" s="137"/>
      <c r="D415" s="137"/>
      <c r="E415" s="138"/>
      <c r="F415" s="139"/>
      <c r="G415" s="138"/>
      <c r="H415" s="140"/>
      <c r="L415" s="212"/>
    </row>
    <row r="416" spans="2:12" x14ac:dyDescent="0.2">
      <c r="B416" s="2"/>
      <c r="C416" s="10"/>
      <c r="D416" s="10"/>
      <c r="E416" s="3"/>
      <c r="F416" s="4"/>
      <c r="G416" s="3"/>
      <c r="H416" s="5"/>
    </row>
    <row r="417" spans="2:8" x14ac:dyDescent="0.2">
      <c r="B417" s="2"/>
      <c r="C417" s="10"/>
      <c r="D417" s="10"/>
      <c r="E417" s="3"/>
      <c r="F417" s="4"/>
      <c r="G417" s="3"/>
      <c r="H417" s="5"/>
    </row>
    <row r="418" spans="2:8" x14ac:dyDescent="0.2">
      <c r="B418" s="2"/>
      <c r="C418" s="10"/>
      <c r="D418" s="10"/>
      <c r="E418" s="3"/>
      <c r="F418" s="4"/>
      <c r="G418" s="3"/>
      <c r="H418" s="5"/>
    </row>
    <row r="419" spans="2:8" x14ac:dyDescent="0.2">
      <c r="B419" s="2"/>
      <c r="C419" s="10"/>
      <c r="D419" s="10"/>
      <c r="E419" s="3"/>
      <c r="F419" s="4"/>
      <c r="G419" s="3"/>
      <c r="H419" s="5"/>
    </row>
    <row r="420" spans="2:8" x14ac:dyDescent="0.2">
      <c r="B420" s="2"/>
      <c r="C420" s="10"/>
      <c r="D420" s="10"/>
      <c r="E420" s="3"/>
      <c r="F420" s="4"/>
      <c r="G420" s="3"/>
      <c r="H420" s="5"/>
    </row>
    <row r="421" spans="2:8" x14ac:dyDescent="0.2">
      <c r="B421" s="2"/>
      <c r="C421" s="10"/>
      <c r="D421" s="10"/>
      <c r="E421" s="3"/>
      <c r="F421" s="4"/>
      <c r="G421" s="3"/>
      <c r="H421" s="5"/>
    </row>
    <row r="422" spans="2:8" x14ac:dyDescent="0.2">
      <c r="B422" s="2"/>
      <c r="C422" s="10"/>
      <c r="D422" s="10"/>
      <c r="E422" s="3"/>
      <c r="F422" s="4"/>
      <c r="G422" s="3"/>
      <c r="H422" s="5"/>
    </row>
    <row r="423" spans="2:8" x14ac:dyDescent="0.2">
      <c r="B423" s="2"/>
      <c r="C423" s="10"/>
      <c r="D423" s="10"/>
      <c r="E423" s="3"/>
      <c r="F423" s="4"/>
      <c r="G423" s="3"/>
      <c r="H423" s="5"/>
    </row>
    <row r="424" spans="2:8" x14ac:dyDescent="0.2">
      <c r="B424" s="2"/>
      <c r="C424" s="10"/>
      <c r="D424" s="10"/>
      <c r="E424" s="3"/>
      <c r="F424" s="4"/>
      <c r="G424" s="3"/>
      <c r="H424" s="5"/>
    </row>
    <row r="425" spans="2:8" x14ac:dyDescent="0.2">
      <c r="B425" s="2"/>
      <c r="C425" s="10"/>
      <c r="D425" s="10"/>
      <c r="E425" s="3"/>
      <c r="F425" s="4"/>
      <c r="G425" s="3"/>
      <c r="H425" s="5"/>
    </row>
    <row r="426" spans="2:8" x14ac:dyDescent="0.2">
      <c r="B426" s="2"/>
      <c r="C426" s="10"/>
      <c r="D426" s="10"/>
      <c r="E426" s="3"/>
      <c r="F426" s="4"/>
      <c r="G426" s="3"/>
      <c r="H426" s="5"/>
    </row>
    <row r="427" spans="2:8" x14ac:dyDescent="0.2">
      <c r="B427" s="2"/>
      <c r="C427" s="10"/>
      <c r="D427" s="10"/>
      <c r="E427" s="3"/>
      <c r="F427" s="4"/>
      <c r="G427" s="3"/>
      <c r="H427" s="5"/>
    </row>
    <row r="428" spans="2:8" x14ac:dyDescent="0.2">
      <c r="B428" s="2"/>
      <c r="C428" s="10"/>
      <c r="D428" s="10"/>
      <c r="E428" s="3"/>
      <c r="F428" s="4"/>
      <c r="G428" s="3"/>
      <c r="H428" s="5"/>
    </row>
    <row r="429" spans="2:8" x14ac:dyDescent="0.2">
      <c r="B429" s="2"/>
      <c r="C429" s="10"/>
      <c r="D429" s="10"/>
      <c r="E429" s="3"/>
      <c r="F429" s="4"/>
      <c r="G429" s="3"/>
      <c r="H429" s="5"/>
    </row>
    <row r="430" spans="2:8" x14ac:dyDescent="0.2">
      <c r="B430" s="2"/>
      <c r="C430" s="10"/>
      <c r="D430" s="10"/>
      <c r="E430" s="3"/>
      <c r="F430" s="4"/>
      <c r="G430" s="3"/>
      <c r="H430" s="5"/>
    </row>
    <row r="431" spans="2:8" x14ac:dyDescent="0.2">
      <c r="B431" s="2"/>
      <c r="C431" s="10"/>
      <c r="D431" s="10"/>
      <c r="E431" s="3"/>
      <c r="F431" s="4"/>
      <c r="G431" s="3"/>
      <c r="H431" s="5"/>
    </row>
    <row r="432" spans="2:8" x14ac:dyDescent="0.2">
      <c r="B432" s="2"/>
      <c r="C432" s="10"/>
      <c r="D432" s="10"/>
      <c r="E432" s="3"/>
      <c r="F432" s="4"/>
      <c r="G432" s="3"/>
      <c r="H432" s="5"/>
    </row>
    <row r="433" spans="2:8" x14ac:dyDescent="0.2">
      <c r="B433" s="2"/>
      <c r="C433" s="10"/>
      <c r="D433" s="10"/>
      <c r="E433" s="3"/>
      <c r="F433" s="4"/>
      <c r="G433" s="3"/>
      <c r="H433" s="5"/>
    </row>
    <row r="434" spans="2:8" x14ac:dyDescent="0.2">
      <c r="B434" s="2"/>
      <c r="C434" s="10"/>
      <c r="D434" s="10"/>
      <c r="E434" s="3"/>
      <c r="F434" s="4"/>
      <c r="G434" s="3"/>
      <c r="H434" s="5"/>
    </row>
    <row r="435" spans="2:8" x14ac:dyDescent="0.2">
      <c r="B435" s="2"/>
      <c r="C435" s="10"/>
      <c r="D435" s="10"/>
      <c r="E435" s="3"/>
      <c r="F435" s="4"/>
      <c r="G435" s="3"/>
      <c r="H435" s="5"/>
    </row>
    <row r="436" spans="2:8" x14ac:dyDescent="0.2">
      <c r="B436" s="2"/>
      <c r="C436" s="10"/>
      <c r="D436" s="10"/>
      <c r="E436" s="3"/>
      <c r="F436" s="4"/>
      <c r="G436" s="3"/>
      <c r="H436" s="5"/>
    </row>
    <row r="437" spans="2:8" x14ac:dyDescent="0.2">
      <c r="B437" s="2"/>
      <c r="C437" s="10"/>
      <c r="D437" s="10"/>
      <c r="E437" s="3"/>
      <c r="F437" s="4"/>
      <c r="G437" s="3"/>
      <c r="H437" s="5"/>
    </row>
    <row r="438" spans="2:8" x14ac:dyDescent="0.2">
      <c r="B438" s="2"/>
      <c r="C438" s="10"/>
      <c r="D438" s="10"/>
      <c r="E438" s="3"/>
      <c r="F438" s="4"/>
      <c r="G438" s="3"/>
      <c r="H438" s="5"/>
    </row>
    <row r="439" spans="2:8" x14ac:dyDescent="0.2">
      <c r="B439" s="2"/>
      <c r="C439" s="10"/>
      <c r="D439" s="10"/>
      <c r="E439" s="3"/>
      <c r="F439" s="4"/>
      <c r="G439" s="3"/>
      <c r="H439" s="5"/>
    </row>
    <row r="440" spans="2:8" x14ac:dyDescent="0.2">
      <c r="B440" s="2"/>
      <c r="C440" s="10"/>
      <c r="D440" s="10"/>
      <c r="E440" s="3"/>
      <c r="F440" s="4"/>
      <c r="G440" s="3"/>
      <c r="H440" s="5"/>
    </row>
    <row r="441" spans="2:8" x14ac:dyDescent="0.2">
      <c r="B441" s="2"/>
      <c r="C441" s="10"/>
      <c r="D441" s="10"/>
      <c r="E441" s="3"/>
      <c r="F441" s="4"/>
      <c r="G441" s="3"/>
      <c r="H441" s="5"/>
    </row>
    <row r="442" spans="2:8" x14ac:dyDescent="0.2">
      <c r="B442" s="2"/>
      <c r="C442" s="10"/>
      <c r="D442" s="10"/>
      <c r="E442" s="3"/>
      <c r="F442" s="4"/>
      <c r="G442" s="3"/>
      <c r="H442" s="5"/>
    </row>
    <row r="443" spans="2:8" x14ac:dyDescent="0.2">
      <c r="B443" s="2"/>
      <c r="C443" s="10"/>
      <c r="D443" s="10"/>
      <c r="E443" s="3"/>
      <c r="F443" s="4"/>
      <c r="G443" s="3"/>
      <c r="H443" s="5"/>
    </row>
    <row r="444" spans="2:8" x14ac:dyDescent="0.2">
      <c r="B444" s="2"/>
      <c r="C444" s="10"/>
      <c r="D444" s="10"/>
      <c r="E444" s="3"/>
      <c r="F444" s="4"/>
      <c r="G444" s="3"/>
      <c r="H444" s="5"/>
    </row>
    <row r="445" spans="2:8" x14ac:dyDescent="0.2">
      <c r="B445" s="2"/>
      <c r="C445" s="10"/>
      <c r="D445" s="10"/>
      <c r="E445" s="3"/>
      <c r="F445" s="4"/>
      <c r="G445" s="3"/>
      <c r="H445" s="5"/>
    </row>
    <row r="446" spans="2:8" x14ac:dyDescent="0.2">
      <c r="B446" s="2"/>
      <c r="C446" s="10"/>
      <c r="D446" s="10"/>
      <c r="E446" s="3"/>
      <c r="F446" s="4"/>
      <c r="G446" s="3"/>
      <c r="H446" s="5"/>
    </row>
    <row r="447" spans="2:8" x14ac:dyDescent="0.2">
      <c r="B447" s="2"/>
      <c r="C447" s="10"/>
      <c r="D447" s="10"/>
      <c r="E447" s="3"/>
      <c r="F447" s="4"/>
      <c r="G447" s="3"/>
      <c r="H447" s="5"/>
    </row>
    <row r="448" spans="2:8" x14ac:dyDescent="0.2">
      <c r="B448" s="2"/>
      <c r="C448" s="10"/>
      <c r="D448" s="10"/>
      <c r="E448" s="3"/>
      <c r="F448" s="4"/>
      <c r="G448" s="3"/>
      <c r="H448" s="5"/>
    </row>
    <row r="449" spans="2:8" x14ac:dyDescent="0.2">
      <c r="B449" s="2"/>
      <c r="C449" s="10"/>
      <c r="D449" s="10"/>
      <c r="E449" s="3"/>
      <c r="F449" s="4"/>
      <c r="G449" s="3"/>
      <c r="H449" s="5"/>
    </row>
    <row r="450" spans="2:8" x14ac:dyDescent="0.2">
      <c r="B450" s="2"/>
      <c r="C450" s="10"/>
      <c r="D450" s="10"/>
      <c r="E450" s="3"/>
      <c r="F450" s="4"/>
      <c r="G450" s="3"/>
      <c r="H450" s="5"/>
    </row>
    <row r="451" spans="2:8" x14ac:dyDescent="0.2">
      <c r="B451" s="2"/>
      <c r="C451" s="10"/>
      <c r="D451" s="10"/>
      <c r="E451" s="3"/>
      <c r="F451" s="4"/>
      <c r="G451" s="3"/>
      <c r="H451" s="5"/>
    </row>
    <row r="452" spans="2:8" x14ac:dyDescent="0.2">
      <c r="B452" s="2"/>
      <c r="C452" s="10"/>
      <c r="D452" s="10"/>
      <c r="E452" s="3"/>
      <c r="F452" s="4"/>
      <c r="G452" s="3"/>
      <c r="H452" s="5"/>
    </row>
    <row r="453" spans="2:8" x14ac:dyDescent="0.2">
      <c r="B453" s="2"/>
      <c r="C453" s="10"/>
      <c r="D453" s="10"/>
      <c r="E453" s="3"/>
      <c r="F453" s="4"/>
      <c r="G453" s="3"/>
      <c r="H453" s="5"/>
    </row>
    <row r="454" spans="2:8" x14ac:dyDescent="0.2">
      <c r="B454" s="2"/>
      <c r="C454" s="10"/>
      <c r="D454" s="10"/>
      <c r="E454" s="3"/>
      <c r="F454" s="4"/>
      <c r="G454" s="3"/>
      <c r="H454" s="5"/>
    </row>
    <row r="455" spans="2:8" x14ac:dyDescent="0.2">
      <c r="B455" s="2"/>
      <c r="C455" s="10"/>
      <c r="D455" s="10"/>
      <c r="E455" s="3"/>
      <c r="F455" s="4"/>
      <c r="G455" s="3"/>
      <c r="H455" s="5"/>
    </row>
    <row r="456" spans="2:8" x14ac:dyDescent="0.2">
      <c r="B456" s="2"/>
      <c r="C456" s="10"/>
      <c r="D456" s="10"/>
      <c r="E456" s="3"/>
      <c r="F456" s="4"/>
      <c r="G456" s="3"/>
      <c r="H456" s="5"/>
    </row>
    <row r="457" spans="2:8" x14ac:dyDescent="0.2">
      <c r="B457" s="2"/>
      <c r="C457" s="10"/>
      <c r="D457" s="10"/>
      <c r="E457" s="3"/>
      <c r="F457" s="4"/>
      <c r="G457" s="3"/>
      <c r="H457" s="5"/>
    </row>
    <row r="458" spans="2:8" x14ac:dyDescent="0.2">
      <c r="B458" s="2"/>
      <c r="C458" s="10"/>
      <c r="D458" s="10"/>
      <c r="E458" s="3"/>
      <c r="F458" s="4"/>
      <c r="G458" s="3"/>
      <c r="H458" s="5"/>
    </row>
    <row r="459" spans="2:8" x14ac:dyDescent="0.2">
      <c r="B459" s="2"/>
      <c r="C459" s="10"/>
      <c r="D459" s="10"/>
      <c r="E459" s="3"/>
      <c r="F459" s="4"/>
      <c r="G459" s="3"/>
      <c r="H459" s="5"/>
    </row>
    <row r="460" spans="2:8" x14ac:dyDescent="0.2">
      <c r="B460" s="2"/>
      <c r="C460" s="10"/>
      <c r="D460" s="10"/>
      <c r="E460" s="3"/>
      <c r="F460" s="4"/>
      <c r="G460" s="3"/>
      <c r="H460" s="5"/>
    </row>
    <row r="461" spans="2:8" x14ac:dyDescent="0.2">
      <c r="B461" s="2"/>
      <c r="C461" s="10"/>
      <c r="D461" s="10"/>
      <c r="E461" s="3"/>
      <c r="F461" s="4"/>
      <c r="G461" s="3"/>
      <c r="H461" s="5"/>
    </row>
    <row r="462" spans="2:8" x14ac:dyDescent="0.2">
      <c r="B462" s="2"/>
      <c r="C462" s="10"/>
      <c r="D462" s="10"/>
      <c r="E462" s="3"/>
      <c r="F462" s="4"/>
      <c r="G462" s="3"/>
      <c r="H462" s="5"/>
    </row>
    <row r="463" spans="2:8" x14ac:dyDescent="0.2">
      <c r="B463" s="2"/>
      <c r="C463" s="10"/>
      <c r="D463" s="10"/>
      <c r="E463" s="3"/>
      <c r="F463" s="4"/>
      <c r="G463" s="3"/>
      <c r="H463" s="5"/>
    </row>
    <row r="464" spans="2:8" x14ac:dyDescent="0.2">
      <c r="B464" s="2"/>
      <c r="C464" s="10"/>
      <c r="D464" s="10"/>
      <c r="E464" s="3"/>
      <c r="F464" s="4"/>
      <c r="G464" s="3"/>
      <c r="H464" s="5"/>
    </row>
    <row r="465" spans="2:8" x14ac:dyDescent="0.2">
      <c r="B465" s="2"/>
      <c r="C465" s="10"/>
      <c r="D465" s="10"/>
      <c r="E465" s="3"/>
      <c r="F465" s="4"/>
      <c r="G465" s="3"/>
      <c r="H465" s="5"/>
    </row>
    <row r="466" spans="2:8" x14ac:dyDescent="0.2">
      <c r="B466" s="2"/>
      <c r="C466" s="10"/>
      <c r="D466" s="10"/>
      <c r="E466" s="3"/>
      <c r="F466" s="4"/>
      <c r="G466" s="3"/>
      <c r="H466" s="5"/>
    </row>
    <row r="467" spans="2:8" x14ac:dyDescent="0.2">
      <c r="B467" s="2"/>
      <c r="C467" s="10"/>
      <c r="D467" s="10"/>
      <c r="E467" s="3"/>
      <c r="F467" s="4"/>
      <c r="G467" s="3"/>
      <c r="H467" s="5"/>
    </row>
    <row r="468" spans="2:8" x14ac:dyDescent="0.2">
      <c r="B468" s="2"/>
      <c r="C468" s="10"/>
      <c r="D468" s="10"/>
      <c r="E468" s="3"/>
      <c r="F468" s="4"/>
      <c r="G468" s="3"/>
      <c r="H468" s="5"/>
    </row>
    <row r="469" spans="2:8" x14ac:dyDescent="0.2">
      <c r="B469" s="2"/>
      <c r="C469" s="10"/>
      <c r="D469" s="10"/>
      <c r="E469" s="3"/>
      <c r="F469" s="4"/>
      <c r="G469" s="3"/>
      <c r="H469" s="5"/>
    </row>
    <row r="470" spans="2:8" x14ac:dyDescent="0.2">
      <c r="B470" s="2"/>
      <c r="C470" s="10"/>
      <c r="D470" s="10"/>
      <c r="E470" s="3"/>
      <c r="F470" s="4"/>
      <c r="G470" s="3"/>
      <c r="H470" s="5"/>
    </row>
    <row r="471" spans="2:8" x14ac:dyDescent="0.2">
      <c r="B471" s="2"/>
      <c r="C471" s="10"/>
      <c r="D471" s="10"/>
      <c r="E471" s="3"/>
      <c r="F471" s="4"/>
      <c r="G471" s="3"/>
      <c r="H471" s="5"/>
    </row>
    <row r="472" spans="2:8" x14ac:dyDescent="0.2">
      <c r="B472" s="2"/>
      <c r="C472" s="10"/>
      <c r="D472" s="10"/>
      <c r="E472" s="3"/>
      <c r="F472" s="4"/>
      <c r="G472" s="3"/>
      <c r="H472" s="5"/>
    </row>
    <row r="473" spans="2:8" x14ac:dyDescent="0.2">
      <c r="B473" s="2"/>
      <c r="C473" s="10"/>
      <c r="D473" s="10"/>
      <c r="E473" s="3"/>
      <c r="F473" s="4"/>
      <c r="G473" s="3"/>
      <c r="H473" s="5"/>
    </row>
    <row r="474" spans="2:8" x14ac:dyDescent="0.2">
      <c r="B474" s="2"/>
      <c r="C474" s="10"/>
      <c r="D474" s="10"/>
      <c r="E474" s="3"/>
      <c r="F474" s="4"/>
      <c r="G474" s="3"/>
      <c r="H474" s="5"/>
    </row>
    <row r="475" spans="2:8" x14ac:dyDescent="0.2">
      <c r="B475" s="2"/>
      <c r="C475" s="10"/>
      <c r="D475" s="10"/>
      <c r="E475" s="3"/>
      <c r="F475" s="4"/>
      <c r="G475" s="3"/>
      <c r="H475" s="5"/>
    </row>
    <row r="476" spans="2:8" x14ac:dyDescent="0.2">
      <c r="B476" s="2"/>
      <c r="C476" s="10"/>
      <c r="D476" s="10"/>
      <c r="E476" s="3"/>
      <c r="F476" s="4"/>
      <c r="G476" s="3"/>
      <c r="H476" s="5"/>
    </row>
    <row r="477" spans="2:8" x14ac:dyDescent="0.2">
      <c r="B477" s="2"/>
      <c r="C477" s="10"/>
      <c r="D477" s="10"/>
      <c r="E477" s="3"/>
      <c r="F477" s="4"/>
      <c r="G477" s="3"/>
      <c r="H477" s="5"/>
    </row>
    <row r="478" spans="2:8" x14ac:dyDescent="0.2">
      <c r="B478" s="2"/>
      <c r="C478" s="10"/>
      <c r="D478" s="10"/>
      <c r="E478" s="3"/>
      <c r="F478" s="4"/>
      <c r="G478" s="3"/>
      <c r="H478" s="5"/>
    </row>
    <row r="479" spans="2:8" x14ac:dyDescent="0.2">
      <c r="B479" s="2"/>
      <c r="C479" s="10"/>
      <c r="D479" s="10"/>
      <c r="E479" s="3"/>
      <c r="F479" s="4"/>
      <c r="G479" s="3"/>
      <c r="H479" s="5"/>
    </row>
    <row r="480" spans="2:8" x14ac:dyDescent="0.2">
      <c r="B480" s="2"/>
      <c r="C480" s="10"/>
      <c r="D480" s="10"/>
      <c r="E480" s="3"/>
      <c r="F480" s="4"/>
      <c r="G480" s="3"/>
      <c r="H480" s="5"/>
    </row>
    <row r="481" spans="2:8" x14ac:dyDescent="0.2">
      <c r="B481" s="2"/>
      <c r="C481" s="10"/>
      <c r="D481" s="10"/>
      <c r="E481" s="3"/>
      <c r="F481" s="4"/>
      <c r="G481" s="3"/>
      <c r="H481" s="5"/>
    </row>
    <row r="482" spans="2:8" x14ac:dyDescent="0.2">
      <c r="B482" s="2"/>
      <c r="C482" s="10"/>
      <c r="D482" s="10"/>
      <c r="E482" s="3"/>
      <c r="F482" s="4"/>
      <c r="G482" s="3"/>
      <c r="H482" s="5"/>
    </row>
    <row r="483" spans="2:8" x14ac:dyDescent="0.2">
      <c r="B483" s="2"/>
      <c r="C483" s="10"/>
      <c r="D483" s="10"/>
      <c r="E483" s="3"/>
      <c r="F483" s="4"/>
      <c r="G483" s="3"/>
      <c r="H483" s="5"/>
    </row>
    <row r="484" spans="2:8" x14ac:dyDescent="0.2">
      <c r="B484" s="2"/>
      <c r="C484" s="10"/>
      <c r="D484" s="10"/>
      <c r="E484" s="3"/>
      <c r="F484" s="4"/>
      <c r="G484" s="3"/>
      <c r="H484" s="5"/>
    </row>
    <row r="485" spans="2:8" x14ac:dyDescent="0.2">
      <c r="B485" s="2"/>
      <c r="C485" s="10"/>
      <c r="D485" s="10"/>
      <c r="E485" s="3"/>
      <c r="F485" s="4"/>
      <c r="G485" s="3"/>
      <c r="H485" s="5"/>
    </row>
    <row r="486" spans="2:8" x14ac:dyDescent="0.2">
      <c r="B486" s="2"/>
      <c r="C486" s="10"/>
      <c r="D486" s="10"/>
      <c r="E486" s="3"/>
      <c r="F486" s="4"/>
      <c r="G486" s="3"/>
      <c r="H486" s="5"/>
    </row>
    <row r="487" spans="2:8" x14ac:dyDescent="0.2">
      <c r="B487" s="2"/>
      <c r="C487" s="10"/>
      <c r="D487" s="10"/>
      <c r="E487" s="3"/>
      <c r="F487" s="4"/>
      <c r="G487" s="3"/>
      <c r="H487" s="5"/>
    </row>
    <row r="488" spans="2:8" x14ac:dyDescent="0.2">
      <c r="B488" s="2"/>
      <c r="C488" s="10"/>
      <c r="D488" s="10"/>
      <c r="E488" s="3"/>
      <c r="F488" s="4"/>
      <c r="G488" s="3"/>
      <c r="H488" s="5"/>
    </row>
    <row r="489" spans="2:8" x14ac:dyDescent="0.2">
      <c r="B489" s="2"/>
      <c r="C489" s="10"/>
      <c r="D489" s="10"/>
      <c r="E489" s="3"/>
      <c r="F489" s="4"/>
      <c r="G489" s="3"/>
      <c r="H489" s="5"/>
    </row>
    <row r="490" spans="2:8" x14ac:dyDescent="0.2">
      <c r="B490" s="2"/>
      <c r="C490" s="10"/>
      <c r="D490" s="10"/>
      <c r="E490" s="3"/>
      <c r="F490" s="4"/>
      <c r="G490" s="3"/>
      <c r="H490" s="5"/>
    </row>
    <row r="491" spans="2:8" x14ac:dyDescent="0.2">
      <c r="B491" s="2"/>
      <c r="C491" s="10"/>
      <c r="D491" s="10"/>
      <c r="E491" s="3"/>
      <c r="F491" s="4"/>
      <c r="G491" s="3"/>
      <c r="H491" s="5"/>
    </row>
    <row r="492" spans="2:8" x14ac:dyDescent="0.2">
      <c r="B492" s="2"/>
      <c r="C492" s="10"/>
      <c r="D492" s="10"/>
      <c r="E492" s="3"/>
      <c r="F492" s="4"/>
      <c r="G492" s="3"/>
      <c r="H492" s="5"/>
    </row>
    <row r="493" spans="2:8" x14ac:dyDescent="0.2">
      <c r="B493" s="2"/>
      <c r="C493" s="10"/>
      <c r="D493" s="10"/>
      <c r="E493" s="3"/>
      <c r="F493" s="4"/>
      <c r="G493" s="3"/>
      <c r="H493" s="5"/>
    </row>
    <row r="494" spans="2:8" x14ac:dyDescent="0.2">
      <c r="B494" s="2"/>
      <c r="C494" s="10"/>
      <c r="D494" s="10"/>
      <c r="E494" s="3"/>
      <c r="F494" s="4"/>
      <c r="G494" s="3"/>
      <c r="H494" s="5"/>
    </row>
    <row r="495" spans="2:8" x14ac:dyDescent="0.2">
      <c r="B495" s="2"/>
      <c r="C495" s="10"/>
      <c r="D495" s="10"/>
      <c r="E495" s="3"/>
      <c r="F495" s="4"/>
      <c r="G495" s="3"/>
      <c r="H495" s="5"/>
    </row>
    <row r="496" spans="2:8" x14ac:dyDescent="0.2">
      <c r="B496" s="2"/>
      <c r="C496" s="10"/>
      <c r="D496" s="10"/>
      <c r="E496" s="3"/>
      <c r="F496" s="4"/>
      <c r="G496" s="3"/>
      <c r="H496" s="5"/>
    </row>
    <row r="497" spans="2:8" x14ac:dyDescent="0.2">
      <c r="B497" s="2"/>
      <c r="C497" s="10"/>
      <c r="D497" s="10"/>
      <c r="E497" s="3"/>
      <c r="F497" s="4"/>
      <c r="G497" s="3"/>
      <c r="H497" s="5"/>
    </row>
    <row r="498" spans="2:8" x14ac:dyDescent="0.2">
      <c r="B498" s="2"/>
      <c r="C498" s="10"/>
      <c r="D498" s="10"/>
      <c r="E498" s="3"/>
      <c r="F498" s="4"/>
      <c r="G498" s="3"/>
      <c r="H498" s="5"/>
    </row>
    <row r="499" spans="2:8" x14ac:dyDescent="0.2">
      <c r="B499" s="2"/>
      <c r="C499" s="10"/>
      <c r="D499" s="10"/>
      <c r="E499" s="3"/>
      <c r="F499" s="4"/>
      <c r="G499" s="3"/>
      <c r="H499" s="5"/>
    </row>
    <row r="500" spans="2:8" x14ac:dyDescent="0.2">
      <c r="B500" s="2"/>
      <c r="C500" s="10"/>
      <c r="D500" s="10"/>
      <c r="E500" s="3"/>
      <c r="F500" s="4"/>
      <c r="G500" s="3"/>
      <c r="H500" s="5"/>
    </row>
    <row r="501" spans="2:8" x14ac:dyDescent="0.2">
      <c r="B501" s="2"/>
      <c r="C501" s="10"/>
      <c r="D501" s="10"/>
      <c r="E501" s="3"/>
      <c r="F501" s="4"/>
      <c r="G501" s="3"/>
      <c r="H501" s="5"/>
    </row>
    <row r="502" spans="2:8" x14ac:dyDescent="0.2">
      <c r="B502" s="2"/>
      <c r="C502" s="10"/>
      <c r="D502" s="10"/>
      <c r="E502" s="3"/>
      <c r="F502" s="4"/>
      <c r="G502" s="3"/>
      <c r="H502" s="5"/>
    </row>
    <row r="503" spans="2:8" x14ac:dyDescent="0.2">
      <c r="B503" s="2"/>
      <c r="C503" s="10"/>
      <c r="D503" s="10"/>
      <c r="E503" s="3"/>
      <c r="F503" s="4"/>
      <c r="G503" s="3"/>
      <c r="H503" s="5"/>
    </row>
    <row r="504" spans="2:8" x14ac:dyDescent="0.2">
      <c r="B504" s="2"/>
      <c r="C504" s="10"/>
      <c r="D504" s="10"/>
      <c r="E504" s="3"/>
      <c r="F504" s="4"/>
      <c r="G504" s="3"/>
      <c r="H504" s="5"/>
    </row>
    <row r="505" spans="2:8" x14ac:dyDescent="0.2">
      <c r="B505" s="2"/>
      <c r="C505" s="10"/>
      <c r="D505" s="10"/>
      <c r="E505" s="3"/>
      <c r="F505" s="4"/>
      <c r="G505" s="3"/>
      <c r="H505" s="5"/>
    </row>
    <row r="506" spans="2:8" x14ac:dyDescent="0.2">
      <c r="B506" s="2"/>
      <c r="C506" s="10"/>
      <c r="D506" s="10"/>
      <c r="E506" s="3"/>
      <c r="F506" s="4"/>
      <c r="G506" s="3"/>
      <c r="H506" s="5"/>
    </row>
    <row r="507" spans="2:8" x14ac:dyDescent="0.2">
      <c r="B507" s="2"/>
      <c r="C507" s="10"/>
      <c r="D507" s="10"/>
      <c r="E507" s="3"/>
      <c r="F507" s="4"/>
      <c r="G507" s="3"/>
      <c r="H507" s="5"/>
    </row>
    <row r="508" spans="2:8" x14ac:dyDescent="0.2">
      <c r="B508" s="2"/>
      <c r="C508" s="10"/>
      <c r="D508" s="10"/>
      <c r="E508" s="3"/>
      <c r="F508" s="4"/>
      <c r="G508" s="3"/>
      <c r="H508" s="5"/>
    </row>
    <row r="509" spans="2:8" x14ac:dyDescent="0.2">
      <c r="B509" s="2"/>
      <c r="C509" s="10"/>
      <c r="D509" s="10"/>
      <c r="E509" s="3"/>
      <c r="F509" s="4"/>
      <c r="G509" s="3"/>
      <c r="H509" s="5"/>
    </row>
    <row r="510" spans="2:8" x14ac:dyDescent="0.2">
      <c r="B510" s="2"/>
      <c r="C510" s="10"/>
      <c r="D510" s="10"/>
      <c r="E510" s="3"/>
      <c r="F510" s="4"/>
      <c r="G510" s="3"/>
      <c r="H510" s="5"/>
    </row>
    <row r="511" spans="2:8" x14ac:dyDescent="0.2">
      <c r="B511" s="2"/>
      <c r="C511" s="10"/>
      <c r="D511" s="10"/>
      <c r="E511" s="3"/>
      <c r="F511" s="4"/>
      <c r="G511" s="3"/>
      <c r="H511" s="5"/>
    </row>
    <row r="512" spans="2:8" x14ac:dyDescent="0.2">
      <c r="B512" s="2"/>
      <c r="C512" s="10"/>
      <c r="D512" s="10"/>
      <c r="E512" s="3"/>
      <c r="F512" s="4"/>
      <c r="G512" s="3"/>
      <c r="H512" s="5"/>
    </row>
    <row r="513" spans="2:8" x14ac:dyDescent="0.2">
      <c r="B513" s="2"/>
      <c r="C513" s="10"/>
      <c r="D513" s="10"/>
      <c r="E513" s="3"/>
      <c r="F513" s="4"/>
      <c r="G513" s="3"/>
      <c r="H513" s="5"/>
    </row>
    <row r="514" spans="2:8" x14ac:dyDescent="0.2">
      <c r="B514" s="2"/>
      <c r="C514" s="10"/>
      <c r="D514" s="10"/>
      <c r="E514" s="3"/>
      <c r="F514" s="4"/>
      <c r="G514" s="3"/>
      <c r="H514" s="5"/>
    </row>
    <row r="515" spans="2:8" x14ac:dyDescent="0.2">
      <c r="B515" s="2"/>
      <c r="C515" s="10"/>
      <c r="D515" s="10"/>
      <c r="E515" s="3"/>
      <c r="F515" s="4"/>
      <c r="G515" s="3"/>
      <c r="H515" s="5"/>
    </row>
    <row r="516" spans="2:8" x14ac:dyDescent="0.2">
      <c r="B516" s="2"/>
      <c r="C516" s="10"/>
      <c r="D516" s="10"/>
      <c r="E516" s="3"/>
      <c r="F516" s="4"/>
      <c r="G516" s="3"/>
      <c r="H516" s="5"/>
    </row>
    <row r="517" spans="2:8" x14ac:dyDescent="0.2">
      <c r="B517" s="2"/>
      <c r="C517" s="10"/>
      <c r="D517" s="10"/>
      <c r="E517" s="3"/>
      <c r="F517" s="4"/>
      <c r="G517" s="3"/>
      <c r="H517" s="5"/>
    </row>
    <row r="518" spans="2:8" x14ac:dyDescent="0.2">
      <c r="B518" s="2"/>
      <c r="C518" s="10"/>
      <c r="D518" s="10"/>
      <c r="E518" s="3"/>
      <c r="F518" s="4"/>
      <c r="G518" s="3"/>
      <c r="H518" s="5"/>
    </row>
    <row r="519" spans="2:8" x14ac:dyDescent="0.2">
      <c r="B519" s="2"/>
      <c r="C519" s="10"/>
      <c r="D519" s="10"/>
      <c r="E519" s="3"/>
      <c r="F519" s="4"/>
      <c r="G519" s="3"/>
      <c r="H519" s="5"/>
    </row>
    <row r="520" spans="2:8" x14ac:dyDescent="0.2">
      <c r="B520" s="2"/>
      <c r="C520" s="10"/>
      <c r="D520" s="10"/>
      <c r="E520" s="3"/>
      <c r="F520" s="4"/>
      <c r="G520" s="3"/>
      <c r="H520" s="5"/>
    </row>
    <row r="521" spans="2:8" x14ac:dyDescent="0.2">
      <c r="B521" s="2"/>
      <c r="C521" s="10"/>
      <c r="D521" s="10"/>
      <c r="E521" s="3"/>
      <c r="F521" s="4"/>
      <c r="G521" s="3"/>
      <c r="H521" s="5"/>
    </row>
    <row r="522" spans="2:8" x14ac:dyDescent="0.2">
      <c r="B522" s="2"/>
      <c r="C522" s="10"/>
      <c r="D522" s="10"/>
      <c r="E522" s="3"/>
      <c r="F522" s="4"/>
      <c r="G522" s="3"/>
      <c r="H522" s="5"/>
    </row>
    <row r="523" spans="2:8" x14ac:dyDescent="0.2">
      <c r="B523" s="2"/>
      <c r="C523" s="10"/>
      <c r="D523" s="10"/>
      <c r="E523" s="3"/>
      <c r="F523" s="4"/>
      <c r="G523" s="3"/>
      <c r="H523" s="5"/>
    </row>
    <row r="524" spans="2:8" x14ac:dyDescent="0.2">
      <c r="B524" s="2"/>
      <c r="C524" s="10"/>
      <c r="D524" s="10"/>
      <c r="E524" s="3"/>
      <c r="F524" s="4"/>
      <c r="G524" s="3"/>
      <c r="H524" s="5"/>
    </row>
    <row r="525" spans="2:8" x14ac:dyDescent="0.2">
      <c r="B525" s="2"/>
      <c r="C525" s="10"/>
      <c r="D525" s="10"/>
      <c r="E525" s="3"/>
      <c r="F525" s="4"/>
      <c r="G525" s="3"/>
      <c r="H525" s="5"/>
    </row>
    <row r="526" spans="2:8" x14ac:dyDescent="0.2">
      <c r="B526" s="2"/>
      <c r="C526" s="10"/>
      <c r="D526" s="10"/>
      <c r="E526" s="3"/>
      <c r="F526" s="4"/>
      <c r="G526" s="3"/>
      <c r="H526" s="5"/>
    </row>
    <row r="527" spans="2:8" x14ac:dyDescent="0.2">
      <c r="B527" s="2"/>
      <c r="C527" s="10"/>
      <c r="D527" s="10"/>
      <c r="E527" s="3"/>
      <c r="F527" s="4"/>
      <c r="G527" s="3"/>
      <c r="H527" s="5"/>
    </row>
    <row r="528" spans="2:8" x14ac:dyDescent="0.2">
      <c r="B528" s="2"/>
      <c r="C528" s="10"/>
      <c r="D528" s="10"/>
      <c r="E528" s="3"/>
      <c r="F528" s="4"/>
      <c r="G528" s="3"/>
      <c r="H528" s="5"/>
    </row>
    <row r="529" spans="2:8" x14ac:dyDescent="0.2">
      <c r="B529" s="2"/>
      <c r="C529" s="10"/>
      <c r="D529" s="10"/>
      <c r="E529" s="3"/>
      <c r="F529" s="4"/>
      <c r="G529" s="3"/>
      <c r="H529" s="5"/>
    </row>
    <row r="530" spans="2:8" x14ac:dyDescent="0.2">
      <c r="B530" s="2"/>
      <c r="C530" s="10"/>
      <c r="D530" s="10"/>
      <c r="E530" s="3"/>
      <c r="F530" s="4"/>
      <c r="G530" s="3"/>
      <c r="H530" s="5"/>
    </row>
    <row r="531" spans="2:8" x14ac:dyDescent="0.2">
      <c r="B531" s="2"/>
      <c r="C531" s="10"/>
      <c r="D531" s="10"/>
      <c r="E531" s="3"/>
      <c r="F531" s="4"/>
      <c r="G531" s="3"/>
      <c r="H531" s="5"/>
    </row>
    <row r="532" spans="2:8" x14ac:dyDescent="0.2">
      <c r="B532" s="2"/>
      <c r="C532" s="10"/>
      <c r="D532" s="10"/>
      <c r="E532" s="3"/>
      <c r="F532" s="4"/>
      <c r="G532" s="3"/>
      <c r="H532" s="5"/>
    </row>
    <row r="533" spans="2:8" x14ac:dyDescent="0.2">
      <c r="B533" s="2"/>
      <c r="C533" s="10"/>
      <c r="D533" s="10"/>
      <c r="E533" s="3"/>
      <c r="F533" s="4"/>
      <c r="G533" s="3"/>
      <c r="H533" s="5"/>
    </row>
    <row r="534" spans="2:8" x14ac:dyDescent="0.2">
      <c r="B534" s="2"/>
      <c r="C534" s="10"/>
      <c r="D534" s="10"/>
      <c r="E534" s="3"/>
      <c r="F534" s="4"/>
      <c r="G534" s="3"/>
      <c r="H534" s="5"/>
    </row>
    <row r="535" spans="2:8" x14ac:dyDescent="0.2">
      <c r="B535" s="2"/>
      <c r="C535" s="10"/>
      <c r="D535" s="10"/>
      <c r="E535" s="3"/>
      <c r="F535" s="4"/>
      <c r="G535" s="3"/>
      <c r="H535" s="5"/>
    </row>
    <row r="536" spans="2:8" x14ac:dyDescent="0.2">
      <c r="B536" s="2"/>
      <c r="C536" s="10"/>
      <c r="D536" s="10"/>
      <c r="E536" s="3"/>
      <c r="F536" s="4"/>
      <c r="G536" s="3"/>
      <c r="H536" s="5"/>
    </row>
    <row r="537" spans="2:8" x14ac:dyDescent="0.2">
      <c r="B537" s="2"/>
      <c r="C537" s="10"/>
      <c r="D537" s="10"/>
      <c r="E537" s="3"/>
      <c r="F537" s="4"/>
      <c r="G537" s="3"/>
      <c r="H537" s="5"/>
    </row>
    <row r="538" spans="2:8" x14ac:dyDescent="0.2">
      <c r="B538" s="2"/>
      <c r="C538" s="10"/>
      <c r="D538" s="10"/>
      <c r="E538" s="3"/>
      <c r="F538" s="4"/>
      <c r="G538" s="3"/>
      <c r="H538" s="5"/>
    </row>
    <row r="539" spans="2:8" x14ac:dyDescent="0.2">
      <c r="B539" s="2"/>
      <c r="C539" s="10"/>
      <c r="D539" s="10"/>
      <c r="E539" s="3"/>
      <c r="F539" s="4"/>
      <c r="G539" s="3"/>
      <c r="H539" s="5"/>
    </row>
    <row r="540" spans="2:8" x14ac:dyDescent="0.2">
      <c r="B540" s="2"/>
      <c r="C540" s="10"/>
      <c r="D540" s="10"/>
      <c r="E540" s="3"/>
      <c r="F540" s="4"/>
      <c r="G540" s="3"/>
      <c r="H540" s="5"/>
    </row>
    <row r="541" spans="2:8" x14ac:dyDescent="0.2">
      <c r="B541" s="2"/>
      <c r="C541" s="10"/>
      <c r="D541" s="10"/>
      <c r="E541" s="3"/>
      <c r="F541" s="4"/>
      <c r="G541" s="3"/>
      <c r="H541" s="5"/>
    </row>
    <row r="542" spans="2:8" x14ac:dyDescent="0.2">
      <c r="B542" s="2"/>
      <c r="C542" s="10"/>
      <c r="D542" s="10"/>
      <c r="E542" s="3"/>
      <c r="F542" s="4"/>
      <c r="G542" s="3"/>
      <c r="H542" s="5"/>
    </row>
    <row r="543" spans="2:8" x14ac:dyDescent="0.2">
      <c r="B543" s="2"/>
      <c r="C543" s="10"/>
      <c r="D543" s="10"/>
      <c r="E543" s="3"/>
      <c r="F543" s="4"/>
      <c r="G543" s="3"/>
      <c r="H543" s="5"/>
    </row>
    <row r="544" spans="2:8" x14ac:dyDescent="0.2">
      <c r="B544" s="2"/>
      <c r="C544" s="10"/>
      <c r="D544" s="10"/>
      <c r="E544" s="3"/>
      <c r="F544" s="4"/>
      <c r="G544" s="3"/>
      <c r="H544" s="5"/>
    </row>
    <row r="545" spans="2:8" x14ac:dyDescent="0.2">
      <c r="B545" s="2"/>
      <c r="C545" s="10"/>
      <c r="D545" s="10"/>
      <c r="E545" s="3"/>
      <c r="F545" s="4"/>
      <c r="G545" s="3"/>
      <c r="H545" s="5"/>
    </row>
    <row r="546" spans="2:8" x14ac:dyDescent="0.2">
      <c r="B546" s="2"/>
      <c r="C546" s="10"/>
      <c r="D546" s="10"/>
      <c r="E546" s="3"/>
      <c r="F546" s="4"/>
      <c r="G546" s="3"/>
      <c r="H546" s="5"/>
    </row>
    <row r="547" spans="2:8" x14ac:dyDescent="0.2">
      <c r="B547" s="2"/>
      <c r="C547" s="10"/>
      <c r="D547" s="10"/>
      <c r="E547" s="3"/>
      <c r="F547" s="4"/>
      <c r="G547" s="3"/>
      <c r="H547" s="5"/>
    </row>
    <row r="548" spans="2:8" x14ac:dyDescent="0.2">
      <c r="B548" s="2"/>
      <c r="C548" s="10"/>
      <c r="D548" s="10"/>
      <c r="E548" s="3"/>
      <c r="F548" s="4"/>
      <c r="G548" s="3"/>
      <c r="H548" s="5"/>
    </row>
    <row r="549" spans="2:8" x14ac:dyDescent="0.2">
      <c r="B549" s="2"/>
      <c r="C549" s="10"/>
      <c r="D549" s="10"/>
      <c r="E549" s="3"/>
      <c r="F549" s="4"/>
      <c r="G549" s="3"/>
      <c r="H549" s="5"/>
    </row>
    <row r="550" spans="2:8" x14ac:dyDescent="0.2">
      <c r="B550" s="2"/>
      <c r="C550" s="10"/>
      <c r="D550" s="10"/>
      <c r="E550" s="3"/>
      <c r="F550" s="4"/>
      <c r="G550" s="3"/>
      <c r="H550" s="5"/>
    </row>
    <row r="551" spans="2:8" x14ac:dyDescent="0.2">
      <c r="B551" s="2"/>
      <c r="C551" s="10"/>
      <c r="D551" s="10"/>
      <c r="E551" s="3"/>
      <c r="F551" s="4"/>
      <c r="G551" s="3"/>
      <c r="H551" s="5"/>
    </row>
    <row r="552" spans="2:8" x14ac:dyDescent="0.2">
      <c r="B552" s="2"/>
      <c r="C552" s="10"/>
      <c r="D552" s="10"/>
      <c r="E552" s="3"/>
      <c r="F552" s="4"/>
      <c r="G552" s="3"/>
      <c r="H552" s="5"/>
    </row>
    <row r="553" spans="2:8" x14ac:dyDescent="0.2">
      <c r="B553" s="2"/>
      <c r="C553" s="10"/>
      <c r="D553" s="10"/>
      <c r="E553" s="3"/>
      <c r="F553" s="4"/>
      <c r="G553" s="3"/>
      <c r="H553" s="5"/>
    </row>
    <row r="554" spans="2:8" x14ac:dyDescent="0.2">
      <c r="B554" s="2"/>
      <c r="C554" s="10"/>
      <c r="D554" s="10"/>
      <c r="E554" s="3"/>
      <c r="F554" s="4"/>
      <c r="G554" s="3"/>
      <c r="H554" s="5"/>
    </row>
    <row r="555" spans="2:8" x14ac:dyDescent="0.2">
      <c r="B555" s="2"/>
      <c r="C555" s="10"/>
      <c r="D555" s="10"/>
      <c r="E555" s="3"/>
      <c r="F555" s="4"/>
      <c r="G555" s="3"/>
      <c r="H555" s="5"/>
    </row>
    <row r="556" spans="2:8" x14ac:dyDescent="0.2">
      <c r="B556" s="2"/>
      <c r="C556" s="10"/>
      <c r="D556" s="10"/>
      <c r="E556" s="3"/>
      <c r="F556" s="4"/>
      <c r="G556" s="3"/>
      <c r="H556" s="5"/>
    </row>
    <row r="557" spans="2:8" x14ac:dyDescent="0.2">
      <c r="B557" s="2"/>
      <c r="C557" s="10"/>
      <c r="D557" s="10"/>
      <c r="E557" s="3"/>
      <c r="F557" s="4"/>
      <c r="G557" s="3"/>
      <c r="H557" s="5"/>
    </row>
    <row r="558" spans="2:8" x14ac:dyDescent="0.2">
      <c r="B558" s="2"/>
      <c r="C558" s="10"/>
      <c r="D558" s="10"/>
      <c r="E558" s="3"/>
      <c r="F558" s="4"/>
      <c r="G558" s="3"/>
      <c r="H558" s="5"/>
    </row>
    <row r="559" spans="2:8" x14ac:dyDescent="0.2">
      <c r="B559" s="2"/>
      <c r="C559" s="10"/>
      <c r="D559" s="10"/>
      <c r="E559" s="3"/>
      <c r="F559" s="4"/>
      <c r="G559" s="3"/>
      <c r="H559" s="5"/>
    </row>
    <row r="560" spans="2:8" x14ac:dyDescent="0.2">
      <c r="B560" s="2"/>
      <c r="C560" s="10"/>
      <c r="D560" s="10"/>
      <c r="E560" s="3"/>
      <c r="F560" s="4"/>
      <c r="G560" s="3"/>
      <c r="H560" s="5"/>
    </row>
    <row r="561" spans="2:8" x14ac:dyDescent="0.2">
      <c r="B561" s="2"/>
      <c r="C561" s="10"/>
      <c r="D561" s="10"/>
      <c r="E561" s="3"/>
      <c r="F561" s="4"/>
      <c r="G561" s="3"/>
      <c r="H561" s="5"/>
    </row>
    <row r="562" spans="2:8" x14ac:dyDescent="0.2">
      <c r="B562" s="2"/>
      <c r="C562" s="10"/>
      <c r="D562" s="10"/>
      <c r="E562" s="3"/>
      <c r="F562" s="4"/>
      <c r="G562" s="3"/>
      <c r="H562" s="5"/>
    </row>
    <row r="563" spans="2:8" x14ac:dyDescent="0.2">
      <c r="B563" s="2"/>
      <c r="C563" s="10"/>
      <c r="D563" s="10"/>
      <c r="E563" s="3"/>
      <c r="F563" s="4"/>
      <c r="G563" s="3"/>
      <c r="H563" s="5"/>
    </row>
    <row r="564" spans="2:8" x14ac:dyDescent="0.2">
      <c r="B564" s="2"/>
      <c r="C564" s="10"/>
      <c r="D564" s="10"/>
      <c r="E564" s="3"/>
      <c r="F564" s="4"/>
      <c r="G564" s="3"/>
      <c r="H564" s="5"/>
    </row>
    <row r="565" spans="2:8" x14ac:dyDescent="0.2">
      <c r="B565" s="2"/>
      <c r="C565" s="10"/>
      <c r="D565" s="10"/>
      <c r="E565" s="3"/>
      <c r="F565" s="4"/>
      <c r="G565" s="3"/>
      <c r="H565" s="5"/>
    </row>
    <row r="566" spans="2:8" x14ac:dyDescent="0.2">
      <c r="B566" s="2"/>
      <c r="C566" s="10"/>
      <c r="D566" s="10"/>
      <c r="E566" s="3"/>
      <c r="F566" s="4"/>
      <c r="G566" s="3"/>
      <c r="H566" s="5"/>
    </row>
    <row r="567" spans="2:8" x14ac:dyDescent="0.2">
      <c r="B567" s="2"/>
      <c r="C567" s="10"/>
      <c r="D567" s="10"/>
      <c r="E567" s="3"/>
      <c r="F567" s="4"/>
      <c r="G567" s="3"/>
      <c r="H567" s="5"/>
    </row>
    <row r="568" spans="2:8" x14ac:dyDescent="0.2">
      <c r="B568" s="2"/>
      <c r="C568" s="10"/>
      <c r="D568" s="10"/>
      <c r="E568" s="3"/>
      <c r="F568" s="4"/>
      <c r="G568" s="3"/>
      <c r="H568" s="5"/>
    </row>
    <row r="569" spans="2:8" x14ac:dyDescent="0.2">
      <c r="B569" s="2"/>
      <c r="C569" s="10"/>
      <c r="D569" s="10"/>
      <c r="E569" s="3"/>
      <c r="F569" s="4"/>
      <c r="G569" s="3"/>
      <c r="H569" s="5"/>
    </row>
    <row r="570" spans="2:8" x14ac:dyDescent="0.2">
      <c r="B570" s="2"/>
      <c r="C570" s="10"/>
      <c r="D570" s="10"/>
      <c r="E570" s="3"/>
      <c r="F570" s="4"/>
      <c r="G570" s="3"/>
      <c r="H570" s="5"/>
    </row>
    <row r="571" spans="2:8" x14ac:dyDescent="0.2">
      <c r="B571" s="2"/>
      <c r="C571" s="10"/>
      <c r="D571" s="10"/>
      <c r="E571" s="3"/>
      <c r="F571" s="4"/>
      <c r="G571" s="3"/>
      <c r="H571" s="5"/>
    </row>
    <row r="572" spans="2:8" x14ac:dyDescent="0.2">
      <c r="B572" s="2"/>
      <c r="C572" s="10"/>
      <c r="D572" s="10"/>
      <c r="E572" s="3"/>
      <c r="F572" s="4"/>
      <c r="G572" s="3"/>
      <c r="H572" s="5"/>
    </row>
    <row r="573" spans="2:8" x14ac:dyDescent="0.2">
      <c r="B573" s="2"/>
      <c r="C573" s="10"/>
      <c r="D573" s="10"/>
      <c r="E573" s="3"/>
      <c r="F573" s="4"/>
      <c r="G573" s="3"/>
      <c r="H573" s="5"/>
    </row>
    <row r="574" spans="2:8" x14ac:dyDescent="0.2">
      <c r="B574" s="2"/>
      <c r="C574" s="10"/>
      <c r="D574" s="10"/>
      <c r="E574" s="3"/>
      <c r="F574" s="4"/>
      <c r="G574" s="3"/>
      <c r="H574" s="5"/>
    </row>
    <row r="575" spans="2:8" x14ac:dyDescent="0.2">
      <c r="B575" s="2"/>
      <c r="C575" s="10"/>
      <c r="D575" s="10"/>
      <c r="E575" s="3"/>
      <c r="F575" s="4"/>
      <c r="G575" s="3"/>
      <c r="H575" s="5"/>
    </row>
    <row r="576" spans="2:8" x14ac:dyDescent="0.2">
      <c r="B576" s="2"/>
      <c r="C576" s="10"/>
      <c r="D576" s="10"/>
      <c r="E576" s="3"/>
      <c r="F576" s="4"/>
      <c r="G576" s="3"/>
      <c r="H576" s="5"/>
    </row>
    <row r="577" spans="2:8" x14ac:dyDescent="0.2">
      <c r="B577" s="2"/>
      <c r="C577" s="10"/>
      <c r="D577" s="10"/>
      <c r="E577" s="3"/>
      <c r="F577" s="4"/>
      <c r="G577" s="3"/>
      <c r="H577" s="5"/>
    </row>
    <row r="578" spans="2:8" x14ac:dyDescent="0.2">
      <c r="B578" s="2"/>
      <c r="C578" s="10"/>
      <c r="D578" s="10"/>
      <c r="E578" s="3"/>
      <c r="F578" s="4"/>
      <c r="G578" s="3"/>
      <c r="H578" s="5"/>
    </row>
    <row r="579" spans="2:8" x14ac:dyDescent="0.2">
      <c r="B579" s="2"/>
      <c r="C579" s="10"/>
      <c r="D579" s="10"/>
      <c r="E579" s="3"/>
      <c r="F579" s="4"/>
      <c r="G579" s="3"/>
      <c r="H579" s="5"/>
    </row>
    <row r="580" spans="2:8" x14ac:dyDescent="0.2">
      <c r="B580" s="2"/>
      <c r="C580" s="10"/>
      <c r="D580" s="10"/>
      <c r="E580" s="3"/>
      <c r="F580" s="4"/>
      <c r="G580" s="3"/>
      <c r="H580" s="5"/>
    </row>
    <row r="581" spans="2:8" x14ac:dyDescent="0.2">
      <c r="B581" s="2"/>
      <c r="C581" s="10"/>
      <c r="D581" s="10"/>
      <c r="E581" s="3"/>
      <c r="F581" s="4"/>
      <c r="G581" s="3"/>
      <c r="H581" s="5"/>
    </row>
    <row r="582" spans="2:8" x14ac:dyDescent="0.2">
      <c r="B582" s="2"/>
      <c r="C582" s="10"/>
      <c r="D582" s="10"/>
      <c r="E582" s="3"/>
      <c r="F582" s="4"/>
      <c r="G582" s="3"/>
      <c r="H582" s="5"/>
    </row>
    <row r="583" spans="2:8" x14ac:dyDescent="0.2">
      <c r="B583" s="2"/>
      <c r="C583" s="10"/>
      <c r="D583" s="10"/>
      <c r="E583" s="3"/>
      <c r="F583" s="4"/>
      <c r="G583" s="3"/>
      <c r="H583" s="5"/>
    </row>
    <row r="584" spans="2:8" x14ac:dyDescent="0.2">
      <c r="B584" s="2"/>
      <c r="C584" s="10"/>
      <c r="D584" s="10"/>
      <c r="E584" s="3"/>
      <c r="F584" s="4"/>
      <c r="G584" s="3"/>
      <c r="H584" s="5"/>
    </row>
    <row r="585" spans="2:8" x14ac:dyDescent="0.2">
      <c r="B585" s="2"/>
      <c r="C585" s="10"/>
      <c r="D585" s="10"/>
      <c r="E585" s="3"/>
      <c r="F585" s="4"/>
      <c r="G585" s="3"/>
      <c r="H585" s="5"/>
    </row>
    <row r="586" spans="2:8" x14ac:dyDescent="0.2">
      <c r="B586" s="2"/>
      <c r="C586" s="10"/>
      <c r="D586" s="10"/>
      <c r="E586" s="3"/>
      <c r="F586" s="4"/>
      <c r="G586" s="3"/>
      <c r="H586" s="5"/>
    </row>
    <row r="587" spans="2:8" x14ac:dyDescent="0.2">
      <c r="B587" s="2"/>
      <c r="C587" s="10"/>
      <c r="D587" s="10"/>
      <c r="E587" s="3"/>
      <c r="F587" s="4"/>
      <c r="G587" s="3"/>
      <c r="H587" s="5"/>
    </row>
    <row r="588" spans="2:8" x14ac:dyDescent="0.2">
      <c r="B588" s="2"/>
      <c r="C588" s="10"/>
      <c r="D588" s="10"/>
      <c r="E588" s="3"/>
      <c r="F588" s="4"/>
      <c r="G588" s="3"/>
      <c r="H588" s="5"/>
    </row>
    <row r="589" spans="2:8" x14ac:dyDescent="0.2">
      <c r="B589" s="2"/>
      <c r="C589" s="10"/>
      <c r="D589" s="10"/>
      <c r="E589" s="3"/>
      <c r="F589" s="4"/>
      <c r="G589" s="3"/>
      <c r="H589" s="5"/>
    </row>
    <row r="590" spans="2:8" x14ac:dyDescent="0.2">
      <c r="B590" s="2"/>
      <c r="C590" s="10"/>
      <c r="D590" s="10"/>
      <c r="E590" s="3"/>
      <c r="F590" s="4"/>
      <c r="G590" s="3"/>
      <c r="H590" s="5"/>
    </row>
    <row r="591" spans="2:8" x14ac:dyDescent="0.2">
      <c r="B591" s="2"/>
      <c r="C591" s="10"/>
      <c r="D591" s="10"/>
      <c r="E591" s="3"/>
      <c r="F591" s="4"/>
      <c r="G591" s="3"/>
      <c r="H591" s="5"/>
    </row>
    <row r="592" spans="2:8" x14ac:dyDescent="0.2">
      <c r="B592" s="2"/>
      <c r="C592" s="10"/>
      <c r="D592" s="10"/>
      <c r="E592" s="3"/>
      <c r="F592" s="4"/>
      <c r="G592" s="3"/>
      <c r="H592" s="5"/>
    </row>
    <row r="593" spans="2:8" x14ac:dyDescent="0.2">
      <c r="B593" s="2"/>
      <c r="C593" s="10"/>
      <c r="D593" s="10"/>
      <c r="E593" s="3"/>
      <c r="F593" s="4"/>
      <c r="G593" s="3"/>
      <c r="H593" s="5"/>
    </row>
    <row r="594" spans="2:8" x14ac:dyDescent="0.2">
      <c r="B594" s="2"/>
      <c r="C594" s="10"/>
      <c r="D594" s="10"/>
      <c r="E594" s="3"/>
      <c r="F594" s="4"/>
      <c r="G594" s="3"/>
      <c r="H594" s="5"/>
    </row>
    <row r="595" spans="2:8" x14ac:dyDescent="0.2">
      <c r="B595" s="2"/>
      <c r="C595" s="10"/>
      <c r="D595" s="10"/>
      <c r="E595" s="3"/>
      <c r="F595" s="4"/>
      <c r="G595" s="3"/>
      <c r="H595" s="5"/>
    </row>
    <row r="596" spans="2:8" x14ac:dyDescent="0.2">
      <c r="B596" s="2"/>
      <c r="C596" s="10"/>
      <c r="D596" s="10"/>
      <c r="E596" s="3"/>
      <c r="F596" s="4"/>
      <c r="G596" s="3"/>
      <c r="H596" s="5"/>
    </row>
    <row r="597" spans="2:8" x14ac:dyDescent="0.2">
      <c r="B597" s="2"/>
      <c r="C597" s="10"/>
      <c r="D597" s="10"/>
      <c r="E597" s="3"/>
      <c r="F597" s="4"/>
      <c r="G597" s="3"/>
      <c r="H597" s="5"/>
    </row>
    <row r="598" spans="2:8" x14ac:dyDescent="0.2">
      <c r="B598" s="2"/>
      <c r="C598" s="10"/>
      <c r="D598" s="10"/>
      <c r="E598" s="3"/>
      <c r="F598" s="4"/>
      <c r="G598" s="3"/>
      <c r="H598" s="5"/>
    </row>
    <row r="599" spans="2:8" x14ac:dyDescent="0.2">
      <c r="B599" s="2"/>
      <c r="C599" s="10"/>
      <c r="D599" s="10"/>
      <c r="E599" s="3"/>
      <c r="F599" s="4"/>
      <c r="G599" s="3"/>
      <c r="H599" s="5"/>
    </row>
    <row r="600" spans="2:8" x14ac:dyDescent="0.2">
      <c r="B600" s="2"/>
      <c r="C600" s="10"/>
      <c r="D600" s="10"/>
      <c r="E600" s="3"/>
      <c r="F600" s="4"/>
      <c r="G600" s="3"/>
      <c r="H600" s="5"/>
    </row>
    <row r="601" spans="2:8" x14ac:dyDescent="0.2">
      <c r="B601" s="2"/>
      <c r="C601" s="10"/>
      <c r="D601" s="10"/>
      <c r="E601" s="3"/>
      <c r="F601" s="4"/>
      <c r="G601" s="3"/>
      <c r="H601" s="5"/>
    </row>
    <row r="602" spans="2:8" x14ac:dyDescent="0.2">
      <c r="B602" s="2"/>
      <c r="C602" s="10"/>
      <c r="D602" s="10"/>
      <c r="E602" s="3"/>
      <c r="F602" s="4"/>
      <c r="G602" s="3"/>
      <c r="H602" s="5"/>
    </row>
    <row r="603" spans="2:8" x14ac:dyDescent="0.2">
      <c r="B603" s="2"/>
      <c r="C603" s="10"/>
      <c r="D603" s="10"/>
      <c r="E603" s="3"/>
      <c r="F603" s="4"/>
      <c r="G603" s="3"/>
      <c r="H603" s="5"/>
    </row>
    <row r="604" spans="2:8" x14ac:dyDescent="0.2">
      <c r="B604" s="2"/>
      <c r="C604" s="10"/>
      <c r="D604" s="10"/>
      <c r="E604" s="3"/>
      <c r="F604" s="4"/>
      <c r="G604" s="3"/>
      <c r="H604" s="5"/>
    </row>
    <row r="605" spans="2:8" x14ac:dyDescent="0.2">
      <c r="B605" s="2"/>
      <c r="C605" s="10"/>
      <c r="D605" s="10"/>
      <c r="E605" s="3"/>
      <c r="F605" s="4"/>
      <c r="G605" s="3"/>
      <c r="H605" s="5"/>
    </row>
    <row r="606" spans="2:8" x14ac:dyDescent="0.2">
      <c r="B606" s="2"/>
      <c r="C606" s="10"/>
      <c r="D606" s="10"/>
      <c r="E606" s="3"/>
      <c r="F606" s="4"/>
      <c r="G606" s="3"/>
      <c r="H606" s="5"/>
    </row>
    <row r="607" spans="2:8" x14ac:dyDescent="0.2">
      <c r="B607" s="2"/>
      <c r="C607" s="10"/>
      <c r="D607" s="10"/>
      <c r="E607" s="3"/>
      <c r="F607" s="4"/>
      <c r="G607" s="3"/>
      <c r="H607" s="5"/>
    </row>
    <row r="608" spans="2:8" x14ac:dyDescent="0.2">
      <c r="B608" s="2"/>
      <c r="C608" s="10"/>
      <c r="D608" s="10"/>
      <c r="E608" s="3"/>
      <c r="F608" s="4"/>
      <c r="G608" s="3"/>
      <c r="H608" s="5"/>
    </row>
    <row r="609" spans="2:8" x14ac:dyDescent="0.2">
      <c r="B609" s="2"/>
      <c r="C609" s="10"/>
      <c r="D609" s="10"/>
      <c r="E609" s="3"/>
      <c r="F609" s="4"/>
      <c r="G609" s="3"/>
      <c r="H609" s="5"/>
    </row>
    <row r="610" spans="2:8" x14ac:dyDescent="0.2">
      <c r="B610" s="2"/>
      <c r="C610" s="10"/>
      <c r="D610" s="10"/>
      <c r="E610" s="3"/>
      <c r="F610" s="4"/>
      <c r="G610" s="3"/>
      <c r="H610" s="5"/>
    </row>
    <row r="611" spans="2:8" x14ac:dyDescent="0.2">
      <c r="B611" s="2"/>
      <c r="C611" s="10"/>
      <c r="D611" s="10"/>
      <c r="E611" s="3"/>
      <c r="F611" s="4"/>
      <c r="G611" s="3"/>
      <c r="H611" s="5"/>
    </row>
    <row r="612" spans="2:8" x14ac:dyDescent="0.2">
      <c r="B612" s="2"/>
      <c r="C612" s="10"/>
      <c r="D612" s="10"/>
      <c r="E612" s="3"/>
      <c r="F612" s="4"/>
      <c r="G612" s="3"/>
      <c r="H612" s="5"/>
    </row>
    <row r="613" spans="2:8" x14ac:dyDescent="0.2">
      <c r="B613" s="2"/>
      <c r="C613" s="10"/>
      <c r="D613" s="10"/>
      <c r="E613" s="3"/>
      <c r="F613" s="4"/>
      <c r="G613" s="3"/>
      <c r="H613" s="5"/>
    </row>
    <row r="614" spans="2:8" x14ac:dyDescent="0.2">
      <c r="B614" s="2"/>
      <c r="C614" s="10"/>
      <c r="D614" s="10"/>
      <c r="E614" s="3"/>
      <c r="F614" s="4"/>
      <c r="G614" s="3"/>
      <c r="H614" s="5"/>
    </row>
    <row r="615" spans="2:8" x14ac:dyDescent="0.2">
      <c r="B615" s="2"/>
      <c r="C615" s="10"/>
      <c r="D615" s="10"/>
      <c r="E615" s="3"/>
      <c r="F615" s="4"/>
      <c r="G615" s="3"/>
      <c r="H615" s="5"/>
    </row>
    <row r="616" spans="2:8" x14ac:dyDescent="0.2">
      <c r="B616" s="2"/>
      <c r="C616" s="10"/>
      <c r="D616" s="10"/>
      <c r="E616" s="3"/>
      <c r="F616" s="4"/>
      <c r="G616" s="3"/>
      <c r="H616" s="5"/>
    </row>
    <row r="617" spans="2:8" x14ac:dyDescent="0.2">
      <c r="B617" s="2"/>
      <c r="C617" s="10"/>
      <c r="D617" s="10"/>
      <c r="E617" s="3"/>
      <c r="F617" s="4"/>
      <c r="G617" s="3"/>
      <c r="H617" s="5"/>
    </row>
    <row r="618" spans="2:8" x14ac:dyDescent="0.2">
      <c r="B618" s="2"/>
      <c r="C618" s="10"/>
      <c r="D618" s="10"/>
      <c r="E618" s="3"/>
      <c r="F618" s="4"/>
      <c r="G618" s="3"/>
      <c r="H618" s="5"/>
    </row>
    <row r="619" spans="2:8" x14ac:dyDescent="0.2">
      <c r="B619" s="2"/>
      <c r="C619" s="10"/>
      <c r="D619" s="10"/>
      <c r="E619" s="3"/>
      <c r="F619" s="4"/>
      <c r="G619" s="3"/>
      <c r="H619" s="5"/>
    </row>
    <row r="620" spans="2:8" x14ac:dyDescent="0.2">
      <c r="B620" s="2"/>
      <c r="C620" s="10"/>
      <c r="D620" s="10"/>
      <c r="E620" s="3"/>
      <c r="F620" s="4"/>
      <c r="G620" s="3"/>
      <c r="H620" s="5"/>
    </row>
    <row r="621" spans="2:8" x14ac:dyDescent="0.2">
      <c r="B621" s="2"/>
      <c r="C621" s="10"/>
      <c r="D621" s="10"/>
      <c r="E621" s="3"/>
      <c r="F621" s="4"/>
      <c r="G621" s="3"/>
      <c r="H621" s="5"/>
    </row>
    <row r="622" spans="2:8" x14ac:dyDescent="0.2">
      <c r="B622" s="2"/>
      <c r="C622" s="10"/>
      <c r="D622" s="10"/>
      <c r="E622" s="3"/>
      <c r="F622" s="4"/>
      <c r="G622" s="3"/>
      <c r="H622" s="5"/>
    </row>
    <row r="623" spans="2:8" x14ac:dyDescent="0.2">
      <c r="B623" s="2"/>
      <c r="C623" s="10"/>
      <c r="D623" s="10"/>
      <c r="E623" s="3"/>
      <c r="F623" s="4"/>
      <c r="G623" s="3"/>
      <c r="H623" s="5"/>
    </row>
    <row r="624" spans="2:8" x14ac:dyDescent="0.2">
      <c r="B624" s="2"/>
      <c r="C624" s="10"/>
      <c r="D624" s="10"/>
      <c r="E624" s="3"/>
      <c r="F624" s="4"/>
      <c r="G624" s="3"/>
      <c r="H624" s="5"/>
    </row>
    <row r="625" spans="2:8" x14ac:dyDescent="0.2">
      <c r="B625" s="2"/>
      <c r="C625" s="10"/>
      <c r="D625" s="10"/>
      <c r="E625" s="3"/>
      <c r="F625" s="4"/>
      <c r="G625" s="3"/>
      <c r="H625" s="5"/>
    </row>
    <row r="626" spans="2:8" x14ac:dyDescent="0.2">
      <c r="B626" s="2"/>
      <c r="C626" s="10"/>
      <c r="D626" s="10"/>
      <c r="E626" s="3"/>
      <c r="F626" s="4"/>
      <c r="G626" s="3"/>
      <c r="H626" s="5"/>
    </row>
    <row r="627" spans="2:8" x14ac:dyDescent="0.2">
      <c r="B627" s="2"/>
      <c r="C627" s="10"/>
      <c r="D627" s="10"/>
      <c r="E627" s="3"/>
      <c r="F627" s="4"/>
      <c r="G627" s="3"/>
      <c r="H627" s="5"/>
    </row>
    <row r="628" spans="2:8" x14ac:dyDescent="0.2">
      <c r="B628" s="2"/>
      <c r="C628" s="10"/>
      <c r="D628" s="10"/>
      <c r="E628" s="3"/>
      <c r="F628" s="4"/>
      <c r="G628" s="3"/>
      <c r="H628" s="5"/>
    </row>
    <row r="629" spans="2:8" x14ac:dyDescent="0.2">
      <c r="B629" s="2"/>
      <c r="C629" s="10"/>
      <c r="D629" s="10"/>
      <c r="E629" s="3"/>
      <c r="F629" s="4"/>
      <c r="G629" s="3"/>
      <c r="H629" s="5"/>
    </row>
    <row r="630" spans="2:8" x14ac:dyDescent="0.2">
      <c r="B630" s="2"/>
      <c r="C630" s="10"/>
      <c r="D630" s="10"/>
      <c r="E630" s="3"/>
      <c r="F630" s="4"/>
      <c r="G630" s="3"/>
      <c r="H630" s="5"/>
    </row>
    <row r="631" spans="2:8" x14ac:dyDescent="0.2">
      <c r="B631" s="2"/>
      <c r="C631" s="10"/>
      <c r="D631" s="10"/>
      <c r="E631" s="3"/>
      <c r="F631" s="4"/>
      <c r="G631" s="3"/>
      <c r="H631" s="5"/>
    </row>
    <row r="632" spans="2:8" x14ac:dyDescent="0.2">
      <c r="B632" s="2"/>
      <c r="C632" s="10"/>
      <c r="D632" s="10"/>
      <c r="E632" s="3"/>
      <c r="F632" s="4"/>
      <c r="G632" s="3"/>
      <c r="H632" s="5"/>
    </row>
    <row r="633" spans="2:8" x14ac:dyDescent="0.2">
      <c r="B633" s="2"/>
      <c r="C633" s="10"/>
      <c r="D633" s="10"/>
      <c r="E633" s="3"/>
      <c r="F633" s="4"/>
      <c r="G633" s="3"/>
      <c r="H633" s="5"/>
    </row>
    <row r="634" spans="2:8" x14ac:dyDescent="0.2">
      <c r="B634" s="2"/>
      <c r="C634" s="10"/>
      <c r="D634" s="10"/>
      <c r="E634" s="3"/>
      <c r="F634" s="4"/>
      <c r="G634" s="3"/>
      <c r="H634" s="5"/>
    </row>
    <row r="635" spans="2:8" x14ac:dyDescent="0.2">
      <c r="B635" s="2"/>
      <c r="C635" s="10"/>
      <c r="D635" s="10"/>
      <c r="E635" s="3"/>
      <c r="F635" s="4"/>
      <c r="G635" s="3"/>
      <c r="H635" s="5"/>
    </row>
    <row r="636" spans="2:8" x14ac:dyDescent="0.2">
      <c r="B636" s="2"/>
      <c r="C636" s="10"/>
      <c r="D636" s="10"/>
      <c r="E636" s="3"/>
      <c r="F636" s="4"/>
      <c r="G636" s="3"/>
      <c r="H636" s="5"/>
    </row>
    <row r="637" spans="2:8" x14ac:dyDescent="0.2">
      <c r="B637" s="2"/>
      <c r="C637" s="10"/>
      <c r="D637" s="10"/>
      <c r="E637" s="3"/>
      <c r="F637" s="4"/>
      <c r="G637" s="3"/>
      <c r="H637" s="5"/>
    </row>
    <row r="638" spans="2:8" x14ac:dyDescent="0.2">
      <c r="B638" s="2"/>
      <c r="C638" s="10"/>
      <c r="D638" s="10"/>
      <c r="E638" s="3"/>
      <c r="F638" s="4"/>
      <c r="G638" s="3"/>
      <c r="H638" s="5"/>
    </row>
    <row r="639" spans="2:8" x14ac:dyDescent="0.2">
      <c r="B639" s="2"/>
      <c r="C639" s="10"/>
      <c r="D639" s="10"/>
      <c r="E639" s="3"/>
      <c r="F639" s="4"/>
      <c r="G639" s="3"/>
      <c r="H639" s="5"/>
    </row>
    <row r="640" spans="2:8" x14ac:dyDescent="0.2">
      <c r="B640" s="2"/>
      <c r="C640" s="10"/>
      <c r="D640" s="10"/>
      <c r="E640" s="3"/>
      <c r="F640" s="4"/>
      <c r="G640" s="3"/>
      <c r="H640" s="5"/>
    </row>
    <row r="641" spans="2:8" x14ac:dyDescent="0.2">
      <c r="B641" s="2"/>
      <c r="C641" s="10"/>
      <c r="D641" s="10"/>
      <c r="E641" s="3"/>
      <c r="F641" s="4"/>
      <c r="G641" s="3"/>
      <c r="H641" s="5"/>
    </row>
    <row r="642" spans="2:8" x14ac:dyDescent="0.2">
      <c r="B642" s="2"/>
      <c r="C642" s="10"/>
      <c r="D642" s="10"/>
      <c r="E642" s="3"/>
      <c r="F642" s="4"/>
      <c r="G642" s="3"/>
      <c r="H642" s="5"/>
    </row>
    <row r="643" spans="2:8" x14ac:dyDescent="0.2">
      <c r="B643" s="2"/>
      <c r="C643" s="10"/>
      <c r="D643" s="10"/>
      <c r="E643" s="3"/>
      <c r="F643" s="4"/>
      <c r="G643" s="3"/>
      <c r="H643" s="5"/>
    </row>
    <row r="644" spans="2:8" x14ac:dyDescent="0.2">
      <c r="B644" s="2"/>
      <c r="C644" s="10"/>
      <c r="D644" s="10"/>
      <c r="E644" s="3"/>
      <c r="F644" s="4"/>
      <c r="G644" s="3"/>
      <c r="H644" s="5"/>
    </row>
    <row r="645" spans="2:8" x14ac:dyDescent="0.2">
      <c r="B645" s="2"/>
      <c r="C645" s="10"/>
      <c r="D645" s="10"/>
      <c r="E645" s="3"/>
      <c r="F645" s="4"/>
      <c r="G645" s="3"/>
      <c r="H645" s="5"/>
    </row>
    <row r="646" spans="2:8" x14ac:dyDescent="0.2">
      <c r="B646" s="2"/>
      <c r="C646" s="10"/>
      <c r="D646" s="10"/>
      <c r="E646" s="3"/>
      <c r="F646" s="4"/>
      <c r="G646" s="3"/>
      <c r="H646" s="5"/>
    </row>
    <row r="647" spans="2:8" x14ac:dyDescent="0.2">
      <c r="B647" s="2"/>
      <c r="C647" s="10"/>
      <c r="D647" s="10"/>
      <c r="E647" s="3"/>
      <c r="F647" s="4"/>
      <c r="G647" s="3"/>
      <c r="H647" s="5"/>
    </row>
    <row r="648" spans="2:8" x14ac:dyDescent="0.2">
      <c r="B648" s="2"/>
      <c r="C648" s="10"/>
      <c r="D648" s="10"/>
      <c r="E648" s="3"/>
      <c r="F648" s="4"/>
      <c r="G648" s="3"/>
      <c r="H648" s="5"/>
    </row>
    <row r="649" spans="2:8" x14ac:dyDescent="0.2">
      <c r="B649" s="2"/>
      <c r="C649" s="10"/>
      <c r="D649" s="10"/>
      <c r="E649" s="3"/>
      <c r="F649" s="4"/>
      <c r="G649" s="3"/>
      <c r="H649" s="5"/>
    </row>
    <row r="650" spans="2:8" x14ac:dyDescent="0.2">
      <c r="B650" s="2"/>
      <c r="C650" s="10"/>
      <c r="D650" s="10"/>
      <c r="E650" s="3"/>
      <c r="F650" s="4"/>
      <c r="G650" s="3"/>
      <c r="H650" s="5"/>
    </row>
    <row r="651" spans="2:8" x14ac:dyDescent="0.2">
      <c r="B651" s="2"/>
      <c r="C651" s="10"/>
      <c r="D651" s="10"/>
      <c r="E651" s="3"/>
      <c r="F651" s="4"/>
      <c r="G651" s="3"/>
      <c r="H651" s="5"/>
    </row>
    <row r="652" spans="2:8" x14ac:dyDescent="0.2">
      <c r="B652" s="2"/>
      <c r="C652" s="10"/>
      <c r="D652" s="10"/>
      <c r="E652" s="3"/>
      <c r="F652" s="4"/>
      <c r="G652" s="3"/>
      <c r="H652" s="5"/>
    </row>
    <row r="653" spans="2:8" x14ac:dyDescent="0.2">
      <c r="B653" s="2"/>
      <c r="C653" s="10"/>
      <c r="D653" s="10"/>
      <c r="E653" s="3"/>
      <c r="F653" s="4"/>
      <c r="G653" s="3"/>
      <c r="H653" s="5"/>
    </row>
    <row r="654" spans="2:8" x14ac:dyDescent="0.2">
      <c r="B654" s="2"/>
      <c r="C654" s="10"/>
      <c r="D654" s="10"/>
      <c r="E654" s="3"/>
      <c r="F654" s="4"/>
      <c r="G654" s="3"/>
      <c r="H654" s="5"/>
    </row>
    <row r="655" spans="2:8" x14ac:dyDescent="0.2">
      <c r="B655" s="2"/>
      <c r="C655" s="10"/>
      <c r="D655" s="10"/>
      <c r="E655" s="3"/>
      <c r="F655" s="4"/>
      <c r="G655" s="3"/>
      <c r="H655" s="5"/>
    </row>
    <row r="656" spans="2:8" x14ac:dyDescent="0.2">
      <c r="B656" s="2"/>
      <c r="C656" s="10"/>
      <c r="D656" s="10"/>
      <c r="E656" s="3"/>
      <c r="F656" s="4"/>
      <c r="G656" s="3"/>
      <c r="H656" s="5"/>
    </row>
    <row r="657" spans="2:8" x14ac:dyDescent="0.2">
      <c r="B657" s="2"/>
      <c r="C657" s="10"/>
      <c r="D657" s="10"/>
      <c r="E657" s="3"/>
      <c r="F657" s="4"/>
      <c r="G657" s="3"/>
      <c r="H657" s="5"/>
    </row>
    <row r="658" spans="2:8" x14ac:dyDescent="0.2">
      <c r="B658" s="2"/>
      <c r="C658" s="10"/>
      <c r="D658" s="10"/>
      <c r="E658" s="3"/>
      <c r="F658" s="4"/>
      <c r="G658" s="3"/>
      <c r="H658" s="5"/>
    </row>
    <row r="659" spans="2:8" x14ac:dyDescent="0.2">
      <c r="B659" s="2"/>
      <c r="C659" s="10"/>
      <c r="D659" s="10"/>
      <c r="E659" s="3"/>
      <c r="F659" s="4"/>
      <c r="G659" s="3"/>
      <c r="H659" s="5"/>
    </row>
    <row r="660" spans="2:8" x14ac:dyDescent="0.2">
      <c r="B660" s="2"/>
      <c r="C660" s="10"/>
      <c r="D660" s="10"/>
      <c r="E660" s="3"/>
      <c r="F660" s="4"/>
      <c r="G660" s="3"/>
      <c r="H660" s="5"/>
    </row>
    <row r="661" spans="2:8" x14ac:dyDescent="0.2">
      <c r="B661" s="2"/>
      <c r="C661" s="10"/>
      <c r="D661" s="10"/>
      <c r="E661" s="3"/>
      <c r="F661" s="4"/>
      <c r="G661" s="3"/>
      <c r="H661" s="5"/>
    </row>
    <row r="662" spans="2:8" x14ac:dyDescent="0.2">
      <c r="B662" s="2"/>
      <c r="C662" s="10"/>
      <c r="D662" s="10"/>
      <c r="E662" s="3"/>
      <c r="F662" s="4"/>
      <c r="G662" s="3"/>
      <c r="H662" s="5"/>
    </row>
    <row r="663" spans="2:8" x14ac:dyDescent="0.2">
      <c r="B663" s="2"/>
      <c r="C663" s="10"/>
      <c r="D663" s="10"/>
      <c r="E663" s="3"/>
      <c r="F663" s="4"/>
      <c r="G663" s="3"/>
      <c r="H663" s="5"/>
    </row>
    <row r="664" spans="2:8" x14ac:dyDescent="0.2">
      <c r="B664" s="2"/>
      <c r="C664" s="10"/>
      <c r="D664" s="10"/>
      <c r="E664" s="3"/>
      <c r="F664" s="4"/>
      <c r="G664" s="3"/>
      <c r="H664" s="5"/>
    </row>
    <row r="665" spans="2:8" x14ac:dyDescent="0.2">
      <c r="B665" s="2"/>
      <c r="C665" s="10"/>
      <c r="D665" s="10"/>
      <c r="E665" s="3"/>
      <c r="F665" s="4"/>
      <c r="G665" s="3"/>
      <c r="H665" s="5"/>
    </row>
    <row r="666" spans="2:8" x14ac:dyDescent="0.2">
      <c r="B666" s="2"/>
      <c r="C666" s="10"/>
      <c r="D666" s="10"/>
      <c r="E666" s="3"/>
      <c r="F666" s="4"/>
      <c r="G666" s="3"/>
      <c r="H666" s="5"/>
    </row>
    <row r="667" spans="2:8" x14ac:dyDescent="0.2">
      <c r="B667" s="2"/>
      <c r="C667" s="10"/>
      <c r="D667" s="10"/>
      <c r="E667" s="3"/>
      <c r="F667" s="4"/>
      <c r="G667" s="3"/>
      <c r="H667" s="5"/>
    </row>
    <row r="668" spans="2:8" x14ac:dyDescent="0.2">
      <c r="B668" s="2"/>
      <c r="C668" s="10"/>
      <c r="D668" s="10"/>
      <c r="E668" s="3"/>
      <c r="F668" s="4"/>
      <c r="G668" s="3"/>
      <c r="H668" s="5"/>
    </row>
    <row r="669" spans="2:8" x14ac:dyDescent="0.2">
      <c r="B669" s="2"/>
      <c r="C669" s="10"/>
      <c r="D669" s="10"/>
      <c r="E669" s="3"/>
      <c r="F669" s="4"/>
      <c r="G669" s="3"/>
      <c r="H669" s="5"/>
    </row>
    <row r="670" spans="2:8" x14ac:dyDescent="0.2">
      <c r="B670" s="2"/>
      <c r="C670" s="10"/>
      <c r="D670" s="10"/>
      <c r="E670" s="3"/>
      <c r="F670" s="4"/>
      <c r="G670" s="3"/>
      <c r="H670" s="5"/>
    </row>
    <row r="671" spans="2:8" x14ac:dyDescent="0.2">
      <c r="B671" s="2"/>
      <c r="C671" s="10"/>
      <c r="D671" s="10"/>
      <c r="E671" s="3"/>
      <c r="F671" s="4"/>
      <c r="G671" s="3"/>
      <c r="H671" s="5"/>
    </row>
    <row r="672" spans="2:8" x14ac:dyDescent="0.2">
      <c r="B672" s="2"/>
      <c r="C672" s="10"/>
      <c r="D672" s="10"/>
      <c r="E672" s="3"/>
      <c r="F672" s="4"/>
      <c r="G672" s="3"/>
      <c r="H672" s="5"/>
    </row>
    <row r="673" spans="2:8" x14ac:dyDescent="0.2">
      <c r="B673" s="2"/>
      <c r="C673" s="10"/>
      <c r="D673" s="10"/>
      <c r="E673" s="3"/>
      <c r="F673" s="4"/>
      <c r="G673" s="3"/>
      <c r="H673" s="5"/>
    </row>
    <row r="674" spans="2:8" x14ac:dyDescent="0.2">
      <c r="B674" s="2"/>
      <c r="C674" s="10"/>
      <c r="D674" s="10"/>
      <c r="E674" s="3"/>
      <c r="F674" s="4"/>
      <c r="G674" s="3"/>
      <c r="H674" s="5"/>
    </row>
    <row r="675" spans="2:8" x14ac:dyDescent="0.2">
      <c r="B675" s="2"/>
      <c r="C675" s="10"/>
      <c r="D675" s="10"/>
      <c r="E675" s="3"/>
      <c r="F675" s="4"/>
      <c r="G675" s="3"/>
      <c r="H675" s="5"/>
    </row>
    <row r="676" spans="2:8" x14ac:dyDescent="0.2">
      <c r="B676" s="2"/>
      <c r="C676" s="10"/>
      <c r="D676" s="10"/>
      <c r="E676" s="3"/>
      <c r="F676" s="4"/>
      <c r="G676" s="3"/>
      <c r="H676" s="5"/>
    </row>
    <row r="677" spans="2:8" x14ac:dyDescent="0.2">
      <c r="B677" s="2"/>
      <c r="C677" s="10"/>
      <c r="D677" s="10"/>
      <c r="E677" s="3"/>
      <c r="F677" s="4"/>
      <c r="G677" s="3"/>
      <c r="H677" s="5"/>
    </row>
    <row r="678" spans="2:8" x14ac:dyDescent="0.2">
      <c r="B678" s="2"/>
      <c r="C678" s="10"/>
      <c r="D678" s="10"/>
      <c r="E678" s="3"/>
      <c r="F678" s="4"/>
      <c r="G678" s="3"/>
      <c r="H678" s="5"/>
    </row>
    <row r="679" spans="2:8" x14ac:dyDescent="0.2">
      <c r="B679" s="2"/>
      <c r="C679" s="10"/>
      <c r="D679" s="10"/>
      <c r="E679" s="3"/>
      <c r="F679" s="4"/>
      <c r="G679" s="3"/>
      <c r="H679" s="5"/>
    </row>
    <row r="680" spans="2:8" x14ac:dyDescent="0.2">
      <c r="B680" s="2"/>
      <c r="C680" s="10"/>
      <c r="D680" s="10"/>
      <c r="E680" s="3"/>
      <c r="F680" s="4"/>
      <c r="G680" s="3"/>
      <c r="H680" s="5"/>
    </row>
    <row r="681" spans="2:8" x14ac:dyDescent="0.2">
      <c r="B681" s="2"/>
      <c r="C681" s="10"/>
      <c r="D681" s="10"/>
      <c r="E681" s="3"/>
      <c r="F681" s="4"/>
      <c r="G681" s="3"/>
      <c r="H681" s="5"/>
    </row>
    <row r="682" spans="2:8" x14ac:dyDescent="0.2">
      <c r="B682" s="2"/>
      <c r="C682" s="10"/>
      <c r="D682" s="10"/>
      <c r="E682" s="3"/>
      <c r="F682" s="4"/>
      <c r="G682" s="3"/>
      <c r="H682" s="5"/>
    </row>
    <row r="683" spans="2:8" x14ac:dyDescent="0.2">
      <c r="B683" s="2"/>
      <c r="C683" s="10"/>
      <c r="D683" s="10"/>
      <c r="E683" s="3"/>
      <c r="F683" s="4"/>
      <c r="G683" s="3"/>
      <c r="H683" s="5"/>
    </row>
    <row r="684" spans="2:8" x14ac:dyDescent="0.2">
      <c r="B684" s="2"/>
      <c r="C684" s="10"/>
      <c r="D684" s="10"/>
      <c r="E684" s="3"/>
      <c r="F684" s="4"/>
      <c r="G684" s="3"/>
      <c r="H684" s="5"/>
    </row>
    <row r="685" spans="2:8" x14ac:dyDescent="0.2">
      <c r="B685" s="2"/>
      <c r="C685" s="10"/>
      <c r="D685" s="10"/>
      <c r="E685" s="3"/>
      <c r="F685" s="4"/>
      <c r="G685" s="3"/>
      <c r="H685" s="5"/>
    </row>
    <row r="686" spans="2:8" x14ac:dyDescent="0.2">
      <c r="B686" s="2"/>
      <c r="C686" s="10"/>
      <c r="D686" s="10"/>
      <c r="E686" s="3"/>
      <c r="F686" s="4"/>
      <c r="G686" s="3"/>
      <c r="H686" s="5"/>
    </row>
    <row r="687" spans="2:8" x14ac:dyDescent="0.2">
      <c r="B687" s="2"/>
      <c r="C687" s="10"/>
      <c r="D687" s="10"/>
      <c r="E687" s="3"/>
      <c r="F687" s="4"/>
      <c r="G687" s="3"/>
      <c r="H687" s="5"/>
    </row>
    <row r="688" spans="2:8" x14ac:dyDescent="0.2">
      <c r="B688" s="2"/>
      <c r="C688" s="10"/>
      <c r="D688" s="10"/>
      <c r="E688" s="3"/>
      <c r="F688" s="4"/>
      <c r="G688" s="3"/>
      <c r="H688" s="5"/>
    </row>
    <row r="689" spans="2:8" x14ac:dyDescent="0.2">
      <c r="B689" s="2"/>
      <c r="C689" s="10"/>
      <c r="D689" s="10"/>
      <c r="E689" s="3"/>
      <c r="F689" s="4"/>
      <c r="G689" s="3"/>
      <c r="H689" s="5"/>
    </row>
    <row r="690" spans="2:8" x14ac:dyDescent="0.2">
      <c r="B690" s="2"/>
      <c r="C690" s="10"/>
      <c r="D690" s="10"/>
      <c r="E690" s="3"/>
      <c r="F690" s="4"/>
      <c r="G690" s="3"/>
      <c r="H690" s="5"/>
    </row>
    <row r="691" spans="2:8" x14ac:dyDescent="0.2">
      <c r="B691" s="2"/>
      <c r="C691" s="10"/>
      <c r="D691" s="10"/>
      <c r="E691" s="3"/>
      <c r="F691" s="4"/>
      <c r="G691" s="3"/>
      <c r="H691" s="5"/>
    </row>
    <row r="692" spans="2:8" x14ac:dyDescent="0.2">
      <c r="B692" s="2"/>
      <c r="C692" s="10"/>
      <c r="D692" s="10"/>
      <c r="E692" s="3"/>
      <c r="F692" s="4"/>
      <c r="G692" s="3"/>
      <c r="H692" s="5"/>
    </row>
    <row r="693" spans="2:8" x14ac:dyDescent="0.2">
      <c r="B693" s="2"/>
      <c r="C693" s="10"/>
      <c r="D693" s="10"/>
      <c r="E693" s="3"/>
      <c r="F693" s="4"/>
      <c r="G693" s="3"/>
      <c r="H693" s="5"/>
    </row>
    <row r="694" spans="2:8" x14ac:dyDescent="0.2">
      <c r="B694" s="2"/>
      <c r="C694" s="10"/>
      <c r="D694" s="10"/>
      <c r="E694" s="3"/>
      <c r="F694" s="4"/>
      <c r="G694" s="3"/>
      <c r="H694" s="5"/>
    </row>
    <row r="695" spans="2:8" x14ac:dyDescent="0.2">
      <c r="B695" s="2"/>
      <c r="C695" s="10"/>
      <c r="D695" s="10"/>
      <c r="E695" s="3"/>
      <c r="F695" s="4"/>
      <c r="G695" s="3"/>
      <c r="H695" s="5"/>
    </row>
    <row r="696" spans="2:8" x14ac:dyDescent="0.2">
      <c r="B696" s="2"/>
      <c r="C696" s="10"/>
      <c r="D696" s="10"/>
      <c r="E696" s="3"/>
      <c r="F696" s="4"/>
      <c r="G696" s="3"/>
      <c r="H696" s="5"/>
    </row>
    <row r="697" spans="2:8" x14ac:dyDescent="0.2">
      <c r="B697" s="2"/>
      <c r="C697" s="10"/>
      <c r="D697" s="10"/>
      <c r="E697" s="3"/>
      <c r="F697" s="4"/>
      <c r="G697" s="3"/>
      <c r="H697" s="5"/>
    </row>
    <row r="698" spans="2:8" x14ac:dyDescent="0.2">
      <c r="B698" s="2"/>
      <c r="C698" s="10"/>
      <c r="D698" s="10"/>
      <c r="E698" s="3"/>
      <c r="F698" s="4"/>
      <c r="G698" s="3"/>
      <c r="H698" s="5"/>
    </row>
    <row r="699" spans="2:8" x14ac:dyDescent="0.2">
      <c r="B699" s="2"/>
      <c r="C699" s="10"/>
      <c r="D699" s="10"/>
      <c r="E699" s="3"/>
      <c r="F699" s="4"/>
      <c r="G699" s="3"/>
      <c r="H699" s="5"/>
    </row>
    <row r="700" spans="2:8" x14ac:dyDescent="0.2">
      <c r="B700" s="2"/>
      <c r="C700" s="10"/>
      <c r="D700" s="10"/>
      <c r="E700" s="3"/>
      <c r="F700" s="4"/>
      <c r="G700" s="3"/>
      <c r="H700" s="5"/>
    </row>
    <row r="701" spans="2:8" x14ac:dyDescent="0.2">
      <c r="B701" s="2"/>
      <c r="C701" s="10"/>
      <c r="D701" s="10"/>
      <c r="E701" s="3"/>
      <c r="F701" s="4"/>
      <c r="G701" s="3"/>
      <c r="H701" s="5"/>
    </row>
    <row r="702" spans="2:8" x14ac:dyDescent="0.2">
      <c r="B702" s="2"/>
      <c r="C702" s="10"/>
      <c r="D702" s="10"/>
      <c r="E702" s="3"/>
      <c r="F702" s="4"/>
      <c r="G702" s="3"/>
      <c r="H702" s="5"/>
    </row>
    <row r="703" spans="2:8" x14ac:dyDescent="0.2">
      <c r="B703" s="2"/>
      <c r="C703" s="10"/>
      <c r="D703" s="10"/>
      <c r="E703" s="3"/>
      <c r="F703" s="4"/>
      <c r="G703" s="3"/>
      <c r="H703" s="5"/>
    </row>
    <row r="704" spans="2:8" x14ac:dyDescent="0.2">
      <c r="B704" s="2"/>
      <c r="C704" s="10"/>
      <c r="D704" s="10"/>
      <c r="E704" s="3"/>
      <c r="F704" s="4"/>
      <c r="G704" s="3"/>
      <c r="H704" s="5"/>
    </row>
    <row r="705" spans="2:8" x14ac:dyDescent="0.2">
      <c r="B705" s="2"/>
      <c r="C705" s="10"/>
      <c r="D705" s="10"/>
      <c r="E705" s="3"/>
      <c r="F705" s="4"/>
      <c r="G705" s="3"/>
      <c r="H705" s="5"/>
    </row>
    <row r="706" spans="2:8" x14ac:dyDescent="0.2">
      <c r="B706" s="2"/>
      <c r="C706" s="10"/>
      <c r="D706" s="10"/>
      <c r="E706" s="3"/>
      <c r="F706" s="4"/>
      <c r="G706" s="3"/>
      <c r="H706" s="5"/>
    </row>
    <row r="707" spans="2:8" x14ac:dyDescent="0.2">
      <c r="B707" s="2"/>
      <c r="C707" s="10"/>
      <c r="D707" s="10"/>
      <c r="E707" s="3"/>
      <c r="F707" s="4"/>
      <c r="G707" s="3"/>
      <c r="H707" s="5"/>
    </row>
    <row r="708" spans="2:8" x14ac:dyDescent="0.2">
      <c r="B708" s="2"/>
      <c r="C708" s="10"/>
      <c r="D708" s="10"/>
      <c r="E708" s="3"/>
      <c r="F708" s="4"/>
      <c r="G708" s="3"/>
      <c r="H708" s="5"/>
    </row>
    <row r="709" spans="2:8" x14ac:dyDescent="0.2">
      <c r="B709" s="2"/>
      <c r="C709" s="10"/>
      <c r="D709" s="10"/>
      <c r="E709" s="3"/>
      <c r="F709" s="4"/>
      <c r="G709" s="3"/>
      <c r="H709" s="5"/>
    </row>
    <row r="710" spans="2:8" x14ac:dyDescent="0.2">
      <c r="B710" s="2"/>
      <c r="C710" s="10"/>
      <c r="D710" s="10"/>
      <c r="E710" s="3"/>
      <c r="F710" s="4"/>
      <c r="G710" s="3"/>
      <c r="H710" s="5"/>
    </row>
    <row r="711" spans="2:8" x14ac:dyDescent="0.2">
      <c r="B711" s="2"/>
      <c r="C711" s="10"/>
      <c r="D711" s="10"/>
      <c r="E711" s="3"/>
      <c r="F711" s="4"/>
      <c r="G711" s="3"/>
      <c r="H711" s="5"/>
    </row>
    <row r="712" spans="2:8" x14ac:dyDescent="0.2">
      <c r="B712" s="2"/>
      <c r="C712" s="10"/>
      <c r="D712" s="10"/>
      <c r="E712" s="3"/>
      <c r="F712" s="4"/>
      <c r="G712" s="3"/>
      <c r="H712" s="5"/>
    </row>
    <row r="713" spans="2:8" x14ac:dyDescent="0.2">
      <c r="B713" s="2"/>
      <c r="C713" s="10"/>
      <c r="D713" s="10"/>
      <c r="E713" s="3"/>
      <c r="F713" s="4"/>
      <c r="G713" s="3"/>
      <c r="H713" s="5"/>
    </row>
    <row r="714" spans="2:8" x14ac:dyDescent="0.2">
      <c r="B714" s="2"/>
      <c r="C714" s="10"/>
      <c r="D714" s="10"/>
      <c r="E714" s="3"/>
      <c r="F714" s="4"/>
      <c r="G714" s="3"/>
      <c r="H714" s="5"/>
    </row>
    <row r="715" spans="2:8" x14ac:dyDescent="0.2">
      <c r="B715" s="2"/>
      <c r="C715" s="10"/>
      <c r="D715" s="10"/>
      <c r="E715" s="3"/>
      <c r="F715" s="4"/>
      <c r="G715" s="3"/>
      <c r="H715" s="5"/>
    </row>
    <row r="716" spans="2:8" x14ac:dyDescent="0.2">
      <c r="B716" s="2"/>
      <c r="C716" s="10"/>
      <c r="D716" s="10"/>
      <c r="E716" s="3"/>
      <c r="F716" s="4"/>
      <c r="G716" s="3"/>
      <c r="H716" s="5"/>
    </row>
    <row r="717" spans="2:8" x14ac:dyDescent="0.2">
      <c r="B717" s="2"/>
      <c r="C717" s="10"/>
      <c r="D717" s="10"/>
      <c r="E717" s="3"/>
      <c r="F717" s="4"/>
      <c r="G717" s="3"/>
      <c r="H717" s="5"/>
    </row>
    <row r="718" spans="2:8" x14ac:dyDescent="0.2">
      <c r="B718" s="2"/>
      <c r="C718" s="10"/>
      <c r="D718" s="10"/>
      <c r="E718" s="3"/>
      <c r="F718" s="4"/>
      <c r="G718" s="3"/>
      <c r="H718" s="5"/>
    </row>
    <row r="719" spans="2:8" x14ac:dyDescent="0.2">
      <c r="B719" s="2"/>
      <c r="C719" s="10"/>
      <c r="D719" s="10"/>
      <c r="E719" s="3"/>
      <c r="F719" s="4"/>
      <c r="G719" s="3"/>
      <c r="H719" s="5"/>
    </row>
    <row r="720" spans="2:8" x14ac:dyDescent="0.2">
      <c r="B720" s="2"/>
      <c r="C720" s="10"/>
      <c r="D720" s="10"/>
      <c r="E720" s="3"/>
      <c r="F720" s="4"/>
      <c r="G720" s="3"/>
      <c r="H720" s="5"/>
    </row>
    <row r="721" spans="2:8" x14ac:dyDescent="0.2">
      <c r="B721" s="2"/>
      <c r="C721" s="10"/>
      <c r="D721" s="10"/>
      <c r="E721" s="3"/>
      <c r="F721" s="4"/>
      <c r="G721" s="3"/>
      <c r="H721" s="5"/>
    </row>
    <row r="722" spans="2:8" x14ac:dyDescent="0.2">
      <c r="B722" s="2"/>
      <c r="C722" s="10"/>
      <c r="D722" s="10"/>
      <c r="E722" s="3"/>
      <c r="F722" s="4"/>
      <c r="G722" s="3"/>
      <c r="H722" s="5"/>
    </row>
    <row r="723" spans="2:8" x14ac:dyDescent="0.2">
      <c r="B723" s="2"/>
      <c r="C723" s="10"/>
      <c r="D723" s="10"/>
      <c r="E723" s="3"/>
      <c r="F723" s="4"/>
      <c r="G723" s="3"/>
      <c r="H723" s="5"/>
    </row>
    <row r="724" spans="2:8" x14ac:dyDescent="0.2">
      <c r="B724" s="2"/>
      <c r="C724" s="10"/>
      <c r="D724" s="10"/>
      <c r="E724" s="3"/>
      <c r="F724" s="4"/>
      <c r="G724" s="3"/>
      <c r="H724" s="5"/>
    </row>
    <row r="725" spans="2:8" x14ac:dyDescent="0.2">
      <c r="B725" s="2"/>
      <c r="C725" s="10"/>
      <c r="D725" s="10"/>
      <c r="E725" s="3"/>
      <c r="F725" s="4"/>
      <c r="G725" s="3"/>
      <c r="H725" s="5"/>
    </row>
    <row r="726" spans="2:8" x14ac:dyDescent="0.2">
      <c r="B726" s="2"/>
      <c r="C726" s="10"/>
      <c r="D726" s="10"/>
      <c r="E726" s="3"/>
      <c r="F726" s="4"/>
      <c r="G726" s="3"/>
      <c r="H726" s="5"/>
    </row>
    <row r="727" spans="2:8" x14ac:dyDescent="0.2">
      <c r="B727" s="2"/>
      <c r="C727" s="10"/>
      <c r="D727" s="10"/>
      <c r="E727" s="3"/>
      <c r="F727" s="4"/>
      <c r="G727" s="3"/>
      <c r="H727" s="5"/>
    </row>
    <row r="728" spans="2:8" x14ac:dyDescent="0.2">
      <c r="B728" s="2"/>
      <c r="C728" s="10"/>
      <c r="D728" s="10"/>
      <c r="E728" s="3"/>
      <c r="F728" s="4"/>
      <c r="G728" s="3"/>
      <c r="H728" s="5"/>
    </row>
    <row r="729" spans="2:8" x14ac:dyDescent="0.2">
      <c r="B729" s="2"/>
      <c r="C729" s="10"/>
      <c r="D729" s="10"/>
      <c r="E729" s="3"/>
      <c r="F729" s="4"/>
      <c r="G729" s="3"/>
      <c r="H729" s="5"/>
    </row>
    <row r="730" spans="2:8" x14ac:dyDescent="0.2">
      <c r="B730" s="2"/>
      <c r="C730" s="10"/>
      <c r="D730" s="10"/>
      <c r="E730" s="3"/>
      <c r="F730" s="4"/>
      <c r="G730" s="3"/>
      <c r="H730" s="5"/>
    </row>
    <row r="731" spans="2:8" x14ac:dyDescent="0.2">
      <c r="B731" s="2"/>
      <c r="C731" s="10"/>
      <c r="D731" s="10"/>
      <c r="E731" s="3"/>
      <c r="F731" s="4"/>
      <c r="G731" s="3"/>
      <c r="H731" s="5"/>
    </row>
    <row r="732" spans="2:8" x14ac:dyDescent="0.2">
      <c r="B732" s="2"/>
      <c r="C732" s="10"/>
      <c r="D732" s="10"/>
      <c r="E732" s="3"/>
      <c r="F732" s="4"/>
      <c r="G732" s="3"/>
      <c r="H732" s="5"/>
    </row>
    <row r="733" spans="2:8" x14ac:dyDescent="0.2">
      <c r="B733" s="2"/>
      <c r="C733" s="10"/>
      <c r="D733" s="10"/>
      <c r="E733" s="3"/>
      <c r="F733" s="4"/>
      <c r="G733" s="3"/>
      <c r="H733" s="5"/>
    </row>
    <row r="734" spans="2:8" x14ac:dyDescent="0.2">
      <c r="B734" s="2"/>
      <c r="C734" s="10"/>
      <c r="D734" s="10"/>
      <c r="E734" s="3"/>
      <c r="F734" s="4"/>
      <c r="G734" s="3"/>
      <c r="H734" s="5"/>
    </row>
    <row r="735" spans="2:8" x14ac:dyDescent="0.2">
      <c r="B735" s="2"/>
      <c r="C735" s="10"/>
      <c r="D735" s="10"/>
      <c r="E735" s="3"/>
      <c r="F735" s="4"/>
      <c r="G735" s="3"/>
      <c r="H735" s="5"/>
    </row>
    <row r="736" spans="2:8" x14ac:dyDescent="0.2">
      <c r="B736" s="2"/>
      <c r="C736" s="10"/>
      <c r="D736" s="10"/>
      <c r="E736" s="3"/>
      <c r="F736" s="4"/>
      <c r="G736" s="3"/>
      <c r="H736" s="5"/>
    </row>
    <row r="737" spans="2:8" x14ac:dyDescent="0.2">
      <c r="B737" s="2"/>
      <c r="C737" s="10"/>
      <c r="D737" s="10"/>
      <c r="E737" s="3"/>
      <c r="F737" s="4"/>
      <c r="G737" s="3"/>
      <c r="H737" s="5"/>
    </row>
    <row r="738" spans="2:8" x14ac:dyDescent="0.2">
      <c r="B738" s="2"/>
      <c r="C738" s="10"/>
      <c r="D738" s="10"/>
      <c r="E738" s="3"/>
      <c r="F738" s="4"/>
      <c r="G738" s="3"/>
      <c r="H738" s="5"/>
    </row>
    <row r="739" spans="2:8" x14ac:dyDescent="0.2">
      <c r="B739" s="2"/>
      <c r="C739" s="10"/>
      <c r="D739" s="10"/>
      <c r="E739" s="3"/>
      <c r="F739" s="4"/>
      <c r="G739" s="3"/>
      <c r="H739" s="5"/>
    </row>
    <row r="740" spans="2:8" x14ac:dyDescent="0.2">
      <c r="B740" s="2"/>
      <c r="C740" s="10"/>
      <c r="D740" s="10"/>
      <c r="E740" s="3"/>
      <c r="F740" s="4"/>
      <c r="G740" s="3"/>
      <c r="H740" s="5"/>
    </row>
    <row r="741" spans="2:8" x14ac:dyDescent="0.2">
      <c r="B741" s="2"/>
      <c r="C741" s="10"/>
      <c r="D741" s="10"/>
      <c r="E741" s="3"/>
      <c r="F741" s="4"/>
      <c r="G741" s="3"/>
      <c r="H741" s="5"/>
    </row>
    <row r="742" spans="2:8" x14ac:dyDescent="0.2">
      <c r="B742" s="2"/>
      <c r="C742" s="10"/>
      <c r="D742" s="10"/>
      <c r="E742" s="3"/>
      <c r="F742" s="4"/>
      <c r="G742" s="3"/>
      <c r="H742" s="5"/>
    </row>
    <row r="743" spans="2:8" x14ac:dyDescent="0.2">
      <c r="B743" s="2"/>
      <c r="C743" s="10"/>
      <c r="D743" s="10"/>
      <c r="E743" s="3"/>
      <c r="F743" s="4"/>
      <c r="G743" s="3"/>
      <c r="H743" s="5"/>
    </row>
    <row r="744" spans="2:8" x14ac:dyDescent="0.2">
      <c r="B744" s="2"/>
      <c r="C744" s="10"/>
      <c r="D744" s="10"/>
      <c r="E744" s="3"/>
      <c r="F744" s="4"/>
      <c r="G744" s="3"/>
      <c r="H744" s="5"/>
    </row>
    <row r="745" spans="2:8" x14ac:dyDescent="0.2">
      <c r="B745" s="2"/>
      <c r="C745" s="10"/>
      <c r="D745" s="10"/>
      <c r="E745" s="3"/>
      <c r="F745" s="4"/>
      <c r="G745" s="3"/>
      <c r="H745" s="5"/>
    </row>
    <row r="746" spans="2:8" x14ac:dyDescent="0.2">
      <c r="B746" s="2"/>
      <c r="C746" s="10"/>
      <c r="D746" s="10"/>
      <c r="E746" s="3"/>
      <c r="F746" s="4"/>
      <c r="G746" s="3"/>
      <c r="H746" s="5"/>
    </row>
    <row r="747" spans="2:8" x14ac:dyDescent="0.2">
      <c r="B747" s="2"/>
      <c r="C747" s="10"/>
      <c r="D747" s="10"/>
      <c r="E747" s="3"/>
      <c r="F747" s="4"/>
      <c r="G747" s="3"/>
      <c r="H747" s="5"/>
    </row>
    <row r="748" spans="2:8" x14ac:dyDescent="0.2">
      <c r="B748" s="2"/>
      <c r="C748" s="10"/>
      <c r="D748" s="10"/>
      <c r="E748" s="3"/>
      <c r="F748" s="4"/>
      <c r="G748" s="3"/>
      <c r="H748" s="5"/>
    </row>
    <row r="749" spans="2:8" x14ac:dyDescent="0.2">
      <c r="B749" s="2"/>
      <c r="C749" s="10"/>
      <c r="D749" s="10"/>
      <c r="E749" s="3"/>
      <c r="F749" s="4"/>
      <c r="G749" s="3"/>
      <c r="H749" s="5"/>
    </row>
    <row r="750" spans="2:8" x14ac:dyDescent="0.2">
      <c r="B750" s="2"/>
      <c r="C750" s="10"/>
      <c r="D750" s="10"/>
      <c r="E750" s="3"/>
      <c r="F750" s="4"/>
      <c r="G750" s="3"/>
      <c r="H750" s="5"/>
    </row>
    <row r="751" spans="2:8" x14ac:dyDescent="0.2">
      <c r="B751" s="2"/>
      <c r="C751" s="10"/>
      <c r="D751" s="10"/>
      <c r="E751" s="3"/>
      <c r="F751" s="4"/>
      <c r="G751" s="3"/>
      <c r="H751" s="5"/>
    </row>
    <row r="752" spans="2:8" x14ac:dyDescent="0.2">
      <c r="B752" s="2"/>
      <c r="C752" s="10"/>
      <c r="D752" s="10"/>
      <c r="E752" s="3"/>
      <c r="F752" s="4"/>
      <c r="G752" s="3"/>
      <c r="H752" s="5"/>
    </row>
    <row r="753" spans="2:8" x14ac:dyDescent="0.2">
      <c r="B753" s="2"/>
      <c r="C753" s="10"/>
      <c r="D753" s="10"/>
      <c r="E753" s="3"/>
      <c r="F753" s="4"/>
      <c r="G753" s="3"/>
      <c r="H753" s="5"/>
    </row>
    <row r="754" spans="2:8" x14ac:dyDescent="0.2">
      <c r="B754" s="2"/>
      <c r="C754" s="10"/>
      <c r="D754" s="10"/>
      <c r="E754" s="3"/>
      <c r="F754" s="4"/>
      <c r="G754" s="3"/>
      <c r="H754" s="5"/>
    </row>
    <row r="755" spans="2:8" x14ac:dyDescent="0.2">
      <c r="B755" s="2"/>
      <c r="C755" s="10"/>
      <c r="D755" s="10"/>
      <c r="E755" s="3"/>
      <c r="F755" s="4"/>
      <c r="G755" s="3"/>
      <c r="H755" s="5"/>
    </row>
    <row r="756" spans="2:8" x14ac:dyDescent="0.2">
      <c r="B756" s="2"/>
      <c r="C756" s="10"/>
      <c r="D756" s="10"/>
      <c r="E756" s="3"/>
      <c r="F756" s="4"/>
      <c r="G756" s="3"/>
      <c r="H756" s="5"/>
    </row>
    <row r="757" spans="2:8" x14ac:dyDescent="0.2">
      <c r="B757" s="2"/>
      <c r="C757" s="10"/>
      <c r="D757" s="10"/>
      <c r="E757" s="3"/>
      <c r="F757" s="4"/>
      <c r="G757" s="3"/>
      <c r="H757" s="5"/>
    </row>
    <row r="758" spans="2:8" x14ac:dyDescent="0.2">
      <c r="B758" s="2"/>
      <c r="C758" s="10"/>
      <c r="D758" s="10"/>
      <c r="E758" s="3"/>
      <c r="F758" s="4"/>
      <c r="G758" s="3"/>
      <c r="H758" s="5"/>
    </row>
    <row r="759" spans="2:8" x14ac:dyDescent="0.2">
      <c r="B759" s="2"/>
      <c r="C759" s="10"/>
      <c r="D759" s="10"/>
      <c r="E759" s="3"/>
      <c r="F759" s="4"/>
      <c r="G759" s="3"/>
      <c r="H759" s="5"/>
    </row>
    <row r="760" spans="2:8" x14ac:dyDescent="0.2">
      <c r="B760" s="2"/>
      <c r="C760" s="10"/>
      <c r="D760" s="10"/>
      <c r="E760" s="3"/>
      <c r="F760" s="4"/>
      <c r="G760" s="3"/>
      <c r="H760" s="5"/>
    </row>
    <row r="761" spans="2:8" x14ac:dyDescent="0.2">
      <c r="B761" s="2"/>
      <c r="C761" s="10"/>
      <c r="D761" s="10"/>
      <c r="E761" s="3"/>
      <c r="F761" s="4"/>
      <c r="G761" s="3"/>
      <c r="H761" s="5"/>
    </row>
    <row r="762" spans="2:8" x14ac:dyDescent="0.2">
      <c r="B762" s="2"/>
      <c r="C762" s="10"/>
      <c r="D762" s="10"/>
      <c r="E762" s="3"/>
      <c r="F762" s="4"/>
      <c r="G762" s="3"/>
      <c r="H762" s="5"/>
    </row>
    <row r="763" spans="2:8" x14ac:dyDescent="0.2">
      <c r="B763" s="2"/>
      <c r="C763" s="10"/>
      <c r="D763" s="10"/>
      <c r="E763" s="3"/>
      <c r="F763" s="4"/>
      <c r="G763" s="3"/>
      <c r="H763" s="5"/>
    </row>
    <row r="764" spans="2:8" x14ac:dyDescent="0.2">
      <c r="B764" s="2"/>
      <c r="C764" s="10"/>
      <c r="D764" s="10"/>
      <c r="E764" s="3"/>
      <c r="F764" s="4"/>
      <c r="G764" s="3"/>
      <c r="H764" s="5"/>
    </row>
    <row r="765" spans="2:8" x14ac:dyDescent="0.2">
      <c r="B765" s="2"/>
      <c r="C765" s="10"/>
      <c r="D765" s="10"/>
      <c r="E765" s="3"/>
      <c r="F765" s="4"/>
      <c r="G765" s="3"/>
      <c r="H765" s="5"/>
    </row>
    <row r="766" spans="2:8" x14ac:dyDescent="0.2">
      <c r="B766" s="2"/>
      <c r="C766" s="10"/>
      <c r="D766" s="10"/>
      <c r="E766" s="3"/>
      <c r="F766" s="4"/>
      <c r="G766" s="3"/>
      <c r="H766" s="5"/>
    </row>
    <row r="767" spans="2:8" x14ac:dyDescent="0.2">
      <c r="B767" s="2"/>
      <c r="C767" s="10"/>
      <c r="D767" s="10"/>
      <c r="E767" s="3"/>
      <c r="F767" s="4"/>
      <c r="G767" s="3"/>
      <c r="H767" s="5"/>
    </row>
    <row r="768" spans="2:8" x14ac:dyDescent="0.2">
      <c r="B768" s="2"/>
      <c r="C768" s="10"/>
      <c r="D768" s="10"/>
      <c r="E768" s="3"/>
      <c r="F768" s="4"/>
      <c r="G768" s="3"/>
      <c r="H768" s="5"/>
    </row>
    <row r="769" spans="2:8" x14ac:dyDescent="0.2">
      <c r="B769" s="2"/>
      <c r="C769" s="10"/>
      <c r="D769" s="10"/>
      <c r="E769" s="3"/>
      <c r="F769" s="4"/>
      <c r="G769" s="3"/>
      <c r="H769" s="5"/>
    </row>
    <row r="770" spans="2:8" x14ac:dyDescent="0.2">
      <c r="B770" s="2"/>
      <c r="C770" s="10"/>
      <c r="D770" s="10"/>
      <c r="E770" s="3"/>
      <c r="F770" s="4"/>
      <c r="G770" s="3"/>
      <c r="H770" s="5"/>
    </row>
    <row r="771" spans="2:8" x14ac:dyDescent="0.2">
      <c r="B771" s="2"/>
      <c r="C771" s="10"/>
      <c r="D771" s="10"/>
      <c r="E771" s="3"/>
      <c r="F771" s="4"/>
      <c r="G771" s="3"/>
      <c r="H771" s="5"/>
    </row>
    <row r="772" spans="2:8" x14ac:dyDescent="0.2">
      <c r="B772" s="2"/>
      <c r="C772" s="10"/>
      <c r="D772" s="10"/>
      <c r="E772" s="3"/>
      <c r="F772" s="4"/>
      <c r="G772" s="3"/>
      <c r="H772" s="5"/>
    </row>
    <row r="773" spans="2:8" x14ac:dyDescent="0.2">
      <c r="B773" s="2"/>
      <c r="C773" s="10"/>
      <c r="D773" s="10"/>
      <c r="E773" s="3"/>
      <c r="F773" s="4"/>
      <c r="G773" s="3"/>
      <c r="H773" s="5"/>
    </row>
    <row r="774" spans="2:8" x14ac:dyDescent="0.2">
      <c r="B774" s="2"/>
      <c r="C774" s="10"/>
      <c r="D774" s="10"/>
      <c r="E774" s="3"/>
      <c r="F774" s="4"/>
      <c r="G774" s="3"/>
      <c r="H774" s="5"/>
    </row>
    <row r="775" spans="2:8" x14ac:dyDescent="0.2">
      <c r="B775" s="2"/>
      <c r="C775" s="10"/>
      <c r="D775" s="10"/>
      <c r="E775" s="3"/>
      <c r="F775" s="4"/>
      <c r="G775" s="3"/>
      <c r="H775" s="5"/>
    </row>
    <row r="776" spans="2:8" x14ac:dyDescent="0.2">
      <c r="B776" s="2"/>
      <c r="C776" s="10"/>
      <c r="D776" s="10"/>
      <c r="E776" s="3"/>
      <c r="F776" s="4"/>
      <c r="G776" s="3"/>
      <c r="H776" s="5"/>
    </row>
    <row r="777" spans="2:8" x14ac:dyDescent="0.2">
      <c r="B777" s="2"/>
      <c r="C777" s="10"/>
      <c r="D777" s="10"/>
      <c r="E777" s="3"/>
      <c r="F777" s="4"/>
      <c r="G777" s="3"/>
      <c r="H777" s="5"/>
    </row>
    <row r="778" spans="2:8" x14ac:dyDescent="0.2">
      <c r="B778" s="2"/>
      <c r="C778" s="10"/>
      <c r="D778" s="10"/>
      <c r="E778" s="3"/>
      <c r="F778" s="4"/>
      <c r="G778" s="3"/>
      <c r="H778" s="5"/>
    </row>
    <row r="779" spans="2:8" x14ac:dyDescent="0.2">
      <c r="B779" s="2"/>
      <c r="C779" s="10"/>
      <c r="D779" s="10"/>
      <c r="E779" s="3"/>
      <c r="F779" s="4"/>
      <c r="G779" s="3"/>
      <c r="H779" s="5"/>
    </row>
    <row r="780" spans="2:8" x14ac:dyDescent="0.2">
      <c r="B780" s="2"/>
      <c r="C780" s="10"/>
      <c r="D780" s="10"/>
      <c r="E780" s="3"/>
      <c r="F780" s="4"/>
      <c r="G780" s="3"/>
      <c r="H780" s="5"/>
    </row>
    <row r="781" spans="2:8" x14ac:dyDescent="0.2">
      <c r="B781" s="2"/>
      <c r="C781" s="10"/>
      <c r="D781" s="10"/>
      <c r="E781" s="3"/>
      <c r="F781" s="4"/>
      <c r="G781" s="3"/>
      <c r="H781" s="5"/>
    </row>
    <row r="782" spans="2:8" x14ac:dyDescent="0.2">
      <c r="B782" s="2"/>
      <c r="C782" s="10"/>
      <c r="D782" s="10"/>
      <c r="E782" s="3"/>
      <c r="F782" s="4"/>
      <c r="G782" s="3"/>
      <c r="H782" s="5"/>
    </row>
    <row r="783" spans="2:8" x14ac:dyDescent="0.2">
      <c r="B783" s="2"/>
      <c r="C783" s="10"/>
      <c r="D783" s="10"/>
      <c r="E783" s="3"/>
      <c r="F783" s="4"/>
      <c r="G783" s="3"/>
      <c r="H783" s="5"/>
    </row>
    <row r="784" spans="2:8" x14ac:dyDescent="0.2">
      <c r="B784" s="2"/>
      <c r="C784" s="10"/>
      <c r="D784" s="10"/>
      <c r="E784" s="3"/>
      <c r="F784" s="4"/>
      <c r="G784" s="3"/>
      <c r="H784" s="5"/>
    </row>
    <row r="785" spans="2:8" x14ac:dyDescent="0.2">
      <c r="B785" s="2"/>
      <c r="C785" s="10"/>
      <c r="D785" s="10"/>
      <c r="E785" s="3"/>
      <c r="F785" s="4"/>
      <c r="G785" s="3"/>
      <c r="H785" s="5"/>
    </row>
    <row r="786" spans="2:8" x14ac:dyDescent="0.2">
      <c r="B786" s="2"/>
      <c r="C786" s="10"/>
      <c r="D786" s="10"/>
      <c r="E786" s="3"/>
      <c r="F786" s="4"/>
      <c r="G786" s="3"/>
      <c r="H786" s="5"/>
    </row>
    <row r="787" spans="2:8" x14ac:dyDescent="0.2">
      <c r="B787" s="2"/>
      <c r="C787" s="10"/>
      <c r="D787" s="10"/>
      <c r="E787" s="3"/>
      <c r="F787" s="4"/>
      <c r="G787" s="3"/>
      <c r="H787" s="5"/>
    </row>
    <row r="788" spans="2:8" x14ac:dyDescent="0.2">
      <c r="B788" s="2"/>
      <c r="C788" s="10"/>
      <c r="D788" s="10"/>
      <c r="E788" s="3"/>
      <c r="F788" s="4"/>
      <c r="G788" s="3"/>
      <c r="H788" s="5"/>
    </row>
    <row r="789" spans="2:8" x14ac:dyDescent="0.2">
      <c r="B789" s="2"/>
      <c r="C789" s="10"/>
      <c r="D789" s="10"/>
      <c r="E789" s="3"/>
      <c r="F789" s="4"/>
      <c r="G789" s="3"/>
      <c r="H789" s="5"/>
    </row>
    <row r="790" spans="2:8" x14ac:dyDescent="0.2">
      <c r="B790" s="2"/>
      <c r="C790" s="10"/>
      <c r="D790" s="10"/>
      <c r="E790" s="3"/>
      <c r="F790" s="4"/>
      <c r="G790" s="3"/>
      <c r="H790" s="5"/>
    </row>
    <row r="791" spans="2:8" x14ac:dyDescent="0.2">
      <c r="B791" s="2"/>
      <c r="C791" s="10"/>
      <c r="D791" s="10"/>
      <c r="E791" s="3"/>
      <c r="F791" s="4"/>
      <c r="G791" s="3"/>
      <c r="H791" s="5"/>
    </row>
    <row r="792" spans="2:8" x14ac:dyDescent="0.2">
      <c r="B792" s="2"/>
      <c r="C792" s="10"/>
      <c r="D792" s="10"/>
      <c r="E792" s="3"/>
      <c r="F792" s="4"/>
      <c r="G792" s="3"/>
      <c r="H792" s="5"/>
    </row>
    <row r="793" spans="2:8" x14ac:dyDescent="0.2">
      <c r="B793" s="2"/>
      <c r="C793" s="10"/>
      <c r="D793" s="10"/>
      <c r="E793" s="3"/>
      <c r="F793" s="4"/>
      <c r="G793" s="3"/>
      <c r="H793" s="5"/>
    </row>
    <row r="794" spans="2:8" x14ac:dyDescent="0.2">
      <c r="B794" s="2"/>
      <c r="C794" s="10"/>
      <c r="D794" s="10"/>
      <c r="E794" s="3"/>
      <c r="F794" s="4"/>
      <c r="G794" s="3"/>
      <c r="H794" s="5"/>
    </row>
    <row r="795" spans="2:8" x14ac:dyDescent="0.2">
      <c r="B795" s="2"/>
      <c r="C795" s="10"/>
      <c r="D795" s="10"/>
      <c r="E795" s="3"/>
      <c r="F795" s="4"/>
      <c r="G795" s="3"/>
      <c r="H795" s="5"/>
    </row>
    <row r="796" spans="2:8" x14ac:dyDescent="0.2">
      <c r="B796" s="2"/>
      <c r="C796" s="10"/>
      <c r="D796" s="10"/>
      <c r="E796" s="3"/>
      <c r="F796" s="4"/>
      <c r="G796" s="3"/>
      <c r="H796" s="5"/>
    </row>
    <row r="797" spans="2:8" x14ac:dyDescent="0.2">
      <c r="B797" s="2"/>
      <c r="C797" s="10"/>
      <c r="D797" s="10"/>
      <c r="E797" s="3"/>
      <c r="F797" s="4"/>
      <c r="G797" s="3"/>
      <c r="H797" s="5"/>
    </row>
    <row r="798" spans="2:8" x14ac:dyDescent="0.2">
      <c r="B798" s="2"/>
      <c r="C798" s="10"/>
      <c r="D798" s="10"/>
      <c r="E798" s="3"/>
      <c r="F798" s="4"/>
      <c r="G798" s="3"/>
      <c r="H798" s="5"/>
    </row>
    <row r="799" spans="2:8" x14ac:dyDescent="0.2">
      <c r="B799" s="2"/>
      <c r="C799" s="10"/>
      <c r="D799" s="10"/>
      <c r="E799" s="3"/>
      <c r="F799" s="4"/>
      <c r="G799" s="3"/>
      <c r="H799" s="5"/>
    </row>
    <row r="800" spans="2:8" x14ac:dyDescent="0.2">
      <c r="B800" s="2"/>
      <c r="C800" s="10"/>
      <c r="D800" s="10"/>
      <c r="E800" s="3"/>
      <c r="F800" s="4"/>
      <c r="G800" s="3"/>
      <c r="H800" s="5"/>
    </row>
    <row r="801" spans="2:8" x14ac:dyDescent="0.2">
      <c r="B801" s="2"/>
      <c r="C801" s="10"/>
      <c r="D801" s="10"/>
      <c r="E801" s="3"/>
      <c r="F801" s="4"/>
      <c r="G801" s="3"/>
      <c r="H801" s="5"/>
    </row>
    <row r="802" spans="2:8" x14ac:dyDescent="0.2">
      <c r="B802" s="2"/>
      <c r="C802" s="10"/>
      <c r="D802" s="10"/>
      <c r="E802" s="3"/>
      <c r="F802" s="4"/>
      <c r="G802" s="3"/>
      <c r="H802" s="5"/>
    </row>
    <row r="803" spans="2:8" x14ac:dyDescent="0.2">
      <c r="B803" s="2"/>
      <c r="C803" s="10"/>
      <c r="D803" s="10"/>
      <c r="E803" s="3"/>
      <c r="F803" s="4"/>
      <c r="G803" s="3"/>
      <c r="H803" s="5"/>
    </row>
    <row r="804" spans="2:8" x14ac:dyDescent="0.2">
      <c r="B804" s="2"/>
      <c r="C804" s="10"/>
      <c r="D804" s="10"/>
      <c r="E804" s="3"/>
      <c r="F804" s="4"/>
      <c r="G804" s="3"/>
      <c r="H804" s="5"/>
    </row>
    <row r="805" spans="2:8" x14ac:dyDescent="0.2">
      <c r="B805" s="2"/>
      <c r="C805" s="10"/>
      <c r="D805" s="10"/>
      <c r="E805" s="3"/>
      <c r="F805" s="4"/>
      <c r="G805" s="3"/>
      <c r="H805" s="5"/>
    </row>
    <row r="806" spans="2:8" x14ac:dyDescent="0.2">
      <c r="B806" s="2"/>
      <c r="C806" s="10"/>
      <c r="D806" s="10"/>
      <c r="E806" s="3"/>
      <c r="F806" s="4"/>
      <c r="G806" s="3"/>
      <c r="H806" s="5"/>
    </row>
    <row r="807" spans="2:8" x14ac:dyDescent="0.2">
      <c r="B807" s="2"/>
      <c r="C807" s="10"/>
      <c r="D807" s="10"/>
      <c r="E807" s="3"/>
      <c r="F807" s="4"/>
      <c r="G807" s="3"/>
      <c r="H807" s="5"/>
    </row>
    <row r="808" spans="2:8" x14ac:dyDescent="0.2">
      <c r="B808" s="2"/>
      <c r="C808" s="10"/>
      <c r="D808" s="10"/>
      <c r="E808" s="3"/>
      <c r="F808" s="4"/>
      <c r="G808" s="3"/>
      <c r="H808" s="5"/>
    </row>
    <row r="809" spans="2:8" x14ac:dyDescent="0.2">
      <c r="B809" s="2"/>
      <c r="C809" s="10"/>
      <c r="D809" s="10"/>
      <c r="E809" s="3"/>
      <c r="F809" s="4"/>
      <c r="G809" s="3"/>
      <c r="H809" s="5"/>
    </row>
    <row r="810" spans="2:8" x14ac:dyDescent="0.2">
      <c r="B810" s="2"/>
      <c r="C810" s="10"/>
      <c r="D810" s="10"/>
      <c r="E810" s="3"/>
      <c r="F810" s="4"/>
      <c r="G810" s="3"/>
      <c r="H810" s="5"/>
    </row>
    <row r="811" spans="2:8" x14ac:dyDescent="0.2">
      <c r="B811" s="2"/>
      <c r="C811" s="10"/>
      <c r="D811" s="10"/>
      <c r="E811" s="3"/>
      <c r="F811" s="4"/>
      <c r="G811" s="3"/>
      <c r="H811" s="5"/>
    </row>
    <row r="812" spans="2:8" x14ac:dyDescent="0.2">
      <c r="B812" s="2"/>
      <c r="C812" s="10"/>
      <c r="D812" s="10"/>
      <c r="E812" s="3"/>
      <c r="F812" s="4"/>
      <c r="G812" s="3"/>
      <c r="H812" s="5"/>
    </row>
    <row r="813" spans="2:8" x14ac:dyDescent="0.2">
      <c r="B813" s="2"/>
      <c r="C813" s="10"/>
      <c r="D813" s="10"/>
      <c r="E813" s="3"/>
      <c r="F813" s="4"/>
      <c r="G813" s="3"/>
      <c r="H813" s="5"/>
    </row>
    <row r="814" spans="2:8" x14ac:dyDescent="0.2">
      <c r="B814" s="2"/>
      <c r="C814" s="10"/>
      <c r="D814" s="10"/>
      <c r="E814" s="3"/>
      <c r="F814" s="4"/>
      <c r="G814" s="3"/>
      <c r="H814" s="5"/>
    </row>
    <row r="815" spans="2:8" x14ac:dyDescent="0.2">
      <c r="B815" s="2"/>
      <c r="C815" s="10"/>
      <c r="D815" s="10"/>
      <c r="E815" s="3"/>
      <c r="F815" s="4"/>
      <c r="G815" s="3"/>
      <c r="H815" s="5"/>
    </row>
    <row r="816" spans="2:8" x14ac:dyDescent="0.2">
      <c r="B816" s="2"/>
      <c r="C816" s="10"/>
      <c r="D816" s="10"/>
      <c r="E816" s="3"/>
      <c r="F816" s="4"/>
      <c r="G816" s="3"/>
      <c r="H816" s="5"/>
    </row>
    <row r="817" spans="2:8" x14ac:dyDescent="0.2">
      <c r="B817" s="2"/>
      <c r="C817" s="10"/>
      <c r="D817" s="10"/>
      <c r="E817" s="3"/>
      <c r="F817" s="4"/>
      <c r="G817" s="3"/>
      <c r="H817" s="5"/>
    </row>
    <row r="818" spans="2:8" x14ac:dyDescent="0.2">
      <c r="B818" s="2"/>
      <c r="C818" s="10"/>
      <c r="D818" s="10"/>
      <c r="E818" s="3"/>
      <c r="F818" s="4"/>
      <c r="G818" s="3"/>
      <c r="H818" s="5"/>
    </row>
    <row r="819" spans="2:8" x14ac:dyDescent="0.2">
      <c r="B819" s="2"/>
      <c r="C819" s="10"/>
      <c r="D819" s="10"/>
      <c r="E819" s="3"/>
      <c r="F819" s="4"/>
      <c r="G819" s="3"/>
      <c r="H819" s="5"/>
    </row>
    <row r="820" spans="2:8" x14ac:dyDescent="0.2">
      <c r="B820" s="2"/>
      <c r="C820" s="10"/>
      <c r="D820" s="10"/>
      <c r="E820" s="3"/>
      <c r="F820" s="4"/>
      <c r="G820" s="3"/>
      <c r="H820" s="5"/>
    </row>
    <row r="821" spans="2:8" x14ac:dyDescent="0.2">
      <c r="B821" s="2"/>
      <c r="C821" s="10"/>
      <c r="D821" s="10"/>
      <c r="E821" s="3"/>
      <c r="F821" s="4"/>
      <c r="G821" s="3"/>
      <c r="H821" s="5"/>
    </row>
    <row r="822" spans="2:8" x14ac:dyDescent="0.2">
      <c r="B822" s="2"/>
      <c r="C822" s="10"/>
      <c r="D822" s="10"/>
      <c r="E822" s="3"/>
      <c r="F822" s="4"/>
      <c r="G822" s="3"/>
      <c r="H822" s="5"/>
    </row>
    <row r="823" spans="2:8" x14ac:dyDescent="0.2">
      <c r="B823" s="2"/>
      <c r="C823" s="10"/>
      <c r="D823" s="10"/>
      <c r="E823" s="3"/>
      <c r="F823" s="4"/>
      <c r="G823" s="3"/>
      <c r="H823" s="5"/>
    </row>
    <row r="824" spans="2:8" x14ac:dyDescent="0.2">
      <c r="B824" s="2"/>
      <c r="C824" s="10"/>
      <c r="D824" s="10"/>
      <c r="E824" s="3"/>
      <c r="F824" s="4"/>
      <c r="G824" s="3"/>
      <c r="H824" s="5"/>
    </row>
    <row r="825" spans="2:8" x14ac:dyDescent="0.2">
      <c r="B825" s="2"/>
      <c r="C825" s="10"/>
      <c r="D825" s="10"/>
      <c r="E825" s="3"/>
      <c r="F825" s="4"/>
      <c r="G825" s="3"/>
      <c r="H825" s="5"/>
    </row>
    <row r="826" spans="2:8" x14ac:dyDescent="0.2">
      <c r="B826" s="2"/>
      <c r="C826" s="10"/>
      <c r="D826" s="10"/>
      <c r="E826" s="3"/>
      <c r="F826" s="4"/>
      <c r="G826" s="3"/>
      <c r="H826" s="5"/>
    </row>
    <row r="827" spans="2:8" x14ac:dyDescent="0.2">
      <c r="B827" s="2"/>
      <c r="C827" s="10"/>
      <c r="D827" s="10"/>
      <c r="E827" s="3"/>
      <c r="F827" s="4"/>
      <c r="G827" s="3"/>
      <c r="H827" s="5"/>
    </row>
    <row r="828" spans="2:8" x14ac:dyDescent="0.2">
      <c r="B828" s="2"/>
      <c r="C828" s="10"/>
      <c r="D828" s="10"/>
      <c r="E828" s="3"/>
      <c r="F828" s="4"/>
      <c r="G828" s="3"/>
      <c r="H828" s="5"/>
    </row>
    <row r="829" spans="2:8" x14ac:dyDescent="0.2">
      <c r="B829" s="2"/>
      <c r="C829" s="10"/>
      <c r="D829" s="10"/>
      <c r="E829" s="3"/>
      <c r="F829" s="4"/>
      <c r="G829" s="3"/>
      <c r="H829" s="5"/>
    </row>
    <row r="830" spans="2:8" x14ac:dyDescent="0.2">
      <c r="B830" s="2"/>
      <c r="C830" s="10"/>
      <c r="D830" s="10"/>
      <c r="E830" s="3"/>
      <c r="F830" s="4"/>
      <c r="G830" s="3"/>
      <c r="H830" s="5"/>
    </row>
    <row r="831" spans="2:8" x14ac:dyDescent="0.2">
      <c r="B831" s="2"/>
      <c r="C831" s="10"/>
      <c r="D831" s="10"/>
      <c r="E831" s="3"/>
      <c r="F831" s="4"/>
      <c r="G831" s="3"/>
      <c r="H831" s="5"/>
    </row>
    <row r="832" spans="2:8" x14ac:dyDescent="0.2">
      <c r="B832" s="2"/>
      <c r="C832" s="10"/>
      <c r="D832" s="10"/>
      <c r="E832" s="3"/>
      <c r="F832" s="4"/>
      <c r="G832" s="3"/>
      <c r="H832" s="5"/>
    </row>
    <row r="833" spans="2:8" x14ac:dyDescent="0.2">
      <c r="B833" s="2"/>
      <c r="C833" s="10"/>
      <c r="D833" s="10"/>
      <c r="E833" s="3"/>
      <c r="F833" s="4"/>
      <c r="G833" s="3"/>
      <c r="H833" s="5"/>
    </row>
    <row r="834" spans="2:8" x14ac:dyDescent="0.2">
      <c r="B834" s="2"/>
      <c r="C834" s="10"/>
      <c r="D834" s="10"/>
      <c r="E834" s="3"/>
      <c r="F834" s="4"/>
      <c r="G834" s="3"/>
      <c r="H834" s="5"/>
    </row>
    <row r="835" spans="2:8" x14ac:dyDescent="0.2">
      <c r="B835" s="2"/>
      <c r="C835" s="10"/>
      <c r="D835" s="10"/>
      <c r="E835" s="3"/>
      <c r="F835" s="4"/>
      <c r="G835" s="3"/>
      <c r="H835" s="5"/>
    </row>
    <row r="836" spans="2:8" x14ac:dyDescent="0.2">
      <c r="B836" s="2"/>
      <c r="C836" s="10"/>
      <c r="D836" s="10"/>
      <c r="E836" s="3"/>
      <c r="F836" s="4"/>
      <c r="G836" s="3"/>
      <c r="H836" s="5"/>
    </row>
    <row r="837" spans="2:8" x14ac:dyDescent="0.2">
      <c r="B837" s="2"/>
      <c r="C837" s="10"/>
      <c r="D837" s="10"/>
      <c r="E837" s="3"/>
      <c r="F837" s="4"/>
      <c r="G837" s="3"/>
      <c r="H837" s="5"/>
    </row>
    <row r="838" spans="2:8" x14ac:dyDescent="0.2">
      <c r="B838" s="2"/>
      <c r="C838" s="10"/>
      <c r="D838" s="10"/>
      <c r="E838" s="3"/>
      <c r="F838" s="4"/>
      <c r="G838" s="3"/>
      <c r="H838" s="5"/>
    </row>
    <row r="839" spans="2:8" x14ac:dyDescent="0.2">
      <c r="B839" s="2"/>
      <c r="C839" s="10"/>
      <c r="D839" s="10"/>
      <c r="E839" s="3"/>
      <c r="F839" s="4"/>
      <c r="G839" s="3"/>
      <c r="H839" s="5"/>
    </row>
    <row r="840" spans="2:8" x14ac:dyDescent="0.2">
      <c r="B840" s="2"/>
      <c r="C840" s="10"/>
      <c r="D840" s="10"/>
      <c r="E840" s="3"/>
      <c r="F840" s="4"/>
      <c r="G840" s="3"/>
      <c r="H840" s="5"/>
    </row>
    <row r="841" spans="2:8" x14ac:dyDescent="0.2">
      <c r="B841" s="2"/>
      <c r="C841" s="10"/>
      <c r="D841" s="10"/>
      <c r="E841" s="3"/>
      <c r="F841" s="4"/>
      <c r="G841" s="3"/>
      <c r="H841" s="5"/>
    </row>
    <row r="842" spans="2:8" x14ac:dyDescent="0.2">
      <c r="B842" s="2"/>
      <c r="C842" s="10"/>
      <c r="D842" s="10"/>
      <c r="E842" s="3"/>
      <c r="F842" s="4"/>
      <c r="G842" s="3"/>
      <c r="H842" s="5"/>
    </row>
    <row r="843" spans="2:8" x14ac:dyDescent="0.2">
      <c r="B843" s="2"/>
      <c r="C843" s="10"/>
      <c r="D843" s="10"/>
      <c r="E843" s="3"/>
      <c r="F843" s="4"/>
      <c r="G843" s="3"/>
      <c r="H843" s="5"/>
    </row>
    <row r="844" spans="2:8" x14ac:dyDescent="0.2">
      <c r="B844" s="2"/>
      <c r="C844" s="10"/>
      <c r="D844" s="10"/>
      <c r="E844" s="3"/>
      <c r="F844" s="4"/>
      <c r="G844" s="3"/>
      <c r="H844" s="5"/>
    </row>
    <row r="845" spans="2:8" x14ac:dyDescent="0.2">
      <c r="B845" s="2"/>
      <c r="C845" s="10"/>
      <c r="D845" s="10"/>
      <c r="E845" s="3"/>
      <c r="F845" s="4"/>
      <c r="G845" s="3"/>
      <c r="H845" s="5"/>
    </row>
    <row r="846" spans="2:8" x14ac:dyDescent="0.2">
      <c r="B846" s="2"/>
      <c r="C846" s="10"/>
      <c r="D846" s="10"/>
      <c r="E846" s="3"/>
      <c r="F846" s="4"/>
      <c r="G846" s="3"/>
      <c r="H846" s="5"/>
    </row>
    <row r="847" spans="2:8" x14ac:dyDescent="0.2">
      <c r="B847" s="2"/>
      <c r="C847" s="10"/>
      <c r="D847" s="10"/>
      <c r="E847" s="3"/>
      <c r="F847" s="4"/>
      <c r="G847" s="3"/>
      <c r="H847" s="5"/>
    </row>
    <row r="848" spans="2:8" x14ac:dyDescent="0.2">
      <c r="B848" s="2"/>
      <c r="C848" s="10"/>
      <c r="D848" s="10"/>
      <c r="E848" s="3"/>
      <c r="F848" s="4"/>
      <c r="G848" s="3"/>
      <c r="H848" s="5"/>
    </row>
    <row r="849" spans="2:8" x14ac:dyDescent="0.2">
      <c r="B849" s="2"/>
      <c r="C849" s="10"/>
      <c r="D849" s="10"/>
      <c r="E849" s="3"/>
      <c r="F849" s="4"/>
      <c r="G849" s="3"/>
      <c r="H849" s="5"/>
    </row>
    <row r="850" spans="2:8" x14ac:dyDescent="0.2">
      <c r="B850" s="2"/>
      <c r="C850" s="10"/>
      <c r="D850" s="10"/>
      <c r="E850" s="3"/>
      <c r="F850" s="4"/>
      <c r="G850" s="3"/>
      <c r="H850" s="5"/>
    </row>
    <row r="851" spans="2:8" x14ac:dyDescent="0.2">
      <c r="B851" s="2"/>
      <c r="C851" s="10"/>
      <c r="D851" s="10"/>
      <c r="E851" s="3"/>
      <c r="F851" s="4"/>
      <c r="G851" s="3"/>
      <c r="H851" s="5"/>
    </row>
    <row r="852" spans="2:8" x14ac:dyDescent="0.2">
      <c r="B852" s="2"/>
      <c r="C852" s="10"/>
      <c r="D852" s="10"/>
      <c r="E852" s="3"/>
      <c r="F852" s="4"/>
      <c r="G852" s="3"/>
      <c r="H852" s="5"/>
    </row>
    <row r="853" spans="2:8" x14ac:dyDescent="0.2">
      <c r="B853" s="2"/>
      <c r="C853" s="10"/>
      <c r="D853" s="10"/>
      <c r="E853" s="3"/>
      <c r="F853" s="4"/>
      <c r="G853" s="3"/>
      <c r="H853" s="5"/>
    </row>
    <row r="854" spans="2:8" x14ac:dyDescent="0.2">
      <c r="B854" s="2"/>
      <c r="C854" s="10"/>
      <c r="D854" s="10"/>
      <c r="E854" s="3"/>
      <c r="F854" s="4"/>
      <c r="G854" s="3"/>
      <c r="H854" s="5"/>
    </row>
    <row r="855" spans="2:8" x14ac:dyDescent="0.2">
      <c r="B855" s="2"/>
      <c r="C855" s="10"/>
      <c r="D855" s="10"/>
      <c r="E855" s="3"/>
      <c r="F855" s="4"/>
      <c r="G855" s="3"/>
      <c r="H855" s="5"/>
    </row>
    <row r="856" spans="2:8" x14ac:dyDescent="0.2">
      <c r="B856" s="2"/>
      <c r="C856" s="10"/>
      <c r="D856" s="10"/>
      <c r="E856" s="3"/>
      <c r="F856" s="4"/>
      <c r="G856" s="3"/>
      <c r="H856" s="5"/>
    </row>
    <row r="857" spans="2:8" x14ac:dyDescent="0.2">
      <c r="B857" s="2"/>
      <c r="C857" s="10"/>
      <c r="D857" s="10"/>
      <c r="E857" s="3"/>
      <c r="F857" s="4"/>
      <c r="G857" s="3"/>
      <c r="H857" s="5"/>
    </row>
    <row r="858" spans="2:8" x14ac:dyDescent="0.2">
      <c r="B858" s="2"/>
      <c r="C858" s="10"/>
      <c r="D858" s="10"/>
      <c r="E858" s="3"/>
      <c r="F858" s="4"/>
      <c r="G858" s="3"/>
      <c r="H858" s="5"/>
    </row>
    <row r="859" spans="2:8" x14ac:dyDescent="0.2">
      <c r="B859" s="2"/>
      <c r="C859" s="10"/>
      <c r="D859" s="10"/>
      <c r="E859" s="3"/>
      <c r="F859" s="4"/>
      <c r="G859" s="3"/>
      <c r="H859" s="5"/>
    </row>
    <row r="860" spans="2:8" x14ac:dyDescent="0.2">
      <c r="B860" s="2"/>
      <c r="C860" s="10"/>
      <c r="D860" s="10"/>
      <c r="E860" s="3"/>
      <c r="F860" s="4"/>
      <c r="G860" s="3"/>
      <c r="H860" s="5"/>
    </row>
    <row r="861" spans="2:8" x14ac:dyDescent="0.2">
      <c r="B861" s="2"/>
      <c r="C861" s="10"/>
      <c r="D861" s="10"/>
      <c r="E861" s="3"/>
      <c r="F861" s="4"/>
      <c r="G861" s="3"/>
      <c r="H861" s="5"/>
    </row>
    <row r="862" spans="2:8" x14ac:dyDescent="0.2">
      <c r="B862" s="2"/>
      <c r="C862" s="10"/>
      <c r="D862" s="10"/>
      <c r="E862" s="3"/>
      <c r="F862" s="4"/>
      <c r="G862" s="3"/>
      <c r="H862" s="5"/>
    </row>
    <row r="863" spans="2:8" x14ac:dyDescent="0.2">
      <c r="B863" s="2"/>
      <c r="C863" s="10"/>
      <c r="D863" s="10"/>
      <c r="E863" s="3"/>
      <c r="F863" s="4"/>
      <c r="G863" s="3"/>
      <c r="H863" s="5"/>
    </row>
    <row r="864" spans="2:8" x14ac:dyDescent="0.2">
      <c r="B864" s="2"/>
      <c r="C864" s="10"/>
      <c r="D864" s="10"/>
      <c r="E864" s="3"/>
      <c r="F864" s="4"/>
      <c r="G864" s="3"/>
      <c r="H864" s="5"/>
    </row>
    <row r="865" spans="2:8" x14ac:dyDescent="0.2">
      <c r="B865" s="2"/>
      <c r="C865" s="10"/>
      <c r="D865" s="10"/>
      <c r="E865" s="3"/>
      <c r="F865" s="4"/>
      <c r="G865" s="3"/>
      <c r="H865" s="5"/>
    </row>
    <row r="866" spans="2:8" x14ac:dyDescent="0.2">
      <c r="B866" s="2"/>
      <c r="C866" s="10"/>
      <c r="D866" s="10"/>
      <c r="E866" s="3"/>
      <c r="F866" s="4"/>
      <c r="G866" s="3"/>
      <c r="H866" s="5"/>
    </row>
    <row r="867" spans="2:8" x14ac:dyDescent="0.2">
      <c r="B867" s="2"/>
      <c r="C867" s="10"/>
      <c r="D867" s="10"/>
      <c r="E867" s="3"/>
      <c r="F867" s="4"/>
      <c r="G867" s="3"/>
      <c r="H867" s="5"/>
    </row>
    <row r="868" spans="2:8" x14ac:dyDescent="0.2">
      <c r="B868" s="2"/>
      <c r="C868" s="10"/>
      <c r="D868" s="10"/>
      <c r="E868" s="3"/>
      <c r="F868" s="4"/>
      <c r="G868" s="3"/>
      <c r="H868" s="5"/>
    </row>
    <row r="869" spans="2:8" x14ac:dyDescent="0.2">
      <c r="B869" s="2"/>
      <c r="C869" s="10"/>
      <c r="D869" s="10"/>
      <c r="E869" s="3"/>
      <c r="F869" s="4"/>
      <c r="G869" s="3"/>
      <c r="H869" s="5"/>
    </row>
    <row r="870" spans="2:8" x14ac:dyDescent="0.2">
      <c r="B870" s="2"/>
      <c r="C870" s="10"/>
      <c r="D870" s="10"/>
      <c r="E870" s="3"/>
      <c r="F870" s="4"/>
      <c r="G870" s="3"/>
      <c r="H870" s="5"/>
    </row>
    <row r="871" spans="2:8" x14ac:dyDescent="0.2">
      <c r="B871" s="2"/>
      <c r="C871" s="10"/>
      <c r="D871" s="10"/>
      <c r="E871" s="3"/>
      <c r="F871" s="4"/>
      <c r="G871" s="3"/>
      <c r="H871" s="5"/>
    </row>
    <row r="872" spans="2:8" x14ac:dyDescent="0.2">
      <c r="B872" s="2"/>
      <c r="C872" s="10"/>
      <c r="D872" s="10"/>
      <c r="E872" s="3"/>
      <c r="F872" s="4"/>
      <c r="G872" s="3"/>
      <c r="H872" s="5"/>
    </row>
    <row r="873" spans="2:8" x14ac:dyDescent="0.2">
      <c r="B873" s="2"/>
      <c r="C873" s="10"/>
      <c r="D873" s="10"/>
      <c r="E873" s="3"/>
      <c r="F873" s="4"/>
      <c r="G873" s="3"/>
      <c r="H873" s="5"/>
    </row>
    <row r="874" spans="2:8" x14ac:dyDescent="0.2">
      <c r="B874" s="2"/>
      <c r="C874" s="10"/>
      <c r="D874" s="10"/>
      <c r="E874" s="3"/>
      <c r="F874" s="4"/>
      <c r="G874" s="3"/>
      <c r="H874" s="5"/>
    </row>
  </sheetData>
  <mergeCells count="18">
    <mergeCell ref="J166:K166"/>
    <mergeCell ref="A1:I1"/>
    <mergeCell ref="A3:C3"/>
    <mergeCell ref="A4:C4"/>
    <mergeCell ref="A5:C5"/>
    <mergeCell ref="A6:C6"/>
    <mergeCell ref="H10:H11"/>
    <mergeCell ref="I10:I11"/>
    <mergeCell ref="J10:J11"/>
    <mergeCell ref="K10:K11"/>
    <mergeCell ref="A258:E258"/>
    <mergeCell ref="F258:G258"/>
    <mergeCell ref="A7:C7"/>
    <mergeCell ref="A8:C8"/>
    <mergeCell ref="A10:A11"/>
    <mergeCell ref="B10:B11"/>
    <mergeCell ref="C10:G11"/>
    <mergeCell ref="A166:I166"/>
  </mergeCells>
  <conditionalFormatting sqref="C258:C1048576 C1:C4 C7:C10">
    <cfRule type="duplicateValues" dxfId="0" priority="1"/>
  </conditionalFormatting>
  <printOptions horizontalCentered="1"/>
  <pageMargins left="0.25" right="0.25" top="0.75" bottom="0.75" header="0.3" footer="0.3"/>
  <pageSetup paperSize="5" scale="9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R32"/>
  <sheetViews>
    <sheetView workbookViewId="0">
      <selection activeCell="A24" sqref="A24:Q24"/>
    </sheetView>
  </sheetViews>
  <sheetFormatPr baseColWidth="10" defaultColWidth="11" defaultRowHeight="12.75" x14ac:dyDescent="0.2"/>
  <cols>
    <col min="1" max="5" width="4.42578125" style="25" customWidth="1"/>
    <col min="6" max="6" width="5.5703125" style="25" customWidth="1"/>
    <col min="7" max="7" width="4.42578125" style="26" customWidth="1"/>
    <col min="8" max="14" width="4.42578125" style="25" customWidth="1"/>
    <col min="15" max="16" width="14.85546875" style="25" customWidth="1"/>
    <col min="17" max="17" width="14.7109375" style="25" customWidth="1"/>
    <col min="18" max="16384" width="11" style="25"/>
  </cols>
  <sheetData>
    <row r="1" spans="1:17" ht="15.75" customHeight="1" thickBot="1" x14ac:dyDescent="0.3">
      <c r="A1" s="298" t="s">
        <v>68</v>
      </c>
      <c r="B1" s="298"/>
      <c r="C1" s="298"/>
      <c r="D1" s="299">
        <v>2021</v>
      </c>
      <c r="E1" s="299"/>
      <c r="F1" s="23"/>
      <c r="G1" s="23"/>
      <c r="H1" s="24"/>
      <c r="I1" s="24"/>
      <c r="J1" s="24"/>
      <c r="K1" s="24"/>
      <c r="L1" s="24"/>
      <c r="M1" s="24"/>
      <c r="N1" s="24"/>
      <c r="P1" s="300" t="s">
        <v>70</v>
      </c>
      <c r="Q1" s="300"/>
    </row>
    <row r="2" spans="1:17" ht="15.75" customHeight="1" thickBot="1" x14ac:dyDescent="0.25">
      <c r="H2" s="24"/>
      <c r="I2" s="24"/>
      <c r="J2" s="24"/>
      <c r="K2" s="24"/>
      <c r="L2" s="24"/>
      <c r="M2" s="24"/>
      <c r="N2" s="24"/>
      <c r="P2" s="300"/>
      <c r="Q2" s="300"/>
    </row>
    <row r="3" spans="1:17" ht="13.5" thickBot="1" x14ac:dyDescent="0.25"/>
    <row r="4" spans="1:17" s="27" customFormat="1" ht="18" customHeight="1" thickBot="1" x14ac:dyDescent="0.25">
      <c r="A4" s="301" t="s">
        <v>71</v>
      </c>
      <c r="B4" s="301"/>
      <c r="C4" s="301"/>
      <c r="D4" s="301"/>
      <c r="E4" s="301"/>
      <c r="F4" s="301"/>
      <c r="G4" s="149" t="str">
        <f>'NOTA DE PEDIDO'!D3</f>
        <v>040 -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1"/>
    </row>
    <row r="5" spans="1:17" s="27" customFormat="1" ht="18" customHeight="1" thickBot="1" x14ac:dyDescent="0.25">
      <c r="A5" s="294" t="s">
        <v>12</v>
      </c>
      <c r="B5" s="295"/>
      <c r="C5" s="295"/>
      <c r="D5" s="295"/>
      <c r="E5" s="295"/>
      <c r="F5" s="296"/>
      <c r="G5" s="149" t="str">
        <f>'NOTA DE PEDIDO'!D4</f>
        <v>011 - Direccion Provincial de Administración - Ministerio de Salud</v>
      </c>
      <c r="H5" s="150"/>
      <c r="I5" s="150"/>
      <c r="J5" s="150"/>
      <c r="K5" s="150"/>
      <c r="L5" s="150"/>
      <c r="M5" s="150"/>
      <c r="N5" s="150"/>
      <c r="O5" s="150"/>
      <c r="P5" s="150"/>
      <c r="Q5" s="151"/>
    </row>
    <row r="6" spans="1:17" s="27" customFormat="1" ht="18" customHeight="1" thickBot="1" x14ac:dyDescent="0.25">
      <c r="A6" s="294" t="s">
        <v>73</v>
      </c>
      <c r="B6" s="295"/>
      <c r="C6" s="295"/>
      <c r="D6" s="295"/>
      <c r="E6" s="295"/>
      <c r="F6" s="296"/>
      <c r="G6" s="149" t="str">
        <f>'NOTA DE PEDIDO'!D5</f>
        <v>470 - DIRECCION PROVINCIAL DE ODONTOLOGIA</v>
      </c>
      <c r="H6" s="150"/>
      <c r="I6" s="150"/>
      <c r="J6" s="150"/>
      <c r="K6" s="150"/>
      <c r="L6" s="150"/>
      <c r="M6" s="150"/>
      <c r="N6" s="150"/>
      <c r="O6" s="150"/>
      <c r="P6" s="150"/>
      <c r="Q6" s="151"/>
    </row>
    <row r="7" spans="1:17" s="27" customFormat="1" ht="18" customHeight="1" thickBot="1" x14ac:dyDescent="0.25">
      <c r="A7" s="294" t="s">
        <v>13</v>
      </c>
      <c r="B7" s="295"/>
      <c r="C7" s="295"/>
      <c r="D7" s="295"/>
      <c r="E7" s="295"/>
      <c r="F7" s="296"/>
      <c r="G7" s="149" t="str">
        <f>'NOTA DE PEDIDO'!D6</f>
        <v>470 - DIRECCION PROVINCIAL DE ODONTOLOGIA</v>
      </c>
      <c r="H7" s="150"/>
      <c r="I7" s="150"/>
      <c r="J7" s="150"/>
      <c r="K7" s="150"/>
      <c r="L7" s="150"/>
      <c r="M7" s="150"/>
      <c r="N7" s="150"/>
      <c r="O7" s="150"/>
      <c r="P7" s="150"/>
      <c r="Q7" s="151"/>
    </row>
    <row r="8" spans="1:17" ht="18" customHeight="1" thickBot="1" x14ac:dyDescent="0.25">
      <c r="A8" s="297" t="s">
        <v>75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</row>
    <row r="9" spans="1:17" ht="18" customHeight="1" x14ac:dyDescent="0.2">
      <c r="A9" s="302" t="s">
        <v>76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28"/>
      <c r="P9" s="28"/>
      <c r="Q9" s="29"/>
    </row>
    <row r="10" spans="1:17" ht="57" customHeight="1" x14ac:dyDescent="0.2">
      <c r="A10" s="303" t="s">
        <v>247</v>
      </c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5"/>
    </row>
    <row r="11" spans="1:17" ht="9" customHeight="1" thickBot="1" x14ac:dyDescent="0.25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thickBot="1" x14ac:dyDescent="0.25">
      <c r="A12" s="306" t="s">
        <v>77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</row>
    <row r="13" spans="1:17" ht="15.75" customHeight="1" thickBot="1" x14ac:dyDescent="0.25">
      <c r="A13" s="307" t="s">
        <v>78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8" t="s">
        <v>79</v>
      </c>
      <c r="P13" s="308"/>
      <c r="Q13" s="309" t="s">
        <v>80</v>
      </c>
    </row>
    <row r="14" spans="1:17" ht="15.75" customHeight="1" thickBot="1" x14ac:dyDescent="0.25">
      <c r="A14" s="34" t="s">
        <v>81</v>
      </c>
      <c r="B14" s="35" t="s">
        <v>82</v>
      </c>
      <c r="C14" s="35" t="s">
        <v>83</v>
      </c>
      <c r="D14" s="35" t="s">
        <v>84</v>
      </c>
      <c r="E14" s="35" t="s">
        <v>85</v>
      </c>
      <c r="F14" s="35" t="s">
        <v>86</v>
      </c>
      <c r="G14" s="36" t="s">
        <v>87</v>
      </c>
      <c r="H14" s="35" t="s">
        <v>88</v>
      </c>
      <c r="I14" s="35" t="s">
        <v>89</v>
      </c>
      <c r="J14" s="35" t="s">
        <v>90</v>
      </c>
      <c r="K14" s="35" t="s">
        <v>90</v>
      </c>
      <c r="L14" s="35" t="s">
        <v>91</v>
      </c>
      <c r="M14" s="37" t="s">
        <v>92</v>
      </c>
      <c r="N14" s="38" t="s">
        <v>93</v>
      </c>
      <c r="O14" s="308"/>
      <c r="P14" s="308"/>
      <c r="Q14" s="309"/>
    </row>
    <row r="15" spans="1:17" ht="33.75" customHeight="1" x14ac:dyDescent="0.2">
      <c r="A15" s="152">
        <v>29</v>
      </c>
      <c r="B15" s="153"/>
      <c r="C15" s="153"/>
      <c r="D15" s="153">
        <v>1</v>
      </c>
      <c r="E15" s="153"/>
      <c r="F15" s="153">
        <v>4901</v>
      </c>
      <c r="G15" s="153">
        <v>3</v>
      </c>
      <c r="H15" s="153">
        <v>1</v>
      </c>
      <c r="I15" s="154">
        <v>2</v>
      </c>
      <c r="J15" s="154">
        <v>5</v>
      </c>
      <c r="K15" s="154">
        <v>2</v>
      </c>
      <c r="L15" s="153"/>
      <c r="M15" s="155">
        <v>1</v>
      </c>
      <c r="N15" s="156" t="s">
        <v>94</v>
      </c>
      <c r="O15" s="314" t="s">
        <v>223</v>
      </c>
      <c r="P15" s="315"/>
      <c r="Q15" s="157">
        <f>'NECESIDADES TRIMESTRALES'!M163</f>
        <v>8647125</v>
      </c>
    </row>
    <row r="16" spans="1:17" ht="33.75" customHeight="1" x14ac:dyDescent="0.2">
      <c r="A16" s="158">
        <v>29</v>
      </c>
      <c r="B16" s="159"/>
      <c r="C16" s="159"/>
      <c r="D16" s="159">
        <v>1</v>
      </c>
      <c r="E16" s="159"/>
      <c r="F16" s="159">
        <v>4901</v>
      </c>
      <c r="G16" s="159">
        <v>3</v>
      </c>
      <c r="H16" s="159">
        <v>1</v>
      </c>
      <c r="I16" s="159">
        <v>2</v>
      </c>
      <c r="J16" s="159">
        <v>5</v>
      </c>
      <c r="K16" s="159">
        <v>9</v>
      </c>
      <c r="L16" s="159"/>
      <c r="M16" s="160">
        <v>1</v>
      </c>
      <c r="N16" s="161" t="s">
        <v>94</v>
      </c>
      <c r="O16" s="316" t="s">
        <v>229</v>
      </c>
      <c r="P16" s="317"/>
      <c r="Q16" s="162">
        <f>'NECESIDADES TRIMESTRALES'!O163</f>
        <v>412650</v>
      </c>
    </row>
    <row r="17" spans="1:18" ht="33.75" customHeight="1" x14ac:dyDescent="0.2">
      <c r="A17" s="158">
        <v>29</v>
      </c>
      <c r="B17" s="159"/>
      <c r="C17" s="159"/>
      <c r="D17" s="159">
        <v>1</v>
      </c>
      <c r="E17" s="159"/>
      <c r="F17" s="161">
        <v>4901</v>
      </c>
      <c r="G17" s="159">
        <v>3</v>
      </c>
      <c r="H17" s="159">
        <v>1</v>
      </c>
      <c r="I17" s="159">
        <v>2</v>
      </c>
      <c r="J17" s="159">
        <v>6</v>
      </c>
      <c r="K17" s="159">
        <v>5</v>
      </c>
      <c r="L17" s="159"/>
      <c r="M17" s="160">
        <v>1</v>
      </c>
      <c r="N17" s="161" t="s">
        <v>94</v>
      </c>
      <c r="O17" s="316" t="s">
        <v>230</v>
      </c>
      <c r="P17" s="317"/>
      <c r="Q17" s="162">
        <f>'NECESIDADES TRIMESTRALES'!N163</f>
        <v>191500</v>
      </c>
    </row>
    <row r="18" spans="1:18" ht="33.75" customHeight="1" x14ac:dyDescent="0.2">
      <c r="A18" s="158">
        <v>29</v>
      </c>
      <c r="B18" s="159"/>
      <c r="C18" s="159"/>
      <c r="D18" s="159">
        <v>1</v>
      </c>
      <c r="E18" s="159"/>
      <c r="F18" s="159">
        <v>4901</v>
      </c>
      <c r="G18" s="159">
        <v>3</v>
      </c>
      <c r="H18" s="159">
        <v>1</v>
      </c>
      <c r="I18" s="159">
        <v>2</v>
      </c>
      <c r="J18" s="159">
        <v>9</v>
      </c>
      <c r="K18" s="159">
        <v>5</v>
      </c>
      <c r="L18" s="159"/>
      <c r="M18" s="160">
        <v>1</v>
      </c>
      <c r="N18" s="161" t="s">
        <v>94</v>
      </c>
      <c r="O18" s="318" t="s">
        <v>231</v>
      </c>
      <c r="P18" s="318"/>
      <c r="Q18" s="162">
        <f>'NECESIDADES TRIMESTRALES'!L163</f>
        <v>6658729.8000000017</v>
      </c>
    </row>
    <row r="19" spans="1:18" ht="33.75" customHeight="1" x14ac:dyDescent="0.2">
      <c r="A19" s="158"/>
      <c r="B19" s="159"/>
      <c r="C19" s="159"/>
      <c r="D19" s="159"/>
      <c r="E19" s="159"/>
      <c r="F19" s="161"/>
      <c r="G19" s="159"/>
      <c r="H19" s="159"/>
      <c r="I19" s="159"/>
      <c r="J19" s="159"/>
      <c r="K19" s="159"/>
      <c r="L19" s="159"/>
      <c r="M19" s="160"/>
      <c r="N19" s="161"/>
      <c r="O19" s="317"/>
      <c r="P19" s="317"/>
      <c r="Q19" s="162"/>
    </row>
    <row r="20" spans="1:18" ht="33.75" customHeight="1" x14ac:dyDescent="0.2">
      <c r="A20" s="158"/>
      <c r="B20" s="159"/>
      <c r="C20" s="159"/>
      <c r="D20" s="159"/>
      <c r="E20" s="159"/>
      <c r="F20" s="161"/>
      <c r="G20" s="159"/>
      <c r="H20" s="159"/>
      <c r="I20" s="159"/>
      <c r="J20" s="159"/>
      <c r="K20" s="159"/>
      <c r="L20" s="159"/>
      <c r="M20" s="160"/>
      <c r="N20" s="161"/>
      <c r="O20" s="317"/>
      <c r="P20" s="317"/>
      <c r="Q20" s="162"/>
    </row>
    <row r="21" spans="1:18" ht="33.75" customHeight="1" x14ac:dyDescent="0.2">
      <c r="A21" s="163"/>
      <c r="B21" s="164"/>
      <c r="C21" s="164"/>
      <c r="D21" s="164"/>
      <c r="E21" s="164"/>
      <c r="F21" s="165"/>
      <c r="G21" s="164"/>
      <c r="H21" s="164"/>
      <c r="I21" s="164"/>
      <c r="J21" s="164"/>
      <c r="K21" s="164"/>
      <c r="L21" s="164"/>
      <c r="M21" s="166"/>
      <c r="N21" s="167"/>
      <c r="O21" s="316"/>
      <c r="P21" s="316"/>
      <c r="Q21" s="162"/>
      <c r="R21" s="28"/>
    </row>
    <row r="22" spans="1:18" ht="33.75" customHeight="1" thickBot="1" x14ac:dyDescent="0.25">
      <c r="A22" s="168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70"/>
      <c r="N22" s="169"/>
      <c r="O22" s="319"/>
      <c r="P22" s="319"/>
      <c r="Q22" s="171"/>
    </row>
    <row r="23" spans="1:18" ht="40.5" customHeight="1" thickBot="1" x14ac:dyDescent="0.25">
      <c r="A23" s="320" t="s">
        <v>238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9">
        <f>SUM(Q15:Q22)</f>
        <v>15910004.800000001</v>
      </c>
    </row>
    <row r="24" spans="1:18" ht="17.25" customHeight="1" thickBot="1" x14ac:dyDescent="0.25">
      <c r="A24" s="321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</row>
    <row r="25" spans="1:18" ht="18" customHeight="1" thickBot="1" x14ac:dyDescent="0.25">
      <c r="A25" s="310" t="s">
        <v>95</v>
      </c>
      <c r="B25" s="311"/>
      <c r="C25" s="311"/>
      <c r="D25" s="311"/>
      <c r="E25" s="311"/>
      <c r="F25" s="312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</row>
    <row r="26" spans="1:18" ht="28.5" customHeight="1" x14ac:dyDescent="0.2">
      <c r="A26" s="172" t="str">
        <f>'NOTA DE PEDIDO'!D8</f>
        <v>Adquisicion del  RUBRO INSUMOS DE ODONTOLOGIA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73"/>
    </row>
    <row r="27" spans="1:18" ht="15" thickBot="1" x14ac:dyDescent="0.25">
      <c r="A27" s="174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6"/>
    </row>
    <row r="28" spans="1:18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</row>
    <row r="29" spans="1:18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</row>
    <row r="30" spans="1:18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</row>
    <row r="31" spans="1:18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</row>
    <row r="32" spans="1:18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</row>
  </sheetData>
  <mergeCells count="26">
    <mergeCell ref="A25:F25"/>
    <mergeCell ref="G25:Q25"/>
    <mergeCell ref="O15:P15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9:N9"/>
    <mergeCell ref="A10:Q10"/>
    <mergeCell ref="A12:Q12"/>
    <mergeCell ref="A13:N13"/>
    <mergeCell ref="O13:P14"/>
    <mergeCell ref="Q13:Q14"/>
    <mergeCell ref="A6:F6"/>
    <mergeCell ref="A7:F7"/>
    <mergeCell ref="A8:Q8"/>
    <mergeCell ref="A5:F5"/>
    <mergeCell ref="A1:C1"/>
    <mergeCell ref="D1:E1"/>
    <mergeCell ref="P1:Q2"/>
    <mergeCell ref="A4:F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DE PEDIDO</vt:lpstr>
      <vt:lpstr>APG ODONTOLOGIA</vt:lpstr>
      <vt:lpstr>'APG ODONTOLOGIA'!Área_de_impresión</vt:lpstr>
      <vt:lpstr>'NECESIDADES TRIMESTRALES'!Área_de_impresión</vt:lpstr>
      <vt:lpstr>'NOTA DE 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JOHANA AYBAR</cp:lastModifiedBy>
  <cp:lastPrinted>2021-08-05T12:30:23Z</cp:lastPrinted>
  <dcterms:created xsi:type="dcterms:W3CDTF">1999-11-11T14:14:32Z</dcterms:created>
  <dcterms:modified xsi:type="dcterms:W3CDTF">2021-08-26T12:04:22Z</dcterms:modified>
</cp:coreProperties>
</file>