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41. Perecederos MP\3. aNALISIS\"/>
    </mc:Choice>
  </mc:AlternateContent>
  <xr:revisionPtr revIDLastSave="0" documentId="13_ncr:1_{FB638272-2EC7-47E7-96EE-233898D97B9E}" xr6:coauthVersionLast="47" xr6:coauthVersionMax="47" xr10:uidLastSave="{00000000-0000-0000-0000-000000000000}"/>
  <bookViews>
    <workbookView xWindow="0" yWindow="825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2" i="2" l="1"/>
  <c r="M52" i="2"/>
  <c r="Q52" i="2"/>
</calcChain>
</file>

<file path=xl/sharedStrings.xml><?xml version="1.0" encoding="utf-8"?>
<sst xmlns="http://schemas.openxmlformats.org/spreadsheetml/2006/main" count="318" uniqueCount="226">
  <si>
    <t>Número expediente:</t>
  </si>
  <si>
    <t>EX-2022-02105853-   -CAT-SCA#MEC</t>
  </si>
  <si>
    <t>Número proceso de compra:</t>
  </si>
  <si>
    <t>100-0200-CDI22</t>
  </si>
  <si>
    <t>Nombre descriptivo proceso de compra:</t>
  </si>
  <si>
    <t>Adquisición de Alimentos Perecederos requerida por la Maternidad Provincial 25 de Mayo</t>
  </si>
  <si>
    <t>Unidad Operativa de Compras:</t>
  </si>
  <si>
    <t>Secretaria de Compras y Abastecimiento</t>
  </si>
  <si>
    <t>Fecha de Apertura:</t>
  </si>
  <si>
    <t>08/11/2022</t>
  </si>
  <si>
    <t>Renglón</t>
  </si>
  <si>
    <t>LUJAIKO SRL</t>
  </si>
  <si>
    <t>maria angela mascareño</t>
  </si>
  <si>
    <t>GRUPO PROHMAX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</si>
  <si>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</si>
  <si>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</si>
  <si>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</si>
  <si>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</si>
  <si>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</si>
  <si>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</si>
  <si>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</si>
  <si>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</si>
  <si>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</si>
  <si>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</si>
  <si>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2.1.1-6546.34 </t>
  </si>
  <si>
    <t xml:space="preserve">VERDURAS Y HORTALIZAS; VARIEDAD: ACELGA, ESTADO: EN HOJA, PRESENTACION: ATADO, 
PESO: SIN VALOR </t>
  </si>
  <si>
    <t xml:space="preserve">UNIDAD </t>
  </si>
  <si>
    <t xml:space="preserve">VERDURAS Y HORTALIZAS; VARIEDAD: ACELGA, ESTADO: EN HOJA, PRESENTACION: ATADO 
 Atado de acelga peso aproximado 300 Gr </t>
  </si>
  <si>
    <t xml:space="preserve">ACELGA EN HOJA FRESCA ATADO X 300 GR </t>
  </si>
  <si>
    <t xml:space="preserve">2 </t>
  </si>
  <si>
    <t xml:space="preserve">2.1.1-6546.154 </t>
  </si>
  <si>
    <t xml:space="preserve">VERDURAS Y HORTALIZAS; ESTADO: NATURAL, PESO: SIN VALOR, VARIEDAD: AJO, 
PRESENTACION: UNIDAD </t>
  </si>
  <si>
    <t xml:space="preserve">VERDURAS Y HORTALIZAS; ESTADO: NATURAL, PESO: SIN VALOR, VARIEDAD: AJO, 
PRESENTACION: UNIDAD  UNIDAD - Peso aproximado de la unidad 
50 Grs </t>
  </si>
  <si>
    <t xml:space="preserve">AJO COLORADO X UNIDAD (CABEZA) </t>
  </si>
  <si>
    <t xml:space="preserve">3 </t>
  </si>
  <si>
    <t xml:space="preserve">2.1.1-6546.330 </t>
  </si>
  <si>
    <t xml:space="preserve">VERDURAS Y HORTALIZAS; VARIEDAD: ZAPALLO ANCO, ESTADO: NATURAL, PRESENTACION: UNIDAD, 
PESO: 1 Kg </t>
  </si>
  <si>
    <t xml:space="preserve">  VERDURAS Y HORTALIZAS; VARIEDAD: ZAPALLO ANCO, ESTADO: NATURAL, 
PRESENTACION: UNIDAD, PESO: 1 Kg </t>
  </si>
  <si>
    <t xml:space="preserve">ZAPALLO ANCO X 1 KG  </t>
  </si>
  <si>
    <t xml:space="preserve">4 </t>
  </si>
  <si>
    <t xml:space="preserve">2.1.1-6546.230 </t>
  </si>
  <si>
    <t xml:space="preserve">VERDURAS Y HORTALIZAS; VARIEDAD: APIO, ESTADO: NATURAL, PRESENTACION: ATADO, PESO: 
800 GR </t>
  </si>
  <si>
    <t xml:space="preserve">APIO, ESTADO: NATURAL, PRESENTACION: ATADO, PESO: 800 GR </t>
  </si>
  <si>
    <t xml:space="preserve">APIO FRESCO POR ATADO DE 800 GR </t>
  </si>
  <si>
    <t xml:space="preserve">5 </t>
  </si>
  <si>
    <t xml:space="preserve">2.1.1-6539.30 </t>
  </si>
  <si>
    <t xml:space="preserve">FRUTAS; VARIEDAD: BANANA, PRESENTACION: CAJON, ESTADO: NATURAL, PESO: SIN VALOR 
</t>
  </si>
  <si>
    <t xml:space="preserve">BANANA ECUATORIANA , PRESENTACION: CAJON, ESTADO: NATURAL, CAJÓN X 20 
KG. APROX. </t>
  </si>
  <si>
    <t xml:space="preserve">BANANA POR CAJO DE 20 KG APROXIMADOS </t>
  </si>
  <si>
    <t xml:space="preserve">6 </t>
  </si>
  <si>
    <t xml:space="preserve">2.1.1-6546.207 </t>
  </si>
  <si>
    <t xml:space="preserve">VERDURAS Y HORTALIZAS; VARIEDAD: BATATA, ESTADO: NATURAL, PRESENTACION: BOLSA, PESO: 
10 Kg </t>
  </si>
  <si>
    <t xml:space="preserve">BATATA, ESTADO: NATURAL, PRESENTACION: BOLSA, PESO: 10 Kg </t>
  </si>
  <si>
    <t xml:space="preserve">BATATA BOLSA X 10 KG </t>
  </si>
  <si>
    <t xml:space="preserve">7 </t>
  </si>
  <si>
    <t xml:space="preserve">2.1.1-6546.177 </t>
  </si>
  <si>
    <t xml:space="preserve">VERDURAS Y HORTALIZAS; VARIEDAD: BERENJENA, ESTADO: NATURAL, PRESENTACION: GRANEL, PESO: 
SIN VALOR </t>
  </si>
  <si>
    <t xml:space="preserve">BERENJENA, ESTADO: NATURAL, PRESENTACION: GRANEL,  cajón x 13 Kg 
aprox. </t>
  </si>
  <si>
    <t xml:space="preserve">BERENGENA CAJON X 10 KG </t>
  </si>
  <si>
    <t xml:space="preserve">8 </t>
  </si>
  <si>
    <t xml:space="preserve">2.1.1-541.33 </t>
  </si>
  <si>
    <t xml:space="preserve">CARNES; ESPECIE: VACUNA, CORTE: BOLA DE LOMO, TIPO: VACUNA </t>
  </si>
  <si>
    <t xml:space="preserve">BOLA DE LOMO X KG , TIPO: VACUNA - FRIGORIFICO 
FRIAR </t>
  </si>
  <si>
    <t xml:space="preserve">bola de lomo de novillo frigorifico bell bil </t>
  </si>
  <si>
    <t xml:space="preserve">9 </t>
  </si>
  <si>
    <t xml:space="preserve">2.1.1-541.137 </t>
  </si>
  <si>
    <t xml:space="preserve">CARNES; ESPECIE: PORCINA, CORTE: CARRE CONGELADO, TIPO: PORCINA </t>
  </si>
  <si>
    <t xml:space="preserve">CARNES; ESPECIE: PORCINA, CORTE: CARRE CONGELADO, TIPO: PORCINA X KG 
- FRIGORIFICO BELL VILLE </t>
  </si>
  <si>
    <t xml:space="preserve">10 </t>
  </si>
  <si>
    <t xml:space="preserve">2.1.1-6546.236 </t>
  </si>
  <si>
    <t xml:space="preserve">VERDURAS Y HORTALIZAS; VARIEDAD: CEBOLLA, ESTADO: NATURAL, PRESENTACION: BOLSA, PESO: 
20 Kg </t>
  </si>
  <si>
    <t xml:space="preserve">CEBOLLA, ESTADO: NATURAL, PRESENTACION: BOLSA, PESO: 20 Kg </t>
  </si>
  <si>
    <t xml:space="preserve">CEBOLLA X BOLSA DE 20 KG APROXI. </t>
  </si>
  <si>
    <t xml:space="preserve">11 </t>
  </si>
  <si>
    <t xml:space="preserve">2.1.1-6546.377 </t>
  </si>
  <si>
    <t xml:space="preserve">VERDURAS Y HORTALIZAS; VARIEDAD: CEBOLLA DE VERDEO, ESTADO: NATURAL, PRESENTACION: 
CAJON, PESO: 10 Kg, ELEM. TRANSPORTE: CAJON, MATERIAL ELEM. TRANSPORTE: 
CARTON, LIBRE DE GLUTEN: NO </t>
  </si>
  <si>
    <t xml:space="preserve">CEBOLLA DE VERDEO CAJON X 10 KG </t>
  </si>
  <si>
    <t xml:space="preserve">12 </t>
  </si>
  <si>
    <t xml:space="preserve">2.1.1-541.164 </t>
  </si>
  <si>
    <t xml:space="preserve">CARNES; TIPO: PORCINA, CORTE: COSTELETA </t>
  </si>
  <si>
    <t xml:space="preserve">CARNES; TIPO: PORCINA, CORTE: COSTELETA X KG frigorifico friar </t>
  </si>
  <si>
    <t xml:space="preserve">costeletas porcina  de 250 a 300 gr frigorifico bel 
bill </t>
  </si>
  <si>
    <t xml:space="preserve">13 </t>
  </si>
  <si>
    <t xml:space="preserve">2.1.1-483.33 </t>
  </si>
  <si>
    <t xml:space="preserve">HUEVO DE GALLINA; TAMAÑO: MEDIANOS, COLOR: BLANCOS, PRESENTACION: 30 </t>
  </si>
  <si>
    <t xml:space="preserve">HUEVO DE GALLINA; TAMAÑO: MEDIANOS, COLOR: BLANCOS, PRESENTACION: 30 CARTÓN 
X 30 UNIDADES </t>
  </si>
  <si>
    <t xml:space="preserve">huevos de gallina maple x 30 unidades </t>
  </si>
  <si>
    <t xml:space="preserve">14 </t>
  </si>
  <si>
    <t xml:space="preserve">2.1.1-969.96 </t>
  </si>
  <si>
    <t xml:space="preserve">FIAMBRES; TIPO: JAMON COCIDO, PRESENTACION: AL VACIO </t>
  </si>
  <si>
    <t xml:space="preserve">FIAMBRES; TIPO: JAMON COCIDO, PRESENTACION: AL VACIO X KG - 
CAMPO AUSTRAL </t>
  </si>
  <si>
    <t xml:space="preserve">jamon cocido tacural x kg </t>
  </si>
  <si>
    <t xml:space="preserve">JAMON COCIDO X KILO, MARCA "CAMPO AUSTRAL" APTO PARA CELIACOS. 
</t>
  </si>
  <si>
    <t xml:space="preserve">15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</si>
  <si>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</si>
  <si>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</si>
  <si>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  VERDURAS Y HORTALIZAS; VARIEDAD: LECHUGA ARREPOLLADA, ESTADO: NATURAL, 
PRESENTACION: Cajón x 13 Kg aproximadamente </t>
  </si>
  <si>
    <t xml:space="preserve">LECHUGA REPOLLADO CAJON X 10 KG </t>
  </si>
  <si>
    <t xml:space="preserve">16 </t>
  </si>
  <si>
    <t xml:space="preserve">2.1.1-6539.84 </t>
  </si>
  <si>
    <t xml:space="preserve">FRUTAS; VARIEDAD: LIMON, ESTADO: NATURAL, PRESENTACION: CAJON X 1 Kg, 
PESO: 1 Kg </t>
  </si>
  <si>
    <t xml:space="preserve"> LIMON, ESTADO: NATURAL, PRESENTACION: CAJON X 1 Kg </t>
  </si>
  <si>
    <t xml:space="preserve">LIMON X 1 KG  </t>
  </si>
  <si>
    <t xml:space="preserve">17 </t>
  </si>
  <si>
    <t xml:space="preserve">2.1.1-6539.20 </t>
  </si>
  <si>
    <t xml:space="preserve">FRUTAS; ESTADO: NATURAL, VARIEDAD: MANZANA RED DELICIOSA, PRESENTACION: CAJON, PESO: 
SIN VALOR </t>
  </si>
  <si>
    <t xml:space="preserve">MANZANA RED DELICIOSA, PRESENTACION: CAJON, PESO: x 20 Kg APROX 
</t>
  </si>
  <si>
    <t xml:space="preserve">MANZANA RED DELICIOSA CAJON X 20 KG APROXI. </t>
  </si>
  <si>
    <t xml:space="preserve">18 </t>
  </si>
  <si>
    <t xml:space="preserve">2.1.1-541.49 </t>
  </si>
  <si>
    <t xml:space="preserve">CARNES; ESPECIE: VACUNA, CORTE: NALGA, TIPO: VACUNA </t>
  </si>
  <si>
    <t xml:space="preserve">CARNES; ESPECIE: VACUNA, CORTE: NALGA, TIPO: VACUNA X KG FRIGORIFICO 
FRIAR </t>
  </si>
  <si>
    <t xml:space="preserve">nalga con tapa de novillo frigorifico bel bill </t>
  </si>
  <si>
    <t xml:space="preserve">19 </t>
  </si>
  <si>
    <t xml:space="preserve">2.1.1-541.20 </t>
  </si>
  <si>
    <t xml:space="preserve">CARNES; CORTE: TAPA DE NALGA, ESPECIE: VACUNA, TIPO: VACUNA </t>
  </si>
  <si>
    <t xml:space="preserve">CARNES; CORTE: TAPA DE NALGA, ESPECIE: VACUNA, TIPO: VACUNA X 
KG - FRIGORIFICO FRIAR </t>
  </si>
  <si>
    <t xml:space="preserve">tapa de nal de novillo frigorifico bel bill </t>
  </si>
  <si>
    <t xml:space="preserve">20 </t>
  </si>
  <si>
    <t xml:space="preserve">2.1.1-6539.8 </t>
  </si>
  <si>
    <t xml:space="preserve">FRUTAS; VARIEDAD: NARANJA ESPECIAL, ESTADO: NATURAL, PRESENTACION: CAJON, PESO: SIN 
VALOR </t>
  </si>
  <si>
    <t xml:space="preserve">NARANJA ESPECIAL, ESTADO: NATURAL, PRESENTACION: CAJON, cajón x 15 Kg 
APROX </t>
  </si>
  <si>
    <t xml:space="preserve">naranjas cajon x 15 kg </t>
  </si>
  <si>
    <t xml:space="preserve">21 </t>
  </si>
  <si>
    <t xml:space="preserve">2.1.1-669.64 </t>
  </si>
  <si>
    <t xml:space="preserve">PANES; TIPO: FRANCES, PRESENTACION: ENVASE X 1 Kg </t>
  </si>
  <si>
    <t xml:space="preserve">PAN FRANCES X KG PANIFICADORA SAN VALENTIN </t>
  </si>
  <si>
    <t xml:space="preserve">22 </t>
  </si>
  <si>
    <t xml:space="preserve">2.1.1-669.25 </t>
  </si>
  <si>
    <t xml:space="preserve">PANES; TIPO: RALLADO, PRESENTACION: BOLSA DE 1000 GR </t>
  </si>
  <si>
    <t xml:space="preserve">PAN RALLADO X 1 KG PANIFICADORA SAN VALENTIN </t>
  </si>
  <si>
    <t xml:space="preserve">23 </t>
  </si>
  <si>
    <t xml:space="preserve">2.1.1-6546.335 </t>
  </si>
  <si>
    <t xml:space="preserve">VERDURAS Y HORTALIZAS; VARIEDAD: PAPA BLANCA, ESTADO: NATURAL, PRESENTACION: BOLSA, 
PESO: 25 Kg </t>
  </si>
  <si>
    <t xml:space="preserve">PAPA BLANCA, ESTADO: NATURAL, PRESENTACION: BOLSA </t>
  </si>
  <si>
    <t xml:space="preserve">PAPA BLANCA X BOLSA DE 25 KG APROXIMADOS </t>
  </si>
  <si>
    <t xml:space="preserve">24 </t>
  </si>
  <si>
    <t xml:space="preserve">2.1.1-541.29 </t>
  </si>
  <si>
    <t xml:space="preserve">CARNES; CORTE: PECETO, ESPECIE: VACUNA, TIPO: VACUNA </t>
  </si>
  <si>
    <t xml:space="preserve">CARNES; CORTE: PECETO, ESPECIE: VACUNA, TIPO: VACUNA X KG - 
FRIGORIFICO FRIAR </t>
  </si>
  <si>
    <t xml:space="preserve">peceto x kg frigorifico bel bill </t>
  </si>
  <si>
    <t xml:space="preserve">25 </t>
  </si>
  <si>
    <t xml:space="preserve">2.1.1-6539.32 </t>
  </si>
  <si>
    <t xml:space="preserve">FRUTAS; VARIEDAD: PERA AMARILLA, ESTADO: NATURAL, PRESENTACION: CAJON, PESO: SIN 
VALOR </t>
  </si>
  <si>
    <t xml:space="preserve">PERA AMARILLA, ESTADO: NATURAL, PRESENTACION: CAJON  </t>
  </si>
  <si>
    <t xml:space="preserve">PERAS AMARILLAS CAJON X 20 KG APROXIMADOS </t>
  </si>
  <si>
    <t xml:space="preserve">26 </t>
  </si>
  <si>
    <t xml:space="preserve">2.1.1-6546.133 </t>
  </si>
  <si>
    <t xml:space="preserve">VERDURAS Y HORTALIZAS; VARIEDAD: PEREJIL, ESTADO: NATURAL, PRESENTACION: ATADO, PESO: 
1 Kg </t>
  </si>
  <si>
    <t xml:space="preserve">PEREJIL, ESTADO: NATURAL, PRESENTACION: ATADO, PESO: 1 Kg ATADO x 
1 kg. </t>
  </si>
  <si>
    <t xml:space="preserve">PEREJIL X 1 KG  </t>
  </si>
  <si>
    <t xml:space="preserve">27 </t>
  </si>
  <si>
    <t xml:space="preserve">2.1.1-6546.365 </t>
  </si>
  <si>
    <t xml:space="preserve">VERDURAS Y HORTALIZAS; VARIEDAD: MORRON ROJO, ESTADO: NATURAL, PRESENTACION: ENVASE 
X 10 Kg, PESO: 10 Kg, ELEM. TRANSPORTE: CAJON, MATERIAL 
ELEM. TRANSPORTE: MADERA, LIBRE DE GLUTEN: SI </t>
  </si>
  <si>
    <t xml:space="preserve">MORRON ROJO, ESTADO: NATURAL, PRESENTACION: ENVASE X 13 Kg, PESO: 
13 Kg, ELEM. TRANSPORTE: CAJON </t>
  </si>
  <si>
    <t xml:space="preserve">morron rojo x cajon de 10 kg </t>
  </si>
  <si>
    <t xml:space="preserve">28 </t>
  </si>
  <si>
    <t xml:space="preserve">2.1.1-6546.95 </t>
  </si>
  <si>
    <t xml:space="preserve">VERDURAS Y HORTALIZAS; VARIEDAD: MORRON VERDE, ESTADO: NATURAL, PRESENTACION: GRANEL, 
PESO: SIN VALOR </t>
  </si>
  <si>
    <t xml:space="preserve">MORRON VERDE, ESTADO: NATURAL, PRESENTACION: GRANEL cajón x 13 Kg 
aprox    </t>
  </si>
  <si>
    <t xml:space="preserve">morron verde x cajon de 10 kg </t>
  </si>
  <si>
    <t xml:space="preserve">29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</si>
  <si>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</si>
  <si>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</si>
  <si>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QUESOS; TIPO: CREMOSO, PRESENTACION: AL PESO X KG APTO PARA 
CELIACOS - MARCA TREMBLAY </t>
  </si>
  <si>
    <t xml:space="preserve">QUESO CREMOSO X KILO, MARCA "CRAIKENSE". APTO PARA CELIACOS </t>
  </si>
  <si>
    <t xml:space="preserve">30 </t>
  </si>
  <si>
    <t xml:space="preserve">2.1.1-542.240 </t>
  </si>
  <si>
    <t xml:space="preserve">QUESOS; TIPO: SARDO, PRESENTACION: HORMA, ELEM. TRANSPORTE: SIN, MATERIAL ELEM. 
TRANSPORTE: SIN, MATERIAL ENVASE: SIN, CERTIFICADO FORESTAL (GFS): SIN, LIBRE 
DE GLUTEN: A DEFINIR </t>
  </si>
  <si>
    <t xml:space="preserve">QUESOS; TIPO: SARDO, PRESENTACION: HORMA   PESO APROX DE 
LA HORMA 3 KG-APTO PARA CELIACO CON LOGO OFICIAL  
- MARCA TREMBLAY </t>
  </si>
  <si>
    <t xml:space="preserve">QUESO SARDO X HORMA, MARCA "AURORA", APTO PARA CELIACOS.PESO APROXIMADO 
DE LA HORMA 3.650 KG </t>
  </si>
  <si>
    <t xml:space="preserve">31 </t>
  </si>
  <si>
    <t xml:space="preserve">2.1.1-542.225 </t>
  </si>
  <si>
    <t xml:space="preserve">QUESOS; TIPO: TYBO, PRESENTACION: ENVASE X 1 Kg, ELEM. TRANSPORTE: 
SIN, MATERIAL ELEM. TRANSPORTE: SIN, MATERIAL ENVASE: POLIESTIRENO, CERTIFICADO FORESTAL 
(GFS): SIN, LIBRE DE GLUTEN: SI </t>
  </si>
  <si>
    <t xml:space="preserve">QUESOS; TIPO: TYBO, PRESENTACION: ENVASE X 1 Kg, ELEM. , 
LIBRE DE GLUTEN: SI- APTO PARA CELIACO MARCA TREMBLAY </t>
  </si>
  <si>
    <t xml:space="preserve">QUESO TYBO X KILO, MARCA "TREMBLAY" . SIN TACC </t>
  </si>
  <si>
    <t xml:space="preserve">32 </t>
  </si>
  <si>
    <t xml:space="preserve">2.1.1-707.38 </t>
  </si>
  <si>
    <t xml:space="preserve">PASTAS FRESCAS; VARIEDAD: RAVIOL, RELLENO: VERDURA Y POLLO, PRESENTACION: ENVASE 
X 500 GR </t>
  </si>
  <si>
    <t xml:space="preserve">RAVIOL, RELLENO: VERDURA Y POLLO, PRESENTACION: ENVASE X 500 GR 
 MARCA AMICI </t>
  </si>
  <si>
    <t xml:space="preserve">33 </t>
  </si>
  <si>
    <t xml:space="preserve">2.1.1-2610.1 </t>
  </si>
  <si>
    <t xml:space="preserve">TAPAS P/EMPANADAS; TIPO: P/HORNO, PRESENTACION: BOLSA X 12 </t>
  </si>
  <si>
    <t xml:space="preserve">TAPAS P/EMPANADAS; TIPO: P/HORNO, PRESENTACION: BOLSA X 12 MARCA AMICI 
</t>
  </si>
  <si>
    <t xml:space="preserve">34 </t>
  </si>
  <si>
    <t xml:space="preserve">2.1.1-2429.4 </t>
  </si>
  <si>
    <t xml:space="preserve">TAPAS P/TARTAS; TIPO: REDONDA, MASA: HOJALDRE, PRESENTACION: ENVASE X 400 
GR </t>
  </si>
  <si>
    <t xml:space="preserve">TAPAS P/TARTAS; TIPO: REDONDA, MASA: HOJALDRE, PRESENTACION: ENVASE X 400 
GR MARCA AMICI </t>
  </si>
  <si>
    <t xml:space="preserve">35 </t>
  </si>
  <si>
    <t xml:space="preserve">2.1.1-6546.18 </t>
  </si>
  <si>
    <t xml:space="preserve">VERDURAS Y HORTALIZAS; VARIEDAD: TOMATE REDONDO, ESTADO: NATURAL, PRESENTACION: CAJON, 
PESO: 10 Kg </t>
  </si>
  <si>
    <t xml:space="preserve">TOMATE REDONDO, ESTADO: NATURAL, PRESENTACION: CAJON, PESO: 17 Kg </t>
  </si>
  <si>
    <t xml:space="preserve">tomates redondo x cajon de 10 kg </t>
  </si>
  <si>
    <t xml:space="preserve">36 </t>
  </si>
  <si>
    <t xml:space="preserve">2.1.1-456.91 </t>
  </si>
  <si>
    <t xml:space="preserve">YOGHURT; TIPO: DESCREMADO, AGREGADO: SIN, CONSISTENCIA: FIRME, SABOR: VAINILLA-FRUTILLA, PRESENTACION: 
POTE PLASTICO X 190 mL </t>
  </si>
  <si>
    <t xml:space="preserve">YOGHURT; TIPO: DESCREMADO, ONSISTENCIA: FIRME, SABOR: VAINILLA-FRUTILLA, PRESENTACION: POTE PLASTICO 
X 190 mL APTO PARA CELIACO - MARCA MANFREY </t>
  </si>
  <si>
    <t xml:space="preserve">37 </t>
  </si>
  <si>
    <t xml:space="preserve">2.1.1-456.90 </t>
  </si>
  <si>
    <t xml:space="preserve">YOGHURT; TIPO: ENTERO, AGREGADO: SIN, CONSISTENCIA: FIRME, SABOR: VAINILLA-FRUTILLA, PRESENTACION: 
POTE PLASTICO X 190 mL </t>
  </si>
  <si>
    <t xml:space="preserve">YOGHURT; TIPO: ENTERO, AGREGADO: SIN, CONSISTENCIA: FIRME, SABOR: VAINILLA-FRUTILLA, PRESENTACION: 
POTE PLASTICO X 190 mL APTO PARA CELIACOS - MARCA 
MANFREY </t>
  </si>
  <si>
    <t xml:space="preserve">38 </t>
  </si>
  <si>
    <t xml:space="preserve">2.1.1-6546.403 </t>
  </si>
  <si>
    <t xml:space="preserve">VERDURAS Y HORTALIZAS; VARIEDAD: ZANAHORIA, ESTADO: NATURAL, PRESENTACION: BOLSA, PESO: 
NO CORRESPONDE, ELEM. TRANSPORTE: SIN, MATERIAL ELEM. TRANSPORTE: SIN, LIBRE 
DE GLUTEN: SI, ORGANICO: NO </t>
  </si>
  <si>
    <t xml:space="preserve">ZANAHORIA, ESTADO: NATURAL, PRESENTACION: BOLSA x 10 Kg aprox </t>
  </si>
  <si>
    <t xml:space="preserve">zanahoria bolsa x 10 kg </t>
  </si>
  <si>
    <t xml:space="preserve">39 </t>
  </si>
  <si>
    <t xml:space="preserve">2.1.1-6546.151 </t>
  </si>
  <si>
    <t xml:space="preserve">VERDURAS Y HORTALIZAS; VARIEDAD: ZAPALLITO REDONDO, ESTADO: NATURAL, PRESENTACION: CAJON, 
PESO: SIN VALOR </t>
  </si>
  <si>
    <t xml:space="preserve">ZAPALLITO REDONDO, ESTADO: NATURAL, PRESENTACION: CAJON, </t>
  </si>
  <si>
    <t xml:space="preserve">zapallito redondo x cajon x 15 kg </t>
  </si>
  <si>
    <t xml:space="preserve">40 </t>
  </si>
  <si>
    <t xml:space="preserve">2.1.1-6546.298 </t>
  </si>
  <si>
    <t xml:space="preserve">VERDURAS Y HORTALIZAS; VARIEDAD: ZUCHINI, ESTADO: NATURAL, PRESENTACION: CAJON, PESO: 
18 Kg </t>
  </si>
  <si>
    <t xml:space="preserve">ZUCHINI, ESTADO: NATURAL, PRESENTACION: CAJON, PESO: 13 Kg </t>
  </si>
  <si>
    <t xml:space="preserve">zuchini x cajon x 18 kg </t>
  </si>
  <si>
    <t xml:space="preserve">41 </t>
  </si>
  <si>
    <t xml:space="preserve">2.1.1-6546.162 </t>
  </si>
  <si>
    <t xml:space="preserve">VERDURAS Y HORTALIZAS; VARIEDAD: ZAPALLO CRIOLLO, ESTADO: NATURAL, PRESENTACION: UNIDAD, 
PESO: SIN VALOR </t>
  </si>
  <si>
    <t xml:space="preserve">ZAPALLO CRIOLLO, ESTADO: NATURAL, PRESENTACION: UNIDAD  UNIDAD DE 10 
KGS aproximado </t>
  </si>
  <si>
    <t xml:space="preserve">zapallo criollo por pieza de 10 kg </t>
  </si>
  <si>
    <t xml:space="preserve">42 </t>
  </si>
  <si>
    <t xml:space="preserve">2.1.1-4975.2 </t>
  </si>
  <si>
    <t xml:space="preserve">RICOTA; ENVASE: PAQUETE, PESO: 1 Kg, SABOR: SIN </t>
  </si>
  <si>
    <t xml:space="preserve">ricota apta celiacos marca: don garcia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</si>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</sst>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2.5703125" customWidth="1"/>
    <col min="5" max="5" width="80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100.28515625" customWidth="1"/>
    <col min="11" max="11" width="14.28515625" customWidth="1"/>
    <col min="12" max="12" width="17.28515625" customWidth="1"/>
    <col min="13" max="13" width="16.5703125" customWidth="1"/>
    <col min="14" max="14" width="46.42578125" customWidth="1"/>
    <col min="15" max="15" width="14.28515625" customWidth="1"/>
    <col min="16" max="16" width="17.28515625" customWidth="1"/>
    <col min="17" max="17" width="16.5703125" customWidth="1"/>
    <col min="18" max="18" width="77.425781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s="4" t="s">
        <v>25</v>
      </c>
      <c r="E10">
        <v>699</v>
      </c>
      <c r="F10" t="s">
        <v>26</v>
      </c>
      <c r="G10" s="3">
        <v>216</v>
      </c>
      <c r="H10" s="3">
        <v>699</v>
      </c>
      <c r="I10" s="5">
        <v>150984</v>
      </c>
      <c r="J10" s="4" t="s">
        <v>27</v>
      </c>
      <c r="K10" s="3">
        <v>90</v>
      </c>
      <c r="L10" s="3">
        <v>699</v>
      </c>
      <c r="M10" s="5">
        <v>62910</v>
      </c>
      <c r="N10" t="s">
        <v>28</v>
      </c>
      <c r="O10" s="3"/>
      <c r="P10" s="3"/>
      <c r="Q10" s="5"/>
    </row>
    <row r="11" spans="1:18" ht="45" x14ac:dyDescent="0.25">
      <c r="A11" t="s">
        <v>29</v>
      </c>
      <c r="B11" t="s">
        <v>23</v>
      </c>
      <c r="C11" t="s">
        <v>30</v>
      </c>
      <c r="D11" s="4" t="s">
        <v>31</v>
      </c>
      <c r="E11">
        <v>80</v>
      </c>
      <c r="F11" t="s">
        <v>26</v>
      </c>
      <c r="G11" s="3">
        <v>88</v>
      </c>
      <c r="H11" s="3">
        <v>80</v>
      </c>
      <c r="I11" s="5">
        <v>7040</v>
      </c>
      <c r="J11" s="4" t="s">
        <v>32</v>
      </c>
      <c r="K11" s="3">
        <v>190</v>
      </c>
      <c r="L11" s="3">
        <v>80</v>
      </c>
      <c r="M11" s="5">
        <v>15200</v>
      </c>
      <c r="N11" t="s">
        <v>33</v>
      </c>
      <c r="O11" s="3"/>
      <c r="P11" s="3"/>
      <c r="Q11" s="5"/>
    </row>
    <row r="12" spans="1:18" ht="30" x14ac:dyDescent="0.25">
      <c r="A12" t="s">
        <v>34</v>
      </c>
      <c r="B12" t="s">
        <v>23</v>
      </c>
      <c r="C12" t="s">
        <v>35</v>
      </c>
      <c r="D12" s="4" t="s">
        <v>36</v>
      </c>
      <c r="E12">
        <v>800</v>
      </c>
      <c r="F12" t="s">
        <v>26</v>
      </c>
      <c r="G12" s="3">
        <v>180</v>
      </c>
      <c r="H12" s="3">
        <v>800</v>
      </c>
      <c r="I12" s="5">
        <v>144000</v>
      </c>
      <c r="J12" s="4" t="s">
        <v>37</v>
      </c>
      <c r="K12" s="3">
        <v>236</v>
      </c>
      <c r="L12" s="3">
        <v>800</v>
      </c>
      <c r="M12" s="5">
        <v>188800</v>
      </c>
      <c r="N12" t="s">
        <v>38</v>
      </c>
      <c r="O12" s="3"/>
      <c r="P12" s="3"/>
      <c r="Q12" s="5"/>
    </row>
    <row r="13" spans="1:18" ht="30" x14ac:dyDescent="0.25">
      <c r="A13" t="s">
        <v>39</v>
      </c>
      <c r="B13" t="s">
        <v>23</v>
      </c>
      <c r="C13" t="s">
        <v>40</v>
      </c>
      <c r="D13" s="4" t="s">
        <v>41</v>
      </c>
      <c r="E13">
        <v>10</v>
      </c>
      <c r="F13" t="s">
        <v>26</v>
      </c>
      <c r="G13" s="3">
        <v>400</v>
      </c>
      <c r="H13" s="3">
        <v>10</v>
      </c>
      <c r="I13" s="5">
        <v>4000</v>
      </c>
      <c r="J13" t="s">
        <v>42</v>
      </c>
      <c r="K13" s="3">
        <v>500</v>
      </c>
      <c r="L13" s="3">
        <v>10</v>
      </c>
      <c r="M13" s="5">
        <v>5000</v>
      </c>
      <c r="N13" t="s">
        <v>43</v>
      </c>
      <c r="O13" s="3"/>
      <c r="P13" s="3"/>
      <c r="Q13" s="5"/>
    </row>
    <row r="14" spans="1:18" ht="30" x14ac:dyDescent="0.25">
      <c r="A14" t="s">
        <v>44</v>
      </c>
      <c r="B14" t="s">
        <v>23</v>
      </c>
      <c r="C14" t="s">
        <v>45</v>
      </c>
      <c r="D14" s="4" t="s">
        <v>46</v>
      </c>
      <c r="E14">
        <v>14</v>
      </c>
      <c r="F14" t="s">
        <v>26</v>
      </c>
      <c r="G14" s="3">
        <v>12000</v>
      </c>
      <c r="H14" s="3">
        <v>14</v>
      </c>
      <c r="I14" s="5">
        <v>168000</v>
      </c>
      <c r="J14" s="4" t="s">
        <v>47</v>
      </c>
      <c r="K14" s="3">
        <v>6500</v>
      </c>
      <c r="L14" s="3">
        <v>14</v>
      </c>
      <c r="M14" s="5">
        <v>91000</v>
      </c>
      <c r="N14" t="s">
        <v>48</v>
      </c>
      <c r="O14" s="3"/>
      <c r="P14" s="3"/>
      <c r="Q14" s="5"/>
    </row>
    <row r="15" spans="1:18" ht="30" x14ac:dyDescent="0.25">
      <c r="A15" t="s">
        <v>49</v>
      </c>
      <c r="B15" t="s">
        <v>23</v>
      </c>
      <c r="C15" t="s">
        <v>50</v>
      </c>
      <c r="D15" s="4" t="s">
        <v>51</v>
      </c>
      <c r="E15">
        <v>10</v>
      </c>
      <c r="F15" t="s">
        <v>26</v>
      </c>
      <c r="G15" s="3">
        <v>4600</v>
      </c>
      <c r="H15" s="3">
        <v>10</v>
      </c>
      <c r="I15" s="5">
        <v>46000</v>
      </c>
      <c r="J15" t="s">
        <v>52</v>
      </c>
      <c r="K15" s="3">
        <v>4600</v>
      </c>
      <c r="L15" s="3">
        <v>10</v>
      </c>
      <c r="M15" s="5">
        <v>46000</v>
      </c>
      <c r="N15" t="s">
        <v>53</v>
      </c>
      <c r="O15" s="3"/>
      <c r="P15" s="3"/>
      <c r="Q15" s="5"/>
    </row>
    <row r="16" spans="1:18" ht="30" x14ac:dyDescent="0.25">
      <c r="A16" t="s">
        <v>54</v>
      </c>
      <c r="B16" t="s">
        <v>23</v>
      </c>
      <c r="C16" t="s">
        <v>55</v>
      </c>
      <c r="D16" s="4" t="s">
        <v>56</v>
      </c>
      <c r="E16">
        <v>2</v>
      </c>
      <c r="F16" t="s">
        <v>26</v>
      </c>
      <c r="G16" s="3">
        <v>2600</v>
      </c>
      <c r="H16" s="3">
        <v>2</v>
      </c>
      <c r="I16" s="5">
        <v>5200</v>
      </c>
      <c r="J16" s="4" t="s">
        <v>57</v>
      </c>
      <c r="K16" s="3">
        <v>5000</v>
      </c>
      <c r="L16" s="3">
        <v>2</v>
      </c>
      <c r="M16" s="5">
        <v>10000</v>
      </c>
      <c r="N16" t="s">
        <v>58</v>
      </c>
      <c r="O16" s="3"/>
      <c r="P16" s="3"/>
      <c r="Q16" s="5"/>
    </row>
    <row r="17" spans="1:18" ht="30" x14ac:dyDescent="0.25">
      <c r="A17" t="s">
        <v>59</v>
      </c>
      <c r="B17" t="s">
        <v>23</v>
      </c>
      <c r="C17" t="s">
        <v>60</v>
      </c>
      <c r="D17" t="s">
        <v>61</v>
      </c>
      <c r="E17">
        <v>300</v>
      </c>
      <c r="F17" t="s">
        <v>26</v>
      </c>
      <c r="G17" s="3">
        <v>1890</v>
      </c>
      <c r="H17" s="3">
        <v>300</v>
      </c>
      <c r="I17" s="5">
        <v>567000</v>
      </c>
      <c r="J17" s="4" t="s">
        <v>62</v>
      </c>
      <c r="K17" s="3">
        <v>1980</v>
      </c>
      <c r="L17" s="3">
        <v>300</v>
      </c>
      <c r="M17" s="5">
        <v>594000</v>
      </c>
      <c r="N17" t="s">
        <v>63</v>
      </c>
      <c r="O17" s="3"/>
      <c r="P17" s="3"/>
      <c r="Q17" s="5"/>
    </row>
    <row r="18" spans="1:18" ht="30" x14ac:dyDescent="0.25">
      <c r="A18" t="s">
        <v>64</v>
      </c>
      <c r="B18" t="s">
        <v>23</v>
      </c>
      <c r="C18" t="s">
        <v>65</v>
      </c>
      <c r="D18" t="s">
        <v>66</v>
      </c>
      <c r="E18">
        <v>150</v>
      </c>
      <c r="F18" t="s">
        <v>26</v>
      </c>
      <c r="G18" s="3">
        <v>1290</v>
      </c>
      <c r="H18" s="3">
        <v>150</v>
      </c>
      <c r="I18" s="5">
        <v>193500</v>
      </c>
      <c r="J18" s="4" t="s">
        <v>67</v>
      </c>
      <c r="K18" s="3"/>
      <c r="L18" s="3"/>
      <c r="M18" s="5"/>
      <c r="O18" s="3"/>
      <c r="P18" s="3"/>
      <c r="Q18" s="5"/>
    </row>
    <row r="19" spans="1:18" ht="30" x14ac:dyDescent="0.25">
      <c r="A19" t="s">
        <v>68</v>
      </c>
      <c r="B19" t="s">
        <v>23</v>
      </c>
      <c r="C19" t="s">
        <v>69</v>
      </c>
      <c r="D19" s="4" t="s">
        <v>70</v>
      </c>
      <c r="E19">
        <v>36</v>
      </c>
      <c r="F19" t="s">
        <v>26</v>
      </c>
      <c r="G19" s="3">
        <v>5200</v>
      </c>
      <c r="H19" s="3">
        <v>36</v>
      </c>
      <c r="I19" s="5">
        <v>187200</v>
      </c>
      <c r="J19" t="s">
        <v>71</v>
      </c>
      <c r="K19" s="3">
        <v>5900</v>
      </c>
      <c r="L19" s="3">
        <v>36</v>
      </c>
      <c r="M19" s="5">
        <v>212400</v>
      </c>
      <c r="N19" t="s">
        <v>72</v>
      </c>
      <c r="O19" s="3"/>
      <c r="P19" s="3"/>
      <c r="Q19" s="5"/>
    </row>
    <row r="20" spans="1:18" ht="45" x14ac:dyDescent="0.25">
      <c r="A20" t="s">
        <v>73</v>
      </c>
      <c r="B20" t="s">
        <v>23</v>
      </c>
      <c r="C20" t="s">
        <v>74</v>
      </c>
      <c r="D20" s="4" t="s">
        <v>75</v>
      </c>
      <c r="E20">
        <v>2</v>
      </c>
      <c r="F20" t="s">
        <v>26</v>
      </c>
      <c r="G20" s="3"/>
      <c r="H20" s="3"/>
      <c r="I20" s="5"/>
      <c r="K20" s="3">
        <v>10000</v>
      </c>
      <c r="L20" s="3">
        <v>2</v>
      </c>
      <c r="M20" s="5">
        <v>20000</v>
      </c>
      <c r="N20" t="s">
        <v>76</v>
      </c>
      <c r="O20" s="3"/>
      <c r="P20" s="3"/>
      <c r="Q20" s="5"/>
    </row>
    <row r="21" spans="1:18" ht="30" x14ac:dyDescent="0.25">
      <c r="A21" t="s">
        <v>77</v>
      </c>
      <c r="B21" t="s">
        <v>23</v>
      </c>
      <c r="C21" t="s">
        <v>78</v>
      </c>
      <c r="D21" t="s">
        <v>79</v>
      </c>
      <c r="E21">
        <v>200</v>
      </c>
      <c r="F21" t="s">
        <v>26</v>
      </c>
      <c r="G21" s="3">
        <v>1290</v>
      </c>
      <c r="H21" s="3">
        <v>200</v>
      </c>
      <c r="I21" s="5">
        <v>258000</v>
      </c>
      <c r="J21" t="s">
        <v>80</v>
      </c>
      <c r="K21" s="3">
        <v>1600</v>
      </c>
      <c r="L21" s="3">
        <v>200</v>
      </c>
      <c r="M21" s="5">
        <v>320000</v>
      </c>
      <c r="N21" s="4" t="s">
        <v>81</v>
      </c>
      <c r="O21" s="3"/>
      <c r="P21" s="3"/>
      <c r="Q21" s="5"/>
    </row>
    <row r="22" spans="1:18" ht="30" x14ac:dyDescent="0.25">
      <c r="A22" t="s">
        <v>82</v>
      </c>
      <c r="B22" t="s">
        <v>23</v>
      </c>
      <c r="C22" t="s">
        <v>83</v>
      </c>
      <c r="D22" t="s">
        <v>84</v>
      </c>
      <c r="E22">
        <v>150</v>
      </c>
      <c r="F22" t="s">
        <v>26</v>
      </c>
      <c r="G22" s="3">
        <v>990</v>
      </c>
      <c r="H22" s="3">
        <v>150</v>
      </c>
      <c r="I22" s="5">
        <v>148500</v>
      </c>
      <c r="J22" s="4" t="s">
        <v>85</v>
      </c>
      <c r="K22" s="3">
        <v>1800</v>
      </c>
      <c r="L22" s="3">
        <v>150</v>
      </c>
      <c r="M22" s="5">
        <v>270000</v>
      </c>
      <c r="N22" t="s">
        <v>86</v>
      </c>
      <c r="O22" s="3"/>
      <c r="P22" s="3"/>
      <c r="Q22" s="5"/>
    </row>
    <row r="23" spans="1:18" ht="30" x14ac:dyDescent="0.25">
      <c r="A23" t="s">
        <v>87</v>
      </c>
      <c r="B23" t="s">
        <v>23</v>
      </c>
      <c r="C23" t="s">
        <v>88</v>
      </c>
      <c r="D23" t="s">
        <v>89</v>
      </c>
      <c r="E23">
        <v>40</v>
      </c>
      <c r="F23" t="s">
        <v>26</v>
      </c>
      <c r="G23" s="3">
        <v>2090</v>
      </c>
      <c r="H23" s="3">
        <v>40</v>
      </c>
      <c r="I23" s="5">
        <v>83600</v>
      </c>
      <c r="J23" s="4" t="s">
        <v>90</v>
      </c>
      <c r="K23" s="3">
        <v>4500</v>
      </c>
      <c r="L23" s="3">
        <v>40</v>
      </c>
      <c r="M23" s="5">
        <v>180000</v>
      </c>
      <c r="N23" t="s">
        <v>91</v>
      </c>
      <c r="O23" s="3">
        <v>1639</v>
      </c>
      <c r="P23" s="3">
        <v>40</v>
      </c>
      <c r="Q23" s="5">
        <v>65560</v>
      </c>
      <c r="R23" s="4" t="s">
        <v>92</v>
      </c>
    </row>
    <row r="24" spans="1:18" ht="45" x14ac:dyDescent="0.25">
      <c r="A24" t="s">
        <v>93</v>
      </c>
      <c r="B24" t="s">
        <v>23</v>
      </c>
      <c r="C24" t="s">
        <v>94</v>
      </c>
      <c r="D24" s="4" t="s">
        <v>95</v>
      </c>
      <c r="E24">
        <v>10</v>
      </c>
      <c r="F24" t="s">
        <v>26</v>
      </c>
      <c r="G24" s="3">
        <v>2400</v>
      </c>
      <c r="H24" s="3">
        <v>10</v>
      </c>
      <c r="I24" s="5">
        <v>24000</v>
      </c>
      <c r="J24" s="4" t="s">
        <v>96</v>
      </c>
      <c r="K24" s="3">
        <v>4900</v>
      </c>
      <c r="L24" s="3">
        <v>10</v>
      </c>
      <c r="M24" s="5">
        <v>49000</v>
      </c>
      <c r="N24" t="s">
        <v>97</v>
      </c>
      <c r="O24" s="3"/>
      <c r="P24" s="3"/>
      <c r="Q24" s="5"/>
    </row>
    <row r="25" spans="1:18" ht="30" x14ac:dyDescent="0.25">
      <c r="A25" t="s">
        <v>98</v>
      </c>
      <c r="B25" t="s">
        <v>23</v>
      </c>
      <c r="C25" t="s">
        <v>99</v>
      </c>
      <c r="D25" s="4" t="s">
        <v>100</v>
      </c>
      <c r="E25">
        <v>50</v>
      </c>
      <c r="F25" t="s">
        <v>26</v>
      </c>
      <c r="G25" s="3">
        <v>80</v>
      </c>
      <c r="H25" s="3">
        <v>50</v>
      </c>
      <c r="I25" s="5">
        <v>4000</v>
      </c>
      <c r="J25" t="s">
        <v>101</v>
      </c>
      <c r="K25" s="3">
        <v>270</v>
      </c>
      <c r="L25" s="3">
        <v>50</v>
      </c>
      <c r="M25" s="5">
        <v>13500</v>
      </c>
      <c r="N25" t="s">
        <v>102</v>
      </c>
      <c r="O25" s="3"/>
      <c r="P25" s="3"/>
      <c r="Q25" s="5"/>
    </row>
    <row r="26" spans="1:18" ht="30" x14ac:dyDescent="0.25">
      <c r="A26" t="s">
        <v>103</v>
      </c>
      <c r="B26" t="s">
        <v>23</v>
      </c>
      <c r="C26" t="s">
        <v>104</v>
      </c>
      <c r="D26" s="4" t="s">
        <v>105</v>
      </c>
      <c r="E26">
        <v>20</v>
      </c>
      <c r="F26" t="s">
        <v>26</v>
      </c>
      <c r="G26" s="3">
        <v>9000</v>
      </c>
      <c r="H26" s="3">
        <v>20</v>
      </c>
      <c r="I26" s="5">
        <v>180000</v>
      </c>
      <c r="J26" s="4" t="s">
        <v>106</v>
      </c>
      <c r="K26" s="3">
        <v>14000</v>
      </c>
      <c r="L26" s="3">
        <v>20</v>
      </c>
      <c r="M26" s="5">
        <v>280000</v>
      </c>
      <c r="N26" t="s">
        <v>107</v>
      </c>
      <c r="O26" s="3"/>
      <c r="P26" s="3"/>
      <c r="Q26" s="5"/>
    </row>
    <row r="27" spans="1:18" ht="30" x14ac:dyDescent="0.25">
      <c r="A27" t="s">
        <v>108</v>
      </c>
      <c r="B27" t="s">
        <v>23</v>
      </c>
      <c r="C27" t="s">
        <v>109</v>
      </c>
      <c r="D27" t="s">
        <v>110</v>
      </c>
      <c r="E27">
        <v>500</v>
      </c>
      <c r="F27" t="s">
        <v>26</v>
      </c>
      <c r="G27" s="3">
        <v>1760</v>
      </c>
      <c r="H27" s="3">
        <v>500</v>
      </c>
      <c r="I27" s="5">
        <v>880000</v>
      </c>
      <c r="J27" s="4" t="s">
        <v>111</v>
      </c>
      <c r="K27" s="3">
        <v>2400</v>
      </c>
      <c r="L27" s="3">
        <v>500</v>
      </c>
      <c r="M27" s="5">
        <v>1200000</v>
      </c>
      <c r="N27" t="s">
        <v>112</v>
      </c>
      <c r="O27" s="3"/>
      <c r="P27" s="3"/>
      <c r="Q27" s="5"/>
    </row>
    <row r="28" spans="1:18" ht="30" x14ac:dyDescent="0.25">
      <c r="A28" t="s">
        <v>113</v>
      </c>
      <c r="B28" t="s">
        <v>23</v>
      </c>
      <c r="C28" t="s">
        <v>114</v>
      </c>
      <c r="D28" t="s">
        <v>115</v>
      </c>
      <c r="E28">
        <v>50</v>
      </c>
      <c r="F28" t="s">
        <v>26</v>
      </c>
      <c r="G28" s="3">
        <v>1760</v>
      </c>
      <c r="H28" s="3">
        <v>50</v>
      </c>
      <c r="I28" s="5">
        <v>88000</v>
      </c>
      <c r="J28" s="4" t="s">
        <v>116</v>
      </c>
      <c r="K28" s="3">
        <v>2100</v>
      </c>
      <c r="L28" s="3">
        <v>50</v>
      </c>
      <c r="M28" s="5">
        <v>105000</v>
      </c>
      <c r="N28" t="s">
        <v>117</v>
      </c>
      <c r="O28" s="3"/>
      <c r="P28" s="3"/>
      <c r="Q28" s="5"/>
    </row>
    <row r="29" spans="1:18" ht="30" x14ac:dyDescent="0.25">
      <c r="A29" t="s">
        <v>118</v>
      </c>
      <c r="B29" t="s">
        <v>23</v>
      </c>
      <c r="C29" t="s">
        <v>119</v>
      </c>
      <c r="D29" s="4" t="s">
        <v>120</v>
      </c>
      <c r="E29">
        <v>10</v>
      </c>
      <c r="F29" t="s">
        <v>26</v>
      </c>
      <c r="G29" s="3">
        <v>1800</v>
      </c>
      <c r="H29" s="3">
        <v>10</v>
      </c>
      <c r="I29" s="5">
        <v>18000</v>
      </c>
      <c r="J29" s="4" t="s">
        <v>121</v>
      </c>
      <c r="K29" s="3">
        <v>3500</v>
      </c>
      <c r="L29" s="3">
        <v>10</v>
      </c>
      <c r="M29" s="5">
        <v>35000</v>
      </c>
      <c r="N29" t="s">
        <v>122</v>
      </c>
      <c r="O29" s="3"/>
      <c r="P29" s="3"/>
      <c r="Q29" s="5"/>
    </row>
    <row r="30" spans="1:18" x14ac:dyDescent="0.25">
      <c r="A30" t="s">
        <v>123</v>
      </c>
      <c r="B30" t="s">
        <v>23</v>
      </c>
      <c r="C30" t="s">
        <v>124</v>
      </c>
      <c r="D30" t="s">
        <v>125</v>
      </c>
      <c r="E30">
        <v>600</v>
      </c>
      <c r="F30" t="s">
        <v>26</v>
      </c>
      <c r="G30" s="3"/>
      <c r="H30" s="3"/>
      <c r="I30" s="5"/>
      <c r="K30" s="3">
        <v>590</v>
      </c>
      <c r="L30" s="3">
        <v>600</v>
      </c>
      <c r="M30" s="5">
        <v>354000</v>
      </c>
      <c r="N30" t="s">
        <v>126</v>
      </c>
      <c r="O30" s="3"/>
      <c r="P30" s="3"/>
      <c r="Q30" s="5"/>
    </row>
    <row r="31" spans="1:18" x14ac:dyDescent="0.25">
      <c r="A31" t="s">
        <v>127</v>
      </c>
      <c r="B31" t="s">
        <v>23</v>
      </c>
      <c r="C31" t="s">
        <v>128</v>
      </c>
      <c r="D31" t="s">
        <v>129</v>
      </c>
      <c r="E31">
        <v>100</v>
      </c>
      <c r="F31" t="s">
        <v>26</v>
      </c>
      <c r="G31" s="3"/>
      <c r="H31" s="3"/>
      <c r="I31" s="5"/>
      <c r="K31" s="3">
        <v>590</v>
      </c>
      <c r="L31" s="3">
        <v>100</v>
      </c>
      <c r="M31" s="5">
        <v>59000</v>
      </c>
      <c r="N31" t="s">
        <v>130</v>
      </c>
      <c r="O31" s="3"/>
      <c r="P31" s="3"/>
      <c r="Q31" s="5"/>
    </row>
    <row r="32" spans="1:18" ht="30" x14ac:dyDescent="0.25">
      <c r="A32" t="s">
        <v>131</v>
      </c>
      <c r="B32" t="s">
        <v>23</v>
      </c>
      <c r="C32" t="s">
        <v>132</v>
      </c>
      <c r="D32" s="4" t="s">
        <v>133</v>
      </c>
      <c r="E32">
        <v>50</v>
      </c>
      <c r="F32" t="s">
        <v>26</v>
      </c>
      <c r="G32" s="3">
        <v>2800</v>
      </c>
      <c r="H32" s="3">
        <v>50</v>
      </c>
      <c r="I32" s="5">
        <v>140000</v>
      </c>
      <c r="J32" t="s">
        <v>134</v>
      </c>
      <c r="K32" s="3">
        <v>3600</v>
      </c>
      <c r="L32" s="3">
        <v>50</v>
      </c>
      <c r="M32" s="5">
        <v>180000</v>
      </c>
      <c r="N32" t="s">
        <v>135</v>
      </c>
      <c r="O32" s="3"/>
      <c r="P32" s="3"/>
      <c r="Q32" s="5"/>
    </row>
    <row r="33" spans="1:18" ht="30" x14ac:dyDescent="0.25">
      <c r="A33" t="s">
        <v>136</v>
      </c>
      <c r="B33" t="s">
        <v>23</v>
      </c>
      <c r="C33" t="s">
        <v>137</v>
      </c>
      <c r="D33" t="s">
        <v>138</v>
      </c>
      <c r="E33">
        <v>117</v>
      </c>
      <c r="F33" t="s">
        <v>26</v>
      </c>
      <c r="G33" s="3">
        <v>2290</v>
      </c>
      <c r="H33" s="3">
        <v>117</v>
      </c>
      <c r="I33" s="5">
        <v>267930</v>
      </c>
      <c r="J33" s="4" t="s">
        <v>139</v>
      </c>
      <c r="K33" s="3">
        <v>2900</v>
      </c>
      <c r="L33" s="3">
        <v>117</v>
      </c>
      <c r="M33" s="5">
        <v>339300</v>
      </c>
      <c r="N33" t="s">
        <v>140</v>
      </c>
      <c r="O33" s="3"/>
      <c r="P33" s="3"/>
      <c r="Q33" s="5"/>
    </row>
    <row r="34" spans="1:18" ht="30" x14ac:dyDescent="0.25">
      <c r="A34" t="s">
        <v>141</v>
      </c>
      <c r="B34" t="s">
        <v>23</v>
      </c>
      <c r="C34" t="s">
        <v>142</v>
      </c>
      <c r="D34" s="4" t="s">
        <v>143</v>
      </c>
      <c r="E34">
        <v>15</v>
      </c>
      <c r="F34" t="s">
        <v>26</v>
      </c>
      <c r="G34" s="3">
        <v>4600</v>
      </c>
      <c r="H34" s="3">
        <v>15</v>
      </c>
      <c r="I34" s="5">
        <v>69000</v>
      </c>
      <c r="J34" t="s">
        <v>144</v>
      </c>
      <c r="K34" s="3">
        <v>7000</v>
      </c>
      <c r="L34" s="3">
        <v>15</v>
      </c>
      <c r="M34" s="5">
        <v>105000</v>
      </c>
      <c r="N34" t="s">
        <v>145</v>
      </c>
      <c r="O34" s="3"/>
      <c r="P34" s="3"/>
      <c r="Q34" s="5"/>
    </row>
    <row r="35" spans="1:18" ht="30" x14ac:dyDescent="0.25">
      <c r="A35" t="s">
        <v>146</v>
      </c>
      <c r="B35" t="s">
        <v>23</v>
      </c>
      <c r="C35" t="s">
        <v>147</v>
      </c>
      <c r="D35" s="4" t="s">
        <v>148</v>
      </c>
      <c r="E35">
        <v>10</v>
      </c>
      <c r="F35" t="s">
        <v>26</v>
      </c>
      <c r="G35" s="3">
        <v>800</v>
      </c>
      <c r="H35" s="3">
        <v>10</v>
      </c>
      <c r="I35" s="5">
        <v>8000</v>
      </c>
      <c r="J35" s="4" t="s">
        <v>149</v>
      </c>
      <c r="K35" s="3">
        <v>600</v>
      </c>
      <c r="L35" s="3">
        <v>10</v>
      </c>
      <c r="M35" s="5">
        <v>6000</v>
      </c>
      <c r="N35" t="s">
        <v>150</v>
      </c>
      <c r="O35" s="3"/>
      <c r="P35" s="3"/>
      <c r="Q35" s="5"/>
    </row>
    <row r="36" spans="1:18" ht="45" x14ac:dyDescent="0.25">
      <c r="A36" t="s">
        <v>151</v>
      </c>
      <c r="B36" t="s">
        <v>23</v>
      </c>
      <c r="C36" t="s">
        <v>152</v>
      </c>
      <c r="D36" s="4" t="s">
        <v>153</v>
      </c>
      <c r="E36">
        <v>20</v>
      </c>
      <c r="F36" t="s">
        <v>26</v>
      </c>
      <c r="G36" s="3">
        <v>2600</v>
      </c>
      <c r="H36" s="3">
        <v>20</v>
      </c>
      <c r="I36" s="5">
        <v>52000</v>
      </c>
      <c r="J36" s="4" t="s">
        <v>154</v>
      </c>
      <c r="K36" s="3">
        <v>7500</v>
      </c>
      <c r="L36" s="3">
        <v>20</v>
      </c>
      <c r="M36" s="5">
        <v>150000</v>
      </c>
      <c r="N36" t="s">
        <v>155</v>
      </c>
      <c r="O36" s="3"/>
      <c r="P36" s="3"/>
      <c r="Q36" s="5"/>
    </row>
    <row r="37" spans="1:18" ht="30" x14ac:dyDescent="0.25">
      <c r="A37" t="s">
        <v>156</v>
      </c>
      <c r="B37" t="s">
        <v>23</v>
      </c>
      <c r="C37" t="s">
        <v>157</v>
      </c>
      <c r="D37" s="4" t="s">
        <v>158</v>
      </c>
      <c r="E37">
        <v>20</v>
      </c>
      <c r="F37" t="s">
        <v>26</v>
      </c>
      <c r="G37" s="3">
        <v>2200</v>
      </c>
      <c r="H37" s="3">
        <v>20</v>
      </c>
      <c r="I37" s="5">
        <v>44000</v>
      </c>
      <c r="J37" s="4" t="s">
        <v>159</v>
      </c>
      <c r="K37" s="3">
        <v>2800</v>
      </c>
      <c r="L37" s="3">
        <v>20</v>
      </c>
      <c r="M37" s="5">
        <v>56000</v>
      </c>
      <c r="N37" t="s">
        <v>160</v>
      </c>
      <c r="O37" s="3"/>
      <c r="P37" s="3"/>
      <c r="Q37" s="5"/>
    </row>
    <row r="38" spans="1:18" ht="45" x14ac:dyDescent="0.25">
      <c r="A38" t="s">
        <v>161</v>
      </c>
      <c r="B38" t="s">
        <v>23</v>
      </c>
      <c r="C38" t="s">
        <v>162</v>
      </c>
      <c r="D38" s="4" t="s">
        <v>163</v>
      </c>
      <c r="E38">
        <v>200</v>
      </c>
      <c r="F38" t="s">
        <v>26</v>
      </c>
      <c r="G38" s="3">
        <v>1160</v>
      </c>
      <c r="H38" s="3">
        <v>200</v>
      </c>
      <c r="I38" s="5">
        <v>232000</v>
      </c>
      <c r="J38" s="4" t="s">
        <v>164</v>
      </c>
      <c r="K38" s="3"/>
      <c r="L38" s="3"/>
      <c r="M38" s="5"/>
      <c r="O38" s="3">
        <v>839.99</v>
      </c>
      <c r="P38" s="3">
        <v>200</v>
      </c>
      <c r="Q38" s="5">
        <v>167998</v>
      </c>
      <c r="R38" t="s">
        <v>165</v>
      </c>
    </row>
    <row r="39" spans="1:18" ht="45" x14ac:dyDescent="0.25">
      <c r="A39" t="s">
        <v>166</v>
      </c>
      <c r="B39" t="s">
        <v>23</v>
      </c>
      <c r="C39" t="s">
        <v>167</v>
      </c>
      <c r="D39" s="4" t="s">
        <v>168</v>
      </c>
      <c r="E39">
        <v>10</v>
      </c>
      <c r="F39" t="s">
        <v>26</v>
      </c>
      <c r="G39" s="3">
        <v>6390</v>
      </c>
      <c r="H39" s="3">
        <v>10</v>
      </c>
      <c r="I39" s="5">
        <v>63900</v>
      </c>
      <c r="J39" s="4" t="s">
        <v>169</v>
      </c>
      <c r="K39" s="3"/>
      <c r="L39" s="3"/>
      <c r="M39" s="5"/>
      <c r="O39" s="3">
        <v>5438.5</v>
      </c>
      <c r="P39" s="3">
        <v>10</v>
      </c>
      <c r="Q39" s="5">
        <v>54385</v>
      </c>
      <c r="R39" s="4" t="s">
        <v>170</v>
      </c>
    </row>
    <row r="40" spans="1:18" ht="45" x14ac:dyDescent="0.25">
      <c r="A40" t="s">
        <v>171</v>
      </c>
      <c r="B40" t="s">
        <v>23</v>
      </c>
      <c r="C40" t="s">
        <v>172</v>
      </c>
      <c r="D40" s="4" t="s">
        <v>173</v>
      </c>
      <c r="E40">
        <v>20</v>
      </c>
      <c r="F40" t="s">
        <v>26</v>
      </c>
      <c r="G40" s="3">
        <v>1590</v>
      </c>
      <c r="H40" s="3">
        <v>20</v>
      </c>
      <c r="I40" s="5">
        <v>31800</v>
      </c>
      <c r="J40" s="4" t="s">
        <v>174</v>
      </c>
      <c r="K40" s="3"/>
      <c r="L40" s="3"/>
      <c r="M40" s="5"/>
      <c r="O40" s="3">
        <v>1291</v>
      </c>
      <c r="P40" s="3">
        <v>20</v>
      </c>
      <c r="Q40" s="5">
        <v>25820</v>
      </c>
      <c r="R40" t="s">
        <v>175</v>
      </c>
    </row>
    <row r="41" spans="1:18" ht="30" x14ac:dyDescent="0.25">
      <c r="A41" t="s">
        <v>176</v>
      </c>
      <c r="B41" t="s">
        <v>23</v>
      </c>
      <c r="C41" t="s">
        <v>177</v>
      </c>
      <c r="D41" s="4" t="s">
        <v>178</v>
      </c>
      <c r="E41">
        <v>10</v>
      </c>
      <c r="F41" t="s">
        <v>26</v>
      </c>
      <c r="G41" s="3">
        <v>527</v>
      </c>
      <c r="H41" s="3">
        <v>10</v>
      </c>
      <c r="I41" s="5">
        <v>5270</v>
      </c>
      <c r="J41" s="4" t="s">
        <v>179</v>
      </c>
      <c r="K41" s="3"/>
      <c r="L41" s="3"/>
      <c r="M41" s="5"/>
      <c r="O41" s="3"/>
      <c r="P41" s="3"/>
      <c r="Q41" s="5"/>
    </row>
    <row r="42" spans="1:18" ht="30" x14ac:dyDescent="0.25">
      <c r="A42" t="s">
        <v>180</v>
      </c>
      <c r="B42" t="s">
        <v>23</v>
      </c>
      <c r="C42" t="s">
        <v>181</v>
      </c>
      <c r="D42" t="s">
        <v>182</v>
      </c>
      <c r="E42">
        <v>200</v>
      </c>
      <c r="F42" t="s">
        <v>26</v>
      </c>
      <c r="G42" s="3">
        <v>231</v>
      </c>
      <c r="H42" s="3">
        <v>200</v>
      </c>
      <c r="I42" s="5">
        <v>46200</v>
      </c>
      <c r="J42" s="4" t="s">
        <v>183</v>
      </c>
      <c r="K42" s="3"/>
      <c r="L42" s="3"/>
      <c r="M42" s="5"/>
      <c r="O42" s="3"/>
      <c r="P42" s="3"/>
      <c r="Q42" s="5"/>
    </row>
    <row r="43" spans="1:18" ht="30" x14ac:dyDescent="0.25">
      <c r="A43" t="s">
        <v>184</v>
      </c>
      <c r="B43" t="s">
        <v>23</v>
      </c>
      <c r="C43" t="s">
        <v>185</v>
      </c>
      <c r="D43" s="4" t="s">
        <v>186</v>
      </c>
      <c r="E43">
        <v>120</v>
      </c>
      <c r="F43" t="s">
        <v>26</v>
      </c>
      <c r="G43" s="3">
        <v>299</v>
      </c>
      <c r="H43" s="3">
        <v>120</v>
      </c>
      <c r="I43" s="5">
        <v>35880</v>
      </c>
      <c r="J43" s="4" t="s">
        <v>187</v>
      </c>
      <c r="K43" s="3"/>
      <c r="L43" s="3"/>
      <c r="M43" s="5"/>
      <c r="O43" s="3"/>
      <c r="P43" s="3"/>
      <c r="Q43" s="5"/>
    </row>
    <row r="44" spans="1:18" ht="30" x14ac:dyDescent="0.25">
      <c r="A44" t="s">
        <v>188</v>
      </c>
      <c r="B44" t="s">
        <v>23</v>
      </c>
      <c r="C44" t="s">
        <v>189</v>
      </c>
      <c r="D44" s="4" t="s">
        <v>190</v>
      </c>
      <c r="E44">
        <v>20</v>
      </c>
      <c r="F44" t="s">
        <v>26</v>
      </c>
      <c r="G44" s="3">
        <v>3600</v>
      </c>
      <c r="H44" s="3">
        <v>20</v>
      </c>
      <c r="I44" s="5">
        <v>72000</v>
      </c>
      <c r="J44" t="s">
        <v>191</v>
      </c>
      <c r="K44" s="3">
        <v>4000</v>
      </c>
      <c r="L44" s="3">
        <v>20</v>
      </c>
      <c r="M44" s="5">
        <v>80000</v>
      </c>
      <c r="N44" t="s">
        <v>192</v>
      </c>
      <c r="O44" s="3"/>
      <c r="P44" s="3"/>
      <c r="Q44" s="5"/>
    </row>
    <row r="45" spans="1:18" ht="45" x14ac:dyDescent="0.25">
      <c r="A45" t="s">
        <v>193</v>
      </c>
      <c r="B45" t="s">
        <v>23</v>
      </c>
      <c r="C45" t="s">
        <v>194</v>
      </c>
      <c r="D45" s="4" t="s">
        <v>195</v>
      </c>
      <c r="E45">
        <v>100</v>
      </c>
      <c r="F45" t="s">
        <v>26</v>
      </c>
      <c r="G45" s="3">
        <v>150</v>
      </c>
      <c r="H45" s="3">
        <v>100</v>
      </c>
      <c r="I45" s="5">
        <v>15000</v>
      </c>
      <c r="J45" s="4" t="s">
        <v>196</v>
      </c>
      <c r="K45" s="3"/>
      <c r="L45" s="3"/>
      <c r="M45" s="5"/>
      <c r="O45" s="3"/>
      <c r="P45" s="3"/>
      <c r="Q45" s="5"/>
    </row>
    <row r="46" spans="1:18" ht="60" x14ac:dyDescent="0.25">
      <c r="A46" t="s">
        <v>197</v>
      </c>
      <c r="B46" t="s">
        <v>23</v>
      </c>
      <c r="C46" t="s">
        <v>198</v>
      </c>
      <c r="D46" s="4" t="s">
        <v>199</v>
      </c>
      <c r="E46">
        <v>100</v>
      </c>
      <c r="F46" t="s">
        <v>26</v>
      </c>
      <c r="G46" s="3">
        <v>150</v>
      </c>
      <c r="H46" s="3">
        <v>100</v>
      </c>
      <c r="I46" s="5">
        <v>15000</v>
      </c>
      <c r="J46" s="4" t="s">
        <v>200</v>
      </c>
      <c r="K46" s="3"/>
      <c r="L46" s="3"/>
      <c r="M46" s="5"/>
      <c r="O46" s="3"/>
      <c r="P46" s="3"/>
      <c r="Q46" s="5"/>
    </row>
    <row r="47" spans="1:18" ht="45" x14ac:dyDescent="0.25">
      <c r="A47" t="s">
        <v>201</v>
      </c>
      <c r="B47" t="s">
        <v>23</v>
      </c>
      <c r="C47" t="s">
        <v>202</v>
      </c>
      <c r="D47" s="4" t="s">
        <v>203</v>
      </c>
      <c r="E47">
        <v>30</v>
      </c>
      <c r="F47" t="s">
        <v>26</v>
      </c>
      <c r="G47" s="3">
        <v>1000</v>
      </c>
      <c r="H47" s="3">
        <v>30</v>
      </c>
      <c r="I47" s="5">
        <v>30000</v>
      </c>
      <c r="J47" t="s">
        <v>204</v>
      </c>
      <c r="K47" s="3">
        <v>1200</v>
      </c>
      <c r="L47" s="3">
        <v>30</v>
      </c>
      <c r="M47" s="5">
        <v>36000</v>
      </c>
      <c r="N47" t="s">
        <v>205</v>
      </c>
      <c r="O47" s="3"/>
      <c r="P47" s="3"/>
      <c r="Q47" s="5"/>
    </row>
    <row r="48" spans="1:18" ht="30" x14ac:dyDescent="0.25">
      <c r="A48" t="s">
        <v>206</v>
      </c>
      <c r="B48" t="s">
        <v>23</v>
      </c>
      <c r="C48" t="s">
        <v>207</v>
      </c>
      <c r="D48" s="4" t="s">
        <v>208</v>
      </c>
      <c r="E48">
        <v>8</v>
      </c>
      <c r="F48" t="s">
        <v>26</v>
      </c>
      <c r="G48" s="3">
        <v>2000</v>
      </c>
      <c r="H48" s="3">
        <v>8</v>
      </c>
      <c r="I48" s="5">
        <v>16000</v>
      </c>
      <c r="J48" t="s">
        <v>209</v>
      </c>
      <c r="K48" s="3">
        <v>2000</v>
      </c>
      <c r="L48" s="3">
        <v>8</v>
      </c>
      <c r="M48" s="5">
        <v>16000</v>
      </c>
      <c r="N48" t="s">
        <v>210</v>
      </c>
      <c r="O48" s="3"/>
      <c r="P48" s="3"/>
      <c r="Q48" s="5"/>
    </row>
    <row r="49" spans="1:17" ht="30" x14ac:dyDescent="0.25">
      <c r="A49" t="s">
        <v>211</v>
      </c>
      <c r="B49" t="s">
        <v>23</v>
      </c>
      <c r="C49" t="s">
        <v>212</v>
      </c>
      <c r="D49" s="4" t="s">
        <v>213</v>
      </c>
      <c r="E49">
        <v>8</v>
      </c>
      <c r="F49" t="s">
        <v>26</v>
      </c>
      <c r="G49" s="3">
        <v>3900</v>
      </c>
      <c r="H49" s="3">
        <v>8</v>
      </c>
      <c r="I49" s="5">
        <v>31200</v>
      </c>
      <c r="J49" t="s">
        <v>214</v>
      </c>
      <c r="K49" s="3">
        <v>2500</v>
      </c>
      <c r="L49" s="3">
        <v>8</v>
      </c>
      <c r="M49" s="5">
        <v>20000</v>
      </c>
      <c r="N49" t="s">
        <v>215</v>
      </c>
      <c r="O49" s="3"/>
      <c r="P49" s="3"/>
      <c r="Q49" s="5"/>
    </row>
    <row r="50" spans="1:17" ht="30" x14ac:dyDescent="0.25">
      <c r="A50" t="s">
        <v>216</v>
      </c>
      <c r="B50" t="s">
        <v>23</v>
      </c>
      <c r="C50" t="s">
        <v>217</v>
      </c>
      <c r="D50" s="4" t="s">
        <v>218</v>
      </c>
      <c r="E50">
        <v>1</v>
      </c>
      <c r="F50" t="s">
        <v>26</v>
      </c>
      <c r="G50" s="3">
        <v>7000</v>
      </c>
      <c r="H50" s="3">
        <v>1</v>
      </c>
      <c r="I50" s="5">
        <v>7000</v>
      </c>
      <c r="J50" s="4" t="s">
        <v>219</v>
      </c>
      <c r="K50" s="3">
        <v>5000</v>
      </c>
      <c r="L50" s="3">
        <v>1</v>
      </c>
      <c r="M50" s="5">
        <v>5000</v>
      </c>
      <c r="N50" t="s">
        <v>220</v>
      </c>
      <c r="O50" s="3"/>
      <c r="P50" s="3"/>
      <c r="Q50" s="5"/>
    </row>
    <row r="51" spans="1:17" x14ac:dyDescent="0.25">
      <c r="A51" t="s">
        <v>221</v>
      </c>
      <c r="B51" t="s">
        <v>23</v>
      </c>
      <c r="C51" t="s">
        <v>222</v>
      </c>
      <c r="D51" t="s">
        <v>223</v>
      </c>
      <c r="E51">
        <v>1</v>
      </c>
      <c r="F51" t="s">
        <v>26</v>
      </c>
      <c r="G51" s="3"/>
      <c r="H51" s="3"/>
      <c r="I51" s="5"/>
      <c r="K51" s="3">
        <v>7000</v>
      </c>
      <c r="L51" s="3">
        <v>1</v>
      </c>
      <c r="M51" s="5">
        <v>7000</v>
      </c>
      <c r="N51" t="s">
        <v>224</v>
      </c>
      <c r="O51" s="3"/>
      <c r="P51" s="3"/>
      <c r="Q51" s="5"/>
    </row>
    <row r="52" spans="1:17" x14ac:dyDescent="0.25">
      <c r="C52" t="s">
        <v>225</v>
      </c>
      <c r="G52" s="3"/>
      <c r="H52" s="3"/>
      <c r="I52" s="5">
        <f>SUBTOTAL(109,Table2[Total por renglón])</f>
        <v>4339204</v>
      </c>
      <c r="K52" s="3"/>
      <c r="L52" s="3"/>
      <c r="M52" s="5">
        <f>SUBTOTAL(109,Table3[Total por renglón])</f>
        <v>5111110</v>
      </c>
      <c r="O52" s="3"/>
      <c r="P52" s="3"/>
      <c r="Q52" s="5">
        <f>SUBTOTAL(109,Table4[Total por renglón])</f>
        <v>313763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2022-11-10T19:31:44Z</dcterms:created>
  <dcterms:modified xsi:type="dcterms:W3CDTF">2022-11-12T13:16:42Z</dcterms:modified>
</cp:coreProperties>
</file>