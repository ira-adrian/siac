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5B7BEAB-E764-41A5-89A0-40EEFE3EB3E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81029"/>
</workbook>
</file>

<file path=xl/calcChain.xml><?xml version="1.0" encoding="utf-8"?>
<calcChain xmlns="http://schemas.openxmlformats.org/spreadsheetml/2006/main">
  <c r="I22" i="1" l="1"/>
  <c r="I21" i="1"/>
  <c r="I20" i="1"/>
  <c r="I19" i="1"/>
  <c r="I18" i="1"/>
  <c r="I17" i="1"/>
  <c r="I16" i="1"/>
  <c r="I15" i="1"/>
  <c r="I14" i="1"/>
  <c r="I13" i="1"/>
  <c r="I12" i="1"/>
  <c r="I11" i="1"/>
  <c r="I10" i="1"/>
  <c r="I23" i="1" l="1"/>
  <c r="I13" i="2" l="1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O15" i="3" l="1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<sst xmlns="http://schemas.openxmlformats.org/spreadsheetml/2006/main" count="153" uniqueCount="114">
  <si>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</si>
  <si>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</si>
  <si>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</si>
  <si>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</si>
  <si>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</si>
  <si>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</si>
  <si>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</si>
  <si>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</si>
  <si>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</si>
  <si>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</si>
  <si>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</si>
  <si>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</si>
  <si>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</si>
  <si>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</si>
  <si>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</si>
  <si>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</si>
  <si>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</si>
  <si>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</si>
  <si>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</si>
  <si>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</si>
  <si>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</si>
  <si>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</si>
  <si>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</si>
  <si>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</si>
  <si>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</si>
  <si>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</si>
  <si>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</si>
  <si>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</si>
  <si>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</si>
  <si>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</si>
  <si>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</si>
  <si>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</si>
  <si>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</si>
  <si>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</si>
  <si>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</si>
  <si>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</si>
  <si>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</si>
  <si>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</si>
  <si>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</si>
  <si>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</si>
  <si>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</si>
  <si>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</si>
  <si>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</si>
  <si>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</si>
  <si>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</si>
  <si>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</si>
  <si>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</si>
  <si>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</si>
  <si>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</si>
  <si>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</si>
  <si>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</si>
  <si>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</si>
  <si>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</si>
  <si>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</si>
  <si>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</si>
  <si>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90 - Ministerio de Seguridad</t>
  </si>
  <si>
    <t>Policía de la Provincia de Catamarca</t>
  </si>
  <si>
    <t>1.1</t>
  </si>
  <si>
    <t>SI</t>
  </si>
  <si>
    <t>7- Dirección Provincial de Administración de la Policía de la Provincia de Catamarca</t>
  </si>
  <si>
    <r>
      <t>AUTORIZACIÓN</t>
    </r>
    <r>
      <rPr>
        <b/>
        <sz val="10"/>
        <rFont val="Century Gothic"/>
        <family val="2"/>
      </rPr>
      <t>:</t>
    </r>
  </si>
  <si>
    <t>TOTAL DE PESOS:   Treinta y Cuatro Mil Novecientos Cincuenta con 00/100.-</t>
  </si>
  <si>
    <t>Especificidades:</t>
  </si>
  <si>
    <t>Adquisición de Uniformes de Fajina para el personal policial.</t>
  </si>
  <si>
    <t>División Intendencia, Departamento Logística</t>
  </si>
  <si>
    <t>Costo total estimado: Pesos Cinco Millones Doscientos Mil con 00/100.-</t>
  </si>
  <si>
    <t>3er trimestre Año 2021.-</t>
  </si>
  <si>
    <t>81/2021</t>
  </si>
  <si>
    <t>*</t>
  </si>
  <si>
    <t>30 días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</si>
  <si>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</si>
  <si>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Pracial N° 2 de la ley 4938.</t>
  </si>
  <si>
    <t>2.1.1</t>
  </si>
  <si>
    <t>ALIMENTOS</t>
  </si>
  <si>
    <t>2.1.1-542.236</t>
  </si>
  <si>
    <t>QUESOS; TIPO: CREMOSO, PRESENTACION: AL PESO, ELEM. TRANSPORTE: SIN, MATERIAL ELEM. TRANSPORTE: SIN, MATERIAL ENVASE: SIN, CERTIFICADO FORESTAL (GFS): SIN, LIBRE DE GLUTEN: A DEFINIR</t>
  </si>
  <si>
    <t>KILOGRAMOS</t>
  </si>
  <si>
    <t>2.1.1-541.176</t>
  </si>
  <si>
    <t>CARNES; TIPO: VACUNA, CORTE: CUARTO TRASERO</t>
  </si>
  <si>
    <t>2.1.1-6546.108</t>
  </si>
  <si>
    <t>2.1.1-6546.236</t>
  </si>
  <si>
    <t>VERDURAS Y HORTALIZAS; VARIEDAD: CEBOLLA, ESTADO: NATURAL, PRESENTACION: BOLSA, PESO: 20 Kg</t>
  </si>
  <si>
    <t>2.1.1-6546.167</t>
  </si>
  <si>
    <t>VERDURAS Y HORTALIZAS; VARIEDAD: ZANAHORIA, PRESENTACION: BOLSA, ESTADO: NATURAL, PESO: 20 Kg</t>
  </si>
  <si>
    <t>2.1.1-6546.95</t>
  </si>
  <si>
    <t>VERDURAS Y HORTALIZAS; VARIEDAD: MORRON VERDE, ESTADO: NATURAL, PRESENTACION: GRANEL, PESO: SIN VALOR</t>
  </si>
  <si>
    <t>2.1.1-6546.153</t>
  </si>
  <si>
    <t>VERDURAS Y HORTALIZAS; VARIEDAD: AJO, ESTADO: NATURAL, PRESENTACION: RISTRA, PESO: SIN VALOR</t>
  </si>
  <si>
    <t>CAJON</t>
  </si>
  <si>
    <t>2.1.1-6539.160</t>
  </si>
  <si>
    <t>FRUTAS; VARIEDAD: MANZANA, ESTADO: NATURAL, PRESENTACION: ENVASE X 20 Kg</t>
  </si>
  <si>
    <t>2.1.1-6546.47</t>
  </si>
  <si>
    <t>VERDURAS Y HORTALIZAS; VARIEDAD: CEBOLLA DE VERDEO, ESTADO: NATURAL, PRESENTACION: GRANEL, PESO: SIN VALOR</t>
  </si>
  <si>
    <t>uNIDAD</t>
  </si>
  <si>
    <t>2.1.1-621.13</t>
  </si>
  <si>
    <t>AVES; ESPECIE: POLLO, PRESENTACION: CAJON X 8 UN, EVISCERADO: SIN VALOR, TIPO: POLLO</t>
  </si>
  <si>
    <t>2.1.1.</t>
  </si>
  <si>
    <t>2.1.1-483.37</t>
  </si>
  <si>
    <t>HUEVO DE GALLINA; TAMAÑO: GRANDE, COLOR: COLOR, PRESENTACION: 30 UN</t>
  </si>
  <si>
    <t>2.1.1-6546.18</t>
  </si>
  <si>
    <t>VERDURAS Y HORTALIZAS; VARIEDAD: TOMATE REDONDO, ESTADO: NATURAL, PRESENTACION: CAJON, PESO: 10 Kg</t>
  </si>
  <si>
    <t>2.1.1-6546.133</t>
  </si>
  <si>
    <r>
      <t xml:space="preserve">Para los distintos tipos de </t>
    </r>
    <r>
      <rPr>
        <b/>
        <u/>
        <sz val="10"/>
        <rFont val="Century Gothic"/>
        <family val="2"/>
      </rPr>
      <t>Carnes:</t>
    </r>
    <r>
      <rPr>
        <sz val="10"/>
        <rFont val="Century Gothic"/>
        <family val="2"/>
      </rPr>
      <t xml:space="preserve"> Sin exceso de grasas, sin elementos extraños y en óptimas condiciones de higiene. Los oferentes deberán contar con la Habilitación del Local para la venta, expedida por Bromatología Municipal y Certificado de Transporte Alimenticio expedido por el Dpto. de Bromatología de la Provincia de Catamarca o Habilitación de Transporte Alimenticio según normas SENASA. Si el oferente no posee transporte propio, deberá presentar Acta Convenio, en cual se encuentre establecido el periodo de prestación del servicio y los datos del vehículo a utilizar.</t>
    </r>
  </si>
  <si>
    <t>ITEM 01:                    PESO:    Por KG</t>
  </si>
  <si>
    <t>ITEM 03:                    PESO:    bolsa de hasta 20 kg</t>
  </si>
  <si>
    <t>ITEM 06:                    PESO:    Por KG</t>
  </si>
  <si>
    <t>ITEM 07:                    PESO:    Ristra x 25KG aprox</t>
  </si>
  <si>
    <t xml:space="preserve">ITEM 08:                    PESO:    Cajon de 20 KG </t>
  </si>
  <si>
    <t>ITEM 09:                    PESO:    Atadito de hasta 200 gr</t>
  </si>
  <si>
    <t>ITEM 11:                    PRESENT: Maple x 30 unidades</t>
  </si>
  <si>
    <t xml:space="preserve">ITEM 13:                    PESO:   Atadito de hasta 100gr  </t>
  </si>
  <si>
    <r>
      <t xml:space="preserve">VERDURAS Y HORTALIZAS; VARIEDAD: PEREJIL, ESTADO: NATURAL, PRESENTACION: </t>
    </r>
    <r>
      <rPr>
        <sz val="11"/>
        <color rgb="FFFF0000"/>
        <rFont val="Calibri"/>
        <family val="2"/>
      </rPr>
      <t>ATADO, PESO: 1 Kg</t>
    </r>
  </si>
  <si>
    <r>
      <t xml:space="preserve">VERDURAS Y HORTALIZAS; VARIEDAD: PAPA NEGRA, ESTADO: NATURAL, PRESENTACION: </t>
    </r>
    <r>
      <rPr>
        <b/>
        <u/>
        <sz val="11"/>
        <color theme="1"/>
        <rFont val="Calibri"/>
        <family val="2"/>
      </rPr>
      <t>BOLSA, PESO: 10 Kg</t>
    </r>
  </si>
  <si>
    <r>
      <t xml:space="preserve">Para los oferentes que coticen </t>
    </r>
    <r>
      <rPr>
        <b/>
        <u/>
        <sz val="10"/>
        <rFont val="Century Gothic"/>
        <family val="2"/>
      </rPr>
      <t xml:space="preserve">carnes, frutas y verduras </t>
    </r>
    <r>
      <rPr>
        <sz val="10"/>
        <rFont val="Century Gothic"/>
        <family val="2"/>
      </rPr>
      <t xml:space="preserve">deberán presentar: CERTIFICADO DE HABILITACIÓN DEL LOCAL, DESINFECCIÓN DEL MISMO emitido por el Dpto. de Bromatología y CARNET SANITARIO del personal, en copia debidamente certificada por autoridad de Aplicación o Escribano Publico. El bien a proveer, deberá constar con la rotulación del frigorífico de origen </t>
    </r>
    <r>
      <rPr>
        <u/>
        <sz val="10"/>
        <color rgb="FFFF0000"/>
        <rFont val="Century Gothic"/>
        <family val="2"/>
      </rPr>
      <t xml:space="preserve">para el ítem N° 25.-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</si>
</sst>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b/>
      <u/>
      <sz val="10"/>
      <name val="Times New Roman"/>
      <family val="1"/>
    </font>
    <font>
      <sz val="11"/>
      <color theme="1"/>
      <name val="Calibri"/>
      <family val="2"/>
    </font>
    <font>
      <sz val="10"/>
      <color rgb="FFFF0000"/>
      <name val="Century Gothic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u/>
      <sz val="10"/>
      <color rgb="FFFF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4" fillId="0" borderId="0"/>
  </cellStyleXfs>
  <cellXfs count="153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1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69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7" fontId="5" fillId="3" borderId="33" xfId="3" applyNumberFormat="1" applyFont="1" applyFill="1" applyBorder="1" applyAlignment="1" applyProtection="1">
      <alignment horizontal="center" vertical="center"/>
    </xf>
    <xf numFmtId="167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70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0" fontId="9" fillId="5" borderId="5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/>
    </xf>
    <xf numFmtId="0" fontId="9" fillId="5" borderId="7" xfId="0" applyFont="1" applyFill="1" applyBorder="1" applyAlignment="1">
      <alignment horizontal="left"/>
    </xf>
    <xf numFmtId="167" fontId="5" fillId="3" borderId="42" xfId="1" applyNumberFormat="1" applyFont="1" applyFill="1" applyBorder="1" applyAlignment="1" applyProtection="1">
      <alignment horizontal="right" vertical="center" wrapText="1"/>
    </xf>
    <xf numFmtId="16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3" fillId="0" borderId="42" xfId="0" applyFont="1" applyBorder="1" applyAlignment="1">
      <alignment wrapText="1"/>
    </xf>
    <xf numFmtId="49" fontId="21" fillId="0" borderId="42" xfId="0" applyNumberFormat="1" applyFont="1" applyBorder="1" applyAlignment="1">
      <alignment vertical="center" wrapText="1"/>
    </xf>
    <xf numFmtId="49" fontId="5" fillId="0" borderId="42" xfId="0" applyNumberFormat="1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5" fillId="5" borderId="19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5" fillId="5" borderId="2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center"/>
    </xf>
    <xf numFmtId="0" fontId="12" fillId="3" borderId="38" xfId="0" applyFont="1" applyFill="1" applyBorder="1" applyAlignment="1">
      <alignment horizontal="left" vertical="center" wrapText="1" indent="1"/>
    </xf>
    <xf numFmtId="168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  <xf numFmtId="0" fontId="16" fillId="3" borderId="22" xfId="0" applyFont="1" applyFill="1" applyBorder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indent="1"/>
    </xf>
    <xf numFmtId="0" fontId="10" fillId="3" borderId="11" xfId="0" applyFont="1" applyFill="1" applyBorder="1" applyAlignment="1">
      <alignment horizontal="left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/>
    <xf numFmtId="0" fontId="24" fillId="3" borderId="42" xfId="0" applyFont="1" applyFill="1" applyBorder="1" applyAlignment="1">
      <alignment horizontal="center" vertical="center" wrapText="1"/>
    </xf>
    <xf numFmtId="0" fontId="24" fillId="5" borderId="0" xfId="0" applyFont="1" applyFill="1" applyBorder="1" applyAlignment="1">
      <alignment horizontal="left" vertical="center" wrapText="1"/>
    </xf>
    <xf numFmtId="0" fontId="24" fillId="5" borderId="6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8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9"/>
  <sheetViews>
    <sheetView tabSelected="1" topLeftCell="A10" zoomScale="80" zoomScaleNormal="80" workbookViewId="0">
      <selection activeCell="E14" sqref="E14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5.85546875" style="1" customWidth="1"/>
    <col min="4" max="4" width="8.42578125" style="1" customWidth="1"/>
    <col min="5" max="5" width="94.28515625" style="1" customWidth="1"/>
    <col min="6" max="6" width="15.140625" style="1" customWidth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82" t="s">
        <v>0</v>
      </c>
      <c r="C2" s="82"/>
      <c r="D2" s="82"/>
      <c r="E2" s="82"/>
      <c r="F2" s="82"/>
      <c r="G2" s="82"/>
      <c r="H2" s="82"/>
    </row>
    <row r="4" spans="1:9" ht="18" customHeight="1" x14ac:dyDescent="0.25">
      <c r="A4" s="81" t="s">
        <v>1</v>
      </c>
      <c r="B4" s="81"/>
      <c r="C4" s="83" t="s">
        <v>55</v>
      </c>
      <c r="D4" s="83"/>
      <c r="E4" s="83"/>
      <c r="F4" s="2"/>
      <c r="G4" s="5"/>
      <c r="H4" s="2"/>
    </row>
    <row r="5" spans="1:9" ht="18" customHeight="1" x14ac:dyDescent="0.25">
      <c r="A5" s="81" t="s">
        <v>2</v>
      </c>
      <c r="B5" s="81"/>
      <c r="C5" s="83" t="s">
        <v>59</v>
      </c>
      <c r="D5" s="83"/>
      <c r="E5" s="83"/>
      <c r="F5" s="2"/>
      <c r="G5" s="5"/>
      <c r="H5" s="2"/>
    </row>
    <row r="6" spans="1:9" ht="16.5" customHeight="1" x14ac:dyDescent="0.25">
      <c r="A6" s="81" t="s">
        <v>3</v>
      </c>
      <c r="B6" s="81"/>
      <c r="C6" s="6">
        <v>2021</v>
      </c>
      <c r="D6" s="7"/>
      <c r="E6" s="7"/>
      <c r="F6" s="2"/>
      <c r="G6" s="5"/>
      <c r="H6" s="2"/>
    </row>
    <row r="7" spans="1:9" ht="16.5" customHeight="1" x14ac:dyDescent="0.25">
      <c r="A7" s="81" t="s">
        <v>4</v>
      </c>
      <c r="B7" s="81"/>
      <c r="C7" s="6">
        <v>4</v>
      </c>
      <c r="D7" s="7"/>
      <c r="E7" s="7"/>
      <c r="F7" s="2"/>
      <c r="G7" s="5"/>
      <c r="H7" s="2"/>
    </row>
    <row r="8" spans="1:9" ht="14.25" thickBot="1" x14ac:dyDescent="0.3">
      <c r="B8" s="2"/>
      <c r="C8" s="5"/>
      <c r="D8" s="2"/>
      <c r="E8" s="2"/>
      <c r="F8" s="2"/>
      <c r="G8" s="5"/>
      <c r="H8" s="2"/>
    </row>
    <row r="9" spans="1:9" ht="39" thickBot="1" x14ac:dyDescent="0.3">
      <c r="A9" s="78" t="s">
        <v>5</v>
      </c>
      <c r="B9" s="60" t="s">
        <v>6</v>
      </c>
      <c r="C9" s="77" t="s">
        <v>7</v>
      </c>
      <c r="D9" s="76" t="s">
        <v>8</v>
      </c>
      <c r="E9" s="76" t="s">
        <v>9</v>
      </c>
      <c r="F9" s="76" t="s">
        <v>10</v>
      </c>
      <c r="G9" s="76" t="s">
        <v>11</v>
      </c>
      <c r="H9" s="76" t="s">
        <v>12</v>
      </c>
      <c r="I9" s="75" t="s">
        <v>13</v>
      </c>
    </row>
    <row r="10" spans="1:9" ht="45" x14ac:dyDescent="0.25">
      <c r="A10" s="74">
        <v>1</v>
      </c>
      <c r="B10" s="73" t="s">
        <v>74</v>
      </c>
      <c r="C10" s="72" t="s">
        <v>73</v>
      </c>
      <c r="D10" s="70" t="s">
        <v>72</v>
      </c>
      <c r="E10" s="71" t="s">
        <v>75</v>
      </c>
      <c r="F10" s="70" t="s">
        <v>76</v>
      </c>
      <c r="G10" s="69">
        <v>70</v>
      </c>
      <c r="H10" s="68">
        <v>790</v>
      </c>
      <c r="I10" s="67">
        <f t="shared" ref="I10:I19" si="0">(G10*H10)</f>
        <v>55300</v>
      </c>
    </row>
    <row r="11" spans="1:9" ht="15" x14ac:dyDescent="0.25">
      <c r="A11" s="74">
        <v>2</v>
      </c>
      <c r="B11" s="73" t="s">
        <v>77</v>
      </c>
      <c r="C11" s="72" t="s">
        <v>73</v>
      </c>
      <c r="D11" s="70" t="s">
        <v>72</v>
      </c>
      <c r="E11" s="71" t="s">
        <v>78</v>
      </c>
      <c r="F11" s="148" t="s">
        <v>14</v>
      </c>
      <c r="G11" s="69">
        <v>600</v>
      </c>
      <c r="H11" s="68">
        <v>1200</v>
      </c>
      <c r="I11" s="67">
        <f t="shared" si="0"/>
        <v>720000</v>
      </c>
    </row>
    <row r="12" spans="1:9" ht="30" x14ac:dyDescent="0.25">
      <c r="A12" s="74">
        <v>3</v>
      </c>
      <c r="B12" s="73" t="s">
        <v>79</v>
      </c>
      <c r="C12" s="72" t="s">
        <v>73</v>
      </c>
      <c r="D12" s="70" t="s">
        <v>72</v>
      </c>
      <c r="E12" s="71" t="s">
        <v>112</v>
      </c>
      <c r="F12" s="70" t="s">
        <v>14</v>
      </c>
      <c r="G12" s="69">
        <v>86</v>
      </c>
      <c r="H12" s="68">
        <v>475</v>
      </c>
      <c r="I12" s="67">
        <f t="shared" si="0"/>
        <v>40850</v>
      </c>
    </row>
    <row r="13" spans="1:9" ht="30" x14ac:dyDescent="0.25">
      <c r="A13" s="74">
        <v>4</v>
      </c>
      <c r="B13" s="73" t="s">
        <v>80</v>
      </c>
      <c r="C13" s="72" t="s">
        <v>73</v>
      </c>
      <c r="D13" s="70" t="s">
        <v>72</v>
      </c>
      <c r="E13" s="71" t="s">
        <v>81</v>
      </c>
      <c r="F13" s="70" t="s">
        <v>14</v>
      </c>
      <c r="G13" s="69">
        <v>40</v>
      </c>
      <c r="H13" s="68">
        <v>950</v>
      </c>
      <c r="I13" s="67">
        <f t="shared" si="0"/>
        <v>38000</v>
      </c>
    </row>
    <row r="14" spans="1:9" ht="30" x14ac:dyDescent="0.25">
      <c r="A14" s="74">
        <v>5</v>
      </c>
      <c r="B14" s="73" t="s">
        <v>82</v>
      </c>
      <c r="C14" s="72" t="s">
        <v>73</v>
      </c>
      <c r="D14" s="70" t="s">
        <v>72</v>
      </c>
      <c r="E14" s="71" t="s">
        <v>83</v>
      </c>
      <c r="F14" s="70" t="s">
        <v>14</v>
      </c>
      <c r="G14" s="69">
        <v>20</v>
      </c>
      <c r="H14" s="68">
        <v>1500</v>
      </c>
      <c r="I14" s="67">
        <f t="shared" si="0"/>
        <v>30000</v>
      </c>
    </row>
    <row r="15" spans="1:9" ht="30" x14ac:dyDescent="0.25">
      <c r="A15" s="74">
        <v>6</v>
      </c>
      <c r="B15" s="73" t="s">
        <v>84</v>
      </c>
      <c r="C15" s="72" t="s">
        <v>73</v>
      </c>
      <c r="D15" s="70" t="s">
        <v>72</v>
      </c>
      <c r="E15" s="71" t="s">
        <v>85</v>
      </c>
      <c r="F15" s="70" t="s">
        <v>76</v>
      </c>
      <c r="G15" s="69">
        <v>20</v>
      </c>
      <c r="H15" s="68">
        <v>2700</v>
      </c>
      <c r="I15" s="67">
        <f t="shared" si="0"/>
        <v>54000</v>
      </c>
    </row>
    <row r="16" spans="1:9" ht="28.5" customHeight="1" x14ac:dyDescent="0.25">
      <c r="A16" s="74">
        <v>7</v>
      </c>
      <c r="B16" s="73" t="s">
        <v>86</v>
      </c>
      <c r="C16" s="72" t="s">
        <v>73</v>
      </c>
      <c r="D16" s="70" t="s">
        <v>72</v>
      </c>
      <c r="E16" s="71" t="s">
        <v>87</v>
      </c>
      <c r="F16" s="70" t="s">
        <v>14</v>
      </c>
      <c r="G16" s="69">
        <v>10</v>
      </c>
      <c r="H16" s="68">
        <v>2500</v>
      </c>
      <c r="I16" s="67">
        <f t="shared" si="0"/>
        <v>25000</v>
      </c>
    </row>
    <row r="17" spans="1:9" ht="28.5" customHeight="1" x14ac:dyDescent="0.25">
      <c r="A17" s="74">
        <v>8</v>
      </c>
      <c r="B17" s="73" t="s">
        <v>89</v>
      </c>
      <c r="C17" s="72" t="s">
        <v>73</v>
      </c>
      <c r="D17" s="70" t="s">
        <v>72</v>
      </c>
      <c r="E17" s="71" t="s">
        <v>90</v>
      </c>
      <c r="F17" s="70" t="s">
        <v>88</v>
      </c>
      <c r="G17" s="69">
        <v>20</v>
      </c>
      <c r="H17" s="68">
        <v>2400</v>
      </c>
      <c r="I17" s="67">
        <f t="shared" si="0"/>
        <v>48000</v>
      </c>
    </row>
    <row r="18" spans="1:9" ht="28.5" customHeight="1" x14ac:dyDescent="0.25">
      <c r="A18" s="74">
        <v>9</v>
      </c>
      <c r="B18" s="73" t="s">
        <v>91</v>
      </c>
      <c r="C18" s="72" t="s">
        <v>73</v>
      </c>
      <c r="D18" s="70" t="s">
        <v>72</v>
      </c>
      <c r="E18" s="71" t="s">
        <v>92</v>
      </c>
      <c r="F18" s="70" t="s">
        <v>93</v>
      </c>
      <c r="G18" s="69">
        <v>14</v>
      </c>
      <c r="H18" s="68">
        <v>50</v>
      </c>
      <c r="I18" s="67">
        <f t="shared" si="0"/>
        <v>700</v>
      </c>
    </row>
    <row r="19" spans="1:9" ht="28.5" customHeight="1" x14ac:dyDescent="0.25">
      <c r="A19" s="74">
        <v>10</v>
      </c>
      <c r="B19" s="73" t="s">
        <v>94</v>
      </c>
      <c r="C19" s="72" t="s">
        <v>73</v>
      </c>
      <c r="D19" s="70" t="s">
        <v>72</v>
      </c>
      <c r="E19" s="71" t="s">
        <v>95</v>
      </c>
      <c r="F19" s="70" t="s">
        <v>88</v>
      </c>
      <c r="G19" s="69">
        <v>100</v>
      </c>
      <c r="H19" s="68">
        <v>4900</v>
      </c>
      <c r="I19" s="67">
        <f t="shared" si="0"/>
        <v>490000</v>
      </c>
    </row>
    <row r="20" spans="1:9" ht="28.5" customHeight="1" x14ac:dyDescent="0.25">
      <c r="A20" s="74">
        <v>11</v>
      </c>
      <c r="B20" s="73" t="s">
        <v>97</v>
      </c>
      <c r="C20" s="72" t="s">
        <v>73</v>
      </c>
      <c r="D20" s="70" t="s">
        <v>72</v>
      </c>
      <c r="E20" s="71" t="s">
        <v>98</v>
      </c>
      <c r="F20" s="70" t="s">
        <v>14</v>
      </c>
      <c r="G20" s="69">
        <v>30</v>
      </c>
      <c r="H20" s="68">
        <v>490</v>
      </c>
      <c r="I20" s="67">
        <f t="shared" ref="I20:I21" si="1">(G20*H20)</f>
        <v>14700</v>
      </c>
    </row>
    <row r="21" spans="1:9" ht="28.5" customHeight="1" x14ac:dyDescent="0.25">
      <c r="A21" s="74">
        <v>12</v>
      </c>
      <c r="B21" s="73" t="s">
        <v>99</v>
      </c>
      <c r="C21" s="72" t="s">
        <v>73</v>
      </c>
      <c r="D21" s="70" t="s">
        <v>72</v>
      </c>
      <c r="E21" s="71" t="s">
        <v>100</v>
      </c>
      <c r="F21" s="70" t="s">
        <v>88</v>
      </c>
      <c r="G21" s="69">
        <v>60</v>
      </c>
      <c r="H21" s="68">
        <v>1100</v>
      </c>
      <c r="I21" s="67">
        <f t="shared" si="1"/>
        <v>66000</v>
      </c>
    </row>
    <row r="22" spans="1:9" ht="29.25" customHeight="1" x14ac:dyDescent="0.25">
      <c r="A22" s="74">
        <v>13</v>
      </c>
      <c r="B22" s="73" t="s">
        <v>101</v>
      </c>
      <c r="C22" s="72" t="s">
        <v>73</v>
      </c>
      <c r="D22" s="70" t="s">
        <v>96</v>
      </c>
      <c r="E22" s="71" t="s">
        <v>111</v>
      </c>
      <c r="F22" s="70" t="s">
        <v>76</v>
      </c>
      <c r="G22" s="69">
        <v>16</v>
      </c>
      <c r="H22" s="68">
        <v>50</v>
      </c>
      <c r="I22" s="67">
        <f t="shared" ref="I22" si="2">+H22*G22</f>
        <v>800</v>
      </c>
    </row>
    <row r="23" spans="1:9" ht="17.25" customHeight="1" thickBot="1" x14ac:dyDescent="0.3">
      <c r="B23" s="61"/>
      <c r="I23" s="8">
        <f>SUM(I10:I22)</f>
        <v>1583350</v>
      </c>
    </row>
    <row r="24" spans="1:9" ht="17.25" customHeight="1" x14ac:dyDescent="0.25">
      <c r="B24" s="39" t="s">
        <v>62</v>
      </c>
      <c r="C24" s="40"/>
      <c r="D24" s="40"/>
      <c r="E24" s="41"/>
    </row>
    <row r="25" spans="1:9" x14ac:dyDescent="0.25">
      <c r="B25" s="79"/>
      <c r="C25" s="80"/>
      <c r="D25" s="42"/>
      <c r="E25" s="43"/>
    </row>
    <row r="26" spans="1:9" x14ac:dyDescent="0.25">
      <c r="B26" s="63"/>
      <c r="C26" s="84" t="s">
        <v>103</v>
      </c>
      <c r="D26" s="84"/>
      <c r="E26" s="85"/>
    </row>
    <row r="27" spans="1:9" x14ac:dyDescent="0.25">
      <c r="B27" s="63"/>
      <c r="C27" s="151" t="s">
        <v>104</v>
      </c>
      <c r="D27" s="151"/>
      <c r="E27" s="152"/>
    </row>
    <row r="28" spans="1:9" x14ac:dyDescent="0.25">
      <c r="B28" s="63"/>
      <c r="C28" s="84" t="s">
        <v>105</v>
      </c>
      <c r="D28" s="84"/>
      <c r="E28" s="85"/>
    </row>
    <row r="29" spans="1:9" x14ac:dyDescent="0.25">
      <c r="B29" s="63"/>
      <c r="C29" s="149" t="s">
        <v>106</v>
      </c>
      <c r="D29" s="149"/>
      <c r="E29" s="150"/>
    </row>
    <row r="30" spans="1:9" x14ac:dyDescent="0.25">
      <c r="B30" s="63"/>
      <c r="C30" s="84" t="s">
        <v>107</v>
      </c>
      <c r="D30" s="84"/>
      <c r="E30" s="85"/>
    </row>
    <row r="31" spans="1:9" x14ac:dyDescent="0.25">
      <c r="B31" s="63"/>
      <c r="C31" s="84" t="s">
        <v>108</v>
      </c>
      <c r="D31" s="84"/>
      <c r="E31" s="85"/>
    </row>
    <row r="32" spans="1:9" x14ac:dyDescent="0.25">
      <c r="B32" s="63"/>
      <c r="C32" s="84" t="s">
        <v>109</v>
      </c>
      <c r="D32" s="84"/>
      <c r="E32" s="85"/>
    </row>
    <row r="33" spans="2:5" x14ac:dyDescent="0.25">
      <c r="B33" s="63"/>
      <c r="C33" s="149" t="s">
        <v>110</v>
      </c>
      <c r="D33" s="149"/>
      <c r="E33" s="150"/>
    </row>
    <row r="34" spans="2:5" ht="14.25" thickBot="1" x14ac:dyDescent="0.3">
      <c r="B34" s="66"/>
      <c r="C34" s="90"/>
      <c r="D34" s="90"/>
      <c r="E34" s="91"/>
    </row>
    <row r="35" spans="2:5" ht="59.25" customHeight="1" thickBot="1" x14ac:dyDescent="0.3">
      <c r="B35" s="92" t="s">
        <v>113</v>
      </c>
      <c r="C35" s="93"/>
      <c r="D35" s="93"/>
      <c r="E35" s="94"/>
    </row>
    <row r="36" spans="2:5" ht="65.25" customHeight="1" thickBot="1" x14ac:dyDescent="0.3">
      <c r="B36" s="92" t="s">
        <v>102</v>
      </c>
      <c r="C36" s="93"/>
      <c r="D36" s="93"/>
      <c r="E36" s="94"/>
    </row>
    <row r="37" spans="2:5" ht="14.25" thickBot="1" x14ac:dyDescent="0.3">
      <c r="B37" s="44"/>
      <c r="C37" s="64"/>
      <c r="D37" s="64"/>
      <c r="E37" s="64"/>
    </row>
    <row r="38" spans="2:5" x14ac:dyDescent="0.25">
      <c r="B38" s="45" t="s">
        <v>15</v>
      </c>
      <c r="C38" s="46"/>
      <c r="D38" s="40"/>
      <c r="E38" s="47"/>
    </row>
    <row r="39" spans="2:5" x14ac:dyDescent="0.25">
      <c r="B39" s="48"/>
      <c r="C39" s="84" t="s">
        <v>71</v>
      </c>
      <c r="D39" s="84"/>
      <c r="E39" s="85"/>
    </row>
    <row r="40" spans="2:5" x14ac:dyDescent="0.25">
      <c r="B40" s="48"/>
      <c r="C40" s="95"/>
      <c r="D40" s="95"/>
      <c r="E40" s="95"/>
    </row>
    <row r="41" spans="2:5" x14ac:dyDescent="0.25">
      <c r="B41" s="49" t="s">
        <v>16</v>
      </c>
      <c r="C41" s="50"/>
      <c r="D41" s="42"/>
      <c r="E41" s="65"/>
    </row>
    <row r="42" spans="2:5" x14ac:dyDescent="0.25">
      <c r="B42" s="48"/>
      <c r="C42" s="84" t="s">
        <v>70</v>
      </c>
      <c r="D42" s="84"/>
      <c r="E42" s="85"/>
    </row>
    <row r="43" spans="2:5" ht="14.25" thickBot="1" x14ac:dyDescent="0.3">
      <c r="B43" s="51"/>
      <c r="C43" s="52"/>
      <c r="D43" s="52"/>
      <c r="E43" s="53"/>
    </row>
    <row r="44" spans="2:5" ht="14.25" thickBot="1" x14ac:dyDescent="0.3">
      <c r="B44" s="42"/>
      <c r="C44" s="42"/>
      <c r="D44" s="42"/>
      <c r="E44" s="42"/>
    </row>
    <row r="45" spans="2:5" x14ac:dyDescent="0.25">
      <c r="B45" s="45" t="s">
        <v>17</v>
      </c>
      <c r="C45" s="54"/>
      <c r="D45" s="54"/>
      <c r="E45" s="55"/>
    </row>
    <row r="46" spans="2:5" x14ac:dyDescent="0.25">
      <c r="B46" s="56"/>
      <c r="C46" s="86" t="s">
        <v>69</v>
      </c>
      <c r="D46" s="86"/>
      <c r="E46" s="87"/>
    </row>
    <row r="47" spans="2:5" x14ac:dyDescent="0.25">
      <c r="B47" s="57" t="s">
        <v>18</v>
      </c>
      <c r="C47" s="42"/>
      <c r="D47" s="42"/>
      <c r="E47" s="43"/>
    </row>
    <row r="48" spans="2:5" x14ac:dyDescent="0.25">
      <c r="B48" s="58"/>
      <c r="C48" s="88" t="s">
        <v>68</v>
      </c>
      <c r="D48" s="88"/>
      <c r="E48" s="89"/>
    </row>
    <row r="49" spans="2:5" ht="14.25" thickBot="1" x14ac:dyDescent="0.3">
      <c r="B49" s="59"/>
      <c r="C49" s="52"/>
      <c r="D49" s="52"/>
      <c r="E49" s="53"/>
    </row>
  </sheetData>
  <mergeCells count="24">
    <mergeCell ref="C46:E46"/>
    <mergeCell ref="C48:E48"/>
    <mergeCell ref="C39:E39"/>
    <mergeCell ref="C34:E34"/>
    <mergeCell ref="B35:E35"/>
    <mergeCell ref="B36:E36"/>
    <mergeCell ref="C40:E40"/>
    <mergeCell ref="C42:E42"/>
    <mergeCell ref="C26:E26"/>
    <mergeCell ref="C29:E29"/>
    <mergeCell ref="C33:E33"/>
    <mergeCell ref="C27:E27"/>
    <mergeCell ref="C28:E28"/>
    <mergeCell ref="C30:E30"/>
    <mergeCell ref="C31:E31"/>
    <mergeCell ref="C32:E32"/>
    <mergeCell ref="B25:C25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 x14ac:dyDescent="0.25">
      <c r="A1" s="111" t="s">
        <v>19</v>
      </c>
      <c r="B1" s="111"/>
      <c r="C1" s="111"/>
      <c r="D1" s="111"/>
      <c r="E1" s="111"/>
      <c r="F1" s="111"/>
      <c r="G1" s="111"/>
      <c r="H1" s="111"/>
      <c r="I1" s="111"/>
      <c r="J1" s="26" t="s">
        <v>20</v>
      </c>
      <c r="K1" s="27" t="s">
        <v>67</v>
      </c>
    </row>
    <row r="2" spans="1:1024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 x14ac:dyDescent="0.3">
      <c r="A3" s="112" t="s">
        <v>52</v>
      </c>
      <c r="B3" s="112"/>
      <c r="C3" s="112"/>
      <c r="D3" s="115" t="str">
        <f>'Necesidades Trimestrales'!C4</f>
        <v>90 - Ministerio de Seguridad</v>
      </c>
      <c r="E3" s="115"/>
      <c r="F3" s="115"/>
      <c r="G3" s="115"/>
      <c r="H3" s="115"/>
      <c r="I3" s="115"/>
      <c r="J3" s="115"/>
      <c r="K3" s="115"/>
    </row>
    <row r="4" spans="1:1024" ht="18.75" customHeight="1" thickBot="1" x14ac:dyDescent="0.3">
      <c r="A4" s="114" t="s">
        <v>53</v>
      </c>
      <c r="B4" s="114"/>
      <c r="C4" s="114"/>
      <c r="D4" s="115" t="str">
        <f>'Necesidades Trimestrales'!C5</f>
        <v>7- Dirección Provincial de Administración de la Policía de la Provincia de Catamarca</v>
      </c>
      <c r="E4" s="115"/>
      <c r="F4" s="115"/>
      <c r="G4" s="115"/>
      <c r="H4" s="115"/>
      <c r="I4" s="115"/>
      <c r="J4" s="115"/>
      <c r="K4" s="115"/>
    </row>
    <row r="5" spans="1:1024" ht="18.75" customHeight="1" thickBot="1" x14ac:dyDescent="0.3">
      <c r="A5" s="114" t="s">
        <v>32</v>
      </c>
      <c r="B5" s="114"/>
      <c r="C5" s="114"/>
      <c r="D5" s="115" t="s">
        <v>56</v>
      </c>
      <c r="E5" s="115"/>
      <c r="F5" s="115"/>
      <c r="G5" s="115"/>
      <c r="H5" s="115"/>
      <c r="I5" s="115"/>
      <c r="J5" s="115"/>
      <c r="K5" s="115"/>
    </row>
    <row r="6" spans="1:1024" ht="16.5" customHeight="1" thickBot="1" x14ac:dyDescent="0.3">
      <c r="A6" s="112" t="s">
        <v>54</v>
      </c>
      <c r="B6" s="112"/>
      <c r="C6" s="112"/>
      <c r="D6" s="113" t="s">
        <v>64</v>
      </c>
      <c r="E6" s="99"/>
      <c r="F6" s="99"/>
      <c r="G6" s="99"/>
      <c r="H6" s="99"/>
      <c r="I6" s="99"/>
      <c r="J6" s="99"/>
      <c r="K6" s="100"/>
    </row>
    <row r="7" spans="1:1024" ht="16.5" customHeight="1" thickBot="1" x14ac:dyDescent="0.3">
      <c r="A7" s="114" t="s">
        <v>21</v>
      </c>
      <c r="B7" s="114"/>
      <c r="C7" s="114"/>
      <c r="D7" s="115" t="s">
        <v>66</v>
      </c>
      <c r="E7" s="115"/>
      <c r="F7" s="115"/>
      <c r="G7" s="115"/>
      <c r="H7" s="115"/>
      <c r="I7" s="115"/>
      <c r="J7" s="115"/>
      <c r="K7" s="115"/>
    </row>
    <row r="8" spans="1:1024" ht="16.5" customHeight="1" thickBot="1" x14ac:dyDescent="0.3">
      <c r="A8" s="107" t="s">
        <v>22</v>
      </c>
      <c r="B8" s="107"/>
      <c r="C8" s="107"/>
      <c r="D8" s="98" t="s">
        <v>63</v>
      </c>
      <c r="E8" s="99"/>
      <c r="F8" s="99"/>
      <c r="G8" s="99"/>
      <c r="H8" s="99"/>
      <c r="I8" s="99"/>
      <c r="J8" s="99"/>
      <c r="K8" s="100"/>
    </row>
    <row r="9" spans="1:1024" ht="18" thickBot="1" x14ac:dyDescent="0.3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 x14ac:dyDescent="0.3">
      <c r="A10" s="101" t="s">
        <v>23</v>
      </c>
      <c r="B10" s="102" t="s">
        <v>24</v>
      </c>
      <c r="C10" s="103" t="s">
        <v>25</v>
      </c>
      <c r="D10" s="104"/>
      <c r="E10" s="104"/>
      <c r="F10" s="104"/>
      <c r="G10" s="105"/>
      <c r="H10" s="106" t="s">
        <v>26</v>
      </c>
      <c r="I10" s="104" t="s">
        <v>27</v>
      </c>
      <c r="J10" s="104" t="s">
        <v>28</v>
      </c>
      <c r="K10" s="105" t="s">
        <v>29</v>
      </c>
    </row>
    <row r="11" spans="1:1024" ht="14.25" customHeight="1" thickBot="1" x14ac:dyDescent="0.3">
      <c r="A11" s="101"/>
      <c r="B11" s="102"/>
      <c r="C11" s="103"/>
      <c r="D11" s="104"/>
      <c r="E11" s="104"/>
      <c r="F11" s="104"/>
      <c r="G11" s="105"/>
      <c r="H11" s="106"/>
      <c r="I11" s="104"/>
      <c r="J11" s="104"/>
      <c r="K11" s="105"/>
    </row>
    <row r="12" spans="1:1024" ht="22.5" customHeight="1" thickBot="1" x14ac:dyDescent="0.3">
      <c r="A12" s="33">
        <v>1</v>
      </c>
      <c r="B12" s="62" t="e">
        <f>'Necesidades Trimestrales'!#REF!</f>
        <v>#REF!</v>
      </c>
      <c r="C12" s="108" t="e">
        <f>'Necesidades Trimestrales'!#REF!</f>
        <v>#REF!</v>
      </c>
      <c r="D12" s="109"/>
      <c r="E12" s="109"/>
      <c r="F12" s="109"/>
      <c r="G12" s="110"/>
      <c r="H12" s="34" t="s">
        <v>58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 x14ac:dyDescent="0.3">
      <c r="A13" s="33"/>
      <c r="B13" s="62" t="e">
        <f>'Necesidades Trimestrales'!#REF!</f>
        <v>#REF!</v>
      </c>
      <c r="C13" s="108" t="e">
        <f>'Necesidades Trimestrales'!#REF!</f>
        <v>#REF!</v>
      </c>
      <c r="D13" s="109"/>
      <c r="E13" s="109"/>
      <c r="F13" s="109"/>
      <c r="G13" s="110"/>
      <c r="H13" s="34" t="s">
        <v>58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 x14ac:dyDescent="0.25">
      <c r="A14" s="33">
        <v>3</v>
      </c>
      <c r="B14" s="62" t="e">
        <f>'Necesidades Trimestrales'!#REF!</f>
        <v>#REF!</v>
      </c>
      <c r="C14" s="108" t="e">
        <f>'Necesidades Trimestrales'!#REF!</f>
        <v>#REF!</v>
      </c>
      <c r="D14" s="109"/>
      <c r="E14" s="109"/>
      <c r="F14" s="109"/>
      <c r="G14" s="110"/>
      <c r="H14" s="34" t="s">
        <v>58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 x14ac:dyDescent="0.3">
      <c r="A15" s="96" t="s">
        <v>65</v>
      </c>
      <c r="B15" s="96"/>
      <c r="C15" s="96"/>
      <c r="D15" s="96"/>
      <c r="E15" s="96"/>
      <c r="F15" s="96"/>
      <c r="G15" s="96"/>
      <c r="H15" s="96"/>
      <c r="I15" s="96"/>
      <c r="J15" s="97">
        <f>'Necesidades Trimestrales'!I14</f>
        <v>30000</v>
      </c>
      <c r="K15" s="9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8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44" t="s">
        <v>3</v>
      </c>
      <c r="B1" s="144"/>
      <c r="C1" s="144"/>
      <c r="D1" s="145">
        <f>'Necesidades Trimestrales'!C6</f>
        <v>2021</v>
      </c>
      <c r="E1" s="145"/>
      <c r="F1" s="9"/>
      <c r="G1" s="9"/>
      <c r="H1" s="10"/>
      <c r="I1" s="10"/>
      <c r="J1" s="10"/>
      <c r="K1" s="10"/>
      <c r="L1" s="10"/>
      <c r="M1" s="10"/>
      <c r="N1" s="10"/>
      <c r="P1" s="146" t="s">
        <v>30</v>
      </c>
      <c r="Q1" s="146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146"/>
      <c r="Q2" s="146"/>
    </row>
    <row r="4" spans="1:17" ht="18" customHeight="1" thickBot="1" x14ac:dyDescent="0.35">
      <c r="A4" s="147" t="s">
        <v>31</v>
      </c>
      <c r="B4" s="147"/>
      <c r="C4" s="147"/>
      <c r="D4" s="147"/>
      <c r="E4" s="147"/>
      <c r="F4" s="147"/>
      <c r="G4" s="142" t="str">
        <f>' NotaPedido'!D3</f>
        <v>90 - Ministerio de Seguridad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7" ht="18" customHeight="1" thickBot="1" x14ac:dyDescent="0.35">
      <c r="A5" s="139" t="s">
        <v>53</v>
      </c>
      <c r="B5" s="140"/>
      <c r="C5" s="140"/>
      <c r="D5" s="140"/>
      <c r="E5" s="140"/>
      <c r="F5" s="141"/>
      <c r="G5" s="142" t="str">
        <f>' NotaPedido'!D4</f>
        <v>7- Dirección Provincial de Administración de la Policía de la Provincia de Catamarca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7" ht="18" customHeight="1" thickBot="1" x14ac:dyDescent="0.35">
      <c r="A6" s="139" t="s">
        <v>32</v>
      </c>
      <c r="B6" s="140"/>
      <c r="C6" s="140"/>
      <c r="D6" s="140"/>
      <c r="E6" s="140"/>
      <c r="F6" s="141"/>
      <c r="G6" s="142" t="str">
        <f>' NotaPedido'!D5</f>
        <v>Policía de la Provincia de Catamarca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ht="18" customHeight="1" thickBot="1" x14ac:dyDescent="0.35">
      <c r="A7" s="139" t="s">
        <v>54</v>
      </c>
      <c r="B7" s="140"/>
      <c r="C7" s="140"/>
      <c r="D7" s="140"/>
      <c r="E7" s="140"/>
      <c r="F7" s="141"/>
      <c r="G7" s="142" t="str">
        <f>' NotaPedido'!D6</f>
        <v>División Intendencia, Departamento Logística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7" ht="18" customHeight="1" thickBot="1" x14ac:dyDescent="0.3">
      <c r="A8" s="143" t="s">
        <v>60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7" ht="18" customHeight="1" x14ac:dyDescent="0.3">
      <c r="A9" s="133" t="s">
        <v>33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3"/>
      <c r="P9" s="3"/>
      <c r="Q9" s="11"/>
    </row>
    <row r="10" spans="1:17" ht="66.75" customHeight="1" x14ac:dyDescent="0.25">
      <c r="A10" s="134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35" t="s">
        <v>34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 x14ac:dyDescent="0.25">
      <c r="A13" s="136" t="s">
        <v>35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36</v>
      </c>
      <c r="P13" s="137"/>
      <c r="Q13" s="138" t="s">
        <v>37</v>
      </c>
    </row>
    <row r="14" spans="1:17" ht="15.75" customHeight="1" thickBot="1" x14ac:dyDescent="0.3">
      <c r="A14" s="16" t="s">
        <v>38</v>
      </c>
      <c r="B14" s="17" t="s">
        <v>39</v>
      </c>
      <c r="C14" s="17" t="s">
        <v>40</v>
      </c>
      <c r="D14" s="17" t="s">
        <v>41</v>
      </c>
      <c r="E14" s="17" t="s">
        <v>42</v>
      </c>
      <c r="F14" s="17" t="s">
        <v>43</v>
      </c>
      <c r="G14" s="18" t="s">
        <v>44</v>
      </c>
      <c r="H14" s="17" t="s">
        <v>45</v>
      </c>
      <c r="I14" s="17" t="s">
        <v>46</v>
      </c>
      <c r="J14" s="17" t="s">
        <v>47</v>
      </c>
      <c r="K14" s="17" t="s">
        <v>47</v>
      </c>
      <c r="L14" s="17" t="s">
        <v>48</v>
      </c>
      <c r="M14" s="19" t="s">
        <v>49</v>
      </c>
      <c r="N14" s="20" t="s">
        <v>50</v>
      </c>
      <c r="O14" s="137"/>
      <c r="P14" s="137"/>
      <c r="Q14" s="138"/>
    </row>
    <row r="15" spans="1:17" ht="26.25" customHeight="1" x14ac:dyDescent="0.25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57</v>
      </c>
      <c r="O15" s="116" t="e">
        <f>'Necesidades Trimestrales'!#REF!</f>
        <v>#REF!</v>
      </c>
      <c r="P15" s="117"/>
      <c r="Q15" s="24">
        <f>' NotaPedido'!J15</f>
        <v>30000</v>
      </c>
    </row>
    <row r="16" spans="1:17" ht="33" customHeight="1" thickBot="1" x14ac:dyDescent="0.3">
      <c r="A16" s="129" t="s">
        <v>61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25">
        <f>Q15</f>
        <v>30000</v>
      </c>
    </row>
    <row r="17" spans="1:17" ht="18" customHeight="1" thickBot="1" x14ac:dyDescent="0.3">
      <c r="A17" s="130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2"/>
    </row>
    <row r="18" spans="1:17" ht="17.25" customHeight="1" thickBot="1" x14ac:dyDescent="0.3">
      <c r="A18" s="118" t="s">
        <v>51</v>
      </c>
      <c r="B18" s="119"/>
      <c r="C18" s="119"/>
      <c r="D18" s="119"/>
      <c r="E18" s="119"/>
      <c r="F18" s="120"/>
      <c r="G18" s="121"/>
      <c r="H18" s="122"/>
      <c r="I18" s="122"/>
      <c r="J18" s="122"/>
      <c r="K18" s="122"/>
      <c r="L18" s="122"/>
      <c r="M18" s="122"/>
      <c r="N18" s="122"/>
      <c r="O18" s="122"/>
      <c r="P18" s="122"/>
      <c r="Q18" s="122"/>
    </row>
    <row r="19" spans="1:17" ht="18" customHeight="1" x14ac:dyDescent="0.25">
      <c r="A19" s="123" t="str">
        <f>' NotaPedido'!D8</f>
        <v>Adquisición de Uniformes de Fajina para el personal policial.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5"/>
    </row>
    <row r="20" spans="1:17" ht="15" customHeight="1" thickBot="1" x14ac:dyDescent="0.3">
      <c r="A20" s="126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8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2021-12-22T14:16:35Z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