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Compras PC 2\Desktop\VALERIA  2022\utiles de escritorio para secretaria de abastecimiento\"/>
    </mc:Choice>
  </mc:AlternateContent>
  <bookViews>
    <workbookView xWindow="0" yWindow="0" windowWidth="15600" windowHeight="7755" tabRatio="500" activeTab="2"/>
  </bookViews>
  <sheets>
    <sheet name="NECESIDADES TRIMESTRALES" sheetId="9" r:id="rId1"/>
    <sheet name="NPE" sheetId="7" r:id="rId2"/>
    <sheet name="APG" sheetId="8" r:id="rId3"/>
  </sheets>
  <calcPr calcId="162913"/>
  <extLst>
    <ext xmlns:loext="http://schemas.libreoffice.org/" uri="{7626C862-2A13-11E5-B345-FEFF819CDC9F}">
      <loext:extCalcPr stringRefSyntax="ExcelA1"/>
    </ext>
  </extLst>
</workbook>
</file>

<file path=xl/calcChain.xml><?xml version="1.0" encoding="utf-8"?>
<calcChain xmlns="http://schemas.openxmlformats.org/spreadsheetml/2006/main">
  <c r="I25" i="9" l="1"/>
  <c r="I24" i="9"/>
  <c r="I23" i="9"/>
  <c r="I22" i="9"/>
  <c r="I21" i="9"/>
  <c r="I20" i="9"/>
  <c r="I19" i="9"/>
  <c r="I18" i="9"/>
  <c r="I17" i="9"/>
  <c r="I16" i="9"/>
  <c r="I15" i="9"/>
  <c r="I14" i="9"/>
  <c r="I13" i="9"/>
  <c r="I12" i="9"/>
  <c r="I11" i="9"/>
  <c r="I10" i="9"/>
  <c r="I9" i="9"/>
  <c r="I8" i="9"/>
  <c r="I7" i="9"/>
  <c r="G29" i="7" l="1"/>
  <c r="Q21" i="8" l="1"/>
</calcChain>
</file>

<file path=xl/sharedStrings.xml><?xml version="1.0" encoding="utf-8"?>
<sst xmlns="http://schemas.openxmlformats.org/spreadsheetml/2006/main" count="249" uniqueCount="104">
  <si>
    <t>EJERCICIO:</t>
  </si>
  <si>
    <t>50 - MINISTERIO DE EDUCACIÓN</t>
  </si>
  <si>
    <t>26 - DIRECCIÓN PROVINCIAL DE ADMINISTRACIÓN</t>
  </si>
  <si>
    <t>ID</t>
  </si>
  <si>
    <t>CODIGO ITEM</t>
  </si>
  <si>
    <t>DESCRIPCION</t>
  </si>
  <si>
    <t>UNIDAD DE MEDIDA</t>
  </si>
  <si>
    <t>CANTIDAD</t>
  </si>
  <si>
    <t>PRECIO UNITARIO ESTIMADO</t>
  </si>
  <si>
    <t>AUTORIZACIÓN PARA GASTAR</t>
  </si>
  <si>
    <t>JURISDICCIÓN:</t>
  </si>
  <si>
    <t>SAF:</t>
  </si>
  <si>
    <t>UNIDAD EJECUTORA:</t>
  </si>
  <si>
    <t xml:space="preserve">DEPENDENCIA SOLICITANTE: </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</si>
  <si>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</si>
  <si>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</si>
  <si>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</si>
  <si>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</si>
  <si>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</si>
  <si>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</si>
  <si>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</si>
  <si>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</si>
  <si>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</si>
  <si>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</si>
  <si>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</si>
  <si>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</si>
  <si>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</si>
  <si>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</si>
  <si>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</si>
  <si>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</si>
  <si>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</si>
  <si>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</si>
  <si>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</si>
  <si>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</si>
  <si>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</si>
  <si>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NOTA DE PEDIDO</t>
  </si>
  <si>
    <t xml:space="preserve">JURISDICCIÓN: </t>
  </si>
  <si>
    <t>PERIODO UTILIZACIÓN:</t>
  </si>
  <si>
    <t>3 (TRES) MESES</t>
  </si>
  <si>
    <t>OBJETO:</t>
  </si>
  <si>
    <t>Adjunta Detalle Técnico</t>
  </si>
  <si>
    <t>Unidad</t>
  </si>
  <si>
    <t>NO</t>
  </si>
  <si>
    <t>MINISTERIO DE EDUCACION</t>
  </si>
  <si>
    <t>UTILES DE ESCRITORIO, OFICINA Y ENSEÑANZA</t>
  </si>
  <si>
    <t>PAPEL DE ESCRITORIO Y CARTON</t>
  </si>
  <si>
    <t>TOTAL DE PESOS: UN MILLON NOVECIENTOS NOVENTA Y NUEVE MIL CON 00/100</t>
  </si>
  <si>
    <t>ADQUISICION DE UTILES DE ESCRITORIOS PARA DISTINTAS AREAS DEPENDIENTES DEL MINISTERIO DE EDUCACION.-</t>
  </si>
  <si>
    <t>2.9.2-661.58</t>
  </si>
  <si>
    <t>2.9.2-848.22</t>
  </si>
  <si>
    <t>2.9.2-848.20</t>
  </si>
  <si>
    <t>2.9.2-791.31</t>
  </si>
  <si>
    <t>2.9.2-758.18</t>
  </si>
  <si>
    <t>2.9.2-317.21</t>
  </si>
  <si>
    <t>2.9.2-317.17</t>
  </si>
  <si>
    <t>GOMAS DE BORRAR; USO: LAPIZ Y TINTA, DIMENSION: 40 X 18 X 12 mm, MATERIAL: CAUCHO, PRESENTACION: UNIDAD</t>
  </si>
  <si>
    <t>LAPIZ; TIPO: CON GOMA, COLOR: NEGRO</t>
  </si>
  <si>
    <t>LAPIZ; TIPO: 2HB, COLOR: NEGRO</t>
  </si>
  <si>
    <t>TALONARIOS NOTAS AUTOADHESIVAS; COLOR: SIN VALOR, MEDIDA: 75 X 75 mm</t>
  </si>
  <si>
    <t>TIJERAS P/CORTAR PAPELES; LONG.DE CUERPO: 17 Cm, MATERIAL: ACERO INOXIDABLE, CUCHILLA: REDONDEADAS, MANGO: PLASTICO</t>
  </si>
  <si>
    <t>BOLIGRAFOS; TRAZO: 0,1 mm, COLOR TINTA: AZUL</t>
  </si>
  <si>
    <t>BOLIGRAFOS; TRAZO: GRUESO, COLOR TINTA: NEGRO</t>
  </si>
  <si>
    <t>2.9.2-317.34</t>
  </si>
  <si>
    <t>BOLIGRAFOS; TRAZO: GRUESO, COLOR TINTA: ROJO</t>
  </si>
  <si>
    <t>BOLIGRAFOS; TRAZO: GRUESO, COLOR TINTA: VERDE</t>
  </si>
  <si>
    <t>2.9.2-317.35</t>
  </si>
  <si>
    <t>MARCADORES; TIPO: SOLVENTE, TRAZO: GRUESO, PUNTA: REDONDA, RECARGABLE: NO</t>
  </si>
  <si>
    <t>2.9.2-1616.153</t>
  </si>
  <si>
    <t>MARCADORES; TIPO: AL SOLVENTE, TRAZO: GRUESO, PUNTA: REDONDA, COLOR: NEGRO, RECARGABLE: NO</t>
  </si>
  <si>
    <t>2.9.2-1616.74</t>
  </si>
  <si>
    <t>CORRECTORES DE ESCRITURA; CAPACIDAD: 7 mL, ENVASE: LAPIZ (PUNTA METAL), PRESENTACION: LAPIZ (PUNTA METAL) X 7 mL</t>
  </si>
  <si>
    <t>2.9.2-323.4</t>
  </si>
  <si>
    <t>REGLAS GRADUADAS; TIPO: PLANA, MATERIAL: PLASTICO, LONG.DE CUERPO: 30 Cm</t>
  </si>
  <si>
    <t>2.9.2-674.9</t>
  </si>
  <si>
    <t>ADHESIVOS P/PAPEL; PRESENTACION: 30 mL, TIPO: SINTETICO TRANSPARENTE</t>
  </si>
  <si>
    <t>2.9.2-262.28</t>
  </si>
  <si>
    <t>ADHESIVOS P/PAPEL; PRESENTACION: 250 GR, TIPO: COLA VINILICA</t>
  </si>
  <si>
    <t>2.9.2-262.4</t>
  </si>
  <si>
    <t>PAPELES ENCUADERNADOS; CANT. DE HOJAS: 196, TAMAÑO: 21 X 16 Cm, TIPO: CUADERNO, CERTIFICADO FORESTAL (GFS): SIN, PORC. FIBRAS RECICLADAS: 0 %, CERT. FIBRA ALTERNATIVA (FCA): SIN</t>
  </si>
  <si>
    <t>2.3.1-6587.292</t>
  </si>
  <si>
    <t xml:space="preserve">ADQUISICIÓN DE UTILES DE ESCRITORIO </t>
  </si>
  <si>
    <t>N°     042-2022</t>
  </si>
  <si>
    <r>
      <t>Autorizo la realización de los  trámites correspondientes, a fin de proveer a  este Organismo los bienes que se detallan en Nota  de Pedido N°   042</t>
    </r>
    <r>
      <rPr>
        <b/>
        <sz val="11"/>
        <color theme="1" tint="4.9989318521683403E-2"/>
        <rFont val="Times New Roman"/>
        <family val="1"/>
      </rPr>
      <t>/</t>
    </r>
    <r>
      <rPr>
        <sz val="11"/>
        <color theme="1" tint="4.9989318521683403E-2"/>
        <rFont val="Times New Roman"/>
        <family val="1"/>
      </rPr>
      <t>22</t>
    </r>
    <r>
      <rPr>
        <b/>
        <sz val="11"/>
        <color theme="1" tint="4.9989318521683403E-2"/>
        <rFont val="Times New Roman"/>
        <family val="1"/>
      </rPr>
      <t>,</t>
    </r>
    <r>
      <rPr>
        <sz val="11"/>
        <color theme="1" tint="4.9989318521683403E-2"/>
        <rFont val="Times New Roman"/>
        <family val="1"/>
      </rPr>
      <t xml:space="preserve"> </t>
    </r>
    <r>
      <rPr>
        <sz val="11"/>
        <rFont val="Times New Roman"/>
        <family val="1"/>
      </rPr>
      <t>afectando la erogación resultante a los créditos presupuestarios aprobados a favor de esta Unidad Ejecutora, conforme al siguiente detalle:</t>
    </r>
  </si>
  <si>
    <t>Descripción técnica</t>
  </si>
  <si>
    <t>Item 10 Color Verde.</t>
  </si>
  <si>
    <t>Item 11 Color Rojo.</t>
  </si>
  <si>
    <t>Item 13 Color Azul.</t>
  </si>
  <si>
    <t>Item 18 Rayado y de tapa dura.</t>
  </si>
  <si>
    <t xml:space="preserve">El plazo de entrega diez (10) días hábiles a partir de la fecha de recepción de la respectiva Orden de Compra en el domicilio especial electrónico constituido, en virtud del método de contratación. La entrega de dichos bienes se realizará en la Direccion Provincial de Administracion, Av. Republica de Venezuela Pabellon N° 15. C.A.P.E - San Fernando del Valle de Catamarca.  </t>
  </si>
  <si>
    <t>Mantenimiento: Cuarenta y cinco (45) días habiles.-</t>
  </si>
  <si>
    <t>Costo total estimado: PESOS UN MILLON NOVECIENTOS NOVENTA Y NUEVE MIL CON 00/100</t>
  </si>
  <si>
    <t>Item 4 Color Amarillo.</t>
  </si>
  <si>
    <t>Pedido de Necesidades Trimestrales</t>
  </si>
  <si>
    <t>JURISDICCION:</t>
  </si>
  <si>
    <t xml:space="preserve">SAF N°: </t>
  </si>
  <si>
    <t>TRIMESTRE:</t>
  </si>
  <si>
    <t>RUBRO DE COMPRA</t>
  </si>
  <si>
    <t xml:space="preserve">I.P.P. </t>
  </si>
  <si>
    <t xml:space="preserve">IMPORTE TOTAL ESTIMADO </t>
  </si>
  <si>
    <r>
      <rPr>
        <u/>
        <sz val="10"/>
        <rFont val="Arial"/>
        <family val="2"/>
      </rPr>
      <t>Plazos y lugares de entrega</t>
    </r>
    <r>
      <rPr>
        <sz val="10"/>
        <rFont val="Arial"/>
        <family val="2"/>
      </rPr>
      <t>:</t>
    </r>
  </si>
  <si>
    <r>
      <rPr>
        <b/>
        <sz val="10"/>
        <rFont val="Arial"/>
        <family val="2"/>
      </rPr>
      <t>Especificidades Items</t>
    </r>
    <r>
      <rPr>
        <sz val="10"/>
        <rFont val="Arial"/>
        <charset val="1"/>
      </rPr>
      <t>:</t>
    </r>
  </si>
  <si>
    <t>LIBRERIA,PAP. Y UTILES OFICINA</t>
  </si>
  <si>
    <t>2.9.2</t>
  </si>
  <si>
    <t>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</si>
</sst>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 #,##0.00_-;\-&quot;$&quot;\ * #,##0.00_-;_-&quot;$&quot;\ * &quot;-&quot;??_-;_-@_-"/>
    <numFmt numFmtId="164" formatCode="_-&quot;$&quot;* #,##0.00_-;\-&quot;$&quot;* #,##0.00_-;_-&quot;$&quot;* &quot;-&quot;??_-;_-@_-"/>
    <numFmt numFmtId="165" formatCode="[$$-2C0A]\ #,##0.00"/>
    <numFmt numFmtId="166" formatCode="[$$-2C0A]\ #,##0.00;[$$-2C0A]&quot; -&quot;#,##0.00"/>
    <numFmt numFmtId="167" formatCode="dd\-mm\-yy;@"/>
    <numFmt numFmtId="168" formatCode="_(\$* #,##0.00_);_(\$* \(#,##0.00\);_(\$* \-??_);_(@_)"/>
  </numFmts>
  <fonts count="31" x14ac:knownFonts="1">
    <font>
      <sz val="10"/>
      <name val="Arial"/>
      <charset val="1"/>
    </font>
    <font>
      <b/>
      <sz val="15"/>
      <color rgb="FF666699"/>
      <name val="Calibri"/>
      <family val="2"/>
      <charset val="1"/>
    </font>
    <font>
      <sz val="11"/>
      <color rgb="FF993300"/>
      <name val="Calibri"/>
      <family val="2"/>
      <charset val="1"/>
    </font>
    <font>
      <sz val="10"/>
      <name val="Times New Roman"/>
      <family val="1"/>
      <charset val="1"/>
    </font>
    <font>
      <sz val="10"/>
      <name val="Arial"/>
      <family val="2"/>
    </font>
    <font>
      <b/>
      <sz val="11"/>
      <color rgb="FF000000"/>
      <name val="Times New Roman"/>
      <family val="1"/>
    </font>
    <font>
      <sz val="10"/>
      <color rgb="FF000000"/>
      <name val="Times New Roman"/>
      <family val="1"/>
    </font>
    <font>
      <sz val="9"/>
      <name val="Times New Roman"/>
      <family val="1"/>
    </font>
    <font>
      <sz val="9"/>
      <color rgb="FF000000"/>
      <name val="Times New Roman"/>
      <family val="1"/>
    </font>
    <font>
      <b/>
      <sz val="11"/>
      <color theme="1"/>
      <name val="Calibri"/>
      <family val="2"/>
      <scheme val="minor"/>
    </font>
    <font>
      <sz val="11"/>
      <name val="Times New Roman"/>
      <family val="1"/>
    </font>
    <font>
      <b/>
      <sz val="11"/>
      <name val="Times New Roman"/>
      <family val="1"/>
    </font>
    <font>
      <b/>
      <u/>
      <sz val="11"/>
      <name val="Times New Roman"/>
      <family val="1"/>
    </font>
    <font>
      <b/>
      <sz val="11"/>
      <color theme="1" tint="4.9989318521683403E-2"/>
      <name val="Times New Roman"/>
      <family val="1"/>
    </font>
    <font>
      <sz val="11"/>
      <color theme="1" tint="4.9989318521683403E-2"/>
      <name val="Times New Roman"/>
      <family val="1"/>
    </font>
    <font>
      <b/>
      <sz val="9"/>
      <name val="Times New Roman"/>
      <family val="1"/>
    </font>
    <font>
      <sz val="10"/>
      <name val="Arial"/>
      <family val="2"/>
      <charset val="1"/>
    </font>
    <font>
      <b/>
      <sz val="9"/>
      <color theme="1"/>
      <name val="Times New Roman"/>
      <family val="1"/>
    </font>
    <font>
      <b/>
      <u/>
      <sz val="12"/>
      <name val="Times New Roman"/>
      <family val="1"/>
      <charset val="1"/>
    </font>
    <font>
      <b/>
      <u/>
      <sz val="11"/>
      <name val="Times New Roman"/>
      <family val="1"/>
      <charset val="1"/>
    </font>
    <font>
      <sz val="11"/>
      <name val="Times New Roman"/>
      <family val="1"/>
      <charset val="1"/>
    </font>
    <font>
      <sz val="11"/>
      <color rgb="FF000000"/>
      <name val="Times New Roman"/>
      <family val="1"/>
    </font>
    <font>
      <b/>
      <sz val="11"/>
      <name val="Times New Roman"/>
      <family val="1"/>
      <charset val="1"/>
    </font>
    <font>
      <sz val="9"/>
      <name val="Times New Roman"/>
      <family val="1"/>
      <charset val="1"/>
    </font>
    <font>
      <u/>
      <sz val="10"/>
      <name val="Arial"/>
      <family val="2"/>
    </font>
    <font>
      <b/>
      <sz val="22"/>
      <name val="Times New Roman"/>
      <family val="1"/>
    </font>
    <font>
      <b/>
      <sz val="12"/>
      <color rgb="FF000000"/>
      <name val="Times New Roman"/>
      <family val="1"/>
    </font>
    <font>
      <b/>
      <sz val="8"/>
      <color rgb="FF000000"/>
      <name val="Times New Roman"/>
      <family val="1"/>
    </font>
    <font>
      <sz val="9"/>
      <name val="Calibri"/>
      <family val="2"/>
      <scheme val="minor"/>
    </font>
    <font>
      <sz val="9"/>
      <color rgb="FF000000"/>
      <name val="Calibri"/>
      <family val="2"/>
      <scheme val="minor"/>
    </font>
    <font>
      <b/>
      <sz val="10"/>
      <name val="Arial"/>
      <family val="2"/>
    </font>
  </fonts>
  <fills count="5">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s>
  <borders count="66">
    <border>
      <left/>
      <right/>
      <top/>
      <bottom/>
      <diagonal/>
    </border>
    <border>
      <left/>
      <right/>
      <top/>
      <bottom style="thick">
        <color rgb="FF33CCCC"/>
      </bottom>
      <diagonal/>
    </border>
    <border>
      <left style="medium">
        <color auto="1"/>
      </left>
      <right/>
      <top style="medium">
        <color auto="1"/>
      </top>
      <bottom/>
      <diagonal/>
    </border>
    <border>
      <left/>
      <right style="medium">
        <color auto="1"/>
      </right>
      <top/>
      <bottom/>
      <diagonal/>
    </border>
    <border>
      <left style="medium">
        <color auto="1"/>
      </left>
      <right/>
      <top/>
      <bottom/>
      <diagonal/>
    </border>
    <border>
      <left style="thin">
        <color auto="1"/>
      </left>
      <right style="thin">
        <color auto="1"/>
      </right>
      <top style="thin">
        <color auto="1"/>
      </top>
      <bottom style="thin">
        <color auto="1"/>
      </bottom>
      <diagonal/>
    </border>
    <border>
      <left/>
      <right/>
      <top style="medium">
        <color auto="1"/>
      </top>
      <bottom/>
      <diagonal/>
    </border>
    <border>
      <left/>
      <right style="medium">
        <color auto="1"/>
      </right>
      <top style="medium">
        <color auto="1"/>
      </top>
      <bottom/>
      <diagonal/>
    </border>
    <border>
      <left style="thin">
        <color indexed="64"/>
      </left>
      <right style="thin">
        <color indexed="64"/>
      </right>
      <top style="thin">
        <color indexed="64"/>
      </top>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auto="1"/>
      </right>
      <top style="medium">
        <color auto="1"/>
      </top>
      <bottom style="medium">
        <color rgb="FF3D3D3D"/>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top/>
      <bottom style="medium">
        <color rgb="FF3D3D3D"/>
      </bottom>
      <diagonal/>
    </border>
    <border>
      <left/>
      <right/>
      <top/>
      <bottom style="medium">
        <color rgb="FF3D3D3D"/>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right style="thin">
        <color rgb="FF3D3D3D"/>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thin">
        <color rgb="FF3D3D3D"/>
      </right>
      <top/>
      <bottom style="thin">
        <color rgb="FF3D3D3D"/>
      </bottom>
      <diagonal/>
    </border>
    <border>
      <left style="thin">
        <color rgb="FF3D3D3D"/>
      </left>
      <right style="thin">
        <color rgb="FF3D3D3D"/>
      </right>
      <top style="medium">
        <color rgb="FF3D3D3D"/>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right style="thick">
        <color auto="1"/>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s>
  <cellStyleXfs count="5">
    <xf numFmtId="0" fontId="0" fillId="0" borderId="0"/>
    <xf numFmtId="0" fontId="1" fillId="0" borderId="1" applyProtection="0"/>
    <xf numFmtId="0" fontId="2" fillId="2" borderId="0" applyBorder="0" applyProtection="0"/>
    <xf numFmtId="164" fontId="4" fillId="0" borderId="0" applyFont="0" applyFill="0" applyBorder="0" applyAlignment="0" applyProtection="0"/>
    <xf numFmtId="168" fontId="16" fillId="0" borderId="0" applyBorder="0" applyProtection="0"/>
  </cellStyleXfs>
  <cellXfs count="146">
    <xf numFmtId="0" fontId="0" fillId="0" borderId="0" xfId="0"/>
    <xf numFmtId="0" fontId="8" fillId="0" borderId="5" xfId="0" applyFont="1" applyBorder="1" applyAlignment="1">
      <alignment horizontal="left" vertical="center" wrapText="1"/>
    </xf>
    <xf numFmtId="0" fontId="7" fillId="0" borderId="5" xfId="0" applyFont="1" applyBorder="1" applyAlignment="1">
      <alignment horizontal="center" vertical="center"/>
    </xf>
    <xf numFmtId="0" fontId="8" fillId="3" borderId="5" xfId="0" applyFont="1" applyFill="1" applyBorder="1" applyAlignment="1">
      <alignment horizontal="center" vertical="center" wrapText="1"/>
    </xf>
    <xf numFmtId="0" fontId="6" fillId="0" borderId="5" xfId="0" applyFont="1" applyBorder="1" applyAlignment="1">
      <alignment horizontal="center" vertical="center" wrapText="1"/>
    </xf>
    <xf numFmtId="3" fontId="11" fillId="0" borderId="6" xfId="0" applyNumberFormat="1" applyFont="1" applyBorder="1"/>
    <xf numFmtId="167" fontId="10" fillId="0" borderId="6" xfId="0" applyNumberFormat="1" applyFont="1" applyBorder="1" applyAlignment="1">
      <alignment horizontal="left"/>
    </xf>
    <xf numFmtId="0" fontId="10" fillId="0" borderId="6" xfId="0" applyFont="1" applyBorder="1"/>
    <xf numFmtId="0" fontId="10" fillId="0" borderId="4" xfId="0" applyFont="1" applyBorder="1"/>
    <xf numFmtId="0" fontId="10" fillId="0" borderId="0" xfId="0" applyFont="1"/>
    <xf numFmtId="0" fontId="10" fillId="0" borderId="0" xfId="0" applyFont="1" applyAlignment="1">
      <alignment horizontal="left"/>
    </xf>
    <xf numFmtId="167" fontId="10" fillId="0" borderId="0" xfId="0" applyNumberFormat="1" applyFont="1" applyAlignment="1">
      <alignment horizontal="left"/>
    </xf>
    <xf numFmtId="0" fontId="10" fillId="0" borderId="3" xfId="0" applyFont="1" applyBorder="1"/>
    <xf numFmtId="0" fontId="10" fillId="0" borderId="20" xfId="0" applyFont="1" applyBorder="1"/>
    <xf numFmtId="0" fontId="10" fillId="0" borderId="21" xfId="0" applyFont="1" applyBorder="1"/>
    <xf numFmtId="0" fontId="10" fillId="0" borderId="21" xfId="0" applyFont="1" applyBorder="1" applyAlignment="1">
      <alignment horizontal="left"/>
    </xf>
    <xf numFmtId="0" fontId="10" fillId="0" borderId="22" xfId="0" applyFont="1" applyBorder="1"/>
    <xf numFmtId="0" fontId="15" fillId="0" borderId="25" xfId="0" applyFont="1" applyBorder="1" applyAlignment="1">
      <alignment vertical="center"/>
    </xf>
    <xf numFmtId="0" fontId="15" fillId="0" borderId="26" xfId="0" applyFont="1" applyBorder="1" applyAlignment="1">
      <alignment vertical="center"/>
    </xf>
    <xf numFmtId="0" fontId="15" fillId="0" borderId="27" xfId="0" applyFont="1" applyBorder="1" applyAlignment="1">
      <alignment vertical="center"/>
    </xf>
    <xf numFmtId="0" fontId="15" fillId="0" borderId="28" xfId="0" applyFont="1" applyBorder="1" applyAlignment="1">
      <alignment vertical="center"/>
    </xf>
    <xf numFmtId="0" fontId="7" fillId="0" borderId="29" xfId="0" applyFont="1" applyBorder="1" applyAlignment="1">
      <alignment horizontal="center" vertical="center"/>
    </xf>
    <xf numFmtId="0" fontId="7" fillId="0" borderId="30" xfId="0" applyFont="1" applyBorder="1" applyAlignment="1">
      <alignment horizontal="center" vertical="center"/>
    </xf>
    <xf numFmtId="0" fontId="7" fillId="0" borderId="31" xfId="0" applyFont="1" applyBorder="1" applyAlignment="1">
      <alignment horizontal="center" vertical="center"/>
    </xf>
    <xf numFmtId="166" fontId="7" fillId="0" borderId="33" xfId="4" applyNumberFormat="1" applyFont="1" applyBorder="1" applyAlignment="1" applyProtection="1">
      <alignment horizontal="center" vertical="center"/>
    </xf>
    <xf numFmtId="0" fontId="7" fillId="0" borderId="34" xfId="0" applyFont="1" applyBorder="1" applyAlignment="1">
      <alignment horizontal="center" vertical="center"/>
    </xf>
    <xf numFmtId="0" fontId="7" fillId="0" borderId="35" xfId="0" applyFont="1" applyBorder="1" applyAlignment="1">
      <alignment horizontal="center" vertical="center"/>
    </xf>
    <xf numFmtId="0" fontId="7" fillId="0" borderId="36" xfId="0" applyFont="1" applyBorder="1" applyAlignment="1">
      <alignment horizontal="center" vertical="center"/>
    </xf>
    <xf numFmtId="0" fontId="7" fillId="0" borderId="37" xfId="0" applyFont="1" applyBorder="1" applyAlignment="1">
      <alignment horizontal="center" vertical="center"/>
    </xf>
    <xf numFmtId="166" fontId="7" fillId="0" borderId="40" xfId="4" applyNumberFormat="1" applyFont="1" applyBorder="1" applyAlignment="1" applyProtection="1">
      <alignment horizontal="center" vertical="center"/>
    </xf>
    <xf numFmtId="0" fontId="10" fillId="0" borderId="34" xfId="0" applyFont="1" applyBorder="1" applyAlignment="1">
      <alignment horizontal="center" vertical="center"/>
    </xf>
    <xf numFmtId="0" fontId="10" fillId="0" borderId="35" xfId="0" applyFont="1" applyBorder="1" applyAlignment="1">
      <alignment horizontal="center" vertical="center"/>
    </xf>
    <xf numFmtId="0" fontId="10" fillId="0" borderId="36" xfId="0" applyFont="1" applyBorder="1" applyAlignment="1">
      <alignment horizontal="center" vertical="center"/>
    </xf>
    <xf numFmtId="166" fontId="10" fillId="0" borderId="40" xfId="4" applyNumberFormat="1" applyFont="1" applyBorder="1" applyAlignment="1" applyProtection="1">
      <alignment horizontal="center" vertical="center"/>
    </xf>
    <xf numFmtId="0" fontId="10" fillId="0" borderId="41" xfId="0" applyFont="1" applyBorder="1" applyAlignment="1">
      <alignment horizontal="center" vertical="center"/>
    </xf>
    <xf numFmtId="0" fontId="10" fillId="0" borderId="42" xfId="0" applyFont="1" applyBorder="1" applyAlignment="1">
      <alignment horizontal="center" vertical="center"/>
    </xf>
    <xf numFmtId="0" fontId="10" fillId="0" borderId="43" xfId="0" applyFont="1" applyBorder="1" applyAlignment="1">
      <alignment horizontal="center" vertical="center"/>
    </xf>
    <xf numFmtId="166" fontId="10" fillId="0" borderId="44" xfId="4" applyNumberFormat="1" applyFont="1" applyBorder="1" applyAlignment="1" applyProtection="1">
      <alignment horizontal="center" vertical="center"/>
    </xf>
    <xf numFmtId="166" fontId="15" fillId="0" borderId="46" xfId="0" applyNumberFormat="1" applyFont="1" applyBorder="1" applyAlignment="1">
      <alignment horizontal="center" vertical="center"/>
    </xf>
    <xf numFmtId="0" fontId="19" fillId="0" borderId="4" xfId="0" applyFont="1" applyBorder="1" applyAlignment="1">
      <alignment vertical="center"/>
    </xf>
    <xf numFmtId="0" fontId="5" fillId="0" borderId="5" xfId="0" applyFont="1" applyBorder="1" applyAlignment="1">
      <alignment horizontal="center" vertical="center" wrapText="1"/>
    </xf>
    <xf numFmtId="0" fontId="21" fillId="0" borderId="5" xfId="0" applyFont="1" applyBorder="1" applyAlignment="1">
      <alignment horizontal="center" vertical="center" wrapText="1"/>
    </xf>
    <xf numFmtId="0" fontId="19" fillId="0" borderId="0" xfId="0" applyFont="1" applyBorder="1" applyAlignment="1">
      <alignment vertical="center"/>
    </xf>
    <xf numFmtId="0" fontId="22" fillId="0" borderId="5" xfId="0" applyFont="1" applyBorder="1" applyAlignment="1">
      <alignment horizontal="center" vertical="center" wrapText="1"/>
    </xf>
    <xf numFmtId="0" fontId="23" fillId="0" borderId="5" xfId="0" applyFont="1" applyFill="1" applyBorder="1" applyAlignment="1">
      <alignment horizontal="center" vertical="center"/>
    </xf>
    <xf numFmtId="0" fontId="11" fillId="0" borderId="47" xfId="0" applyFont="1" applyFill="1" applyBorder="1" applyAlignment="1">
      <alignment horizontal="left" vertical="center"/>
    </xf>
    <xf numFmtId="0" fontId="19" fillId="0" borderId="3" xfId="0" applyFont="1" applyBorder="1" applyAlignment="1">
      <alignment vertical="center"/>
    </xf>
    <xf numFmtId="165" fontId="0" fillId="0" borderId="5" xfId="0" applyNumberFormat="1" applyBorder="1"/>
    <xf numFmtId="0" fontId="15" fillId="0" borderId="26" xfId="0" applyFont="1" applyBorder="1" applyAlignment="1">
      <alignment horizontal="center" vertical="center"/>
    </xf>
    <xf numFmtId="0" fontId="7" fillId="0" borderId="49" xfId="0" applyFont="1" applyBorder="1" applyAlignment="1">
      <alignment horizontal="center" vertical="center"/>
    </xf>
    <xf numFmtId="0" fontId="7" fillId="0" borderId="50" xfId="0" applyFont="1" applyBorder="1" applyAlignment="1">
      <alignment horizontal="center" vertical="center"/>
    </xf>
    <xf numFmtId="44" fontId="0" fillId="0" borderId="0" xfId="0" applyNumberFormat="1"/>
    <xf numFmtId="0" fontId="5" fillId="0" borderId="8" xfId="0" applyFont="1" applyBorder="1" applyAlignment="1">
      <alignment horizontal="center" vertical="center" wrapText="1"/>
    </xf>
    <xf numFmtId="164" fontId="3" fillId="0" borderId="9" xfId="3" applyFont="1" applyBorder="1" applyAlignment="1">
      <alignment horizontal="center" vertical="center" wrapText="1"/>
    </xf>
    <xf numFmtId="164" fontId="3" fillId="0" borderId="5" xfId="3" applyFont="1" applyBorder="1" applyAlignment="1">
      <alignment horizontal="center" vertical="center" wrapText="1"/>
    </xf>
    <xf numFmtId="0" fontId="10" fillId="0" borderId="37" xfId="0" applyFont="1" applyBorder="1" applyAlignment="1">
      <alignment horizontal="center" vertical="center"/>
    </xf>
    <xf numFmtId="0" fontId="0" fillId="0" borderId="6" xfId="0" applyBorder="1"/>
    <xf numFmtId="0" fontId="0" fillId="0" borderId="7" xfId="0" applyBorder="1"/>
    <xf numFmtId="0" fontId="0" fillId="0" borderId="4" xfId="0" applyBorder="1"/>
    <xf numFmtId="0" fontId="0" fillId="0" borderId="0" xfId="0" applyBorder="1"/>
    <xf numFmtId="0" fontId="0" fillId="0" borderId="3" xfId="0" applyBorder="1"/>
    <xf numFmtId="0" fontId="0" fillId="0" borderId="53" xfId="0" applyBorder="1"/>
    <xf numFmtId="0" fontId="24" fillId="0" borderId="4" xfId="0" applyFont="1" applyBorder="1"/>
    <xf numFmtId="0" fontId="0" fillId="0" borderId="0" xfId="0" applyBorder="1" applyAlignment="1">
      <alignment horizontal="left" vertical="top" wrapText="1"/>
    </xf>
    <xf numFmtId="0" fontId="0" fillId="0" borderId="3" xfId="0" applyBorder="1" applyAlignment="1">
      <alignment horizontal="left" vertical="top" wrapText="1"/>
    </xf>
    <xf numFmtId="0" fontId="20" fillId="0" borderId="47" xfId="0" applyFont="1" applyFill="1" applyBorder="1" applyAlignment="1">
      <alignment horizontal="left" vertical="center" wrapText="1"/>
    </xf>
    <xf numFmtId="0" fontId="22" fillId="0" borderId="47" xfId="0" applyFont="1" applyBorder="1" applyAlignment="1">
      <alignment vertical="center" wrapText="1"/>
    </xf>
    <xf numFmtId="0" fontId="20" fillId="0" borderId="2" xfId="0" applyFont="1" applyBorder="1" applyAlignment="1">
      <alignment horizontal="left" vertical="center"/>
    </xf>
    <xf numFmtId="0" fontId="20" fillId="0" borderId="6" xfId="0" applyFont="1" applyBorder="1" applyAlignment="1">
      <alignment horizontal="left" vertical="center"/>
    </xf>
    <xf numFmtId="0" fontId="20" fillId="0" borderId="7" xfId="0" applyFont="1" applyBorder="1" applyAlignment="1">
      <alignment horizontal="left" vertical="center"/>
    </xf>
    <xf numFmtId="0" fontId="9" fillId="0" borderId="5" xfId="0" applyFont="1" applyBorder="1" applyAlignment="1">
      <alignment horizontal="left" vertical="top" wrapText="1"/>
    </xf>
    <xf numFmtId="0" fontId="22" fillId="0" borderId="47" xfId="0" applyFont="1" applyBorder="1" applyAlignment="1">
      <alignment horizontal="left" vertical="center" wrapText="1"/>
    </xf>
    <xf numFmtId="0" fontId="22" fillId="0" borderId="47" xfId="0" applyFont="1" applyFill="1" applyBorder="1" applyAlignment="1">
      <alignment vertical="center" wrapText="1"/>
    </xf>
    <xf numFmtId="0" fontId="18" fillId="0" borderId="2" xfId="0" applyFont="1" applyBorder="1" applyAlignment="1">
      <alignment horizontal="center" vertical="center" wrapText="1"/>
    </xf>
    <xf numFmtId="0" fontId="18" fillId="0" borderId="6" xfId="0" applyFont="1" applyBorder="1" applyAlignment="1">
      <alignment horizontal="center" vertical="center" wrapText="1"/>
    </xf>
    <xf numFmtId="0" fontId="18" fillId="0" borderId="7" xfId="0" applyFont="1" applyBorder="1" applyAlignment="1">
      <alignment horizontal="center" vertical="center" wrapText="1"/>
    </xf>
    <xf numFmtId="0" fontId="22" fillId="0" borderId="47" xfId="0" applyFont="1" applyFill="1" applyBorder="1" applyAlignment="1">
      <alignment horizontal="left" vertical="center" wrapText="1"/>
    </xf>
    <xf numFmtId="0" fontId="7" fillId="0" borderId="19" xfId="0" applyFont="1" applyBorder="1"/>
    <xf numFmtId="0" fontId="15" fillId="0" borderId="47" xfId="0" applyFont="1" applyBorder="1" applyAlignment="1">
      <alignment vertical="center" wrapText="1"/>
    </xf>
    <xf numFmtId="0" fontId="7" fillId="0" borderId="24" xfId="0" applyFont="1" applyBorder="1" applyAlignment="1">
      <alignment vertical="center" wrapText="1"/>
    </xf>
    <xf numFmtId="0" fontId="7" fillId="0" borderId="48" xfId="0" applyFont="1" applyBorder="1" applyAlignment="1">
      <alignment horizontal="left" vertical="center" wrapText="1" indent="1"/>
    </xf>
    <xf numFmtId="0" fontId="7" fillId="0" borderId="38" xfId="0" applyFont="1" applyBorder="1" applyAlignment="1">
      <alignment horizontal="left" vertical="center" wrapText="1"/>
    </xf>
    <xf numFmtId="0" fontId="7" fillId="0" borderId="39" xfId="0" applyFont="1" applyBorder="1" applyAlignment="1">
      <alignment horizontal="left" vertical="center" wrapText="1"/>
    </xf>
    <xf numFmtId="0" fontId="10" fillId="0" borderId="37" xfId="0" applyFont="1" applyBorder="1" applyAlignment="1">
      <alignment horizontal="center"/>
    </xf>
    <xf numFmtId="0" fontId="10" fillId="0" borderId="37" xfId="0" applyFont="1" applyBorder="1" applyAlignment="1">
      <alignment horizontal="center" vertical="center"/>
    </xf>
    <xf numFmtId="0" fontId="10" fillId="0" borderId="42" xfId="0" applyFont="1" applyBorder="1" applyAlignment="1">
      <alignment horizontal="left" vertical="center"/>
    </xf>
    <xf numFmtId="0" fontId="17" fillId="0" borderId="45" xfId="0" applyFont="1" applyBorder="1" applyAlignment="1">
      <alignment horizontal="left" vertical="center" wrapText="1"/>
    </xf>
    <xf numFmtId="0" fontId="7" fillId="0" borderId="31" xfId="0" applyFont="1" applyBorder="1" applyAlignment="1">
      <alignment horizontal="center" vertical="center" wrapText="1"/>
    </xf>
    <xf numFmtId="0" fontId="7" fillId="0" borderId="32" xfId="0" applyFont="1" applyBorder="1" applyAlignment="1">
      <alignment horizontal="center" vertical="center" wrapText="1"/>
    </xf>
    <xf numFmtId="0" fontId="10" fillId="4" borderId="15" xfId="0" applyFont="1" applyFill="1" applyBorder="1" applyAlignment="1">
      <alignment horizontal="left" vertical="center"/>
    </xf>
    <xf numFmtId="0" fontId="10" fillId="4" borderId="16" xfId="0" applyFont="1" applyFill="1" applyBorder="1" applyAlignment="1">
      <alignment horizontal="left" vertical="center"/>
    </xf>
    <xf numFmtId="0" fontId="10" fillId="4" borderId="17" xfId="0" applyFont="1" applyFill="1" applyBorder="1" applyAlignment="1">
      <alignment horizontal="left" vertical="center"/>
    </xf>
    <xf numFmtId="0" fontId="10" fillId="0" borderId="14" xfId="0" applyFont="1" applyBorder="1" applyAlignment="1"/>
    <xf numFmtId="0" fontId="10" fillId="0" borderId="15" xfId="0" applyFont="1" applyBorder="1" applyAlignment="1">
      <alignment horizontal="left" vertical="center"/>
    </xf>
    <xf numFmtId="0" fontId="10" fillId="0" borderId="16" xfId="0" applyFont="1" applyBorder="1" applyAlignment="1">
      <alignment horizontal="left" vertical="center"/>
    </xf>
    <xf numFmtId="0" fontId="10" fillId="0" borderId="17" xfId="0" applyFont="1" applyBorder="1" applyAlignment="1">
      <alignment horizontal="left" vertical="center"/>
    </xf>
    <xf numFmtId="0" fontId="12" fillId="0" borderId="18" xfId="0" applyFont="1" applyBorder="1" applyAlignment="1">
      <alignment horizontal="left"/>
    </xf>
    <xf numFmtId="0" fontId="10" fillId="0" borderId="19" xfId="0" applyFont="1" applyBorder="1" applyAlignment="1">
      <alignment horizontal="left"/>
    </xf>
    <xf numFmtId="0" fontId="10" fillId="0" borderId="4" xfId="0" applyNumberFormat="1" applyFont="1" applyBorder="1" applyAlignment="1">
      <alignment horizontal="justify" vertical="center" wrapText="1"/>
    </xf>
    <xf numFmtId="0" fontId="10" fillId="0" borderId="0" xfId="0" applyNumberFormat="1" applyFont="1" applyBorder="1" applyAlignment="1">
      <alignment horizontal="justify" vertical="center" wrapText="1"/>
    </xf>
    <xf numFmtId="0" fontId="10" fillId="0" borderId="3" xfId="0" applyNumberFormat="1" applyFont="1" applyBorder="1" applyAlignment="1">
      <alignment horizontal="justify" vertical="center" wrapText="1"/>
    </xf>
    <xf numFmtId="0" fontId="15" fillId="0" borderId="19" xfId="0" applyFont="1" applyBorder="1" applyAlignment="1">
      <alignment horizontal="center" vertical="center"/>
    </xf>
    <xf numFmtId="0" fontId="15" fillId="0" borderId="13" xfId="0" applyFont="1" applyBorder="1" applyAlignment="1">
      <alignment horizontal="center" vertical="center"/>
    </xf>
    <xf numFmtId="0" fontId="15" fillId="0" borderId="23" xfId="0" applyFont="1" applyBorder="1" applyAlignment="1">
      <alignment horizontal="center" vertical="center" wrapText="1"/>
    </xf>
    <xf numFmtId="0" fontId="15" fillId="0" borderId="24" xfId="0" applyFont="1" applyBorder="1" applyAlignment="1">
      <alignment horizontal="center" vertical="center"/>
    </xf>
    <xf numFmtId="0" fontId="10" fillId="0" borderId="13" xfId="0" applyFont="1" applyFill="1" applyBorder="1" applyAlignment="1">
      <alignment horizontal="left" vertical="center" wrapText="1"/>
    </xf>
    <xf numFmtId="0" fontId="10" fillId="0" borderId="14" xfId="0" applyFont="1" applyFill="1" applyBorder="1" applyAlignment="1"/>
    <xf numFmtId="0" fontId="10" fillId="0" borderId="10" xfId="0" applyFont="1" applyBorder="1" applyAlignment="1">
      <alignment horizontal="center"/>
    </xf>
    <xf numFmtId="0" fontId="11" fillId="0" borderId="11" xfId="0" applyFont="1" applyBorder="1" applyAlignment="1">
      <alignment horizontal="center"/>
    </xf>
    <xf numFmtId="0" fontId="11" fillId="0" borderId="12" xfId="0" applyFont="1" applyBorder="1" applyAlignment="1">
      <alignment horizontal="center" vertical="center" wrapText="1"/>
    </xf>
    <xf numFmtId="0" fontId="10" fillId="0" borderId="13" xfId="0" applyFont="1" applyFill="1" applyBorder="1"/>
    <xf numFmtId="0" fontId="27" fillId="0" borderId="54" xfId="0" applyFont="1" applyBorder="1" applyAlignment="1">
      <alignment horizontal="center" vertical="center" wrapText="1"/>
    </xf>
    <xf numFmtId="0" fontId="27" fillId="0" borderId="55" xfId="0" applyFont="1" applyBorder="1" applyAlignment="1">
      <alignment horizontal="center" vertical="center" wrapText="1"/>
    </xf>
    <xf numFmtId="0" fontId="28" fillId="0" borderId="9" xfId="0" applyFont="1" applyBorder="1" applyAlignment="1">
      <alignment horizontal="center" vertical="center"/>
    </xf>
    <xf numFmtId="0" fontId="28" fillId="0" borderId="9" xfId="0" applyFont="1" applyBorder="1" applyAlignment="1">
      <alignment vertical="center" wrapText="1"/>
    </xf>
    <xf numFmtId="0" fontId="29" fillId="0" borderId="9" xfId="0" applyFont="1" applyBorder="1" applyAlignment="1">
      <alignment horizontal="center" vertical="center" wrapText="1"/>
    </xf>
    <xf numFmtId="0" fontId="28" fillId="0" borderId="9" xfId="0" applyFont="1" applyBorder="1" applyAlignment="1">
      <alignment horizontal="center" vertical="center" wrapText="1"/>
    </xf>
    <xf numFmtId="164" fontId="28" fillId="0" borderId="9" xfId="3" applyFont="1" applyBorder="1" applyAlignment="1">
      <alignment vertical="center"/>
    </xf>
    <xf numFmtId="0" fontId="28" fillId="0" borderId="5" xfId="0" applyFont="1" applyBorder="1" applyAlignment="1">
      <alignment horizontal="center" vertical="center"/>
    </xf>
    <xf numFmtId="0" fontId="28" fillId="0" borderId="5" xfId="0" applyFont="1" applyBorder="1" applyAlignment="1">
      <alignment vertical="center" wrapText="1"/>
    </xf>
    <xf numFmtId="0" fontId="29" fillId="0" borderId="5" xfId="0" applyFont="1" applyBorder="1" applyAlignment="1">
      <alignment horizontal="center" vertical="center" wrapText="1"/>
    </xf>
    <xf numFmtId="0" fontId="28" fillId="0" borderId="5" xfId="0" applyFont="1" applyBorder="1" applyAlignment="1">
      <alignment horizontal="center" vertical="center" wrapText="1"/>
    </xf>
    <xf numFmtId="164" fontId="28" fillId="0" borderId="5" xfId="3" applyFont="1" applyBorder="1" applyAlignment="1">
      <alignment vertical="center"/>
    </xf>
    <xf numFmtId="164" fontId="9" fillId="0" borderId="5" xfId="0" applyNumberFormat="1" applyFont="1" applyBorder="1" applyAlignment="1">
      <alignment horizontal="center" vertical="top" wrapText="1"/>
    </xf>
    <xf numFmtId="0" fontId="0" fillId="0" borderId="51" xfId="0" applyBorder="1" applyAlignment="1">
      <alignment vertical="center"/>
    </xf>
    <xf numFmtId="0" fontId="0" fillId="0" borderId="52" xfId="0" applyBorder="1" applyAlignment="1">
      <alignment vertical="center"/>
    </xf>
    <xf numFmtId="0" fontId="4" fillId="0" borderId="4" xfId="0" applyFont="1" applyBorder="1"/>
    <xf numFmtId="0" fontId="4" fillId="0" borderId="2" xfId="0" applyFont="1" applyBorder="1"/>
    <xf numFmtId="0" fontId="27" fillId="0" borderId="56" xfId="0" applyFont="1" applyBorder="1" applyAlignment="1">
      <alignment horizontal="center" vertical="center" wrapText="1"/>
    </xf>
    <xf numFmtId="0" fontId="27" fillId="0" borderId="47" xfId="0" applyFont="1" applyBorder="1" applyAlignment="1">
      <alignment horizontal="center" vertical="center" wrapText="1"/>
    </xf>
    <xf numFmtId="0" fontId="5" fillId="0" borderId="5" xfId="0" applyFont="1" applyBorder="1" applyAlignment="1">
      <alignment horizontal="left" vertical="center" wrapText="1"/>
    </xf>
    <xf numFmtId="0" fontId="26" fillId="3" borderId="5" xfId="0" applyFont="1" applyFill="1" applyBorder="1" applyAlignment="1">
      <alignment horizontal="left" wrapText="1"/>
    </xf>
    <xf numFmtId="0" fontId="25" fillId="0" borderId="10" xfId="0" applyFont="1" applyBorder="1" applyAlignment="1">
      <alignment horizontal="center"/>
    </xf>
    <xf numFmtId="0" fontId="25" fillId="0" borderId="57" xfId="0" applyFont="1" applyBorder="1" applyAlignment="1">
      <alignment horizontal="center"/>
    </xf>
    <xf numFmtId="0" fontId="25" fillId="0" borderId="11" xfId="0" applyFont="1" applyBorder="1" applyAlignment="1">
      <alignment horizontal="center"/>
    </xf>
    <xf numFmtId="0" fontId="5" fillId="0" borderId="58" xfId="0" applyFont="1" applyBorder="1" applyAlignment="1">
      <alignment horizontal="left" vertical="center" wrapText="1"/>
    </xf>
    <xf numFmtId="0" fontId="5" fillId="0" borderId="59" xfId="0" applyFont="1" applyBorder="1" applyAlignment="1">
      <alignment horizontal="left" vertical="center" wrapText="1"/>
    </xf>
    <xf numFmtId="0" fontId="5" fillId="0" borderId="60" xfId="0" applyFont="1" applyBorder="1" applyAlignment="1">
      <alignment horizontal="left" vertical="center" wrapText="1"/>
    </xf>
    <xf numFmtId="0" fontId="5" fillId="0" borderId="61" xfId="0" applyFont="1" applyBorder="1" applyAlignment="1">
      <alignment horizontal="left" vertical="center" wrapText="1"/>
    </xf>
    <xf numFmtId="0" fontId="5" fillId="0" borderId="62" xfId="0" applyFont="1" applyBorder="1" applyAlignment="1">
      <alignment horizontal="left" vertical="center" wrapText="1"/>
    </xf>
    <xf numFmtId="0" fontId="26" fillId="3" borderId="62" xfId="0" applyFont="1" applyFill="1" applyBorder="1" applyAlignment="1">
      <alignment horizontal="left" wrapText="1"/>
    </xf>
    <xf numFmtId="0" fontId="27" fillId="0" borderId="10" xfId="0" applyFont="1" applyBorder="1" applyAlignment="1">
      <alignment horizontal="center" vertical="center" wrapText="1"/>
    </xf>
    <xf numFmtId="0" fontId="26" fillId="3" borderId="59" xfId="0" applyFont="1" applyFill="1" applyBorder="1" applyAlignment="1">
      <alignment horizontal="left" wrapText="1"/>
    </xf>
    <xf numFmtId="0" fontId="26" fillId="3" borderId="63" xfId="0" applyFont="1" applyFill="1" applyBorder="1" applyAlignment="1">
      <alignment horizontal="left" wrapText="1"/>
    </xf>
    <xf numFmtId="0" fontId="26" fillId="3" borderId="64" xfId="0" applyFont="1" applyFill="1" applyBorder="1" applyAlignment="1">
      <alignment horizontal="left" wrapText="1"/>
    </xf>
    <xf numFmtId="0" fontId="26" fillId="3" borderId="65" xfId="0" applyFont="1" applyFill="1" applyBorder="1" applyAlignment="1">
      <alignment horizontal="left" wrapText="1"/>
    </xf>
  </cellXfs>
  <cellStyles count="5">
    <cellStyle name="Encabezado 1" xfId="1"/>
    <cellStyle name="Moneda" xfId="3" builtinId="4"/>
    <cellStyle name="Moneda_AUTORIZACION Y NOTA DE PEDIDO" xfId="4"/>
    <cellStyle name="Neutral 1" xfId="2"/>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6EDBCCBC-A5D7-4F6E-B19D-1D7F6E4EBCF0}"/>
            </a:ext>
          </a:extLst>
        </xdr:cNvPr>
        <xdr:cNvSpPr/>
      </xdr:nvSpPr>
      <xdr:spPr>
        <a:xfrm>
          <a:off x="62101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C8B2281C-E18F-4241-A337-997AE3875297}"/>
            </a:ext>
          </a:extLst>
        </xdr:cNvPr>
        <xdr:cNvSpPr/>
      </xdr:nvSpPr>
      <xdr:spPr>
        <a:xfrm>
          <a:off x="62101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817DB5A8-6390-46BE-AC58-3E6F30D4AEDF}"/>
            </a:ext>
          </a:extLst>
        </xdr:cNvPr>
        <xdr:cNvSpPr/>
      </xdr:nvSpPr>
      <xdr:spPr>
        <a:xfrm>
          <a:off x="62101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9527F9E-0E95-4E47-B18B-2739E17981D6}"/>
            </a:ext>
          </a:extLst>
        </xdr:cNvPr>
        <xdr:cNvSpPr/>
      </xdr:nvSpPr>
      <xdr:spPr>
        <a:xfrm>
          <a:off x="62101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8"/>
  <sheetViews>
    <sheetView topLeftCell="A22" workbookViewId="0">
      <selection activeCell="E10" sqref="E10"/>
    </sheetView>
  </sheetViews>
  <sheetFormatPr baseColWidth="10" defaultRowHeight="12.75" x14ac:dyDescent="0.2"/>
  <cols>
    <col min="1" max="1" width="5.7109375" customWidth="1"/>
    <col min="2" max="2" width="15" customWidth="1"/>
    <col min="3" max="3" width="27.42578125" customWidth="1"/>
    <col min="5" max="5" width="37.7109375" customWidth="1"/>
    <col min="9" max="9" width="13.7109375" customWidth="1"/>
  </cols>
  <sheetData>
    <row r="1" spans="1:9" ht="27.75" thickBot="1" x14ac:dyDescent="0.4">
      <c r="A1" s="132" t="s">
        <v>92</v>
      </c>
      <c r="B1" s="133"/>
      <c r="C1" s="133"/>
      <c r="D1" s="133"/>
      <c r="E1" s="133"/>
      <c r="F1" s="133"/>
      <c r="G1" s="133"/>
      <c r="H1" s="133"/>
      <c r="I1" s="134"/>
    </row>
    <row r="2" spans="1:9" ht="18" customHeight="1" x14ac:dyDescent="0.25">
      <c r="A2" s="135" t="s">
        <v>93</v>
      </c>
      <c r="B2" s="136"/>
      <c r="C2" s="142" t="s">
        <v>1</v>
      </c>
      <c r="D2" s="142"/>
      <c r="E2" s="142"/>
      <c r="F2" s="142"/>
      <c r="G2" s="142"/>
      <c r="H2" s="142"/>
      <c r="I2" s="143"/>
    </row>
    <row r="3" spans="1:9" ht="15.75" customHeight="1" x14ac:dyDescent="0.25">
      <c r="A3" s="137" t="s">
        <v>94</v>
      </c>
      <c r="B3" s="130"/>
      <c r="C3" s="131" t="s">
        <v>2</v>
      </c>
      <c r="D3" s="131"/>
      <c r="E3" s="131"/>
      <c r="F3" s="131"/>
      <c r="G3" s="131"/>
      <c r="H3" s="131"/>
      <c r="I3" s="144"/>
    </row>
    <row r="4" spans="1:9" ht="15.75" x14ac:dyDescent="0.25">
      <c r="A4" s="137" t="s">
        <v>0</v>
      </c>
      <c r="B4" s="130"/>
      <c r="C4" s="131">
        <v>2022</v>
      </c>
      <c r="D4" s="131"/>
      <c r="E4" s="131"/>
      <c r="F4" s="131"/>
      <c r="G4" s="131"/>
      <c r="H4" s="131"/>
      <c r="I4" s="144"/>
    </row>
    <row r="5" spans="1:9" ht="16.5" thickBot="1" x14ac:dyDescent="0.3">
      <c r="A5" s="138" t="s">
        <v>95</v>
      </c>
      <c r="B5" s="139"/>
      <c r="C5" s="140">
        <v>2</v>
      </c>
      <c r="D5" s="140"/>
      <c r="E5" s="140"/>
      <c r="F5" s="140"/>
      <c r="G5" s="140"/>
      <c r="H5" s="140"/>
      <c r="I5" s="145"/>
    </row>
    <row r="6" spans="1:9" ht="32.25" thickBot="1" x14ac:dyDescent="0.25">
      <c r="A6" s="141" t="s">
        <v>3</v>
      </c>
      <c r="B6" s="141" t="s">
        <v>4</v>
      </c>
      <c r="C6" s="129" t="s">
        <v>96</v>
      </c>
      <c r="D6" s="128" t="s">
        <v>97</v>
      </c>
      <c r="E6" s="111" t="s">
        <v>5</v>
      </c>
      <c r="F6" s="111" t="s">
        <v>6</v>
      </c>
      <c r="G6" s="111" t="s">
        <v>7</v>
      </c>
      <c r="H6" s="111" t="s">
        <v>8</v>
      </c>
      <c r="I6" s="112" t="s">
        <v>98</v>
      </c>
    </row>
    <row r="7" spans="1:9" ht="46.5" customHeight="1" x14ac:dyDescent="0.2">
      <c r="A7" s="113">
        <v>1</v>
      </c>
      <c r="B7" s="4" t="s">
        <v>48</v>
      </c>
      <c r="C7" s="114" t="s">
        <v>101</v>
      </c>
      <c r="D7" s="115" t="s">
        <v>102</v>
      </c>
      <c r="E7" s="1" t="s">
        <v>55</v>
      </c>
      <c r="F7" s="116" t="s">
        <v>41</v>
      </c>
      <c r="G7" s="3">
        <v>1300</v>
      </c>
      <c r="H7" s="54">
        <v>15</v>
      </c>
      <c r="I7" s="117">
        <f>G7*H7</f>
        <v>19500</v>
      </c>
    </row>
    <row r="8" spans="1:9" ht="30" customHeight="1" x14ac:dyDescent="0.2">
      <c r="A8" s="118">
        <v>2</v>
      </c>
      <c r="B8" s="4" t="s">
        <v>49</v>
      </c>
      <c r="C8" s="119" t="s">
        <v>101</v>
      </c>
      <c r="D8" s="115" t="s">
        <v>102</v>
      </c>
      <c r="E8" s="1" t="s">
        <v>56</v>
      </c>
      <c r="F8" s="121" t="s">
        <v>41</v>
      </c>
      <c r="G8" s="3">
        <v>1300</v>
      </c>
      <c r="H8" s="54">
        <v>50</v>
      </c>
      <c r="I8" s="122">
        <f t="shared" ref="I8:I15" si="0">G8*H8</f>
        <v>65000</v>
      </c>
    </row>
    <row r="9" spans="1:9" ht="32.25" customHeight="1" x14ac:dyDescent="0.2">
      <c r="A9" s="118">
        <v>3</v>
      </c>
      <c r="B9" s="4" t="s">
        <v>50</v>
      </c>
      <c r="C9" s="119" t="s">
        <v>101</v>
      </c>
      <c r="D9" s="120" t="s">
        <v>102</v>
      </c>
      <c r="E9" s="1" t="s">
        <v>57</v>
      </c>
      <c r="F9" s="121" t="s">
        <v>41</v>
      </c>
      <c r="G9" s="3">
        <v>1300</v>
      </c>
      <c r="H9" s="54">
        <v>30</v>
      </c>
      <c r="I9" s="122">
        <f t="shared" si="0"/>
        <v>39000</v>
      </c>
    </row>
    <row r="10" spans="1:9" ht="36" customHeight="1" x14ac:dyDescent="0.2">
      <c r="A10" s="113">
        <v>4</v>
      </c>
      <c r="B10" s="4" t="s">
        <v>51</v>
      </c>
      <c r="C10" s="119" t="s">
        <v>101</v>
      </c>
      <c r="D10" s="115" t="s">
        <v>102</v>
      </c>
      <c r="E10" s="1" t="s">
        <v>58</v>
      </c>
      <c r="F10" s="121" t="s">
        <v>41</v>
      </c>
      <c r="G10" s="3">
        <v>300</v>
      </c>
      <c r="H10" s="54">
        <v>120</v>
      </c>
      <c r="I10" s="122">
        <f t="shared" si="0"/>
        <v>36000</v>
      </c>
    </row>
    <row r="11" spans="1:9" ht="55.5" customHeight="1" x14ac:dyDescent="0.2">
      <c r="A11" s="118">
        <v>5</v>
      </c>
      <c r="B11" s="4" t="s">
        <v>52</v>
      </c>
      <c r="C11" s="119" t="s">
        <v>101</v>
      </c>
      <c r="D11" s="115" t="s">
        <v>102</v>
      </c>
      <c r="E11" s="1" t="s">
        <v>59</v>
      </c>
      <c r="F11" s="121" t="s">
        <v>41</v>
      </c>
      <c r="G11" s="3">
        <v>350</v>
      </c>
      <c r="H11" s="54">
        <v>390</v>
      </c>
      <c r="I11" s="122">
        <f t="shared" si="0"/>
        <v>136500</v>
      </c>
    </row>
    <row r="12" spans="1:9" ht="40.5" customHeight="1" x14ac:dyDescent="0.2">
      <c r="A12" s="118">
        <v>6</v>
      </c>
      <c r="B12" s="4" t="s">
        <v>53</v>
      </c>
      <c r="C12" s="119" t="s">
        <v>101</v>
      </c>
      <c r="D12" s="120" t="s">
        <v>102</v>
      </c>
      <c r="E12" s="1" t="s">
        <v>60</v>
      </c>
      <c r="F12" s="121" t="s">
        <v>41</v>
      </c>
      <c r="G12" s="3">
        <v>1300</v>
      </c>
      <c r="H12" s="54">
        <v>30</v>
      </c>
      <c r="I12" s="122">
        <f t="shared" si="0"/>
        <v>39000</v>
      </c>
    </row>
    <row r="13" spans="1:9" ht="46.5" customHeight="1" x14ac:dyDescent="0.2">
      <c r="A13" s="113">
        <v>7</v>
      </c>
      <c r="B13" s="4" t="s">
        <v>54</v>
      </c>
      <c r="C13" s="119" t="s">
        <v>101</v>
      </c>
      <c r="D13" s="115" t="s">
        <v>102</v>
      </c>
      <c r="E13" s="1" t="s">
        <v>61</v>
      </c>
      <c r="F13" s="121" t="s">
        <v>41</v>
      </c>
      <c r="G13" s="3">
        <v>1300</v>
      </c>
      <c r="H13" s="54">
        <v>30</v>
      </c>
      <c r="I13" s="122">
        <f t="shared" si="0"/>
        <v>39000</v>
      </c>
    </row>
    <row r="14" spans="1:9" ht="37.5" customHeight="1" x14ac:dyDescent="0.2">
      <c r="A14" s="118">
        <v>8</v>
      </c>
      <c r="B14" s="4" t="s">
        <v>62</v>
      </c>
      <c r="C14" s="119" t="s">
        <v>101</v>
      </c>
      <c r="D14" s="115" t="s">
        <v>102</v>
      </c>
      <c r="E14" s="1" t="s">
        <v>63</v>
      </c>
      <c r="F14" s="121" t="s">
        <v>41</v>
      </c>
      <c r="G14" s="3">
        <v>1300</v>
      </c>
      <c r="H14" s="54">
        <v>30</v>
      </c>
      <c r="I14" s="122">
        <f t="shared" si="0"/>
        <v>39000</v>
      </c>
    </row>
    <row r="15" spans="1:9" ht="37.5" customHeight="1" x14ac:dyDescent="0.2">
      <c r="A15" s="118">
        <v>9</v>
      </c>
      <c r="B15" s="4" t="s">
        <v>65</v>
      </c>
      <c r="C15" s="119" t="s">
        <v>101</v>
      </c>
      <c r="D15" s="120" t="s">
        <v>102</v>
      </c>
      <c r="E15" s="1" t="s">
        <v>64</v>
      </c>
      <c r="F15" s="121" t="s">
        <v>41</v>
      </c>
      <c r="G15" s="3">
        <v>1300</v>
      </c>
      <c r="H15" s="54">
        <v>30</v>
      </c>
      <c r="I15" s="122">
        <f t="shared" si="0"/>
        <v>39000</v>
      </c>
    </row>
    <row r="16" spans="1:9" ht="46.5" customHeight="1" x14ac:dyDescent="0.2">
      <c r="A16" s="113">
        <v>10</v>
      </c>
      <c r="B16" s="4" t="s">
        <v>67</v>
      </c>
      <c r="C16" s="119" t="s">
        <v>101</v>
      </c>
      <c r="D16" s="115" t="s">
        <v>102</v>
      </c>
      <c r="E16" s="1" t="s">
        <v>66</v>
      </c>
      <c r="F16" s="121" t="s">
        <v>41</v>
      </c>
      <c r="G16" s="3">
        <v>350</v>
      </c>
      <c r="H16" s="54">
        <v>120</v>
      </c>
      <c r="I16" s="122">
        <f t="shared" ref="I16:I24" si="1">+G16*H16</f>
        <v>42000</v>
      </c>
    </row>
    <row r="17" spans="1:9" ht="36" x14ac:dyDescent="0.2">
      <c r="A17" s="118">
        <v>11</v>
      </c>
      <c r="B17" s="4" t="s">
        <v>67</v>
      </c>
      <c r="C17" s="119" t="s">
        <v>101</v>
      </c>
      <c r="D17" s="115" t="s">
        <v>102</v>
      </c>
      <c r="E17" s="1" t="s">
        <v>66</v>
      </c>
      <c r="F17" s="121" t="s">
        <v>41</v>
      </c>
      <c r="G17" s="3">
        <v>350</v>
      </c>
      <c r="H17" s="54">
        <v>120</v>
      </c>
      <c r="I17" s="122">
        <f t="shared" si="1"/>
        <v>42000</v>
      </c>
    </row>
    <row r="18" spans="1:9" ht="44.25" customHeight="1" x14ac:dyDescent="0.2">
      <c r="A18" s="118">
        <v>12</v>
      </c>
      <c r="B18" s="4" t="s">
        <v>69</v>
      </c>
      <c r="C18" s="119" t="s">
        <v>101</v>
      </c>
      <c r="D18" s="120" t="s">
        <v>102</v>
      </c>
      <c r="E18" s="1" t="s">
        <v>68</v>
      </c>
      <c r="F18" s="121" t="s">
        <v>41</v>
      </c>
      <c r="G18" s="3">
        <v>350</v>
      </c>
      <c r="H18" s="54">
        <v>120</v>
      </c>
      <c r="I18" s="122">
        <f t="shared" si="1"/>
        <v>42000</v>
      </c>
    </row>
    <row r="19" spans="1:9" ht="47.25" customHeight="1" x14ac:dyDescent="0.2">
      <c r="A19" s="113">
        <v>13</v>
      </c>
      <c r="B19" s="4" t="s">
        <v>67</v>
      </c>
      <c r="C19" s="119" t="s">
        <v>101</v>
      </c>
      <c r="D19" s="115" t="s">
        <v>102</v>
      </c>
      <c r="E19" s="1" t="s">
        <v>66</v>
      </c>
      <c r="F19" s="121" t="s">
        <v>41</v>
      </c>
      <c r="G19" s="3">
        <v>350</v>
      </c>
      <c r="H19" s="54">
        <v>120</v>
      </c>
      <c r="I19" s="122">
        <f t="shared" si="1"/>
        <v>42000</v>
      </c>
    </row>
    <row r="20" spans="1:9" ht="54" customHeight="1" x14ac:dyDescent="0.2">
      <c r="A20" s="118">
        <v>14</v>
      </c>
      <c r="B20" s="4" t="s">
        <v>71</v>
      </c>
      <c r="C20" s="119" t="s">
        <v>101</v>
      </c>
      <c r="D20" s="115" t="s">
        <v>102</v>
      </c>
      <c r="E20" s="1" t="s">
        <v>70</v>
      </c>
      <c r="F20" s="121" t="s">
        <v>41</v>
      </c>
      <c r="G20" s="3">
        <v>1300</v>
      </c>
      <c r="H20" s="54">
        <v>90</v>
      </c>
      <c r="I20" s="122">
        <f t="shared" si="1"/>
        <v>117000</v>
      </c>
    </row>
    <row r="21" spans="1:9" ht="47.25" customHeight="1" x14ac:dyDescent="0.2">
      <c r="A21" s="118">
        <v>15</v>
      </c>
      <c r="B21" s="4" t="s">
        <v>73</v>
      </c>
      <c r="C21" s="119" t="s">
        <v>101</v>
      </c>
      <c r="D21" s="120" t="s">
        <v>102</v>
      </c>
      <c r="E21" s="1" t="s">
        <v>72</v>
      </c>
      <c r="F21" s="121" t="s">
        <v>41</v>
      </c>
      <c r="G21" s="3">
        <v>1300</v>
      </c>
      <c r="H21" s="54">
        <v>40</v>
      </c>
      <c r="I21" s="122">
        <f t="shared" si="1"/>
        <v>52000</v>
      </c>
    </row>
    <row r="22" spans="1:9" ht="36.75" customHeight="1" x14ac:dyDescent="0.2">
      <c r="A22" s="113">
        <v>16</v>
      </c>
      <c r="B22" s="4" t="s">
        <v>75</v>
      </c>
      <c r="C22" s="119" t="s">
        <v>101</v>
      </c>
      <c r="D22" s="115" t="s">
        <v>102</v>
      </c>
      <c r="E22" s="1" t="s">
        <v>74</v>
      </c>
      <c r="F22" s="121" t="s">
        <v>41</v>
      </c>
      <c r="G22" s="3">
        <v>1300</v>
      </c>
      <c r="H22" s="54">
        <v>50</v>
      </c>
      <c r="I22" s="122">
        <f t="shared" si="1"/>
        <v>65000</v>
      </c>
    </row>
    <row r="23" spans="1:9" ht="33" customHeight="1" x14ac:dyDescent="0.2">
      <c r="A23" s="118">
        <v>17</v>
      </c>
      <c r="B23" s="4" t="s">
        <v>77</v>
      </c>
      <c r="C23" s="119" t="s">
        <v>101</v>
      </c>
      <c r="D23" s="115" t="s">
        <v>102</v>
      </c>
      <c r="E23" s="1" t="s">
        <v>76</v>
      </c>
      <c r="F23" s="121" t="s">
        <v>41</v>
      </c>
      <c r="G23" s="3">
        <v>350</v>
      </c>
      <c r="H23" s="54">
        <v>300</v>
      </c>
      <c r="I23" s="122">
        <f t="shared" si="1"/>
        <v>105000</v>
      </c>
    </row>
    <row r="24" spans="1:9" ht="70.5" customHeight="1" x14ac:dyDescent="0.2">
      <c r="A24" s="118">
        <v>18</v>
      </c>
      <c r="B24" s="3" t="s">
        <v>79</v>
      </c>
      <c r="C24" s="119" t="s">
        <v>101</v>
      </c>
      <c r="D24" s="120" t="s">
        <v>103</v>
      </c>
      <c r="E24" s="1" t="s">
        <v>78</v>
      </c>
      <c r="F24" s="121" t="s">
        <v>41</v>
      </c>
      <c r="G24" s="3">
        <v>1300</v>
      </c>
      <c r="H24" s="53">
        <v>800</v>
      </c>
      <c r="I24" s="122">
        <f t="shared" si="1"/>
        <v>1040000</v>
      </c>
    </row>
    <row r="25" spans="1:9" ht="15" customHeight="1" x14ac:dyDescent="0.2">
      <c r="A25" s="70" t="s">
        <v>90</v>
      </c>
      <c r="B25" s="70"/>
      <c r="C25" s="70"/>
      <c r="D25" s="70"/>
      <c r="E25" s="70"/>
      <c r="F25" s="70"/>
      <c r="G25" s="70"/>
      <c r="H25" s="70"/>
      <c r="I25" s="123">
        <f>SUM(I7:I24)</f>
        <v>1999000</v>
      </c>
    </row>
    <row r="26" spans="1:9" ht="13.5" thickBot="1" x14ac:dyDescent="0.25"/>
    <row r="27" spans="1:9" x14ac:dyDescent="0.2">
      <c r="B27" s="127" t="s">
        <v>100</v>
      </c>
      <c r="C27" s="56"/>
      <c r="D27" s="56"/>
      <c r="E27" s="57"/>
    </row>
    <row r="28" spans="1:9" x14ac:dyDescent="0.2">
      <c r="B28" s="62" t="s">
        <v>83</v>
      </c>
      <c r="C28" s="59"/>
      <c r="D28" s="59"/>
      <c r="E28" s="60"/>
    </row>
    <row r="29" spans="1:9" x14ac:dyDescent="0.2">
      <c r="B29" s="62"/>
      <c r="C29" s="59" t="s">
        <v>91</v>
      </c>
      <c r="D29" s="59"/>
      <c r="E29" s="60"/>
    </row>
    <row r="30" spans="1:9" x14ac:dyDescent="0.2">
      <c r="B30" s="58"/>
      <c r="C30" s="59" t="s">
        <v>84</v>
      </c>
      <c r="D30" s="59"/>
      <c r="E30" s="60"/>
    </row>
    <row r="31" spans="1:9" x14ac:dyDescent="0.2">
      <c r="B31" s="58"/>
      <c r="C31" s="59" t="s">
        <v>85</v>
      </c>
      <c r="D31" s="59"/>
      <c r="E31" s="60"/>
    </row>
    <row r="32" spans="1:9" x14ac:dyDescent="0.2">
      <c r="B32" s="58"/>
      <c r="C32" s="59" t="s">
        <v>86</v>
      </c>
      <c r="D32" s="59"/>
      <c r="E32" s="60"/>
    </row>
    <row r="33" spans="2:5" x14ac:dyDescent="0.2">
      <c r="B33" s="58"/>
      <c r="C33" s="59" t="s">
        <v>87</v>
      </c>
      <c r="D33" s="59"/>
      <c r="E33" s="60"/>
    </row>
    <row r="34" spans="2:5" x14ac:dyDescent="0.2">
      <c r="B34" s="58"/>
      <c r="C34" s="59"/>
      <c r="D34" s="59"/>
      <c r="E34" s="60"/>
    </row>
    <row r="35" spans="2:5" x14ac:dyDescent="0.2">
      <c r="B35" s="126" t="s">
        <v>99</v>
      </c>
      <c r="C35" s="59"/>
      <c r="D35" s="59"/>
      <c r="E35" s="60"/>
    </row>
    <row r="36" spans="2:5" ht="68.25" customHeight="1" x14ac:dyDescent="0.2">
      <c r="B36" s="58"/>
      <c r="C36" s="63" t="s">
        <v>88</v>
      </c>
      <c r="D36" s="63"/>
      <c r="E36" s="64"/>
    </row>
    <row r="37" spans="2:5" x14ac:dyDescent="0.2">
      <c r="B37" s="58"/>
      <c r="C37" s="59"/>
      <c r="D37" s="59"/>
      <c r="E37" s="60"/>
    </row>
    <row r="38" spans="2:5" ht="22.5" customHeight="1" thickBot="1" x14ac:dyDescent="0.25">
      <c r="B38" s="124" t="s">
        <v>89</v>
      </c>
      <c r="C38" s="125"/>
      <c r="D38" s="125"/>
      <c r="E38" s="61"/>
    </row>
  </sheetData>
  <mergeCells count="11">
    <mergeCell ref="C4:I4"/>
    <mergeCell ref="C5:I5"/>
    <mergeCell ref="A5:B5"/>
    <mergeCell ref="A25:H25"/>
    <mergeCell ref="C36:E36"/>
    <mergeCell ref="A2:B2"/>
    <mergeCell ref="A3:B3"/>
    <mergeCell ref="A4:B4"/>
    <mergeCell ref="A1:I1"/>
    <mergeCell ref="C2:I2"/>
    <mergeCell ref="C3:I3"/>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1"/>
  <sheetViews>
    <sheetView workbookViewId="0">
      <selection activeCell="F41" sqref="F41"/>
    </sheetView>
  </sheetViews>
  <sheetFormatPr baseColWidth="10" defaultRowHeight="12.75" x14ac:dyDescent="0.2"/>
  <cols>
    <col min="1" max="1" width="4.5703125" customWidth="1"/>
    <col min="2" max="2" width="25.42578125" customWidth="1"/>
    <col min="3" max="3" width="39.140625" customWidth="1"/>
    <col min="4" max="4" width="15.5703125" customWidth="1"/>
    <col min="5" max="5" width="17.7109375" customWidth="1"/>
    <col min="6" max="6" width="13.85546875" customWidth="1"/>
    <col min="7" max="7" width="16.85546875" customWidth="1"/>
    <col min="8" max="8" width="12.85546875" bestFit="1" customWidth="1"/>
  </cols>
  <sheetData>
    <row r="1" spans="1:8" ht="16.5" thickBot="1" x14ac:dyDescent="0.25">
      <c r="A1" s="73" t="s">
        <v>35</v>
      </c>
      <c r="B1" s="74"/>
      <c r="C1" s="74"/>
      <c r="D1" s="74"/>
      <c r="E1" s="74"/>
      <c r="F1" s="75"/>
      <c r="G1" s="45" t="s">
        <v>81</v>
      </c>
    </row>
    <row r="2" spans="1:8" ht="15" thickBot="1" x14ac:dyDescent="0.25">
      <c r="A2" s="39"/>
      <c r="B2" s="42"/>
      <c r="C2" s="42"/>
      <c r="D2" s="42"/>
      <c r="E2" s="42"/>
      <c r="F2" s="42"/>
      <c r="G2" s="46"/>
    </row>
    <row r="3" spans="1:8" ht="15.75" thickBot="1" x14ac:dyDescent="0.25">
      <c r="A3" s="65" t="s">
        <v>36</v>
      </c>
      <c r="B3" s="65"/>
      <c r="C3" s="72" t="s">
        <v>1</v>
      </c>
      <c r="D3" s="72"/>
      <c r="E3" s="72"/>
      <c r="F3" s="72"/>
      <c r="G3" s="72"/>
    </row>
    <row r="4" spans="1:8" ht="15.75" thickBot="1" x14ac:dyDescent="0.25">
      <c r="A4" s="65" t="s">
        <v>11</v>
      </c>
      <c r="B4" s="65"/>
      <c r="C4" s="76" t="s">
        <v>2</v>
      </c>
      <c r="D4" s="76"/>
      <c r="E4" s="76"/>
      <c r="F4" s="76"/>
      <c r="G4" s="76"/>
    </row>
    <row r="5" spans="1:8" ht="15.75" thickBot="1" x14ac:dyDescent="0.25">
      <c r="A5" s="65" t="s">
        <v>12</v>
      </c>
      <c r="B5" s="65"/>
      <c r="C5" s="71" t="s">
        <v>43</v>
      </c>
      <c r="D5" s="71"/>
      <c r="E5" s="71"/>
      <c r="F5" s="71"/>
      <c r="G5" s="71"/>
    </row>
    <row r="6" spans="1:8" ht="15.75" thickBot="1" x14ac:dyDescent="0.25">
      <c r="A6" s="65" t="s">
        <v>13</v>
      </c>
      <c r="B6" s="65"/>
      <c r="C6" s="71" t="s">
        <v>43</v>
      </c>
      <c r="D6" s="71"/>
      <c r="E6" s="71"/>
      <c r="F6" s="71"/>
      <c r="G6" s="71"/>
    </row>
    <row r="7" spans="1:8" ht="15.75" thickBot="1" x14ac:dyDescent="0.25">
      <c r="A7" s="65" t="s">
        <v>37</v>
      </c>
      <c r="B7" s="65"/>
      <c r="C7" s="72" t="s">
        <v>38</v>
      </c>
      <c r="D7" s="72"/>
      <c r="E7" s="72"/>
      <c r="F7" s="72"/>
      <c r="G7" s="72"/>
    </row>
    <row r="8" spans="1:8" ht="15.75" thickBot="1" x14ac:dyDescent="0.25">
      <c r="A8" s="65" t="s">
        <v>39</v>
      </c>
      <c r="B8" s="65"/>
      <c r="C8" s="66" t="s">
        <v>80</v>
      </c>
      <c r="D8" s="66"/>
      <c r="E8" s="66"/>
      <c r="F8" s="66"/>
      <c r="G8" s="66"/>
    </row>
    <row r="9" spans="1:8" ht="15" x14ac:dyDescent="0.2">
      <c r="A9" s="67"/>
      <c r="B9" s="68"/>
      <c r="C9" s="68"/>
      <c r="D9" s="68"/>
      <c r="E9" s="68"/>
      <c r="F9" s="68"/>
      <c r="G9" s="69"/>
    </row>
    <row r="10" spans="1:8" ht="42.75" x14ac:dyDescent="0.2">
      <c r="A10" s="40" t="s">
        <v>3</v>
      </c>
      <c r="B10" s="40" t="s">
        <v>4</v>
      </c>
      <c r="C10" s="40" t="s">
        <v>5</v>
      </c>
      <c r="D10" s="43" t="s">
        <v>40</v>
      </c>
      <c r="E10" s="40" t="s">
        <v>6</v>
      </c>
      <c r="F10" s="52" t="s">
        <v>8</v>
      </c>
      <c r="G10" s="40" t="s">
        <v>7</v>
      </c>
    </row>
    <row r="11" spans="1:8" ht="42" customHeight="1" x14ac:dyDescent="0.2">
      <c r="A11" s="41">
        <v>1</v>
      </c>
      <c r="B11" s="4" t="s">
        <v>48</v>
      </c>
      <c r="C11" s="1" t="s">
        <v>55</v>
      </c>
      <c r="D11" s="44" t="s">
        <v>42</v>
      </c>
      <c r="E11" s="3" t="s">
        <v>41</v>
      </c>
      <c r="F11" s="54">
        <v>15</v>
      </c>
      <c r="G11" s="3">
        <v>1300</v>
      </c>
      <c r="H11" s="51"/>
    </row>
    <row r="12" spans="1:8" ht="31.5" customHeight="1" x14ac:dyDescent="0.2">
      <c r="A12" s="41">
        <v>2</v>
      </c>
      <c r="B12" s="4" t="s">
        <v>49</v>
      </c>
      <c r="C12" s="1" t="s">
        <v>56</v>
      </c>
      <c r="D12" s="44" t="s">
        <v>42</v>
      </c>
      <c r="E12" s="3" t="s">
        <v>41</v>
      </c>
      <c r="F12" s="54">
        <v>50</v>
      </c>
      <c r="G12" s="3">
        <v>1300</v>
      </c>
      <c r="H12" s="51"/>
    </row>
    <row r="13" spans="1:8" ht="31.5" customHeight="1" x14ac:dyDescent="0.2">
      <c r="A13" s="41">
        <v>3</v>
      </c>
      <c r="B13" s="4" t="s">
        <v>50</v>
      </c>
      <c r="C13" s="1" t="s">
        <v>57</v>
      </c>
      <c r="D13" s="44" t="s">
        <v>42</v>
      </c>
      <c r="E13" s="3" t="s">
        <v>41</v>
      </c>
      <c r="F13" s="54">
        <v>30</v>
      </c>
      <c r="G13" s="3">
        <v>1300</v>
      </c>
      <c r="H13" s="51"/>
    </row>
    <row r="14" spans="1:8" ht="31.5" customHeight="1" x14ac:dyDescent="0.2">
      <c r="A14" s="41">
        <v>4</v>
      </c>
      <c r="B14" s="4" t="s">
        <v>51</v>
      </c>
      <c r="C14" s="1" t="s">
        <v>58</v>
      </c>
      <c r="D14" s="44" t="s">
        <v>42</v>
      </c>
      <c r="E14" s="3" t="s">
        <v>41</v>
      </c>
      <c r="F14" s="54">
        <v>120</v>
      </c>
      <c r="G14" s="3">
        <v>300</v>
      </c>
      <c r="H14" s="51"/>
    </row>
    <row r="15" spans="1:8" ht="46.5" customHeight="1" x14ac:dyDescent="0.2">
      <c r="A15" s="41">
        <v>5</v>
      </c>
      <c r="B15" s="4" t="s">
        <v>52</v>
      </c>
      <c r="C15" s="1" t="s">
        <v>59</v>
      </c>
      <c r="D15" s="44" t="s">
        <v>42</v>
      </c>
      <c r="E15" s="3" t="s">
        <v>41</v>
      </c>
      <c r="F15" s="54">
        <v>390</v>
      </c>
      <c r="G15" s="3">
        <v>350</v>
      </c>
      <c r="H15" s="51"/>
    </row>
    <row r="16" spans="1:8" ht="31.5" customHeight="1" x14ac:dyDescent="0.2">
      <c r="A16" s="41">
        <v>6</v>
      </c>
      <c r="B16" s="4" t="s">
        <v>53</v>
      </c>
      <c r="C16" s="1" t="s">
        <v>60</v>
      </c>
      <c r="D16" s="44" t="s">
        <v>42</v>
      </c>
      <c r="E16" s="3" t="s">
        <v>41</v>
      </c>
      <c r="F16" s="54">
        <v>30</v>
      </c>
      <c r="G16" s="3">
        <v>1300</v>
      </c>
      <c r="H16" s="51"/>
    </row>
    <row r="17" spans="1:8" ht="31.5" customHeight="1" x14ac:dyDescent="0.2">
      <c r="A17" s="41">
        <v>7</v>
      </c>
      <c r="B17" s="4" t="s">
        <v>54</v>
      </c>
      <c r="C17" s="1" t="s">
        <v>61</v>
      </c>
      <c r="D17" s="44" t="s">
        <v>42</v>
      </c>
      <c r="E17" s="3" t="s">
        <v>41</v>
      </c>
      <c r="F17" s="54">
        <v>30</v>
      </c>
      <c r="G17" s="3">
        <v>1300</v>
      </c>
      <c r="H17" s="51"/>
    </row>
    <row r="18" spans="1:8" ht="31.5" customHeight="1" x14ac:dyDescent="0.2">
      <c r="A18" s="41">
        <v>8</v>
      </c>
      <c r="B18" s="4" t="s">
        <v>62</v>
      </c>
      <c r="C18" s="1" t="s">
        <v>63</v>
      </c>
      <c r="D18" s="44" t="s">
        <v>42</v>
      </c>
      <c r="E18" s="3" t="s">
        <v>41</v>
      </c>
      <c r="F18" s="54">
        <v>30</v>
      </c>
      <c r="G18" s="3">
        <v>1300</v>
      </c>
      <c r="H18" s="51"/>
    </row>
    <row r="19" spans="1:8" ht="31.5" customHeight="1" x14ac:dyDescent="0.2">
      <c r="A19" s="41">
        <v>9</v>
      </c>
      <c r="B19" s="4" t="s">
        <v>65</v>
      </c>
      <c r="C19" s="1" t="s">
        <v>64</v>
      </c>
      <c r="D19" s="44" t="s">
        <v>42</v>
      </c>
      <c r="E19" s="3" t="s">
        <v>41</v>
      </c>
      <c r="F19" s="54">
        <v>30</v>
      </c>
      <c r="G19" s="3">
        <v>1300</v>
      </c>
      <c r="H19" s="51"/>
    </row>
    <row r="20" spans="1:8" ht="39" customHeight="1" x14ac:dyDescent="0.2">
      <c r="A20" s="41">
        <v>10</v>
      </c>
      <c r="B20" s="4" t="s">
        <v>67</v>
      </c>
      <c r="C20" s="1" t="s">
        <v>66</v>
      </c>
      <c r="D20" s="44" t="s">
        <v>42</v>
      </c>
      <c r="E20" s="3" t="s">
        <v>41</v>
      </c>
      <c r="F20" s="54">
        <v>120</v>
      </c>
      <c r="G20" s="3">
        <v>350</v>
      </c>
      <c r="H20" s="51"/>
    </row>
    <row r="21" spans="1:8" ht="45" customHeight="1" x14ac:dyDescent="0.2">
      <c r="A21" s="41">
        <v>11</v>
      </c>
      <c r="B21" s="4" t="s">
        <v>67</v>
      </c>
      <c r="C21" s="1" t="s">
        <v>66</v>
      </c>
      <c r="D21" s="44" t="s">
        <v>42</v>
      </c>
      <c r="E21" s="3" t="s">
        <v>41</v>
      </c>
      <c r="F21" s="54">
        <v>120</v>
      </c>
      <c r="G21" s="3">
        <v>350</v>
      </c>
      <c r="H21" s="51"/>
    </row>
    <row r="22" spans="1:8" ht="41.25" customHeight="1" x14ac:dyDescent="0.2">
      <c r="A22" s="41">
        <v>12</v>
      </c>
      <c r="B22" s="4" t="s">
        <v>69</v>
      </c>
      <c r="C22" s="1" t="s">
        <v>68</v>
      </c>
      <c r="D22" s="44" t="s">
        <v>42</v>
      </c>
      <c r="E22" s="3" t="s">
        <v>41</v>
      </c>
      <c r="F22" s="54">
        <v>120</v>
      </c>
      <c r="G22" s="3">
        <v>350</v>
      </c>
      <c r="H22" s="51"/>
    </row>
    <row r="23" spans="1:8" ht="44.25" customHeight="1" x14ac:dyDescent="0.2">
      <c r="A23" s="41">
        <v>13</v>
      </c>
      <c r="B23" s="4" t="s">
        <v>67</v>
      </c>
      <c r="C23" s="1" t="s">
        <v>66</v>
      </c>
      <c r="D23" s="44" t="s">
        <v>42</v>
      </c>
      <c r="E23" s="3" t="s">
        <v>41</v>
      </c>
      <c r="F23" s="54">
        <v>120</v>
      </c>
      <c r="G23" s="3">
        <v>350</v>
      </c>
      <c r="H23" s="51"/>
    </row>
    <row r="24" spans="1:8" ht="52.5" customHeight="1" x14ac:dyDescent="0.2">
      <c r="A24" s="41">
        <v>14</v>
      </c>
      <c r="B24" s="4" t="s">
        <v>71</v>
      </c>
      <c r="C24" s="1" t="s">
        <v>70</v>
      </c>
      <c r="D24" s="44" t="s">
        <v>42</v>
      </c>
      <c r="E24" s="3" t="s">
        <v>41</v>
      </c>
      <c r="F24" s="54">
        <v>90</v>
      </c>
      <c r="G24" s="3">
        <v>1300</v>
      </c>
      <c r="H24" s="51"/>
    </row>
    <row r="25" spans="1:8" ht="40.5" customHeight="1" x14ac:dyDescent="0.2">
      <c r="A25" s="41">
        <v>15</v>
      </c>
      <c r="B25" s="4" t="s">
        <v>73</v>
      </c>
      <c r="C25" s="1" t="s">
        <v>72</v>
      </c>
      <c r="D25" s="44" t="s">
        <v>42</v>
      </c>
      <c r="E25" s="3" t="s">
        <v>41</v>
      </c>
      <c r="F25" s="54">
        <v>40</v>
      </c>
      <c r="G25" s="3">
        <v>1300</v>
      </c>
      <c r="H25" s="51"/>
    </row>
    <row r="26" spans="1:8" ht="31.5" customHeight="1" x14ac:dyDescent="0.2">
      <c r="A26" s="41">
        <v>16</v>
      </c>
      <c r="B26" s="4" t="s">
        <v>75</v>
      </c>
      <c r="C26" s="1" t="s">
        <v>74</v>
      </c>
      <c r="D26" s="44" t="s">
        <v>42</v>
      </c>
      <c r="E26" s="3" t="s">
        <v>41</v>
      </c>
      <c r="F26" s="54">
        <v>50</v>
      </c>
      <c r="G26" s="3">
        <v>1300</v>
      </c>
      <c r="H26" s="51"/>
    </row>
    <row r="27" spans="1:8" ht="24" x14ac:dyDescent="0.2">
      <c r="A27" s="41">
        <v>17</v>
      </c>
      <c r="B27" s="4" t="s">
        <v>77</v>
      </c>
      <c r="C27" s="1" t="s">
        <v>76</v>
      </c>
      <c r="D27" s="44" t="s">
        <v>42</v>
      </c>
      <c r="E27" s="3" t="s">
        <v>41</v>
      </c>
      <c r="F27" s="54">
        <v>300</v>
      </c>
      <c r="G27" s="3">
        <v>350</v>
      </c>
      <c r="H27" s="51"/>
    </row>
    <row r="28" spans="1:8" ht="60" x14ac:dyDescent="0.2">
      <c r="A28" s="41">
        <v>18</v>
      </c>
      <c r="B28" s="3" t="s">
        <v>79</v>
      </c>
      <c r="C28" s="1" t="s">
        <v>78</v>
      </c>
      <c r="D28" s="44" t="s">
        <v>42</v>
      </c>
      <c r="E28" s="3" t="s">
        <v>41</v>
      </c>
      <c r="F28" s="53">
        <v>800</v>
      </c>
      <c r="G28" s="3">
        <v>1300</v>
      </c>
    </row>
    <row r="29" spans="1:8" ht="15" x14ac:dyDescent="0.2">
      <c r="A29" s="70" t="s">
        <v>90</v>
      </c>
      <c r="B29" s="70"/>
      <c r="C29" s="70"/>
      <c r="D29" s="70"/>
      <c r="E29" s="70"/>
      <c r="F29" s="70"/>
      <c r="G29" s="47">
        <f>+F11*G11+F12*G12+F13*G13+F14*G14+F15*G15+F16*G16+F17*G17+F18*G18+F19*G19+F20*G20+F21*G21+F22*G22+F23*G23+F24*G24+F25*G25+F26*G26+F27*G27+F28*G28</f>
        <v>1999000</v>
      </c>
    </row>
    <row r="41" ht="64.5" customHeight="1" x14ac:dyDescent="0.2"/>
  </sheetData>
  <mergeCells count="15">
    <mergeCell ref="A1:F1"/>
    <mergeCell ref="A3:B3"/>
    <mergeCell ref="C3:G3"/>
    <mergeCell ref="A4:B4"/>
    <mergeCell ref="C4:G4"/>
    <mergeCell ref="A5:B5"/>
    <mergeCell ref="C5:G5"/>
    <mergeCell ref="A6:B6"/>
    <mergeCell ref="C6:G6"/>
    <mergeCell ref="A7:B7"/>
    <mergeCell ref="C7:G7"/>
    <mergeCell ref="A8:B8"/>
    <mergeCell ref="C8:G8"/>
    <mergeCell ref="A9:G9"/>
    <mergeCell ref="A29:F29"/>
  </mergeCells>
  <pageMargins left="0.25" right="0.25" top="0.75" bottom="0.75" header="0.3" footer="0.3"/>
  <pageSetup paperSize="5" orientation="landscape"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
  <sheetViews>
    <sheetView tabSelected="1" topLeftCell="A7" workbookViewId="0">
      <selection activeCell="A11" sqref="A11"/>
    </sheetView>
  </sheetViews>
  <sheetFormatPr baseColWidth="10" defaultRowHeight="12.75" x14ac:dyDescent="0.2"/>
  <cols>
    <col min="1" max="1" width="3.140625" customWidth="1"/>
    <col min="2" max="2" width="3.42578125" customWidth="1"/>
    <col min="3" max="4" width="3.5703125" customWidth="1"/>
    <col min="5" max="5" width="3.42578125" customWidth="1"/>
    <col min="6" max="6" width="14.28515625" customWidth="1"/>
    <col min="7" max="7" width="4" customWidth="1"/>
    <col min="8" max="8" width="4.140625" customWidth="1"/>
    <col min="9" max="9" width="2.85546875" customWidth="1"/>
    <col min="10" max="10" width="3" customWidth="1"/>
    <col min="11" max="11" width="2.7109375" customWidth="1"/>
    <col min="12" max="12" width="4.7109375" customWidth="1"/>
    <col min="13" max="13" width="3.28515625" customWidth="1"/>
    <col min="14" max="14" width="3.7109375" customWidth="1"/>
    <col min="15" max="15" width="14.42578125" customWidth="1"/>
    <col min="16" max="16" width="7.85546875" customWidth="1"/>
    <col min="17" max="17" width="13.28515625" customWidth="1"/>
  </cols>
  <sheetData>
    <row r="1" spans="1:17" ht="15.75" thickBot="1" x14ac:dyDescent="0.3">
      <c r="A1" s="107" t="s">
        <v>0</v>
      </c>
      <c r="B1" s="107"/>
      <c r="C1" s="107"/>
      <c r="D1" s="108">
        <v>2022</v>
      </c>
      <c r="E1" s="108"/>
      <c r="F1" s="5"/>
      <c r="G1" s="5"/>
      <c r="H1" s="6"/>
      <c r="I1" s="6"/>
      <c r="J1" s="6"/>
      <c r="K1" s="6"/>
      <c r="L1" s="6"/>
      <c r="M1" s="6"/>
      <c r="N1" s="6"/>
      <c r="O1" s="7"/>
      <c r="P1" s="109" t="s">
        <v>9</v>
      </c>
      <c r="Q1" s="109"/>
    </row>
    <row r="2" spans="1:17" ht="15.75" thickBot="1" x14ac:dyDescent="0.3">
      <c r="A2" s="8"/>
      <c r="B2" s="9"/>
      <c r="C2" s="9"/>
      <c r="D2" s="9"/>
      <c r="E2" s="9"/>
      <c r="F2" s="9"/>
      <c r="G2" s="10"/>
      <c r="H2" s="11"/>
      <c r="I2" s="11"/>
      <c r="J2" s="11"/>
      <c r="K2" s="11"/>
      <c r="L2" s="11"/>
      <c r="M2" s="11"/>
      <c r="N2" s="11"/>
      <c r="O2" s="9"/>
      <c r="P2" s="109"/>
      <c r="Q2" s="109"/>
    </row>
    <row r="3" spans="1:17" ht="15.75" thickBot="1" x14ac:dyDescent="0.3">
      <c r="A3" s="8"/>
      <c r="B3" s="9"/>
      <c r="C3" s="9"/>
      <c r="D3" s="9"/>
      <c r="E3" s="9"/>
      <c r="F3" s="9"/>
      <c r="G3" s="10"/>
      <c r="H3" s="9"/>
      <c r="I3" s="9"/>
      <c r="J3" s="9"/>
      <c r="K3" s="9"/>
      <c r="L3" s="9"/>
      <c r="M3" s="9"/>
      <c r="N3" s="9"/>
      <c r="O3" s="9"/>
      <c r="P3" s="9"/>
      <c r="Q3" s="12"/>
    </row>
    <row r="4" spans="1:17" ht="20.25" customHeight="1" thickBot="1" x14ac:dyDescent="0.3">
      <c r="A4" s="110" t="s">
        <v>10</v>
      </c>
      <c r="B4" s="110"/>
      <c r="C4" s="110"/>
      <c r="D4" s="110"/>
      <c r="E4" s="110"/>
      <c r="F4" s="110"/>
      <c r="G4" s="106" t="s">
        <v>1</v>
      </c>
      <c r="H4" s="106"/>
      <c r="I4" s="106"/>
      <c r="J4" s="106"/>
      <c r="K4" s="106"/>
      <c r="L4" s="106"/>
      <c r="M4" s="106"/>
      <c r="N4" s="106"/>
      <c r="O4" s="106"/>
      <c r="P4" s="106"/>
      <c r="Q4" s="106"/>
    </row>
    <row r="5" spans="1:17" ht="20.25" customHeight="1" thickBot="1" x14ac:dyDescent="0.3">
      <c r="A5" s="105" t="s">
        <v>11</v>
      </c>
      <c r="B5" s="105"/>
      <c r="C5" s="105"/>
      <c r="D5" s="105"/>
      <c r="E5" s="105"/>
      <c r="F5" s="105"/>
      <c r="G5" s="106" t="s">
        <v>2</v>
      </c>
      <c r="H5" s="106"/>
      <c r="I5" s="106"/>
      <c r="J5" s="106"/>
      <c r="K5" s="106"/>
      <c r="L5" s="106"/>
      <c r="M5" s="106"/>
      <c r="N5" s="106"/>
      <c r="O5" s="106"/>
      <c r="P5" s="106"/>
      <c r="Q5" s="106"/>
    </row>
    <row r="6" spans="1:17" ht="21" customHeight="1" thickBot="1" x14ac:dyDescent="0.3">
      <c r="A6" s="89" t="s">
        <v>12</v>
      </c>
      <c r="B6" s="90"/>
      <c r="C6" s="90"/>
      <c r="D6" s="90"/>
      <c r="E6" s="90"/>
      <c r="F6" s="91"/>
      <c r="G6" s="92" t="s">
        <v>43</v>
      </c>
      <c r="H6" s="92"/>
      <c r="I6" s="92"/>
      <c r="J6" s="92"/>
      <c r="K6" s="92"/>
      <c r="L6" s="92"/>
      <c r="M6" s="92"/>
      <c r="N6" s="92"/>
      <c r="O6" s="92"/>
      <c r="P6" s="92"/>
      <c r="Q6" s="92"/>
    </row>
    <row r="7" spans="1:17" ht="21.75" customHeight="1" thickBot="1" x14ac:dyDescent="0.3">
      <c r="A7" s="93" t="s">
        <v>13</v>
      </c>
      <c r="B7" s="94"/>
      <c r="C7" s="94"/>
      <c r="D7" s="94"/>
      <c r="E7" s="94"/>
      <c r="F7" s="95"/>
      <c r="G7" s="92" t="s">
        <v>43</v>
      </c>
      <c r="H7" s="92"/>
      <c r="I7" s="92"/>
      <c r="J7" s="92"/>
      <c r="K7" s="92"/>
      <c r="L7" s="92"/>
      <c r="M7" s="92"/>
      <c r="N7" s="92"/>
      <c r="O7" s="92"/>
      <c r="P7" s="92"/>
      <c r="Q7" s="92"/>
    </row>
    <row r="8" spans="1:17" ht="21.75" customHeight="1" thickBot="1" x14ac:dyDescent="0.25">
      <c r="A8" s="96" t="s">
        <v>14</v>
      </c>
      <c r="B8" s="96"/>
      <c r="C8" s="96"/>
      <c r="D8" s="96"/>
      <c r="E8" s="96"/>
      <c r="F8" s="96"/>
      <c r="G8" s="96"/>
      <c r="H8" s="96"/>
      <c r="I8" s="96"/>
      <c r="J8" s="96"/>
      <c r="K8" s="96"/>
      <c r="L8" s="96"/>
      <c r="M8" s="96"/>
      <c r="N8" s="96"/>
      <c r="O8" s="96"/>
      <c r="P8" s="96"/>
      <c r="Q8" s="96"/>
    </row>
    <row r="9" spans="1:17" ht="23.25" customHeight="1" x14ac:dyDescent="0.25">
      <c r="A9" s="97" t="s">
        <v>15</v>
      </c>
      <c r="B9" s="97"/>
      <c r="C9" s="97"/>
      <c r="D9" s="97"/>
      <c r="E9" s="97"/>
      <c r="F9" s="97"/>
      <c r="G9" s="97"/>
      <c r="H9" s="97"/>
      <c r="I9" s="97"/>
      <c r="J9" s="97"/>
      <c r="K9" s="97"/>
      <c r="L9" s="97"/>
      <c r="M9" s="97"/>
      <c r="N9" s="97"/>
      <c r="O9" s="97"/>
      <c r="P9" s="97"/>
      <c r="Q9" s="97"/>
    </row>
    <row r="10" spans="1:17" ht="52.5" customHeight="1" x14ac:dyDescent="0.2">
      <c r="A10" s="98" t="s">
        <v>82</v>
      </c>
      <c r="B10" s="99"/>
      <c r="C10" s="99"/>
      <c r="D10" s="99"/>
      <c r="E10" s="99"/>
      <c r="F10" s="99"/>
      <c r="G10" s="99"/>
      <c r="H10" s="99"/>
      <c r="I10" s="99"/>
      <c r="J10" s="99"/>
      <c r="K10" s="99"/>
      <c r="L10" s="99"/>
      <c r="M10" s="99"/>
      <c r="N10" s="99"/>
      <c r="O10" s="99"/>
      <c r="P10" s="99"/>
      <c r="Q10" s="100"/>
    </row>
    <row r="11" spans="1:17" ht="15.75" thickBot="1" x14ac:dyDescent="0.3">
      <c r="A11" s="13"/>
      <c r="B11" s="14"/>
      <c r="C11" s="14"/>
      <c r="D11" s="14"/>
      <c r="E11" s="14"/>
      <c r="F11" s="14"/>
      <c r="G11" s="15"/>
      <c r="H11" s="14"/>
      <c r="I11" s="14"/>
      <c r="J11" s="14"/>
      <c r="K11" s="14"/>
      <c r="L11" s="14"/>
      <c r="M11" s="14"/>
      <c r="N11" s="14"/>
      <c r="O11" s="14"/>
      <c r="P11" s="14"/>
      <c r="Q11" s="16"/>
    </row>
    <row r="12" spans="1:17" ht="13.5" thickBot="1" x14ac:dyDescent="0.25">
      <c r="A12" s="101" t="s">
        <v>16</v>
      </c>
      <c r="B12" s="101"/>
      <c r="C12" s="101"/>
      <c r="D12" s="101"/>
      <c r="E12" s="101"/>
      <c r="F12" s="101"/>
      <c r="G12" s="101"/>
      <c r="H12" s="101"/>
      <c r="I12" s="101"/>
      <c r="J12" s="101"/>
      <c r="K12" s="101"/>
      <c r="L12" s="101"/>
      <c r="M12" s="101"/>
      <c r="N12" s="101"/>
      <c r="O12" s="101"/>
      <c r="P12" s="101"/>
      <c r="Q12" s="101"/>
    </row>
    <row r="13" spans="1:17" ht="13.5" thickBot="1" x14ac:dyDescent="0.25">
      <c r="A13" s="102" t="s">
        <v>17</v>
      </c>
      <c r="B13" s="102"/>
      <c r="C13" s="102"/>
      <c r="D13" s="102"/>
      <c r="E13" s="102"/>
      <c r="F13" s="102"/>
      <c r="G13" s="102"/>
      <c r="H13" s="102"/>
      <c r="I13" s="102"/>
      <c r="J13" s="102"/>
      <c r="K13" s="102"/>
      <c r="L13" s="102"/>
      <c r="M13" s="102"/>
      <c r="N13" s="102"/>
      <c r="O13" s="103" t="s">
        <v>18</v>
      </c>
      <c r="P13" s="103"/>
      <c r="Q13" s="104" t="s">
        <v>19</v>
      </c>
    </row>
    <row r="14" spans="1:17" ht="26.25" customHeight="1" thickBot="1" x14ac:dyDescent="0.25">
      <c r="A14" s="17" t="s">
        <v>20</v>
      </c>
      <c r="B14" s="18" t="s">
        <v>21</v>
      </c>
      <c r="C14" s="18" t="s">
        <v>22</v>
      </c>
      <c r="D14" s="18" t="s">
        <v>23</v>
      </c>
      <c r="E14" s="18" t="s">
        <v>24</v>
      </c>
      <c r="F14" s="48" t="s">
        <v>25</v>
      </c>
      <c r="G14" s="18" t="s">
        <v>26</v>
      </c>
      <c r="H14" s="18" t="s">
        <v>27</v>
      </c>
      <c r="I14" s="48" t="s">
        <v>28</v>
      </c>
      <c r="J14" s="48" t="s">
        <v>29</v>
      </c>
      <c r="K14" s="48" t="s">
        <v>29</v>
      </c>
      <c r="L14" s="18" t="s">
        <v>30</v>
      </c>
      <c r="M14" s="19" t="s">
        <v>31</v>
      </c>
      <c r="N14" s="20" t="s">
        <v>32</v>
      </c>
      <c r="O14" s="103"/>
      <c r="P14" s="103"/>
      <c r="Q14" s="104"/>
    </row>
    <row r="15" spans="1:17" ht="26.25" customHeight="1" x14ac:dyDescent="0.2">
      <c r="A15" s="21">
        <v>1</v>
      </c>
      <c r="B15" s="22">
        <v>0</v>
      </c>
      <c r="C15" s="22">
        <v>0</v>
      </c>
      <c r="D15" s="22">
        <v>1</v>
      </c>
      <c r="E15" s="22">
        <v>0</v>
      </c>
      <c r="F15" s="50">
        <v>4901</v>
      </c>
      <c r="G15" s="22">
        <v>3</v>
      </c>
      <c r="H15" s="22">
        <v>4</v>
      </c>
      <c r="I15" s="22">
        <v>2</v>
      </c>
      <c r="J15" s="22">
        <v>9</v>
      </c>
      <c r="K15" s="22">
        <v>2</v>
      </c>
      <c r="L15" s="22">
        <v>0</v>
      </c>
      <c r="M15" s="23">
        <v>1</v>
      </c>
      <c r="N15" s="22" t="s">
        <v>33</v>
      </c>
      <c r="O15" s="87" t="s">
        <v>44</v>
      </c>
      <c r="P15" s="88"/>
      <c r="Q15" s="24">
        <v>959000</v>
      </c>
    </row>
    <row r="16" spans="1:17" ht="27" customHeight="1" x14ac:dyDescent="0.2">
      <c r="A16" s="25">
        <v>1</v>
      </c>
      <c r="B16" s="26">
        <v>0</v>
      </c>
      <c r="C16" s="26">
        <v>0</v>
      </c>
      <c r="D16" s="26">
        <v>1</v>
      </c>
      <c r="E16" s="27">
        <v>0</v>
      </c>
      <c r="F16" s="2">
        <v>4901</v>
      </c>
      <c r="G16" s="49">
        <v>3</v>
      </c>
      <c r="H16" s="26">
        <v>4</v>
      </c>
      <c r="I16" s="26">
        <v>2</v>
      </c>
      <c r="J16" s="26">
        <v>3</v>
      </c>
      <c r="K16" s="26">
        <v>1</v>
      </c>
      <c r="L16" s="26">
        <v>0</v>
      </c>
      <c r="M16" s="27">
        <v>1</v>
      </c>
      <c r="N16" s="28" t="s">
        <v>33</v>
      </c>
      <c r="O16" s="81" t="s">
        <v>45</v>
      </c>
      <c r="P16" s="82"/>
      <c r="Q16" s="29">
        <v>1040000</v>
      </c>
    </row>
    <row r="17" spans="1:17" ht="15" x14ac:dyDescent="0.25">
      <c r="A17" s="30"/>
      <c r="B17" s="31"/>
      <c r="C17" s="31"/>
      <c r="D17" s="31"/>
      <c r="E17" s="31"/>
      <c r="F17" s="31"/>
      <c r="G17" s="31"/>
      <c r="H17" s="31"/>
      <c r="I17" s="31"/>
      <c r="J17" s="31"/>
      <c r="K17" s="31"/>
      <c r="L17" s="31"/>
      <c r="M17" s="32"/>
      <c r="N17" s="55"/>
      <c r="O17" s="83"/>
      <c r="P17" s="83"/>
      <c r="Q17" s="33"/>
    </row>
    <row r="18" spans="1:17" ht="15" x14ac:dyDescent="0.2">
      <c r="A18" s="30"/>
      <c r="B18" s="31"/>
      <c r="C18" s="31"/>
      <c r="D18" s="31"/>
      <c r="E18" s="31"/>
      <c r="F18" s="31"/>
      <c r="G18" s="31"/>
      <c r="H18" s="31"/>
      <c r="I18" s="31"/>
      <c r="J18" s="31"/>
      <c r="K18" s="31"/>
      <c r="L18" s="31"/>
      <c r="M18" s="32"/>
      <c r="N18" s="55"/>
      <c r="O18" s="84"/>
      <c r="P18" s="84"/>
      <c r="Q18" s="33"/>
    </row>
    <row r="19" spans="1:17" ht="15" x14ac:dyDescent="0.2">
      <c r="A19" s="30"/>
      <c r="B19" s="31"/>
      <c r="C19" s="31"/>
      <c r="D19" s="31"/>
      <c r="E19" s="31"/>
      <c r="F19" s="31"/>
      <c r="G19" s="31"/>
      <c r="H19" s="31"/>
      <c r="I19" s="31"/>
      <c r="J19" s="31"/>
      <c r="K19" s="31"/>
      <c r="L19" s="31"/>
      <c r="M19" s="32"/>
      <c r="N19" s="55"/>
      <c r="O19" s="84"/>
      <c r="P19" s="84"/>
      <c r="Q19" s="33"/>
    </row>
    <row r="20" spans="1:17" ht="15.75" thickBot="1" x14ac:dyDescent="0.25">
      <c r="A20" s="34"/>
      <c r="B20" s="35"/>
      <c r="C20" s="35"/>
      <c r="D20" s="35"/>
      <c r="E20" s="35"/>
      <c r="F20" s="35"/>
      <c r="G20" s="35"/>
      <c r="H20" s="35"/>
      <c r="I20" s="35"/>
      <c r="J20" s="35"/>
      <c r="K20" s="35"/>
      <c r="L20" s="35"/>
      <c r="M20" s="36"/>
      <c r="N20" s="35"/>
      <c r="O20" s="85"/>
      <c r="P20" s="85"/>
      <c r="Q20" s="37"/>
    </row>
    <row r="21" spans="1:17" ht="13.5" thickBot="1" x14ac:dyDescent="0.25">
      <c r="A21" s="86" t="s">
        <v>46</v>
      </c>
      <c r="B21" s="86"/>
      <c r="C21" s="86"/>
      <c r="D21" s="86"/>
      <c r="E21" s="86"/>
      <c r="F21" s="86"/>
      <c r="G21" s="86"/>
      <c r="H21" s="86"/>
      <c r="I21" s="86"/>
      <c r="J21" s="86"/>
      <c r="K21" s="86"/>
      <c r="L21" s="86"/>
      <c r="M21" s="86"/>
      <c r="N21" s="86"/>
      <c r="O21" s="86"/>
      <c r="P21" s="86"/>
      <c r="Q21" s="38">
        <f>SUM(Q15:Q20)</f>
        <v>1999000</v>
      </c>
    </row>
    <row r="22" spans="1:17" ht="13.5" thickBot="1" x14ac:dyDescent="0.25">
      <c r="A22" s="77"/>
      <c r="B22" s="77"/>
      <c r="C22" s="77"/>
      <c r="D22" s="77"/>
      <c r="E22" s="77"/>
      <c r="F22" s="77"/>
      <c r="G22" s="77"/>
      <c r="H22" s="77"/>
      <c r="I22" s="77"/>
      <c r="J22" s="77"/>
      <c r="K22" s="77"/>
      <c r="L22" s="77"/>
      <c r="M22" s="77"/>
      <c r="N22" s="77"/>
      <c r="O22" s="77"/>
      <c r="P22" s="77"/>
      <c r="Q22" s="77"/>
    </row>
    <row r="23" spans="1:17" ht="13.5" thickBot="1" x14ac:dyDescent="0.25">
      <c r="A23" s="78" t="s">
        <v>34</v>
      </c>
      <c r="B23" s="78"/>
      <c r="C23" s="78"/>
      <c r="D23" s="78"/>
      <c r="E23" s="78"/>
      <c r="F23" s="78"/>
      <c r="G23" s="79"/>
      <c r="H23" s="79"/>
      <c r="I23" s="79"/>
      <c r="J23" s="79"/>
      <c r="K23" s="79"/>
      <c r="L23" s="79"/>
      <c r="M23" s="79"/>
      <c r="N23" s="79"/>
      <c r="O23" s="79"/>
      <c r="P23" s="79"/>
      <c r="Q23" s="79"/>
    </row>
    <row r="24" spans="1:17" ht="13.5" thickBot="1" x14ac:dyDescent="0.25">
      <c r="A24" s="80" t="s">
        <v>47</v>
      </c>
      <c r="B24" s="80"/>
      <c r="C24" s="80"/>
      <c r="D24" s="80"/>
      <c r="E24" s="80"/>
      <c r="F24" s="80"/>
      <c r="G24" s="80"/>
      <c r="H24" s="80"/>
      <c r="I24" s="80"/>
      <c r="J24" s="80"/>
      <c r="K24" s="80"/>
      <c r="L24" s="80"/>
      <c r="M24" s="80"/>
      <c r="N24" s="80"/>
      <c r="O24" s="80"/>
      <c r="P24" s="80"/>
      <c r="Q24" s="80"/>
    </row>
    <row r="25" spans="1:17" ht="27" customHeight="1" thickBot="1" x14ac:dyDescent="0.25">
      <c r="A25" s="80"/>
      <c r="B25" s="80"/>
      <c r="C25" s="80"/>
      <c r="D25" s="80"/>
      <c r="E25" s="80"/>
      <c r="F25" s="80"/>
      <c r="G25" s="80"/>
      <c r="H25" s="80"/>
      <c r="I25" s="80"/>
      <c r="J25" s="80"/>
      <c r="K25" s="80"/>
      <c r="L25" s="80"/>
      <c r="M25" s="80"/>
      <c r="N25" s="80"/>
      <c r="O25" s="80"/>
      <c r="P25" s="80"/>
      <c r="Q25" s="80"/>
    </row>
  </sheetData>
  <mergeCells count="29">
    <mergeCell ref="A5:F5"/>
    <mergeCell ref="G5:Q5"/>
    <mergeCell ref="A1:C1"/>
    <mergeCell ref="D1:E1"/>
    <mergeCell ref="P1:Q2"/>
    <mergeCell ref="A4:F4"/>
    <mergeCell ref="G4:Q4"/>
    <mergeCell ref="O15:P15"/>
    <mergeCell ref="A6:F6"/>
    <mergeCell ref="G6:Q6"/>
    <mergeCell ref="A7:F7"/>
    <mergeCell ref="G7:Q7"/>
    <mergeCell ref="A8:Q8"/>
    <mergeCell ref="A9:Q9"/>
    <mergeCell ref="A10:Q10"/>
    <mergeCell ref="A12:Q12"/>
    <mergeCell ref="A13:N13"/>
    <mergeCell ref="O13:P14"/>
    <mergeCell ref="Q13:Q14"/>
    <mergeCell ref="A22:Q22"/>
    <mergeCell ref="A23:F23"/>
    <mergeCell ref="G23:Q23"/>
    <mergeCell ref="A24:Q25"/>
    <mergeCell ref="O16:P16"/>
    <mergeCell ref="O17:P17"/>
    <mergeCell ref="O18:P18"/>
    <mergeCell ref="O19:P19"/>
    <mergeCell ref="O20:P20"/>
    <mergeCell ref="A21:P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vt:lpstr>
      <vt:lpstr>NPE</vt:lpstr>
      <vt:lpstr>APG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farce</dc:creator>
  <cp:lastModifiedBy>Compras PC 2</cp:lastModifiedBy>
  <cp:revision>3</cp:revision>
  <cp:lastPrinted>2022-04-27T14:50:10Z</cp:lastPrinted>
  <dcterms:created xsi:type="dcterms:W3CDTF">2020-07-17T23:44:49Z</dcterms:created>
  <dcterms:modified xsi:type="dcterms:W3CDTF">2022-05-05T14:44:32Z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