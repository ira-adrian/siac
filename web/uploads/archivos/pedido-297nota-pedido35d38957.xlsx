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ALIMENTOS NO PERECEDEROS\2DO PEDIDO\"/>
    </mc:Choice>
  </mc:AlternateContent>
  <bookViews>
    <workbookView xWindow="0" yWindow="0" windowWidth="28800" windowHeight="11805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42" i="1" l="1"/>
  <c r="I43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46" i="1" l="1"/>
</calcChain>
</file>

<file path=xl/sharedStrings.xml><?xml version="1.0" encoding="utf-8"?>
<sst xmlns="http://schemas.openxmlformats.org/spreadsheetml/2006/main" count="166" uniqueCount="104">
  <si>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</si>
  <si>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</si>
  <si>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</si>
  <si>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</si>
  <si>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</si>
  <si>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</si>
  <si>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</si>
  <si>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</si>
  <si>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</si>
  <si>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</si>
  <si>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</si>
  <si>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</si>
  <si>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</si>
  <si>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</si>
  <si>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entrega:</t>
  </si>
  <si>
    <t>Calidad Minima esperada:</t>
  </si>
  <si>
    <t>Mantenimiento:</t>
  </si>
  <si>
    <t>ALIMENTOS</t>
  </si>
  <si>
    <t>KG</t>
  </si>
  <si>
    <t>UNIDAD</t>
  </si>
  <si>
    <t>12 -Ministerio de Gobierno, Justicia y Derechos Humanos.</t>
  </si>
  <si>
    <t>06 - Secretaria de Gestion Administrativa del Ministerio de Gobierno, Justicia y Derechos Humanos</t>
  </si>
  <si>
    <t>30 (treinta)  días habiles</t>
  </si>
  <si>
    <t>Forma de Pago:</t>
  </si>
  <si>
    <t>Especificidades de los Items:</t>
  </si>
  <si>
    <t>Se solicita Pagos parciales por cada Solicitud de Provision emitida, una vez finalizada la entrega de las cantidades 
contenidas en la misma.</t>
  </si>
  <si>
    <t>2.1.1-439.65</t>
  </si>
  <si>
    <t>2.1.1-481.38</t>
  </si>
  <si>
    <t>2.1.1-2868.59</t>
  </si>
  <si>
    <t>2.1.1-2868.55</t>
  </si>
  <si>
    <t>2.1.1-2868.54</t>
  </si>
  <si>
    <t>2.1.1-435.60</t>
  </si>
  <si>
    <t>2.1.1-482.80</t>
  </si>
  <si>
    <t>2.1.1-706.6</t>
  </si>
  <si>
    <t>2.1.1-511.8</t>
  </si>
  <si>
    <t>2.1.1-2615.15</t>
  </si>
  <si>
    <t>2.1.1-455.24</t>
  </si>
  <si>
    <t>2.1.1-454.25</t>
  </si>
  <si>
    <t>2.1.1-6547.84</t>
  </si>
  <si>
    <t>2.1.1-708.42</t>
  </si>
  <si>
    <t>2.1.1-708.23</t>
  </si>
  <si>
    <t>2.1.1-6546.269</t>
  </si>
  <si>
    <t>2.1.1-6539.54</t>
  </si>
  <si>
    <t>2.1.1-509.10</t>
  </si>
  <si>
    <t>2.1.1-510.5</t>
  </si>
  <si>
    <t>2.1.1-482.81</t>
  </si>
  <si>
    <t>2.1.1-705.93</t>
  </si>
  <si>
    <t>2.1.1-513.9</t>
  </si>
  <si>
    <t>2.1.1-517.86</t>
  </si>
  <si>
    <t>2.1.1-788.226</t>
  </si>
  <si>
    <t>2.1.1-788.206</t>
  </si>
  <si>
    <t>2.1.1-514.2</t>
  </si>
  <si>
    <t>2.1.1-514.15</t>
  </si>
  <si>
    <t>2.1.1-2431.13</t>
  </si>
  <si>
    <t>2.1.1-2431.20</t>
  </si>
  <si>
    <t>2.1.1-2113.1</t>
  </si>
  <si>
    <t>2.1.1-2113.2</t>
  </si>
  <si>
    <t>2.1.1-9508.2</t>
  </si>
  <si>
    <t>PURE; TIPO: DE TOMATE, ENVASE: CAJA DE CARTON, PESO: 530 GR</t>
  </si>
  <si>
    <t>LITROS</t>
  </si>
  <si>
    <r>
      <rPr>
        <b/>
        <sz val="10"/>
        <rFont val="Calibri"/>
        <family val="2"/>
        <scheme val="minor"/>
      </rPr>
      <t>ACEITES COMESTIBLES;</t>
    </r>
    <r>
      <rPr>
        <sz val="10"/>
        <rFont val="Calibri"/>
        <family val="2"/>
        <scheme val="minor"/>
      </rPr>
      <t xml:space="preserve"> TIPO: GIRASOL, PRESENTACION: ENVASE X 1,5 L, MATERIAL ENVASE: PLASTICO 1 (PET),ELEM. TRANSPORTE: SIN, MATERIAL ELEM. TRANSPORTE: SIN, LIBRE DE GLUTEN: NO</t>
    </r>
  </si>
  <si>
    <r>
      <rPr>
        <b/>
        <sz val="10"/>
        <rFont val="Calibri"/>
        <family val="2"/>
        <scheme val="minor"/>
      </rPr>
      <t xml:space="preserve">AZUCARES; </t>
    </r>
    <r>
      <rPr>
        <sz val="10"/>
        <rFont val="Calibri"/>
        <family val="2"/>
        <scheme val="minor"/>
      </rPr>
      <t>TIPO: "A" COMUN, ESTADO: MOLIDA, PESO: 1 Kg,  MATERIAL ENVASE: PLASTICO, CERTIFICADO FORESTAL (GFS): SIN, ELEM. TRANSPORTE: SIN, MATERIAL ELEM. TRANSPORTE: SIN</t>
    </r>
  </si>
  <si>
    <r>
      <rPr>
        <b/>
        <sz val="10"/>
        <rFont val="Calibri"/>
        <family val="2"/>
        <scheme val="minor"/>
      </rPr>
      <t>FIDEOS SECOS</t>
    </r>
    <r>
      <rPr>
        <sz val="10"/>
        <rFont val="Calibri"/>
        <family val="2"/>
        <scheme val="minor"/>
      </rPr>
      <t>; VARIEDAD: MOSTACHOLES, RELLENO: SIN, PRESENTACION: ENVASE X 500 GR, MATERIAL  ENVASE: PVC, ELEM. TRANSPORTE: CAJA, MATERIAL ELEM. TRANSPORTE: CARTON, CERTIFICADO FORESTAL (GFS): SIN, LIBRE DE GLUTEN: NO</t>
    </r>
  </si>
  <si>
    <r>
      <rPr>
        <b/>
        <sz val="10"/>
        <rFont val="Calibri"/>
        <family val="2"/>
        <scheme val="minor"/>
      </rPr>
      <t>FIDEOS SECOS;</t>
    </r>
    <r>
      <rPr>
        <sz val="10"/>
        <rFont val="Calibri"/>
        <family val="2"/>
        <scheme val="minor"/>
      </rPr>
      <t xml:space="preserve"> VARIEDAD: TALLARIN, RELLENO: SIN, PRESENTACION: ENVASE X 500 GR, MATERIAL ENVASE: PLASTICO 1 (PET), ELEM. TRANSPORTE: SIN, MATERIAL
 ELEM. TRANSPORTE: SIN, CERTIFICADO FORESTAL (GFS): SIN, LIBRE DE GLUTEN: NO</t>
    </r>
  </si>
  <si>
    <r>
      <rPr>
        <b/>
        <sz val="10"/>
        <rFont val="Calibri"/>
        <family val="2"/>
        <scheme val="minor"/>
      </rPr>
      <t>FIDEOS SECOS</t>
    </r>
    <r>
      <rPr>
        <sz val="10"/>
        <rFont val="Calibri"/>
        <family val="2"/>
        <scheme val="minor"/>
      </rPr>
      <t>; VARIEDAD: SOPERO, RELLENO: SIN, PRESENTACION: ENVASE X 500 GR, MATERIAL ENVASE: PLASTICO 1 (PET), ELEM. TRANSPORTE: SIN, MATERIAL
 ELEM. TRANSPORTE: SIN, CERTIFICADO FORESTAL (GFS): SIN, LIBRE DE GLUTEN: NO</t>
    </r>
  </si>
  <si>
    <r>
      <rPr>
        <b/>
        <sz val="10"/>
        <rFont val="Calibri"/>
        <family val="2"/>
        <scheme val="minor"/>
      </rPr>
      <t>ARROZ</t>
    </r>
    <r>
      <rPr>
        <sz val="10"/>
        <rFont val="Calibri"/>
        <family val="2"/>
        <scheme val="minor"/>
      </rPr>
      <t>; TIPO GRANO: LARGO-FINO, TIPO: BLANCO, PROCESO: SIN CASCARA, PRESENTACION: BOLSA X 1Kg, MATERIAL ENVASE: PLASTICO, CERTIFICADO FORESTAL (GFS): SIN, ELEM. TRANSPORTE: SIN, MATERIAL ELEM.TRANSPORTE: SIN, LIBRE DE GLUTEN: SI</t>
    </r>
  </si>
  <si>
    <r>
      <rPr>
        <b/>
        <sz val="10"/>
        <rFont val="Calibri"/>
        <family val="2"/>
        <scheme val="minor"/>
      </rPr>
      <t>HARINAS</t>
    </r>
    <r>
      <rPr>
        <sz val="10"/>
        <rFont val="Calibri"/>
        <family val="2"/>
        <scheme val="minor"/>
      </rPr>
      <t>; TIPO: DE TRIGO 000, PRESENTACION: ENVASE X 1 Kg, MATERIAL ENVASE: PAPEL, CERTICADO FORESTAL (GFS): SIN, ELEM. TRANSPORTE: SIN, MATERIAL ELEM. TRANSPORTE: SIN, LIBRE DE GLUTEN: NO</t>
    </r>
  </si>
  <si>
    <r>
      <rPr>
        <b/>
        <sz val="10"/>
        <rFont val="Calibri"/>
        <family val="2"/>
        <scheme val="minor"/>
      </rPr>
      <t>MATE COCIDO</t>
    </r>
    <r>
      <rPr>
        <sz val="10"/>
        <rFont val="Calibri"/>
        <family val="2"/>
        <scheme val="minor"/>
      </rPr>
      <t>; ENVASE: CAJA CARTON, PRESENTACION:ENSOBRADO, SAQUITOS P/CAJA: 100 UN, PESO X  SAQ.: 3 GR</t>
    </r>
  </si>
  <si>
    <r>
      <rPr>
        <b/>
        <sz val="10"/>
        <rFont val="Calibri"/>
        <family val="2"/>
        <scheme val="minor"/>
      </rPr>
      <t>TE;</t>
    </r>
    <r>
      <rPr>
        <sz val="10"/>
        <rFont val="Calibri"/>
        <family val="2"/>
        <scheme val="minor"/>
      </rPr>
      <t xml:space="preserve"> SAQUITOS 2G P/CAJA: 50, PESO: SIN VALOR, TIPO: SIN VALOR, PRESENTACION: EN SAQUITOS</t>
    </r>
  </si>
  <si>
    <r>
      <rPr>
        <b/>
        <sz val="10"/>
        <rFont val="Calibri"/>
        <family val="2"/>
        <scheme val="minor"/>
      </rPr>
      <t>CACAO</t>
    </r>
    <r>
      <rPr>
        <sz val="10"/>
        <rFont val="Calibri"/>
        <family val="2"/>
        <scheme val="minor"/>
      </rPr>
      <t>; TIPO: INSTANTANEO, PRESENTACION: ENVASE X 800 GR, FORMA DE PRESENTACION: POLVO, MATERIAL ENVASE: CARTON, CERTICADO FORESTAL (GFS): CON, LIBRE DE GLUTEN: SI</t>
    </r>
  </si>
  <si>
    <r>
      <rPr>
        <b/>
        <sz val="10"/>
        <rFont val="Calibri"/>
        <family val="2"/>
        <scheme val="minor"/>
      </rPr>
      <t>DULCE DE LECHE</t>
    </r>
    <r>
      <rPr>
        <sz val="10"/>
        <rFont val="Calibri"/>
        <family val="2"/>
        <scheme val="minor"/>
      </rPr>
      <t>; TIPO: COMUN, ENVASE: PLASTICO, CAPACIDAD: 1 Kg, PRESENTACION: ENVASE PLASTICO X 1 Kg</t>
    </r>
  </si>
  <si>
    <r>
      <rPr>
        <b/>
        <sz val="10"/>
        <rFont val="Calibri"/>
        <family val="2"/>
        <scheme val="minor"/>
      </rPr>
      <t>YERBAS; PALO</t>
    </r>
    <r>
      <rPr>
        <sz val="10"/>
        <rFont val="Calibri"/>
        <family val="2"/>
        <scheme val="minor"/>
      </rPr>
      <t>: CON, PESO: 1 Kg, MATERIAL ENVASE: PAPEL, CERTIFICADO FORESTAL (GFS): CON, ELEM.TRANSPORTE: SIN, MATERIAL ELEM. TRANSPORTE: 
SIN, LIBRE DE GLUTEN: SI</t>
    </r>
  </si>
  <si>
    <r>
      <rPr>
        <b/>
        <sz val="10"/>
        <rFont val="Calibri"/>
        <family val="2"/>
        <scheme val="minor"/>
      </rPr>
      <t>LEGUMBRES</t>
    </r>
    <r>
      <rPr>
        <sz val="10"/>
        <rFont val="Calibri"/>
        <family val="2"/>
        <scheme val="minor"/>
      </rPr>
      <t>; VARIEDAD: ARVEJAS, ESTADO: CONSERVA, PRESENTACION: LATA, PESO: 350 GR, MATERIAL ENVASE: METAL, ELEM. TRANSPORTE: SIN, MATERIAL
 ELEM. TRANSPORTE: SIN, LIBRE DE GLUTEN: NO</t>
    </r>
  </si>
  <si>
    <r>
      <t>CONSERVAS PESCADO Y FRUTOS MAR; TIPO:</t>
    </r>
    <r>
      <rPr>
        <b/>
        <sz val="10"/>
        <rFont val="Calibri"/>
        <family val="2"/>
        <scheme val="minor"/>
      </rPr>
      <t xml:space="preserve"> ATUN</t>
    </r>
    <r>
      <rPr>
        <sz val="10"/>
        <rFont val="Calibri"/>
        <family val="2"/>
        <scheme val="minor"/>
      </rPr>
      <t>, ESTADO: EN ACEITE, PESO: 300 GR, ENVASE: LATA, ELEM. TRANSPORTE: SIN, MATERIAL ELEM. TRANSPORTE: SIN</t>
    </r>
  </si>
  <si>
    <r>
      <t xml:space="preserve">CONSERVAS PESCADO Y FRUTOS MAR; ESTADO: AL NATURAL, PESO: 380 GR, ENVASE: LATA, TIPO: </t>
    </r>
    <r>
      <rPr>
        <b/>
        <sz val="10"/>
        <rFont val="Calibri"/>
        <family val="2"/>
        <scheme val="minor"/>
      </rPr>
      <t>CABALLA</t>
    </r>
    <r>
      <rPr>
        <sz val="10"/>
        <rFont val="Calibri"/>
        <family val="2"/>
        <scheme val="minor"/>
      </rPr>
      <t>, ESPECIE: CABALLA</t>
    </r>
  </si>
  <si>
    <r>
      <t>VERDURAS Y HORTALIZAS; VARIEDAD:</t>
    </r>
    <r>
      <rPr>
        <b/>
        <sz val="10"/>
        <rFont val="Calibri"/>
        <family val="2"/>
        <scheme val="minor"/>
      </rPr>
      <t xml:space="preserve"> CHOCLO</t>
    </r>
    <r>
      <rPr>
        <sz val="10"/>
        <rFont val="Calibri"/>
        <family val="2"/>
        <scheme val="minor"/>
      </rPr>
      <t xml:space="preserve">, ESTADO: GRANO, PRESENTACION: </t>
    </r>
    <r>
      <rPr>
        <b/>
        <sz val="10"/>
        <rFont val="Calibri"/>
        <family val="2"/>
        <scheme val="minor"/>
      </rPr>
      <t>LATA</t>
    </r>
    <r>
      <rPr>
        <sz val="10"/>
        <rFont val="Calibri"/>
        <family val="2"/>
        <scheme val="minor"/>
      </rPr>
      <t>, PESO: 350 GR</t>
    </r>
  </si>
  <si>
    <r>
      <t xml:space="preserve">FRUTAS; VARIEDAD: </t>
    </r>
    <r>
      <rPr>
        <b/>
        <sz val="10"/>
        <rFont val="Calibri"/>
        <family val="2"/>
        <scheme val="minor"/>
      </rPr>
      <t>DURAZNO</t>
    </r>
    <r>
      <rPr>
        <sz val="10"/>
        <rFont val="Calibri"/>
        <family val="2"/>
        <scheme val="minor"/>
      </rPr>
      <t>, PRESENTACION: ENVASE X 820 GR, ESTADO: NATURAL, PESO: 820 GR</t>
    </r>
  </si>
  <si>
    <r>
      <rPr>
        <b/>
        <sz val="10"/>
        <rFont val="Calibri"/>
        <family val="2"/>
        <scheme val="minor"/>
      </rPr>
      <t>GELATINAS;</t>
    </r>
    <r>
      <rPr>
        <sz val="10"/>
        <rFont val="Calibri"/>
        <family val="2"/>
        <scheme val="minor"/>
      </rPr>
      <t xml:space="preserve"> ENVASE: CAJA DE CARTON, PESO: 30 GR, TIPO: BAJAS CALORIAS, SABOR: FRUTILLA</t>
    </r>
  </si>
  <si>
    <r>
      <rPr>
        <b/>
        <sz val="10"/>
        <rFont val="Calibri"/>
        <family val="2"/>
        <scheme val="minor"/>
      </rPr>
      <t>HARINAS</t>
    </r>
    <r>
      <rPr>
        <sz val="10"/>
        <rFont val="Calibri"/>
        <family val="2"/>
        <scheme val="minor"/>
      </rPr>
      <t>; TIPO: LEUDANTE, PRESENTACION: ENVASE X 1 Kg, MATERIAL ENVASE: PAPEL, CERTICADO FORESTAL (GFS): SIN, ELEM. TRANSPORTE: SIN, 
MATERIAL ELEM. TRANSPORTE: SIN, LIBRE DE GLUTEN: NO</t>
    </r>
  </si>
  <si>
    <r>
      <rPr>
        <b/>
        <sz val="10"/>
        <rFont val="Calibri"/>
        <family val="2"/>
        <scheme val="minor"/>
      </rPr>
      <t>LECHE; ESTADO: POLVO,</t>
    </r>
    <r>
      <rPr>
        <sz val="10"/>
        <rFont val="Calibri"/>
        <family val="2"/>
        <scheme val="minor"/>
      </rPr>
      <t xml:space="preserve"> TIPO: ENTERA, PROCESO: PASTEURIZADA, AGREGADO: VITAMINAS A Y D, PRESENTACION: ENVASE X 800 GR, MATERIAL ENVASE:CARTON, ELEM. TRANSPORTE: SIN, MATERIAL ELEM. TRANSPORTE: SIN, CERTIFICADO FORESTAL (GFS): SIN, LIBRE DE GLUTEN: SI</t>
    </r>
  </si>
  <si>
    <r>
      <rPr>
        <b/>
        <sz val="10"/>
        <rFont val="Calibri"/>
        <family val="2"/>
        <scheme val="minor"/>
      </rPr>
      <t xml:space="preserve">FLANES; </t>
    </r>
    <r>
      <rPr>
        <sz val="10"/>
        <rFont val="Calibri"/>
        <family val="2"/>
        <scheme val="minor"/>
      </rPr>
      <t>PESO: 60 GR, ENVASE: CAJA CARTON, ESTADO PREPARACION: CON COCCION, SABOR: VAINILLA, TIPO: SIN VALOR, PRESENTACION: 60 GR</t>
    </r>
  </si>
  <si>
    <r>
      <rPr>
        <b/>
        <sz val="10"/>
        <rFont val="Calibri"/>
        <family val="2"/>
        <scheme val="minor"/>
      </rPr>
      <t>POSTRES;</t>
    </r>
    <r>
      <rPr>
        <sz val="10"/>
        <rFont val="Calibri"/>
        <family val="2"/>
        <scheme val="minor"/>
      </rPr>
      <t xml:space="preserve"> ESTADO PREPARACION: CON COCCION, TIPO: POLVO, ENVASE: CAJA DE CARTON, PESO: 80 GR, SABOR: VAINILLA, LIBRE DE GLUTEN: SI</t>
    </r>
  </si>
  <si>
    <r>
      <rPr>
        <b/>
        <sz val="10"/>
        <rFont val="Calibri"/>
        <family val="2"/>
        <scheme val="minor"/>
      </rPr>
      <t>GALLETITAS</t>
    </r>
    <r>
      <rPr>
        <sz val="10"/>
        <rFont val="Calibri"/>
        <family val="2"/>
        <scheme val="minor"/>
      </rPr>
      <t xml:space="preserve">; VARIEDAD: </t>
    </r>
    <r>
      <rPr>
        <b/>
        <sz val="10"/>
        <rFont val="Calibri"/>
        <family val="2"/>
        <scheme val="minor"/>
      </rPr>
      <t>SALADA</t>
    </r>
    <r>
      <rPr>
        <sz val="10"/>
        <rFont val="Calibri"/>
        <family val="2"/>
        <scheme val="minor"/>
      </rPr>
      <t>, RELLENO: SIN, PRESENTACION: ENVASE X 100 GR,
 ELEM. TRANSPORTE: SIN, MATERIAL ELEM. TRANSPORTE: SIN, LIBRE DE GLUTEN: SI</t>
    </r>
  </si>
  <si>
    <r>
      <rPr>
        <b/>
        <sz val="10"/>
        <rFont val="Calibri"/>
        <family val="2"/>
        <scheme val="minor"/>
      </rPr>
      <t>GALLETITAS</t>
    </r>
    <r>
      <rPr>
        <sz val="10"/>
        <rFont val="Calibri"/>
        <family val="2"/>
        <scheme val="minor"/>
      </rPr>
      <t xml:space="preserve">; VARIEDAD: </t>
    </r>
    <r>
      <rPr>
        <b/>
        <sz val="10"/>
        <rFont val="Calibri"/>
        <family val="2"/>
        <scheme val="minor"/>
      </rPr>
      <t>SURTIDAS DULCES</t>
    </r>
    <r>
      <rPr>
        <sz val="10"/>
        <rFont val="Calibri"/>
        <family val="2"/>
        <scheme val="minor"/>
      </rPr>
      <t>, RELLENO: SIN, PRESENTACION: ENVASEX 400 GR, ELEM. TRANSPORTE: CAJA, MATERIAL ELEM. TRANSPORTE: CARTON, LIBRE DE GLUTEN: NO</t>
    </r>
  </si>
  <si>
    <r>
      <rPr>
        <b/>
        <sz val="10"/>
        <rFont val="Calibri"/>
        <family val="2"/>
        <scheme val="minor"/>
      </rPr>
      <t>SAL DE MESA</t>
    </r>
    <r>
      <rPr>
        <sz val="10"/>
        <rFont val="Calibri"/>
        <family val="2"/>
        <scheme val="minor"/>
      </rPr>
      <t>; CONSISTENCIA: FINA, PESO: 500 GR, TIPO: SIN VALOR, ENVASE: 
PAQUETE</t>
    </r>
  </si>
  <si>
    <r>
      <rPr>
        <b/>
        <sz val="10"/>
        <rFont val="Calibri"/>
        <family val="2"/>
        <scheme val="minor"/>
      </rPr>
      <t>SAL DE MESA</t>
    </r>
    <r>
      <rPr>
        <sz val="10"/>
        <rFont val="Calibri"/>
        <family val="2"/>
        <scheme val="minor"/>
      </rPr>
      <t>; CONSISTENCIA: GRUESA, ENVASE: BOLSA, PESO: 1 Kg, TIPO: SIN
 VALOR</t>
    </r>
  </si>
  <si>
    <r>
      <rPr>
        <b/>
        <sz val="10"/>
        <rFont val="Calibri"/>
        <family val="2"/>
        <scheme val="minor"/>
      </rPr>
      <t>CALDOS</t>
    </r>
    <r>
      <rPr>
        <sz val="10"/>
        <rFont val="Calibri"/>
        <family val="2"/>
        <scheme val="minor"/>
      </rPr>
      <t>; GUSTO: VERDURA, TIPO: DESHIDRATADO, PRESENTACION: ENVASE X 
12 UN</t>
    </r>
  </si>
  <si>
    <r>
      <rPr>
        <b/>
        <sz val="10"/>
        <rFont val="Calibri"/>
        <family val="2"/>
        <scheme val="minor"/>
      </rPr>
      <t>CALDOS</t>
    </r>
    <r>
      <rPr>
        <sz val="10"/>
        <rFont val="Calibri"/>
        <family val="2"/>
        <scheme val="minor"/>
      </rPr>
      <t>; GUSTO: GALLINA, TIPO: CONCENTRADO, PRESENTACION: ENVASE X 
12 CUBOS</t>
    </r>
  </si>
  <si>
    <r>
      <rPr>
        <b/>
        <sz val="10"/>
        <rFont val="Calibri"/>
        <family val="2"/>
        <scheme val="minor"/>
      </rPr>
      <t>DULCES;</t>
    </r>
    <r>
      <rPr>
        <sz val="10"/>
        <rFont val="Calibri"/>
        <family val="2"/>
        <scheme val="minor"/>
      </rPr>
      <t xml:space="preserve"> TIPO: DE BATATA, PRESENTACION: LATA, PESO: 5 Kg</t>
    </r>
  </si>
  <si>
    <r>
      <rPr>
        <b/>
        <sz val="10"/>
        <rFont val="Calibri"/>
        <family val="2"/>
        <scheme val="minor"/>
      </rPr>
      <t>DULCES;</t>
    </r>
    <r>
      <rPr>
        <sz val="10"/>
        <rFont val="Calibri"/>
        <family val="2"/>
        <scheme val="minor"/>
      </rPr>
      <t xml:space="preserve"> TIPO: DE MEMBRILLO, PRESENTACION: LATA, PESO: 5 Kg</t>
    </r>
  </si>
  <si>
    <r>
      <rPr>
        <b/>
        <sz val="10"/>
        <rFont val="Calibri"/>
        <family val="2"/>
        <scheme val="minor"/>
      </rPr>
      <t>CHUPETINES</t>
    </r>
    <r>
      <rPr>
        <sz val="10"/>
        <rFont val="Calibri"/>
        <family val="2"/>
        <scheme val="minor"/>
      </rPr>
      <t>; TIPO: BOLITA, PRESENTACION: ENVASE X 50 UN, PESO: 10 GR</t>
    </r>
  </si>
  <si>
    <r>
      <rPr>
        <u/>
        <sz val="11"/>
        <rFont val="Calibri"/>
        <family val="2"/>
        <scheme val="minor"/>
      </rPr>
      <t>ÍTEM N° 17:</t>
    </r>
    <r>
      <rPr>
        <sz val="11"/>
        <rFont val="Calibri"/>
        <family val="2"/>
        <scheme val="minor"/>
      </rPr>
      <t xml:space="preserve"> PRESENTACION: LATA.</t>
    </r>
  </si>
  <si>
    <r>
      <rPr>
        <u/>
        <sz val="11"/>
        <rFont val="Calibri"/>
        <family val="2"/>
        <scheme val="minor"/>
      </rPr>
      <t>ÍTEM N° 01:</t>
    </r>
    <r>
      <rPr>
        <sz val="11"/>
        <rFont val="Calibri"/>
        <family val="2"/>
        <scheme val="minor"/>
      </rPr>
      <t xml:space="preserve"> 50 botellas de 1,5 litros.</t>
    </r>
  </si>
  <si>
    <r>
      <rPr>
        <u/>
        <sz val="11"/>
        <rFont val="Calibri"/>
        <family val="2"/>
        <scheme val="minor"/>
      </rPr>
      <t>ÍTEM N° 09:</t>
    </r>
    <r>
      <rPr>
        <sz val="11"/>
        <rFont val="Calibri"/>
        <family val="2"/>
        <scheme val="minor"/>
      </rPr>
      <t xml:space="preserve"> del tipo "clasico".</t>
    </r>
  </si>
  <si>
    <t>CONSERVAS DE CARNE; TIPO: PICADILLO, VARIEDAD: CARNE, ENVASE: LATA, PESO: 90 GR</t>
  </si>
  <si>
    <t>2.1.1-731.19</t>
  </si>
  <si>
    <r>
      <rPr>
        <u/>
        <sz val="11"/>
        <rFont val="Calibri"/>
        <family val="2"/>
        <scheme val="minor"/>
      </rPr>
      <t>ÍTEM N° 23:</t>
    </r>
    <r>
      <rPr>
        <sz val="11"/>
        <rFont val="Calibri"/>
        <family val="2"/>
        <scheme val="minor"/>
      </rPr>
      <t xml:space="preserve"> del tipo "comun".</t>
    </r>
  </si>
  <si>
    <r>
      <rPr>
        <u/>
        <sz val="11"/>
        <rFont val="Calibri"/>
        <family val="2"/>
        <scheme val="minor"/>
      </rPr>
      <t>ÍTEM N° 24:</t>
    </r>
    <r>
      <rPr>
        <sz val="11"/>
        <rFont val="Calibri"/>
        <family val="2"/>
        <scheme val="minor"/>
      </rPr>
      <t xml:space="preserve"> del tipo "comun".</t>
    </r>
  </si>
  <si>
    <r>
      <rPr>
        <u/>
        <sz val="11"/>
        <rFont val="Calibri"/>
        <family val="2"/>
        <scheme val="minor"/>
      </rPr>
      <t>ÍTEM N° 27:</t>
    </r>
    <r>
      <rPr>
        <sz val="11"/>
        <rFont val="Calibri"/>
        <family val="2"/>
        <scheme val="minor"/>
      </rPr>
      <t xml:space="preserve"> del tipo bajo en sodio.</t>
    </r>
  </si>
  <si>
    <t>Que cumpla con lo solicitado y condiciones de calidad adjuntas en Anexo, productos de muy buena calidad.-</t>
  </si>
  <si>
    <r>
      <rPr>
        <b/>
        <sz val="11"/>
        <rFont val="Calibri"/>
        <family val="2"/>
        <scheme val="minor"/>
      </rPr>
      <t xml:space="preserve">a) LUGAR DE ENTREGA:  </t>
    </r>
    <r>
      <rPr>
        <sz val="11"/>
        <rFont val="Calibri"/>
        <family val="2"/>
        <scheme val="minor"/>
      </rPr>
      <t>Hogar de Protección Integral de Victimas de Violencia de Género "WARMI"- Pasaje Dr Gallo S/N frente a la Guardia de Maternidad Provincial - Capital - De 08 a 12 horas.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b)FORMA DE ENTREGA: Las entregas se realizarán a requerimiento de acuerdo, a las Solicitudes de Provisión que se realicen, libre de flete, acarreo y embalaje, como así también, de todo riesgo de pérdida o destrucción total o parcial, por causas ajenas a la Institución. Se estima emitir una cantidad aproximada de 2 (Dos) Solicitudes de Provisión de 1/2 aprox. de la cantidad solicitada: 1° Solic.de Provisión: aprox.a los 3 (Tres) dias hábiles de la firma del instrumento contractual. 2° Solic.de Provisión: al mes y medio de la firma del instrumento contractual. Plazo de cumplimiento de cada Solicitud de Provisión: a los 2 días hábiles de notificada la misma, según necesidades del Organismo solicitante.
</t>
    </r>
  </si>
  <si>
    <t>3er. TRIMESTRE</t>
  </si>
  <si>
    <t>DEPENDENCIA</t>
  </si>
  <si>
    <t>Dirección de Atención Integral de Víctimas de violencia de Género (HOGAR WARMI).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</si>
</sst>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 [$$-2C0A]\ * #,##0.00_ ;_ [$$-2C0A]\ * \-#,##0.00_ ;_ [$$-2C0A]\ * &quot;-&quot;??_ ;_ @_ 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FF0000"/>
      <name val="Times New Roman"/>
      <family val="1"/>
    </font>
    <font>
      <sz val="10"/>
      <name val="Arial"/>
      <charset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5" fillId="0" borderId="0" applyBorder="0" applyProtection="0"/>
    <xf numFmtId="0" fontId="2" fillId="0" borderId="1" applyProtection="0"/>
    <xf numFmtId="0" fontId="4" fillId="2" borderId="0" applyBorder="0" applyProtection="0"/>
    <xf numFmtId="43" fontId="23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Border="1" applyAlignment="1">
      <alignment horizontal="left" indent="3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169" fontId="14" fillId="0" borderId="30" xfId="0" applyNumberFormat="1" applyFont="1" applyBorder="1" applyAlignment="1">
      <alignment horizontal="center" vertical="center" wrapText="1"/>
    </xf>
    <xf numFmtId="169" fontId="14" fillId="0" borderId="31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169" fontId="13" fillId="0" borderId="26" xfId="1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3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20" xfId="0" applyFill="1" applyBorder="1" applyAlignment="1">
      <alignment horizontal="center"/>
    </xf>
    <xf numFmtId="0" fontId="24" fillId="3" borderId="20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3" fontId="16" fillId="3" borderId="28" xfId="0" applyNumberFormat="1" applyFont="1" applyFill="1" applyBorder="1" applyAlignment="1">
      <alignment horizontal="center" vertical="center"/>
    </xf>
    <xf numFmtId="3" fontId="16" fillId="3" borderId="29" xfId="0" applyNumberFormat="1" applyFont="1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3" fontId="16" fillId="3" borderId="39" xfId="0" applyNumberFormat="1" applyFont="1" applyFill="1" applyBorder="1" applyAlignment="1">
      <alignment horizontal="center" vertical="center"/>
    </xf>
    <xf numFmtId="3" fontId="16" fillId="3" borderId="20" xfId="0" applyNumberFormat="1" applyFont="1" applyFill="1" applyBorder="1" applyAlignment="1">
      <alignment horizontal="center" vertical="center"/>
    </xf>
    <xf numFmtId="44" fontId="1" fillId="3" borderId="19" xfId="4" applyNumberFormat="1" applyFont="1" applyFill="1" applyBorder="1" applyAlignment="1">
      <alignment horizontal="center" vertical="center"/>
    </xf>
    <xf numFmtId="44" fontId="1" fillId="3" borderId="20" xfId="4" applyNumberFormat="1" applyFont="1" applyFill="1" applyBorder="1" applyAlignment="1">
      <alignment horizontal="center" vertical="center"/>
    </xf>
    <xf numFmtId="44" fontId="1" fillId="3" borderId="20" xfId="4" applyNumberFormat="1" applyFont="1" applyFill="1" applyBorder="1" applyAlignment="1">
      <alignment vertical="center"/>
    </xf>
    <xf numFmtId="44" fontId="1" fillId="3" borderId="40" xfId="4" applyNumberFormat="1" applyFont="1" applyFill="1" applyBorder="1" applyAlignment="1">
      <alignment vertical="center"/>
    </xf>
    <xf numFmtId="44" fontId="1" fillId="0" borderId="20" xfId="4" applyNumberFormat="1" applyFont="1" applyFill="1" applyBorder="1" applyAlignment="1">
      <alignment vertical="center"/>
    </xf>
    <xf numFmtId="170" fontId="25" fillId="3" borderId="20" xfId="1" applyNumberFormat="1" applyFont="1" applyFill="1" applyBorder="1" applyAlignment="1">
      <alignment horizontal="center" vertical="center"/>
    </xf>
    <xf numFmtId="170" fontId="25" fillId="0" borderId="20" xfId="1" applyNumberFormat="1" applyFont="1" applyBorder="1" applyAlignment="1">
      <alignment horizontal="center" vertical="center"/>
    </xf>
    <xf numFmtId="44" fontId="0" fillId="0" borderId="20" xfId="0" applyNumberFormat="1" applyBorder="1"/>
    <xf numFmtId="171" fontId="5" fillId="0" borderId="20" xfId="1" applyNumberFormat="1" applyBorder="1" applyAlignment="1">
      <alignment horizontal="center" vertical="center"/>
    </xf>
    <xf numFmtId="0" fontId="20" fillId="3" borderId="20" xfId="0" applyFont="1" applyFill="1" applyBorder="1" applyAlignment="1">
      <alignment wrapText="1"/>
    </xf>
    <xf numFmtId="0" fontId="20" fillId="3" borderId="0" xfId="0" applyFont="1" applyFill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20" xfId="0" applyFont="1" applyBorder="1"/>
    <xf numFmtId="169" fontId="26" fillId="0" borderId="0" xfId="0" applyNumberFormat="1" applyFont="1"/>
    <xf numFmtId="0" fontId="22" fillId="3" borderId="0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9" fillId="0" borderId="16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5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left" vertical="center"/>
    </xf>
    <xf numFmtId="0" fontId="9" fillId="0" borderId="19" xfId="0" applyFont="1" applyFill="1" applyBorder="1" applyAlignment="1">
      <alignment horizontal="left" vertical="center"/>
    </xf>
    <xf numFmtId="0" fontId="9" fillId="0" borderId="35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/>
    </xf>
    <xf numFmtId="0" fontId="9" fillId="0" borderId="20" xfId="0" applyFont="1" applyFill="1" applyBorder="1" applyAlignment="1">
      <alignment horizontal="left" vertical="center"/>
    </xf>
    <xf numFmtId="0" fontId="9" fillId="0" borderId="26" xfId="0" applyFont="1" applyFill="1" applyBorder="1" applyAlignment="1">
      <alignment horizontal="left" vertical="center"/>
    </xf>
    <xf numFmtId="0" fontId="9" fillId="0" borderId="29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0" fontId="9" fillId="0" borderId="27" xfId="0" applyFont="1" applyFill="1" applyBorder="1" applyAlignment="1">
      <alignment horizontal="left"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wrapText="1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9" fillId="0" borderId="36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left" vertical="center"/>
    </xf>
  </cellXfs>
  <cellStyles count="5">
    <cellStyle name="Encabezado 1" xfId="2"/>
    <cellStyle name="Millares" xfId="4" builtinId="3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K42" sqref="K42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4.7109375" style="1" customWidth="1"/>
    <col min="4" max="4" width="8.42578125" style="1" customWidth="1"/>
    <col min="5" max="5" width="69" style="1" customWidth="1"/>
    <col min="6" max="6" width="11.85546875" style="1" customWidth="1"/>
    <col min="7" max="7" width="9.140625" style="1" bestFit="1" customWidth="1"/>
    <col min="8" max="8" width="13.85546875" style="1" customWidth="1"/>
    <col min="9" max="9" width="14.5703125" style="1" customWidth="1"/>
    <col min="10" max="16384" width="11" style="1"/>
  </cols>
  <sheetData>
    <row r="1" spans="1:9" ht="13.5" thickBot="1" x14ac:dyDescent="0.25"/>
    <row r="2" spans="1:9" ht="27.75" thickBot="1" x14ac:dyDescent="0.4">
      <c r="B2" s="62" t="s">
        <v>0</v>
      </c>
      <c r="C2" s="63"/>
      <c r="D2" s="63"/>
      <c r="E2" s="63"/>
      <c r="F2" s="63"/>
      <c r="G2" s="63"/>
      <c r="H2" s="64"/>
    </row>
    <row r="3" spans="1:9" ht="13.5" thickBot="1" x14ac:dyDescent="0.25"/>
    <row r="4" spans="1:9" ht="18" customHeight="1" x14ac:dyDescent="0.2">
      <c r="A4" s="65" t="s">
        <v>1</v>
      </c>
      <c r="B4" s="66"/>
      <c r="C4" s="75" t="s">
        <v>20</v>
      </c>
      <c r="D4" s="76"/>
      <c r="E4" s="76"/>
      <c r="F4" s="76"/>
      <c r="G4" s="76"/>
      <c r="H4" s="76"/>
      <c r="I4" s="77"/>
    </row>
    <row r="5" spans="1:9" ht="18" customHeight="1" x14ac:dyDescent="0.2">
      <c r="A5" s="67" t="s">
        <v>2</v>
      </c>
      <c r="B5" s="68"/>
      <c r="C5" s="78" t="s">
        <v>21</v>
      </c>
      <c r="D5" s="79"/>
      <c r="E5" s="79"/>
      <c r="F5" s="79"/>
      <c r="G5" s="79"/>
      <c r="H5" s="79"/>
      <c r="I5" s="80"/>
    </row>
    <row r="6" spans="1:9" ht="18" customHeight="1" x14ac:dyDescent="0.2">
      <c r="A6" s="95" t="s">
        <v>102</v>
      </c>
      <c r="B6" s="96"/>
      <c r="C6" s="97" t="s">
        <v>103</v>
      </c>
      <c r="D6" s="98"/>
      <c r="E6" s="98"/>
      <c r="F6" s="98"/>
      <c r="G6" s="98"/>
      <c r="H6" s="98"/>
      <c r="I6" s="99"/>
    </row>
    <row r="7" spans="1:9" ht="16.5" customHeight="1" x14ac:dyDescent="0.2">
      <c r="A7" s="67" t="s">
        <v>3</v>
      </c>
      <c r="B7" s="68"/>
      <c r="C7" s="78">
        <v>2022</v>
      </c>
      <c r="D7" s="79"/>
      <c r="E7" s="79"/>
      <c r="F7" s="79"/>
      <c r="G7" s="79"/>
      <c r="H7" s="79"/>
      <c r="I7" s="80"/>
    </row>
    <row r="8" spans="1:9" ht="16.5" customHeight="1" thickBot="1" x14ac:dyDescent="0.25">
      <c r="A8" s="84" t="s">
        <v>4</v>
      </c>
      <c r="B8" s="85"/>
      <c r="C8" s="81" t="s">
        <v>101</v>
      </c>
      <c r="D8" s="82"/>
      <c r="E8" s="82"/>
      <c r="F8" s="82"/>
      <c r="G8" s="82"/>
      <c r="H8" s="82"/>
      <c r="I8" s="83"/>
    </row>
    <row r="9" spans="1:9" ht="13.5" thickBot="1" x14ac:dyDescent="0.25">
      <c r="A9" s="7"/>
      <c r="B9" s="5"/>
      <c r="C9" s="6"/>
      <c r="D9" s="5"/>
      <c r="E9" s="5"/>
      <c r="F9" s="5"/>
      <c r="G9" s="6"/>
      <c r="H9" s="5"/>
      <c r="I9" s="7"/>
    </row>
    <row r="10" spans="1:9" ht="39" thickBot="1" x14ac:dyDescent="0.25">
      <c r="A10" s="15" t="s">
        <v>5</v>
      </c>
      <c r="B10" s="13" t="s">
        <v>6</v>
      </c>
      <c r="C10" s="11" t="s">
        <v>7</v>
      </c>
      <c r="D10" s="18" t="s">
        <v>8</v>
      </c>
      <c r="E10" s="15" t="s">
        <v>9</v>
      </c>
      <c r="F10" s="24" t="s">
        <v>10</v>
      </c>
      <c r="G10" s="26" t="s">
        <v>11</v>
      </c>
      <c r="H10" s="12" t="s">
        <v>12</v>
      </c>
      <c r="I10" s="21" t="s">
        <v>13</v>
      </c>
    </row>
    <row r="11" spans="1:9" ht="38.25" x14ac:dyDescent="0.2">
      <c r="A11" s="16">
        <v>1</v>
      </c>
      <c r="B11" s="31" t="s">
        <v>26</v>
      </c>
      <c r="C11" s="9" t="s">
        <v>17</v>
      </c>
      <c r="D11" s="38" t="str">
        <f>+LEFT(B11,5)</f>
        <v>2.1.1</v>
      </c>
      <c r="E11" s="55" t="s">
        <v>60</v>
      </c>
      <c r="F11" s="32" t="s">
        <v>59</v>
      </c>
      <c r="G11" s="41">
        <v>75</v>
      </c>
      <c r="H11" s="46">
        <v>528</v>
      </c>
      <c r="I11" s="22">
        <f>G11*H11</f>
        <v>39600</v>
      </c>
    </row>
    <row r="12" spans="1:9" ht="38.25" x14ac:dyDescent="0.2">
      <c r="A12" s="17">
        <v>2</v>
      </c>
      <c r="B12" s="32" t="s">
        <v>27</v>
      </c>
      <c r="C12" s="9" t="s">
        <v>17</v>
      </c>
      <c r="D12" s="38" t="str">
        <f t="shared" ref="D12:D43" si="0">+LEFT(B12,5)</f>
        <v>2.1.1</v>
      </c>
      <c r="E12" s="55" t="s">
        <v>61</v>
      </c>
      <c r="F12" s="32" t="s">
        <v>18</v>
      </c>
      <c r="G12" s="41">
        <v>120</v>
      </c>
      <c r="H12" s="47">
        <v>157</v>
      </c>
      <c r="I12" s="23">
        <f t="shared" ref="I12:I43" si="1">G12*H12</f>
        <v>18840</v>
      </c>
    </row>
    <row r="13" spans="1:9" ht="38.25" x14ac:dyDescent="0.2">
      <c r="A13" s="17">
        <v>3</v>
      </c>
      <c r="B13" s="32" t="s">
        <v>28</v>
      </c>
      <c r="C13" s="9" t="s">
        <v>17</v>
      </c>
      <c r="D13" s="38" t="str">
        <f t="shared" si="0"/>
        <v>2.1.1</v>
      </c>
      <c r="E13" s="55" t="s">
        <v>62</v>
      </c>
      <c r="F13" s="32" t="s">
        <v>19</v>
      </c>
      <c r="G13" s="41">
        <v>90</v>
      </c>
      <c r="H13" s="47">
        <v>132</v>
      </c>
      <c r="I13" s="23">
        <f t="shared" si="1"/>
        <v>11880</v>
      </c>
    </row>
    <row r="14" spans="1:9" ht="45.75" customHeight="1" x14ac:dyDescent="0.2">
      <c r="A14" s="17">
        <v>4</v>
      </c>
      <c r="B14" s="33" t="s">
        <v>29</v>
      </c>
      <c r="C14" s="9" t="s">
        <v>17</v>
      </c>
      <c r="D14" s="38" t="str">
        <f t="shared" si="0"/>
        <v>2.1.1</v>
      </c>
      <c r="E14" s="55" t="s">
        <v>63</v>
      </c>
      <c r="F14" s="39" t="s">
        <v>19</v>
      </c>
      <c r="G14" s="40">
        <v>120</v>
      </c>
      <c r="H14" s="48">
        <v>132</v>
      </c>
      <c r="I14" s="23">
        <f t="shared" si="1"/>
        <v>15840</v>
      </c>
    </row>
    <row r="15" spans="1:9" ht="38.25" x14ac:dyDescent="0.2">
      <c r="A15" s="17">
        <v>5</v>
      </c>
      <c r="B15" s="32" t="s">
        <v>30</v>
      </c>
      <c r="C15" s="9" t="s">
        <v>17</v>
      </c>
      <c r="D15" s="38" t="str">
        <f t="shared" si="0"/>
        <v>2.1.1</v>
      </c>
      <c r="E15" s="55" t="s">
        <v>64</v>
      </c>
      <c r="F15" s="32" t="s">
        <v>19</v>
      </c>
      <c r="G15" s="41">
        <v>90</v>
      </c>
      <c r="H15" s="47">
        <v>154</v>
      </c>
      <c r="I15" s="23">
        <f t="shared" si="1"/>
        <v>13860</v>
      </c>
    </row>
    <row r="16" spans="1:9" ht="51" x14ac:dyDescent="0.2">
      <c r="A16" s="17">
        <v>6</v>
      </c>
      <c r="B16" s="32" t="s">
        <v>31</v>
      </c>
      <c r="C16" s="9" t="s">
        <v>17</v>
      </c>
      <c r="D16" s="38" t="str">
        <f t="shared" si="0"/>
        <v>2.1.1</v>
      </c>
      <c r="E16" s="56" t="s">
        <v>65</v>
      </c>
      <c r="F16" s="33" t="s">
        <v>19</v>
      </c>
      <c r="G16" s="41">
        <v>90</v>
      </c>
      <c r="H16" s="47">
        <v>165</v>
      </c>
      <c r="I16" s="23">
        <f t="shared" si="1"/>
        <v>14850</v>
      </c>
    </row>
    <row r="17" spans="1:9" ht="38.25" x14ac:dyDescent="0.2">
      <c r="A17" s="17">
        <v>7</v>
      </c>
      <c r="B17" s="32" t="s">
        <v>32</v>
      </c>
      <c r="C17" s="9" t="s">
        <v>17</v>
      </c>
      <c r="D17" s="38" t="str">
        <f t="shared" si="0"/>
        <v>2.1.1</v>
      </c>
      <c r="E17" s="55" t="s">
        <v>66</v>
      </c>
      <c r="F17" s="32" t="s">
        <v>19</v>
      </c>
      <c r="G17" s="41">
        <v>45</v>
      </c>
      <c r="H17" s="47">
        <v>137</v>
      </c>
      <c r="I17" s="23">
        <f t="shared" si="1"/>
        <v>6165</v>
      </c>
    </row>
    <row r="18" spans="1:9" ht="25.5" x14ac:dyDescent="0.2">
      <c r="A18" s="17">
        <v>8</v>
      </c>
      <c r="B18" s="32" t="s">
        <v>33</v>
      </c>
      <c r="C18" s="9" t="s">
        <v>17</v>
      </c>
      <c r="D18" s="38" t="str">
        <f t="shared" si="0"/>
        <v>2.1.1</v>
      </c>
      <c r="E18" s="55" t="s">
        <v>67</v>
      </c>
      <c r="F18" s="32" t="s">
        <v>19</v>
      </c>
      <c r="G18" s="41">
        <v>10</v>
      </c>
      <c r="H18" s="47">
        <v>440</v>
      </c>
      <c r="I18" s="23">
        <f t="shared" si="1"/>
        <v>4400</v>
      </c>
    </row>
    <row r="19" spans="1:9" ht="25.5" x14ac:dyDescent="0.2">
      <c r="A19" s="17">
        <v>9</v>
      </c>
      <c r="B19" s="32" t="s">
        <v>34</v>
      </c>
      <c r="C19" s="9" t="s">
        <v>17</v>
      </c>
      <c r="D19" s="38" t="str">
        <f t="shared" si="0"/>
        <v>2.1.1</v>
      </c>
      <c r="E19" s="55" t="s">
        <v>68</v>
      </c>
      <c r="F19" s="32" t="s">
        <v>19</v>
      </c>
      <c r="G19" s="41">
        <v>20</v>
      </c>
      <c r="H19" s="47">
        <v>210</v>
      </c>
      <c r="I19" s="23">
        <f t="shared" si="1"/>
        <v>4200</v>
      </c>
    </row>
    <row r="20" spans="1:9" ht="38.25" x14ac:dyDescent="0.2">
      <c r="A20" s="17">
        <v>10</v>
      </c>
      <c r="B20" s="32" t="s">
        <v>35</v>
      </c>
      <c r="C20" s="9" t="s">
        <v>17</v>
      </c>
      <c r="D20" s="38" t="str">
        <f t="shared" si="0"/>
        <v>2.1.1</v>
      </c>
      <c r="E20" s="55" t="s">
        <v>69</v>
      </c>
      <c r="F20" s="32" t="s">
        <v>19</v>
      </c>
      <c r="G20" s="41">
        <v>36</v>
      </c>
      <c r="H20" s="48">
        <v>886</v>
      </c>
      <c r="I20" s="23">
        <f t="shared" si="1"/>
        <v>31896</v>
      </c>
    </row>
    <row r="21" spans="1:9" ht="25.5" x14ac:dyDescent="0.2">
      <c r="A21" s="17">
        <v>11</v>
      </c>
      <c r="B21" s="32" t="s">
        <v>36</v>
      </c>
      <c r="C21" s="9" t="s">
        <v>17</v>
      </c>
      <c r="D21" s="38" t="str">
        <f t="shared" si="0"/>
        <v>2.1.1</v>
      </c>
      <c r="E21" s="55" t="s">
        <v>70</v>
      </c>
      <c r="F21" s="32" t="s">
        <v>18</v>
      </c>
      <c r="G21" s="41">
        <v>12</v>
      </c>
      <c r="H21" s="48">
        <v>820</v>
      </c>
      <c r="I21" s="23">
        <f t="shared" si="1"/>
        <v>9840</v>
      </c>
    </row>
    <row r="22" spans="1:9" ht="38.25" x14ac:dyDescent="0.2">
      <c r="A22" s="17">
        <v>12</v>
      </c>
      <c r="B22" s="32" t="s">
        <v>37</v>
      </c>
      <c r="C22" s="9" t="s">
        <v>17</v>
      </c>
      <c r="D22" s="38" t="str">
        <f t="shared" si="0"/>
        <v>2.1.1</v>
      </c>
      <c r="E22" s="55" t="s">
        <v>71</v>
      </c>
      <c r="F22" s="32" t="s">
        <v>18</v>
      </c>
      <c r="G22" s="41">
        <v>30</v>
      </c>
      <c r="H22" s="48">
        <v>605</v>
      </c>
      <c r="I22" s="23">
        <f t="shared" si="1"/>
        <v>18150</v>
      </c>
    </row>
    <row r="23" spans="1:9" ht="38.25" x14ac:dyDescent="0.2">
      <c r="A23" s="17">
        <v>13</v>
      </c>
      <c r="B23" s="32" t="s">
        <v>38</v>
      </c>
      <c r="C23" s="9" t="s">
        <v>17</v>
      </c>
      <c r="D23" s="38" t="str">
        <f t="shared" si="0"/>
        <v>2.1.1</v>
      </c>
      <c r="E23" s="55" t="s">
        <v>72</v>
      </c>
      <c r="F23" s="32" t="s">
        <v>19</v>
      </c>
      <c r="G23" s="41">
        <v>45</v>
      </c>
      <c r="H23" s="48">
        <v>100</v>
      </c>
      <c r="I23" s="23">
        <f t="shared" si="1"/>
        <v>4500</v>
      </c>
    </row>
    <row r="24" spans="1:9" ht="25.5" x14ac:dyDescent="0.2">
      <c r="A24" s="17">
        <v>14</v>
      </c>
      <c r="B24" s="32" t="s">
        <v>39</v>
      </c>
      <c r="C24" s="9" t="s">
        <v>17</v>
      </c>
      <c r="D24" s="38" t="str">
        <f t="shared" si="0"/>
        <v>2.1.1</v>
      </c>
      <c r="E24" s="55" t="s">
        <v>73</v>
      </c>
      <c r="F24" s="32" t="s">
        <v>19</v>
      </c>
      <c r="G24" s="41">
        <v>90</v>
      </c>
      <c r="H24" s="48">
        <v>430</v>
      </c>
      <c r="I24" s="23">
        <f t="shared" si="1"/>
        <v>38700</v>
      </c>
    </row>
    <row r="25" spans="1:9" ht="25.5" x14ac:dyDescent="0.2">
      <c r="A25" s="17">
        <v>15</v>
      </c>
      <c r="B25" s="32" t="s">
        <v>40</v>
      </c>
      <c r="C25" s="9" t="s">
        <v>17</v>
      </c>
      <c r="D25" s="38" t="str">
        <f t="shared" si="0"/>
        <v>2.1.1</v>
      </c>
      <c r="E25" s="55" t="s">
        <v>74</v>
      </c>
      <c r="F25" s="32" t="s">
        <v>19</v>
      </c>
      <c r="G25" s="41">
        <v>75</v>
      </c>
      <c r="H25" s="48">
        <v>495</v>
      </c>
      <c r="I25" s="23">
        <f t="shared" si="1"/>
        <v>37125</v>
      </c>
    </row>
    <row r="26" spans="1:9" ht="25.5" x14ac:dyDescent="0.2">
      <c r="A26" s="17">
        <v>16</v>
      </c>
      <c r="B26" s="32" t="s">
        <v>41</v>
      </c>
      <c r="C26" s="9" t="s">
        <v>17</v>
      </c>
      <c r="D26" s="38" t="str">
        <f t="shared" si="0"/>
        <v>2.1.1</v>
      </c>
      <c r="E26" s="55" t="s">
        <v>75</v>
      </c>
      <c r="F26" s="32" t="s">
        <v>19</v>
      </c>
      <c r="G26" s="41">
        <v>45</v>
      </c>
      <c r="H26" s="48">
        <v>170</v>
      </c>
      <c r="I26" s="23">
        <f t="shared" si="1"/>
        <v>7650</v>
      </c>
    </row>
    <row r="27" spans="1:9" ht="25.5" x14ac:dyDescent="0.2">
      <c r="A27" s="17">
        <v>17</v>
      </c>
      <c r="B27" s="32" t="s">
        <v>42</v>
      </c>
      <c r="C27" s="9" t="s">
        <v>17</v>
      </c>
      <c r="D27" s="38" t="str">
        <f t="shared" si="0"/>
        <v>2.1.1</v>
      </c>
      <c r="E27" s="55" t="s">
        <v>76</v>
      </c>
      <c r="F27" s="32" t="s">
        <v>19</v>
      </c>
      <c r="G27" s="41">
        <v>75</v>
      </c>
      <c r="H27" s="48">
        <v>517</v>
      </c>
      <c r="I27" s="23">
        <f t="shared" si="1"/>
        <v>38775</v>
      </c>
    </row>
    <row r="28" spans="1:9" ht="18.75" customHeight="1" x14ac:dyDescent="0.2">
      <c r="A28" s="17">
        <v>18</v>
      </c>
      <c r="B28" s="32" t="s">
        <v>95</v>
      </c>
      <c r="C28" s="9" t="s">
        <v>17</v>
      </c>
      <c r="D28" s="38" t="str">
        <f t="shared" si="0"/>
        <v>2.1.1</v>
      </c>
      <c r="E28" s="59" t="s">
        <v>94</v>
      </c>
      <c r="F28" s="32" t="s">
        <v>19</v>
      </c>
      <c r="G28" s="41">
        <v>150</v>
      </c>
      <c r="H28" s="49">
        <v>100</v>
      </c>
      <c r="I28" s="23">
        <f t="shared" si="1"/>
        <v>15000</v>
      </c>
    </row>
    <row r="29" spans="1:9" ht="15" x14ac:dyDescent="0.2">
      <c r="A29" s="17">
        <v>19</v>
      </c>
      <c r="B29" s="32" t="s">
        <v>43</v>
      </c>
      <c r="C29" s="9" t="s">
        <v>17</v>
      </c>
      <c r="D29" s="38" t="str">
        <f t="shared" si="0"/>
        <v>2.1.1</v>
      </c>
      <c r="E29" s="55" t="s">
        <v>58</v>
      </c>
      <c r="F29" s="32" t="s">
        <v>19</v>
      </c>
      <c r="G29" s="41">
        <v>75</v>
      </c>
      <c r="H29" s="48">
        <v>120</v>
      </c>
      <c r="I29" s="23">
        <f t="shared" si="1"/>
        <v>9000</v>
      </c>
    </row>
    <row r="30" spans="1:9" ht="26.25" thickBot="1" x14ac:dyDescent="0.25">
      <c r="A30" s="17">
        <v>20</v>
      </c>
      <c r="B30" s="34" t="s">
        <v>44</v>
      </c>
      <c r="C30" s="9" t="s">
        <v>17</v>
      </c>
      <c r="D30" s="38" t="str">
        <f t="shared" si="0"/>
        <v>2.1.1</v>
      </c>
      <c r="E30" s="55" t="s">
        <v>77</v>
      </c>
      <c r="F30" s="32" t="s">
        <v>19</v>
      </c>
      <c r="G30" s="42">
        <v>45</v>
      </c>
      <c r="H30" s="48">
        <v>100</v>
      </c>
      <c r="I30" s="23">
        <f t="shared" si="1"/>
        <v>4500</v>
      </c>
    </row>
    <row r="31" spans="1:9" ht="38.25" x14ac:dyDescent="0.2">
      <c r="A31" s="17">
        <v>21</v>
      </c>
      <c r="B31" s="35" t="s">
        <v>45</v>
      </c>
      <c r="C31" s="9" t="s">
        <v>17</v>
      </c>
      <c r="D31" s="38" t="str">
        <f t="shared" si="0"/>
        <v>2.1.1</v>
      </c>
      <c r="E31" s="57" t="s">
        <v>78</v>
      </c>
      <c r="F31" s="39" t="s">
        <v>19</v>
      </c>
      <c r="G31" s="40">
        <v>45</v>
      </c>
      <c r="H31" s="50">
        <v>176</v>
      </c>
      <c r="I31" s="23">
        <f t="shared" si="1"/>
        <v>7920</v>
      </c>
    </row>
    <row r="32" spans="1:9" ht="51" x14ac:dyDescent="0.2">
      <c r="A32" s="17">
        <v>22</v>
      </c>
      <c r="B32" s="35" t="s">
        <v>46</v>
      </c>
      <c r="C32" s="9" t="s">
        <v>17</v>
      </c>
      <c r="D32" s="38" t="str">
        <f t="shared" si="0"/>
        <v>2.1.1</v>
      </c>
      <c r="E32" s="57" t="s">
        <v>79</v>
      </c>
      <c r="F32" s="40" t="s">
        <v>19</v>
      </c>
      <c r="G32" s="40">
        <v>75</v>
      </c>
      <c r="H32" s="50">
        <v>1078</v>
      </c>
      <c r="I32" s="23">
        <f t="shared" si="1"/>
        <v>80850</v>
      </c>
    </row>
    <row r="33" spans="1:9" ht="25.5" x14ac:dyDescent="0.2">
      <c r="A33" s="17">
        <v>23</v>
      </c>
      <c r="B33" s="35" t="s">
        <v>47</v>
      </c>
      <c r="C33" s="9" t="s">
        <v>17</v>
      </c>
      <c r="D33" s="38" t="str">
        <f t="shared" si="0"/>
        <v>2.1.1</v>
      </c>
      <c r="E33" s="55" t="s">
        <v>80</v>
      </c>
      <c r="F33" s="40" t="s">
        <v>19</v>
      </c>
      <c r="G33" s="40">
        <v>45</v>
      </c>
      <c r="H33" s="50">
        <v>77</v>
      </c>
      <c r="I33" s="23">
        <f t="shared" si="1"/>
        <v>3465</v>
      </c>
    </row>
    <row r="34" spans="1:9" ht="25.5" x14ac:dyDescent="0.2">
      <c r="A34" s="17">
        <v>24</v>
      </c>
      <c r="B34" s="35" t="s">
        <v>48</v>
      </c>
      <c r="C34" s="9" t="s">
        <v>17</v>
      </c>
      <c r="D34" s="38" t="str">
        <f t="shared" si="0"/>
        <v>2.1.1</v>
      </c>
      <c r="E34" s="57" t="s">
        <v>81</v>
      </c>
      <c r="F34" s="40" t="s">
        <v>19</v>
      </c>
      <c r="G34" s="33">
        <v>75</v>
      </c>
      <c r="H34" s="50">
        <v>88</v>
      </c>
      <c r="I34" s="23">
        <f t="shared" si="1"/>
        <v>6600</v>
      </c>
    </row>
    <row r="35" spans="1:9" ht="25.5" x14ac:dyDescent="0.2">
      <c r="A35" s="17">
        <v>25</v>
      </c>
      <c r="B35" s="36" t="s">
        <v>49</v>
      </c>
      <c r="C35" s="9" t="s">
        <v>17</v>
      </c>
      <c r="D35" s="38" t="str">
        <f t="shared" si="0"/>
        <v>2.1.1</v>
      </c>
      <c r="E35" s="58" t="s">
        <v>82</v>
      </c>
      <c r="F35" s="40" t="s">
        <v>19</v>
      </c>
      <c r="G35" s="43">
        <v>150</v>
      </c>
      <c r="H35" s="51">
        <v>130</v>
      </c>
      <c r="I35" s="23">
        <f t="shared" si="1"/>
        <v>19500</v>
      </c>
    </row>
    <row r="36" spans="1:9" ht="38.25" x14ac:dyDescent="0.2">
      <c r="A36" s="17">
        <v>26</v>
      </c>
      <c r="B36" s="37" t="s">
        <v>50</v>
      </c>
      <c r="C36" s="9" t="s">
        <v>17</v>
      </c>
      <c r="D36" s="38" t="str">
        <f t="shared" si="0"/>
        <v>2.1.1</v>
      </c>
      <c r="E36" s="57" t="s">
        <v>83</v>
      </c>
      <c r="F36" s="40" t="s">
        <v>19</v>
      </c>
      <c r="G36" s="44">
        <v>128</v>
      </c>
      <c r="H36" s="51">
        <v>282</v>
      </c>
      <c r="I36" s="23">
        <f t="shared" si="1"/>
        <v>36096</v>
      </c>
    </row>
    <row r="37" spans="1:9" ht="25.5" x14ac:dyDescent="0.2">
      <c r="A37" s="17">
        <v>27</v>
      </c>
      <c r="B37" s="33" t="s">
        <v>51</v>
      </c>
      <c r="C37" s="9" t="s">
        <v>17</v>
      </c>
      <c r="D37" s="38" t="str">
        <f t="shared" si="0"/>
        <v>2.1.1</v>
      </c>
      <c r="E37" s="57" t="s">
        <v>84</v>
      </c>
      <c r="F37" s="40" t="s">
        <v>19</v>
      </c>
      <c r="G37" s="44">
        <v>36</v>
      </c>
      <c r="H37" s="52">
        <v>100</v>
      </c>
      <c r="I37" s="23">
        <f t="shared" si="1"/>
        <v>3600</v>
      </c>
    </row>
    <row r="38" spans="1:9" ht="25.5" x14ac:dyDescent="0.2">
      <c r="A38" s="17">
        <v>28</v>
      </c>
      <c r="B38" s="33" t="s">
        <v>52</v>
      </c>
      <c r="C38" s="9" t="s">
        <v>17</v>
      </c>
      <c r="D38" s="38" t="str">
        <f t="shared" si="0"/>
        <v>2.1.1</v>
      </c>
      <c r="E38" s="57" t="s">
        <v>85</v>
      </c>
      <c r="F38" s="40" t="s">
        <v>19</v>
      </c>
      <c r="G38" s="44">
        <v>36</v>
      </c>
      <c r="H38" s="52">
        <v>150</v>
      </c>
      <c r="I38" s="23">
        <f t="shared" si="1"/>
        <v>5400</v>
      </c>
    </row>
    <row r="39" spans="1:9" ht="25.5" x14ac:dyDescent="0.2">
      <c r="A39" s="17">
        <v>29</v>
      </c>
      <c r="B39" s="33" t="s">
        <v>53</v>
      </c>
      <c r="C39" s="9" t="s">
        <v>17</v>
      </c>
      <c r="D39" s="38" t="str">
        <f t="shared" si="0"/>
        <v>2.1.1</v>
      </c>
      <c r="E39" s="57" t="s">
        <v>86</v>
      </c>
      <c r="F39" s="40" t="s">
        <v>19</v>
      </c>
      <c r="G39" s="44">
        <v>15</v>
      </c>
      <c r="H39" s="52">
        <v>132</v>
      </c>
      <c r="I39" s="23">
        <f t="shared" si="1"/>
        <v>1980</v>
      </c>
    </row>
    <row r="40" spans="1:9" ht="25.5" x14ac:dyDescent="0.2">
      <c r="A40" s="17">
        <v>30</v>
      </c>
      <c r="B40" s="37" t="s">
        <v>54</v>
      </c>
      <c r="C40" s="9" t="s">
        <v>17</v>
      </c>
      <c r="D40" s="38" t="str">
        <f t="shared" si="0"/>
        <v>2.1.1</v>
      </c>
      <c r="E40" s="57" t="s">
        <v>87</v>
      </c>
      <c r="F40" s="40" t="s">
        <v>19</v>
      </c>
      <c r="G40" s="44">
        <v>15</v>
      </c>
      <c r="H40" s="52">
        <v>132</v>
      </c>
      <c r="I40" s="23">
        <f t="shared" si="1"/>
        <v>1980</v>
      </c>
    </row>
    <row r="41" spans="1:9" ht="15" x14ac:dyDescent="0.2">
      <c r="A41" s="17">
        <v>31</v>
      </c>
      <c r="B41" s="33" t="s">
        <v>55</v>
      </c>
      <c r="C41" s="9" t="s">
        <v>17</v>
      </c>
      <c r="D41" s="38" t="str">
        <f t="shared" si="0"/>
        <v>2.1.1</v>
      </c>
      <c r="E41" s="59" t="s">
        <v>88</v>
      </c>
      <c r="F41" s="40" t="s">
        <v>19</v>
      </c>
      <c r="G41" s="44">
        <v>6</v>
      </c>
      <c r="H41" s="53">
        <v>2300</v>
      </c>
      <c r="I41" s="23">
        <f t="shared" si="1"/>
        <v>13800</v>
      </c>
    </row>
    <row r="42" spans="1:9" ht="15" x14ac:dyDescent="0.2">
      <c r="A42" s="17">
        <v>32</v>
      </c>
      <c r="B42" s="33" t="s">
        <v>56</v>
      </c>
      <c r="C42" s="9" t="s">
        <v>17</v>
      </c>
      <c r="D42" s="38" t="str">
        <f t="shared" si="0"/>
        <v>2.1.1</v>
      </c>
      <c r="E42" s="59" t="s">
        <v>89</v>
      </c>
      <c r="F42" s="40" t="s">
        <v>19</v>
      </c>
      <c r="G42" s="44">
        <v>6</v>
      </c>
      <c r="H42" s="53">
        <v>2500</v>
      </c>
      <c r="I42" s="23">
        <f t="shared" si="1"/>
        <v>15000</v>
      </c>
    </row>
    <row r="43" spans="1:9" ht="15" x14ac:dyDescent="0.2">
      <c r="A43" s="17">
        <v>33</v>
      </c>
      <c r="B43" s="37" t="s">
        <v>57</v>
      </c>
      <c r="C43" s="9" t="s">
        <v>17</v>
      </c>
      <c r="D43" s="38" t="str">
        <f t="shared" si="0"/>
        <v>2.1.1</v>
      </c>
      <c r="E43" s="59" t="s">
        <v>90</v>
      </c>
      <c r="F43" s="40" t="s">
        <v>19</v>
      </c>
      <c r="G43" s="45">
        <v>9</v>
      </c>
      <c r="H43" s="54">
        <v>600</v>
      </c>
      <c r="I43" s="23">
        <f t="shared" si="1"/>
        <v>5400</v>
      </c>
    </row>
    <row r="44" spans="1:9" ht="15" x14ac:dyDescent="0.2">
      <c r="A44" s="17"/>
      <c r="B44" s="14"/>
      <c r="C44" s="8"/>
      <c r="D44" s="19"/>
      <c r="E44" s="20"/>
      <c r="F44" s="25"/>
      <c r="G44" s="10"/>
      <c r="H44" s="27"/>
      <c r="I44" s="23"/>
    </row>
    <row r="45" spans="1:9" x14ac:dyDescent="0.2">
      <c r="I45" s="60"/>
    </row>
    <row r="46" spans="1:9" ht="13.5" thickBot="1" x14ac:dyDescent="0.25">
      <c r="I46" s="60">
        <f>SUM(I11:I45)</f>
        <v>546362</v>
      </c>
    </row>
    <row r="47" spans="1:9" ht="15" x14ac:dyDescent="0.25">
      <c r="B47" s="89" t="s">
        <v>24</v>
      </c>
      <c r="C47" s="90"/>
      <c r="D47" s="90"/>
      <c r="E47" s="91"/>
    </row>
    <row r="48" spans="1:9" ht="15" x14ac:dyDescent="0.25">
      <c r="B48" s="28" t="s">
        <v>92</v>
      </c>
      <c r="C48" s="29"/>
      <c r="D48" s="29"/>
      <c r="E48" s="30"/>
    </row>
    <row r="49" spans="2:9" ht="15" x14ac:dyDescent="0.25">
      <c r="B49" s="28" t="s">
        <v>93</v>
      </c>
      <c r="C49" s="29"/>
      <c r="D49" s="29"/>
      <c r="E49" s="30"/>
    </row>
    <row r="50" spans="2:9" ht="15" x14ac:dyDescent="0.25">
      <c r="B50" s="28" t="s">
        <v>91</v>
      </c>
      <c r="C50" s="29"/>
      <c r="D50" s="29"/>
      <c r="E50" s="30"/>
    </row>
    <row r="51" spans="2:9" ht="15" x14ac:dyDescent="0.25">
      <c r="B51" s="28" t="s">
        <v>96</v>
      </c>
      <c r="C51" s="29"/>
      <c r="D51" s="29"/>
      <c r="E51" s="30"/>
    </row>
    <row r="52" spans="2:9" ht="15" x14ac:dyDescent="0.25">
      <c r="B52" s="28" t="s">
        <v>97</v>
      </c>
      <c r="C52" s="29"/>
      <c r="D52" s="29"/>
      <c r="E52" s="30"/>
    </row>
    <row r="53" spans="2:9" ht="15" x14ac:dyDescent="0.25">
      <c r="B53" s="28" t="s">
        <v>98</v>
      </c>
      <c r="C53" s="29"/>
      <c r="D53" s="29"/>
      <c r="E53" s="30"/>
    </row>
    <row r="54" spans="2:9" ht="15" x14ac:dyDescent="0.25">
      <c r="B54" s="28"/>
      <c r="C54" s="29"/>
      <c r="D54" s="29"/>
      <c r="E54" s="30"/>
    </row>
    <row r="55" spans="2:9" ht="15" x14ac:dyDescent="0.25">
      <c r="B55" s="92" t="s">
        <v>14</v>
      </c>
      <c r="C55" s="93"/>
      <c r="D55" s="93"/>
      <c r="E55" s="94"/>
    </row>
    <row r="56" spans="2:9" ht="135" customHeight="1" x14ac:dyDescent="0.2">
      <c r="B56" s="72" t="s">
        <v>100</v>
      </c>
      <c r="C56" s="73"/>
      <c r="D56" s="73"/>
      <c r="E56" s="74"/>
    </row>
    <row r="57" spans="2:9" ht="16.5" customHeight="1" x14ac:dyDescent="0.25">
      <c r="B57" s="92" t="s">
        <v>15</v>
      </c>
      <c r="C57" s="93"/>
      <c r="D57" s="93"/>
      <c r="E57" s="94"/>
    </row>
    <row r="58" spans="2:9" ht="15" x14ac:dyDescent="0.25">
      <c r="B58" s="69" t="s">
        <v>99</v>
      </c>
      <c r="C58" s="70"/>
      <c r="D58" s="70"/>
      <c r="E58" s="71"/>
    </row>
    <row r="59" spans="2:9" ht="15" x14ac:dyDescent="0.25">
      <c r="B59" s="92" t="s">
        <v>16</v>
      </c>
      <c r="C59" s="93"/>
      <c r="D59" s="93"/>
      <c r="E59" s="94"/>
    </row>
    <row r="60" spans="2:9" ht="15" x14ac:dyDescent="0.25">
      <c r="B60" s="69" t="s">
        <v>22</v>
      </c>
      <c r="C60" s="70"/>
      <c r="D60" s="70"/>
      <c r="E60" s="71"/>
    </row>
    <row r="61" spans="2:9" ht="15" x14ac:dyDescent="0.25">
      <c r="B61" s="92" t="s">
        <v>23</v>
      </c>
      <c r="C61" s="93"/>
      <c r="D61" s="93"/>
      <c r="E61" s="94"/>
    </row>
    <row r="62" spans="2:9" ht="31.5" customHeight="1" thickBot="1" x14ac:dyDescent="0.3">
      <c r="B62" s="86" t="s">
        <v>25</v>
      </c>
      <c r="C62" s="87"/>
      <c r="D62" s="87"/>
      <c r="E62" s="88"/>
      <c r="F62" s="61"/>
      <c r="G62" s="61"/>
      <c r="H62" s="61"/>
      <c r="I62" s="61"/>
    </row>
    <row r="63" spans="2:9" x14ac:dyDescent="0.2">
      <c r="B63" s="4"/>
      <c r="C63" s="2"/>
      <c r="D63" s="2"/>
      <c r="E63" s="2"/>
      <c r="F63" s="61"/>
      <c r="G63" s="61"/>
      <c r="H63" s="61"/>
      <c r="I63" s="61"/>
    </row>
    <row r="64" spans="2:9" x14ac:dyDescent="0.2">
      <c r="C64" s="3"/>
      <c r="D64" s="3"/>
      <c r="E64" s="3"/>
    </row>
  </sheetData>
  <mergeCells count="21">
    <mergeCell ref="B57:E57"/>
    <mergeCell ref="B59:E59"/>
    <mergeCell ref="B61:E61"/>
    <mergeCell ref="A6:B6"/>
    <mergeCell ref="C6:I6"/>
    <mergeCell ref="F62:I63"/>
    <mergeCell ref="B2:H2"/>
    <mergeCell ref="A4:B4"/>
    <mergeCell ref="A5:B5"/>
    <mergeCell ref="B58:E58"/>
    <mergeCell ref="B56:E56"/>
    <mergeCell ref="C4:I4"/>
    <mergeCell ref="C5:I5"/>
    <mergeCell ref="C7:I7"/>
    <mergeCell ref="C8:I8"/>
    <mergeCell ref="A7:B7"/>
    <mergeCell ref="A8:B8"/>
    <mergeCell ref="B60:E60"/>
    <mergeCell ref="B62:E62"/>
    <mergeCell ref="B47:E47"/>
    <mergeCell ref="B55:E5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2022-06-08T15:18:15Z</cp:lastPrinted>
  <dcterms:created xsi:type="dcterms:W3CDTF">2020-07-17T23:44:49Z</dcterms:created>
  <dcterms:modified xsi:type="dcterms:W3CDTF">2022-06-09T12:01:14Z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