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FRI -SCA\PLANIFICACION\Maiz Entero\"/>
    </mc:Choice>
  </mc:AlternateContent>
  <bookViews>
    <workbookView xWindow="0" yWindow="0" windowWidth="28545" windowHeight="12300" tabRatio="500"/>
  </bookViews>
  <sheets>
    <sheet name="Necesidades Trimestrales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J13" i="1" l="1"/>
  <c r="Q35" i="2"/>
</calcChain>
</file>

<file path=xl/sharedStrings.xml><?xml version="1.0" encoding="utf-8"?>
<sst xmlns="http://schemas.openxmlformats.org/spreadsheetml/2006/main" count="90" uniqueCount="77">
  <si>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</si>
  <si>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</si>
  <si>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</si>
  <si>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</si>
  <si>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</si>
  <si>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</si>
  <si>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</si>
  <si>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</si>
  <si>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</si>
  <si>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</si>
  <si>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</si>
  <si>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</si>
  <si>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</si>
  <si>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</si>
  <si>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</si>
  <si>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</si>
  <si>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</si>
  <si>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</si>
  <si>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</si>
  <si>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</si>
  <si>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</si>
  <si>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</si>
  <si>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</si>
  <si>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</si>
  <si>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</si>
  <si>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</si>
  <si>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</si>
  <si>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</si>
  <si>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</si>
  <si>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</si>
  <si>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</si>
  <si>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</si>
  <si>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</si>
  <si>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</si>
  <si>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</si>
  <si>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</si>
  <si>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</si>
  <si>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</si>
  <si>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</si>
  <si>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</si>
  <si>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</si>
  <si>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</si>
  <si>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</si>
  <si>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</si>
  <si>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</si>
  <si>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</si>
  <si>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</si>
  <si>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</si>
  <si>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</si>
  <si>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</si>
  <si>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</si>
  <si>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</si>
  <si>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</si>
  <si>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</si>
  <si>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Alimentos para Animales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</si>
  <si>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</si>
  <si>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</si>
  <si>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</si>
  <si>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</si>
  <si>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</si>
  <si>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</si>
  <si>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2 - TRIMESTRE 2022</t>
  </si>
  <si>
    <t>JURISDICCION : 62- MINISTERIO DE INCLUSION DIGITAL Y SISTEMAS PRODUCTIVOS</t>
  </si>
  <si>
    <t>EJERCICIO: 2022</t>
  </si>
  <si>
    <t>TRIMESTRE: 02</t>
  </si>
  <si>
    <t>SAF N°: 33- DIRECCION PROVINCIAL DE ADMINISTRACION GENERAL</t>
  </si>
  <si>
    <t>ALIMENTOS</t>
  </si>
  <si>
    <t>2.1.2-2888.41</t>
  </si>
  <si>
    <t>ALIMENTOS Y FORRAJES; TIPO: MAIZ ENTERO, PRESENTACION:
SEGÚN PLIEGO, USO: SEGÚN PLIEGO</t>
  </si>
  <si>
    <t>TONELADA</t>
  </si>
  <si>
    <t>a)  FORMA DE LA ENTREGA   : Presentar  Remito que deberá cumplimentar lo dispuesto por la R.G. AFIP 1415/03, sin excepción en las oficinas del Área Compras del Ministerio de Inclusion Digital y Sistemas Productivos en donde conste el depósito de las Toneladas de Maíz Entero en los Silos del Predio Anexo de la Viñita, Ruta 38 Kilometro 575 la Viñita .-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</si>
  <si>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MAIZ ENTERO POR TONELADA. - FORRAJE PARA GANADO</t>
  </si>
  <si>
    <t>DEBERA SER DE PRIMERA CALIDAD</t>
  </si>
  <si>
    <t xml:space="preserve">ADQUISICION DE 200 TONELADAS DE MAIZ ENTERO PARA GANADO </t>
  </si>
  <si>
    <t>Autorizo la realización de los  trámites correspondientes, a fin de proveer a  este Organismo los bienes que se detallan en Nota  de Pedido N° 20 / 2022 afectando la erogación resultante a los créditos presupuestarios aprobados a favor de esta Unidad Ejecutora, conforme al siguiente detalle:</t>
  </si>
  <si>
    <t>TOTAL DE PESOS: OCHO MILLONES CON 00/100</t>
  </si>
  <si>
    <t>Costo total estimado: PESOS OCHO MILLONES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</si>
</sst>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8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 applyBorder="1"/>
    <xf numFmtId="0" fontId="29" fillId="0" borderId="0" xfId="0" applyFont="1" applyBorder="1"/>
    <xf numFmtId="0" fontId="25" fillId="0" borderId="51" xfId="0" applyFont="1" applyBorder="1"/>
    <xf numFmtId="0" fontId="28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8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167" fontId="0" fillId="0" borderId="54" xfId="0" applyNumberFormat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3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0" fillId="0" borderId="39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30" fillId="0" borderId="0" xfId="0" applyFont="1" applyAlignment="1">
      <alignment horizontal="center" vertical="center" wrapText="1"/>
    </xf>
    <xf numFmtId="0" fontId="29" fillId="0" borderId="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tabSelected="1" workbookViewId="0">
      <selection activeCell="H11" sqref="H11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7"/>
      <c r="B2" s="127" t="s">
        <v>49</v>
      </c>
      <c r="C2" s="127"/>
      <c r="D2" s="127"/>
      <c r="E2" s="127"/>
      <c r="F2" s="127"/>
      <c r="G2" s="127"/>
      <c r="H2" s="127"/>
      <c r="I2" s="127"/>
    </row>
    <row r="3" spans="1:10" ht="13.5" x14ac:dyDescent="0.25">
      <c r="A3" s="67"/>
      <c r="B3" s="67"/>
      <c r="C3" s="67"/>
      <c r="D3" s="67"/>
      <c r="E3" s="67"/>
      <c r="F3" s="67"/>
      <c r="G3" s="67"/>
      <c r="H3" s="67"/>
      <c r="I3" s="67"/>
    </row>
    <row r="4" spans="1:10" x14ac:dyDescent="0.2">
      <c r="A4" s="68" t="s">
        <v>62</v>
      </c>
      <c r="B4" s="68"/>
      <c r="C4" s="68"/>
      <c r="D4" s="68"/>
      <c r="E4" s="68"/>
      <c r="F4" s="68"/>
      <c r="G4" s="68"/>
      <c r="H4" s="68"/>
      <c r="I4" s="68"/>
    </row>
    <row r="5" spans="1:10" x14ac:dyDescent="0.2">
      <c r="A5" s="68" t="s">
        <v>65</v>
      </c>
      <c r="B5" s="68"/>
      <c r="C5" s="68"/>
      <c r="D5" s="68"/>
      <c r="E5" s="68"/>
      <c r="F5" s="68"/>
      <c r="G5" s="68"/>
      <c r="H5" s="68"/>
      <c r="I5" s="68"/>
    </row>
    <row r="6" spans="1:10" x14ac:dyDescent="0.2">
      <c r="A6" s="68" t="s">
        <v>63</v>
      </c>
      <c r="B6" s="68"/>
      <c r="C6" s="68"/>
      <c r="D6" s="68"/>
      <c r="E6" s="68"/>
      <c r="F6" s="68"/>
      <c r="G6" s="68"/>
      <c r="H6" s="68"/>
      <c r="I6" s="68"/>
    </row>
    <row r="7" spans="1:10" x14ac:dyDescent="0.2">
      <c r="A7" s="68" t="s">
        <v>64</v>
      </c>
      <c r="B7" s="68"/>
      <c r="C7" s="68"/>
      <c r="D7" s="68"/>
      <c r="E7" s="68"/>
      <c r="F7" s="68"/>
      <c r="G7" s="68"/>
      <c r="H7" s="68"/>
      <c r="I7" s="68"/>
    </row>
    <row r="8" spans="1:10" ht="13.5" thickBot="1" x14ac:dyDescent="0.25">
      <c r="A8" s="68"/>
      <c r="B8" s="68"/>
      <c r="C8" s="68"/>
      <c r="D8" s="68"/>
      <c r="E8" s="68"/>
      <c r="F8" s="68"/>
      <c r="G8" s="68"/>
      <c r="H8" s="68"/>
      <c r="I8" s="68"/>
    </row>
    <row r="9" spans="1:10" ht="38.25" customHeight="1" x14ac:dyDescent="0.2">
      <c r="A9" s="69" t="s">
        <v>38</v>
      </c>
      <c r="B9" s="70" t="s">
        <v>39</v>
      </c>
      <c r="C9" s="71" t="s">
        <v>40</v>
      </c>
      <c r="D9" s="71" t="s">
        <v>41</v>
      </c>
      <c r="E9" s="71" t="s">
        <v>42</v>
      </c>
      <c r="F9" s="72" t="s">
        <v>43</v>
      </c>
      <c r="G9" s="71" t="s">
        <v>44</v>
      </c>
      <c r="H9" s="72" t="s">
        <v>45</v>
      </c>
      <c r="I9" s="73" t="s">
        <v>50</v>
      </c>
    </row>
    <row r="10" spans="1:10" s="47" customFormat="1" ht="87.75" customHeight="1" x14ac:dyDescent="0.2">
      <c r="A10" s="74">
        <v>1</v>
      </c>
      <c r="B10" s="76" t="s">
        <v>67</v>
      </c>
      <c r="C10" s="77" t="s">
        <v>66</v>
      </c>
      <c r="D10" s="78" t="s">
        <v>56</v>
      </c>
      <c r="E10" s="77" t="s">
        <v>68</v>
      </c>
      <c r="F10" s="78" t="s">
        <v>69</v>
      </c>
      <c r="G10" s="79">
        <v>200</v>
      </c>
      <c r="H10" s="80">
        <v>40000</v>
      </c>
      <c r="I10" s="80">
        <f>+H10*G10</f>
        <v>8000000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6" t="s">
        <v>46</v>
      </c>
      <c r="C13" s="57"/>
      <c r="D13" s="57"/>
      <c r="E13" s="57"/>
      <c r="F13" s="57"/>
      <c r="G13" s="57"/>
      <c r="H13" s="57"/>
      <c r="I13" s="58"/>
      <c r="J13" s="13"/>
    </row>
    <row r="14" spans="1:10" ht="13.5" x14ac:dyDescent="0.25">
      <c r="B14" s="59"/>
      <c r="C14" s="57"/>
      <c r="D14" s="57"/>
      <c r="E14" s="57"/>
      <c r="F14" s="57"/>
      <c r="G14" s="57"/>
      <c r="H14" s="57"/>
      <c r="I14" s="58"/>
      <c r="J14" s="13"/>
    </row>
    <row r="15" spans="1:10" ht="13.5" x14ac:dyDescent="0.25">
      <c r="B15" s="59"/>
      <c r="C15" s="60" t="s">
        <v>47</v>
      </c>
      <c r="D15" s="57"/>
      <c r="E15" s="57"/>
      <c r="F15" s="57"/>
      <c r="G15" s="57"/>
      <c r="H15" s="57"/>
      <c r="I15" s="58"/>
      <c r="J15" s="13"/>
    </row>
    <row r="16" spans="1:10" ht="35.25" customHeight="1" x14ac:dyDescent="0.25">
      <c r="B16" s="59"/>
      <c r="C16" s="57"/>
      <c r="D16" s="128" t="s">
        <v>71</v>
      </c>
      <c r="E16" s="128"/>
      <c r="F16" s="128"/>
      <c r="G16" s="128"/>
      <c r="H16" s="128"/>
      <c r="I16" s="129"/>
      <c r="J16" s="13"/>
    </row>
    <row r="17" spans="2:13" ht="13.5" x14ac:dyDescent="0.25">
      <c r="B17" s="59"/>
      <c r="C17" s="57"/>
      <c r="D17" s="128"/>
      <c r="E17" s="128"/>
      <c r="F17" s="128"/>
      <c r="G17" s="128"/>
      <c r="H17" s="128"/>
      <c r="I17" s="129"/>
      <c r="J17" s="13"/>
    </row>
    <row r="18" spans="2:13" ht="14.25" x14ac:dyDescent="0.3">
      <c r="B18" s="59"/>
      <c r="C18" s="57"/>
      <c r="D18" s="61"/>
      <c r="E18" s="57"/>
      <c r="F18" s="57"/>
      <c r="G18" s="57"/>
      <c r="H18" s="57"/>
      <c r="I18" s="58"/>
      <c r="J18" s="13"/>
    </row>
    <row r="19" spans="2:13" ht="13.5" x14ac:dyDescent="0.25">
      <c r="B19" s="59"/>
      <c r="C19" s="60" t="s">
        <v>48</v>
      </c>
      <c r="D19" s="57"/>
      <c r="E19" s="57"/>
      <c r="F19" s="57"/>
      <c r="G19" s="57"/>
      <c r="H19" s="57"/>
      <c r="I19" s="58"/>
      <c r="J19" s="13"/>
    </row>
    <row r="20" spans="2:13" ht="128.25" customHeight="1" x14ac:dyDescent="0.25">
      <c r="B20" s="59"/>
      <c r="C20" s="57"/>
      <c r="D20" s="130" t="s">
        <v>70</v>
      </c>
      <c r="E20" s="130"/>
      <c r="F20" s="130"/>
      <c r="G20" s="130"/>
      <c r="H20" s="130"/>
      <c r="I20" s="131"/>
      <c r="J20" s="13"/>
      <c r="K20" s="13"/>
      <c r="L20" s="16"/>
      <c r="M20" s="13"/>
    </row>
    <row r="21" spans="2:13" ht="14.25" x14ac:dyDescent="0.3">
      <c r="B21" s="59"/>
      <c r="C21" s="57"/>
      <c r="D21" s="61"/>
      <c r="E21" s="57"/>
      <c r="F21" s="57"/>
      <c r="G21" s="57"/>
      <c r="H21" s="57"/>
      <c r="I21" s="58"/>
      <c r="J21" s="13"/>
    </row>
    <row r="22" spans="2:13" ht="13.5" x14ac:dyDescent="0.25">
      <c r="B22" s="59"/>
      <c r="C22" s="57"/>
      <c r="D22" s="57"/>
      <c r="E22" s="57"/>
      <c r="F22" s="57"/>
      <c r="G22" s="57"/>
      <c r="H22" s="57"/>
      <c r="I22" s="58"/>
      <c r="J22" s="13"/>
    </row>
    <row r="23" spans="2:13" ht="35.25" customHeight="1" x14ac:dyDescent="0.25">
      <c r="B23" s="59"/>
      <c r="C23" s="66" t="s">
        <v>53</v>
      </c>
      <c r="D23" s="132" t="s">
        <v>72</v>
      </c>
      <c r="E23" s="132"/>
      <c r="F23" s="132"/>
      <c r="G23" s="132"/>
      <c r="H23" s="132"/>
      <c r="I23" s="133"/>
      <c r="J23" s="13"/>
    </row>
    <row r="24" spans="2:13" ht="14.25" x14ac:dyDescent="0.3">
      <c r="B24" s="59"/>
      <c r="C24" s="60" t="s">
        <v>52</v>
      </c>
      <c r="D24" s="61" t="s">
        <v>51</v>
      </c>
      <c r="E24" s="57"/>
      <c r="F24" s="57"/>
      <c r="G24" s="57"/>
      <c r="H24" s="57"/>
      <c r="I24" s="58"/>
      <c r="J24" s="13"/>
    </row>
    <row r="25" spans="2:13" ht="14.25" thickBot="1" x14ac:dyDescent="0.3">
      <c r="B25" s="62"/>
      <c r="C25" s="63"/>
      <c r="D25" s="64"/>
      <c r="E25" s="64"/>
      <c r="F25" s="64"/>
      <c r="G25" s="64"/>
      <c r="H25" s="64"/>
      <c r="I25" s="65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>
      <selection activeCell="G20" sqref="G20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2" t="s">
        <v>1</v>
      </c>
      <c r="K1" s="3">
        <v>20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8" t="s">
        <v>2</v>
      </c>
      <c r="B3" s="98"/>
      <c r="C3" s="98"/>
      <c r="D3" s="95" t="s">
        <v>58</v>
      </c>
      <c r="E3" s="96"/>
      <c r="F3" s="96"/>
      <c r="G3" s="96"/>
      <c r="H3" s="96"/>
      <c r="I3" s="96"/>
      <c r="J3" s="96"/>
      <c r="K3" s="97"/>
    </row>
    <row r="4" spans="1:11" ht="18.75" customHeight="1" thickBot="1" x14ac:dyDescent="0.25">
      <c r="A4" s="94" t="s">
        <v>3</v>
      </c>
      <c r="B4" s="94"/>
      <c r="C4" s="94"/>
      <c r="D4" s="95" t="s">
        <v>59</v>
      </c>
      <c r="E4" s="96"/>
      <c r="F4" s="96"/>
      <c r="G4" s="96"/>
      <c r="H4" s="96"/>
      <c r="I4" s="96"/>
      <c r="J4" s="96"/>
      <c r="K4" s="97"/>
    </row>
    <row r="5" spans="1:11" ht="18.75" customHeight="1" thickBot="1" x14ac:dyDescent="0.25">
      <c r="A5" s="94" t="s">
        <v>4</v>
      </c>
      <c r="B5" s="94"/>
      <c r="C5" s="94"/>
      <c r="D5" s="95" t="s">
        <v>60</v>
      </c>
      <c r="E5" s="96"/>
      <c r="F5" s="96"/>
      <c r="G5" s="96"/>
      <c r="H5" s="96"/>
      <c r="I5" s="96"/>
      <c r="J5" s="96"/>
      <c r="K5" s="97"/>
    </row>
    <row r="6" spans="1:11" ht="16.5" customHeight="1" thickBot="1" x14ac:dyDescent="0.25">
      <c r="A6" s="98" t="s">
        <v>5</v>
      </c>
      <c r="B6" s="98"/>
      <c r="C6" s="98"/>
      <c r="D6" s="95" t="s">
        <v>60</v>
      </c>
      <c r="E6" s="96"/>
      <c r="F6" s="96"/>
      <c r="G6" s="96"/>
      <c r="H6" s="96"/>
      <c r="I6" s="96"/>
      <c r="J6" s="96"/>
      <c r="K6" s="97"/>
    </row>
    <row r="7" spans="1:11" ht="16.5" customHeight="1" thickBot="1" x14ac:dyDescent="0.25">
      <c r="A7" s="94" t="s">
        <v>6</v>
      </c>
      <c r="B7" s="94"/>
      <c r="C7" s="94"/>
      <c r="D7" s="99" t="s">
        <v>61</v>
      </c>
      <c r="E7" s="99"/>
      <c r="F7" s="99"/>
      <c r="G7" s="99"/>
      <c r="H7" s="99"/>
      <c r="I7" s="99"/>
      <c r="J7" s="99"/>
      <c r="K7" s="99"/>
    </row>
    <row r="8" spans="1:11" ht="40.5" customHeight="1" thickBot="1" x14ac:dyDescent="0.25">
      <c r="A8" s="85" t="s">
        <v>7</v>
      </c>
      <c r="B8" s="85"/>
      <c r="C8" s="85"/>
      <c r="D8" s="86" t="s">
        <v>73</v>
      </c>
      <c r="E8" s="86"/>
      <c r="F8" s="86"/>
      <c r="G8" s="86"/>
      <c r="H8" s="86"/>
      <c r="I8" s="86"/>
      <c r="J8" s="86"/>
      <c r="K8" s="86"/>
    </row>
    <row r="9" spans="1:11" ht="16.5" thickBo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3"/>
    </row>
    <row r="10" spans="1:11" ht="18.75" customHeight="1" thickBot="1" x14ac:dyDescent="0.25">
      <c r="A10" s="87" t="s">
        <v>8</v>
      </c>
      <c r="B10" s="88" t="s">
        <v>9</v>
      </c>
      <c r="C10" s="88" t="s">
        <v>10</v>
      </c>
      <c r="D10" s="88"/>
      <c r="E10" s="88"/>
      <c r="F10" s="88"/>
      <c r="G10" s="88"/>
      <c r="H10" s="88" t="s">
        <v>11</v>
      </c>
      <c r="I10" s="88" t="s">
        <v>12</v>
      </c>
      <c r="J10" s="88" t="s">
        <v>13</v>
      </c>
      <c r="K10" s="89" t="s">
        <v>14</v>
      </c>
    </row>
    <row r="11" spans="1:11" ht="24" customHeight="1" thickBo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51.75" customHeight="1" thickBot="1" x14ac:dyDescent="0.25">
      <c r="A12" s="50">
        <v>1</v>
      </c>
      <c r="B12" s="75" t="s">
        <v>67</v>
      </c>
      <c r="C12" s="90" t="s">
        <v>68</v>
      </c>
      <c r="D12" s="90"/>
      <c r="E12" s="90"/>
      <c r="F12" s="90"/>
      <c r="G12" s="90"/>
      <c r="H12" s="51" t="s">
        <v>55</v>
      </c>
      <c r="I12" s="52" t="s">
        <v>69</v>
      </c>
      <c r="J12" s="55">
        <v>40000</v>
      </c>
      <c r="K12" s="53">
        <v>200</v>
      </c>
    </row>
    <row r="13" spans="1:11" ht="25.5" customHeight="1" thickBot="1" x14ac:dyDescent="0.25">
      <c r="A13" s="81" t="s">
        <v>76</v>
      </c>
      <c r="B13" s="81"/>
      <c r="C13" s="81"/>
      <c r="D13" s="81"/>
      <c r="E13" s="81"/>
      <c r="F13" s="81"/>
      <c r="G13" s="81"/>
      <c r="H13" s="81"/>
      <c r="I13" s="82"/>
      <c r="J13" s="83">
        <f>K12*J12</f>
        <v>8000000</v>
      </c>
      <c r="K13" s="84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zoomScale="110" zoomScaleNormal="11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3" t="s">
        <v>15</v>
      </c>
      <c r="B1" s="123"/>
      <c r="C1" s="123"/>
      <c r="D1" s="124">
        <v>2022</v>
      </c>
      <c r="E1" s="124"/>
      <c r="F1" s="9"/>
      <c r="G1" s="9"/>
      <c r="H1" s="10"/>
      <c r="I1" s="10"/>
      <c r="J1" s="10"/>
      <c r="K1" s="10"/>
      <c r="L1" s="10"/>
      <c r="M1" s="10"/>
      <c r="N1" s="10"/>
      <c r="O1" s="11"/>
      <c r="P1" s="125" t="s">
        <v>16</v>
      </c>
      <c r="Q1" s="125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125"/>
      <c r="Q2" s="125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126" t="s">
        <v>17</v>
      </c>
      <c r="B4" s="126"/>
      <c r="C4" s="126"/>
      <c r="D4" s="126"/>
      <c r="E4" s="126"/>
      <c r="F4" s="126"/>
      <c r="G4" s="122" t="s">
        <v>58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17" customFormat="1" ht="18" customHeight="1" thickBot="1" x14ac:dyDescent="0.25">
      <c r="A5" s="121" t="s">
        <v>3</v>
      </c>
      <c r="B5" s="121"/>
      <c r="C5" s="121"/>
      <c r="D5" s="121"/>
      <c r="E5" s="121"/>
      <c r="F5" s="121"/>
      <c r="G5" s="122" t="s">
        <v>59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7" customFormat="1" ht="18" customHeight="1" thickBot="1" x14ac:dyDescent="0.25">
      <c r="A6" s="121" t="s">
        <v>4</v>
      </c>
      <c r="B6" s="121"/>
      <c r="C6" s="121"/>
      <c r="D6" s="121"/>
      <c r="E6" s="121"/>
      <c r="F6" s="121"/>
      <c r="G6" s="122" t="s">
        <v>60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17" customFormat="1" ht="22.5" customHeight="1" thickBot="1" x14ac:dyDescent="0.25">
      <c r="A7" s="121" t="s">
        <v>5</v>
      </c>
      <c r="B7" s="121"/>
      <c r="C7" s="121"/>
      <c r="D7" s="121"/>
      <c r="E7" s="121"/>
      <c r="F7" s="121"/>
      <c r="G7" s="122" t="s">
        <v>60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14" t="s">
        <v>18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19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66" customHeight="1" x14ac:dyDescent="0.2">
      <c r="A10" s="116" t="s">
        <v>74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17" t="s">
        <v>20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21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22</v>
      </c>
      <c r="P13" s="119"/>
      <c r="Q13" s="120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57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19"/>
      <c r="P14" s="119"/>
      <c r="Q14" s="120"/>
    </row>
    <row r="15" spans="1:17" ht="31.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11" t="s">
        <v>54</v>
      </c>
      <c r="P15" s="112"/>
      <c r="Q15" s="54">
        <v>8000000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13"/>
      <c r="P16" s="113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0"/>
      <c r="P17" s="110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0"/>
      <c r="P18" s="110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0"/>
      <c r="P19" s="110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0"/>
      <c r="P20" s="110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0"/>
      <c r="P21" s="110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0"/>
      <c r="P22" s="110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0"/>
      <c r="P23" s="110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0"/>
      <c r="P24" s="110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0"/>
      <c r="P25" s="110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0"/>
      <c r="P26" s="110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0"/>
      <c r="P27" s="110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0"/>
      <c r="P28" s="110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05"/>
      <c r="P29" s="105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05"/>
      <c r="P30" s="105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05"/>
      <c r="P31" s="105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05"/>
      <c r="P32" s="105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06"/>
      <c r="P33" s="106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07"/>
      <c r="P34" s="107"/>
      <c r="Q34" s="40"/>
    </row>
    <row r="35" spans="1:18" ht="20.25" customHeight="1" x14ac:dyDescent="0.2">
      <c r="A35" s="108" t="s">
        <v>75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41">
        <f>SUM(Q15:Q34)</f>
        <v>8000000</v>
      </c>
    </row>
    <row r="36" spans="1:18" ht="18" customHeight="1" x14ac:dyDescent="0.2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</row>
    <row r="37" spans="1:18" ht="17.25" customHeight="1" x14ac:dyDescent="0.2">
      <c r="A37" s="101" t="s">
        <v>36</v>
      </c>
      <c r="B37" s="101"/>
      <c r="C37" s="101"/>
      <c r="D37" s="101"/>
      <c r="E37" s="101"/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</row>
    <row r="38" spans="1:18" ht="18" customHeight="1" x14ac:dyDescent="0.2">
      <c r="A38" s="103" t="s">
        <v>73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</row>
    <row r="39" spans="1:18" ht="63.75" customHeight="1" x14ac:dyDescent="0.2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2022-05-03T13:20:58Z</cp:lastPrinted>
  <dcterms:created xsi:type="dcterms:W3CDTF">2020-07-17T23:44:49Z</dcterms:created>
  <dcterms:modified xsi:type="dcterms:W3CDTF">2022-05-10T12:26:49Z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