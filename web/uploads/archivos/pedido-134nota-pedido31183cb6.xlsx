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cartables 1er Trim.2022\Antiseptico y Desinfectante consolidado\"/>
    </mc:Choice>
  </mc:AlternateContent>
  <xr:revisionPtr revIDLastSave="0" documentId="13_ncr:1_{4EDDBE57-A494-4E7C-9DF0-8005C99085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 FARMACIA" sheetId="2" r:id="rId2"/>
    <sheet name="NP LABORATORIO" sheetId="4" r:id="rId3"/>
    <sheet name="NP BANCO DE SANGRE" sheetId="6" r:id="rId4"/>
    <sheet name="APG FARMACIA" sheetId="3" r:id="rId5"/>
    <sheet name="NP ODONTOLOGIA" sheetId="8" r:id="rId6"/>
    <sheet name="APG ODONTOLOGIA" sheetId="9" r:id="rId7"/>
    <sheet name="NP SAME" sheetId="10" r:id="rId8"/>
    <sheet name="APG SAME" sheetId="11" r:id="rId9"/>
  </sheets>
  <definedNames>
    <definedName name="_xlnm._FilterDatabase" localSheetId="0" hidden="1">'SAF 011'!$A$9:$I$22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10" l="1"/>
  <c r="I13" i="10"/>
  <c r="C13" i="10"/>
  <c r="B13" i="10"/>
  <c r="B12" i="10"/>
  <c r="B12" i="8"/>
  <c r="M12" i="8" s="1"/>
  <c r="B13" i="8"/>
  <c r="M13" i="8" s="1"/>
  <c r="C12" i="8"/>
  <c r="O12" i="8" s="1"/>
  <c r="C13" i="8"/>
  <c r="O13" i="8" s="1"/>
  <c r="I12" i="8"/>
  <c r="I13" i="8"/>
  <c r="J12" i="8"/>
  <c r="J13" i="8"/>
  <c r="B13" i="6"/>
  <c r="M13" i="6" s="1"/>
  <c r="B12" i="6"/>
  <c r="M12" i="6" s="1"/>
  <c r="B12" i="4"/>
  <c r="M12" i="4" s="1"/>
  <c r="J13" i="2"/>
  <c r="J14" i="2"/>
  <c r="J15" i="2"/>
  <c r="J16" i="2"/>
  <c r="J17" i="2"/>
  <c r="J18" i="2"/>
  <c r="I13" i="2"/>
  <c r="I14" i="2"/>
  <c r="I15" i="2"/>
  <c r="I16" i="2"/>
  <c r="I17" i="2"/>
  <c r="I18" i="2"/>
  <c r="C13" i="2"/>
  <c r="O13" i="2" s="1"/>
  <c r="C14" i="2"/>
  <c r="O14" i="2" s="1"/>
  <c r="C15" i="2"/>
  <c r="O15" i="2" s="1"/>
  <c r="C16" i="2"/>
  <c r="O16" i="2" s="1"/>
  <c r="C17" i="2"/>
  <c r="O17" i="2" s="1"/>
  <c r="C18" i="2"/>
  <c r="O18" i="2" s="1"/>
  <c r="B13" i="2"/>
  <c r="M13" i="2" s="1"/>
  <c r="B14" i="2"/>
  <c r="M14" i="2" s="1"/>
  <c r="B15" i="2"/>
  <c r="M15" i="2" s="1"/>
  <c r="B16" i="2"/>
  <c r="M16" i="2" s="1"/>
  <c r="B17" i="2"/>
  <c r="M17" i="2" s="1"/>
  <c r="B18" i="2"/>
  <c r="M18" i="2" s="1"/>
  <c r="B12" i="2"/>
  <c r="M12" i="2" s="1"/>
  <c r="K18" i="8" l="1"/>
  <c r="L23" i="2"/>
  <c r="K19" i="8"/>
  <c r="N14" i="2"/>
  <c r="N17" i="2"/>
  <c r="N13" i="2"/>
  <c r="N13" i="8"/>
  <c r="N12" i="8"/>
  <c r="N16" i="2"/>
  <c r="N18" i="2"/>
  <c r="N15" i="2"/>
  <c r="M23" i="2" l="1"/>
  <c r="J12" i="10"/>
  <c r="I12" i="10"/>
  <c r="C12" i="10"/>
  <c r="A40" i="11" l="1"/>
  <c r="G7" i="11"/>
  <c r="G6" i="11"/>
  <c r="M13" i="10"/>
  <c r="M12" i="10"/>
  <c r="D4" i="10"/>
  <c r="G5" i="11" s="1"/>
  <c r="D3" i="10"/>
  <c r="G4" i="11" s="1"/>
  <c r="A41" i="9"/>
  <c r="G7" i="9"/>
  <c r="G6" i="9"/>
  <c r="D4" i="8"/>
  <c r="G5" i="9" s="1"/>
  <c r="D3" i="8"/>
  <c r="G4" i="9" s="1"/>
  <c r="J13" i="6"/>
  <c r="N13" i="6" s="1"/>
  <c r="I13" i="6"/>
  <c r="C13" i="6"/>
  <c r="O13" i="6" s="1"/>
  <c r="J12" i="6"/>
  <c r="I12" i="6"/>
  <c r="C12" i="6"/>
  <c r="O12" i="6" s="1"/>
  <c r="D4" i="6"/>
  <c r="D3" i="6"/>
  <c r="J12" i="4"/>
  <c r="I12" i="4"/>
  <c r="C12" i="4"/>
  <c r="O12" i="4" s="1"/>
  <c r="D4" i="4"/>
  <c r="D3" i="4"/>
  <c r="A41" i="3"/>
  <c r="J12" i="2"/>
  <c r="I12" i="2"/>
  <c r="C12" i="2"/>
  <c r="O12" i="2" s="1"/>
  <c r="K16" i="4" l="1"/>
  <c r="L22" i="2"/>
  <c r="J17" i="6"/>
  <c r="N12" i="6"/>
  <c r="N12" i="2"/>
  <c r="Q38" i="9"/>
  <c r="M15" i="10"/>
  <c r="N15" i="8"/>
  <c r="J15" i="8" s="1"/>
  <c r="N12" i="4"/>
  <c r="N14" i="4" s="1"/>
  <c r="G6" i="3"/>
  <c r="G7" i="3"/>
  <c r="D4" i="2"/>
  <c r="G5" i="3" s="1"/>
  <c r="D3" i="2"/>
  <c r="G4" i="3" s="1"/>
  <c r="M22" i="2" l="1"/>
  <c r="M24" i="2" s="1"/>
  <c r="M25" i="2" s="1"/>
  <c r="J14" i="4"/>
  <c r="N20" i="2"/>
  <c r="N22" i="2" s="1"/>
  <c r="J15" i="10"/>
  <c r="Q37" i="11"/>
  <c r="N15" i="6"/>
  <c r="J15" i="6" s="1"/>
  <c r="I10" i="1" l="1"/>
  <c r="I12" i="1"/>
  <c r="I19" i="1"/>
  <c r="I15" i="1"/>
  <c r="I16" i="1"/>
  <c r="I18" i="1"/>
  <c r="I13" i="1"/>
  <c r="I11" i="1"/>
  <c r="I21" i="1"/>
  <c r="I20" i="1"/>
  <c r="I14" i="1"/>
  <c r="I17" i="1"/>
  <c r="J20" i="2"/>
  <c r="I22" i="1" l="1"/>
  <c r="Q38" i="3"/>
</calcChain>
</file>

<file path=xl/sharedStrings.xml><?xml version="1.0" encoding="utf-8"?>
<sst xmlns="http://schemas.openxmlformats.org/spreadsheetml/2006/main" count="297" uniqueCount="128">
  <si>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</si>
  <si>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</si>
  <si>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</si>
  <si>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</si>
  <si>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</si>
  <si>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</si>
  <si>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</si>
  <si>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</si>
  <si>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</si>
  <si>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</si>
  <si>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</si>
  <si>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</si>
  <si>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</si>
  <si>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</si>
  <si>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</si>
  <si>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</si>
  <si>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</si>
  <si>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UNIDAD</t>
  </si>
  <si>
    <t>CAJA</t>
  </si>
  <si>
    <t>BIDON</t>
  </si>
  <si>
    <t>BOTELLA</t>
  </si>
  <si>
    <t>BAG IN BOX</t>
  </si>
  <si>
    <t>TOTAL RUBRO ANTISEPTICOS Y DESINFECTANTES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</si>
  <si>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</si>
  <si>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</si>
  <si>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</si>
  <si>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</si>
  <si>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</si>
  <si>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</si>
  <si>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</si>
  <si>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</si>
  <si>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</si>
  <si>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</si>
  <si>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</si>
  <si>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</si>
  <si>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</si>
  <si>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</si>
  <si>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</si>
  <si>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</si>
  <si>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</si>
  <si>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</si>
  <si>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</si>
  <si>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</si>
  <si>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</si>
  <si>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</si>
  <si>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</si>
  <si>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</si>
  <si>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</si>
  <si>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</si>
  <si>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</si>
  <si>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</si>
  <si>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</si>
  <si>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</si>
  <si>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</si>
  <si>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</si>
  <si>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</si>
  <si>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</si>
  <si>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</si>
  <si>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</si>
  <si>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</si>
  <si>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</si>
  <si>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</si>
  <si>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</si>
  <si>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</si>
  <si>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</si>
  <si>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</si>
  <si>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</si>
  <si>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</si>
  <si>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1.1</t>
  </si>
  <si>
    <t>PRODUCTOS FARMACEUTICOS Y MEDICINALES</t>
  </si>
  <si>
    <t>ADQUISICION DEL RUBRO ANTISEPTICOS Y DESINFECTANTES</t>
  </si>
  <si>
    <t xml:space="preserve"> 12/2022</t>
  </si>
  <si>
    <t>SI</t>
  </si>
  <si>
    <t>COMPUESTOS QUIMICOS</t>
  </si>
  <si>
    <t>Costo total estimado: OCHENTA MIL CUATROCIENTOS CON 00/100.-</t>
  </si>
  <si>
    <t xml:space="preserve"> 02/2022</t>
  </si>
  <si>
    <t>Autorizo la realización de los  trámites correspondientes, a fin de proveer a  este Organismo los bienes que se detallan en Nota  de Pedido N° 02/2022 afectando la erogación resultante a los créditos presupuestarios aprobados a favor de esta Unidad Ejecutora, conforme al siguiente detalle:</t>
  </si>
  <si>
    <t>DIRECCION PROVINCIAL DE LABORATORIO</t>
  </si>
  <si>
    <t xml:space="preserve"> 03/2022</t>
  </si>
  <si>
    <t>DIRECCION PROVINCIAL BANCO DE SANGRE</t>
  </si>
  <si>
    <t>Costo total estimado: CINCUENTA Y UN MIL TRESCIENTOS SESENTA CON 00/100.-</t>
  </si>
  <si>
    <t>Autorizo la realización de los  trámites correspondientes, a fin de proveer a  este Organismo los bienes que se detallan en Nota  de Pedido N° 03/2022 afectando la erogación resultante a los créditos presupuestarios aprobados a favor de esta Unidad Ejecutora, conforme al siguiente detalle:</t>
  </si>
  <si>
    <t>DIRECCION PROVINCIAL DE ODONTOLOGIA</t>
  </si>
  <si>
    <t>Costo total estimado: QUINIENTOS OCHO MIL NOVECIENTOS SESENTA CON 00/100.-</t>
  </si>
  <si>
    <t>TOTAL DE PESOS: QUINIENTOS OCHO MIL NOVECIENTOS SESENTA CON 00/100.-</t>
  </si>
  <si>
    <t>DIRECCION PROVINCIAL SISTEMA DE ATENCION MEDICA DE EMERGENCIA</t>
  </si>
  <si>
    <t>Costo total estimado: DOCE MIL CUATROCIENTOS CINCUENTA Y DOS CON 70/100.-</t>
  </si>
  <si>
    <t>TOTAL DE PESOS: DOCE MIL CUATROCIENTOS CINCUENTA Y DOS CON 70/100.-</t>
  </si>
  <si>
    <t>Costo total estimado: SEISCIENTOS OCHENTA Y UN MIL SEISCIENTOS DIEZ CON 00/100.-</t>
  </si>
  <si>
    <t>Autorizo la realización de los  trámites correspondientes, a fin de proveer a  este Organismo los bienes que se detallan en Nota  de Pedido N° D.P.F.e I. 12/2022 - D.P.L. 02/2022 - D.P.B.S. 03/2022 afectando la erogación resultante a los créditos presupuestarios aprobados a favor de esta Unidad Ejecutora, conforme al siguiente detalle:</t>
  </si>
  <si>
    <t>veinte (20) dias habiles</t>
  </si>
  <si>
    <t>2.5.2-710.4</t>
  </si>
  <si>
    <t>PROD. MEDICO/FARMACEUTICOS/LAB</t>
  </si>
  <si>
    <t>AGUA OXIGENADA; CAPACIDAD: 1000 CM3, VOLUMEN: 10, PRESENTACION: ENVASE X 1000 CM3</t>
  </si>
  <si>
    <t>2.5.2-711.1</t>
  </si>
  <si>
    <t>ALCOHOL USO MEDICINAL; PUREZA: 96 %, PRESENTACION: ENVASE X 500 CM3, CAPACIDAD: 500 CM3</t>
  </si>
  <si>
    <t>2.5.2-711.32</t>
  </si>
  <si>
    <t>ALCOHOL USO MEDICINAL; PUREZA: 96 %, PRESENTACION: ENVASE X 1000 CM3</t>
  </si>
  <si>
    <t>2.5.1-9065.27</t>
  </si>
  <si>
    <t>QUIMICOS</t>
  </si>
  <si>
    <t>DESINFECTANTES Y DETERGENTES; PRINCIPIO ACTIVO: AMONIO CUATERNARIO, CALIDAD: COMERCIAL, CONCENTRACION/PUREZA: 99 %, PRESENTACION: ENVASE X 5 L</t>
  </si>
  <si>
    <t>2.5.2-711.41</t>
  </si>
  <si>
    <t>ALCOHOL USO MEDICINAL; PUREZA: 70 %, PRESENTACION: GEL ENVASE X 250 CM3</t>
  </si>
  <si>
    <t>2.5.2-1726.492</t>
  </si>
  <si>
    <t>SOLUCIONES P/MEDICINA; TIPO: FORMOL AL 40 %, PRESENTACION: ENVASE X 1 L</t>
  </si>
  <si>
    <t>2.5.2-1723.173</t>
  </si>
  <si>
    <t>ANTISEPTICOS LOCALES P/PERSONA; TIPO: MONODROGA, DROGA GENERICA: IODOFORMADA AL 10% , FORMA FARMACEUTICA: GASA, PRESENTACION: DE 10X10, 15 UNIDADES POR PACK</t>
  </si>
  <si>
    <t>2.5.1-9065.53</t>
  </si>
  <si>
    <t>DESINFECTANTES Y DETERGENTES; PRINCIPIO ACTIVO: GLUTARALDEHIDO CON SULFACTANTE, CALIDAD: BIOLOGIA MOLECULAR, CONCENTRACION/PUREZA: 2 %, PRESENTACION: ENVASE X 4 L</t>
  </si>
  <si>
    <t>2.5.2-1723.30</t>
  </si>
  <si>
    <t>ANTISEPTICOS LOCALES P/PERSONA; TIPO: MONODROGA, DROGA GENERICA: IODOPOVIDONA, FORMA FARMACEUTICA: SOLUCION, PRESENTACION: BIDON X 5 L</t>
  </si>
  <si>
    <t>2.5.2-1723.50</t>
  </si>
  <si>
    <t>ANTISEPTICOS LOCALES P/PERSONA; DROGA GENERICA: IODOPOVIDONA 10%, FORMA FARMACEUTICA: SOLUCION, PRESENTACION: ENVASE X 1 L, TIPO: MONODROGA</t>
  </si>
  <si>
    <t>2.9.1-6956.122</t>
  </si>
  <si>
    <t>ELEMENTOS DE LIMPIEZA</t>
  </si>
  <si>
    <t>ARTICULOS DE TOCADOR; TIPO: JABON LIQUIDO HIPOALERGENICO, PRESENTACION: ENVASE X 800 ML BAG IN BOX</t>
  </si>
  <si>
    <t>2.5.2-1723.35</t>
  </si>
  <si>
    <t>ANTISEPTICOS LOCALES P/PERSONA; TIPO: MONODROGA, DROGA GENERICA: NITROFURAZONA, FORMA FARMACEUTICA: SOLUCION, PRESENTACION: FRASCO X 1 L</t>
  </si>
  <si>
    <t>TOTAL DE PESOS: OCHOCIENTOS TRECE MIL TRESCIENTOS SETENTA CON 00/100.-</t>
  </si>
  <si>
    <t>UTILES MENORES MEDICOS, QUIRURGICOS Y DE LABORATORIO</t>
  </si>
  <si>
    <t>DETALLE TECNICO Y ESPECIFICACIONES ITEMS 1 AL 12</t>
  </si>
  <si>
    <r>
      <t xml:space="preserve">Descripción técnica: </t>
    </r>
    <r>
      <rPr>
        <sz val="11"/>
        <color theme="1"/>
        <rFont val="Calibri"/>
        <family val="2"/>
        <scheme val="minor"/>
      </rPr>
      <t>con valvula atomizadora</t>
    </r>
  </si>
  <si>
    <r>
      <t>Descripción técnica:</t>
    </r>
    <r>
      <rPr>
        <sz val="11"/>
        <color theme="1"/>
        <rFont val="Calibri"/>
        <family val="2"/>
        <scheme val="minor"/>
      </rPr>
      <t xml:space="preserve"> Jabón Líquido hipoalergenico. Ph Dérmico. No contiene cloruro de sodio, ni parabenos. Envase BAG IN BOX por 800 ml.Tipo JL4  ADOX. </t>
    </r>
  </si>
  <si>
    <t>Especificidades Item N° 5:</t>
  </si>
  <si>
    <t>Especificidades Item N° 10:</t>
  </si>
  <si>
    <t>Especificidades Item N° 9:</t>
  </si>
  <si>
    <r>
      <t xml:space="preserve">Descripción técnica: </t>
    </r>
    <r>
      <rPr>
        <sz val="11"/>
        <color theme="1"/>
        <rFont val="Calibri"/>
        <family val="2"/>
        <scheme val="minor"/>
      </rPr>
      <t>USO HOSPITALARIO. Limpiador para areas criticas en base a amonios cuaternarios de 4TA Generacion.Dilucion 2,5 ml/ litro .Aprobacion ANMAT</t>
    </r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</si>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</sst>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Times New Roman"/>
      <family val="1"/>
      <charset val="1"/>
    </font>
    <font>
      <b/>
      <u/>
      <sz val="12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2"/>
      <color theme="0"/>
      <name val="Times New Roman"/>
      <family val="1"/>
      <charset val="1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8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58" applyProtection="0"/>
    <xf numFmtId="0" fontId="25" fillId="0" borderId="58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2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57">
    <xf numFmtId="0" fontId="0" fillId="0" borderId="0" xfId="0"/>
    <xf numFmtId="0" fontId="8" fillId="0" borderId="0" xfId="0" applyFont="1"/>
    <xf numFmtId="0" fontId="10" fillId="0" borderId="0" xfId="0" applyFont="1"/>
    <xf numFmtId="0" fontId="27" fillId="0" borderId="8" xfId="5" applyFont="1" applyFill="1" applyBorder="1" applyAlignment="1">
      <alignment horizontal="center" vertical="center" wrapText="1"/>
    </xf>
    <xf numFmtId="0" fontId="27" fillId="0" borderId="19" xfId="5" applyFont="1" applyFill="1" applyBorder="1" applyAlignment="1">
      <alignment horizontal="center" vertical="center" wrapText="1"/>
    </xf>
    <xf numFmtId="0" fontId="27" fillId="0" borderId="19" xfId="5" applyFont="1" applyFill="1" applyBorder="1" applyAlignment="1">
      <alignment horizont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165" fontId="28" fillId="0" borderId="0" xfId="0" applyNumberFormat="1" applyFont="1"/>
    <xf numFmtId="0" fontId="7" fillId="0" borderId="0" xfId="0" applyFont="1"/>
    <xf numFmtId="0" fontId="2" fillId="0" borderId="0" xfId="0" applyFont="1"/>
    <xf numFmtId="165" fontId="30" fillId="0" borderId="0" xfId="0" applyNumberFormat="1" applyFont="1"/>
    <xf numFmtId="0" fontId="33" fillId="0" borderId="0" xfId="0" applyFont="1"/>
    <xf numFmtId="0" fontId="3" fillId="0" borderId="0" xfId="5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 wrapText="1" indent="1"/>
    </xf>
    <xf numFmtId="0" fontId="0" fillId="0" borderId="0" xfId="0" applyFill="1"/>
    <xf numFmtId="165" fontId="0" fillId="0" borderId="0" xfId="0" applyNumberFormat="1" applyFill="1"/>
    <xf numFmtId="0" fontId="0" fillId="0" borderId="43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7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170" fontId="0" fillId="0" borderId="51" xfId="7" applyNumberFormat="1" applyFont="1" applyFill="1" applyBorder="1" applyAlignment="1" applyProtection="1">
      <alignment horizontal="center" vertical="center"/>
    </xf>
    <xf numFmtId="0" fontId="0" fillId="0" borderId="11" xfId="0" applyFill="1" applyBorder="1"/>
    <xf numFmtId="0" fontId="0" fillId="0" borderId="12" xfId="0" applyFill="1" applyBorder="1"/>
    <xf numFmtId="0" fontId="0" fillId="0" borderId="12" xfId="0" applyFill="1" applyBorder="1" applyAlignment="1">
      <alignment horizontal="left"/>
    </xf>
    <xf numFmtId="0" fontId="0" fillId="0" borderId="36" xfId="0" applyFill="1" applyBorder="1"/>
    <xf numFmtId="0" fontId="24" fillId="0" borderId="39" xfId="0" applyFont="1" applyFill="1" applyBorder="1" applyAlignment="1">
      <alignment horizontal="center" vertical="center"/>
    </xf>
    <xf numFmtId="0" fontId="24" fillId="0" borderId="40" xfId="0" applyFont="1" applyFill="1" applyBorder="1" applyAlignment="1">
      <alignment horizontal="center" vertical="center"/>
    </xf>
    <xf numFmtId="0" fontId="24" fillId="0" borderId="40" xfId="0" applyFont="1" applyFill="1" applyBorder="1" applyAlignment="1">
      <alignment horizontal="left" vertical="center"/>
    </xf>
    <xf numFmtId="0" fontId="24" fillId="0" borderId="41" xfId="0" applyFont="1" applyFill="1" applyBorder="1" applyAlignment="1">
      <alignment horizontal="center" vertical="center"/>
    </xf>
    <xf numFmtId="0" fontId="24" fillId="0" borderId="42" xfId="0" applyFont="1" applyFill="1" applyBorder="1" applyAlignment="1">
      <alignment horizontal="center" vertical="center"/>
    </xf>
    <xf numFmtId="170" fontId="0" fillId="0" borderId="46" xfId="7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3" fontId="3" fillId="0" borderId="0" xfId="0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165" fontId="3" fillId="0" borderId="0" xfId="1" applyNumberFormat="1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3" fontId="6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5" fontId="5" fillId="0" borderId="6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3" fontId="7" fillId="0" borderId="3" xfId="2" applyNumberFormat="1" applyFont="1" applyFill="1" applyBorder="1" applyAlignment="1">
      <alignment horizontal="center" vertical="center" wrapText="1"/>
    </xf>
    <xf numFmtId="165" fontId="8" fillId="0" borderId="79" xfId="0" applyNumberFormat="1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3" fontId="7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165" fontId="7" fillId="0" borderId="1" xfId="0" applyNumberFormat="1" applyFont="1" applyFill="1" applyBorder="1" applyAlignment="1">
      <alignment horizontal="center" vertical="center"/>
    </xf>
    <xf numFmtId="165" fontId="7" fillId="0" borderId="79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3" fontId="7" fillId="0" borderId="2" xfId="2" applyNumberFormat="1" applyFont="1" applyFill="1" applyBorder="1" applyAlignment="1">
      <alignment horizontal="center" vertical="center" wrapText="1"/>
    </xf>
    <xf numFmtId="165" fontId="8" fillId="0" borderId="84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left" vertical="center" wrapText="1"/>
    </xf>
    <xf numFmtId="0" fontId="34" fillId="0" borderId="6" xfId="0" applyFont="1" applyFill="1" applyBorder="1" applyAlignment="1">
      <alignment horizontal="center" vertical="center"/>
    </xf>
    <xf numFmtId="165" fontId="34" fillId="0" borderId="6" xfId="0" applyNumberFormat="1" applyFont="1" applyFill="1" applyBorder="1" applyAlignment="1">
      <alignment horizontal="center" vertical="center"/>
    </xf>
    <xf numFmtId="3" fontId="34" fillId="0" borderId="6" xfId="2" applyNumberFormat="1" applyFont="1" applyFill="1" applyBorder="1" applyAlignment="1">
      <alignment horizontal="center" vertical="center" wrapText="1"/>
    </xf>
    <xf numFmtId="165" fontId="34" fillId="0" borderId="85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3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13" xfId="0" applyFill="1" applyBorder="1" applyAlignment="1">
      <alignment horizontal="left" vertical="center" wrapText="1"/>
    </xf>
    <xf numFmtId="0" fontId="35" fillId="0" borderId="0" xfId="0" applyFont="1" applyFill="1" applyBorder="1" applyAlignment="1">
      <alignment horizontal="center" vertical="center"/>
    </xf>
    <xf numFmtId="0" fontId="28" fillId="0" borderId="0" xfId="0" applyFont="1"/>
    <xf numFmtId="0" fontId="36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horizontal="left" vertical="center" wrapText="1" indent="1"/>
    </xf>
    <xf numFmtId="0" fontId="37" fillId="0" borderId="0" xfId="0" applyFont="1" applyFill="1" applyBorder="1" applyAlignment="1">
      <alignment horizontal="center" vertical="center" wrapText="1"/>
    </xf>
    <xf numFmtId="3" fontId="28" fillId="0" borderId="0" xfId="0" applyNumberFormat="1" applyFont="1" applyFill="1" applyBorder="1" applyAlignment="1">
      <alignment horizontal="center" vertical="center"/>
    </xf>
    <xf numFmtId="3" fontId="38" fillId="0" borderId="0" xfId="0" applyNumberFormat="1" applyFont="1" applyFill="1" applyBorder="1" applyAlignment="1">
      <alignment horizontal="center" vertical="center"/>
    </xf>
    <xf numFmtId="166" fontId="35" fillId="0" borderId="0" xfId="0" applyNumberFormat="1" applyFont="1" applyFill="1" applyBorder="1" applyAlignment="1">
      <alignment horizontal="center" vertical="center"/>
    </xf>
    <xf numFmtId="0" fontId="30" fillId="0" borderId="0" xfId="0" applyFont="1"/>
    <xf numFmtId="165" fontId="28" fillId="0" borderId="0" xfId="0" applyNumberFormat="1" applyFont="1" applyFill="1" applyBorder="1" applyAlignment="1">
      <alignment horizontal="center"/>
    </xf>
    <xf numFmtId="165" fontId="28" fillId="0" borderId="0" xfId="0" applyNumberFormat="1" applyFont="1" applyFill="1"/>
    <xf numFmtId="0" fontId="28" fillId="0" borderId="0" xfId="0" applyFont="1" applyFill="1"/>
    <xf numFmtId="165" fontId="12" fillId="0" borderId="9" xfId="0" applyNumberFormat="1" applyFont="1" applyFill="1" applyBorder="1" applyAlignment="1">
      <alignment horizontal="right" vertical="center"/>
    </xf>
    <xf numFmtId="0" fontId="13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165" fontId="12" fillId="0" borderId="0" xfId="0" applyNumberFormat="1" applyFont="1" applyFill="1" applyBorder="1" applyAlignment="1">
      <alignment vertical="center"/>
    </xf>
    <xf numFmtId="0" fontId="12" fillId="0" borderId="13" xfId="0" applyFont="1" applyFill="1" applyBorder="1" applyAlignment="1">
      <alignment vertical="center"/>
    </xf>
    <xf numFmtId="0" fontId="14" fillId="0" borderId="19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165" fontId="13" fillId="0" borderId="0" xfId="0" applyNumberFormat="1" applyFont="1" applyFill="1" applyBorder="1" applyAlignment="1">
      <alignment horizontal="left" vertical="center" wrapText="1" indent="1"/>
    </xf>
    <xf numFmtId="0" fontId="13" fillId="0" borderId="13" xfId="0" applyFont="1" applyFill="1" applyBorder="1" applyAlignment="1">
      <alignment horizontal="left" vertical="center" wrapText="1" indent="1"/>
    </xf>
    <xf numFmtId="0" fontId="29" fillId="0" borderId="78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wrapText="1"/>
    </xf>
    <xf numFmtId="165" fontId="29" fillId="0" borderId="3" xfId="0" applyNumberFormat="1" applyFont="1" applyFill="1" applyBorder="1" applyAlignment="1">
      <alignment horizontal="center" vertical="center" wrapText="1"/>
    </xf>
    <xf numFmtId="3" fontId="29" fillId="0" borderId="82" xfId="0" applyNumberFormat="1" applyFont="1" applyFill="1" applyBorder="1" applyAlignment="1">
      <alignment horizontal="center" vertical="center"/>
    </xf>
    <xf numFmtId="0" fontId="16" fillId="0" borderId="65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165" fontId="17" fillId="0" borderId="2" xfId="0" applyNumberFormat="1" applyFont="1" applyFill="1" applyBorder="1" applyAlignment="1">
      <alignment horizontal="center" vertical="center" wrapText="1"/>
    </xf>
    <xf numFmtId="3" fontId="17" fillId="0" borderId="6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 wrapText="1"/>
    </xf>
    <xf numFmtId="165" fontId="29" fillId="0" borderId="7" xfId="0" applyNumberFormat="1" applyFont="1" applyFill="1" applyBorder="1" applyAlignment="1">
      <alignment horizontal="center" vertical="center" wrapText="1"/>
    </xf>
    <xf numFmtId="3" fontId="29" fillId="0" borderId="24" xfId="0" applyNumberFormat="1" applyFont="1" applyFill="1" applyBorder="1" applyAlignment="1">
      <alignment horizontal="center" vertical="center"/>
    </xf>
    <xf numFmtId="0" fontId="29" fillId="0" borderId="25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165" fontId="29" fillId="0" borderId="1" xfId="0" applyNumberFormat="1" applyFont="1" applyFill="1" applyBorder="1" applyAlignment="1">
      <alignment horizontal="center" vertical="center" wrapText="1"/>
    </xf>
    <xf numFmtId="3" fontId="29" fillId="0" borderId="26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6" fontId="39" fillId="0" borderId="0" xfId="0" applyNumberFormat="1" applyFont="1" applyFill="1" applyBorder="1" applyAlignment="1">
      <alignment horizontal="center" vertical="center"/>
    </xf>
    <xf numFmtId="165" fontId="28" fillId="0" borderId="0" xfId="0" applyNumberFormat="1" applyFont="1" applyFill="1" applyAlignment="1">
      <alignment horizontal="center"/>
    </xf>
    <xf numFmtId="165" fontId="0" fillId="0" borderId="0" xfId="0" applyNumberFormat="1" applyFill="1" applyAlignment="1"/>
    <xf numFmtId="165" fontId="28" fillId="0" borderId="0" xfId="0" applyNumberFormat="1" applyFont="1" applyFill="1" applyAlignment="1"/>
    <xf numFmtId="3" fontId="19" fillId="0" borderId="30" xfId="0" applyNumberFormat="1" applyFont="1" applyFill="1" applyBorder="1" applyAlignment="1"/>
    <xf numFmtId="168" fontId="0" fillId="0" borderId="30" xfId="0" applyNumberFormat="1" applyFill="1" applyBorder="1" applyAlignment="1">
      <alignment horizontal="left"/>
    </xf>
    <xf numFmtId="0" fontId="0" fillId="0" borderId="30" xfId="0" applyFill="1" applyBorder="1"/>
    <xf numFmtId="0" fontId="0" fillId="0" borderId="19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68" fontId="0" fillId="0" borderId="0" xfId="0" applyNumberFormat="1" applyFill="1" applyBorder="1" applyAlignment="1">
      <alignment horizontal="left"/>
    </xf>
    <xf numFmtId="0" fontId="0" fillId="0" borderId="13" xfId="0" applyFill="1" applyBorder="1"/>
    <xf numFmtId="0" fontId="22" fillId="0" borderId="47" xfId="0" applyFont="1" applyFill="1" applyBorder="1" applyAlignment="1">
      <alignment horizontal="center" vertical="center"/>
    </xf>
    <xf numFmtId="0" fontId="22" fillId="0" borderId="48" xfId="0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22" fillId="0" borderId="49" xfId="0" applyFont="1" applyFill="1" applyBorder="1" applyAlignment="1">
      <alignment horizontal="center" vertical="center"/>
    </xf>
    <xf numFmtId="0" fontId="22" fillId="0" borderId="50" xfId="0" applyFont="1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170" fontId="0" fillId="0" borderId="55" xfId="7" applyNumberFormat="1" applyFont="1" applyFill="1" applyBorder="1" applyAlignment="1" applyProtection="1">
      <alignment horizontal="center" vertical="center"/>
    </xf>
    <xf numFmtId="170" fontId="24" fillId="0" borderId="57" xfId="0" applyNumberFormat="1" applyFont="1" applyFill="1" applyBorder="1" applyAlignment="1">
      <alignment horizontal="center" vertical="center"/>
    </xf>
    <xf numFmtId="165" fontId="0" fillId="0" borderId="13" xfId="0" applyNumberFormat="1" applyFill="1" applyBorder="1"/>
    <xf numFmtId="165" fontId="0" fillId="0" borderId="36" xfId="0" applyNumberFormat="1" applyFill="1" applyBorder="1"/>
    <xf numFmtId="165" fontId="0" fillId="0" borderId="46" xfId="7" applyNumberFormat="1" applyFont="1" applyFill="1" applyBorder="1" applyAlignment="1" applyProtection="1">
      <alignment horizontal="center" vertical="center"/>
    </xf>
    <xf numFmtId="165" fontId="0" fillId="0" borderId="51" xfId="7" applyNumberFormat="1" applyFont="1" applyFill="1" applyBorder="1" applyAlignment="1" applyProtection="1">
      <alignment horizontal="center" vertical="center"/>
    </xf>
    <xf numFmtId="165" fontId="0" fillId="0" borderId="55" xfId="7" applyNumberFormat="1" applyFont="1" applyFill="1" applyBorder="1" applyAlignment="1" applyProtection="1">
      <alignment horizontal="center" vertical="center"/>
    </xf>
    <xf numFmtId="165" fontId="24" fillId="0" borderId="57" xfId="0" applyNumberFormat="1" applyFont="1" applyFill="1" applyBorder="1" applyAlignment="1">
      <alignment horizontal="center" vertical="center"/>
    </xf>
    <xf numFmtId="0" fontId="24" fillId="0" borderId="72" xfId="0" applyFont="1" applyFill="1" applyBorder="1" applyAlignment="1">
      <alignment horizontal="center" vertical="center"/>
    </xf>
    <xf numFmtId="0" fontId="24" fillId="0" borderId="73" xfId="0" applyFont="1" applyFill="1" applyBorder="1" applyAlignment="1">
      <alignment horizontal="center" vertical="center"/>
    </xf>
    <xf numFmtId="0" fontId="24" fillId="0" borderId="73" xfId="0" applyFont="1" applyFill="1" applyBorder="1" applyAlignment="1">
      <alignment horizontal="left" vertical="center"/>
    </xf>
    <xf numFmtId="0" fontId="24" fillId="0" borderId="74" xfId="0" applyFont="1" applyFill="1" applyBorder="1" applyAlignment="1">
      <alignment horizontal="center" vertical="center"/>
    </xf>
    <xf numFmtId="0" fontId="24" fillId="0" borderId="75" xfId="0" applyFont="1" applyFill="1" applyBorder="1" applyAlignment="1">
      <alignment horizontal="center" vertical="center"/>
    </xf>
    <xf numFmtId="170" fontId="0" fillId="0" borderId="70" xfId="7" applyNumberFormat="1" applyFont="1" applyFill="1" applyBorder="1" applyAlignment="1" applyProtection="1">
      <alignment horizontal="center" vertical="center"/>
    </xf>
    <xf numFmtId="0" fontId="40" fillId="0" borderId="8" xfId="21" applyFont="1" applyBorder="1"/>
    <xf numFmtId="0" fontId="1" fillId="0" borderId="30" xfId="21" applyBorder="1"/>
    <xf numFmtId="0" fontId="1" fillId="0" borderId="61" xfId="21" applyBorder="1"/>
    <xf numFmtId="0" fontId="2" fillId="0" borderId="19" xfId="21" applyFont="1" applyBorder="1"/>
    <xf numFmtId="0" fontId="1" fillId="0" borderId="13" xfId="21" applyBorder="1"/>
    <xf numFmtId="0" fontId="2" fillId="0" borderId="59" xfId="21" applyFont="1" applyBorder="1"/>
    <xf numFmtId="0" fontId="1" fillId="0" borderId="60" xfId="21" applyBorder="1" applyAlignment="1">
      <alignment wrapText="1"/>
    </xf>
    <xf numFmtId="0" fontId="1" fillId="0" borderId="62" xfId="21" applyBorder="1" applyAlignment="1">
      <alignment wrapText="1"/>
    </xf>
    <xf numFmtId="0" fontId="1" fillId="0" borderId="13" xfId="21" applyBorder="1" applyAlignment="1">
      <alignment wrapText="1"/>
    </xf>
    <xf numFmtId="0" fontId="1" fillId="0" borderId="0" xfId="21" applyBorder="1"/>
    <xf numFmtId="0" fontId="2" fillId="0" borderId="0" xfId="21" applyFont="1" applyBorder="1"/>
    <xf numFmtId="0" fontId="1" fillId="0" borderId="0" xfId="21" applyBorder="1" applyAlignment="1">
      <alignment wrapText="1"/>
    </xf>
    <xf numFmtId="0" fontId="2" fillId="0" borderId="0" xfId="21" applyFont="1" applyBorder="1" applyAlignment="1">
      <alignment vertical="center" wrapText="1"/>
    </xf>
    <xf numFmtId="0" fontId="2" fillId="0" borderId="0" xfId="21" applyFont="1" applyBorder="1" applyAlignment="1">
      <alignment vertical="center"/>
    </xf>
    <xf numFmtId="0" fontId="2" fillId="0" borderId="19" xfId="21" applyFont="1" applyBorder="1" applyAlignment="1">
      <alignment vertical="center"/>
    </xf>
    <xf numFmtId="0" fontId="2" fillId="0" borderId="13" xfId="21" applyFont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60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3" xfId="5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/>
    </xf>
    <xf numFmtId="0" fontId="3" fillId="0" borderId="30" xfId="5" applyFont="1" applyFill="1" applyBorder="1" applyAlignment="1">
      <alignment horizontal="left" vertical="center" wrapText="1"/>
    </xf>
    <xf numFmtId="0" fontId="3" fillId="0" borderId="61" xfId="5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>
      <alignment horizontal="left" vertical="center" wrapText="1" indent="1"/>
    </xf>
    <xf numFmtId="0" fontId="11" fillId="0" borderId="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/>
    </xf>
    <xf numFmtId="0" fontId="13" fillId="0" borderId="18" xfId="0" applyFont="1" applyFill="1" applyBorder="1" applyAlignment="1">
      <alignment horizontal="left" vertical="center" wrapText="1" indent="1"/>
    </xf>
    <xf numFmtId="0" fontId="15" fillId="0" borderId="22" xfId="0" applyFont="1" applyFill="1" applyBorder="1" applyAlignment="1">
      <alignment horizontal="center" vertical="center" wrapText="1"/>
    </xf>
    <xf numFmtId="0" fontId="29" fillId="0" borderId="7" xfId="0" applyFont="1" applyFill="1" applyBorder="1" applyAlignment="1">
      <alignment horizontal="left" vertical="center" wrapText="1"/>
    </xf>
    <xf numFmtId="0" fontId="15" fillId="0" borderId="21" xfId="0" applyFont="1" applyFill="1" applyBorder="1" applyAlignment="1">
      <alignment horizontal="center" vertical="center" wrapText="1"/>
    </xf>
    <xf numFmtId="165" fontId="15" fillId="0" borderId="21" xfId="0" applyNumberFormat="1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/>
    </xf>
    <xf numFmtId="0" fontId="29" fillId="0" borderId="63" xfId="0" applyFont="1" applyFill="1" applyBorder="1" applyAlignment="1">
      <alignment horizontal="left" vertical="center" wrapText="1"/>
    </xf>
    <xf numFmtId="0" fontId="29" fillId="0" borderId="64" xfId="0" applyFont="1" applyFill="1" applyBorder="1" applyAlignment="1">
      <alignment horizontal="left" vertical="center" wrapText="1"/>
    </xf>
    <xf numFmtId="0" fontId="29" fillId="0" borderId="4" xfId="0" applyFont="1" applyFill="1" applyBorder="1" applyAlignment="1">
      <alignment horizontal="left" vertical="center" wrapText="1"/>
    </xf>
    <xf numFmtId="165" fontId="0" fillId="0" borderId="30" xfId="0" applyNumberFormat="1" applyFill="1" applyBorder="1" applyAlignment="1">
      <alignment horizontal="center"/>
    </xf>
    <xf numFmtId="0" fontId="18" fillId="0" borderId="15" xfId="0" applyFont="1" applyFill="1" applyBorder="1" applyAlignment="1">
      <alignment horizontal="left" vertical="center" wrapText="1" indent="1"/>
    </xf>
    <xf numFmtId="166" fontId="13" fillId="0" borderId="15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9" fillId="0" borderId="79" xfId="0" applyFont="1" applyFill="1" applyBorder="1" applyAlignment="1">
      <alignment horizontal="left" vertical="center" wrapText="1"/>
    </xf>
    <xf numFmtId="0" fontId="29" fillId="0" borderId="80" xfId="0" applyFont="1" applyFill="1" applyBorder="1" applyAlignment="1">
      <alignment horizontal="left" vertical="center" wrapText="1"/>
    </xf>
    <xf numFmtId="0" fontId="29" fillId="0" borderId="81" xfId="0" applyFont="1" applyFill="1" applyBorder="1" applyAlignment="1">
      <alignment horizontal="left" vertical="center" wrapText="1"/>
    </xf>
    <xf numFmtId="0" fontId="15" fillId="0" borderId="17" xfId="0" applyFont="1" applyFill="1" applyBorder="1" applyAlignment="1">
      <alignment horizontal="center" vertical="center"/>
    </xf>
    <xf numFmtId="0" fontId="15" fillId="0" borderId="83" xfId="0" applyFont="1" applyFill="1" applyBorder="1" applyAlignment="1">
      <alignment horizontal="center" vertical="center" wrapText="1"/>
    </xf>
    <xf numFmtId="165" fontId="15" fillId="0" borderId="83" xfId="0" applyNumberFormat="1" applyFont="1" applyFill="1" applyBorder="1" applyAlignment="1">
      <alignment horizontal="center" vertical="center" wrapText="1"/>
    </xf>
    <xf numFmtId="166" fontId="14" fillId="0" borderId="15" xfId="0" applyNumberFormat="1" applyFont="1" applyFill="1" applyBorder="1" applyAlignment="1">
      <alignment horizontal="center" vertical="center"/>
    </xf>
    <xf numFmtId="0" fontId="22" fillId="0" borderId="34" xfId="0" applyFont="1" applyFill="1" applyBorder="1" applyAlignment="1">
      <alignment horizontal="left"/>
    </xf>
    <xf numFmtId="0" fontId="0" fillId="0" borderId="28" xfId="0" applyFont="1" applyFill="1" applyBorder="1" applyAlignment="1">
      <alignment horizontal="center"/>
    </xf>
    <xf numFmtId="3" fontId="19" fillId="0" borderId="29" xfId="0" applyNumberFormat="1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 vertical="center" wrapText="1"/>
    </xf>
    <xf numFmtId="0" fontId="21" fillId="0" borderId="31" xfId="0" applyFont="1" applyFill="1" applyBorder="1"/>
    <xf numFmtId="0" fontId="22" fillId="0" borderId="32" xfId="0" applyFont="1" applyFill="1" applyBorder="1" applyAlignment="1">
      <alignment horizontal="left" indent="1"/>
    </xf>
    <xf numFmtId="0" fontId="17" fillId="0" borderId="31" xfId="0" applyFont="1" applyFill="1" applyBorder="1" applyAlignment="1">
      <alignment horizontal="left" vertical="center" wrapText="1"/>
    </xf>
    <xf numFmtId="0" fontId="23" fillId="0" borderId="33" xfId="0" applyFont="1" applyFill="1" applyBorder="1" applyAlignment="1">
      <alignment horizontal="left"/>
    </xf>
    <xf numFmtId="0" fontId="0" fillId="0" borderId="50" xfId="0" applyFont="1" applyFill="1" applyBorder="1" applyAlignment="1">
      <alignment horizontal="center" vertical="center"/>
    </xf>
    <xf numFmtId="49" fontId="22" fillId="0" borderId="35" xfId="0" applyNumberFormat="1" applyFont="1" applyFill="1" applyBorder="1" applyAlignment="1">
      <alignment horizontal="justify" vertical="center" wrapText="1"/>
    </xf>
    <xf numFmtId="0" fontId="24" fillId="0" borderId="34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7" xfId="0" applyFont="1" applyFill="1" applyBorder="1" applyAlignment="1">
      <alignment horizontal="center" vertical="center" wrapText="1"/>
    </xf>
    <xf numFmtId="0" fontId="24" fillId="0" borderId="38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left" vertical="center" wrapText="1"/>
    </xf>
    <xf numFmtId="0" fontId="0" fillId="0" borderId="67" xfId="0" applyFont="1" applyFill="1" applyBorder="1" applyAlignment="1">
      <alignment horizontal="left" vertical="center" wrapText="1"/>
    </xf>
    <xf numFmtId="0" fontId="0" fillId="0" borderId="68" xfId="0" applyFont="1" applyFill="1" applyBorder="1" applyAlignment="1">
      <alignment horizontal="left" vertical="center" wrapText="1"/>
    </xf>
    <xf numFmtId="0" fontId="0" fillId="0" borderId="67" xfId="0" applyFill="1" applyBorder="1" applyAlignment="1">
      <alignment horizontal="left"/>
    </xf>
    <xf numFmtId="0" fontId="0" fillId="0" borderId="68" xfId="0" applyFill="1" applyBorder="1" applyAlignment="1">
      <alignment horizontal="left"/>
    </xf>
    <xf numFmtId="0" fontId="0" fillId="0" borderId="50" xfId="0" applyFont="1" applyFill="1" applyBorder="1" applyAlignment="1">
      <alignment horizontal="left" vertical="center"/>
    </xf>
    <xf numFmtId="0" fontId="19" fillId="0" borderId="15" xfId="0" applyFont="1" applyFill="1" applyBorder="1" applyAlignment="1">
      <alignment vertical="center" wrapText="1"/>
    </xf>
    <xf numFmtId="0" fontId="22" fillId="0" borderId="38" xfId="0" applyFont="1" applyFill="1" applyBorder="1" applyAlignment="1">
      <alignment vertical="center" wrapText="1"/>
    </xf>
    <xf numFmtId="0" fontId="22" fillId="0" borderId="27" xfId="0" applyFont="1" applyFill="1" applyBorder="1" applyAlignment="1">
      <alignment horizontal="left" vertical="center" wrapText="1" indent="1"/>
    </xf>
    <xf numFmtId="0" fontId="0" fillId="0" borderId="50" xfId="0" applyFill="1" applyBorder="1" applyAlignment="1">
      <alignment horizontal="left" vertical="center"/>
    </xf>
    <xf numFmtId="0" fontId="0" fillId="0" borderId="53" xfId="0" applyFill="1" applyBorder="1" applyAlignment="1">
      <alignment horizontal="left" vertical="center"/>
    </xf>
    <xf numFmtId="0" fontId="19" fillId="0" borderId="56" xfId="0" applyFont="1" applyFill="1" applyBorder="1" applyAlignment="1">
      <alignment horizontal="left" vertical="center" wrapText="1"/>
    </xf>
    <xf numFmtId="0" fontId="0" fillId="0" borderId="34" xfId="0" applyFill="1" applyBorder="1"/>
    <xf numFmtId="165" fontId="0" fillId="0" borderId="0" xfId="0" applyNumberFormat="1" applyFill="1" applyAlignment="1">
      <alignment horizontal="center"/>
    </xf>
    <xf numFmtId="165" fontId="24" fillId="0" borderId="38" xfId="0" applyNumberFormat="1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/>
    </xf>
    <xf numFmtId="0" fontId="24" fillId="0" borderId="71" xfId="0" applyFont="1" applyFill="1" applyBorder="1" applyAlignment="1">
      <alignment horizontal="center" vertical="center"/>
    </xf>
    <xf numFmtId="0" fontId="24" fillId="0" borderId="76" xfId="0" applyFont="1" applyFill="1" applyBorder="1" applyAlignment="1">
      <alignment horizontal="center" vertical="center" wrapText="1"/>
    </xf>
    <xf numFmtId="0" fontId="24" fillId="0" borderId="77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left" vertical="center" wrapText="1"/>
    </xf>
    <xf numFmtId="0" fontId="0" fillId="0" borderId="69" xfId="0" applyFont="1" applyFill="1" applyBorder="1" applyAlignment="1">
      <alignment horizontal="left" vertical="center" wrapText="1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C42"/>
  <sheetViews>
    <sheetView tabSelected="1" zoomScaleNormal="100" workbookViewId="0">
      <selection activeCell="E21" sqref="E21"/>
    </sheetView>
  </sheetViews>
  <sheetFormatPr baseColWidth="10" defaultRowHeight="15" x14ac:dyDescent="0.25"/>
  <cols>
    <col min="1" max="1" width="7.42578125" style="82" bestFit="1" customWidth="1"/>
    <col min="2" max="2" width="17.5703125" style="82" bestFit="1" customWidth="1"/>
    <col min="3" max="3" width="39.85546875" style="82" customWidth="1"/>
    <col min="4" max="4" width="10.140625" style="82" bestFit="1" customWidth="1"/>
    <col min="5" max="5" width="90" style="83" bestFit="1" customWidth="1"/>
    <col min="6" max="6" width="15.140625" style="82" bestFit="1" customWidth="1"/>
    <col min="7" max="7" width="15" style="84" bestFit="1" customWidth="1"/>
    <col min="8" max="8" width="15" style="85" bestFit="1" customWidth="1"/>
    <col min="9" max="9" width="20.85546875" style="85" bestFit="1" customWidth="1"/>
  </cols>
  <sheetData>
    <row r="1" spans="1:9" x14ac:dyDescent="0.25">
      <c r="A1" s="39">
        <v>2022</v>
      </c>
      <c r="B1" s="40"/>
      <c r="C1" s="41"/>
      <c r="D1" s="41"/>
      <c r="E1" s="42"/>
      <c r="F1" s="41"/>
      <c r="G1" s="43"/>
      <c r="H1" s="45"/>
      <c r="I1" s="44"/>
    </row>
    <row r="2" spans="1:9" s="14" customFormat="1" ht="18.75" x14ac:dyDescent="0.3">
      <c r="A2" s="46"/>
      <c r="B2" s="193" t="s">
        <v>0</v>
      </c>
      <c r="C2" s="193"/>
      <c r="D2" s="193"/>
      <c r="E2" s="193"/>
      <c r="F2" s="193"/>
      <c r="G2" s="193"/>
      <c r="H2" s="193"/>
      <c r="I2" s="47"/>
    </row>
    <row r="3" spans="1:9" x14ac:dyDescent="0.25">
      <c r="A3" s="41"/>
      <c r="B3" s="40"/>
      <c r="C3" s="41"/>
      <c r="D3" s="41"/>
      <c r="E3" s="42"/>
      <c r="F3" s="41"/>
      <c r="G3" s="43"/>
      <c r="H3" s="45"/>
      <c r="I3" s="44"/>
    </row>
    <row r="4" spans="1:9" x14ac:dyDescent="0.25">
      <c r="A4" s="192" t="s">
        <v>1</v>
      </c>
      <c r="B4" s="192"/>
      <c r="C4" s="6" t="s">
        <v>2</v>
      </c>
      <c r="D4" s="6"/>
      <c r="E4" s="6"/>
      <c r="F4" s="48"/>
      <c r="G4" s="49"/>
      <c r="H4" s="45"/>
      <c r="I4" s="44"/>
    </row>
    <row r="5" spans="1:9" ht="15" customHeight="1" x14ac:dyDescent="0.25">
      <c r="A5" s="192" t="s">
        <v>3</v>
      </c>
      <c r="B5" s="192"/>
      <c r="C5" s="6" t="s">
        <v>4</v>
      </c>
      <c r="D5" s="6"/>
      <c r="E5" s="6"/>
      <c r="F5" s="48"/>
      <c r="G5" s="49"/>
      <c r="H5" s="45"/>
      <c r="I5" s="44"/>
    </row>
    <row r="6" spans="1:9" x14ac:dyDescent="0.25">
      <c r="A6" s="192" t="s">
        <v>5</v>
      </c>
      <c r="B6" s="192"/>
      <c r="C6" s="7">
        <v>2022</v>
      </c>
      <c r="D6" s="8"/>
      <c r="E6" s="7"/>
      <c r="F6" s="48"/>
      <c r="G6" s="49"/>
      <c r="H6" s="45"/>
      <c r="I6" s="44"/>
    </row>
    <row r="7" spans="1:9" x14ac:dyDescent="0.25">
      <c r="A7" s="192" t="s">
        <v>6</v>
      </c>
      <c r="B7" s="192"/>
      <c r="C7" s="7" t="s">
        <v>7</v>
      </c>
      <c r="D7" s="8"/>
      <c r="E7" s="7"/>
      <c r="F7" s="48"/>
      <c r="G7" s="49"/>
      <c r="H7" s="45"/>
      <c r="I7" s="44"/>
    </row>
    <row r="8" spans="1:9" x14ac:dyDescent="0.25">
      <c r="A8" s="41"/>
      <c r="B8" s="48"/>
      <c r="C8" s="48"/>
      <c r="D8" s="48"/>
      <c r="E8" s="50"/>
      <c r="F8" s="48"/>
      <c r="G8" s="49"/>
      <c r="H8" s="45"/>
      <c r="I8" s="44"/>
    </row>
    <row r="9" spans="1:9" ht="38.25" x14ac:dyDescent="0.25">
      <c r="A9" s="51" t="s">
        <v>8</v>
      </c>
      <c r="B9" s="51" t="s">
        <v>9</v>
      </c>
      <c r="C9" s="52" t="s">
        <v>10</v>
      </c>
      <c r="D9" s="51" t="s">
        <v>11</v>
      </c>
      <c r="E9" s="53" t="s">
        <v>12</v>
      </c>
      <c r="F9" s="52" t="s">
        <v>13</v>
      </c>
      <c r="G9" s="54" t="s">
        <v>14</v>
      </c>
      <c r="H9" s="55" t="s">
        <v>15</v>
      </c>
      <c r="I9" s="56" t="s">
        <v>16</v>
      </c>
    </row>
    <row r="10" spans="1:9" s="1" customFormat="1" ht="25.5" customHeight="1" x14ac:dyDescent="0.2">
      <c r="A10" s="57">
        <v>1</v>
      </c>
      <c r="B10" s="57" t="s">
        <v>91</v>
      </c>
      <c r="C10" s="58" t="s">
        <v>92</v>
      </c>
      <c r="D10" s="57">
        <v>252</v>
      </c>
      <c r="E10" s="59" t="s">
        <v>93</v>
      </c>
      <c r="F10" s="57" t="s">
        <v>20</v>
      </c>
      <c r="G10" s="61">
        <v>1030</v>
      </c>
      <c r="H10" s="60">
        <v>128.59</v>
      </c>
      <c r="I10" s="62">
        <f t="shared" ref="I10" si="0">+G10*H10</f>
        <v>132447.70000000001</v>
      </c>
    </row>
    <row r="11" spans="1:9" s="1" customFormat="1" ht="12.75" x14ac:dyDescent="0.2">
      <c r="A11" s="57">
        <v>2</v>
      </c>
      <c r="B11" s="58" t="s">
        <v>101</v>
      </c>
      <c r="C11" s="58" t="s">
        <v>92</v>
      </c>
      <c r="D11" s="58">
        <v>252</v>
      </c>
      <c r="E11" s="38" t="s">
        <v>102</v>
      </c>
      <c r="F11" s="58" t="s">
        <v>17</v>
      </c>
      <c r="G11" s="64">
        <v>120</v>
      </c>
      <c r="H11" s="63">
        <v>158</v>
      </c>
      <c r="I11" s="62">
        <f t="shared" ref="I11:I21" si="1">+G11*H11</f>
        <v>18960</v>
      </c>
    </row>
    <row r="12" spans="1:9" s="1" customFormat="1" ht="12.75" x14ac:dyDescent="0.2">
      <c r="A12" s="57">
        <v>3</v>
      </c>
      <c r="B12" s="58" t="s">
        <v>96</v>
      </c>
      <c r="C12" s="58" t="s">
        <v>92</v>
      </c>
      <c r="D12" s="58">
        <v>252</v>
      </c>
      <c r="E12" s="38" t="s">
        <v>97</v>
      </c>
      <c r="F12" s="58" t="s">
        <v>20</v>
      </c>
      <c r="G12" s="64">
        <v>400</v>
      </c>
      <c r="H12" s="63">
        <v>201</v>
      </c>
      <c r="I12" s="62">
        <f t="shared" si="1"/>
        <v>80400</v>
      </c>
    </row>
    <row r="13" spans="1:9" s="1" customFormat="1" ht="12.75" x14ac:dyDescent="0.2">
      <c r="A13" s="57">
        <v>4</v>
      </c>
      <c r="B13" s="58" t="s">
        <v>94</v>
      </c>
      <c r="C13" s="58" t="s">
        <v>92</v>
      </c>
      <c r="D13" s="58">
        <v>252</v>
      </c>
      <c r="E13" s="38" t="s">
        <v>95</v>
      </c>
      <c r="F13" s="58" t="s">
        <v>20</v>
      </c>
      <c r="G13" s="64">
        <v>300</v>
      </c>
      <c r="H13" s="63">
        <v>108</v>
      </c>
      <c r="I13" s="62">
        <f t="shared" si="1"/>
        <v>32400</v>
      </c>
    </row>
    <row r="14" spans="1:9" s="1" customFormat="1" ht="25.5" x14ac:dyDescent="0.2">
      <c r="A14" s="57">
        <v>5</v>
      </c>
      <c r="B14" s="58" t="s">
        <v>111</v>
      </c>
      <c r="C14" s="58" t="s">
        <v>92</v>
      </c>
      <c r="D14" s="58">
        <v>252</v>
      </c>
      <c r="E14" s="38" t="s">
        <v>112</v>
      </c>
      <c r="F14" s="58" t="s">
        <v>20</v>
      </c>
      <c r="G14" s="64">
        <v>365</v>
      </c>
      <c r="H14" s="63">
        <v>573</v>
      </c>
      <c r="I14" s="62">
        <f t="shared" si="1"/>
        <v>209145</v>
      </c>
    </row>
    <row r="15" spans="1:9" s="1" customFormat="1" ht="25.5" x14ac:dyDescent="0.2">
      <c r="A15" s="57">
        <v>6</v>
      </c>
      <c r="B15" s="65" t="s">
        <v>105</v>
      </c>
      <c r="C15" s="65" t="s">
        <v>92</v>
      </c>
      <c r="D15" s="65">
        <v>295</v>
      </c>
      <c r="E15" s="66" t="s">
        <v>106</v>
      </c>
      <c r="F15" s="65" t="s">
        <v>18</v>
      </c>
      <c r="G15" s="64">
        <v>50</v>
      </c>
      <c r="H15" s="67">
        <v>950</v>
      </c>
      <c r="I15" s="68">
        <f t="shared" si="1"/>
        <v>47500</v>
      </c>
    </row>
    <row r="16" spans="1:9" s="11" customFormat="1" ht="25.5" x14ac:dyDescent="0.2">
      <c r="A16" s="69">
        <v>7</v>
      </c>
      <c r="B16" s="58" t="s">
        <v>109</v>
      </c>
      <c r="C16" s="58" t="s">
        <v>92</v>
      </c>
      <c r="D16" s="58">
        <v>252</v>
      </c>
      <c r="E16" s="38" t="s">
        <v>110</v>
      </c>
      <c r="F16" s="58" t="s">
        <v>19</v>
      </c>
      <c r="G16" s="64">
        <v>50</v>
      </c>
      <c r="H16" s="63">
        <v>2250</v>
      </c>
      <c r="I16" s="62">
        <f t="shared" si="1"/>
        <v>112500</v>
      </c>
    </row>
    <row r="17" spans="1:9" s="1" customFormat="1" ht="25.5" x14ac:dyDescent="0.2">
      <c r="A17" s="57">
        <v>8</v>
      </c>
      <c r="B17" s="58" t="s">
        <v>116</v>
      </c>
      <c r="C17" s="58" t="s">
        <v>92</v>
      </c>
      <c r="D17" s="58">
        <v>252</v>
      </c>
      <c r="E17" s="38" t="s">
        <v>117</v>
      </c>
      <c r="F17" s="58" t="s">
        <v>20</v>
      </c>
      <c r="G17" s="64">
        <v>40</v>
      </c>
      <c r="H17" s="63">
        <v>859</v>
      </c>
      <c r="I17" s="62">
        <f t="shared" si="1"/>
        <v>34360</v>
      </c>
    </row>
    <row r="18" spans="1:9" s="1" customFormat="1" ht="12.75" x14ac:dyDescent="0.2">
      <c r="A18" s="57">
        <v>9</v>
      </c>
      <c r="B18" s="58" t="s">
        <v>113</v>
      </c>
      <c r="C18" s="58" t="s">
        <v>114</v>
      </c>
      <c r="D18" s="58">
        <v>252</v>
      </c>
      <c r="E18" s="38" t="s">
        <v>115</v>
      </c>
      <c r="F18" s="58" t="s">
        <v>21</v>
      </c>
      <c r="G18" s="64">
        <v>100</v>
      </c>
      <c r="H18" s="63">
        <v>1150</v>
      </c>
      <c r="I18" s="62">
        <f t="shared" si="1"/>
        <v>115000</v>
      </c>
    </row>
    <row r="19" spans="1:9" s="1" customFormat="1" ht="25.5" x14ac:dyDescent="0.2">
      <c r="A19" s="57">
        <v>10</v>
      </c>
      <c r="B19" s="58" t="s">
        <v>98</v>
      </c>
      <c r="C19" s="58" t="s">
        <v>99</v>
      </c>
      <c r="D19" s="58">
        <v>251</v>
      </c>
      <c r="E19" s="38" t="s">
        <v>100</v>
      </c>
      <c r="F19" s="58" t="s">
        <v>19</v>
      </c>
      <c r="G19" s="64">
        <v>50</v>
      </c>
      <c r="H19" s="63">
        <v>9229.2000000000007</v>
      </c>
      <c r="I19" s="62">
        <f t="shared" si="1"/>
        <v>461460.00000000006</v>
      </c>
    </row>
    <row r="20" spans="1:9" s="1" customFormat="1" ht="25.5" x14ac:dyDescent="0.2">
      <c r="A20" s="57">
        <v>11</v>
      </c>
      <c r="B20" s="58" t="s">
        <v>107</v>
      </c>
      <c r="C20" s="58" t="s">
        <v>99</v>
      </c>
      <c r="D20" s="58">
        <v>251</v>
      </c>
      <c r="E20" s="38" t="s">
        <v>108</v>
      </c>
      <c r="F20" s="58" t="s">
        <v>19</v>
      </c>
      <c r="G20" s="64">
        <v>50</v>
      </c>
      <c r="H20" s="63">
        <v>1680</v>
      </c>
      <c r="I20" s="62">
        <f t="shared" si="1"/>
        <v>84000</v>
      </c>
    </row>
    <row r="21" spans="1:9" s="1" customFormat="1" ht="13.5" thickBot="1" x14ac:dyDescent="0.25">
      <c r="A21" s="57">
        <v>12</v>
      </c>
      <c r="B21" s="70" t="s">
        <v>103</v>
      </c>
      <c r="C21" s="70" t="s">
        <v>92</v>
      </c>
      <c r="D21" s="70">
        <v>251</v>
      </c>
      <c r="E21" s="71" t="s">
        <v>104</v>
      </c>
      <c r="F21" s="70" t="s">
        <v>20</v>
      </c>
      <c r="G21" s="73">
        <v>10</v>
      </c>
      <c r="H21" s="72">
        <v>661</v>
      </c>
      <c r="I21" s="74">
        <f t="shared" si="1"/>
        <v>6610</v>
      </c>
    </row>
    <row r="22" spans="1:9" s="2" customFormat="1" ht="13.5" thickBot="1" x14ac:dyDescent="0.25">
      <c r="A22" s="75"/>
      <c r="B22" s="76"/>
      <c r="C22" s="76"/>
      <c r="D22" s="76"/>
      <c r="E22" s="77" t="s">
        <v>22</v>
      </c>
      <c r="F22" s="78"/>
      <c r="G22" s="80"/>
      <c r="H22" s="79"/>
      <c r="I22" s="81">
        <f>SUM(I10:I21)</f>
        <v>1334782.7</v>
      </c>
    </row>
    <row r="23" spans="1:9" ht="15.75" thickBot="1" x14ac:dyDescent="0.3"/>
    <row r="24" spans="1:9" ht="150.75" customHeight="1" x14ac:dyDescent="0.25">
      <c r="C24" s="3" t="s">
        <v>120</v>
      </c>
      <c r="D24" s="194" t="s">
        <v>60</v>
      </c>
      <c r="E24" s="195"/>
    </row>
    <row r="25" spans="1:9" x14ac:dyDescent="0.25">
      <c r="C25" s="4"/>
      <c r="D25" s="15"/>
      <c r="E25" s="86"/>
    </row>
    <row r="26" spans="1:9" x14ac:dyDescent="0.25">
      <c r="C26" s="5" t="s">
        <v>61</v>
      </c>
      <c r="D26" s="190" t="s">
        <v>90</v>
      </c>
      <c r="E26" s="191"/>
    </row>
    <row r="27" spans="1:9" x14ac:dyDescent="0.25">
      <c r="C27" s="5"/>
      <c r="D27" s="15"/>
      <c r="E27" s="86"/>
    </row>
    <row r="28" spans="1:9" ht="27" customHeight="1" x14ac:dyDescent="0.25">
      <c r="C28" s="5" t="s">
        <v>62</v>
      </c>
      <c r="D28" s="190" t="s">
        <v>63</v>
      </c>
      <c r="E28" s="191"/>
    </row>
    <row r="29" spans="1:9" x14ac:dyDescent="0.25">
      <c r="C29" s="5"/>
      <c r="D29" s="15"/>
      <c r="E29" s="86"/>
    </row>
    <row r="30" spans="1:9" x14ac:dyDescent="0.25">
      <c r="C30" s="5" t="s">
        <v>64</v>
      </c>
      <c r="D30" s="15"/>
      <c r="E30" s="86"/>
    </row>
    <row r="31" spans="1:9" x14ac:dyDescent="0.25">
      <c r="C31" s="5"/>
      <c r="D31" s="15"/>
      <c r="E31" s="86"/>
    </row>
    <row r="32" spans="1:9" ht="15.75" thickBot="1" x14ac:dyDescent="0.3">
      <c r="C32" s="5" t="s">
        <v>65</v>
      </c>
      <c r="D32" s="190" t="s">
        <v>66</v>
      </c>
      <c r="E32" s="191"/>
    </row>
    <row r="33" spans="3:7" x14ac:dyDescent="0.25">
      <c r="C33" s="168" t="s">
        <v>123</v>
      </c>
      <c r="D33" s="169"/>
      <c r="E33" s="170"/>
      <c r="F33" s="177"/>
    </row>
    <row r="34" spans="3:7" x14ac:dyDescent="0.25">
      <c r="C34" s="171" t="s">
        <v>121</v>
      </c>
      <c r="D34" s="177"/>
      <c r="E34" s="172"/>
      <c r="F34" s="177"/>
    </row>
    <row r="35" spans="3:7" ht="15.75" thickBot="1" x14ac:dyDescent="0.3">
      <c r="C35" s="173"/>
      <c r="D35" s="174"/>
      <c r="E35" s="175"/>
      <c r="F35" s="179"/>
    </row>
    <row r="36" spans="3:7" x14ac:dyDescent="0.25">
      <c r="C36" s="168" t="s">
        <v>125</v>
      </c>
      <c r="D36" s="169"/>
      <c r="E36" s="170"/>
      <c r="F36" s="177"/>
    </row>
    <row r="37" spans="3:7" ht="15" customHeight="1" x14ac:dyDescent="0.25">
      <c r="C37" s="182" t="s">
        <v>122</v>
      </c>
      <c r="D37" s="181"/>
      <c r="E37" s="183"/>
      <c r="F37" s="180"/>
    </row>
    <row r="38" spans="3:7" ht="15.75" thickBot="1" x14ac:dyDescent="0.3">
      <c r="C38" s="171"/>
      <c r="D38" s="179"/>
      <c r="E38" s="176"/>
      <c r="F38" s="179"/>
    </row>
    <row r="39" spans="3:7" x14ac:dyDescent="0.25">
      <c r="C39" s="168" t="s">
        <v>124</v>
      </c>
      <c r="D39" s="169"/>
      <c r="E39" s="170"/>
      <c r="F39" s="177"/>
      <c r="G39" s="188"/>
    </row>
    <row r="40" spans="3:7" ht="15" customHeight="1" x14ac:dyDescent="0.25">
      <c r="C40" s="182" t="s">
        <v>126</v>
      </c>
      <c r="D40" s="189"/>
      <c r="E40" s="184"/>
      <c r="F40" s="189"/>
      <c r="G40" s="188"/>
    </row>
    <row r="41" spans="3:7" ht="15.75" thickBot="1" x14ac:dyDescent="0.3">
      <c r="C41" s="185"/>
      <c r="D41" s="186"/>
      <c r="E41" s="187"/>
      <c r="F41" s="189"/>
      <c r="G41" s="188"/>
    </row>
    <row r="42" spans="3:7" x14ac:dyDescent="0.25">
      <c r="C42" s="178"/>
      <c r="D42" s="179"/>
      <c r="E42" s="179"/>
      <c r="F42" s="179"/>
    </row>
  </sheetData>
  <autoFilter ref="A9:I22" xr:uid="{00000000-0009-0000-0000-000000000000}"/>
  <sortState xmlns:xlrd2="http://schemas.microsoft.com/office/spreadsheetml/2017/richdata2" ref="B11:I21">
    <sortCondition ref="E11:E21"/>
  </sortState>
  <mergeCells count="9">
    <mergeCell ref="D28:E28"/>
    <mergeCell ref="D32:E32"/>
    <mergeCell ref="A7:B7"/>
    <mergeCell ref="A6:B6"/>
    <mergeCell ref="B2:H2"/>
    <mergeCell ref="A4:B4"/>
    <mergeCell ref="A5:B5"/>
    <mergeCell ref="D24:E24"/>
    <mergeCell ref="D26:E26"/>
  </mergeCells>
  <conditionalFormatting sqref="B1:B9 E1:E9">
    <cfRule type="duplicateValues" dxfId="9" priority="104"/>
  </conditionalFormatting>
  <conditionalFormatting sqref="E1:E9 B1:B9">
    <cfRule type="duplicateValues" dxfId="8" priority="105"/>
  </conditionalFormatting>
  <conditionalFormatting sqref="B1:B9">
    <cfRule type="duplicateValues" dxfId="7" priority="148"/>
  </conditionalFormatting>
  <conditionalFormatting sqref="E1:E9">
    <cfRule type="duplicateValues" dxfId="6" priority="149"/>
  </conditionalFormatting>
  <conditionalFormatting sqref="E1:E9">
    <cfRule type="duplicateValues" dxfId="5" priority="150"/>
    <cfRule type="duplicateValues" dxfId="4" priority="151"/>
  </conditionalFormatting>
  <conditionalFormatting sqref="C26:C32">
    <cfRule type="duplicateValues" dxfId="3" priority="11"/>
  </conditionalFormatting>
  <conditionalFormatting sqref="C26:C32">
    <cfRule type="duplicateValues" dxfId="2" priority="12"/>
  </conditionalFormatting>
  <conditionalFormatting sqref="C26:C32">
    <cfRule type="duplicateValues" dxfId="1" priority="13"/>
  </conditionalFormatting>
  <conditionalFormatting sqref="C26:C32">
    <cfRule type="duplicateValues" dxfId="0" priority="1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25"/>
  <sheetViews>
    <sheetView workbookViewId="0">
      <selection activeCell="K12" sqref="K12:K18"/>
    </sheetView>
  </sheetViews>
  <sheetFormatPr baseColWidth="10" defaultRowHeight="15" x14ac:dyDescent="0.25"/>
  <cols>
    <col min="1" max="1" width="5.5703125" style="18" customWidth="1"/>
    <col min="2" max="2" width="15.140625" style="133" customWidth="1"/>
    <col min="3" max="3" width="14.140625" style="18" customWidth="1"/>
    <col min="4" max="4" width="26" style="18" customWidth="1"/>
    <col min="5" max="5" width="8" style="18" customWidth="1"/>
    <col min="6" max="6" width="7.85546875" style="18" customWidth="1"/>
    <col min="7" max="7" width="91.42578125" style="18" customWidth="1"/>
    <col min="8" max="8" width="9.28515625" style="18" customWidth="1"/>
    <col min="9" max="9" width="15.5703125" style="18" customWidth="1"/>
    <col min="10" max="10" width="14.7109375" style="19" customWidth="1"/>
    <col min="11" max="11" width="15.5703125" style="18" customWidth="1"/>
    <col min="12" max="12" width="15.5703125" style="98" customWidth="1"/>
    <col min="13" max="13" width="13" style="88" bestFit="1" customWidth="1"/>
    <col min="14" max="14" width="13" style="10" bestFit="1" customWidth="1"/>
    <col min="15" max="15" width="11.85546875" style="88" bestFit="1" customWidth="1"/>
    <col min="16" max="16" width="11.42578125" style="88"/>
  </cols>
  <sheetData>
    <row r="1" spans="1:16" ht="30.75" thickBot="1" x14ac:dyDescent="0.3">
      <c r="A1" s="198" t="s">
        <v>23</v>
      </c>
      <c r="B1" s="198"/>
      <c r="C1" s="198"/>
      <c r="D1" s="198"/>
      <c r="E1" s="198"/>
      <c r="F1" s="198"/>
      <c r="G1" s="198"/>
      <c r="H1" s="198"/>
      <c r="I1" s="198"/>
      <c r="J1" s="99" t="s">
        <v>24</v>
      </c>
      <c r="K1" s="100" t="s">
        <v>71</v>
      </c>
      <c r="L1" s="87"/>
    </row>
    <row r="2" spans="1:16" ht="16.5" thickBot="1" x14ac:dyDescent="0.3">
      <c r="A2" s="101"/>
      <c r="B2" s="120"/>
      <c r="C2" s="102"/>
      <c r="D2" s="16"/>
      <c r="E2" s="16"/>
      <c r="F2" s="16"/>
      <c r="G2" s="16"/>
      <c r="H2" s="16"/>
      <c r="I2" s="16"/>
      <c r="J2" s="103"/>
      <c r="K2" s="104"/>
      <c r="L2" s="89"/>
    </row>
    <row r="3" spans="1:16" ht="16.5" thickBot="1" x14ac:dyDescent="0.3">
      <c r="A3" s="199" t="s">
        <v>25</v>
      </c>
      <c r="B3" s="199"/>
      <c r="C3" s="199"/>
      <c r="D3" s="197" t="str">
        <f>'SAF 011'!C4</f>
        <v>040 - MINISTERIO DE SALUD</v>
      </c>
      <c r="E3" s="197"/>
      <c r="F3" s="197"/>
      <c r="G3" s="197"/>
      <c r="H3" s="197"/>
      <c r="I3" s="197"/>
      <c r="J3" s="197"/>
      <c r="K3" s="197"/>
      <c r="L3" s="90"/>
    </row>
    <row r="4" spans="1:16" ht="16.5" thickBot="1" x14ac:dyDescent="0.3">
      <c r="A4" s="196" t="s">
        <v>26</v>
      </c>
      <c r="B4" s="196"/>
      <c r="C4" s="196"/>
      <c r="D4" s="197" t="str">
        <f>'SAF 011'!C5</f>
        <v>011 - DIRECCION PROVINCIAL DE ADMINISTRACION - MINISTERIO DE SALUD</v>
      </c>
      <c r="E4" s="197"/>
      <c r="F4" s="197"/>
      <c r="G4" s="197"/>
      <c r="H4" s="197"/>
      <c r="I4" s="197"/>
      <c r="J4" s="197"/>
      <c r="K4" s="197"/>
      <c r="L4" s="90"/>
    </row>
    <row r="5" spans="1:16" ht="16.5" thickBot="1" x14ac:dyDescent="0.3">
      <c r="A5" s="196" t="s">
        <v>27</v>
      </c>
      <c r="B5" s="196"/>
      <c r="C5" s="196"/>
      <c r="D5" s="197" t="s">
        <v>67</v>
      </c>
      <c r="E5" s="197"/>
      <c r="F5" s="197"/>
      <c r="G5" s="197"/>
      <c r="H5" s="197"/>
      <c r="I5" s="197"/>
      <c r="J5" s="197"/>
      <c r="K5" s="197"/>
      <c r="L5" s="90"/>
    </row>
    <row r="6" spans="1:16" ht="16.5" thickBot="1" x14ac:dyDescent="0.3">
      <c r="A6" s="199" t="s">
        <v>28</v>
      </c>
      <c r="B6" s="199"/>
      <c r="C6" s="199"/>
      <c r="D6" s="197" t="s">
        <v>67</v>
      </c>
      <c r="E6" s="197"/>
      <c r="F6" s="197"/>
      <c r="G6" s="197"/>
      <c r="H6" s="197"/>
      <c r="I6" s="197"/>
      <c r="J6" s="197"/>
      <c r="K6" s="197"/>
      <c r="L6" s="90"/>
    </row>
    <row r="7" spans="1:16" ht="16.5" thickBot="1" x14ac:dyDescent="0.3">
      <c r="A7" s="196" t="s">
        <v>29</v>
      </c>
      <c r="B7" s="196"/>
      <c r="C7" s="196"/>
      <c r="D7" s="197" t="s">
        <v>127</v>
      </c>
      <c r="E7" s="197"/>
      <c r="F7" s="197"/>
      <c r="G7" s="197"/>
      <c r="H7" s="197"/>
      <c r="I7" s="197"/>
      <c r="J7" s="197"/>
      <c r="K7" s="197"/>
      <c r="L7" s="90"/>
    </row>
    <row r="8" spans="1:16" ht="16.5" thickBot="1" x14ac:dyDescent="0.3">
      <c r="A8" s="200" t="s">
        <v>30</v>
      </c>
      <c r="B8" s="200"/>
      <c r="C8" s="200"/>
      <c r="D8" s="201" t="s">
        <v>70</v>
      </c>
      <c r="E8" s="201"/>
      <c r="F8" s="201"/>
      <c r="G8" s="201"/>
      <c r="H8" s="201"/>
      <c r="I8" s="201"/>
      <c r="J8" s="201"/>
      <c r="K8" s="201"/>
      <c r="L8" s="90"/>
    </row>
    <row r="9" spans="1:16" ht="16.5" thickBot="1" x14ac:dyDescent="0.3">
      <c r="A9" s="105"/>
      <c r="B9" s="121"/>
      <c r="C9" s="106"/>
      <c r="D9" s="17"/>
      <c r="E9" s="17"/>
      <c r="F9" s="17"/>
      <c r="G9" s="17"/>
      <c r="H9" s="17"/>
      <c r="I9" s="17"/>
      <c r="J9" s="107"/>
      <c r="K9" s="108"/>
      <c r="L9" s="90"/>
    </row>
    <row r="10" spans="1:16" ht="15.75" thickBot="1" x14ac:dyDescent="0.3">
      <c r="A10" s="206" t="s">
        <v>31</v>
      </c>
      <c r="B10" s="204" t="s">
        <v>32</v>
      </c>
      <c r="C10" s="204" t="s">
        <v>33</v>
      </c>
      <c r="D10" s="204"/>
      <c r="E10" s="204"/>
      <c r="F10" s="204"/>
      <c r="G10" s="204"/>
      <c r="H10" s="204" t="s">
        <v>34</v>
      </c>
      <c r="I10" s="204" t="s">
        <v>35</v>
      </c>
      <c r="J10" s="205" t="s">
        <v>36</v>
      </c>
      <c r="K10" s="202" t="s">
        <v>37</v>
      </c>
      <c r="L10" s="91"/>
    </row>
    <row r="11" spans="1:16" ht="23.25" customHeight="1" thickBot="1" x14ac:dyDescent="0.3">
      <c r="A11" s="206"/>
      <c r="B11" s="204"/>
      <c r="C11" s="204"/>
      <c r="D11" s="204"/>
      <c r="E11" s="204"/>
      <c r="F11" s="204"/>
      <c r="G11" s="204"/>
      <c r="H11" s="204"/>
      <c r="I11" s="204"/>
      <c r="J11" s="205"/>
      <c r="K11" s="202"/>
      <c r="L11" s="91"/>
    </row>
    <row r="12" spans="1:16" s="9" customFormat="1" ht="33.75" customHeight="1" x14ac:dyDescent="0.25">
      <c r="A12" s="122">
        <v>1</v>
      </c>
      <c r="B12" s="123" t="str">
        <f>'SAF 011'!B10</f>
        <v>2.5.2-710.4</v>
      </c>
      <c r="C12" s="203" t="str">
        <f>'SAF 011'!E10</f>
        <v>AGUA OXIGENADA; CAPACIDAD: 1000 CM3, VOLUMEN: 10, PRESENTACION: ENVASE X 1000 CM3</v>
      </c>
      <c r="D12" s="203"/>
      <c r="E12" s="203"/>
      <c r="F12" s="203"/>
      <c r="G12" s="203"/>
      <c r="H12" s="123" t="s">
        <v>72</v>
      </c>
      <c r="I12" s="124" t="str">
        <f>'SAF 011'!F10</f>
        <v>BOTELLA</v>
      </c>
      <c r="J12" s="125">
        <f>'SAF 011'!H10</f>
        <v>128.59</v>
      </c>
      <c r="K12" s="126">
        <v>1000</v>
      </c>
      <c r="L12" s="92">
        <v>252</v>
      </c>
      <c r="M12" s="88" t="b">
        <f>B12='SAF 011'!B10</f>
        <v>1</v>
      </c>
      <c r="N12" s="10">
        <f>+J12*K12</f>
        <v>128590</v>
      </c>
      <c r="O12" s="88" t="b">
        <f>C12='SAF 011'!E10</f>
        <v>1</v>
      </c>
      <c r="P12" s="88"/>
    </row>
    <row r="13" spans="1:16" s="9" customFormat="1" ht="33.75" customHeight="1" x14ac:dyDescent="0.25">
      <c r="A13" s="127">
        <v>2</v>
      </c>
      <c r="B13" s="128" t="str">
        <f>'SAF 011'!B14</f>
        <v>2.5.2-1723.50</v>
      </c>
      <c r="C13" s="207" t="str">
        <f>'SAF 011'!E14</f>
        <v>ANTISEPTICOS LOCALES P/PERSONA; DROGA GENERICA: IODOPOVIDONA 10%, FORMA FARMACEUTICA: SOLUCION, PRESENTACION: ENVASE X 1 L, TIPO: MONODROGA</v>
      </c>
      <c r="D13" s="208"/>
      <c r="E13" s="208"/>
      <c r="F13" s="208"/>
      <c r="G13" s="209"/>
      <c r="H13" s="128" t="s">
        <v>72</v>
      </c>
      <c r="I13" s="129" t="str">
        <f>'SAF 011'!F14</f>
        <v>BOTELLA</v>
      </c>
      <c r="J13" s="130">
        <f>'SAF 011'!H14</f>
        <v>573</v>
      </c>
      <c r="K13" s="131">
        <v>350</v>
      </c>
      <c r="L13" s="92">
        <v>252</v>
      </c>
      <c r="M13" s="88" t="b">
        <f>B13='SAF 011'!B14</f>
        <v>1</v>
      </c>
      <c r="N13" s="10">
        <f t="shared" ref="N13:N18" si="0">+J13*K13</f>
        <v>200550</v>
      </c>
      <c r="O13" s="88" t="b">
        <f>C13='SAF 011'!E14</f>
        <v>1</v>
      </c>
      <c r="P13" s="88"/>
    </row>
    <row r="14" spans="1:16" s="9" customFormat="1" ht="33.75" customHeight="1" x14ac:dyDescent="0.25">
      <c r="A14" s="127">
        <v>3</v>
      </c>
      <c r="B14" s="128" t="str">
        <f>'SAF 011'!B16</f>
        <v>2.5.2-1723.30</v>
      </c>
      <c r="C14" s="207" t="str">
        <f>'SAF 011'!E16</f>
        <v>ANTISEPTICOS LOCALES P/PERSONA; TIPO: MONODROGA, DROGA GENERICA: IODOPOVIDONA, FORMA FARMACEUTICA: SOLUCION, PRESENTACION: BIDON X 5 L</v>
      </c>
      <c r="D14" s="208"/>
      <c r="E14" s="208"/>
      <c r="F14" s="208"/>
      <c r="G14" s="209"/>
      <c r="H14" s="128" t="s">
        <v>72</v>
      </c>
      <c r="I14" s="129" t="str">
        <f>'SAF 011'!F16</f>
        <v>BIDON</v>
      </c>
      <c r="J14" s="130">
        <f>'SAF 011'!H16</f>
        <v>2250</v>
      </c>
      <c r="K14" s="131">
        <v>50</v>
      </c>
      <c r="L14" s="92">
        <v>252</v>
      </c>
      <c r="M14" s="88" t="b">
        <f>B14='SAF 011'!B16</f>
        <v>1</v>
      </c>
      <c r="N14" s="10">
        <f t="shared" si="0"/>
        <v>112500</v>
      </c>
      <c r="O14" s="88" t="b">
        <f>C14='SAF 011'!E16</f>
        <v>1</v>
      </c>
      <c r="P14" s="88"/>
    </row>
    <row r="15" spans="1:16" s="9" customFormat="1" ht="33.75" customHeight="1" x14ac:dyDescent="0.25">
      <c r="A15" s="127">
        <v>4</v>
      </c>
      <c r="B15" s="128" t="str">
        <f>'SAF 011'!B17</f>
        <v>2.5.2-1723.35</v>
      </c>
      <c r="C15" s="207" t="str">
        <f>'SAF 011'!E17</f>
        <v>ANTISEPTICOS LOCALES P/PERSONA; TIPO: MONODROGA, DROGA GENERICA: NITROFURAZONA, FORMA FARMACEUTICA: SOLUCION, PRESENTACION: FRASCO X 1 L</v>
      </c>
      <c r="D15" s="208"/>
      <c r="E15" s="208"/>
      <c r="F15" s="208"/>
      <c r="G15" s="209"/>
      <c r="H15" s="128" t="s">
        <v>72</v>
      </c>
      <c r="I15" s="129" t="str">
        <f>'SAF 011'!F17</f>
        <v>BOTELLA</v>
      </c>
      <c r="J15" s="130">
        <f>'SAF 011'!H17</f>
        <v>859</v>
      </c>
      <c r="K15" s="131">
        <v>40</v>
      </c>
      <c r="L15" s="92">
        <v>252</v>
      </c>
      <c r="M15" s="88" t="b">
        <f>B15='SAF 011'!B17</f>
        <v>1</v>
      </c>
      <c r="N15" s="10">
        <f t="shared" si="0"/>
        <v>34360</v>
      </c>
      <c r="O15" s="88" t="b">
        <f>C15='SAF 011'!E17</f>
        <v>1</v>
      </c>
      <c r="P15" s="88"/>
    </row>
    <row r="16" spans="1:16" s="9" customFormat="1" ht="33.75" customHeight="1" x14ac:dyDescent="0.25">
      <c r="A16" s="127">
        <v>5</v>
      </c>
      <c r="B16" s="128" t="str">
        <f>'SAF 011'!B18</f>
        <v>2.9.1-6956.122</v>
      </c>
      <c r="C16" s="207" t="str">
        <f>'SAF 011'!E18</f>
        <v>ARTICULOS DE TOCADOR; TIPO: JABON LIQUIDO HIPOALERGENICO, PRESENTACION: ENVASE X 800 ML BAG IN BOX</v>
      </c>
      <c r="D16" s="208"/>
      <c r="E16" s="208"/>
      <c r="F16" s="208"/>
      <c r="G16" s="209"/>
      <c r="H16" s="128" t="s">
        <v>72</v>
      </c>
      <c r="I16" s="129" t="str">
        <f>'SAF 011'!F18</f>
        <v>BAG IN BOX</v>
      </c>
      <c r="J16" s="130">
        <f>'SAF 011'!H18</f>
        <v>1150</v>
      </c>
      <c r="K16" s="131">
        <v>100</v>
      </c>
      <c r="L16" s="92">
        <v>252</v>
      </c>
      <c r="M16" s="88" t="b">
        <f>B16='SAF 011'!B18</f>
        <v>1</v>
      </c>
      <c r="N16" s="10">
        <f t="shared" si="0"/>
        <v>115000</v>
      </c>
      <c r="O16" s="88" t="b">
        <f>C16='SAF 011'!E18</f>
        <v>1</v>
      </c>
      <c r="P16" s="88"/>
    </row>
    <row r="17" spans="1:16" s="9" customFormat="1" ht="33.75" customHeight="1" x14ac:dyDescent="0.25">
      <c r="A17" s="127">
        <v>6</v>
      </c>
      <c r="B17" s="128" t="str">
        <f>'SAF 011'!B20</f>
        <v>2.5.1-9065.53</v>
      </c>
      <c r="C17" s="207" t="str">
        <f>'SAF 011'!E20</f>
        <v>DESINFECTANTES Y DETERGENTES; PRINCIPIO ACTIVO: GLUTARALDEHIDO CON SULFACTANTE, CALIDAD: BIOLOGIA MOLECULAR, CONCENTRACION/PUREZA: 2 %, PRESENTACION: ENVASE X 4 L</v>
      </c>
      <c r="D17" s="208"/>
      <c r="E17" s="208"/>
      <c r="F17" s="208"/>
      <c r="G17" s="209"/>
      <c r="H17" s="128" t="s">
        <v>72</v>
      </c>
      <c r="I17" s="129" t="str">
        <f>'SAF 011'!F20</f>
        <v>BIDON</v>
      </c>
      <c r="J17" s="130">
        <f>'SAF 011'!H20</f>
        <v>1680</v>
      </c>
      <c r="K17" s="131">
        <v>50</v>
      </c>
      <c r="L17" s="92">
        <v>251</v>
      </c>
      <c r="M17" s="88" t="b">
        <f>B17='SAF 011'!B20</f>
        <v>1</v>
      </c>
      <c r="N17" s="10">
        <f t="shared" si="0"/>
        <v>84000</v>
      </c>
      <c r="O17" s="88" t="b">
        <f>C17='SAF 011'!E20</f>
        <v>1</v>
      </c>
      <c r="P17" s="88"/>
    </row>
    <row r="18" spans="1:16" s="9" customFormat="1" ht="33.75" customHeight="1" x14ac:dyDescent="0.25">
      <c r="A18" s="127">
        <v>7</v>
      </c>
      <c r="B18" s="128" t="str">
        <f>'SAF 011'!B21</f>
        <v>2.5.2-1726.492</v>
      </c>
      <c r="C18" s="207" t="str">
        <f>'SAF 011'!E21</f>
        <v>SOLUCIONES P/MEDICINA; TIPO: FORMOL AL 40 %, PRESENTACION: ENVASE X 1 L</v>
      </c>
      <c r="D18" s="208"/>
      <c r="E18" s="208"/>
      <c r="F18" s="208"/>
      <c r="G18" s="209"/>
      <c r="H18" s="128" t="s">
        <v>72</v>
      </c>
      <c r="I18" s="129" t="str">
        <f>'SAF 011'!F21</f>
        <v>BOTELLA</v>
      </c>
      <c r="J18" s="130">
        <f>'SAF 011'!H21</f>
        <v>661</v>
      </c>
      <c r="K18" s="131">
        <v>10</v>
      </c>
      <c r="L18" s="92">
        <v>251</v>
      </c>
      <c r="M18" s="88" t="b">
        <f>B18='SAF 011'!B21</f>
        <v>1</v>
      </c>
      <c r="N18" s="10">
        <f t="shared" si="0"/>
        <v>6610</v>
      </c>
      <c r="O18" s="88" t="b">
        <f>C18='SAF 011'!E21</f>
        <v>1</v>
      </c>
      <c r="P18" s="88"/>
    </row>
    <row r="19" spans="1:16" ht="16.5" thickBot="1" x14ac:dyDescent="0.3">
      <c r="A19" s="114"/>
      <c r="B19" s="132"/>
      <c r="C19" s="213"/>
      <c r="D19" s="213"/>
      <c r="E19" s="213"/>
      <c r="F19" s="213"/>
      <c r="G19" s="213"/>
      <c r="H19" s="116"/>
      <c r="I19" s="117"/>
      <c r="J19" s="118"/>
      <c r="K19" s="119"/>
      <c r="L19" s="93"/>
    </row>
    <row r="20" spans="1:16" s="12" customFormat="1" ht="19.5" thickBot="1" x14ac:dyDescent="0.3">
      <c r="A20" s="211" t="s">
        <v>88</v>
      </c>
      <c r="B20" s="211"/>
      <c r="C20" s="211"/>
      <c r="D20" s="211"/>
      <c r="E20" s="211"/>
      <c r="F20" s="211"/>
      <c r="G20" s="211"/>
      <c r="H20" s="211"/>
      <c r="I20" s="211"/>
      <c r="J20" s="212">
        <f>+N20</f>
        <v>681610</v>
      </c>
      <c r="K20" s="212"/>
      <c r="L20" s="94"/>
      <c r="M20" s="95"/>
      <c r="N20" s="13">
        <f>SUM(N12:N19)</f>
        <v>681610</v>
      </c>
      <c r="O20" s="95"/>
      <c r="P20" s="95"/>
    </row>
    <row r="21" spans="1:16" x14ac:dyDescent="0.25">
      <c r="J21" s="210"/>
      <c r="K21" s="210"/>
      <c r="L21" s="96"/>
    </row>
    <row r="22" spans="1:16" x14ac:dyDescent="0.25">
      <c r="K22" s="98">
        <v>252</v>
      </c>
      <c r="L22" s="97">
        <f>+J12*K12+J13*K13+J14*K14+J15*K15+J16*K16</f>
        <v>591000</v>
      </c>
      <c r="M22" s="10">
        <f>+L22+80400+51360</f>
        <v>722760</v>
      </c>
      <c r="N22" s="10">
        <f>+N20-N16-N17</f>
        <v>482610</v>
      </c>
    </row>
    <row r="23" spans="1:16" x14ac:dyDescent="0.25">
      <c r="K23" s="98">
        <v>251</v>
      </c>
      <c r="L23" s="97">
        <f>+J17*K17+J18*K18</f>
        <v>90610</v>
      </c>
      <c r="M23" s="10">
        <f>+L23</f>
        <v>90610</v>
      </c>
    </row>
    <row r="24" spans="1:16" x14ac:dyDescent="0.25">
      <c r="K24" s="98"/>
      <c r="M24" s="10">
        <f>+M22+M23</f>
        <v>813370</v>
      </c>
    </row>
    <row r="25" spans="1:16" x14ac:dyDescent="0.25">
      <c r="M25" s="10">
        <f>+M24-681610-80400-51360</f>
        <v>0</v>
      </c>
    </row>
  </sheetData>
  <mergeCells count="31">
    <mergeCell ref="J21:K21"/>
    <mergeCell ref="A20:I20"/>
    <mergeCell ref="J20:K20"/>
    <mergeCell ref="C18:G18"/>
    <mergeCell ref="C19:G19"/>
    <mergeCell ref="C13:G13"/>
    <mergeCell ref="C14:G14"/>
    <mergeCell ref="C15:G15"/>
    <mergeCell ref="C16:G16"/>
    <mergeCell ref="C17:G17"/>
    <mergeCell ref="K10:K11"/>
    <mergeCell ref="C12:G12"/>
    <mergeCell ref="I10:I11"/>
    <mergeCell ref="J10:J11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16"/>
  <sheetViews>
    <sheetView workbookViewId="0">
      <selection activeCell="K12" sqref="K12"/>
    </sheetView>
  </sheetViews>
  <sheetFormatPr baseColWidth="10" defaultRowHeight="15" x14ac:dyDescent="0.25"/>
  <cols>
    <col min="1" max="1" width="5.5703125" style="18" customWidth="1"/>
    <col min="2" max="2" width="15.140625" style="18" customWidth="1"/>
    <col min="3" max="3" width="14.140625" style="18" customWidth="1"/>
    <col min="4" max="4" width="26" style="18" customWidth="1"/>
    <col min="5" max="5" width="8" style="18" customWidth="1"/>
    <col min="6" max="6" width="7.85546875" style="18" customWidth="1"/>
    <col min="7" max="7" width="28.5703125" style="18" customWidth="1"/>
    <col min="8" max="8" width="9.28515625" style="18" customWidth="1"/>
    <col min="9" max="9" width="15.5703125" style="18" customWidth="1"/>
    <col min="10" max="10" width="14.7109375" style="19" customWidth="1"/>
    <col min="11" max="11" width="15.5703125" style="18" customWidth="1"/>
    <col min="12" max="12" width="15.5703125" style="98" customWidth="1"/>
    <col min="13" max="13" width="11.85546875" style="88" bestFit="1" customWidth="1"/>
    <col min="14" max="14" width="13" style="10" bestFit="1" customWidth="1"/>
    <col min="15" max="15" width="11.85546875" style="88" bestFit="1" customWidth="1"/>
  </cols>
  <sheetData>
    <row r="1" spans="1:15" ht="30.75" thickBot="1" x14ac:dyDescent="0.3">
      <c r="A1" s="198" t="s">
        <v>23</v>
      </c>
      <c r="B1" s="198"/>
      <c r="C1" s="198"/>
      <c r="D1" s="198"/>
      <c r="E1" s="198"/>
      <c r="F1" s="198"/>
      <c r="G1" s="198"/>
      <c r="H1" s="198"/>
      <c r="I1" s="198"/>
      <c r="J1" s="99" t="s">
        <v>24</v>
      </c>
      <c r="K1" s="100" t="s">
        <v>75</v>
      </c>
      <c r="L1" s="87"/>
    </row>
    <row r="2" spans="1:15" ht="16.5" thickBot="1" x14ac:dyDescent="0.3">
      <c r="A2" s="101"/>
      <c r="B2" s="102"/>
      <c r="C2" s="102"/>
      <c r="D2" s="16"/>
      <c r="E2" s="16"/>
      <c r="F2" s="16"/>
      <c r="G2" s="16"/>
      <c r="H2" s="16"/>
      <c r="I2" s="16"/>
      <c r="J2" s="103"/>
      <c r="K2" s="104"/>
      <c r="L2" s="89"/>
    </row>
    <row r="3" spans="1:15" ht="16.5" thickBot="1" x14ac:dyDescent="0.3">
      <c r="A3" s="199" t="s">
        <v>25</v>
      </c>
      <c r="B3" s="199"/>
      <c r="C3" s="199"/>
      <c r="D3" s="197" t="str">
        <f>'SAF 011'!C4</f>
        <v>040 - MINISTERIO DE SALUD</v>
      </c>
      <c r="E3" s="197"/>
      <c r="F3" s="197"/>
      <c r="G3" s="197"/>
      <c r="H3" s="197"/>
      <c r="I3" s="197"/>
      <c r="J3" s="197"/>
      <c r="K3" s="197"/>
      <c r="L3" s="90"/>
    </row>
    <row r="4" spans="1:15" ht="16.5" thickBot="1" x14ac:dyDescent="0.3">
      <c r="A4" s="196" t="s">
        <v>26</v>
      </c>
      <c r="B4" s="196"/>
      <c r="C4" s="196"/>
      <c r="D4" s="197" t="str">
        <f>'SAF 011'!C5</f>
        <v>011 - DIRECCION PROVINCIAL DE ADMINISTRACION - MINISTERIO DE SALUD</v>
      </c>
      <c r="E4" s="197"/>
      <c r="F4" s="197"/>
      <c r="G4" s="197"/>
      <c r="H4" s="197"/>
      <c r="I4" s="197"/>
      <c r="J4" s="197"/>
      <c r="K4" s="197"/>
      <c r="L4" s="90"/>
    </row>
    <row r="5" spans="1:15" ht="16.5" thickBot="1" x14ac:dyDescent="0.3">
      <c r="A5" s="196" t="s">
        <v>27</v>
      </c>
      <c r="B5" s="196"/>
      <c r="C5" s="196"/>
      <c r="D5" s="197" t="s">
        <v>77</v>
      </c>
      <c r="E5" s="197"/>
      <c r="F5" s="197"/>
      <c r="G5" s="197"/>
      <c r="H5" s="197"/>
      <c r="I5" s="197"/>
      <c r="J5" s="197"/>
      <c r="K5" s="197"/>
      <c r="L5" s="90"/>
    </row>
    <row r="6" spans="1:15" ht="16.5" thickBot="1" x14ac:dyDescent="0.3">
      <c r="A6" s="199" t="s">
        <v>28</v>
      </c>
      <c r="B6" s="199"/>
      <c r="C6" s="199"/>
      <c r="D6" s="197" t="s">
        <v>77</v>
      </c>
      <c r="E6" s="197"/>
      <c r="F6" s="197"/>
      <c r="G6" s="197"/>
      <c r="H6" s="197"/>
      <c r="I6" s="197"/>
      <c r="J6" s="197"/>
      <c r="K6" s="197"/>
      <c r="L6" s="90"/>
    </row>
    <row r="7" spans="1:15" ht="16.5" thickBot="1" x14ac:dyDescent="0.3">
      <c r="A7" s="196" t="s">
        <v>29</v>
      </c>
      <c r="B7" s="196"/>
      <c r="C7" s="196"/>
      <c r="D7" s="197" t="s">
        <v>127</v>
      </c>
      <c r="E7" s="197"/>
      <c r="F7" s="197"/>
      <c r="G7" s="197"/>
      <c r="H7" s="197"/>
      <c r="I7" s="197"/>
      <c r="J7" s="197"/>
      <c r="K7" s="197"/>
      <c r="L7" s="90"/>
    </row>
    <row r="8" spans="1:15" ht="16.5" thickBot="1" x14ac:dyDescent="0.3">
      <c r="A8" s="200" t="s">
        <v>30</v>
      </c>
      <c r="B8" s="200"/>
      <c r="C8" s="200"/>
      <c r="D8" s="201" t="s">
        <v>70</v>
      </c>
      <c r="E8" s="201"/>
      <c r="F8" s="201"/>
      <c r="G8" s="201"/>
      <c r="H8" s="201"/>
      <c r="I8" s="201"/>
      <c r="J8" s="201"/>
      <c r="K8" s="201"/>
      <c r="L8" s="90"/>
    </row>
    <row r="9" spans="1:15" ht="16.5" thickBot="1" x14ac:dyDescent="0.3">
      <c r="A9" s="105"/>
      <c r="B9" s="106"/>
      <c r="C9" s="106"/>
      <c r="D9" s="17"/>
      <c r="E9" s="17"/>
      <c r="F9" s="17"/>
      <c r="G9" s="17"/>
      <c r="H9" s="17"/>
      <c r="I9" s="17"/>
      <c r="J9" s="107"/>
      <c r="K9" s="108"/>
      <c r="L9" s="90"/>
    </row>
    <row r="10" spans="1:15" ht="15.75" thickBot="1" x14ac:dyDescent="0.3">
      <c r="A10" s="206" t="s">
        <v>31</v>
      </c>
      <c r="B10" s="204" t="s">
        <v>32</v>
      </c>
      <c r="C10" s="204" t="s">
        <v>33</v>
      </c>
      <c r="D10" s="204"/>
      <c r="E10" s="204"/>
      <c r="F10" s="204"/>
      <c r="G10" s="204"/>
      <c r="H10" s="204" t="s">
        <v>34</v>
      </c>
      <c r="I10" s="204" t="s">
        <v>35</v>
      </c>
      <c r="J10" s="205" t="s">
        <v>36</v>
      </c>
      <c r="K10" s="202" t="s">
        <v>37</v>
      </c>
      <c r="L10" s="91"/>
    </row>
    <row r="11" spans="1:15" ht="23.25" customHeight="1" thickBot="1" x14ac:dyDescent="0.3">
      <c r="A11" s="218"/>
      <c r="B11" s="219"/>
      <c r="C11" s="219"/>
      <c r="D11" s="219"/>
      <c r="E11" s="219"/>
      <c r="F11" s="219"/>
      <c r="G11" s="219"/>
      <c r="H11" s="219"/>
      <c r="I11" s="219"/>
      <c r="J11" s="220"/>
      <c r="K11" s="214"/>
      <c r="L11" s="91"/>
    </row>
    <row r="12" spans="1:15" s="9" customFormat="1" ht="16.5" customHeight="1" x14ac:dyDescent="0.25">
      <c r="A12" s="109">
        <v>1</v>
      </c>
      <c r="B12" s="110" t="str">
        <f>'SAF 011'!B12</f>
        <v>2.5.2-711.32</v>
      </c>
      <c r="C12" s="215" t="str">
        <f>'SAF 011'!E12</f>
        <v>ALCOHOL USO MEDICINAL; PUREZA: 96 %, PRESENTACION: ENVASE X 1000 CM3</v>
      </c>
      <c r="D12" s="216"/>
      <c r="E12" s="216"/>
      <c r="F12" s="216"/>
      <c r="G12" s="217"/>
      <c r="H12" s="110" t="s">
        <v>72</v>
      </c>
      <c r="I12" s="111" t="str">
        <f>'SAF 011'!F12</f>
        <v>BOTELLA</v>
      </c>
      <c r="J12" s="112">
        <f>'SAF 011'!H12</f>
        <v>201</v>
      </c>
      <c r="K12" s="113">
        <v>400</v>
      </c>
      <c r="L12" s="92">
        <v>252</v>
      </c>
      <c r="M12" s="88" t="b">
        <f>B12='SAF 011'!B12</f>
        <v>1</v>
      </c>
      <c r="N12" s="10">
        <f t="shared" ref="N12" si="0">+J12*K12</f>
        <v>80400</v>
      </c>
      <c r="O12" s="88" t="b">
        <f>C12='SAF 011'!E12</f>
        <v>1</v>
      </c>
    </row>
    <row r="13" spans="1:15" ht="16.5" thickBot="1" x14ac:dyDescent="0.3">
      <c r="A13" s="114"/>
      <c r="B13" s="115"/>
      <c r="C13" s="213"/>
      <c r="D13" s="213"/>
      <c r="E13" s="213"/>
      <c r="F13" s="213"/>
      <c r="G13" s="213"/>
      <c r="H13" s="116"/>
      <c r="I13" s="117"/>
      <c r="J13" s="118"/>
      <c r="K13" s="119"/>
      <c r="L13" s="93"/>
    </row>
    <row r="14" spans="1:15" s="12" customFormat="1" ht="19.5" thickBot="1" x14ac:dyDescent="0.3">
      <c r="A14" s="211" t="s">
        <v>74</v>
      </c>
      <c r="B14" s="211"/>
      <c r="C14" s="211"/>
      <c r="D14" s="211"/>
      <c r="E14" s="211"/>
      <c r="F14" s="211"/>
      <c r="G14" s="211"/>
      <c r="H14" s="211"/>
      <c r="I14" s="211"/>
      <c r="J14" s="212">
        <f>+N14</f>
        <v>80400</v>
      </c>
      <c r="K14" s="212"/>
      <c r="L14" s="94"/>
      <c r="M14" s="95"/>
      <c r="N14" s="13">
        <f>SUM(N12:N13)</f>
        <v>80400</v>
      </c>
      <c r="O14" s="95"/>
    </row>
    <row r="16" spans="1:15" x14ac:dyDescent="0.25">
      <c r="K16" s="98">
        <f>+J12*K12</f>
        <v>80400</v>
      </c>
    </row>
  </sheetData>
  <mergeCells count="24">
    <mergeCell ref="C13:G13"/>
    <mergeCell ref="A14:I14"/>
    <mergeCell ref="J14:K14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O17"/>
  <sheetViews>
    <sheetView workbookViewId="0">
      <selection activeCell="K12" sqref="K12:K13"/>
    </sheetView>
  </sheetViews>
  <sheetFormatPr baseColWidth="10" defaultRowHeight="15" x14ac:dyDescent="0.25"/>
  <cols>
    <col min="1" max="1" width="5.5703125" style="18" customWidth="1"/>
    <col min="2" max="2" width="15.140625" style="18" customWidth="1"/>
    <col min="3" max="3" width="14.140625" style="18" customWidth="1"/>
    <col min="4" max="4" width="26" style="18" customWidth="1"/>
    <col min="5" max="5" width="8" style="18" customWidth="1"/>
    <col min="6" max="6" width="7.85546875" style="18" customWidth="1"/>
    <col min="7" max="7" width="48.85546875" style="18" customWidth="1"/>
    <col min="8" max="8" width="9.28515625" style="18" customWidth="1"/>
    <col min="9" max="9" width="15.5703125" style="18" customWidth="1"/>
    <col min="10" max="10" width="14.7109375" style="19" customWidth="1"/>
    <col min="11" max="11" width="15.5703125" style="18" customWidth="1"/>
    <col min="12" max="12" width="15.5703125" style="98" customWidth="1"/>
    <col min="13" max="13" width="11.85546875" style="88" bestFit="1" customWidth="1"/>
    <col min="14" max="14" width="13" style="10" bestFit="1" customWidth="1"/>
    <col min="15" max="15" width="11.85546875" style="88" bestFit="1" customWidth="1"/>
  </cols>
  <sheetData>
    <row r="1" spans="1:15" ht="30.75" thickBot="1" x14ac:dyDescent="0.3">
      <c r="A1" s="198" t="s">
        <v>23</v>
      </c>
      <c r="B1" s="198"/>
      <c r="C1" s="198"/>
      <c r="D1" s="198"/>
      <c r="E1" s="198"/>
      <c r="F1" s="198"/>
      <c r="G1" s="198"/>
      <c r="H1" s="198"/>
      <c r="I1" s="198"/>
      <c r="J1" s="99" t="s">
        <v>24</v>
      </c>
      <c r="K1" s="100" t="s">
        <v>78</v>
      </c>
      <c r="L1" s="87"/>
    </row>
    <row r="2" spans="1:15" ht="16.5" thickBot="1" x14ac:dyDescent="0.3">
      <c r="A2" s="101"/>
      <c r="B2" s="102"/>
      <c r="C2" s="102"/>
      <c r="D2" s="16"/>
      <c r="E2" s="16"/>
      <c r="F2" s="16"/>
      <c r="G2" s="16"/>
      <c r="H2" s="16"/>
      <c r="I2" s="16"/>
      <c r="J2" s="103"/>
      <c r="K2" s="104"/>
      <c r="L2" s="89"/>
    </row>
    <row r="3" spans="1:15" ht="16.5" thickBot="1" x14ac:dyDescent="0.3">
      <c r="A3" s="199" t="s">
        <v>25</v>
      </c>
      <c r="B3" s="199"/>
      <c r="C3" s="199"/>
      <c r="D3" s="197" t="str">
        <f>'SAF 011'!C4</f>
        <v>040 - MINISTERIO DE SALUD</v>
      </c>
      <c r="E3" s="197"/>
      <c r="F3" s="197"/>
      <c r="G3" s="197"/>
      <c r="H3" s="197"/>
      <c r="I3" s="197"/>
      <c r="J3" s="197"/>
      <c r="K3" s="197"/>
      <c r="L3" s="90"/>
    </row>
    <row r="4" spans="1:15" ht="16.5" thickBot="1" x14ac:dyDescent="0.3">
      <c r="A4" s="196" t="s">
        <v>26</v>
      </c>
      <c r="B4" s="196"/>
      <c r="C4" s="196"/>
      <c r="D4" s="197" t="str">
        <f>'SAF 011'!C5</f>
        <v>011 - DIRECCION PROVINCIAL DE ADMINISTRACION - MINISTERIO DE SALUD</v>
      </c>
      <c r="E4" s="197"/>
      <c r="F4" s="197"/>
      <c r="G4" s="197"/>
      <c r="H4" s="197"/>
      <c r="I4" s="197"/>
      <c r="J4" s="197"/>
      <c r="K4" s="197"/>
      <c r="L4" s="90"/>
    </row>
    <row r="5" spans="1:15" ht="16.5" thickBot="1" x14ac:dyDescent="0.3">
      <c r="A5" s="196" t="s">
        <v>27</v>
      </c>
      <c r="B5" s="196"/>
      <c r="C5" s="196"/>
      <c r="D5" s="197" t="s">
        <v>79</v>
      </c>
      <c r="E5" s="197"/>
      <c r="F5" s="197"/>
      <c r="G5" s="197"/>
      <c r="H5" s="197"/>
      <c r="I5" s="197"/>
      <c r="J5" s="197"/>
      <c r="K5" s="197"/>
      <c r="L5" s="90"/>
    </row>
    <row r="6" spans="1:15" ht="16.5" thickBot="1" x14ac:dyDescent="0.3">
      <c r="A6" s="199" t="s">
        <v>28</v>
      </c>
      <c r="B6" s="199"/>
      <c r="C6" s="199"/>
      <c r="D6" s="197" t="s">
        <v>79</v>
      </c>
      <c r="E6" s="197"/>
      <c r="F6" s="197"/>
      <c r="G6" s="197"/>
      <c r="H6" s="197"/>
      <c r="I6" s="197"/>
      <c r="J6" s="197"/>
      <c r="K6" s="197"/>
      <c r="L6" s="90"/>
    </row>
    <row r="7" spans="1:15" ht="16.5" thickBot="1" x14ac:dyDescent="0.3">
      <c r="A7" s="196" t="s">
        <v>29</v>
      </c>
      <c r="B7" s="196"/>
      <c r="C7" s="196"/>
      <c r="D7" s="197" t="s">
        <v>127</v>
      </c>
      <c r="E7" s="197"/>
      <c r="F7" s="197"/>
      <c r="G7" s="197"/>
      <c r="H7" s="197"/>
      <c r="I7" s="197"/>
      <c r="J7" s="197"/>
      <c r="K7" s="197"/>
      <c r="L7" s="90"/>
    </row>
    <row r="8" spans="1:15" ht="16.5" thickBot="1" x14ac:dyDescent="0.3">
      <c r="A8" s="200" t="s">
        <v>30</v>
      </c>
      <c r="B8" s="200"/>
      <c r="C8" s="200"/>
      <c r="D8" s="201" t="s">
        <v>70</v>
      </c>
      <c r="E8" s="201"/>
      <c r="F8" s="201"/>
      <c r="G8" s="201"/>
      <c r="H8" s="201"/>
      <c r="I8" s="201"/>
      <c r="J8" s="201"/>
      <c r="K8" s="201"/>
      <c r="L8" s="90"/>
    </row>
    <row r="9" spans="1:15" ht="16.5" thickBot="1" x14ac:dyDescent="0.3">
      <c r="A9" s="105"/>
      <c r="B9" s="106"/>
      <c r="C9" s="106"/>
      <c r="D9" s="17"/>
      <c r="E9" s="17"/>
      <c r="F9" s="17"/>
      <c r="G9" s="17"/>
      <c r="H9" s="17"/>
      <c r="I9" s="17"/>
      <c r="J9" s="107"/>
      <c r="K9" s="108"/>
      <c r="L9" s="90"/>
    </row>
    <row r="10" spans="1:15" ht="15.75" thickBot="1" x14ac:dyDescent="0.3">
      <c r="A10" s="206" t="s">
        <v>31</v>
      </c>
      <c r="B10" s="204" t="s">
        <v>32</v>
      </c>
      <c r="C10" s="204" t="s">
        <v>33</v>
      </c>
      <c r="D10" s="204"/>
      <c r="E10" s="204"/>
      <c r="F10" s="204"/>
      <c r="G10" s="204"/>
      <c r="H10" s="204" t="s">
        <v>34</v>
      </c>
      <c r="I10" s="204" t="s">
        <v>35</v>
      </c>
      <c r="J10" s="205" t="s">
        <v>36</v>
      </c>
      <c r="K10" s="202" t="s">
        <v>37</v>
      </c>
      <c r="L10" s="91"/>
    </row>
    <row r="11" spans="1:15" ht="23.25" customHeight="1" thickBot="1" x14ac:dyDescent="0.3">
      <c r="A11" s="218"/>
      <c r="B11" s="219"/>
      <c r="C11" s="219"/>
      <c r="D11" s="219"/>
      <c r="E11" s="219"/>
      <c r="F11" s="219"/>
      <c r="G11" s="219"/>
      <c r="H11" s="219"/>
      <c r="I11" s="219"/>
      <c r="J11" s="220"/>
      <c r="K11" s="214"/>
      <c r="L11" s="91"/>
    </row>
    <row r="12" spans="1:15" s="9" customFormat="1" ht="21.75" customHeight="1" x14ac:dyDescent="0.25">
      <c r="A12" s="109">
        <v>1</v>
      </c>
      <c r="B12" s="110" t="str">
        <f>'SAF 011'!B11</f>
        <v>2.5.2-711.41</v>
      </c>
      <c r="C12" s="215" t="str">
        <f>'SAF 011'!E11</f>
        <v>ALCOHOL USO MEDICINAL; PUREZA: 70 %, PRESENTACION: GEL ENVASE X 250 CM3</v>
      </c>
      <c r="D12" s="216"/>
      <c r="E12" s="216"/>
      <c r="F12" s="216"/>
      <c r="G12" s="217"/>
      <c r="H12" s="110" t="s">
        <v>72</v>
      </c>
      <c r="I12" s="111" t="str">
        <f>'SAF 011'!F11</f>
        <v>UNIDAD</v>
      </c>
      <c r="J12" s="112">
        <f>'SAF 011'!H11</f>
        <v>158</v>
      </c>
      <c r="K12" s="113">
        <v>120</v>
      </c>
      <c r="L12" s="92">
        <v>252</v>
      </c>
      <c r="M12" s="88" t="b">
        <f>'SAF 011'!B11=B12</f>
        <v>1</v>
      </c>
      <c r="N12" s="10">
        <f>+J12*K12</f>
        <v>18960</v>
      </c>
      <c r="O12" s="88" t="b">
        <f>C12='SAF 011'!E11</f>
        <v>1</v>
      </c>
    </row>
    <row r="13" spans="1:15" s="9" customFormat="1" ht="33" customHeight="1" x14ac:dyDescent="0.25">
      <c r="A13" s="127">
        <v>2</v>
      </c>
      <c r="B13" s="128" t="str">
        <f>'SAF 011'!B13</f>
        <v>2.5.2-711.1</v>
      </c>
      <c r="C13" s="207" t="str">
        <f>'SAF 011'!E13</f>
        <v>ALCOHOL USO MEDICINAL; PUREZA: 96 %, PRESENTACION: ENVASE X 500 CM3, CAPACIDAD: 500 CM3</v>
      </c>
      <c r="D13" s="208"/>
      <c r="E13" s="208"/>
      <c r="F13" s="208"/>
      <c r="G13" s="209"/>
      <c r="H13" s="128" t="s">
        <v>72</v>
      </c>
      <c r="I13" s="129" t="str">
        <f>'SAF 011'!F13</f>
        <v>BOTELLA</v>
      </c>
      <c r="J13" s="130">
        <f>'SAF 011'!H13</f>
        <v>108</v>
      </c>
      <c r="K13" s="131">
        <v>300</v>
      </c>
      <c r="L13" s="92">
        <v>252</v>
      </c>
      <c r="M13" s="88" t="b">
        <f>B13='SAF 011'!B13</f>
        <v>1</v>
      </c>
      <c r="N13" s="10">
        <f>+J13*K13</f>
        <v>32400</v>
      </c>
      <c r="O13" s="88" t="b">
        <f>'SAF 011'!E13=C13</f>
        <v>1</v>
      </c>
    </row>
    <row r="14" spans="1:15" ht="16.5" thickBot="1" x14ac:dyDescent="0.3">
      <c r="A14" s="114"/>
      <c r="B14" s="115"/>
      <c r="C14" s="213"/>
      <c r="D14" s="213"/>
      <c r="E14" s="213"/>
      <c r="F14" s="213"/>
      <c r="G14" s="213"/>
      <c r="H14" s="116"/>
      <c r="I14" s="117"/>
      <c r="J14" s="118"/>
      <c r="K14" s="119"/>
      <c r="L14" s="93"/>
    </row>
    <row r="15" spans="1:15" ht="19.5" thickBot="1" x14ac:dyDescent="0.3">
      <c r="A15" s="211" t="s">
        <v>80</v>
      </c>
      <c r="B15" s="211"/>
      <c r="C15" s="211"/>
      <c r="D15" s="211"/>
      <c r="E15" s="211"/>
      <c r="F15" s="211"/>
      <c r="G15" s="211"/>
      <c r="H15" s="211"/>
      <c r="I15" s="211"/>
      <c r="J15" s="221">
        <f>+N15</f>
        <v>51360</v>
      </c>
      <c r="K15" s="221"/>
      <c r="L15" s="134"/>
      <c r="N15" s="10">
        <f>SUM(N12:N14)</f>
        <v>51360</v>
      </c>
    </row>
    <row r="17" spans="10:12" x14ac:dyDescent="0.25">
      <c r="J17" s="137">
        <f>+J12*K12+J13*K13</f>
        <v>51360</v>
      </c>
      <c r="K17" s="136"/>
      <c r="L17" s="135"/>
    </row>
  </sheetData>
  <mergeCells count="25">
    <mergeCell ref="C14:G14"/>
    <mergeCell ref="A15:I15"/>
    <mergeCell ref="J15:K15"/>
    <mergeCell ref="K10:K11"/>
    <mergeCell ref="C12:G12"/>
    <mergeCell ref="C13:G13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Q42"/>
  <sheetViews>
    <sheetView topLeftCell="A13" workbookViewId="0">
      <selection activeCell="Q38" sqref="Q38"/>
    </sheetView>
  </sheetViews>
  <sheetFormatPr baseColWidth="10" defaultRowHeight="15" x14ac:dyDescent="0.25"/>
  <cols>
    <col min="1" max="5" width="4.42578125" style="18" customWidth="1"/>
    <col min="6" max="6" width="7.85546875" style="18" customWidth="1"/>
    <col min="7" max="14" width="4.42578125" style="18" customWidth="1"/>
    <col min="15" max="16" width="14.85546875" style="18" customWidth="1"/>
    <col min="17" max="17" width="14.7109375" style="18" customWidth="1"/>
  </cols>
  <sheetData>
    <row r="1" spans="1:17" ht="15.75" thickBot="1" x14ac:dyDescent="0.3">
      <c r="A1" s="223" t="s">
        <v>5</v>
      </c>
      <c r="B1" s="223"/>
      <c r="C1" s="223"/>
      <c r="D1" s="224">
        <v>2022</v>
      </c>
      <c r="E1" s="224"/>
      <c r="F1" s="138"/>
      <c r="G1" s="138"/>
      <c r="H1" s="139"/>
      <c r="I1" s="139"/>
      <c r="J1" s="139"/>
      <c r="K1" s="139"/>
      <c r="L1" s="139"/>
      <c r="M1" s="139"/>
      <c r="N1" s="139"/>
      <c r="O1" s="140"/>
      <c r="P1" s="225" t="s">
        <v>38</v>
      </c>
      <c r="Q1" s="225"/>
    </row>
    <row r="2" spans="1:17" ht="15.75" thickBot="1" x14ac:dyDescent="0.3">
      <c r="A2" s="141"/>
      <c r="B2" s="142"/>
      <c r="C2" s="142"/>
      <c r="D2" s="142"/>
      <c r="E2" s="142"/>
      <c r="F2" s="142"/>
      <c r="G2" s="143"/>
      <c r="H2" s="144"/>
      <c r="I2" s="144"/>
      <c r="J2" s="144"/>
      <c r="K2" s="144"/>
      <c r="L2" s="144"/>
      <c r="M2" s="144"/>
      <c r="N2" s="144"/>
      <c r="O2" s="142"/>
      <c r="P2" s="225"/>
      <c r="Q2" s="225"/>
    </row>
    <row r="3" spans="1:17" thickBot="1" x14ac:dyDescent="0.35">
      <c r="A3" s="141"/>
      <c r="B3" s="142"/>
      <c r="C3" s="142"/>
      <c r="D3" s="142"/>
      <c r="E3" s="142"/>
      <c r="F3" s="142"/>
      <c r="G3" s="143"/>
      <c r="H3" s="142"/>
      <c r="I3" s="142"/>
      <c r="J3" s="142"/>
      <c r="K3" s="142"/>
      <c r="L3" s="142"/>
      <c r="M3" s="142"/>
      <c r="N3" s="142"/>
      <c r="O3" s="142"/>
      <c r="P3" s="142"/>
      <c r="Q3" s="145"/>
    </row>
    <row r="4" spans="1:17" s="18" customFormat="1" ht="15.75" thickBot="1" x14ac:dyDescent="0.3">
      <c r="A4" s="226" t="s">
        <v>39</v>
      </c>
      <c r="B4" s="226"/>
      <c r="C4" s="226"/>
      <c r="D4" s="226"/>
      <c r="E4" s="226"/>
      <c r="F4" s="226"/>
      <c r="G4" s="227" t="str">
        <f>'NP FARMACIA'!D3</f>
        <v>040 - MINISTERIO DE SALUD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</row>
    <row r="5" spans="1:17" s="18" customFormat="1" thickBot="1" x14ac:dyDescent="0.35">
      <c r="A5" s="228" t="s">
        <v>26</v>
      </c>
      <c r="B5" s="228"/>
      <c r="C5" s="228"/>
      <c r="D5" s="228"/>
      <c r="E5" s="228"/>
      <c r="F5" s="228"/>
      <c r="G5" s="227" t="str">
        <f>'NP FARMACIA'!D4</f>
        <v>011 - DIRECCION PROVINCIAL DE ADMINISTRACION - MINISTERIO DE SALUD</v>
      </c>
      <c r="H5" s="227"/>
      <c r="I5" s="227"/>
      <c r="J5" s="227"/>
      <c r="K5" s="227"/>
      <c r="L5" s="227"/>
      <c r="M5" s="227"/>
      <c r="N5" s="227"/>
      <c r="O5" s="227"/>
      <c r="P5" s="227"/>
      <c r="Q5" s="227"/>
    </row>
    <row r="6" spans="1:17" s="18" customFormat="1" thickBot="1" x14ac:dyDescent="0.35">
      <c r="A6" s="228" t="s">
        <v>27</v>
      </c>
      <c r="B6" s="228"/>
      <c r="C6" s="228"/>
      <c r="D6" s="228"/>
      <c r="E6" s="228"/>
      <c r="F6" s="228"/>
      <c r="G6" s="227" t="str">
        <f>'NP FARMACIA'!D5</f>
        <v>DIRECCION PROVINCIAL DE FARMACIA E INSUMOS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</row>
    <row r="7" spans="1:17" s="18" customFormat="1" thickBot="1" x14ac:dyDescent="0.35">
      <c r="A7" s="228" t="s">
        <v>28</v>
      </c>
      <c r="B7" s="228"/>
      <c r="C7" s="228"/>
      <c r="D7" s="228"/>
      <c r="E7" s="228"/>
      <c r="F7" s="228"/>
      <c r="G7" s="227" t="str">
        <f>'NP FARMACIA'!D6</f>
        <v>DIRECCION PROVINCIAL DE FARMACIA E INSUMOS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</row>
    <row r="8" spans="1:17" s="18" customFormat="1" ht="15.75" thickBot="1" x14ac:dyDescent="0.3">
      <c r="A8" s="229" t="s">
        <v>40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s="18" customFormat="1" ht="20.25" customHeight="1" x14ac:dyDescent="0.25">
      <c r="A9" s="222" t="s">
        <v>41</v>
      </c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</row>
    <row r="10" spans="1:17" s="18" customFormat="1" ht="69" customHeight="1" x14ac:dyDescent="0.25">
      <c r="A10" s="231" t="s">
        <v>89</v>
      </c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</row>
    <row r="11" spans="1:17" s="18" customFormat="1" thickBot="1" x14ac:dyDescent="0.35">
      <c r="A11" s="28"/>
      <c r="B11" s="29"/>
      <c r="C11" s="29"/>
      <c r="D11" s="29"/>
      <c r="E11" s="29"/>
      <c r="F11" s="29"/>
      <c r="G11" s="30"/>
      <c r="H11" s="29"/>
      <c r="I11" s="29"/>
      <c r="J11" s="29"/>
      <c r="K11" s="29"/>
      <c r="L11" s="29"/>
      <c r="M11" s="29"/>
      <c r="N11" s="29"/>
      <c r="O11" s="29"/>
      <c r="P11" s="29"/>
      <c r="Q11" s="31"/>
    </row>
    <row r="12" spans="1:17" s="18" customFormat="1" ht="15.75" thickBot="1" x14ac:dyDescent="0.3">
      <c r="A12" s="232" t="s">
        <v>42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</row>
    <row r="13" spans="1:17" s="18" customFormat="1" ht="15.75" thickBot="1" x14ac:dyDescent="0.3">
      <c r="A13" s="233" t="s">
        <v>43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4" t="s">
        <v>44</v>
      </c>
      <c r="P13" s="234"/>
      <c r="Q13" s="235" t="s">
        <v>45</v>
      </c>
    </row>
    <row r="14" spans="1:17" s="18" customFormat="1" ht="15.75" thickBot="1" x14ac:dyDescent="0.3">
      <c r="A14" s="32" t="s">
        <v>46</v>
      </c>
      <c r="B14" s="33" t="s">
        <v>47</v>
      </c>
      <c r="C14" s="33" t="s">
        <v>48</v>
      </c>
      <c r="D14" s="33" t="s">
        <v>49</v>
      </c>
      <c r="E14" s="33" t="s">
        <v>50</v>
      </c>
      <c r="F14" s="33" t="s">
        <v>51</v>
      </c>
      <c r="G14" s="34" t="s">
        <v>52</v>
      </c>
      <c r="H14" s="33" t="s">
        <v>53</v>
      </c>
      <c r="I14" s="33" t="s">
        <v>54</v>
      </c>
      <c r="J14" s="33" t="s">
        <v>55</v>
      </c>
      <c r="K14" s="33" t="s">
        <v>55</v>
      </c>
      <c r="L14" s="33" t="s">
        <v>56</v>
      </c>
      <c r="M14" s="35" t="s">
        <v>57</v>
      </c>
      <c r="N14" s="36" t="s">
        <v>58</v>
      </c>
      <c r="O14" s="234"/>
      <c r="P14" s="234"/>
      <c r="Q14" s="235"/>
    </row>
    <row r="15" spans="1:17" s="18" customFormat="1" ht="33.75" customHeight="1" x14ac:dyDescent="0.3">
      <c r="A15" s="20">
        <v>30</v>
      </c>
      <c r="B15" s="21"/>
      <c r="C15" s="21"/>
      <c r="D15" s="21">
        <v>1</v>
      </c>
      <c r="E15" s="21"/>
      <c r="F15" s="21">
        <v>4901</v>
      </c>
      <c r="G15" s="21">
        <v>3</v>
      </c>
      <c r="H15" s="21">
        <v>1</v>
      </c>
      <c r="I15" s="21">
        <v>2</v>
      </c>
      <c r="J15" s="21">
        <v>5</v>
      </c>
      <c r="K15" s="21">
        <v>1</v>
      </c>
      <c r="L15" s="21"/>
      <c r="M15" s="22">
        <v>1</v>
      </c>
      <c r="N15" s="21" t="s">
        <v>68</v>
      </c>
      <c r="O15" s="236" t="s">
        <v>73</v>
      </c>
      <c r="P15" s="236"/>
      <c r="Q15" s="37">
        <v>90610</v>
      </c>
    </row>
    <row r="16" spans="1:17" s="18" customFormat="1" ht="30" customHeight="1" x14ac:dyDescent="0.25">
      <c r="A16" s="23">
        <v>30</v>
      </c>
      <c r="B16" s="24"/>
      <c r="C16" s="24"/>
      <c r="D16" s="24">
        <v>1</v>
      </c>
      <c r="E16" s="24"/>
      <c r="F16" s="24">
        <v>4901</v>
      </c>
      <c r="G16" s="24">
        <v>3</v>
      </c>
      <c r="H16" s="24">
        <v>1</v>
      </c>
      <c r="I16" s="24">
        <v>2</v>
      </c>
      <c r="J16" s="24">
        <v>5</v>
      </c>
      <c r="K16" s="24">
        <v>2</v>
      </c>
      <c r="L16" s="24"/>
      <c r="M16" s="25">
        <v>1</v>
      </c>
      <c r="N16" s="26" t="s">
        <v>68</v>
      </c>
      <c r="O16" s="237" t="s">
        <v>69</v>
      </c>
      <c r="P16" s="238"/>
      <c r="Q16" s="27">
        <v>722760</v>
      </c>
    </row>
    <row r="17" spans="1:17" s="18" customFormat="1" x14ac:dyDescent="0.25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6"/>
      <c r="O17" s="239"/>
      <c r="P17" s="240"/>
      <c r="Q17" s="27"/>
    </row>
    <row r="18" spans="1:17" x14ac:dyDescent="0.25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230"/>
      <c r="P18" s="230"/>
      <c r="Q18" s="27"/>
    </row>
    <row r="19" spans="1:17" ht="14.45" x14ac:dyDescent="0.3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6"/>
      <c r="O19" s="230"/>
      <c r="P19" s="230"/>
      <c r="Q19" s="27"/>
    </row>
    <row r="20" spans="1:17" ht="14.45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26"/>
      <c r="O20" s="230"/>
      <c r="P20" s="230"/>
      <c r="Q20" s="27"/>
    </row>
    <row r="21" spans="1:17" ht="14.45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  <c r="N21" s="26"/>
      <c r="O21" s="230"/>
      <c r="P21" s="230"/>
      <c r="Q21" s="27"/>
    </row>
    <row r="22" spans="1:17" ht="14.45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6"/>
      <c r="O22" s="230"/>
      <c r="P22" s="230"/>
      <c r="Q22" s="27"/>
    </row>
    <row r="23" spans="1:17" ht="14.45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5"/>
      <c r="N23" s="26"/>
      <c r="O23" s="230"/>
      <c r="P23" s="230"/>
      <c r="Q23" s="27"/>
    </row>
    <row r="24" spans="1:17" ht="14.45" x14ac:dyDescent="0.3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5"/>
      <c r="N24" s="26"/>
      <c r="O24" s="230"/>
      <c r="P24" s="230"/>
      <c r="Q24" s="27"/>
    </row>
    <row r="25" spans="1:17" ht="14.45" x14ac:dyDescent="0.3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/>
      <c r="N25" s="26"/>
      <c r="O25" s="230"/>
      <c r="P25" s="230"/>
      <c r="Q25" s="27"/>
    </row>
    <row r="26" spans="1:17" ht="14.45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26"/>
      <c r="O26" s="230"/>
      <c r="P26" s="230"/>
      <c r="Q26" s="27"/>
    </row>
    <row r="27" spans="1:17" ht="14.45" x14ac:dyDescent="0.3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6"/>
      <c r="O27" s="230"/>
      <c r="P27" s="230"/>
      <c r="Q27" s="27"/>
    </row>
    <row r="28" spans="1:17" ht="14.45" x14ac:dyDescent="0.3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5"/>
      <c r="N28" s="26"/>
      <c r="O28" s="230"/>
      <c r="P28" s="230"/>
      <c r="Q28" s="27"/>
    </row>
    <row r="29" spans="1:17" ht="14.45" x14ac:dyDescent="0.3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5"/>
      <c r="N29" s="26"/>
      <c r="O29" s="230"/>
      <c r="P29" s="230"/>
      <c r="Q29" s="27"/>
    </row>
    <row r="30" spans="1:17" ht="14.45" x14ac:dyDescent="0.3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5"/>
      <c r="N30" s="26"/>
      <c r="O30" s="230"/>
      <c r="P30" s="230"/>
      <c r="Q30" s="27"/>
    </row>
    <row r="31" spans="1:17" ht="14.45" x14ac:dyDescent="0.3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5"/>
      <c r="N31" s="26"/>
      <c r="O31" s="230"/>
      <c r="P31" s="230"/>
      <c r="Q31" s="27"/>
    </row>
    <row r="32" spans="1:17" ht="14.45" x14ac:dyDescent="0.3">
      <c r="A32" s="23"/>
      <c r="B32" s="24"/>
      <c r="C32" s="24"/>
      <c r="D32" s="24"/>
      <c r="E32" s="24"/>
      <c r="F32" s="26"/>
      <c r="G32" s="24"/>
      <c r="H32" s="24"/>
      <c r="I32" s="24"/>
      <c r="J32" s="24"/>
      <c r="K32" s="24"/>
      <c r="L32" s="24"/>
      <c r="M32" s="25"/>
      <c r="N32" s="26"/>
      <c r="O32" s="241"/>
      <c r="P32" s="241"/>
      <c r="Q32" s="27"/>
    </row>
    <row r="33" spans="1:17" ht="14.45" x14ac:dyDescent="0.3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5"/>
      <c r="N33" s="26"/>
      <c r="O33" s="241"/>
      <c r="P33" s="241"/>
      <c r="Q33" s="27"/>
    </row>
    <row r="34" spans="1:17" ht="14.45" x14ac:dyDescent="0.3">
      <c r="A34" s="23"/>
      <c r="B34" s="24"/>
      <c r="C34" s="24"/>
      <c r="D34" s="24"/>
      <c r="E34" s="24"/>
      <c r="F34" s="26"/>
      <c r="G34" s="24"/>
      <c r="H34" s="24"/>
      <c r="I34" s="24"/>
      <c r="J34" s="24"/>
      <c r="K34" s="24"/>
      <c r="L34" s="24"/>
      <c r="M34" s="25"/>
      <c r="N34" s="26"/>
      <c r="O34" s="241"/>
      <c r="P34" s="241"/>
      <c r="Q34" s="27"/>
    </row>
    <row r="35" spans="1:17" ht="14.45" x14ac:dyDescent="0.3">
      <c r="A35" s="23"/>
      <c r="B35" s="24"/>
      <c r="C35" s="24"/>
      <c r="D35" s="24"/>
      <c r="E35" s="24"/>
      <c r="F35" s="26"/>
      <c r="G35" s="24"/>
      <c r="H35" s="24"/>
      <c r="I35" s="24"/>
      <c r="J35" s="24"/>
      <c r="K35" s="24"/>
      <c r="L35" s="24"/>
      <c r="M35" s="25"/>
      <c r="N35" s="26"/>
      <c r="O35" s="241"/>
      <c r="P35" s="241"/>
      <c r="Q35" s="27"/>
    </row>
    <row r="36" spans="1:17" ht="14.45" x14ac:dyDescent="0.3">
      <c r="A36" s="146"/>
      <c r="B36" s="147"/>
      <c r="C36" s="147"/>
      <c r="D36" s="147"/>
      <c r="E36" s="147"/>
      <c r="F36" s="148"/>
      <c r="G36" s="147"/>
      <c r="H36" s="147"/>
      <c r="I36" s="147"/>
      <c r="J36" s="147"/>
      <c r="K36" s="147"/>
      <c r="L36" s="147"/>
      <c r="M36" s="149"/>
      <c r="N36" s="150"/>
      <c r="O36" s="245"/>
      <c r="P36" s="245"/>
      <c r="Q36" s="27"/>
    </row>
    <row r="37" spans="1:17" thickBot="1" x14ac:dyDescent="0.35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52"/>
      <c r="O37" s="246"/>
      <c r="P37" s="246"/>
      <c r="Q37" s="154"/>
    </row>
    <row r="38" spans="1:17" ht="15.75" thickBot="1" x14ac:dyDescent="0.3">
      <c r="A38" s="247" t="s">
        <v>118</v>
      </c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155">
        <f>SUM(Q15:Q37)</f>
        <v>813370</v>
      </c>
    </row>
    <row r="39" spans="1:17" thickBot="1" x14ac:dyDescent="0.35">
      <c r="A39" s="248"/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</row>
    <row r="40" spans="1:17" ht="15.75" thickBot="1" x14ac:dyDescent="0.3">
      <c r="A40" s="242" t="s">
        <v>59</v>
      </c>
      <c r="B40" s="242"/>
      <c r="C40" s="242"/>
      <c r="D40" s="242"/>
      <c r="E40" s="242"/>
      <c r="F40" s="242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</row>
    <row r="41" spans="1:17" ht="15.75" thickBot="1" x14ac:dyDescent="0.3">
      <c r="A41" s="244" t="str">
        <f>'NP FARMACIA'!D8</f>
        <v>ADQUISICION DEL RUBRO ANTISEPTICOS Y DESINFECTANTES</v>
      </c>
      <c r="B41" s="244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</row>
    <row r="42" spans="1:17" ht="15.75" thickBot="1" x14ac:dyDescent="0.3">
      <c r="A42" s="244"/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O19"/>
  <sheetViews>
    <sheetView workbookViewId="0">
      <selection activeCell="K12" sqref="K12:K13"/>
    </sheetView>
  </sheetViews>
  <sheetFormatPr baseColWidth="10" defaultRowHeight="15" x14ac:dyDescent="0.25"/>
  <cols>
    <col min="1" max="1" width="5.5703125" style="18" customWidth="1"/>
    <col min="2" max="2" width="15.140625" style="133" customWidth="1"/>
    <col min="3" max="3" width="14.140625" style="18" customWidth="1"/>
    <col min="4" max="4" width="26" style="18" customWidth="1"/>
    <col min="5" max="5" width="8" style="18" customWidth="1"/>
    <col min="6" max="6" width="7.85546875" style="18" customWidth="1"/>
    <col min="7" max="7" width="69.5703125" style="18" customWidth="1"/>
    <col min="8" max="8" width="9.28515625" style="18" customWidth="1"/>
    <col min="9" max="9" width="15.5703125" style="18" customWidth="1"/>
    <col min="10" max="10" width="14.7109375" style="19" customWidth="1"/>
    <col min="11" max="11" width="15.5703125" style="18" customWidth="1"/>
    <col min="12" max="12" width="15.5703125" style="98" customWidth="1"/>
    <col min="13" max="13" width="11.85546875" style="88" bestFit="1" customWidth="1"/>
    <col min="14" max="14" width="13" style="10" bestFit="1" customWidth="1"/>
    <col min="15" max="15" width="11.85546875" style="88" bestFit="1" customWidth="1"/>
  </cols>
  <sheetData>
    <row r="1" spans="1:15" ht="30.75" thickBot="1" x14ac:dyDescent="0.3">
      <c r="A1" s="198" t="s">
        <v>23</v>
      </c>
      <c r="B1" s="198"/>
      <c r="C1" s="198"/>
      <c r="D1" s="198"/>
      <c r="E1" s="198"/>
      <c r="F1" s="198"/>
      <c r="G1" s="198"/>
      <c r="H1" s="198"/>
      <c r="I1" s="198"/>
      <c r="J1" s="99" t="s">
        <v>24</v>
      </c>
      <c r="K1" s="100" t="s">
        <v>75</v>
      </c>
      <c r="L1" s="87"/>
    </row>
    <row r="2" spans="1:15" ht="16.5" thickBot="1" x14ac:dyDescent="0.3">
      <c r="A2" s="101"/>
      <c r="B2" s="120"/>
      <c r="C2" s="102"/>
      <c r="D2" s="16"/>
      <c r="E2" s="16"/>
      <c r="F2" s="16"/>
      <c r="G2" s="16"/>
      <c r="H2" s="16"/>
      <c r="I2" s="16"/>
      <c r="J2" s="103"/>
      <c r="K2" s="104"/>
      <c r="L2" s="89"/>
    </row>
    <row r="3" spans="1:15" ht="16.5" thickBot="1" x14ac:dyDescent="0.3">
      <c r="A3" s="199" t="s">
        <v>25</v>
      </c>
      <c r="B3" s="199"/>
      <c r="C3" s="199"/>
      <c r="D3" s="197" t="str">
        <f>'SAF 011'!C4</f>
        <v>040 - MINISTERIO DE SALUD</v>
      </c>
      <c r="E3" s="197"/>
      <c r="F3" s="197"/>
      <c r="G3" s="197"/>
      <c r="H3" s="197"/>
      <c r="I3" s="197"/>
      <c r="J3" s="197"/>
      <c r="K3" s="197"/>
      <c r="L3" s="90"/>
    </row>
    <row r="4" spans="1:15" ht="16.5" thickBot="1" x14ac:dyDescent="0.3">
      <c r="A4" s="196" t="s">
        <v>26</v>
      </c>
      <c r="B4" s="196"/>
      <c r="C4" s="196"/>
      <c r="D4" s="197" t="str">
        <f>'SAF 011'!C5</f>
        <v>011 - DIRECCION PROVINCIAL DE ADMINISTRACION - MINISTERIO DE SALUD</v>
      </c>
      <c r="E4" s="197"/>
      <c r="F4" s="197"/>
      <c r="G4" s="197"/>
      <c r="H4" s="197"/>
      <c r="I4" s="197"/>
      <c r="J4" s="197"/>
      <c r="K4" s="197"/>
      <c r="L4" s="90"/>
    </row>
    <row r="5" spans="1:15" ht="16.5" thickBot="1" x14ac:dyDescent="0.3">
      <c r="A5" s="196" t="s">
        <v>27</v>
      </c>
      <c r="B5" s="196"/>
      <c r="C5" s="196"/>
      <c r="D5" s="197" t="s">
        <v>82</v>
      </c>
      <c r="E5" s="197"/>
      <c r="F5" s="197"/>
      <c r="G5" s="197"/>
      <c r="H5" s="197"/>
      <c r="I5" s="197"/>
      <c r="J5" s="197"/>
      <c r="K5" s="197"/>
      <c r="L5" s="90"/>
    </row>
    <row r="6" spans="1:15" ht="16.5" thickBot="1" x14ac:dyDescent="0.3">
      <c r="A6" s="199" t="s">
        <v>28</v>
      </c>
      <c r="B6" s="199"/>
      <c r="C6" s="199"/>
      <c r="D6" s="197" t="s">
        <v>82</v>
      </c>
      <c r="E6" s="197"/>
      <c r="F6" s="197"/>
      <c r="G6" s="197"/>
      <c r="H6" s="197"/>
      <c r="I6" s="197"/>
      <c r="J6" s="197"/>
      <c r="K6" s="197"/>
      <c r="L6" s="90"/>
    </row>
    <row r="7" spans="1:15" ht="16.5" thickBot="1" x14ac:dyDescent="0.3">
      <c r="A7" s="196" t="s">
        <v>29</v>
      </c>
      <c r="B7" s="196"/>
      <c r="C7" s="196"/>
      <c r="D7" s="197" t="s">
        <v>127</v>
      </c>
      <c r="E7" s="197"/>
      <c r="F7" s="197"/>
      <c r="G7" s="197"/>
      <c r="H7" s="197"/>
      <c r="I7" s="197"/>
      <c r="J7" s="197"/>
      <c r="K7" s="197"/>
      <c r="L7" s="90"/>
    </row>
    <row r="8" spans="1:15" ht="16.5" thickBot="1" x14ac:dyDescent="0.3">
      <c r="A8" s="200" t="s">
        <v>30</v>
      </c>
      <c r="B8" s="200"/>
      <c r="C8" s="200"/>
      <c r="D8" s="201" t="s">
        <v>70</v>
      </c>
      <c r="E8" s="201"/>
      <c r="F8" s="201"/>
      <c r="G8" s="201"/>
      <c r="H8" s="201"/>
      <c r="I8" s="201"/>
      <c r="J8" s="201"/>
      <c r="K8" s="201"/>
      <c r="L8" s="90"/>
    </row>
    <row r="9" spans="1:15" ht="16.5" thickBot="1" x14ac:dyDescent="0.3">
      <c r="A9" s="105"/>
      <c r="B9" s="121"/>
      <c r="C9" s="106"/>
      <c r="D9" s="17"/>
      <c r="E9" s="17"/>
      <c r="F9" s="17"/>
      <c r="G9" s="17"/>
      <c r="H9" s="17"/>
      <c r="I9" s="17"/>
      <c r="J9" s="107"/>
      <c r="K9" s="108"/>
      <c r="L9" s="90"/>
    </row>
    <row r="10" spans="1:15" ht="15.75" thickBot="1" x14ac:dyDescent="0.3">
      <c r="A10" s="206" t="s">
        <v>31</v>
      </c>
      <c r="B10" s="204" t="s">
        <v>32</v>
      </c>
      <c r="C10" s="204" t="s">
        <v>33</v>
      </c>
      <c r="D10" s="204"/>
      <c r="E10" s="204"/>
      <c r="F10" s="204"/>
      <c r="G10" s="204"/>
      <c r="H10" s="204" t="s">
        <v>34</v>
      </c>
      <c r="I10" s="204" t="s">
        <v>35</v>
      </c>
      <c r="J10" s="205" t="s">
        <v>36</v>
      </c>
      <c r="K10" s="202" t="s">
        <v>37</v>
      </c>
      <c r="L10" s="91"/>
    </row>
    <row r="11" spans="1:15" ht="27" customHeight="1" thickBot="1" x14ac:dyDescent="0.3">
      <c r="A11" s="218"/>
      <c r="B11" s="219"/>
      <c r="C11" s="219"/>
      <c r="D11" s="219"/>
      <c r="E11" s="219"/>
      <c r="F11" s="219"/>
      <c r="G11" s="219"/>
      <c r="H11" s="219"/>
      <c r="I11" s="219"/>
      <c r="J11" s="220"/>
      <c r="K11" s="214"/>
      <c r="L11" s="91"/>
    </row>
    <row r="12" spans="1:15" s="9" customFormat="1" ht="26.25" customHeight="1" x14ac:dyDescent="0.25">
      <c r="A12" s="127">
        <v>1</v>
      </c>
      <c r="B12" s="110" t="str">
        <f>'SAF 011'!B15</f>
        <v>2.5.2-1723.173</v>
      </c>
      <c r="C12" s="215" t="str">
        <f>'SAF 011'!E15</f>
        <v>ANTISEPTICOS LOCALES P/PERSONA; TIPO: MONODROGA, DROGA GENERICA: IODOFORMADA AL 10% , FORMA FARMACEUTICA: GASA, PRESENTACION: DE 10X10, 15 UNIDADES POR PACK</v>
      </c>
      <c r="D12" s="216"/>
      <c r="E12" s="216"/>
      <c r="F12" s="216"/>
      <c r="G12" s="217"/>
      <c r="H12" s="110" t="s">
        <v>72</v>
      </c>
      <c r="I12" s="111" t="str">
        <f>'SAF 011'!F15</f>
        <v>CAJA</v>
      </c>
      <c r="J12" s="112">
        <f>'SAF 011'!H15</f>
        <v>950</v>
      </c>
      <c r="K12" s="113">
        <v>50</v>
      </c>
      <c r="L12" s="92">
        <v>295</v>
      </c>
      <c r="M12" s="88" t="b">
        <f>B12='SAF 011'!B15</f>
        <v>1</v>
      </c>
      <c r="N12" s="10">
        <f t="shared" ref="N12:N13" si="0">+J12*K12</f>
        <v>47500</v>
      </c>
      <c r="O12" s="88" t="b">
        <f>'SAF 011'!E15=C12</f>
        <v>1</v>
      </c>
    </row>
    <row r="13" spans="1:15" s="9" customFormat="1" ht="26.25" customHeight="1" x14ac:dyDescent="0.25">
      <c r="A13" s="127">
        <v>2</v>
      </c>
      <c r="B13" s="110" t="str">
        <f>'SAF 011'!B19</f>
        <v>2.5.1-9065.27</v>
      </c>
      <c r="C13" s="215" t="str">
        <f>'SAF 011'!E19</f>
        <v>DESINFECTANTES Y DETERGENTES; PRINCIPIO ACTIVO: AMONIO CUATERNARIO, CALIDAD: COMERCIAL, CONCENTRACION/PUREZA: 99 %, PRESENTACION: ENVASE X 5 L</v>
      </c>
      <c r="D13" s="216"/>
      <c r="E13" s="216"/>
      <c r="F13" s="216"/>
      <c r="G13" s="217"/>
      <c r="H13" s="110" t="s">
        <v>72</v>
      </c>
      <c r="I13" s="111" t="str">
        <f>'SAF 011'!F19</f>
        <v>BIDON</v>
      </c>
      <c r="J13" s="112">
        <f>'SAF 011'!H19</f>
        <v>9229.2000000000007</v>
      </c>
      <c r="K13" s="113">
        <v>50</v>
      </c>
      <c r="L13" s="92">
        <v>251</v>
      </c>
      <c r="M13" s="88" t="b">
        <f>'SAF 011'!B19=B13</f>
        <v>1</v>
      </c>
      <c r="N13" s="10">
        <f t="shared" si="0"/>
        <v>461460.00000000006</v>
      </c>
      <c r="O13" s="88" t="b">
        <f>C13='SAF 011'!E19</f>
        <v>1</v>
      </c>
    </row>
    <row r="14" spans="1:15" ht="16.5" thickBot="1" x14ac:dyDescent="0.3">
      <c r="A14" s="114"/>
      <c r="B14" s="132"/>
      <c r="C14" s="213"/>
      <c r="D14" s="213"/>
      <c r="E14" s="213"/>
      <c r="F14" s="213"/>
      <c r="G14" s="213"/>
      <c r="H14" s="116"/>
      <c r="I14" s="117"/>
      <c r="J14" s="118"/>
      <c r="K14" s="119"/>
      <c r="L14" s="93"/>
    </row>
    <row r="15" spans="1:15" ht="19.5" thickBot="1" x14ac:dyDescent="0.3">
      <c r="A15" s="211" t="s">
        <v>83</v>
      </c>
      <c r="B15" s="211"/>
      <c r="C15" s="211"/>
      <c r="D15" s="211"/>
      <c r="E15" s="211"/>
      <c r="F15" s="211"/>
      <c r="G15" s="211"/>
      <c r="H15" s="211"/>
      <c r="I15" s="211"/>
      <c r="J15" s="221">
        <f>+N15</f>
        <v>508960.00000000006</v>
      </c>
      <c r="K15" s="221"/>
      <c r="L15" s="134"/>
      <c r="N15" s="10">
        <f>SUM(N12:N14)</f>
        <v>508960.00000000006</v>
      </c>
    </row>
    <row r="17" spans="10:12" x14ac:dyDescent="0.25">
      <c r="J17" s="249"/>
      <c r="K17" s="249"/>
      <c r="L17" s="135"/>
    </row>
    <row r="18" spans="10:12" x14ac:dyDescent="0.25">
      <c r="K18" s="97">
        <f>+K12*J12</f>
        <v>47500</v>
      </c>
    </row>
    <row r="19" spans="10:12" x14ac:dyDescent="0.25">
      <c r="K19" s="97">
        <f>+J13*K13</f>
        <v>461460.00000000006</v>
      </c>
    </row>
  </sheetData>
  <mergeCells count="26">
    <mergeCell ref="J17:K17"/>
    <mergeCell ref="C14:G14"/>
    <mergeCell ref="A15:I15"/>
    <mergeCell ref="J15:K15"/>
    <mergeCell ref="C12:G12"/>
    <mergeCell ref="C13:G13"/>
    <mergeCell ref="K10:K11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Q42"/>
  <sheetViews>
    <sheetView workbookViewId="0">
      <selection activeCell="Q15" sqref="Q15:Q16"/>
    </sheetView>
  </sheetViews>
  <sheetFormatPr baseColWidth="10" defaultRowHeight="15" x14ac:dyDescent="0.25"/>
  <cols>
    <col min="1" max="5" width="4.42578125" style="18" customWidth="1"/>
    <col min="6" max="6" width="7.85546875" style="18" customWidth="1"/>
    <col min="7" max="14" width="4.42578125" style="18" customWidth="1"/>
    <col min="15" max="15" width="14.85546875" style="18" customWidth="1"/>
    <col min="16" max="16" width="16.7109375" style="18" customWidth="1"/>
    <col min="17" max="17" width="14.7109375" style="19" customWidth="1"/>
  </cols>
  <sheetData>
    <row r="1" spans="1:17" ht="15.75" thickBot="1" x14ac:dyDescent="0.3">
      <c r="A1" s="223" t="s">
        <v>5</v>
      </c>
      <c r="B1" s="223"/>
      <c r="C1" s="223"/>
      <c r="D1" s="224">
        <v>2022</v>
      </c>
      <c r="E1" s="224"/>
      <c r="F1" s="138"/>
      <c r="G1" s="138"/>
      <c r="H1" s="139"/>
      <c r="I1" s="139"/>
      <c r="J1" s="139"/>
      <c r="K1" s="139"/>
      <c r="L1" s="139"/>
      <c r="M1" s="139"/>
      <c r="N1" s="139"/>
      <c r="O1" s="140"/>
      <c r="P1" s="225" t="s">
        <v>38</v>
      </c>
      <c r="Q1" s="225"/>
    </row>
    <row r="2" spans="1:17" ht="15.75" thickBot="1" x14ac:dyDescent="0.3">
      <c r="A2" s="141"/>
      <c r="B2" s="142"/>
      <c r="C2" s="142"/>
      <c r="D2" s="142"/>
      <c r="E2" s="142"/>
      <c r="F2" s="142"/>
      <c r="G2" s="143"/>
      <c r="H2" s="144"/>
      <c r="I2" s="144"/>
      <c r="J2" s="144"/>
      <c r="K2" s="144"/>
      <c r="L2" s="144"/>
      <c r="M2" s="144"/>
      <c r="N2" s="144"/>
      <c r="O2" s="142"/>
      <c r="P2" s="225"/>
      <c r="Q2" s="225"/>
    </row>
    <row r="3" spans="1:17" thickBot="1" x14ac:dyDescent="0.35">
      <c r="A3" s="141"/>
      <c r="B3" s="142"/>
      <c r="C3" s="142"/>
      <c r="D3" s="142"/>
      <c r="E3" s="142"/>
      <c r="F3" s="142"/>
      <c r="G3" s="143"/>
      <c r="H3" s="142"/>
      <c r="I3" s="142"/>
      <c r="J3" s="142"/>
      <c r="K3" s="142"/>
      <c r="L3" s="142"/>
      <c r="M3" s="142"/>
      <c r="N3" s="142"/>
      <c r="O3" s="142"/>
      <c r="P3" s="142"/>
      <c r="Q3" s="156"/>
    </row>
    <row r="4" spans="1:17" ht="15.75" thickBot="1" x14ac:dyDescent="0.3">
      <c r="A4" s="226" t="s">
        <v>39</v>
      </c>
      <c r="B4" s="226"/>
      <c r="C4" s="226"/>
      <c r="D4" s="226"/>
      <c r="E4" s="226"/>
      <c r="F4" s="226"/>
      <c r="G4" s="227" t="str">
        <f>'NP ODONTOLOGIA'!D3</f>
        <v>040 - MINISTERIO DE SALUD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</row>
    <row r="5" spans="1:17" thickBot="1" x14ac:dyDescent="0.35">
      <c r="A5" s="228" t="s">
        <v>26</v>
      </c>
      <c r="B5" s="228"/>
      <c r="C5" s="228"/>
      <c r="D5" s="228"/>
      <c r="E5" s="228"/>
      <c r="F5" s="228"/>
      <c r="G5" s="227" t="str">
        <f>'NP ODONTOLOGIA'!D4</f>
        <v>011 - DIRECCION PROVINCIAL DE ADMINISTRACION - MINISTERIO DE SALUD</v>
      </c>
      <c r="H5" s="227"/>
      <c r="I5" s="227"/>
      <c r="J5" s="227"/>
      <c r="K5" s="227"/>
      <c r="L5" s="227"/>
      <c r="M5" s="227"/>
      <c r="N5" s="227"/>
      <c r="O5" s="227"/>
      <c r="P5" s="227"/>
      <c r="Q5" s="227"/>
    </row>
    <row r="6" spans="1:17" thickBot="1" x14ac:dyDescent="0.35">
      <c r="A6" s="228" t="s">
        <v>27</v>
      </c>
      <c r="B6" s="228"/>
      <c r="C6" s="228"/>
      <c r="D6" s="228"/>
      <c r="E6" s="228"/>
      <c r="F6" s="228"/>
      <c r="G6" s="227" t="str">
        <f>'NP ODONTOLOGIA'!D5</f>
        <v>DIRECCION PROVINCIAL DE ODONTOLOGIA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</row>
    <row r="7" spans="1:17" thickBot="1" x14ac:dyDescent="0.35">
      <c r="A7" s="228" t="s">
        <v>28</v>
      </c>
      <c r="B7" s="228"/>
      <c r="C7" s="228"/>
      <c r="D7" s="228"/>
      <c r="E7" s="228"/>
      <c r="F7" s="228"/>
      <c r="G7" s="227" t="str">
        <f>'NP ODONTOLOGIA'!D6</f>
        <v>DIRECCION PROVINCIAL DE ODONTOLOGIA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</row>
    <row r="8" spans="1:17" ht="15.75" thickBot="1" x14ac:dyDescent="0.3">
      <c r="A8" s="229" t="s">
        <v>40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20.25" customHeight="1" x14ac:dyDescent="0.25">
      <c r="A9" s="222" t="s">
        <v>41</v>
      </c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</row>
    <row r="10" spans="1:17" ht="69" customHeight="1" x14ac:dyDescent="0.25">
      <c r="A10" s="231" t="s">
        <v>76</v>
      </c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</row>
    <row r="11" spans="1:17" thickBot="1" x14ac:dyDescent="0.35">
      <c r="A11" s="28"/>
      <c r="B11" s="29"/>
      <c r="C11" s="29"/>
      <c r="D11" s="29"/>
      <c r="E11" s="29"/>
      <c r="F11" s="29"/>
      <c r="G11" s="30"/>
      <c r="H11" s="29"/>
      <c r="I11" s="29"/>
      <c r="J11" s="29"/>
      <c r="K11" s="29"/>
      <c r="L11" s="29"/>
      <c r="M11" s="29"/>
      <c r="N11" s="29"/>
      <c r="O11" s="29"/>
      <c r="P11" s="29"/>
      <c r="Q11" s="157"/>
    </row>
    <row r="12" spans="1:17" ht="15.75" thickBot="1" x14ac:dyDescent="0.3">
      <c r="A12" s="232" t="s">
        <v>42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</row>
    <row r="13" spans="1:17" ht="15.75" thickBot="1" x14ac:dyDescent="0.3">
      <c r="A13" s="233" t="s">
        <v>43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4" t="s">
        <v>44</v>
      </c>
      <c r="P13" s="234"/>
      <c r="Q13" s="250" t="s">
        <v>45</v>
      </c>
    </row>
    <row r="14" spans="1:17" ht="15.75" thickBot="1" x14ac:dyDescent="0.3">
      <c r="A14" s="32" t="s">
        <v>46</v>
      </c>
      <c r="B14" s="33" t="s">
        <v>47</v>
      </c>
      <c r="C14" s="33" t="s">
        <v>48</v>
      </c>
      <c r="D14" s="33" t="s">
        <v>49</v>
      </c>
      <c r="E14" s="33" t="s">
        <v>50</v>
      </c>
      <c r="F14" s="33" t="s">
        <v>51</v>
      </c>
      <c r="G14" s="34" t="s">
        <v>52</v>
      </c>
      <c r="H14" s="33" t="s">
        <v>53</v>
      </c>
      <c r="I14" s="33" t="s">
        <v>54</v>
      </c>
      <c r="J14" s="33" t="s">
        <v>55</v>
      </c>
      <c r="K14" s="33" t="s">
        <v>55</v>
      </c>
      <c r="L14" s="33" t="s">
        <v>56</v>
      </c>
      <c r="M14" s="35" t="s">
        <v>57</v>
      </c>
      <c r="N14" s="36" t="s">
        <v>58</v>
      </c>
      <c r="O14" s="234"/>
      <c r="P14" s="234"/>
      <c r="Q14" s="250"/>
    </row>
    <row r="15" spans="1:17" ht="33.75" customHeight="1" x14ac:dyDescent="0.3">
      <c r="A15" s="20">
        <v>29</v>
      </c>
      <c r="B15" s="21"/>
      <c r="C15" s="21"/>
      <c r="D15" s="21">
        <v>1</v>
      </c>
      <c r="E15" s="21"/>
      <c r="F15" s="21">
        <v>4901</v>
      </c>
      <c r="G15" s="21">
        <v>3</v>
      </c>
      <c r="H15" s="21">
        <v>1</v>
      </c>
      <c r="I15" s="21">
        <v>2</v>
      </c>
      <c r="J15" s="21">
        <v>5</v>
      </c>
      <c r="K15" s="21">
        <v>1</v>
      </c>
      <c r="L15" s="21"/>
      <c r="M15" s="22">
        <v>1</v>
      </c>
      <c r="N15" s="21" t="s">
        <v>68</v>
      </c>
      <c r="O15" s="236" t="s">
        <v>73</v>
      </c>
      <c r="P15" s="236"/>
      <c r="Q15" s="158">
        <v>461460.00000000006</v>
      </c>
    </row>
    <row r="16" spans="1:17" ht="30" customHeight="1" x14ac:dyDescent="0.25">
      <c r="A16" s="23">
        <v>29</v>
      </c>
      <c r="B16" s="24"/>
      <c r="C16" s="24"/>
      <c r="D16" s="24">
        <v>1</v>
      </c>
      <c r="E16" s="24"/>
      <c r="F16" s="24">
        <v>4901</v>
      </c>
      <c r="G16" s="24">
        <v>3</v>
      </c>
      <c r="H16" s="24">
        <v>1</v>
      </c>
      <c r="I16" s="24">
        <v>2</v>
      </c>
      <c r="J16" s="24">
        <v>9</v>
      </c>
      <c r="K16" s="24">
        <v>5</v>
      </c>
      <c r="L16" s="24"/>
      <c r="M16" s="25">
        <v>1</v>
      </c>
      <c r="N16" s="26" t="s">
        <v>68</v>
      </c>
      <c r="O16" s="237" t="s">
        <v>119</v>
      </c>
      <c r="P16" s="238"/>
      <c r="Q16" s="159">
        <v>47500</v>
      </c>
    </row>
    <row r="17" spans="1:17" ht="14.45" x14ac:dyDescent="0.3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6"/>
      <c r="O17" s="251"/>
      <c r="P17" s="251"/>
      <c r="Q17" s="159"/>
    </row>
    <row r="18" spans="1:17" ht="14.45" x14ac:dyDescent="0.3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230"/>
      <c r="P18" s="230"/>
      <c r="Q18" s="159"/>
    </row>
    <row r="19" spans="1:17" ht="14.45" x14ac:dyDescent="0.3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6"/>
      <c r="O19" s="230"/>
      <c r="P19" s="230"/>
      <c r="Q19" s="159"/>
    </row>
    <row r="20" spans="1:17" ht="14.45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26"/>
      <c r="O20" s="230"/>
      <c r="P20" s="230"/>
      <c r="Q20" s="159"/>
    </row>
    <row r="21" spans="1:17" ht="14.45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  <c r="N21" s="26"/>
      <c r="O21" s="230"/>
      <c r="P21" s="230"/>
      <c r="Q21" s="159"/>
    </row>
    <row r="22" spans="1:17" ht="14.45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6"/>
      <c r="O22" s="230"/>
      <c r="P22" s="230"/>
      <c r="Q22" s="159"/>
    </row>
    <row r="23" spans="1:17" ht="14.45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5"/>
      <c r="N23" s="26"/>
      <c r="O23" s="230"/>
      <c r="P23" s="230"/>
      <c r="Q23" s="159"/>
    </row>
    <row r="24" spans="1:17" ht="14.45" x14ac:dyDescent="0.3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5"/>
      <c r="N24" s="26"/>
      <c r="O24" s="230"/>
      <c r="P24" s="230"/>
      <c r="Q24" s="159"/>
    </row>
    <row r="25" spans="1:17" ht="14.45" x14ac:dyDescent="0.3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/>
      <c r="N25" s="26"/>
      <c r="O25" s="230"/>
      <c r="P25" s="230"/>
      <c r="Q25" s="159"/>
    </row>
    <row r="26" spans="1:17" ht="14.45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26"/>
      <c r="O26" s="230"/>
      <c r="P26" s="230"/>
      <c r="Q26" s="159"/>
    </row>
    <row r="27" spans="1:17" ht="14.45" x14ac:dyDescent="0.3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6"/>
      <c r="O27" s="230"/>
      <c r="P27" s="230"/>
      <c r="Q27" s="159"/>
    </row>
    <row r="28" spans="1:17" ht="14.45" x14ac:dyDescent="0.3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5"/>
      <c r="N28" s="26"/>
      <c r="O28" s="230"/>
      <c r="P28" s="230"/>
      <c r="Q28" s="159"/>
    </row>
    <row r="29" spans="1:17" ht="14.45" x14ac:dyDescent="0.3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5"/>
      <c r="N29" s="26"/>
      <c r="O29" s="230"/>
      <c r="P29" s="230"/>
      <c r="Q29" s="159"/>
    </row>
    <row r="30" spans="1:17" ht="14.45" x14ac:dyDescent="0.3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5"/>
      <c r="N30" s="26"/>
      <c r="O30" s="230"/>
      <c r="P30" s="230"/>
      <c r="Q30" s="159"/>
    </row>
    <row r="31" spans="1:17" ht="14.45" x14ac:dyDescent="0.3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5"/>
      <c r="N31" s="26"/>
      <c r="O31" s="230"/>
      <c r="P31" s="230"/>
      <c r="Q31" s="159"/>
    </row>
    <row r="32" spans="1:17" ht="14.45" x14ac:dyDescent="0.3">
      <c r="A32" s="23"/>
      <c r="B32" s="24"/>
      <c r="C32" s="24"/>
      <c r="D32" s="24"/>
      <c r="E32" s="24"/>
      <c r="F32" s="26"/>
      <c r="G32" s="24"/>
      <c r="H32" s="24"/>
      <c r="I32" s="24"/>
      <c r="J32" s="24"/>
      <c r="K32" s="24"/>
      <c r="L32" s="24"/>
      <c r="M32" s="25"/>
      <c r="N32" s="26"/>
      <c r="O32" s="241"/>
      <c r="P32" s="241"/>
      <c r="Q32" s="159"/>
    </row>
    <row r="33" spans="1:17" x14ac:dyDescent="0.2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5"/>
      <c r="N33" s="26"/>
      <c r="O33" s="241"/>
      <c r="P33" s="241"/>
      <c r="Q33" s="159"/>
    </row>
    <row r="34" spans="1:17" x14ac:dyDescent="0.25">
      <c r="A34" s="23"/>
      <c r="B34" s="24"/>
      <c r="C34" s="24"/>
      <c r="D34" s="24"/>
      <c r="E34" s="24"/>
      <c r="F34" s="26"/>
      <c r="G34" s="24"/>
      <c r="H34" s="24"/>
      <c r="I34" s="24"/>
      <c r="J34" s="24"/>
      <c r="K34" s="24"/>
      <c r="L34" s="24"/>
      <c r="M34" s="25"/>
      <c r="N34" s="26"/>
      <c r="O34" s="241"/>
      <c r="P34" s="241"/>
      <c r="Q34" s="159"/>
    </row>
    <row r="35" spans="1:17" x14ac:dyDescent="0.25">
      <c r="A35" s="23"/>
      <c r="B35" s="24"/>
      <c r="C35" s="24"/>
      <c r="D35" s="24"/>
      <c r="E35" s="24"/>
      <c r="F35" s="26"/>
      <c r="G35" s="24"/>
      <c r="H35" s="24"/>
      <c r="I35" s="24"/>
      <c r="J35" s="24"/>
      <c r="K35" s="24"/>
      <c r="L35" s="24"/>
      <c r="M35" s="25"/>
      <c r="N35" s="26"/>
      <c r="O35" s="241"/>
      <c r="P35" s="241"/>
      <c r="Q35" s="159"/>
    </row>
    <row r="36" spans="1:17" x14ac:dyDescent="0.25">
      <c r="A36" s="146"/>
      <c r="B36" s="147"/>
      <c r="C36" s="147"/>
      <c r="D36" s="147"/>
      <c r="E36" s="147"/>
      <c r="F36" s="148"/>
      <c r="G36" s="147"/>
      <c r="H36" s="147"/>
      <c r="I36" s="147"/>
      <c r="J36" s="147"/>
      <c r="K36" s="147"/>
      <c r="L36" s="147"/>
      <c r="M36" s="149"/>
      <c r="N36" s="150"/>
      <c r="O36" s="245"/>
      <c r="P36" s="245"/>
      <c r="Q36" s="159"/>
    </row>
    <row r="37" spans="1:17" ht="15.75" thickBo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52"/>
      <c r="O37" s="246"/>
      <c r="P37" s="246"/>
      <c r="Q37" s="160"/>
    </row>
    <row r="38" spans="1:17" ht="15.75" thickBot="1" x14ac:dyDescent="0.3">
      <c r="A38" s="247" t="s">
        <v>84</v>
      </c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161">
        <f>SUM(Q15:Q37)</f>
        <v>508960.00000000006</v>
      </c>
    </row>
    <row r="39" spans="1:17" ht="15.75" thickBot="1" x14ac:dyDescent="0.3">
      <c r="A39" s="248"/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</row>
    <row r="40" spans="1:17" ht="15.75" thickBot="1" x14ac:dyDescent="0.3">
      <c r="A40" s="242" t="s">
        <v>59</v>
      </c>
      <c r="B40" s="242"/>
      <c r="C40" s="242"/>
      <c r="D40" s="242"/>
      <c r="E40" s="242"/>
      <c r="F40" s="242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</row>
    <row r="41" spans="1:17" ht="15.75" thickBot="1" x14ac:dyDescent="0.3">
      <c r="A41" s="244" t="str">
        <f>'NP ODONTOLOGIA'!D8</f>
        <v>ADQUISICION DEL RUBRO ANTISEPTICOS Y DESINFECTANTES</v>
      </c>
      <c r="B41" s="244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</row>
    <row r="42" spans="1:17" ht="15.75" thickBot="1" x14ac:dyDescent="0.3">
      <c r="A42" s="244"/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M15"/>
  <sheetViews>
    <sheetView workbookViewId="0">
      <selection activeCell="K12" sqref="K12:K13"/>
    </sheetView>
  </sheetViews>
  <sheetFormatPr baseColWidth="10" defaultRowHeight="15" x14ac:dyDescent="0.25"/>
  <cols>
    <col min="1" max="1" width="5.5703125" style="18" customWidth="1"/>
    <col min="2" max="2" width="15.140625" style="133" customWidth="1"/>
    <col min="3" max="3" width="14.140625" style="18" customWidth="1"/>
    <col min="4" max="4" width="26" style="18" customWidth="1"/>
    <col min="5" max="5" width="8" style="18" customWidth="1"/>
    <col min="6" max="6" width="7.85546875" style="18" customWidth="1"/>
    <col min="7" max="7" width="59.85546875" style="18" customWidth="1"/>
    <col min="8" max="8" width="9.28515625" style="18" customWidth="1"/>
    <col min="9" max="9" width="15.5703125" style="18" customWidth="1"/>
    <col min="10" max="10" width="14.7109375" style="19" customWidth="1"/>
    <col min="11" max="11" width="15.5703125" style="18" customWidth="1"/>
    <col min="12" max="12" width="11.42578125" style="98"/>
    <col min="13" max="13" width="13" style="10" bestFit="1" customWidth="1"/>
  </cols>
  <sheetData>
    <row r="1" spans="1:13" ht="30.75" thickBot="1" x14ac:dyDescent="0.3">
      <c r="A1" s="198" t="s">
        <v>23</v>
      </c>
      <c r="B1" s="198"/>
      <c r="C1" s="198"/>
      <c r="D1" s="198"/>
      <c r="E1" s="198"/>
      <c r="F1" s="198"/>
      <c r="G1" s="198"/>
      <c r="H1" s="198"/>
      <c r="I1" s="198"/>
      <c r="J1" s="99" t="s">
        <v>24</v>
      </c>
      <c r="K1" s="100" t="s">
        <v>78</v>
      </c>
    </row>
    <row r="2" spans="1:13" ht="16.5" thickBot="1" x14ac:dyDescent="0.3">
      <c r="A2" s="101"/>
      <c r="B2" s="120"/>
      <c r="C2" s="102"/>
      <c r="D2" s="16"/>
      <c r="E2" s="16"/>
      <c r="F2" s="16"/>
      <c r="G2" s="16"/>
      <c r="H2" s="16"/>
      <c r="I2" s="16"/>
      <c r="J2" s="103"/>
      <c r="K2" s="104"/>
    </row>
    <row r="3" spans="1:13" ht="16.5" thickBot="1" x14ac:dyDescent="0.3">
      <c r="A3" s="199" t="s">
        <v>25</v>
      </c>
      <c r="B3" s="199"/>
      <c r="C3" s="199"/>
      <c r="D3" s="197" t="str">
        <f>'SAF 011'!C4</f>
        <v>040 - MINISTERIO DE SALUD</v>
      </c>
      <c r="E3" s="197"/>
      <c r="F3" s="197"/>
      <c r="G3" s="197"/>
      <c r="H3" s="197"/>
      <c r="I3" s="197"/>
      <c r="J3" s="197"/>
      <c r="K3" s="197"/>
    </row>
    <row r="4" spans="1:13" ht="16.5" thickBot="1" x14ac:dyDescent="0.3">
      <c r="A4" s="196" t="s">
        <v>26</v>
      </c>
      <c r="B4" s="196"/>
      <c r="C4" s="196"/>
      <c r="D4" s="197" t="str">
        <f>'SAF 011'!C5</f>
        <v>011 - DIRECCION PROVINCIAL DE ADMINISTRACION - MINISTERIO DE SALUD</v>
      </c>
      <c r="E4" s="197"/>
      <c r="F4" s="197"/>
      <c r="G4" s="197"/>
      <c r="H4" s="197"/>
      <c r="I4" s="197"/>
      <c r="J4" s="197"/>
      <c r="K4" s="197"/>
    </row>
    <row r="5" spans="1:13" ht="16.5" thickBot="1" x14ac:dyDescent="0.3">
      <c r="A5" s="196" t="s">
        <v>27</v>
      </c>
      <c r="B5" s="196"/>
      <c r="C5" s="196"/>
      <c r="D5" s="197" t="s">
        <v>85</v>
      </c>
      <c r="E5" s="197"/>
      <c r="F5" s="197"/>
      <c r="G5" s="197"/>
      <c r="H5" s="197"/>
      <c r="I5" s="197"/>
      <c r="J5" s="197"/>
      <c r="K5" s="197"/>
    </row>
    <row r="6" spans="1:13" ht="16.5" thickBot="1" x14ac:dyDescent="0.3">
      <c r="A6" s="199" t="s">
        <v>28</v>
      </c>
      <c r="B6" s="199"/>
      <c r="C6" s="199"/>
      <c r="D6" s="197" t="s">
        <v>85</v>
      </c>
      <c r="E6" s="197"/>
      <c r="F6" s="197"/>
      <c r="G6" s="197"/>
      <c r="H6" s="197"/>
      <c r="I6" s="197"/>
      <c r="J6" s="197"/>
      <c r="K6" s="197"/>
    </row>
    <row r="7" spans="1:13" ht="16.5" thickBot="1" x14ac:dyDescent="0.3">
      <c r="A7" s="196" t="s">
        <v>29</v>
      </c>
      <c r="B7" s="196"/>
      <c r="C7" s="196"/>
      <c r="D7" s="197" t="s">
        <v>127</v>
      </c>
      <c r="E7" s="197"/>
      <c r="F7" s="197"/>
      <c r="G7" s="197"/>
      <c r="H7" s="197"/>
      <c r="I7" s="197"/>
      <c r="J7" s="197"/>
      <c r="K7" s="197"/>
    </row>
    <row r="8" spans="1:13" ht="16.5" thickBot="1" x14ac:dyDescent="0.3">
      <c r="A8" s="200" t="s">
        <v>30</v>
      </c>
      <c r="B8" s="200"/>
      <c r="C8" s="200"/>
      <c r="D8" s="201" t="s">
        <v>70</v>
      </c>
      <c r="E8" s="201"/>
      <c r="F8" s="201"/>
      <c r="G8" s="201"/>
      <c r="H8" s="201"/>
      <c r="I8" s="201"/>
      <c r="J8" s="201"/>
      <c r="K8" s="201"/>
    </row>
    <row r="9" spans="1:13" ht="16.5" thickBot="1" x14ac:dyDescent="0.3">
      <c r="A9" s="105"/>
      <c r="B9" s="121"/>
      <c r="C9" s="106"/>
      <c r="D9" s="17"/>
      <c r="E9" s="17"/>
      <c r="F9" s="17"/>
      <c r="G9" s="17"/>
      <c r="H9" s="17"/>
      <c r="I9" s="17"/>
      <c r="J9" s="107"/>
      <c r="K9" s="108"/>
    </row>
    <row r="10" spans="1:13" ht="15.75" thickBot="1" x14ac:dyDescent="0.3">
      <c r="A10" s="206" t="s">
        <v>31</v>
      </c>
      <c r="B10" s="204" t="s">
        <v>32</v>
      </c>
      <c r="C10" s="204" t="s">
        <v>33</v>
      </c>
      <c r="D10" s="204"/>
      <c r="E10" s="204"/>
      <c r="F10" s="204"/>
      <c r="G10" s="204"/>
      <c r="H10" s="204" t="s">
        <v>34</v>
      </c>
      <c r="I10" s="204" t="s">
        <v>35</v>
      </c>
      <c r="J10" s="205" t="s">
        <v>36</v>
      </c>
      <c r="K10" s="202" t="s">
        <v>37</v>
      </c>
    </row>
    <row r="11" spans="1:13" ht="23.25" customHeight="1" thickBot="1" x14ac:dyDescent="0.3">
      <c r="A11" s="218"/>
      <c r="B11" s="219"/>
      <c r="C11" s="219"/>
      <c r="D11" s="219"/>
      <c r="E11" s="219"/>
      <c r="F11" s="219"/>
      <c r="G11" s="219"/>
      <c r="H11" s="219"/>
      <c r="I11" s="219"/>
      <c r="J11" s="220"/>
      <c r="K11" s="214"/>
    </row>
    <row r="12" spans="1:13" s="9" customFormat="1" ht="24.75" customHeight="1" x14ac:dyDescent="0.25">
      <c r="A12" s="109">
        <v>1</v>
      </c>
      <c r="B12" s="110" t="str">
        <f>'SAF 011'!B10</f>
        <v>2.5.2-710.4</v>
      </c>
      <c r="C12" s="215" t="str">
        <f>'SAF 011'!E10</f>
        <v>AGUA OXIGENADA; CAPACIDAD: 1000 CM3, VOLUMEN: 10, PRESENTACION: ENVASE X 1000 CM3</v>
      </c>
      <c r="D12" s="216"/>
      <c r="E12" s="216"/>
      <c r="F12" s="216"/>
      <c r="G12" s="217"/>
      <c r="H12" s="110" t="s">
        <v>72</v>
      </c>
      <c r="I12" s="111" t="str">
        <f>'SAF 011'!F10</f>
        <v>BOTELLA</v>
      </c>
      <c r="J12" s="112">
        <f>'SAF 011'!H10</f>
        <v>128.59</v>
      </c>
      <c r="K12" s="113">
        <v>30</v>
      </c>
      <c r="L12" s="98">
        <v>252</v>
      </c>
      <c r="M12" s="10">
        <f t="shared" ref="M12:M13" si="0">+J12*K12</f>
        <v>3857.7000000000003</v>
      </c>
    </row>
    <row r="13" spans="1:13" s="9" customFormat="1" ht="24.75" customHeight="1" x14ac:dyDescent="0.25">
      <c r="A13" s="127">
        <v>2</v>
      </c>
      <c r="B13" s="128" t="str">
        <f>'SAF 011'!B14</f>
        <v>2.5.2-1723.50</v>
      </c>
      <c r="C13" s="207" t="str">
        <f>'SAF 011'!E14</f>
        <v>ANTISEPTICOS LOCALES P/PERSONA; DROGA GENERICA: IODOPOVIDONA 10%, FORMA FARMACEUTICA: SOLUCION, PRESENTACION: ENVASE X 1 L, TIPO: MONODROGA</v>
      </c>
      <c r="D13" s="208"/>
      <c r="E13" s="208"/>
      <c r="F13" s="208"/>
      <c r="G13" s="209"/>
      <c r="H13" s="128" t="s">
        <v>72</v>
      </c>
      <c r="I13" s="129" t="str">
        <f>'SAF 011'!F14</f>
        <v>BOTELLA</v>
      </c>
      <c r="J13" s="130">
        <f>'SAF 011'!H14</f>
        <v>573</v>
      </c>
      <c r="K13" s="131">
        <v>15</v>
      </c>
      <c r="L13" s="98">
        <v>252</v>
      </c>
      <c r="M13" s="10">
        <f t="shared" si="0"/>
        <v>8595</v>
      </c>
    </row>
    <row r="14" spans="1:13" ht="16.5" thickBot="1" x14ac:dyDescent="0.3">
      <c r="A14" s="114"/>
      <c r="B14" s="132"/>
      <c r="C14" s="213"/>
      <c r="D14" s="213"/>
      <c r="E14" s="213"/>
      <c r="F14" s="213"/>
      <c r="G14" s="213"/>
      <c r="H14" s="116"/>
      <c r="I14" s="117"/>
      <c r="J14" s="118"/>
      <c r="K14" s="119"/>
    </row>
    <row r="15" spans="1:13" ht="19.5" thickBot="1" x14ac:dyDescent="0.3">
      <c r="A15" s="211" t="s">
        <v>86</v>
      </c>
      <c r="B15" s="211"/>
      <c r="C15" s="211"/>
      <c r="D15" s="211"/>
      <c r="E15" s="211"/>
      <c r="F15" s="211"/>
      <c r="G15" s="211"/>
      <c r="H15" s="211"/>
      <c r="I15" s="211"/>
      <c r="J15" s="221">
        <f>+M15</f>
        <v>12452.7</v>
      </c>
      <c r="K15" s="221"/>
      <c r="M15" s="10">
        <f>SUM(M12:M14)</f>
        <v>12452.7</v>
      </c>
    </row>
  </sheetData>
  <mergeCells count="25">
    <mergeCell ref="C14:G14"/>
    <mergeCell ref="A15:I15"/>
    <mergeCell ref="J15:K15"/>
    <mergeCell ref="C13:G13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Q41"/>
  <sheetViews>
    <sheetView workbookViewId="0">
      <selection activeCell="S32" sqref="S32"/>
    </sheetView>
  </sheetViews>
  <sheetFormatPr baseColWidth="10" defaultRowHeight="15" x14ac:dyDescent="0.25"/>
  <cols>
    <col min="1" max="5" width="4.42578125" style="18" customWidth="1"/>
    <col min="6" max="6" width="7.85546875" style="18" customWidth="1"/>
    <col min="7" max="14" width="4.42578125" style="18" customWidth="1"/>
    <col min="15" max="16" width="14.85546875" style="18" customWidth="1"/>
    <col min="17" max="17" width="14.7109375" style="18" customWidth="1"/>
  </cols>
  <sheetData>
    <row r="1" spans="1:17" ht="15.75" thickBot="1" x14ac:dyDescent="0.3">
      <c r="A1" s="223" t="s">
        <v>5</v>
      </c>
      <c r="B1" s="223"/>
      <c r="C1" s="223"/>
      <c r="D1" s="224">
        <v>2022</v>
      </c>
      <c r="E1" s="224"/>
      <c r="F1" s="138"/>
      <c r="G1" s="138"/>
      <c r="H1" s="139"/>
      <c r="I1" s="139"/>
      <c r="J1" s="139"/>
      <c r="K1" s="139"/>
      <c r="L1" s="139"/>
      <c r="M1" s="139"/>
      <c r="N1" s="139"/>
      <c r="O1" s="140"/>
      <c r="P1" s="225" t="s">
        <v>38</v>
      </c>
      <c r="Q1" s="225"/>
    </row>
    <row r="2" spans="1:17" ht="15.75" thickBot="1" x14ac:dyDescent="0.3">
      <c r="A2" s="141"/>
      <c r="B2" s="142"/>
      <c r="C2" s="142"/>
      <c r="D2" s="142"/>
      <c r="E2" s="142"/>
      <c r="F2" s="142"/>
      <c r="G2" s="143"/>
      <c r="H2" s="144"/>
      <c r="I2" s="144"/>
      <c r="J2" s="144"/>
      <c r="K2" s="144"/>
      <c r="L2" s="144"/>
      <c r="M2" s="144"/>
      <c r="N2" s="144"/>
      <c r="O2" s="142"/>
      <c r="P2" s="225"/>
      <c r="Q2" s="225"/>
    </row>
    <row r="3" spans="1:17" thickBot="1" x14ac:dyDescent="0.35">
      <c r="A3" s="141"/>
      <c r="B3" s="142"/>
      <c r="C3" s="142"/>
      <c r="D3" s="142"/>
      <c r="E3" s="142"/>
      <c r="F3" s="142"/>
      <c r="G3" s="143"/>
      <c r="H3" s="142"/>
      <c r="I3" s="142"/>
      <c r="J3" s="142"/>
      <c r="K3" s="142"/>
      <c r="L3" s="142"/>
      <c r="M3" s="142"/>
      <c r="N3" s="142"/>
      <c r="O3" s="142"/>
      <c r="P3" s="142"/>
      <c r="Q3" s="145"/>
    </row>
    <row r="4" spans="1:17" ht="15.75" thickBot="1" x14ac:dyDescent="0.3">
      <c r="A4" s="226" t="s">
        <v>39</v>
      </c>
      <c r="B4" s="226"/>
      <c r="C4" s="226"/>
      <c r="D4" s="226"/>
      <c r="E4" s="226"/>
      <c r="F4" s="226"/>
      <c r="G4" s="227" t="str">
        <f>'NP SAME'!D3</f>
        <v>040 - MINISTERIO DE SALUD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</row>
    <row r="5" spans="1:17" thickBot="1" x14ac:dyDescent="0.35">
      <c r="A5" s="228" t="s">
        <v>26</v>
      </c>
      <c r="B5" s="228"/>
      <c r="C5" s="228"/>
      <c r="D5" s="228"/>
      <c r="E5" s="228"/>
      <c r="F5" s="228"/>
      <c r="G5" s="227" t="str">
        <f>'NP SAME'!D4</f>
        <v>011 - DIRECCION PROVINCIAL DE ADMINISTRACION - MINISTERIO DE SALUD</v>
      </c>
      <c r="H5" s="227"/>
      <c r="I5" s="227"/>
      <c r="J5" s="227"/>
      <c r="K5" s="227"/>
      <c r="L5" s="227"/>
      <c r="M5" s="227"/>
      <c r="N5" s="227"/>
      <c r="O5" s="227"/>
      <c r="P5" s="227"/>
      <c r="Q5" s="227"/>
    </row>
    <row r="6" spans="1:17" thickBot="1" x14ac:dyDescent="0.35">
      <c r="A6" s="228" t="s">
        <v>27</v>
      </c>
      <c r="B6" s="228"/>
      <c r="C6" s="228"/>
      <c r="D6" s="228"/>
      <c r="E6" s="228"/>
      <c r="F6" s="228"/>
      <c r="G6" s="227" t="str">
        <f>'NP SAME'!D5</f>
        <v>DIRECCION PROVINCIAL SISTEMA DE ATENCION MEDICA DE EMERGENCIA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</row>
    <row r="7" spans="1:17" thickBot="1" x14ac:dyDescent="0.35">
      <c r="A7" s="228" t="s">
        <v>28</v>
      </c>
      <c r="B7" s="228"/>
      <c r="C7" s="228"/>
      <c r="D7" s="228"/>
      <c r="E7" s="228"/>
      <c r="F7" s="228"/>
      <c r="G7" s="227" t="str">
        <f>'NP SAME'!D6</f>
        <v>DIRECCION PROVINCIAL SISTEMA DE ATENCION MEDICA DE EMERGENCIA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</row>
    <row r="8" spans="1:17" ht="15.75" thickBot="1" x14ac:dyDescent="0.3">
      <c r="A8" s="229" t="s">
        <v>40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20.25" customHeight="1" x14ac:dyDescent="0.25">
      <c r="A9" s="222" t="s">
        <v>41</v>
      </c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</row>
    <row r="10" spans="1:17" ht="69" customHeight="1" x14ac:dyDescent="0.25">
      <c r="A10" s="231" t="s">
        <v>81</v>
      </c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</row>
    <row r="11" spans="1:17" thickBot="1" x14ac:dyDescent="0.35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5"/>
    </row>
    <row r="12" spans="1:17" ht="15.75" thickBot="1" x14ac:dyDescent="0.3">
      <c r="A12" s="252" t="s">
        <v>42</v>
      </c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</row>
    <row r="13" spans="1:17" ht="15.75" thickBot="1" x14ac:dyDescent="0.3">
      <c r="A13" s="233" t="s">
        <v>43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4" t="s">
        <v>44</v>
      </c>
      <c r="P13" s="234"/>
      <c r="Q13" s="235" t="s">
        <v>45</v>
      </c>
    </row>
    <row r="14" spans="1:17" ht="15.75" thickBot="1" x14ac:dyDescent="0.3">
      <c r="A14" s="162" t="s">
        <v>46</v>
      </c>
      <c r="B14" s="163" t="s">
        <v>47</v>
      </c>
      <c r="C14" s="163" t="s">
        <v>48</v>
      </c>
      <c r="D14" s="163" t="s">
        <v>49</v>
      </c>
      <c r="E14" s="163" t="s">
        <v>50</v>
      </c>
      <c r="F14" s="163" t="s">
        <v>51</v>
      </c>
      <c r="G14" s="164" t="s">
        <v>52</v>
      </c>
      <c r="H14" s="163" t="s">
        <v>53</v>
      </c>
      <c r="I14" s="163" t="s">
        <v>54</v>
      </c>
      <c r="J14" s="163" t="s">
        <v>55</v>
      </c>
      <c r="K14" s="163" t="s">
        <v>55</v>
      </c>
      <c r="L14" s="163" t="s">
        <v>56</v>
      </c>
      <c r="M14" s="165" t="s">
        <v>57</v>
      </c>
      <c r="N14" s="166" t="s">
        <v>58</v>
      </c>
      <c r="O14" s="253"/>
      <c r="P14" s="253"/>
      <c r="Q14" s="254"/>
    </row>
    <row r="15" spans="1:17" ht="30" customHeight="1" x14ac:dyDescent="0.3">
      <c r="A15" s="23">
        <v>31</v>
      </c>
      <c r="B15" s="24"/>
      <c r="C15" s="24"/>
      <c r="D15" s="24">
        <v>1</v>
      </c>
      <c r="E15" s="24"/>
      <c r="F15" s="24">
        <v>4901</v>
      </c>
      <c r="G15" s="24">
        <v>3</v>
      </c>
      <c r="H15" s="24">
        <v>1</v>
      </c>
      <c r="I15" s="24">
        <v>2</v>
      </c>
      <c r="J15" s="24">
        <v>5</v>
      </c>
      <c r="K15" s="24">
        <v>2</v>
      </c>
      <c r="L15" s="24"/>
      <c r="M15" s="25">
        <v>1</v>
      </c>
      <c r="N15" s="24" t="s">
        <v>68</v>
      </c>
      <c r="O15" s="255" t="s">
        <v>69</v>
      </c>
      <c r="P15" s="256"/>
      <c r="Q15" s="167">
        <v>12452.7</v>
      </c>
    </row>
    <row r="16" spans="1:17" ht="14.45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251"/>
      <c r="P16" s="251"/>
      <c r="Q16" s="27"/>
    </row>
    <row r="17" spans="1:17" ht="14.45" x14ac:dyDescent="0.3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6"/>
      <c r="O17" s="230"/>
      <c r="P17" s="230"/>
      <c r="Q17" s="27"/>
    </row>
    <row r="18" spans="1:17" ht="14.45" x14ac:dyDescent="0.3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230"/>
      <c r="P18" s="230"/>
      <c r="Q18" s="27"/>
    </row>
    <row r="19" spans="1:17" ht="14.45" x14ac:dyDescent="0.3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6"/>
      <c r="O19" s="230"/>
      <c r="P19" s="230"/>
      <c r="Q19" s="27"/>
    </row>
    <row r="20" spans="1:17" ht="14.45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26"/>
      <c r="O20" s="230"/>
      <c r="P20" s="230"/>
      <c r="Q20" s="27"/>
    </row>
    <row r="21" spans="1:17" ht="14.45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  <c r="N21" s="26"/>
      <c r="O21" s="230"/>
      <c r="P21" s="230"/>
      <c r="Q21" s="27"/>
    </row>
    <row r="22" spans="1:17" ht="14.45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6"/>
      <c r="O22" s="230"/>
      <c r="P22" s="230"/>
      <c r="Q22" s="27"/>
    </row>
    <row r="23" spans="1:17" ht="14.45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5"/>
      <c r="N23" s="26"/>
      <c r="O23" s="230"/>
      <c r="P23" s="230"/>
      <c r="Q23" s="27"/>
    </row>
    <row r="24" spans="1:17" ht="14.45" x14ac:dyDescent="0.3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5"/>
      <c r="N24" s="26"/>
      <c r="O24" s="230"/>
      <c r="P24" s="230"/>
      <c r="Q24" s="27"/>
    </row>
    <row r="25" spans="1:17" ht="14.45" x14ac:dyDescent="0.3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/>
      <c r="N25" s="26"/>
      <c r="O25" s="230"/>
      <c r="P25" s="230"/>
      <c r="Q25" s="27"/>
    </row>
    <row r="26" spans="1:17" ht="14.45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26"/>
      <c r="O26" s="230"/>
      <c r="P26" s="230"/>
      <c r="Q26" s="27"/>
    </row>
    <row r="27" spans="1:17" ht="14.45" x14ac:dyDescent="0.3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6"/>
      <c r="O27" s="230"/>
      <c r="P27" s="230"/>
      <c r="Q27" s="27"/>
    </row>
    <row r="28" spans="1:17" ht="14.45" x14ac:dyDescent="0.3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5"/>
      <c r="N28" s="26"/>
      <c r="O28" s="230"/>
      <c r="P28" s="230"/>
      <c r="Q28" s="27"/>
    </row>
    <row r="29" spans="1:17" ht="14.45" x14ac:dyDescent="0.3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5"/>
      <c r="N29" s="26"/>
      <c r="O29" s="230"/>
      <c r="P29" s="230"/>
      <c r="Q29" s="27"/>
    </row>
    <row r="30" spans="1:17" ht="14.45" x14ac:dyDescent="0.3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5"/>
      <c r="N30" s="26"/>
      <c r="O30" s="230"/>
      <c r="P30" s="230"/>
      <c r="Q30" s="27"/>
    </row>
    <row r="31" spans="1:17" ht="14.45" x14ac:dyDescent="0.3">
      <c r="A31" s="23"/>
      <c r="B31" s="24"/>
      <c r="C31" s="24"/>
      <c r="D31" s="24"/>
      <c r="E31" s="24"/>
      <c r="F31" s="26"/>
      <c r="G31" s="24"/>
      <c r="H31" s="24"/>
      <c r="I31" s="24"/>
      <c r="J31" s="24"/>
      <c r="K31" s="24"/>
      <c r="L31" s="24"/>
      <c r="M31" s="25"/>
      <c r="N31" s="26"/>
      <c r="O31" s="241"/>
      <c r="P31" s="241"/>
      <c r="Q31" s="27"/>
    </row>
    <row r="32" spans="1:17" ht="14.45" x14ac:dyDescent="0.3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5"/>
      <c r="N32" s="26"/>
      <c r="O32" s="241"/>
      <c r="P32" s="241"/>
      <c r="Q32" s="27"/>
    </row>
    <row r="33" spans="1:17" ht="14.45" x14ac:dyDescent="0.3">
      <c r="A33" s="23"/>
      <c r="B33" s="24"/>
      <c r="C33" s="24"/>
      <c r="D33" s="24"/>
      <c r="E33" s="24"/>
      <c r="F33" s="26"/>
      <c r="G33" s="24"/>
      <c r="H33" s="24"/>
      <c r="I33" s="24"/>
      <c r="J33" s="24"/>
      <c r="K33" s="24"/>
      <c r="L33" s="24"/>
      <c r="M33" s="25"/>
      <c r="N33" s="26"/>
      <c r="O33" s="241"/>
      <c r="P33" s="241"/>
      <c r="Q33" s="27"/>
    </row>
    <row r="34" spans="1:17" x14ac:dyDescent="0.25">
      <c r="A34" s="23"/>
      <c r="B34" s="24"/>
      <c r="C34" s="24"/>
      <c r="D34" s="24"/>
      <c r="E34" s="24"/>
      <c r="F34" s="26"/>
      <c r="G34" s="24"/>
      <c r="H34" s="24"/>
      <c r="I34" s="24"/>
      <c r="J34" s="24"/>
      <c r="K34" s="24"/>
      <c r="L34" s="24"/>
      <c r="M34" s="25"/>
      <c r="N34" s="26"/>
      <c r="O34" s="241"/>
      <c r="P34" s="241"/>
      <c r="Q34" s="27"/>
    </row>
    <row r="35" spans="1:17" x14ac:dyDescent="0.25">
      <c r="A35" s="146"/>
      <c r="B35" s="147"/>
      <c r="C35" s="147"/>
      <c r="D35" s="147"/>
      <c r="E35" s="147"/>
      <c r="F35" s="148"/>
      <c r="G35" s="147"/>
      <c r="H35" s="147"/>
      <c r="I35" s="147"/>
      <c r="J35" s="147"/>
      <c r="K35" s="147"/>
      <c r="L35" s="147"/>
      <c r="M35" s="149"/>
      <c r="N35" s="150"/>
      <c r="O35" s="245"/>
      <c r="P35" s="245"/>
      <c r="Q35" s="27"/>
    </row>
    <row r="36" spans="1:17" ht="15.75" thickBo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52"/>
      <c r="O36" s="246"/>
      <c r="P36" s="246"/>
      <c r="Q36" s="154"/>
    </row>
    <row r="37" spans="1:17" ht="15.75" thickBot="1" x14ac:dyDescent="0.3">
      <c r="A37" s="247" t="s">
        <v>87</v>
      </c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155">
        <f>SUM(Q15:Q36)</f>
        <v>12452.7</v>
      </c>
    </row>
    <row r="38" spans="1:17" ht="15.75" thickBot="1" x14ac:dyDescent="0.3">
      <c r="A38" s="248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</row>
    <row r="39" spans="1:17" ht="15.75" thickBot="1" x14ac:dyDescent="0.3">
      <c r="A39" s="242" t="s">
        <v>59</v>
      </c>
      <c r="B39" s="242"/>
      <c r="C39" s="242"/>
      <c r="D39" s="242"/>
      <c r="E39" s="242"/>
      <c r="F39" s="242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</row>
    <row r="40" spans="1:17" ht="15.75" thickBot="1" x14ac:dyDescent="0.3">
      <c r="A40" s="244" t="str">
        <f>'NP SAME'!D8</f>
        <v>ADQUISICION DEL RUBRO ANTISEPTICOS Y DESINFECTANTES</v>
      </c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</row>
    <row r="41" spans="1:17" ht="15.75" thickBot="1" x14ac:dyDescent="0.3">
      <c r="A41" s="244"/>
      <c r="B41" s="244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</row>
  </sheetData>
  <mergeCells count="45">
    <mergeCell ref="A39:F39"/>
    <mergeCell ref="G39:Q39"/>
    <mergeCell ref="A40:Q41"/>
    <mergeCell ref="O33:P33"/>
    <mergeCell ref="O34:P34"/>
    <mergeCell ref="O35:P35"/>
    <mergeCell ref="O36:P36"/>
    <mergeCell ref="A37:P37"/>
    <mergeCell ref="A38:Q38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SAF 011</vt:lpstr>
      <vt:lpstr>NP FARMACIA</vt:lpstr>
      <vt:lpstr>NP LABORATORIO</vt:lpstr>
      <vt:lpstr>NP BANCO DE SANGRE</vt:lpstr>
      <vt:lpstr>APG FARMACIA</vt:lpstr>
      <vt:lpstr>NP ODONTOLOGIA</vt:lpstr>
      <vt:lpstr>APG ODONTOLOGIA</vt:lpstr>
      <vt:lpstr>NP SAME</vt:lpstr>
      <vt:lpstr>APG SAME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2021-12-21T17:55:07Z</dcterms:created>
  <dcterms:modified xsi:type="dcterms:W3CDTF">2022-03-07T15:49:34Z</dcterms:modified>
</cp:coreProperties>
</file>