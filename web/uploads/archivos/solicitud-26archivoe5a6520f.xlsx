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Nutricion y Soluciones ACUERDO MARCO 1907733\1 pedido\"/>
    </mc:Choice>
  </mc:AlternateContent>
  <bookViews>
    <workbookView xWindow="-120" yWindow="-120" windowWidth="20730" windowHeight="11160" tabRatio="500"/>
  </bookViews>
  <sheets>
    <sheet name=" NotaPedido" sheetId="2" r:id="rId1"/>
    <sheet name="APG" sheetId="4" r:id="rId2"/>
  </sheets>
  <definedNames>
    <definedName name="_xlnm._FilterDatabase" localSheetId="0" hidden="1">' NotaPedido'!$A$10:$K$45</definedName>
    <definedName name="_xlnm.Print_Area" localSheetId="0">' NotaPedido'!$A$1:$K$45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5" i="2" l="1"/>
  <c r="L103" i="4" l="1"/>
  <c r="P20" i="4"/>
</calcChain>
</file>

<file path=xl/sharedStrings.xml><?xml version="1.0" encoding="utf-8"?>
<sst xmlns="http://schemas.openxmlformats.org/spreadsheetml/2006/main" count="195" uniqueCount="132">
  <si>
    <t>EJERCICIO: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</si>
  <si>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</si>
  <si>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</si>
  <si>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</si>
  <si>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</si>
  <si>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</si>
  <si>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</si>
  <si>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</si>
  <si>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</si>
  <si>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</si>
  <si>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</si>
  <si>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</si>
  <si>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</si>
  <si>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</si>
  <si>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</si>
  <si>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</si>
  <si>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</si>
  <si>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</si>
  <si>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</si>
  <si>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</si>
  <si>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</si>
  <si>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</si>
  <si>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</si>
  <si>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</si>
  <si>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</si>
  <si>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</si>
  <si>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</si>
  <si>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</si>
  <si>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</si>
  <si>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</si>
  <si>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</si>
  <si>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</si>
  <si>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</si>
  <si>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</si>
  <si>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</si>
  <si>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</si>
  <si>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</si>
  <si>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</si>
  <si>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1.1</t>
  </si>
  <si>
    <t>NO</t>
  </si>
  <si>
    <t>28-Maternidad provincial 25 de mayo</t>
  </si>
  <si>
    <t xml:space="preserve">42-Ministerio de salud </t>
  </si>
  <si>
    <t xml:space="preserve">28-Maternidad provincial 25 de mayo </t>
  </si>
  <si>
    <t>169--Direccion Asistencial</t>
  </si>
  <si>
    <t>Direccion  Asistencial</t>
  </si>
  <si>
    <t>169- Direccion Asistencial</t>
  </si>
  <si>
    <t>Direccion Asistencial</t>
  </si>
  <si>
    <t>DENOMINACION DED LA PARTIDA PRESUPUESTARIA</t>
  </si>
  <si>
    <t>SOLUCIONES P/MEDICINA; TIPO: AGUA DESTILADA, PRESENTACION: AMPOLLA DE 10 ML</t>
  </si>
  <si>
    <t>SOLUCIONES P/MEDICINA; TIPO: AGUA DESTILADA, PRESENTACION: ENVASE X 500 mL</t>
  </si>
  <si>
    <t>SACHET</t>
  </si>
  <si>
    <t>2.5.2-1726.520</t>
  </si>
  <si>
    <t>2.5.2-1726.186</t>
  </si>
  <si>
    <t>2.5.2-2183.7</t>
  </si>
  <si>
    <t>EXPANSORES PLASMATICOS; PRINCIPIO ACTIVO: ALBUMINA HUMANA, CONCENTRACION: 20 %, PRESENTACION: 50ML</t>
  </si>
  <si>
    <t>RECONSTITUYENTE GENERAL; DROGA GENERICA: ALIMENTO ENTERAL PARA SONDA BAJO INDICE GLUCEMICO, FORMA FARMACEUTICA: ENVASE, PRESENTACION: 1 L, TIPO: ASOCIACION</t>
  </si>
  <si>
    <t>RECONSTITUYENTE GENERAL; TIPO: ASOCIACION, DROGA GENERICA: ALIMENTO ENTERAL PARA SONDA BAJO INDICE GLUCEMICO, FORMA FARMACEUTICA: SOLUCION, PRESENTACION: ENVASE X 500 CM3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</si>
  <si>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</si>
  <si>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</si>
  <si>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 xml:space="preserve">UNIDAD </t>
  </si>
  <si>
    <t xml:space="preserve">UNIDAD  </t>
  </si>
  <si>
    <t>UNIDAD</t>
  </si>
  <si>
    <t>2.5.2-1903.104</t>
  </si>
  <si>
    <t>2.5.2-1903.105</t>
  </si>
  <si>
    <t>2.1.1-4227.56</t>
  </si>
  <si>
    <t>2.1.1-4227.19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</si>
  <si>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</si>
  <si>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</si>
  <si>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</si>
  <si>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</si>
  <si>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2.5.2-1726.191</t>
  </si>
  <si>
    <t>2.5.2-1726.9</t>
  </si>
  <si>
    <t>2.5.2-1726.305</t>
  </si>
  <si>
    <t>2.5.2-1726.519</t>
  </si>
  <si>
    <t>FRASCO</t>
  </si>
  <si>
    <t>AMPOLLA</t>
  </si>
  <si>
    <t>NORMALIZADORES DE CALCEMIA; TIPO: MONODROGA, DROGA GENERICA: GLUCONATO DE CALCIO 10 %, FORMA FARMACEUTICA: AMPOLLA, PRESENTACION: ENVASE X 10 mL</t>
  </si>
  <si>
    <t>2.5.2-2689.7</t>
  </si>
  <si>
    <t>SOLUCIONES P/MEDICINA; TIPO: DEXTROSA AL 10 %, PRESENTACION: ENVASE X 250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</si>
  <si>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</si>
  <si>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</si>
  <si>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</si>
  <si>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2.5.2-1726.464</t>
  </si>
  <si>
    <t>2.5.2-1726.14</t>
  </si>
  <si>
    <t>2.5.2-1726.377</t>
  </si>
  <si>
    <t>2.5.2-1726.24</t>
  </si>
  <si>
    <t>SOLUCIONES P/MEDICINA; TIPO: FISIOLOGICA CLORURO DE SODIO, PRESENTACION: 500 CM3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</si>
  <si>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</si>
  <si>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</si>
  <si>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</si>
  <si>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2.5.2-1726.17</t>
  </si>
  <si>
    <t>2.5.2-1726.419</t>
  </si>
  <si>
    <t>2.5.2-1726.393</t>
  </si>
  <si>
    <t>2.5.2-1726.381</t>
  </si>
  <si>
    <t>SOLUCIONES P/MEDICINA; TIPO: RINGER LACTATO, PRESENTACION: ENVASE X 500 mL</t>
  </si>
  <si>
    <t>SOLUCIONES P/MEDICINA; TIPO: SULFATO DE MAGNESIO AL 25%, PRESENTACION: ENVASE X 5 mL</t>
  </si>
  <si>
    <t>2.5.2-1726.182</t>
  </si>
  <si>
    <t>2.5.2-1726.371</t>
  </si>
  <si>
    <t>SUPLEMENTOS DIETARIOS; TIPO: MONODROGA, DROGA GENERICA: TRIGLICER CADENA MEDIA, PRESENTACION: ENVASE X 500 CM3</t>
  </si>
  <si>
    <t>2.1.1-4227.55</t>
  </si>
  <si>
    <t>BOTELLA</t>
  </si>
  <si>
    <t xml:space="preserve">PRODUCTOS FARMACEUTICOS Y MEDICINALES </t>
  </si>
  <si>
    <t>2.5.2-1726.10</t>
  </si>
  <si>
    <t>2.5.2-1903.103</t>
  </si>
  <si>
    <t>2.5.2-1726.382</t>
  </si>
  <si>
    <t>2.5.2-1726.460</t>
  </si>
  <si>
    <t>2.5.2-1726.449</t>
  </si>
  <si>
    <t>2.5.2-1726.378</t>
  </si>
  <si>
    <t>2.5.2-1726.376</t>
  </si>
  <si>
    <t>2.5.2-1726.369</t>
  </si>
  <si>
    <t>2.5.2-1726.521</t>
  </si>
  <si>
    <t>2.5.2-1726.522</t>
  </si>
  <si>
    <t>2.5.2-1836.10</t>
  </si>
  <si>
    <t>SOLUCIONES P/MEDICINA; TIPO: AGUA P/IRRIGACION QUIRURGICA, PRESENTACION: SACHET X 2000 mL</t>
  </si>
  <si>
    <t>RECONSTITUYENTE GENERAL; DROGA GENERICA: ALIMENTO ENTERAL PARA SONDA FORTIFICADO CON FIBRAS, FORMA FARMACEUTICA: ENVASE, PRESENTACION: 1 L, TIPO: ASOCIACION</t>
  </si>
  <si>
    <t>SOLUCIONES P/MEDICINA; TIPO: CLORURO DE POTASIO MOLAR, PRESENTACION: ENVASE X 100 mL</t>
  </si>
  <si>
    <t>SOLUCIONES P/MEDICINA; TIPO: HEMODIALISIS ACIDA A, PRESENTACION: ENVASE X 10 L</t>
  </si>
  <si>
    <t>SOLUCIONES P/MEDICINA; TIPO: HEMODIALISIS BASICO B, PRESENTACION: ENVASE X 10 L</t>
  </si>
  <si>
    <t>SOLUCIONES P/MEDICINA; TIPO: DEXTROSA AL 50 %, PRESENTACION: ENVASE X 500 mL</t>
  </si>
  <si>
    <t>SOLUCIONES P/MEDICINA; TIPO: DEXTROSA AL 5%, PRESENTACION: ENVASE X 100 mL</t>
  </si>
  <si>
    <t>SOLUCIONES P/MEDICINA; TIPO: FISIOLOGICA, PRESENTACION: ENVASE X 100 mL</t>
  </si>
  <si>
    <t>SOLUCIONES P/MEDICINA; TIPO: DIALISIS PERITONEAL DEXTROSA AL 1,5 %, PRESENTACION: ENVASE X 2 L</t>
  </si>
  <si>
    <t>SOLUCIONES P/MEDICINA; TIPO: DIALISIS PERITONEAL DEXTROSA AL 2,5 %, PRESENTACION: ENVASE X 2 L</t>
  </si>
  <si>
    <t>HIPERTENSORES; TIPO: MONODROGA, DROGA GENERICA: ZINC SULFATO, FORMA FARMACEUTICA: AMPOLLAS, PRESENTACION: 5 mL</t>
  </si>
  <si>
    <t>BIDON</t>
  </si>
  <si>
    <t>Adquisicion de Productos Medicos y Farmaceuticos(Nutricion-Soluciones)</t>
  </si>
  <si>
    <t>Para la Adquisicion de Prodcutos medicos y farmaceuticos(Nutricion-Soluciones) -Modalidad acuardo marco para la Maternidad Provincial 25 de Mayo.</t>
  </si>
  <si>
    <t>53/2022</t>
  </si>
  <si>
    <t>Autorizo la realización de los  trámites correspondientes, a fin de proveer a  este Organismo los bienes y/o servicios que se detallan en Nota  de Pedido N° 53/2022,  afectando la erogación resultante a los créditos presupuestarios aprobados a favor de esta Unidad Ejecutora, conforme al siguiente detalle:</t>
  </si>
  <si>
    <t>Mensual</t>
  </si>
  <si>
    <t>Costo total estimado: TRES MILLONES QUINIENTOS TREINTA Y CINCO MIL TRESCIENTOS TREINTA Y UNO CON 50/100</t>
  </si>
  <si>
    <t>TOTAL DE PESOS: TRES MILLONES QUINIENTOS TREINTA Y CINCO MIL TRESCIENTOS TREINTA Y UNO CON 50/100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</si>
</sst>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[$$-2C0A]\ #,##0.00;[$$-2C0A]&quot; -&quot;#,##0.00"/>
    <numFmt numFmtId="166" formatCode="dd\-mm\-yy;@"/>
    <numFmt numFmtId="167" formatCode="&quot;$&quot;\ #,##0.00"/>
    <numFmt numFmtId="168" formatCode="_-&quot;$&quot;\ * #,##0.00_-;\-&quot;$&quot;\ * #,##0.00_-;_-&quot;$&quot;\ * &quot;-&quot;??_-;_-@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b/>
      <sz val="8"/>
      <name val="Arial"/>
      <family val="2"/>
      <charset val="1"/>
    </font>
    <font>
      <sz val="11"/>
      <color rgb="FF9C0006"/>
      <name val="Calibri"/>
      <family val="2"/>
      <scheme val="minor"/>
    </font>
    <font>
      <sz val="8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7" fillId="3" borderId="0" applyNumberFormat="0" applyBorder="0" applyAlignment="0" applyProtection="0"/>
  </cellStyleXfs>
  <cellXfs count="110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21" xfId="2" applyNumberFormat="1" applyFont="1" applyBorder="1" applyAlignment="1" applyProtection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5" fontId="0" fillId="0" borderId="25" xfId="2" applyNumberFormat="1" applyFont="1" applyBorder="1" applyAlignment="1" applyProtection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3" fontId="10" fillId="0" borderId="0" xfId="0" applyNumberFormat="1" applyFont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 wrapText="1"/>
    </xf>
    <xf numFmtId="0" fontId="9" fillId="0" borderId="35" xfId="0" applyFont="1" applyBorder="1" applyAlignment="1">
      <alignment vertical="center" wrapText="1"/>
    </xf>
    <xf numFmtId="44" fontId="3" fillId="0" borderId="0" xfId="0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0" borderId="39" xfId="0" applyFont="1" applyBorder="1" applyAlignment="1">
      <alignment vertical="center" wrapText="1"/>
    </xf>
    <xf numFmtId="0" fontId="1" fillId="4" borderId="32" xfId="4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/>
    </xf>
    <xf numFmtId="168" fontId="22" fillId="5" borderId="32" xfId="0" applyNumberFormat="1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 wrapText="1"/>
    </xf>
    <xf numFmtId="0" fontId="1" fillId="4" borderId="32" xfId="4" applyFont="1" applyFill="1" applyBorder="1" applyAlignment="1">
      <alignment horizontal="center" vertical="center" wrapText="1"/>
    </xf>
    <xf numFmtId="168" fontId="1" fillId="4" borderId="32" xfId="4" applyNumberFormat="1" applyFont="1" applyFill="1" applyBorder="1" applyAlignment="1">
      <alignment horizontal="center" vertical="center"/>
    </xf>
    <xf numFmtId="0" fontId="21" fillId="5" borderId="32" xfId="0" applyFont="1" applyFill="1" applyBorder="1" applyAlignment="1">
      <alignment horizontal="center" vertical="center" wrapText="1"/>
    </xf>
    <xf numFmtId="168" fontId="22" fillId="6" borderId="32" xfId="0" applyNumberFormat="1" applyFont="1" applyFill="1" applyBorder="1" applyAlignment="1">
      <alignment horizontal="center" vertical="center"/>
    </xf>
    <xf numFmtId="0" fontId="1" fillId="4" borderId="32" xfId="4" applyFont="1" applyFill="1" applyBorder="1" applyAlignment="1">
      <alignment horizontal="center"/>
    </xf>
    <xf numFmtId="0" fontId="21" fillId="5" borderId="32" xfId="0" applyFont="1" applyFill="1" applyBorder="1" applyAlignment="1">
      <alignment horizontal="center"/>
    </xf>
    <xf numFmtId="0" fontId="22" fillId="5" borderId="32" xfId="0" applyFont="1" applyFill="1" applyBorder="1" applyAlignment="1">
      <alignment horizontal="center"/>
    </xf>
    <xf numFmtId="0" fontId="23" fillId="5" borderId="0" xfId="4" applyFont="1" applyFill="1"/>
    <xf numFmtId="0" fontId="23" fillId="5" borderId="2" xfId="4" applyFont="1" applyFill="1" applyBorder="1"/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left" vertical="center"/>
    </xf>
    <xf numFmtId="0" fontId="14" fillId="0" borderId="4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22" fillId="5" borderId="32" xfId="0" applyFont="1" applyFill="1" applyBorder="1" applyAlignment="1">
      <alignment horizontal="center" vertical="center"/>
    </xf>
    <xf numFmtId="0" fontId="22" fillId="5" borderId="32" xfId="0" applyFont="1" applyFill="1" applyBorder="1" applyAlignment="1">
      <alignment horizontal="center" vertical="center" wrapText="1"/>
    </xf>
    <xf numFmtId="0" fontId="1" fillId="4" borderId="32" xfId="4" applyFont="1" applyFill="1" applyBorder="1" applyAlignment="1">
      <alignment horizontal="center" vertical="center" wrapText="1"/>
    </xf>
    <xf numFmtId="0" fontId="22" fillId="5" borderId="32" xfId="0" applyFont="1" applyFill="1" applyBorder="1" applyAlignment="1">
      <alignment horizontal="center" wrapText="1"/>
    </xf>
    <xf numFmtId="0" fontId="22" fillId="6" borderId="3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 indent="1"/>
    </xf>
    <xf numFmtId="0" fontId="7" fillId="0" borderId="34" xfId="0" applyFont="1" applyBorder="1" applyAlignment="1">
      <alignment horizontal="left" vertical="center" wrapText="1" indent="1"/>
    </xf>
    <xf numFmtId="167" fontId="8" fillId="0" borderId="38" xfId="0" applyNumberFormat="1" applyFont="1" applyBorder="1" applyAlignment="1">
      <alignment horizontal="center" vertical="center" wrapText="1"/>
    </xf>
    <xf numFmtId="167" fontId="8" fillId="0" borderId="36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 wrapText="1" indent="1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/>
    </xf>
    <xf numFmtId="0" fontId="24" fillId="5" borderId="6" xfId="4" applyFont="1" applyFill="1" applyBorder="1" applyAlignment="1">
      <alignment horizontal="left" vertical="center" wrapText="1" indent="1"/>
    </xf>
    <xf numFmtId="0" fontId="7" fillId="0" borderId="10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7" fillId="0" borderId="11" xfId="0" applyFont="1" applyFill="1" applyBorder="1" applyAlignment="1">
      <alignment horizontal="left" vertical="center" wrapText="1" indent="1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 wrapText="1" indent="1"/>
    </xf>
    <xf numFmtId="0" fontId="16" fillId="0" borderId="26" xfId="0" applyFont="1" applyBorder="1" applyAlignment="1">
      <alignment horizontal="left" vertical="center" wrapText="1"/>
    </xf>
    <xf numFmtId="0" fontId="0" fillId="0" borderId="12" xfId="0" applyBorder="1"/>
    <xf numFmtId="0" fontId="10" fillId="0" borderId="10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23" fillId="5" borderId="13" xfId="4" applyFont="1" applyFill="1" applyBorder="1" applyAlignment="1">
      <alignment horizontal="left" vertical="center" wrapText="1"/>
    </xf>
    <xf numFmtId="0" fontId="23" fillId="5" borderId="0" xfId="4" applyFont="1" applyFill="1" applyBorder="1" applyAlignment="1">
      <alignment horizontal="left" vertical="center" wrapText="1"/>
    </xf>
    <xf numFmtId="0" fontId="23" fillId="5" borderId="2" xfId="4" applyFont="1" applyFill="1" applyBorder="1" applyAlignment="1">
      <alignment horizontal="left" vertical="center" wrapText="1"/>
    </xf>
    <xf numFmtId="0" fontId="23" fillId="5" borderId="14" xfId="4" applyFont="1" applyFill="1" applyBorder="1" applyAlignment="1">
      <alignment horizontal="left" vertical="center" wrapText="1"/>
    </xf>
    <xf numFmtId="0" fontId="23" fillId="5" borderId="4" xfId="4" applyFont="1" applyFill="1" applyBorder="1" applyAlignment="1">
      <alignment horizontal="left" vertical="center" wrapText="1"/>
    </xf>
    <xf numFmtId="0" fontId="23" fillId="5" borderId="15" xfId="4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indent="1"/>
    </xf>
    <xf numFmtId="0" fontId="13" fillId="0" borderId="3" xfId="0" applyFont="1" applyBorder="1" applyAlignment="1">
      <alignment horizontal="left"/>
    </xf>
    <xf numFmtId="0" fontId="23" fillId="5" borderId="13" xfId="4" applyFont="1" applyFill="1" applyBorder="1"/>
    <xf numFmtId="0" fontId="0" fillId="0" borderId="10" xfId="0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3" fillId="0" borderId="3" xfId="0" applyFont="1" applyBorder="1"/>
  </cellXfs>
  <cellStyles count="5">
    <cellStyle name="Encabezado 1" xfId="1"/>
    <cellStyle name="Incorrecto" xfId="4" builtinId="27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Z46"/>
  <sheetViews>
    <sheetView tabSelected="1" topLeftCell="A19" zoomScale="75" zoomScaleNormal="75" workbookViewId="0">
      <selection activeCell="A45" sqref="A45:I45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9.140625" style="1" customWidth="1"/>
    <col min="11" max="11" width="24.140625" style="26" customWidth="1"/>
    <col min="12" max="12" width="9.140625" style="1"/>
    <col min="13" max="13" width="22.28515625" style="1" customWidth="1"/>
    <col min="14" max="1014" width="9.140625" style="1"/>
  </cols>
  <sheetData>
    <row r="1" spans="1:13" ht="18" customHeight="1" thickBot="1" x14ac:dyDescent="0.25">
      <c r="A1" s="75" t="s">
        <v>1</v>
      </c>
      <c r="B1" s="75"/>
      <c r="C1" s="75"/>
      <c r="D1" s="75"/>
      <c r="E1" s="75"/>
      <c r="F1" s="75"/>
      <c r="G1" s="75"/>
      <c r="H1" s="75"/>
      <c r="I1" s="75"/>
      <c r="J1" s="2" t="s">
        <v>2</v>
      </c>
      <c r="K1" s="20" t="s">
        <v>127</v>
      </c>
    </row>
    <row r="2" spans="1:13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21"/>
    </row>
    <row r="3" spans="1:13" ht="18.75" customHeight="1" thickBot="1" x14ac:dyDescent="0.25">
      <c r="A3" s="76" t="s">
        <v>34</v>
      </c>
      <c r="B3" s="76"/>
      <c r="C3" s="76"/>
      <c r="D3" s="80" t="s">
        <v>37</v>
      </c>
      <c r="E3" s="81"/>
      <c r="F3" s="81"/>
      <c r="G3" s="81"/>
      <c r="H3" s="81"/>
      <c r="I3" s="81"/>
      <c r="J3" s="81"/>
      <c r="K3" s="82"/>
    </row>
    <row r="4" spans="1:13" ht="18.75" customHeight="1" thickBot="1" x14ac:dyDescent="0.25">
      <c r="A4" s="78" t="s">
        <v>35</v>
      </c>
      <c r="B4" s="78"/>
      <c r="C4" s="78"/>
      <c r="D4" s="77" t="s">
        <v>40</v>
      </c>
      <c r="E4" s="77"/>
      <c r="F4" s="77"/>
      <c r="G4" s="77"/>
      <c r="H4" s="77"/>
      <c r="I4" s="77"/>
      <c r="J4" s="77"/>
      <c r="K4" s="77"/>
    </row>
    <row r="5" spans="1:13" ht="18.75" customHeight="1" thickBot="1" x14ac:dyDescent="0.25">
      <c r="A5" s="78" t="s">
        <v>14</v>
      </c>
      <c r="B5" s="78"/>
      <c r="C5" s="78"/>
      <c r="D5" s="77" t="s">
        <v>43</v>
      </c>
      <c r="E5" s="77"/>
      <c r="F5" s="77"/>
      <c r="G5" s="77"/>
      <c r="H5" s="77"/>
      <c r="I5" s="77"/>
      <c r="J5" s="77"/>
      <c r="K5" s="77"/>
    </row>
    <row r="6" spans="1:13" ht="16.5" customHeight="1" thickBot="1" x14ac:dyDescent="0.25">
      <c r="A6" s="76" t="s">
        <v>36</v>
      </c>
      <c r="B6" s="76"/>
      <c r="C6" s="76"/>
      <c r="D6" s="77" t="s">
        <v>44</v>
      </c>
      <c r="E6" s="77"/>
      <c r="F6" s="77"/>
      <c r="G6" s="77"/>
      <c r="H6" s="77"/>
      <c r="I6" s="77"/>
      <c r="J6" s="77"/>
      <c r="K6" s="77"/>
    </row>
    <row r="7" spans="1:13" ht="16.5" customHeight="1" thickBot="1" x14ac:dyDescent="0.25">
      <c r="A7" s="78" t="s">
        <v>3</v>
      </c>
      <c r="B7" s="78"/>
      <c r="C7" s="78"/>
      <c r="D7" s="79" t="s">
        <v>129</v>
      </c>
      <c r="E7" s="79"/>
      <c r="F7" s="79"/>
      <c r="G7" s="79"/>
      <c r="H7" s="79"/>
      <c r="I7" s="79"/>
      <c r="J7" s="79"/>
      <c r="K7" s="79"/>
    </row>
    <row r="8" spans="1:13" ht="16.5" customHeight="1" thickBot="1" x14ac:dyDescent="0.25">
      <c r="A8" s="70" t="s">
        <v>4</v>
      </c>
      <c r="B8" s="70"/>
      <c r="C8" s="70"/>
      <c r="D8" s="71" t="s">
        <v>125</v>
      </c>
      <c r="E8" s="71"/>
      <c r="F8" s="71"/>
      <c r="G8" s="71"/>
      <c r="H8" s="71"/>
      <c r="I8" s="71"/>
      <c r="J8" s="71"/>
      <c r="K8" s="71"/>
    </row>
    <row r="9" spans="1:13" ht="16.5" thickBot="1" x14ac:dyDescent="0.25">
      <c r="A9" s="5"/>
      <c r="B9" s="5"/>
      <c r="C9" s="5"/>
      <c r="D9" s="6"/>
      <c r="E9" s="6"/>
      <c r="F9" s="6"/>
      <c r="G9" s="6"/>
      <c r="H9" s="6"/>
      <c r="I9" s="6"/>
      <c r="J9" s="6"/>
      <c r="K9" s="27"/>
    </row>
    <row r="10" spans="1:13" ht="45" customHeight="1" thickBot="1" x14ac:dyDescent="0.25">
      <c r="A10" s="28" t="s">
        <v>5</v>
      </c>
      <c r="B10" s="38" t="s">
        <v>6</v>
      </c>
      <c r="C10" s="72" t="s">
        <v>7</v>
      </c>
      <c r="D10" s="73"/>
      <c r="E10" s="73"/>
      <c r="F10" s="73"/>
      <c r="G10" s="74"/>
      <c r="H10" s="38" t="s">
        <v>8</v>
      </c>
      <c r="I10" s="38" t="s">
        <v>9</v>
      </c>
      <c r="J10" s="38" t="s">
        <v>10</v>
      </c>
      <c r="K10" s="35" t="s">
        <v>11</v>
      </c>
    </row>
    <row r="11" spans="1:13" ht="45" customHeight="1" thickBot="1" x14ac:dyDescent="0.3">
      <c r="A11" s="37">
        <v>1</v>
      </c>
      <c r="B11" s="39" t="s">
        <v>102</v>
      </c>
      <c r="C11" s="60" t="s">
        <v>113</v>
      </c>
      <c r="D11" s="60"/>
      <c r="E11" s="60"/>
      <c r="F11" s="60"/>
      <c r="G11" s="60"/>
      <c r="H11" s="40" t="s">
        <v>39</v>
      </c>
      <c r="I11" s="45" t="s">
        <v>50</v>
      </c>
      <c r="J11" s="46">
        <v>424</v>
      </c>
      <c r="K11" s="49">
        <v>0</v>
      </c>
    </row>
    <row r="12" spans="1:13" ht="44.25" customHeight="1" thickBot="1" x14ac:dyDescent="0.3">
      <c r="A12" s="22">
        <v>2</v>
      </c>
      <c r="B12" s="41" t="s">
        <v>51</v>
      </c>
      <c r="C12" s="62" t="s">
        <v>48</v>
      </c>
      <c r="D12" s="62"/>
      <c r="E12" s="62"/>
      <c r="F12" s="62"/>
      <c r="G12" s="62"/>
      <c r="H12" s="40" t="s">
        <v>39</v>
      </c>
      <c r="I12" s="44" t="s">
        <v>75</v>
      </c>
      <c r="J12" s="42">
        <v>38</v>
      </c>
      <c r="K12" s="50">
        <v>3000</v>
      </c>
      <c r="M12" s="36"/>
    </row>
    <row r="13" spans="1:13" ht="36" customHeight="1" thickBot="1" x14ac:dyDescent="0.25">
      <c r="A13" s="23">
        <v>3</v>
      </c>
      <c r="B13" s="41" t="s">
        <v>52</v>
      </c>
      <c r="C13" s="61" t="s">
        <v>49</v>
      </c>
      <c r="D13" s="61"/>
      <c r="E13" s="61"/>
      <c r="F13" s="61"/>
      <c r="G13" s="61"/>
      <c r="H13" s="40" t="s">
        <v>39</v>
      </c>
      <c r="I13" s="44" t="s">
        <v>50</v>
      </c>
      <c r="J13" s="42">
        <v>139.97999999999999</v>
      </c>
      <c r="K13" s="51">
        <v>1200</v>
      </c>
      <c r="M13" s="36"/>
    </row>
    <row r="14" spans="1:13" ht="36" customHeight="1" thickBot="1" x14ac:dyDescent="0.25">
      <c r="A14" s="23">
        <v>4</v>
      </c>
      <c r="B14" s="41" t="s">
        <v>53</v>
      </c>
      <c r="C14" s="64" t="s">
        <v>54</v>
      </c>
      <c r="D14" s="64"/>
      <c r="E14" s="64"/>
      <c r="F14" s="64"/>
      <c r="G14" s="64"/>
      <c r="H14" s="40" t="s">
        <v>39</v>
      </c>
      <c r="I14" s="47" t="s">
        <v>50</v>
      </c>
      <c r="J14" s="42">
        <v>3155</v>
      </c>
      <c r="K14" s="51">
        <v>50</v>
      </c>
      <c r="M14" s="36"/>
    </row>
    <row r="15" spans="1:13" ht="36" customHeight="1" thickBot="1" x14ac:dyDescent="0.3">
      <c r="A15" s="23">
        <v>5</v>
      </c>
      <c r="B15" s="39" t="s">
        <v>103</v>
      </c>
      <c r="C15" s="59" t="s">
        <v>114</v>
      </c>
      <c r="D15" s="59"/>
      <c r="E15" s="59"/>
      <c r="F15" s="59"/>
      <c r="G15" s="59"/>
      <c r="H15" s="40" t="s">
        <v>39</v>
      </c>
      <c r="I15" s="45" t="s">
        <v>61</v>
      </c>
      <c r="J15" s="46">
        <v>1238</v>
      </c>
      <c r="K15" s="49">
        <v>0</v>
      </c>
      <c r="M15" s="36"/>
    </row>
    <row r="16" spans="1:13" ht="36" customHeight="1" thickBot="1" x14ac:dyDescent="0.25">
      <c r="A16" s="22">
        <v>6</v>
      </c>
      <c r="B16" s="41" t="s">
        <v>62</v>
      </c>
      <c r="C16" s="62" t="s">
        <v>55</v>
      </c>
      <c r="D16" s="62"/>
      <c r="E16" s="62"/>
      <c r="F16" s="62"/>
      <c r="G16" s="62"/>
      <c r="H16" s="40" t="s">
        <v>39</v>
      </c>
      <c r="I16" s="44" t="s">
        <v>59</v>
      </c>
      <c r="J16" s="42">
        <v>1454</v>
      </c>
      <c r="K16" s="51">
        <v>10</v>
      </c>
      <c r="M16" s="36"/>
    </row>
    <row r="17" spans="1:13" ht="36" customHeight="1" thickBot="1" x14ac:dyDescent="0.25">
      <c r="A17" s="23">
        <v>7</v>
      </c>
      <c r="B17" s="41" t="s">
        <v>63</v>
      </c>
      <c r="C17" s="62" t="s">
        <v>56</v>
      </c>
      <c r="D17" s="62"/>
      <c r="E17" s="62"/>
      <c r="F17" s="62"/>
      <c r="G17" s="62"/>
      <c r="H17" s="40" t="s">
        <v>39</v>
      </c>
      <c r="I17" s="44" t="s">
        <v>60</v>
      </c>
      <c r="J17" s="42">
        <v>681.5</v>
      </c>
      <c r="K17" s="51">
        <v>10</v>
      </c>
      <c r="M17" s="36"/>
    </row>
    <row r="18" spans="1:13" ht="36" customHeight="1" thickBot="1" x14ac:dyDescent="0.25">
      <c r="A18" s="23">
        <v>8</v>
      </c>
      <c r="B18" s="43" t="s">
        <v>64</v>
      </c>
      <c r="C18" s="62" t="s">
        <v>57</v>
      </c>
      <c r="D18" s="62"/>
      <c r="E18" s="62"/>
      <c r="F18" s="62"/>
      <c r="G18" s="62"/>
      <c r="H18" s="40" t="s">
        <v>39</v>
      </c>
      <c r="I18" s="44" t="s">
        <v>60</v>
      </c>
      <c r="J18" s="42">
        <v>10460</v>
      </c>
      <c r="K18" s="51">
        <v>10</v>
      </c>
      <c r="M18" s="36"/>
    </row>
    <row r="19" spans="1:13" ht="36" customHeight="1" thickBot="1" x14ac:dyDescent="0.3">
      <c r="A19" s="22">
        <v>9</v>
      </c>
      <c r="B19" s="43" t="s">
        <v>65</v>
      </c>
      <c r="C19" s="62" t="s">
        <v>58</v>
      </c>
      <c r="D19" s="62"/>
      <c r="E19" s="62"/>
      <c r="F19" s="62"/>
      <c r="G19" s="62"/>
      <c r="H19" s="40" t="s">
        <v>39</v>
      </c>
      <c r="I19" s="43" t="s">
        <v>61</v>
      </c>
      <c r="J19" s="48">
        <v>22000</v>
      </c>
      <c r="K19" s="50">
        <v>50</v>
      </c>
      <c r="M19" s="36"/>
    </row>
    <row r="20" spans="1:13" ht="36" customHeight="1" thickBot="1" x14ac:dyDescent="0.25">
      <c r="A20" s="23">
        <v>10</v>
      </c>
      <c r="B20" s="44" t="s">
        <v>70</v>
      </c>
      <c r="C20" s="61" t="s">
        <v>66</v>
      </c>
      <c r="D20" s="61"/>
      <c r="E20" s="61"/>
      <c r="F20" s="61"/>
      <c r="G20" s="61"/>
      <c r="H20" s="40" t="s">
        <v>39</v>
      </c>
      <c r="I20" s="44" t="s">
        <v>74</v>
      </c>
      <c r="J20" s="42">
        <v>1750</v>
      </c>
      <c r="K20" s="51">
        <v>60</v>
      </c>
      <c r="M20" s="36"/>
    </row>
    <row r="21" spans="1:13" ht="36" customHeight="1" thickBot="1" x14ac:dyDescent="0.25">
      <c r="A21" s="23">
        <v>11</v>
      </c>
      <c r="B21" s="43" t="s">
        <v>71</v>
      </c>
      <c r="C21" s="62" t="s">
        <v>67</v>
      </c>
      <c r="D21" s="62"/>
      <c r="E21" s="62"/>
      <c r="F21" s="62"/>
      <c r="G21" s="62"/>
      <c r="H21" s="40" t="s">
        <v>39</v>
      </c>
      <c r="I21" s="44" t="s">
        <v>50</v>
      </c>
      <c r="J21" s="42">
        <v>315</v>
      </c>
      <c r="K21" s="51">
        <v>40</v>
      </c>
      <c r="M21" s="36"/>
    </row>
    <row r="22" spans="1:13" ht="36" customHeight="1" thickBot="1" x14ac:dyDescent="0.25">
      <c r="A22" s="22">
        <v>12</v>
      </c>
      <c r="B22" s="43" t="s">
        <v>72</v>
      </c>
      <c r="C22" s="62" t="s">
        <v>68</v>
      </c>
      <c r="D22" s="62"/>
      <c r="E22" s="62"/>
      <c r="F22" s="62"/>
      <c r="G22" s="62"/>
      <c r="H22" s="40" t="s">
        <v>39</v>
      </c>
      <c r="I22" s="44" t="s">
        <v>75</v>
      </c>
      <c r="J22" s="48">
        <v>35.630000000000003</v>
      </c>
      <c r="K22" s="51">
        <v>200</v>
      </c>
      <c r="M22" s="36"/>
    </row>
    <row r="23" spans="1:13" ht="36" customHeight="1" thickBot="1" x14ac:dyDescent="0.25">
      <c r="A23" s="23">
        <v>13</v>
      </c>
      <c r="B23" s="41" t="s">
        <v>73</v>
      </c>
      <c r="C23" s="62" t="s">
        <v>69</v>
      </c>
      <c r="D23" s="62"/>
      <c r="E23" s="62"/>
      <c r="F23" s="62"/>
      <c r="G23" s="62"/>
      <c r="H23" s="40" t="s">
        <v>39</v>
      </c>
      <c r="I23" s="44" t="s">
        <v>75</v>
      </c>
      <c r="J23" s="48">
        <v>77.8</v>
      </c>
      <c r="K23" s="51">
        <v>400</v>
      </c>
      <c r="M23" s="36"/>
    </row>
    <row r="24" spans="1:13" ht="36" customHeight="1" thickBot="1" x14ac:dyDescent="0.3">
      <c r="A24" s="23">
        <v>14</v>
      </c>
      <c r="B24" s="39" t="s">
        <v>104</v>
      </c>
      <c r="C24" s="59" t="s">
        <v>115</v>
      </c>
      <c r="D24" s="59"/>
      <c r="E24" s="59"/>
      <c r="F24" s="59"/>
      <c r="G24" s="59"/>
      <c r="H24" s="40" t="s">
        <v>39</v>
      </c>
      <c r="I24" s="45" t="s">
        <v>50</v>
      </c>
      <c r="J24" s="46">
        <v>396</v>
      </c>
      <c r="K24" s="49">
        <v>0</v>
      </c>
      <c r="M24" s="36"/>
    </row>
    <row r="25" spans="1:13" ht="36" customHeight="1" thickBot="1" x14ac:dyDescent="0.25">
      <c r="A25" s="22">
        <v>15</v>
      </c>
      <c r="B25" s="43" t="s">
        <v>77</v>
      </c>
      <c r="C25" s="61" t="s">
        <v>76</v>
      </c>
      <c r="D25" s="61"/>
      <c r="E25" s="61"/>
      <c r="F25" s="61"/>
      <c r="G25" s="61"/>
      <c r="H25" s="40" t="s">
        <v>39</v>
      </c>
      <c r="I25" s="44" t="s">
        <v>75</v>
      </c>
      <c r="J25" s="42">
        <v>57.75</v>
      </c>
      <c r="K25" s="51">
        <v>300</v>
      </c>
      <c r="M25" s="36"/>
    </row>
    <row r="26" spans="1:13" ht="36" customHeight="1" thickBot="1" x14ac:dyDescent="0.3">
      <c r="A26" s="23">
        <v>16</v>
      </c>
      <c r="B26" s="39" t="s">
        <v>105</v>
      </c>
      <c r="C26" s="61" t="s">
        <v>116</v>
      </c>
      <c r="D26" s="61"/>
      <c r="E26" s="61"/>
      <c r="F26" s="61"/>
      <c r="G26" s="61"/>
      <c r="H26" s="40" t="s">
        <v>39</v>
      </c>
      <c r="I26" s="45" t="s">
        <v>124</v>
      </c>
      <c r="J26" s="46">
        <v>880</v>
      </c>
      <c r="K26" s="49">
        <v>0</v>
      </c>
      <c r="M26" s="36"/>
    </row>
    <row r="27" spans="1:13" ht="36" customHeight="1" thickBot="1" x14ac:dyDescent="0.3">
      <c r="A27" s="23">
        <v>17</v>
      </c>
      <c r="B27" s="39" t="s">
        <v>106</v>
      </c>
      <c r="C27" s="61" t="s">
        <v>117</v>
      </c>
      <c r="D27" s="61"/>
      <c r="E27" s="61"/>
      <c r="F27" s="61"/>
      <c r="G27" s="61"/>
      <c r="H27" s="40" t="s">
        <v>39</v>
      </c>
      <c r="I27" s="45" t="s">
        <v>124</v>
      </c>
      <c r="J27" s="46">
        <v>780</v>
      </c>
      <c r="K27" s="49">
        <v>0</v>
      </c>
      <c r="M27" s="36"/>
    </row>
    <row r="28" spans="1:13" ht="36" customHeight="1" thickBot="1" x14ac:dyDescent="0.3">
      <c r="A28" s="23">
        <v>18</v>
      </c>
      <c r="B28" s="39" t="s">
        <v>107</v>
      </c>
      <c r="C28" s="61" t="s">
        <v>118</v>
      </c>
      <c r="D28" s="61"/>
      <c r="E28" s="61"/>
      <c r="F28" s="61"/>
      <c r="G28" s="61"/>
      <c r="H28" s="40" t="s">
        <v>39</v>
      </c>
      <c r="I28" s="45" t="s">
        <v>50</v>
      </c>
      <c r="J28" s="46">
        <v>303</v>
      </c>
      <c r="K28" s="49">
        <v>0</v>
      </c>
      <c r="M28" s="36"/>
    </row>
    <row r="29" spans="1:13" ht="36" customHeight="1" thickBot="1" x14ac:dyDescent="0.25">
      <c r="A29" s="23">
        <v>19</v>
      </c>
      <c r="B29" s="43" t="s">
        <v>82</v>
      </c>
      <c r="C29" s="61" t="s">
        <v>78</v>
      </c>
      <c r="D29" s="61"/>
      <c r="E29" s="61"/>
      <c r="F29" s="61"/>
      <c r="G29" s="61"/>
      <c r="H29" s="40" t="s">
        <v>39</v>
      </c>
      <c r="I29" s="44" t="s">
        <v>50</v>
      </c>
      <c r="J29" s="42">
        <v>129</v>
      </c>
      <c r="K29" s="51">
        <v>0</v>
      </c>
      <c r="M29" s="36"/>
    </row>
    <row r="30" spans="1:13" ht="36" customHeight="1" thickBot="1" x14ac:dyDescent="0.25">
      <c r="A30" s="23">
        <v>20</v>
      </c>
      <c r="B30" s="43" t="s">
        <v>83</v>
      </c>
      <c r="C30" s="61" t="s">
        <v>79</v>
      </c>
      <c r="D30" s="61"/>
      <c r="E30" s="61"/>
      <c r="F30" s="61"/>
      <c r="G30" s="61"/>
      <c r="H30" s="40" t="s">
        <v>39</v>
      </c>
      <c r="I30" s="44" t="s">
        <v>50</v>
      </c>
      <c r="J30" s="42">
        <v>164.23</v>
      </c>
      <c r="K30" s="51">
        <v>300</v>
      </c>
      <c r="M30" s="36"/>
    </row>
    <row r="31" spans="1:13" ht="36" customHeight="1" thickBot="1" x14ac:dyDescent="0.25">
      <c r="A31" s="23">
        <v>21</v>
      </c>
      <c r="B31" s="43" t="s">
        <v>84</v>
      </c>
      <c r="C31" s="61" t="s">
        <v>80</v>
      </c>
      <c r="D31" s="61"/>
      <c r="E31" s="61"/>
      <c r="F31" s="61"/>
      <c r="G31" s="61"/>
      <c r="H31" s="40" t="s">
        <v>39</v>
      </c>
      <c r="I31" s="44" t="s">
        <v>50</v>
      </c>
      <c r="J31" s="48">
        <v>169</v>
      </c>
      <c r="K31" s="51">
        <v>30</v>
      </c>
      <c r="M31" s="36"/>
    </row>
    <row r="32" spans="1:13" ht="36" customHeight="1" thickBot="1" x14ac:dyDescent="0.25">
      <c r="A32" s="22">
        <v>22</v>
      </c>
      <c r="B32" s="43" t="s">
        <v>85</v>
      </c>
      <c r="C32" s="61" t="s">
        <v>81</v>
      </c>
      <c r="D32" s="61"/>
      <c r="E32" s="61"/>
      <c r="F32" s="61"/>
      <c r="G32" s="61"/>
      <c r="H32" s="40" t="s">
        <v>39</v>
      </c>
      <c r="I32" s="44" t="s">
        <v>50</v>
      </c>
      <c r="J32" s="42">
        <v>125.33</v>
      </c>
      <c r="K32" s="51">
        <v>5000</v>
      </c>
      <c r="M32" s="36"/>
    </row>
    <row r="33" spans="1:13" ht="36" customHeight="1" thickBot="1" x14ac:dyDescent="0.3">
      <c r="A33" s="23">
        <v>23</v>
      </c>
      <c r="B33" s="39" t="s">
        <v>108</v>
      </c>
      <c r="C33" s="64" t="s">
        <v>119</v>
      </c>
      <c r="D33" s="64"/>
      <c r="E33" s="64"/>
      <c r="F33" s="64"/>
      <c r="G33" s="64"/>
      <c r="H33" s="40" t="s">
        <v>39</v>
      </c>
      <c r="I33" s="45" t="s">
        <v>50</v>
      </c>
      <c r="J33" s="46">
        <v>104.44</v>
      </c>
      <c r="K33" s="49">
        <v>0</v>
      </c>
      <c r="M33" s="36"/>
    </row>
    <row r="34" spans="1:13" ht="36" customHeight="1" thickBot="1" x14ac:dyDescent="0.25">
      <c r="A34" s="22">
        <v>24</v>
      </c>
      <c r="B34" s="44" t="s">
        <v>90</v>
      </c>
      <c r="C34" s="62" t="s">
        <v>86</v>
      </c>
      <c r="D34" s="62"/>
      <c r="E34" s="62"/>
      <c r="F34" s="62"/>
      <c r="G34" s="62"/>
      <c r="H34" s="40" t="s">
        <v>39</v>
      </c>
      <c r="I34" s="44" t="s">
        <v>50</v>
      </c>
      <c r="J34" s="42">
        <v>103.99</v>
      </c>
      <c r="K34" s="51">
        <v>7000</v>
      </c>
      <c r="M34" s="36"/>
    </row>
    <row r="35" spans="1:13" ht="36" customHeight="1" thickBot="1" x14ac:dyDescent="0.25">
      <c r="A35" s="22">
        <v>25</v>
      </c>
      <c r="B35" s="43" t="s">
        <v>109</v>
      </c>
      <c r="C35" s="61" t="s">
        <v>120</v>
      </c>
      <c r="D35" s="61"/>
      <c r="E35" s="61"/>
      <c r="F35" s="61"/>
      <c r="G35" s="61"/>
      <c r="H35" s="40" t="s">
        <v>39</v>
      </c>
      <c r="I35" s="44" t="s">
        <v>50</v>
      </c>
      <c r="J35" s="42">
        <v>95.89</v>
      </c>
      <c r="K35" s="51"/>
      <c r="M35" s="36"/>
    </row>
    <row r="36" spans="1:13" ht="36" customHeight="1" thickBot="1" x14ac:dyDescent="0.25">
      <c r="A36" s="22">
        <v>26</v>
      </c>
      <c r="B36" s="43" t="s">
        <v>91</v>
      </c>
      <c r="C36" s="61" t="s">
        <v>87</v>
      </c>
      <c r="D36" s="61"/>
      <c r="E36" s="61"/>
      <c r="F36" s="61"/>
      <c r="G36" s="61"/>
      <c r="H36" s="40" t="s">
        <v>39</v>
      </c>
      <c r="I36" s="44" t="s">
        <v>75</v>
      </c>
      <c r="J36" s="48">
        <v>36</v>
      </c>
      <c r="K36" s="51">
        <v>4000</v>
      </c>
      <c r="M36" s="36"/>
    </row>
    <row r="37" spans="1:13" ht="36" customHeight="1" thickBot="1" x14ac:dyDescent="0.25">
      <c r="A37" s="23">
        <v>27</v>
      </c>
      <c r="B37" s="41" t="s">
        <v>92</v>
      </c>
      <c r="C37" s="62" t="s">
        <v>88</v>
      </c>
      <c r="D37" s="62"/>
      <c r="E37" s="62"/>
      <c r="F37" s="62"/>
      <c r="G37" s="62"/>
      <c r="H37" s="40" t="s">
        <v>39</v>
      </c>
      <c r="I37" s="44" t="s">
        <v>75</v>
      </c>
      <c r="J37" s="48">
        <v>70.25</v>
      </c>
      <c r="K37" s="51">
        <v>500</v>
      </c>
      <c r="M37" s="36"/>
    </row>
    <row r="38" spans="1:13" ht="36" customHeight="1" thickBot="1" x14ac:dyDescent="0.25">
      <c r="A38" s="22">
        <v>28</v>
      </c>
      <c r="B38" s="43" t="s">
        <v>93</v>
      </c>
      <c r="C38" s="65" t="s">
        <v>89</v>
      </c>
      <c r="D38" s="65"/>
      <c r="E38" s="65"/>
      <c r="F38" s="65"/>
      <c r="G38" s="65"/>
      <c r="H38" s="40" t="s">
        <v>39</v>
      </c>
      <c r="I38" s="44" t="s">
        <v>50</v>
      </c>
      <c r="J38" s="42">
        <v>466</v>
      </c>
      <c r="K38" s="51">
        <v>40</v>
      </c>
      <c r="M38" s="36"/>
    </row>
    <row r="39" spans="1:13" ht="36" customHeight="1" thickBot="1" x14ac:dyDescent="0.3">
      <c r="A39" s="23">
        <v>29</v>
      </c>
      <c r="B39" s="39" t="s">
        <v>110</v>
      </c>
      <c r="C39" s="63" t="s">
        <v>121</v>
      </c>
      <c r="D39" s="63"/>
      <c r="E39" s="63"/>
      <c r="F39" s="63"/>
      <c r="G39" s="63"/>
      <c r="H39" s="40" t="s">
        <v>39</v>
      </c>
      <c r="I39" s="39" t="s">
        <v>61</v>
      </c>
      <c r="J39" s="46">
        <v>2110</v>
      </c>
      <c r="K39" s="49">
        <v>0</v>
      </c>
      <c r="M39" s="36"/>
    </row>
    <row r="40" spans="1:13" ht="36" customHeight="1" thickBot="1" x14ac:dyDescent="0.3">
      <c r="A40" s="23">
        <v>30</v>
      </c>
      <c r="B40" s="39" t="s">
        <v>111</v>
      </c>
      <c r="C40" s="63" t="s">
        <v>122</v>
      </c>
      <c r="D40" s="63"/>
      <c r="E40" s="63"/>
      <c r="F40" s="63"/>
      <c r="G40" s="63"/>
      <c r="H40" s="40" t="s">
        <v>39</v>
      </c>
      <c r="I40" s="39" t="s">
        <v>61</v>
      </c>
      <c r="J40" s="46">
        <v>2110</v>
      </c>
      <c r="K40" s="49">
        <v>0</v>
      </c>
    </row>
    <row r="41" spans="1:13" ht="36" customHeight="1" thickBot="1" x14ac:dyDescent="0.25">
      <c r="A41" s="23">
        <v>31</v>
      </c>
      <c r="B41" s="43" t="s">
        <v>96</v>
      </c>
      <c r="C41" s="61" t="s">
        <v>94</v>
      </c>
      <c r="D41" s="61"/>
      <c r="E41" s="61"/>
      <c r="F41" s="61"/>
      <c r="G41" s="61"/>
      <c r="H41" s="40" t="s">
        <v>39</v>
      </c>
      <c r="I41" s="43" t="s">
        <v>50</v>
      </c>
      <c r="J41" s="42">
        <v>145.91</v>
      </c>
      <c r="K41" s="51">
        <v>50</v>
      </c>
    </row>
    <row r="42" spans="1:13" ht="36" customHeight="1" thickBot="1" x14ac:dyDescent="0.25">
      <c r="A42" s="23">
        <v>32</v>
      </c>
      <c r="B42" s="41" t="s">
        <v>97</v>
      </c>
      <c r="C42" s="62" t="s">
        <v>95</v>
      </c>
      <c r="D42" s="62"/>
      <c r="E42" s="62"/>
      <c r="F42" s="62"/>
      <c r="G42" s="62"/>
      <c r="H42" s="40" t="s">
        <v>39</v>
      </c>
      <c r="I42" s="44" t="s">
        <v>75</v>
      </c>
      <c r="J42" s="48">
        <v>41.25</v>
      </c>
      <c r="K42" s="51">
        <v>2000</v>
      </c>
    </row>
    <row r="43" spans="1:13" ht="36" customHeight="1" thickBot="1" x14ac:dyDescent="0.3">
      <c r="A43" s="23">
        <v>33</v>
      </c>
      <c r="B43" s="39" t="s">
        <v>112</v>
      </c>
      <c r="C43" s="63" t="s">
        <v>123</v>
      </c>
      <c r="D43" s="63"/>
      <c r="E43" s="63"/>
      <c r="F43" s="63"/>
      <c r="G43" s="63"/>
      <c r="H43" s="40" t="s">
        <v>39</v>
      </c>
      <c r="I43" s="45" t="s">
        <v>75</v>
      </c>
      <c r="J43" s="46">
        <v>1590</v>
      </c>
      <c r="K43" s="49">
        <v>0</v>
      </c>
    </row>
    <row r="44" spans="1:13" ht="36" customHeight="1" thickBot="1" x14ac:dyDescent="0.3">
      <c r="A44" s="23">
        <v>34</v>
      </c>
      <c r="B44" s="41" t="s">
        <v>99</v>
      </c>
      <c r="C44" s="62" t="s">
        <v>98</v>
      </c>
      <c r="D44" s="62"/>
      <c r="E44" s="62"/>
      <c r="F44" s="62"/>
      <c r="G44" s="62"/>
      <c r="H44" s="40" t="s">
        <v>39</v>
      </c>
      <c r="I44" s="44" t="s">
        <v>100</v>
      </c>
      <c r="J44" s="42">
        <v>10149</v>
      </c>
      <c r="K44" s="49">
        <v>0</v>
      </c>
      <c r="M44" s="36"/>
    </row>
    <row r="45" spans="1:13" ht="20.25" customHeight="1" thickBot="1" x14ac:dyDescent="0.25">
      <c r="A45" s="66" t="s">
        <v>130</v>
      </c>
      <c r="B45" s="67"/>
      <c r="C45" s="67"/>
      <c r="D45" s="67"/>
      <c r="E45" s="67"/>
      <c r="F45" s="67"/>
      <c r="G45" s="67"/>
      <c r="H45" s="67"/>
      <c r="I45" s="67"/>
      <c r="J45" s="68">
        <f>SUMPRODUCT(J11:J44*K11:K44)</f>
        <v>3535331.5</v>
      </c>
      <c r="K45" s="69"/>
      <c r="M45" s="36"/>
    </row>
    <row r="46" spans="1:13" x14ac:dyDescent="0.2">
      <c r="M46" s="36"/>
    </row>
  </sheetData>
  <mergeCells count="50">
    <mergeCell ref="C10:G1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45:I45"/>
    <mergeCell ref="J45:K45"/>
    <mergeCell ref="C12:G12"/>
    <mergeCell ref="A8:C8"/>
    <mergeCell ref="D8:K8"/>
    <mergeCell ref="C23:G23"/>
    <mergeCell ref="C24:G24"/>
    <mergeCell ref="C25:G25"/>
    <mergeCell ref="C27:G27"/>
    <mergeCell ref="C13:G13"/>
    <mergeCell ref="C14:G14"/>
    <mergeCell ref="C16:G16"/>
    <mergeCell ref="C17:G17"/>
    <mergeCell ref="C18:G18"/>
    <mergeCell ref="C19:G19"/>
    <mergeCell ref="C20:G20"/>
    <mergeCell ref="C41:G41"/>
    <mergeCell ref="C42:G42"/>
    <mergeCell ref="C43:G43"/>
    <mergeCell ref="C44:G44"/>
    <mergeCell ref="C21:G21"/>
    <mergeCell ref="C22:G22"/>
    <mergeCell ref="C36:G36"/>
    <mergeCell ref="C37:G37"/>
    <mergeCell ref="C31:G31"/>
    <mergeCell ref="C32:G32"/>
    <mergeCell ref="C33:G33"/>
    <mergeCell ref="C26:G26"/>
    <mergeCell ref="C34:G34"/>
    <mergeCell ref="C38:G38"/>
    <mergeCell ref="C39:G39"/>
    <mergeCell ref="C40:G40"/>
    <mergeCell ref="C15:G15"/>
    <mergeCell ref="C11:G11"/>
    <mergeCell ref="C35:G35"/>
    <mergeCell ref="C28:G28"/>
    <mergeCell ref="C29:G29"/>
    <mergeCell ref="C30:G30"/>
  </mergeCells>
  <printOptions horizontalCentered="1"/>
  <pageMargins left="0.196527777777778" right="0.196527777777778" top="0.98402777777777795" bottom="0.98402777777777795" header="0.51180555555555496" footer="0.51180555555555496"/>
  <pageSetup paperSize="9" scale="81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selection activeCell="P16" sqref="P16"/>
    </sheetView>
  </sheetViews>
  <sheetFormatPr baseColWidth="10" defaultRowHeight="12.75" x14ac:dyDescent="0.2"/>
  <cols>
    <col min="1" max="1" width="5.5703125" customWidth="1"/>
    <col min="2" max="2" width="4.7109375" customWidth="1"/>
    <col min="3" max="3" width="3.85546875" customWidth="1"/>
    <col min="4" max="4" width="4.5703125" customWidth="1"/>
    <col min="5" max="5" width="5.140625" customWidth="1"/>
    <col min="6" max="6" width="5.42578125" customWidth="1"/>
    <col min="7" max="7" width="6.28515625" customWidth="1"/>
    <col min="8" max="8" width="6.85546875" customWidth="1"/>
    <col min="9" max="9" width="3.5703125" customWidth="1"/>
    <col min="10" max="10" width="4.140625" customWidth="1"/>
    <col min="11" max="11" width="3.28515625" customWidth="1"/>
    <col min="12" max="12" width="4.7109375" customWidth="1"/>
    <col min="13" max="13" width="5.85546875" customWidth="1"/>
    <col min="14" max="14" width="4.42578125" customWidth="1"/>
    <col min="15" max="15" width="32.5703125" customWidth="1"/>
    <col min="16" max="16" width="15" customWidth="1"/>
  </cols>
  <sheetData>
    <row r="1" spans="1:16" ht="15.75" thickBot="1" x14ac:dyDescent="0.3">
      <c r="A1" s="106" t="s">
        <v>0</v>
      </c>
      <c r="B1" s="106"/>
      <c r="C1" s="106"/>
      <c r="D1" s="107">
        <v>2022</v>
      </c>
      <c r="E1" s="107"/>
      <c r="F1" s="29"/>
      <c r="G1" s="29"/>
      <c r="H1" s="8"/>
      <c r="I1" s="8"/>
      <c r="J1" s="8"/>
      <c r="K1" s="8"/>
      <c r="L1" s="8"/>
      <c r="M1" s="8"/>
      <c r="N1" s="8"/>
      <c r="O1" s="108" t="s">
        <v>12</v>
      </c>
      <c r="P1" s="108"/>
    </row>
    <row r="2" spans="1:16" ht="13.5" thickBot="1" x14ac:dyDescent="0.25">
      <c r="G2" s="7"/>
      <c r="H2" s="8"/>
      <c r="I2" s="8"/>
      <c r="J2" s="8"/>
      <c r="K2" s="8"/>
      <c r="L2" s="8"/>
      <c r="M2" s="8"/>
      <c r="N2" s="8"/>
      <c r="O2" s="108"/>
      <c r="P2" s="108"/>
    </row>
    <row r="3" spans="1:16" ht="13.5" thickBot="1" x14ac:dyDescent="0.25">
      <c r="G3" s="7"/>
    </row>
    <row r="4" spans="1:16" ht="15" thickBot="1" x14ac:dyDescent="0.25">
      <c r="A4" s="109" t="s">
        <v>13</v>
      </c>
      <c r="B4" s="109"/>
      <c r="C4" s="109"/>
      <c r="D4" s="109"/>
      <c r="E4" s="109"/>
      <c r="F4" s="109"/>
      <c r="G4" s="103" t="s">
        <v>41</v>
      </c>
      <c r="H4" s="103"/>
      <c r="I4" s="103"/>
      <c r="J4" s="103"/>
      <c r="K4" s="103"/>
      <c r="L4" s="103"/>
      <c r="M4" s="103"/>
      <c r="N4" s="103"/>
      <c r="O4" s="103"/>
      <c r="P4" s="103"/>
    </row>
    <row r="5" spans="1:16" ht="15" thickBot="1" x14ac:dyDescent="0.25">
      <c r="A5" s="100" t="s">
        <v>35</v>
      </c>
      <c r="B5" s="101"/>
      <c r="C5" s="101"/>
      <c r="D5" s="101"/>
      <c r="E5" s="101"/>
      <c r="F5" s="102"/>
      <c r="G5" s="103" t="s">
        <v>42</v>
      </c>
      <c r="H5" s="103"/>
      <c r="I5" s="103"/>
      <c r="J5" s="103"/>
      <c r="K5" s="103"/>
      <c r="L5" s="103"/>
      <c r="M5" s="103"/>
      <c r="N5" s="103"/>
      <c r="O5" s="103"/>
      <c r="P5" s="103"/>
    </row>
    <row r="6" spans="1:16" ht="15" thickBot="1" x14ac:dyDescent="0.25">
      <c r="A6" s="100" t="s">
        <v>14</v>
      </c>
      <c r="B6" s="101"/>
      <c r="C6" s="101"/>
      <c r="D6" s="101"/>
      <c r="E6" s="101"/>
      <c r="F6" s="102"/>
      <c r="G6" s="103" t="s">
        <v>45</v>
      </c>
      <c r="H6" s="103"/>
      <c r="I6" s="103"/>
      <c r="J6" s="103"/>
      <c r="K6" s="103"/>
      <c r="L6" s="103"/>
      <c r="M6" s="103"/>
      <c r="N6" s="103"/>
      <c r="O6" s="103"/>
      <c r="P6" s="103"/>
    </row>
    <row r="7" spans="1:16" ht="15" thickBot="1" x14ac:dyDescent="0.25">
      <c r="A7" s="100" t="s">
        <v>36</v>
      </c>
      <c r="B7" s="101"/>
      <c r="C7" s="101"/>
      <c r="D7" s="101"/>
      <c r="E7" s="101"/>
      <c r="F7" s="102"/>
      <c r="G7" s="103" t="s">
        <v>46</v>
      </c>
      <c r="H7" s="103"/>
      <c r="I7" s="103"/>
      <c r="J7" s="103"/>
      <c r="K7" s="103"/>
      <c r="L7" s="103"/>
      <c r="M7" s="103"/>
      <c r="N7" s="103"/>
      <c r="O7" s="103"/>
      <c r="P7" s="103"/>
    </row>
    <row r="8" spans="1:16" ht="13.5" thickBot="1" x14ac:dyDescent="0.25">
      <c r="A8" s="104" t="s">
        <v>15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</row>
    <row r="9" spans="1:16" ht="15" x14ac:dyDescent="0.25">
      <c r="A9" s="105" t="s">
        <v>16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52"/>
      <c r="P9" s="53"/>
    </row>
    <row r="10" spans="1:16" ht="14.25" customHeight="1" x14ac:dyDescent="0.2">
      <c r="A10" s="94" t="s">
        <v>128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6"/>
    </row>
    <row r="11" spans="1:16" ht="51.75" customHeight="1" thickBot="1" x14ac:dyDescent="0.25">
      <c r="A11" s="97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9"/>
    </row>
    <row r="12" spans="1:16" ht="13.5" thickBot="1" x14ac:dyDescent="0.25">
      <c r="A12" s="83" t="s">
        <v>17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1:16" ht="13.5" thickBot="1" x14ac:dyDescent="0.25">
      <c r="A13" s="83" t="s">
        <v>18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4" t="s">
        <v>47</v>
      </c>
      <c r="P13" s="86" t="s">
        <v>19</v>
      </c>
    </row>
    <row r="14" spans="1:16" ht="31.5" customHeight="1" thickBot="1" x14ac:dyDescent="0.25">
      <c r="A14" s="54" t="s">
        <v>20</v>
      </c>
      <c r="B14" s="55" t="s">
        <v>21</v>
      </c>
      <c r="C14" s="55" t="s">
        <v>22</v>
      </c>
      <c r="D14" s="55" t="s">
        <v>23</v>
      </c>
      <c r="E14" s="55" t="s">
        <v>24</v>
      </c>
      <c r="F14" s="55" t="s">
        <v>25</v>
      </c>
      <c r="G14" s="56" t="s">
        <v>26</v>
      </c>
      <c r="H14" s="55" t="s">
        <v>27</v>
      </c>
      <c r="I14" s="55" t="s">
        <v>28</v>
      </c>
      <c r="J14" s="55" t="s">
        <v>29</v>
      </c>
      <c r="K14" s="55" t="s">
        <v>29</v>
      </c>
      <c r="L14" s="55" t="s">
        <v>30</v>
      </c>
      <c r="M14" s="57" t="s">
        <v>31</v>
      </c>
      <c r="N14" s="58" t="s">
        <v>32</v>
      </c>
      <c r="O14" s="85"/>
      <c r="P14" s="86"/>
    </row>
    <row r="15" spans="1:16" ht="24.75" customHeight="1" x14ac:dyDescent="0.2">
      <c r="A15" s="30">
        <v>42</v>
      </c>
      <c r="B15" s="31"/>
      <c r="C15" s="31"/>
      <c r="D15" s="31">
        <v>2</v>
      </c>
      <c r="E15" s="31"/>
      <c r="F15" s="31">
        <v>4901</v>
      </c>
      <c r="G15" s="31">
        <v>3</v>
      </c>
      <c r="H15" s="31">
        <v>1</v>
      </c>
      <c r="I15" s="31">
        <v>2</v>
      </c>
      <c r="J15" s="31">
        <v>5</v>
      </c>
      <c r="K15" s="31">
        <v>2</v>
      </c>
      <c r="L15" s="31"/>
      <c r="M15" s="32">
        <v>1</v>
      </c>
      <c r="N15" s="33" t="s">
        <v>38</v>
      </c>
      <c r="O15" s="34" t="s">
        <v>101</v>
      </c>
      <c r="P15" s="9">
        <v>3335331.5</v>
      </c>
    </row>
    <row r="16" spans="1:16" x14ac:dyDescent="0.2">
      <c r="A16" s="30"/>
      <c r="B16" s="31"/>
      <c r="C16" s="31"/>
      <c r="D16" s="31"/>
      <c r="E16" s="31"/>
      <c r="F16" s="12"/>
      <c r="G16" s="31"/>
      <c r="H16" s="31"/>
      <c r="I16" s="31"/>
      <c r="J16" s="31"/>
      <c r="K16" s="31"/>
      <c r="L16" s="31"/>
      <c r="M16" s="32"/>
      <c r="N16" s="12"/>
      <c r="O16" s="24"/>
      <c r="P16" s="9"/>
    </row>
    <row r="17" spans="1:16" x14ac:dyDescent="0.2">
      <c r="A17" s="30"/>
      <c r="B17" s="31"/>
      <c r="C17" s="31"/>
      <c r="D17" s="31"/>
      <c r="E17" s="31"/>
      <c r="F17" s="12"/>
      <c r="G17" s="31"/>
      <c r="H17" s="31"/>
      <c r="I17" s="31"/>
      <c r="J17" s="31"/>
      <c r="K17" s="31"/>
      <c r="L17" s="31"/>
      <c r="M17" s="32"/>
      <c r="N17" s="12"/>
      <c r="O17" s="24"/>
      <c r="P17" s="9"/>
    </row>
    <row r="18" spans="1:16" ht="14.25" x14ac:dyDescent="0.2">
      <c r="A18" s="10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  <c r="M18" s="13"/>
      <c r="N18" s="14"/>
      <c r="O18" s="24"/>
      <c r="P18" s="9"/>
    </row>
    <row r="19" spans="1:16" ht="13.5" thickBot="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N19" s="16"/>
      <c r="O19" s="25"/>
      <c r="P19" s="18"/>
    </row>
    <row r="20" spans="1:16" ht="21" customHeight="1" thickBot="1" x14ac:dyDescent="0.25">
      <c r="A20" s="88" t="s">
        <v>131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19">
        <f>SUM(P15:P19)</f>
        <v>3335331.5</v>
      </c>
    </row>
    <row r="21" spans="1:16" ht="13.5" thickBot="1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</row>
    <row r="22" spans="1:16" ht="15.75" thickBot="1" x14ac:dyDescent="0.25">
      <c r="A22" s="90" t="s">
        <v>33</v>
      </c>
      <c r="B22" s="91"/>
      <c r="C22" s="91"/>
      <c r="D22" s="91"/>
      <c r="E22" s="91"/>
      <c r="F22" s="92"/>
      <c r="G22" s="93"/>
      <c r="H22" s="93"/>
      <c r="I22" s="93"/>
      <c r="J22" s="93"/>
      <c r="K22" s="93"/>
      <c r="L22" s="93"/>
      <c r="M22" s="93"/>
      <c r="N22" s="93"/>
      <c r="O22" s="93"/>
      <c r="P22" s="93"/>
    </row>
    <row r="23" spans="1:16" ht="13.5" thickBot="1" x14ac:dyDescent="0.25">
      <c r="A23" s="87" t="s">
        <v>126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</row>
    <row r="24" spans="1:16" ht="13.5" thickBot="1" x14ac:dyDescent="0.2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</row>
    <row r="103" spans="10:12" x14ac:dyDescent="0.2">
      <c r="J103">
        <v>6332876.1799999997</v>
      </c>
      <c r="L103">
        <f>SUM(L11:L102)</f>
        <v>0</v>
      </c>
    </row>
  </sheetData>
  <mergeCells count="23">
    <mergeCell ref="A5:F5"/>
    <mergeCell ref="G5:P5"/>
    <mergeCell ref="A1:C1"/>
    <mergeCell ref="D1:E1"/>
    <mergeCell ref="O1:P2"/>
    <mergeCell ref="A4:F4"/>
    <mergeCell ref="G4:P4"/>
    <mergeCell ref="A10:P11"/>
    <mergeCell ref="A6:F6"/>
    <mergeCell ref="G6:P6"/>
    <mergeCell ref="A7:F7"/>
    <mergeCell ref="G7:P7"/>
    <mergeCell ref="A8:P8"/>
    <mergeCell ref="A9:N9"/>
    <mergeCell ref="A12:P12"/>
    <mergeCell ref="A13:N13"/>
    <mergeCell ref="O13:O14"/>
    <mergeCell ref="P13:P14"/>
    <mergeCell ref="A23:P24"/>
    <mergeCell ref="A20:O20"/>
    <mergeCell ref="A21:P21"/>
    <mergeCell ref="A22:F22"/>
    <mergeCell ref="G22:P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NotaPedido</vt:lpstr>
      <vt:lpstr>APG</vt:lpstr>
      <vt:lpstr>' NotaPedido'!Área_de_impresión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2020-07-17T22:18:48Z</cp:lastPrinted>
  <dcterms:created xsi:type="dcterms:W3CDTF">2020-07-17T23:44:49Z</dcterms:created>
  <dcterms:modified xsi:type="dcterms:W3CDTF">2022-04-27T14:18:40Z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