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CONSOLIDADOS\DESCARTABLES DE LABORATORIO\hnep\corregido\"/>
    </mc:Choice>
  </mc:AlternateContent>
  <xr:revisionPtr revIDLastSave="0" documentId="8_{C04E46BB-9268-44A4-AF50-9F3423BEAA0D}" xr6:coauthVersionLast="47" xr6:coauthVersionMax="47" xr10:uidLastSave="{00000000-0000-0000-0000-000000000000}"/>
  <bookViews>
    <workbookView xWindow="-120" yWindow="-120" windowWidth="29040" windowHeight="15840" tabRatio="488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Trimestrales'!$A$9:$I$40</definedName>
    <definedName name="_xlnm.Print_Area" localSheetId="1">' NotaPedido'!$A$1:$K$37</definedName>
    <definedName name="_xlnm.Print_Area" localSheetId="2">'Autor Gastar'!$A$1:$Q$25</definedName>
    <definedName name="_xlnm.Print_Area" localSheetId="0">'Necesidades Trimestrales'!$E$9:$E$27</definedName>
  </definedNames>
  <calcPr calcId="181029"/>
</workbook>
</file>

<file path=xl/calcChain.xml><?xml version="1.0" encoding="utf-8"?>
<calcChain xmlns="http://schemas.openxmlformats.org/spreadsheetml/2006/main">
  <c r="C30" i="2" l="1"/>
  <c r="K36" i="2"/>
  <c r="J36" i="2"/>
  <c r="I36" i="2"/>
  <c r="C36" i="2"/>
  <c r="K35" i="2"/>
  <c r="J35" i="2"/>
  <c r="I35" i="2"/>
  <c r="C35" i="2"/>
  <c r="K34" i="2"/>
  <c r="J34" i="2"/>
  <c r="I34" i="2"/>
  <c r="C34" i="2"/>
  <c r="I34" i="1"/>
  <c r="I33" i="1"/>
  <c r="I32" i="1"/>
  <c r="K30" i="2" l="1"/>
  <c r="K31" i="2"/>
  <c r="K32" i="2"/>
  <c r="K33" i="2"/>
  <c r="J30" i="2"/>
  <c r="J31" i="2"/>
  <c r="J32" i="2"/>
  <c r="J33" i="2"/>
  <c r="I30" i="2"/>
  <c r="I31" i="2"/>
  <c r="I32" i="2"/>
  <c r="I33" i="2"/>
  <c r="C31" i="2"/>
  <c r="C32" i="2"/>
  <c r="C33" i="2"/>
  <c r="I28" i="1"/>
  <c r="I29" i="1"/>
  <c r="I30" i="1"/>
  <c r="I31" i="1"/>
  <c r="K18" i="2" l="1"/>
  <c r="K19" i="2"/>
  <c r="K20" i="2"/>
  <c r="K21" i="2"/>
  <c r="K22" i="2"/>
  <c r="K23" i="2"/>
  <c r="K24" i="2"/>
  <c r="K25" i="2"/>
  <c r="K26" i="2"/>
  <c r="K27" i="2"/>
  <c r="K28" i="2"/>
  <c r="K29" i="2"/>
  <c r="J18" i="2"/>
  <c r="J19" i="2"/>
  <c r="J20" i="2"/>
  <c r="J21" i="2"/>
  <c r="J22" i="2"/>
  <c r="J23" i="2"/>
  <c r="J24" i="2"/>
  <c r="J25" i="2"/>
  <c r="J26" i="2"/>
  <c r="J27" i="2"/>
  <c r="J28" i="2"/>
  <c r="I18" i="2"/>
  <c r="I19" i="2"/>
  <c r="I20" i="2"/>
  <c r="I21" i="2"/>
  <c r="I22" i="2"/>
  <c r="I23" i="2"/>
  <c r="I24" i="2"/>
  <c r="I25" i="2"/>
  <c r="I26" i="2"/>
  <c r="I27" i="2"/>
  <c r="I28" i="2"/>
  <c r="C29" i="2"/>
  <c r="C25" i="2"/>
  <c r="C26" i="2"/>
  <c r="C27" i="2"/>
  <c r="C28" i="2"/>
  <c r="C21" i="2"/>
  <c r="C22" i="2"/>
  <c r="C23" i="2"/>
  <c r="C24" i="2"/>
  <c r="C19" i="2"/>
  <c r="C20" i="2"/>
  <c r="C18" i="2"/>
  <c r="I16" i="1"/>
  <c r="I17" i="1"/>
  <c r="I18" i="1"/>
  <c r="I19" i="1"/>
  <c r="I20" i="1"/>
  <c r="I21" i="1"/>
  <c r="I22" i="1"/>
  <c r="I23" i="1"/>
  <c r="I24" i="1"/>
  <c r="I25" i="1"/>
  <c r="I26" i="1"/>
  <c r="I27" i="1"/>
  <c r="I10" i="1"/>
  <c r="I11" i="1"/>
  <c r="I12" i="1"/>
  <c r="I13" i="1"/>
  <c r="I14" i="1"/>
  <c r="I15" i="1"/>
  <c r="I29" i="2" l="1"/>
  <c r="J29" i="2"/>
  <c r="K13" i="2"/>
  <c r="K14" i="2"/>
  <c r="K15" i="2"/>
  <c r="K16" i="2"/>
  <c r="K17" i="2"/>
  <c r="J13" i="2"/>
  <c r="J14" i="2"/>
  <c r="J15" i="2"/>
  <c r="J16" i="2"/>
  <c r="J17" i="2"/>
  <c r="I13" i="2"/>
  <c r="I14" i="2"/>
  <c r="I15" i="2"/>
  <c r="I16" i="2"/>
  <c r="I17" i="2"/>
  <c r="C13" i="2"/>
  <c r="C14" i="2"/>
  <c r="C15" i="2"/>
  <c r="C16" i="2"/>
  <c r="C17" i="2"/>
  <c r="K12" i="2" l="1"/>
  <c r="J37" i="2" s="1"/>
  <c r="J12" i="2"/>
  <c r="I12" i="2"/>
  <c r="C12" i="2"/>
  <c r="A10" i="3" l="1"/>
  <c r="G6" i="3" l="1"/>
  <c r="D7" i="2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<sst xmlns="http://schemas.openxmlformats.org/spreadsheetml/2006/main" count="179" uniqueCount="103">
  <si>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</si>
  <si>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</si>
  <si>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</si>
  <si>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</si>
  <si>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</si>
  <si>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</si>
  <si>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</si>
  <si>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</si>
  <si>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</si>
  <si>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</si>
  <si>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</si>
  <si>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</si>
  <si>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</si>
  <si>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</si>
  <si>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</si>
  <si>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</si>
  <si>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</si>
  <si>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</si>
  <si>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</si>
  <si>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</si>
  <si>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</si>
  <si>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</si>
  <si>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</si>
  <si>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</si>
  <si>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</si>
  <si>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</si>
  <si>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</si>
  <si>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</si>
  <si>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</si>
  <si>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</si>
  <si>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</si>
  <si>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</si>
  <si>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</si>
  <si>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</si>
  <si>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</si>
  <si>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</si>
  <si>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</si>
  <si>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</si>
  <si>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</si>
  <si>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</si>
  <si>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</si>
  <si>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</si>
  <si>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</si>
  <si>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</si>
  <si>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</si>
  <si>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</si>
  <si>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</si>
  <si>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</si>
  <si>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</si>
  <si>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</si>
  <si>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</si>
  <si>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</si>
  <si>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</si>
  <si>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</si>
  <si>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</si>
  <si>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</si>
  <si>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UNIDAD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</si>
  <si>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</si>
  <si>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</si>
  <si>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t>CAJA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</si>
  <si>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LABORATORIO -HOSPITAL INT. DE NIÑOS – AV. VIRGEN DEL VALLE N° 1050-CATAMARCA DE 8:00 A 12:00HS., DEBIENDO CORRER LOS GASTOS DE FLETES, ACARREO, CARGA, DESCARGA Y SEGURO A CARGO DEL ADJUDICATARIO.</t>
    </r>
  </si>
  <si>
    <t>Servicio de Laboratorio</t>
  </si>
  <si>
    <t>Descartables de Laboratorio</t>
  </si>
  <si>
    <t>Para la adquisición de Descartables destinados al Servicio de Laboratorio del Hospital Interzonal de Niños Eva Peron, para el normal funcionamiento del organismo.</t>
  </si>
  <si>
    <t>PROD. MEDICO/FARMACEUTICOS/LAB</t>
  </si>
  <si>
    <t>Utiles Menores Medico, Quirurgico y de Laboratorio.</t>
  </si>
  <si>
    <t>AMPOULE ADAPTER X 150 U</t>
  </si>
  <si>
    <t>LAMPARA HALOGENA P/ROCHE C311</t>
  </si>
  <si>
    <t>PAPEL P/CONTADOR HEMATOLOGICO MINDRAY BC 3000 PLUS 49mmx 21m x 6</t>
  </si>
  <si>
    <t>BOLSA</t>
  </si>
  <si>
    <t>CUBETAS PARA COATRON M2 X 500U</t>
  </si>
  <si>
    <t>tubos hemolisis vidrio 12x 100</t>
  </si>
  <si>
    <t xml:space="preserve">hisopos con medio transporte STUART </t>
  </si>
  <si>
    <t>Productos de Papel y Carton</t>
  </si>
  <si>
    <t>Utiles y Materiales Electricos</t>
  </si>
  <si>
    <t>CUBRE OBJETOS 18 X 18 X 100 UNID.</t>
  </si>
  <si>
    <t>COPAS DE MUESTRAS ROCHE C311 X1000U</t>
  </si>
  <si>
    <t>PROBETA de 1000 ml de vidrio</t>
  </si>
  <si>
    <t>UNIDADES</t>
  </si>
  <si>
    <t>TUBOS DE VIDRIO DE KAHN</t>
  </si>
  <si>
    <t>tubos ependorf 0.5- 1.5 ml x 1000u</t>
  </si>
  <si>
    <t>tips amarillos con corona 5-200 ul x1000u</t>
  </si>
  <si>
    <t>tips sin corona 5 - 50 ul para pipeta x1000 u</t>
  </si>
  <si>
    <t>Tips azules sin corona de 5- 1000 ul</t>
  </si>
  <si>
    <t>GRADILLA DE PLASTICO PARA TUBOS CONICOS DE 10 mL</t>
  </si>
  <si>
    <t>PIPETAS DE VIDRIO DE 1 mL</t>
  </si>
  <si>
    <t>paquete</t>
  </si>
  <si>
    <t>ansas calibradas plasticas esteriles 10 ul x 12u</t>
  </si>
  <si>
    <t>bolsa</t>
  </si>
  <si>
    <t>caja</t>
  </si>
  <si>
    <t>Placas de Petri descartables de 55mm. 10 x 10 unidades</t>
  </si>
  <si>
    <t>Bolsa</t>
  </si>
  <si>
    <r>
      <t>Mantenimiento de Oferta</t>
    </r>
    <r>
      <rPr>
        <sz val="10"/>
        <rFont val="Times New Roman"/>
        <family val="1"/>
      </rPr>
      <t xml:space="preserve">: 45 dias habiles </t>
    </r>
  </si>
  <si>
    <t>014/2022</t>
  </si>
  <si>
    <t>hisopos mango madera y punta de algodón Bolsa x 100 un</t>
  </si>
  <si>
    <t>portaobjetos vidrio 25,4 x 76,2 mm x 50 unid</t>
  </si>
  <si>
    <t>CUBETAS DE REACCION P/COBAS C311 x 3 set completos</t>
  </si>
  <si>
    <t>PIPETA PASTEUR Esteril Individual Graduada - 3 ML - VITIS</t>
  </si>
  <si>
    <t>TIP BLANCO GRADUADO 0.1 - 10 UL - CON CORONA. Bolsa x 1000 un</t>
  </si>
  <si>
    <t>TIP AMARILLO 5-200 UL - SIN CORONA. Bolsa x 1000 un</t>
  </si>
  <si>
    <t>TUBO CONICO PP GRADUADO CON TAPA (Envase Individual) - 15 ML - VITIS</t>
  </si>
  <si>
    <t>Costo total estimado: Setecientos setenta y un mil quinientos sesenta y ocho Con 00/100.</t>
  </si>
  <si>
    <t>TOTAL DE PESOS: SETECIENTOS SETENTA Y UN MIL UINIENTOS SESENTA Y OCHO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</si>
</sst>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"/>
    <numFmt numFmtId="171" formatCode="_-[$$-2C0A]\ * #,##0.00_-;\-[$$-2C0A]\ * #,##0.00_-;_-[$$-2C0A]\ * &quot;-&quot;??_-;_-@_-"/>
  </numFmts>
  <fonts count="3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9"/>
      <name val="Imago"/>
    </font>
    <font>
      <sz val="10"/>
      <name val="Calibri"/>
      <family val="2"/>
      <scheme val="minor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</cellStyleXfs>
  <cellXfs count="194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15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0" xfId="0" applyFont="1" applyBorder="1"/>
    <xf numFmtId="166" fontId="17" fillId="0" borderId="0" xfId="0" applyNumberFormat="1" applyFont="1"/>
    <xf numFmtId="0" fontId="7" fillId="3" borderId="12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4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0" fontId="6" fillId="3" borderId="4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6" fontId="6" fillId="3" borderId="2" xfId="1" applyNumberFormat="1" applyFont="1" applyFill="1" applyBorder="1" applyAlignment="1" applyProtection="1">
      <alignment horizontal="right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69" fontId="22" fillId="0" borderId="0" xfId="0" applyNumberFormat="1" applyFont="1"/>
    <xf numFmtId="169" fontId="23" fillId="0" borderId="0" xfId="0" applyNumberFormat="1" applyFont="1" applyAlignment="1">
      <alignment horizontal="left" wrapText="1"/>
    </xf>
    <xf numFmtId="167" fontId="4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166" fontId="22" fillId="4" borderId="58" xfId="1" applyNumberFormat="1" applyFont="1" applyFill="1" applyBorder="1" applyAlignment="1" applyProtection="1">
      <alignment horizontal="right" vertical="center" wrapText="1"/>
    </xf>
    <xf numFmtId="0" fontId="6" fillId="3" borderId="57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left" vertical="center"/>
    </xf>
    <xf numFmtId="3" fontId="6" fillId="3" borderId="58" xfId="0" applyNumberFormat="1" applyFont="1" applyFill="1" applyBorder="1" applyAlignment="1">
      <alignment horizontal="center" vertical="center"/>
    </xf>
    <xf numFmtId="166" fontId="6" fillId="3" borderId="56" xfId="1" applyNumberFormat="1" applyFont="1" applyFill="1" applyBorder="1" applyAlignment="1" applyProtection="1">
      <alignment horizontal="right" vertical="center" wrapText="1"/>
    </xf>
    <xf numFmtId="0" fontId="6" fillId="4" borderId="56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69" fontId="26" fillId="0" borderId="16" xfId="0" applyNumberFormat="1" applyFont="1" applyBorder="1" applyAlignment="1">
      <alignment horizontal="center" vertical="center" wrapText="1"/>
    </xf>
    <xf numFmtId="166" fontId="22" fillId="4" borderId="3" xfId="1" applyNumberFormat="1" applyFont="1" applyFill="1" applyBorder="1" applyAlignment="1" applyProtection="1">
      <alignment horizontal="right" vertical="center" wrapText="1"/>
    </xf>
    <xf numFmtId="0" fontId="24" fillId="0" borderId="4" xfId="0" applyFont="1" applyBorder="1" applyAlignment="1">
      <alignment horizontal="left" indent="3"/>
    </xf>
    <xf numFmtId="0" fontId="22" fillId="3" borderId="42" xfId="0" applyFont="1" applyFill="1" applyBorder="1" applyAlignment="1">
      <alignment horizontal="center" vertical="center"/>
    </xf>
    <xf numFmtId="0" fontId="0" fillId="3" borderId="2" xfId="0" applyFill="1" applyBorder="1"/>
    <xf numFmtId="0" fontId="16" fillId="3" borderId="2" xfId="0" applyFont="1" applyFill="1" applyBorder="1" applyAlignment="1">
      <alignment wrapText="1"/>
    </xf>
    <xf numFmtId="0" fontId="22" fillId="3" borderId="57" xfId="0" applyFont="1" applyFill="1" applyBorder="1" applyAlignment="1">
      <alignment horizontal="center" vertical="center"/>
    </xf>
    <xf numFmtId="0" fontId="0" fillId="3" borderId="56" xfId="0" applyFill="1" applyBorder="1"/>
    <xf numFmtId="0" fontId="16" fillId="3" borderId="56" xfId="0" applyFont="1" applyFill="1" applyBorder="1" applyAlignment="1">
      <alignment wrapText="1"/>
    </xf>
    <xf numFmtId="0" fontId="24" fillId="0" borderId="9" xfId="0" applyFont="1" applyBorder="1" applyAlignment="1"/>
    <xf numFmtId="0" fontId="17" fillId="0" borderId="10" xfId="0" applyFont="1" applyBorder="1" applyAlignment="1">
      <alignment horizontal="center" wrapText="1"/>
    </xf>
    <xf numFmtId="0" fontId="17" fillId="0" borderId="10" xfId="0" applyFont="1" applyFill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6" fillId="3" borderId="59" xfId="0" applyFont="1" applyFill="1" applyBorder="1" applyAlignment="1">
      <alignment horizontal="left" vertical="center"/>
    </xf>
    <xf numFmtId="0" fontId="6" fillId="4" borderId="59" xfId="0" applyFont="1" applyFill="1" applyBorder="1" applyAlignment="1">
      <alignment horizontal="center" vertical="center"/>
    </xf>
    <xf numFmtId="0" fontId="6" fillId="3" borderId="59" xfId="0" applyFont="1" applyFill="1" applyBorder="1" applyAlignment="1">
      <alignment horizontal="center" vertical="center" wrapText="1"/>
    </xf>
    <xf numFmtId="166" fontId="6" fillId="3" borderId="59" xfId="1" applyNumberFormat="1" applyFont="1" applyFill="1" applyBorder="1" applyAlignment="1" applyProtection="1">
      <alignment horizontal="right" vertical="center" wrapText="1"/>
    </xf>
    <xf numFmtId="0" fontId="6" fillId="4" borderId="60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 wrapText="1"/>
    </xf>
    <xf numFmtId="166" fontId="6" fillId="3" borderId="60" xfId="1" applyNumberFormat="1" applyFont="1" applyFill="1" applyBorder="1" applyAlignment="1" applyProtection="1">
      <alignment horizontal="right" vertical="center" wrapText="1"/>
    </xf>
    <xf numFmtId="0" fontId="0" fillId="3" borderId="61" xfId="0" applyFill="1" applyBorder="1"/>
    <xf numFmtId="3" fontId="27" fillId="3" borderId="2" xfId="0" applyNumberFormat="1" applyFont="1" applyFill="1" applyBorder="1" applyAlignment="1">
      <alignment horizontal="center" vertical="center"/>
    </xf>
    <xf numFmtId="0" fontId="27" fillId="3" borderId="56" xfId="0" applyFont="1" applyFill="1" applyBorder="1" applyAlignment="1">
      <alignment horizontal="center" vertical="center" wrapText="1"/>
    </xf>
    <xf numFmtId="3" fontId="27" fillId="3" borderId="56" xfId="0" applyNumberFormat="1" applyFont="1" applyFill="1" applyBorder="1" applyAlignment="1">
      <alignment horizontal="center" vertical="center"/>
    </xf>
    <xf numFmtId="0" fontId="27" fillId="3" borderId="56" xfId="0" applyFont="1" applyFill="1" applyBorder="1" applyAlignment="1">
      <alignment horizontal="left" vertical="center" wrapText="1"/>
    </xf>
    <xf numFmtId="0" fontId="17" fillId="3" borderId="56" xfId="0" applyFont="1" applyFill="1" applyBorder="1" applyAlignment="1">
      <alignment horizontal="left" vertical="top" wrapText="1"/>
    </xf>
    <xf numFmtId="0" fontId="6" fillId="3" borderId="61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center" vertical="center" wrapText="1"/>
    </xf>
    <xf numFmtId="0" fontId="28" fillId="3" borderId="2" xfId="5" applyFont="1" applyFill="1" applyBorder="1" applyAlignment="1">
      <alignment wrapText="1"/>
    </xf>
    <xf numFmtId="0" fontId="27" fillId="3" borderId="2" xfId="0" applyFont="1" applyFill="1" applyBorder="1" applyAlignment="1">
      <alignment horizontal="center" vertical="center" wrapText="1"/>
    </xf>
    <xf numFmtId="171" fontId="27" fillId="3" borderId="2" xfId="0" applyNumberFormat="1" applyFont="1" applyFill="1" applyBorder="1" applyAlignment="1">
      <alignment horizontal="center" vertical="center" wrapText="1"/>
    </xf>
    <xf numFmtId="0" fontId="23" fillId="3" borderId="56" xfId="0" applyFont="1" applyFill="1" applyBorder="1" applyAlignment="1">
      <alignment horizontal="center" vertical="center" wrapText="1"/>
    </xf>
    <xf numFmtId="171" fontId="27" fillId="3" borderId="56" xfId="0" applyNumberFormat="1" applyFont="1" applyFill="1" applyBorder="1" applyAlignment="1">
      <alignment horizontal="center" vertical="center" wrapText="1"/>
    </xf>
    <xf numFmtId="0" fontId="27" fillId="3" borderId="56" xfId="0" applyFont="1" applyFill="1" applyBorder="1" applyAlignment="1">
      <alignment horizontal="left" wrapText="1"/>
    </xf>
    <xf numFmtId="0" fontId="29" fillId="3" borderId="56" xfId="0" applyFont="1" applyFill="1" applyBorder="1" applyAlignment="1">
      <alignment wrapText="1"/>
    </xf>
    <xf numFmtId="0" fontId="27" fillId="3" borderId="56" xfId="0" applyFont="1" applyFill="1" applyBorder="1" applyAlignment="1">
      <alignment wrapText="1"/>
    </xf>
    <xf numFmtId="0" fontId="17" fillId="3" borderId="56" xfId="0" applyFont="1" applyFill="1" applyBorder="1" applyAlignment="1">
      <alignment horizontal="center" vertical="center" wrapText="1"/>
    </xf>
    <xf numFmtId="171" fontId="27" fillId="3" borderId="56" xfId="1" applyNumberFormat="1" applyFont="1" applyFill="1" applyBorder="1"/>
    <xf numFmtId="3" fontId="27" fillId="3" borderId="56" xfId="0" applyNumberFormat="1" applyFont="1" applyFill="1" applyBorder="1" applyAlignment="1">
      <alignment horizontal="center" vertical="center" wrapText="1"/>
    </xf>
    <xf numFmtId="171" fontId="27" fillId="3" borderId="56" xfId="0" applyNumberFormat="1" applyFont="1" applyFill="1" applyBorder="1" applyAlignment="1">
      <alignment wrapText="1"/>
    </xf>
    <xf numFmtId="171" fontId="27" fillId="3" borderId="56" xfId="0" applyNumberFormat="1" applyFont="1" applyFill="1" applyBorder="1" applyAlignment="1">
      <alignment vertical="center" wrapText="1"/>
    </xf>
    <xf numFmtId="0" fontId="30" fillId="3" borderId="56" xfId="0" applyFont="1" applyFill="1" applyBorder="1" applyAlignment="1">
      <alignment wrapText="1"/>
    </xf>
    <xf numFmtId="0" fontId="30" fillId="3" borderId="56" xfId="0" applyFont="1" applyFill="1" applyBorder="1" applyAlignment="1">
      <alignment horizontal="center" vertical="center" wrapText="1"/>
    </xf>
    <xf numFmtId="171" fontId="27" fillId="3" borderId="56" xfId="0" applyNumberFormat="1" applyFont="1" applyFill="1" applyBorder="1"/>
    <xf numFmtId="0" fontId="30" fillId="3" borderId="56" xfId="0" applyFont="1" applyFill="1" applyBorder="1" applyAlignment="1">
      <alignment horizontal="left" vertical="center" wrapText="1"/>
    </xf>
    <xf numFmtId="0" fontId="16" fillId="3" borderId="56" xfId="0" applyFont="1" applyFill="1" applyBorder="1" applyAlignment="1">
      <alignment horizontal="center" vertical="center" wrapText="1"/>
    </xf>
    <xf numFmtId="0" fontId="16" fillId="3" borderId="56" xfId="0" applyFont="1" applyFill="1" applyBorder="1" applyAlignment="1">
      <alignment horizontal="center" vertical="center"/>
    </xf>
    <xf numFmtId="0" fontId="6" fillId="4" borderId="61" xfId="0" applyFont="1" applyFill="1" applyBorder="1" applyAlignment="1">
      <alignment horizontal="center" vertical="center"/>
    </xf>
    <xf numFmtId="0" fontId="6" fillId="3" borderId="61" xfId="0" applyFont="1" applyFill="1" applyBorder="1" applyAlignment="1">
      <alignment horizontal="center" vertical="center" wrapText="1"/>
    </xf>
    <xf numFmtId="166" fontId="6" fillId="3" borderId="61" xfId="1" applyNumberFormat="1" applyFont="1" applyFill="1" applyBorder="1" applyAlignment="1" applyProtection="1">
      <alignment horizontal="right" vertical="center" wrapText="1"/>
    </xf>
    <xf numFmtId="0" fontId="22" fillId="0" borderId="57" xfId="0" applyFont="1" applyFill="1" applyBorder="1" applyAlignment="1">
      <alignment horizontal="center" vertical="center"/>
    </xf>
    <xf numFmtId="0" fontId="0" fillId="0" borderId="61" xfId="0" applyFill="1" applyBorder="1"/>
    <xf numFmtId="0" fontId="16" fillId="0" borderId="56" xfId="0" applyFont="1" applyFill="1" applyBorder="1" applyAlignment="1">
      <alignment wrapText="1"/>
    </xf>
    <xf numFmtId="0" fontId="23" fillId="0" borderId="56" xfId="0" applyFont="1" applyFill="1" applyBorder="1" applyAlignment="1">
      <alignment horizontal="center" vertical="center" wrapText="1"/>
    </xf>
    <xf numFmtId="0" fontId="27" fillId="0" borderId="56" xfId="0" applyFont="1" applyFill="1" applyBorder="1" applyAlignment="1">
      <alignment vertical="center" wrapText="1"/>
    </xf>
    <xf numFmtId="0" fontId="27" fillId="0" borderId="56" xfId="0" applyFont="1" applyFill="1" applyBorder="1" applyAlignment="1">
      <alignment horizontal="center" vertical="center" wrapText="1"/>
    </xf>
    <xf numFmtId="3" fontId="27" fillId="0" borderId="56" xfId="0" applyNumberFormat="1" applyFont="1" applyFill="1" applyBorder="1" applyAlignment="1">
      <alignment horizontal="center" vertical="center"/>
    </xf>
    <xf numFmtId="171" fontId="27" fillId="0" borderId="56" xfId="0" applyNumberFormat="1" applyFont="1" applyFill="1" applyBorder="1" applyAlignment="1">
      <alignment horizontal="center" vertical="center" wrapText="1"/>
    </xf>
    <xf numFmtId="166" fontId="22" fillId="0" borderId="58" xfId="1" applyNumberFormat="1" applyFont="1" applyFill="1" applyBorder="1" applyAlignment="1" applyProtection="1">
      <alignment horizontal="right" vertical="center" wrapText="1"/>
    </xf>
    <xf numFmtId="0" fontId="17" fillId="0" borderId="0" xfId="0" applyFont="1" applyFill="1"/>
    <xf numFmtId="0" fontId="17" fillId="0" borderId="56" xfId="0" applyFont="1" applyFill="1" applyBorder="1" applyAlignment="1">
      <alignment horizontal="left" vertical="top" wrapText="1"/>
    </xf>
    <xf numFmtId="0" fontId="17" fillId="0" borderId="56" xfId="0" applyFont="1" applyFill="1" applyBorder="1" applyAlignment="1">
      <alignment horizontal="center" vertical="center" wrapText="1"/>
    </xf>
    <xf numFmtId="0" fontId="16" fillId="0" borderId="56" xfId="0" applyFont="1" applyFill="1" applyBorder="1" applyAlignment="1">
      <alignment horizontal="center" vertical="center" wrapText="1"/>
    </xf>
    <xf numFmtId="171" fontId="27" fillId="0" borderId="56" xfId="0" applyNumberFormat="1" applyFont="1" applyFill="1" applyBorder="1"/>
    <xf numFmtId="0" fontId="0" fillId="0" borderId="56" xfId="0" applyFill="1" applyBorder="1"/>
    <xf numFmtId="0" fontId="27" fillId="0" borderId="56" xfId="0" applyFont="1" applyFill="1" applyBorder="1" applyAlignment="1">
      <alignment horizontal="left" vertical="center" wrapText="1"/>
    </xf>
    <xf numFmtId="171" fontId="27" fillId="0" borderId="56" xfId="0" applyNumberFormat="1" applyFont="1" applyFill="1" applyBorder="1" applyAlignment="1">
      <alignment horizontal="center" vertical="center"/>
    </xf>
    <xf numFmtId="170" fontId="17" fillId="0" borderId="0" xfId="0" applyNumberFormat="1" applyFont="1" applyFill="1"/>
    <xf numFmtId="0" fontId="6" fillId="3" borderId="60" xfId="0" applyFont="1" applyFill="1" applyBorder="1" applyAlignment="1">
      <alignment horizontal="left" vertical="center"/>
    </xf>
    <xf numFmtId="0" fontId="19" fillId="0" borderId="0" xfId="0" applyFont="1" applyBorder="1" applyAlignment="1">
      <alignment horizontal="left" vertical="center" wrapText="1"/>
    </xf>
    <xf numFmtId="0" fontId="17" fillId="4" borderId="7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6" fillId="3" borderId="60" xfId="0" applyFont="1" applyFill="1" applyBorder="1" applyAlignment="1">
      <alignment horizontal="left" vertical="center" wrapText="1"/>
    </xf>
    <xf numFmtId="0" fontId="6" fillId="3" borderId="56" xfId="0" applyFont="1" applyFill="1" applyBorder="1" applyAlignment="1">
      <alignment horizontal="left" vertical="center" wrapText="1"/>
    </xf>
    <xf numFmtId="0" fontId="6" fillId="3" borderId="59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 indent="1"/>
    </xf>
    <xf numFmtId="167" fontId="9" fillId="0" borderId="1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62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left" vertical="center" wrapText="1" indent="1"/>
    </xf>
    <xf numFmtId="0" fontId="10" fillId="3" borderId="18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13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0" fillId="0" borderId="23" xfId="0" applyBorder="1"/>
    <xf numFmtId="0" fontId="27" fillId="0" borderId="30" xfId="0" applyFont="1" applyFill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/>
    </xf>
    <xf numFmtId="0" fontId="11" fillId="0" borderId="21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4" xfId="0" applyFont="1" applyBorder="1"/>
    <xf numFmtId="0" fontId="13" fillId="0" borderId="25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indent="1"/>
    </xf>
    <xf numFmtId="0" fontId="14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4" fillId="0" borderId="13" xfId="0" applyFont="1" applyBorder="1"/>
  </cellXfs>
  <cellStyles count="8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42"/>
  <sheetViews>
    <sheetView topLeftCell="A7" zoomScale="93" zoomScaleNormal="93" workbookViewId="0">
      <selection activeCell="L9" sqref="L9"/>
    </sheetView>
  </sheetViews>
  <sheetFormatPr baseColWidth="10" defaultColWidth="11" defaultRowHeight="12.75"/>
  <cols>
    <col min="1" max="1" width="6.42578125" style="26" customWidth="1"/>
    <col min="2" max="2" width="11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1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1" ht="27">
      <c r="B2" s="145" t="s">
        <v>0</v>
      </c>
      <c r="C2" s="145"/>
      <c r="D2" s="145"/>
      <c r="E2" s="145"/>
      <c r="F2" s="145"/>
      <c r="G2" s="145"/>
      <c r="H2" s="145"/>
    </row>
    <row r="3" spans="1:11" ht="12" customHeight="1"/>
    <row r="4" spans="1:11" ht="18" customHeight="1">
      <c r="A4" s="141" t="s">
        <v>1</v>
      </c>
      <c r="B4" s="141"/>
      <c r="C4" s="146" t="s">
        <v>52</v>
      </c>
      <c r="D4" s="146"/>
      <c r="E4" s="146"/>
      <c r="F4" s="27"/>
      <c r="G4" s="28"/>
      <c r="H4" s="52"/>
    </row>
    <row r="5" spans="1:11" ht="18" customHeight="1">
      <c r="A5" s="141" t="s">
        <v>2</v>
      </c>
      <c r="B5" s="141"/>
      <c r="C5" s="146" t="s">
        <v>51</v>
      </c>
      <c r="D5" s="146"/>
      <c r="E5" s="146"/>
      <c r="F5" s="27"/>
      <c r="G5" s="28" t="s">
        <v>55</v>
      </c>
      <c r="H5" s="52"/>
    </row>
    <row r="6" spans="1:11" ht="16.5" customHeight="1">
      <c r="A6" s="141" t="s">
        <v>3</v>
      </c>
      <c r="B6" s="141"/>
      <c r="C6" s="42">
        <v>2022</v>
      </c>
      <c r="D6" s="43"/>
      <c r="E6" s="43"/>
      <c r="F6" s="27"/>
      <c r="G6" s="28"/>
      <c r="H6" s="52"/>
    </row>
    <row r="7" spans="1:11" ht="16.5" customHeight="1">
      <c r="A7" s="141" t="s">
        <v>4</v>
      </c>
      <c r="B7" s="141"/>
      <c r="C7" s="42">
        <v>1</v>
      </c>
      <c r="D7" s="43"/>
      <c r="E7" s="43"/>
      <c r="F7" s="27"/>
      <c r="G7" s="28"/>
      <c r="H7" s="52"/>
    </row>
    <row r="8" spans="1:11" ht="13.5" thickBot="1">
      <c r="B8" s="27"/>
      <c r="C8" s="28"/>
      <c r="D8" s="27"/>
      <c r="E8" s="27"/>
      <c r="F8" s="27"/>
      <c r="G8" s="28"/>
      <c r="H8" s="52"/>
      <c r="J8" s="50"/>
    </row>
    <row r="9" spans="1:11" ht="36.75" thickBot="1">
      <c r="A9" s="71" t="s">
        <v>5</v>
      </c>
      <c r="B9" s="71" t="s">
        <v>6</v>
      </c>
      <c r="C9" s="71" t="s">
        <v>7</v>
      </c>
      <c r="D9" s="71" t="s">
        <v>8</v>
      </c>
      <c r="E9" s="71" t="s">
        <v>9</v>
      </c>
      <c r="F9" s="71" t="s">
        <v>10</v>
      </c>
      <c r="G9" s="71" t="s">
        <v>11</v>
      </c>
      <c r="H9" s="72" t="s">
        <v>12</v>
      </c>
      <c r="I9" s="71" t="s">
        <v>13</v>
      </c>
    </row>
    <row r="10" spans="1:11" ht="38.25">
      <c r="A10" s="75">
        <v>1</v>
      </c>
      <c r="B10" s="76"/>
      <c r="C10" s="77" t="s">
        <v>64</v>
      </c>
      <c r="D10" s="99">
        <v>295</v>
      </c>
      <c r="E10" s="100" t="s">
        <v>66</v>
      </c>
      <c r="F10" s="101" t="s">
        <v>59</v>
      </c>
      <c r="G10" s="93">
        <v>3</v>
      </c>
      <c r="H10" s="102">
        <v>7577</v>
      </c>
      <c r="I10" s="73">
        <f>G10*H10</f>
        <v>22731</v>
      </c>
      <c r="K10" s="33"/>
    </row>
    <row r="11" spans="1:11" ht="25.5">
      <c r="A11" s="78">
        <v>2</v>
      </c>
      <c r="B11" s="79"/>
      <c r="C11" s="97" t="s">
        <v>64</v>
      </c>
      <c r="D11" s="108">
        <v>295</v>
      </c>
      <c r="E11" s="80" t="s">
        <v>87</v>
      </c>
      <c r="F11" s="117" t="s">
        <v>88</v>
      </c>
      <c r="G11" s="117">
        <v>2000</v>
      </c>
      <c r="H11" s="115">
        <v>27.2</v>
      </c>
      <c r="I11" s="64">
        <f t="shared" ref="I11:I31" si="0">G11*H11</f>
        <v>54400</v>
      </c>
    </row>
    <row r="12" spans="1:11" ht="38.25">
      <c r="A12" s="78">
        <v>3</v>
      </c>
      <c r="B12" s="79"/>
      <c r="C12" s="80" t="s">
        <v>64</v>
      </c>
      <c r="D12" s="103">
        <v>295</v>
      </c>
      <c r="E12" s="107" t="s">
        <v>76</v>
      </c>
      <c r="F12" s="94" t="s">
        <v>69</v>
      </c>
      <c r="G12" s="95">
        <v>2</v>
      </c>
      <c r="H12" s="104">
        <v>4527</v>
      </c>
      <c r="I12" s="64">
        <f t="shared" si="0"/>
        <v>9054</v>
      </c>
      <c r="K12" s="33"/>
    </row>
    <row r="13" spans="1:11" s="131" customFormat="1" ht="38.25">
      <c r="A13" s="122">
        <v>4</v>
      </c>
      <c r="B13" s="136"/>
      <c r="C13" s="124" t="s">
        <v>64</v>
      </c>
      <c r="D13" s="125">
        <v>295</v>
      </c>
      <c r="E13" s="137" t="s">
        <v>96</v>
      </c>
      <c r="F13" s="127" t="s">
        <v>59</v>
      </c>
      <c r="G13" s="128">
        <v>1</v>
      </c>
      <c r="H13" s="138">
        <v>148442</v>
      </c>
      <c r="I13" s="130">
        <f t="shared" si="0"/>
        <v>148442</v>
      </c>
      <c r="K13" s="139"/>
    </row>
    <row r="14" spans="1:11" ht="38.25">
      <c r="A14" s="78">
        <v>5</v>
      </c>
      <c r="B14" s="79"/>
      <c r="C14" s="80" t="s">
        <v>64</v>
      </c>
      <c r="D14" s="103">
        <v>295</v>
      </c>
      <c r="E14" s="106" t="s">
        <v>70</v>
      </c>
      <c r="F14" s="94" t="s">
        <v>59</v>
      </c>
      <c r="G14" s="95">
        <v>3</v>
      </c>
      <c r="H14" s="104">
        <v>12110</v>
      </c>
      <c r="I14" s="64">
        <f t="shared" si="0"/>
        <v>36330</v>
      </c>
    </row>
    <row r="15" spans="1:11" ht="38.25">
      <c r="A15" s="78">
        <v>6</v>
      </c>
      <c r="B15" s="79"/>
      <c r="C15" s="80" t="s">
        <v>64</v>
      </c>
      <c r="D15" s="103">
        <v>295</v>
      </c>
      <c r="E15" s="96" t="s">
        <v>75</v>
      </c>
      <c r="F15" s="94" t="s">
        <v>59</v>
      </c>
      <c r="G15" s="95">
        <v>50</v>
      </c>
      <c r="H15" s="104">
        <v>183</v>
      </c>
      <c r="I15" s="64">
        <f t="shared" si="0"/>
        <v>9150</v>
      </c>
    </row>
    <row r="16" spans="1:11" ht="25.5">
      <c r="A16" s="78">
        <v>7</v>
      </c>
      <c r="B16" s="92"/>
      <c r="C16" s="97" t="s">
        <v>64</v>
      </c>
      <c r="D16" s="108">
        <v>295</v>
      </c>
      <c r="E16" s="113" t="s">
        <v>84</v>
      </c>
      <c r="F16" s="114" t="s">
        <v>56</v>
      </c>
      <c r="G16" s="114">
        <v>3</v>
      </c>
      <c r="H16" s="115">
        <v>2659</v>
      </c>
      <c r="I16" s="64">
        <f t="shared" si="0"/>
        <v>7977</v>
      </c>
    </row>
    <row r="17" spans="1:9" s="131" customFormat="1" ht="25.5">
      <c r="A17" s="122">
        <v>8</v>
      </c>
      <c r="B17" s="123"/>
      <c r="C17" s="132" t="s">
        <v>64</v>
      </c>
      <c r="D17" s="133">
        <v>295</v>
      </c>
      <c r="E17" s="124" t="s">
        <v>72</v>
      </c>
      <c r="F17" s="134" t="s">
        <v>56</v>
      </c>
      <c r="G17" s="134">
        <v>1000</v>
      </c>
      <c r="H17" s="135">
        <v>84</v>
      </c>
      <c r="I17" s="130">
        <f t="shared" si="0"/>
        <v>84000</v>
      </c>
    </row>
    <row r="18" spans="1:9" s="131" customFormat="1" ht="25.5">
      <c r="A18" s="122">
        <v>9</v>
      </c>
      <c r="B18" s="123"/>
      <c r="C18" s="132" t="s">
        <v>64</v>
      </c>
      <c r="D18" s="133">
        <v>295</v>
      </c>
      <c r="E18" s="124" t="s">
        <v>94</v>
      </c>
      <c r="F18" s="134" t="s">
        <v>88</v>
      </c>
      <c r="G18" s="134">
        <v>30</v>
      </c>
      <c r="H18" s="135">
        <v>177</v>
      </c>
      <c r="I18" s="130">
        <f t="shared" si="0"/>
        <v>5310</v>
      </c>
    </row>
    <row r="19" spans="1:9" s="131" customFormat="1" ht="38.25">
      <c r="A19" s="122">
        <v>10</v>
      </c>
      <c r="B19" s="123"/>
      <c r="C19" s="124" t="s">
        <v>64</v>
      </c>
      <c r="D19" s="125">
        <v>293</v>
      </c>
      <c r="E19" s="126" t="s">
        <v>67</v>
      </c>
      <c r="F19" s="127" t="s">
        <v>59</v>
      </c>
      <c r="G19" s="128">
        <v>3</v>
      </c>
      <c r="H19" s="129">
        <v>78467</v>
      </c>
      <c r="I19" s="130">
        <f t="shared" si="0"/>
        <v>235401</v>
      </c>
    </row>
    <row r="20" spans="1:9" ht="38.25">
      <c r="A20" s="78">
        <v>11</v>
      </c>
      <c r="B20" s="92"/>
      <c r="C20" s="80" t="s">
        <v>64</v>
      </c>
      <c r="D20" s="103">
        <v>234</v>
      </c>
      <c r="E20" s="105" t="s">
        <v>68</v>
      </c>
      <c r="F20" s="94" t="s">
        <v>69</v>
      </c>
      <c r="G20" s="95">
        <v>15</v>
      </c>
      <c r="H20" s="104">
        <v>2780</v>
      </c>
      <c r="I20" s="64">
        <f t="shared" si="0"/>
        <v>41700</v>
      </c>
    </row>
    <row r="21" spans="1:9" ht="25.5">
      <c r="A21" s="78">
        <v>12</v>
      </c>
      <c r="B21" s="92"/>
      <c r="C21" s="97" t="s">
        <v>64</v>
      </c>
      <c r="D21" s="108">
        <v>295</v>
      </c>
      <c r="E21" s="116" t="s">
        <v>85</v>
      </c>
      <c r="F21" s="114" t="s">
        <v>56</v>
      </c>
      <c r="G21" s="114">
        <v>15</v>
      </c>
      <c r="H21" s="115">
        <v>623</v>
      </c>
      <c r="I21" s="64">
        <f t="shared" si="0"/>
        <v>9345</v>
      </c>
    </row>
    <row r="22" spans="1:9" ht="25.5">
      <c r="A22" s="78">
        <v>13</v>
      </c>
      <c r="B22" s="92"/>
      <c r="C22" s="97" t="s">
        <v>64</v>
      </c>
      <c r="D22" s="108">
        <v>295</v>
      </c>
      <c r="E22" s="80" t="s">
        <v>90</v>
      </c>
      <c r="F22" s="118" t="s">
        <v>91</v>
      </c>
      <c r="G22" s="118">
        <v>15</v>
      </c>
      <c r="H22" s="115">
        <v>750</v>
      </c>
      <c r="I22" s="64">
        <f t="shared" si="0"/>
        <v>11250</v>
      </c>
    </row>
    <row r="23" spans="1:9" ht="25.5">
      <c r="A23" s="78">
        <v>14</v>
      </c>
      <c r="B23" s="92"/>
      <c r="C23" s="97" t="s">
        <v>64</v>
      </c>
      <c r="D23" s="108">
        <v>295</v>
      </c>
      <c r="E23" s="80" t="s">
        <v>95</v>
      </c>
      <c r="F23" s="117" t="s">
        <v>89</v>
      </c>
      <c r="G23" s="117">
        <v>10</v>
      </c>
      <c r="H23" s="115">
        <v>182</v>
      </c>
      <c r="I23" s="64">
        <f t="shared" si="0"/>
        <v>1820</v>
      </c>
    </row>
    <row r="24" spans="1:9" ht="25.5">
      <c r="A24" s="78">
        <v>15</v>
      </c>
      <c r="B24" s="92"/>
      <c r="C24" s="97" t="s">
        <v>64</v>
      </c>
      <c r="D24" s="108">
        <v>295</v>
      </c>
      <c r="E24" s="96" t="s">
        <v>77</v>
      </c>
      <c r="F24" s="94" t="s">
        <v>78</v>
      </c>
      <c r="G24" s="94">
        <v>1</v>
      </c>
      <c r="H24" s="109">
        <v>16520</v>
      </c>
      <c r="I24" s="64">
        <f t="shared" si="0"/>
        <v>16520</v>
      </c>
    </row>
    <row r="25" spans="1:9" ht="25.5">
      <c r="A25" s="78">
        <v>16</v>
      </c>
      <c r="B25" s="92"/>
      <c r="C25" s="97" t="s">
        <v>64</v>
      </c>
      <c r="D25" s="108">
        <v>295</v>
      </c>
      <c r="E25" s="80" t="s">
        <v>81</v>
      </c>
      <c r="F25" s="94" t="s">
        <v>69</v>
      </c>
      <c r="G25" s="110">
        <v>2</v>
      </c>
      <c r="H25" s="111">
        <v>3220</v>
      </c>
      <c r="I25" s="64">
        <f t="shared" si="0"/>
        <v>6440</v>
      </c>
    </row>
    <row r="26" spans="1:9" ht="25.5">
      <c r="A26" s="78">
        <v>17</v>
      </c>
      <c r="B26" s="92"/>
      <c r="C26" s="97" t="s">
        <v>64</v>
      </c>
      <c r="D26" s="108">
        <v>295</v>
      </c>
      <c r="E26" s="96" t="s">
        <v>83</v>
      </c>
      <c r="F26" s="94" t="s">
        <v>69</v>
      </c>
      <c r="G26" s="110">
        <v>1000</v>
      </c>
      <c r="H26" s="112">
        <v>4.18</v>
      </c>
      <c r="I26" s="64">
        <f t="shared" si="0"/>
        <v>4180</v>
      </c>
    </row>
    <row r="27" spans="1:9" ht="25.5">
      <c r="A27" s="78">
        <v>18</v>
      </c>
      <c r="B27" s="92"/>
      <c r="C27" s="97" t="s">
        <v>64</v>
      </c>
      <c r="D27" s="108">
        <v>295</v>
      </c>
      <c r="E27" s="80" t="s">
        <v>82</v>
      </c>
      <c r="F27" s="94" t="s">
        <v>69</v>
      </c>
      <c r="G27" s="110">
        <v>3</v>
      </c>
      <c r="H27" s="111">
        <v>3220</v>
      </c>
      <c r="I27" s="64">
        <f t="shared" si="0"/>
        <v>9660</v>
      </c>
    </row>
    <row r="28" spans="1:9" ht="25.5">
      <c r="A28" s="78">
        <v>19</v>
      </c>
      <c r="B28" s="79"/>
      <c r="C28" s="97" t="s">
        <v>64</v>
      </c>
      <c r="D28" s="108">
        <v>295</v>
      </c>
      <c r="E28" s="80" t="s">
        <v>100</v>
      </c>
      <c r="F28" s="118" t="s">
        <v>56</v>
      </c>
      <c r="G28" s="118">
        <v>250</v>
      </c>
      <c r="H28" s="115">
        <v>30</v>
      </c>
      <c r="I28" s="64">
        <f t="shared" si="0"/>
        <v>7500</v>
      </c>
    </row>
    <row r="29" spans="1:9" ht="25.5">
      <c r="A29" s="78">
        <v>20</v>
      </c>
      <c r="B29" s="79"/>
      <c r="C29" s="97" t="s">
        <v>64</v>
      </c>
      <c r="D29" s="108">
        <v>295</v>
      </c>
      <c r="E29" s="105" t="s">
        <v>79</v>
      </c>
      <c r="F29" s="94" t="s">
        <v>78</v>
      </c>
      <c r="G29" s="110">
        <v>500</v>
      </c>
      <c r="H29" s="104">
        <v>18.399999999999999</v>
      </c>
      <c r="I29" s="64">
        <f t="shared" si="0"/>
        <v>9200</v>
      </c>
    </row>
    <row r="30" spans="1:9" ht="25.5">
      <c r="A30" s="78">
        <v>21</v>
      </c>
      <c r="B30" s="79"/>
      <c r="C30" s="97" t="s">
        <v>64</v>
      </c>
      <c r="D30" s="108">
        <v>295</v>
      </c>
      <c r="E30" s="96" t="s">
        <v>80</v>
      </c>
      <c r="F30" s="94" t="s">
        <v>69</v>
      </c>
      <c r="G30" s="110">
        <v>3</v>
      </c>
      <c r="H30" s="104">
        <v>2682</v>
      </c>
      <c r="I30" s="64">
        <f t="shared" si="0"/>
        <v>8046</v>
      </c>
    </row>
    <row r="31" spans="1:9" ht="25.5">
      <c r="A31" s="78">
        <v>22</v>
      </c>
      <c r="B31" s="79"/>
      <c r="C31" s="97" t="s">
        <v>64</v>
      </c>
      <c r="D31" s="108">
        <v>295</v>
      </c>
      <c r="E31" s="80" t="s">
        <v>71</v>
      </c>
      <c r="F31" s="117" t="s">
        <v>86</v>
      </c>
      <c r="G31" s="117">
        <v>500</v>
      </c>
      <c r="H31" s="115">
        <v>25.4</v>
      </c>
      <c r="I31" s="64">
        <f t="shared" si="0"/>
        <v>12700</v>
      </c>
    </row>
    <row r="32" spans="1:9" ht="25.5">
      <c r="A32" s="78">
        <v>23</v>
      </c>
      <c r="B32" s="79"/>
      <c r="C32" s="97" t="s">
        <v>64</v>
      </c>
      <c r="D32" s="108">
        <v>295</v>
      </c>
      <c r="E32" s="105" t="s">
        <v>97</v>
      </c>
      <c r="F32" s="94" t="s">
        <v>56</v>
      </c>
      <c r="G32" s="110">
        <v>500</v>
      </c>
      <c r="H32" s="104">
        <v>19</v>
      </c>
      <c r="I32" s="64">
        <f t="shared" ref="I32:I34" si="1">G32*H32</f>
        <v>9500</v>
      </c>
    </row>
    <row r="33" spans="1:9" ht="25.5">
      <c r="A33" s="78">
        <v>24</v>
      </c>
      <c r="B33" s="79"/>
      <c r="C33" s="97" t="s">
        <v>64</v>
      </c>
      <c r="D33" s="108">
        <v>295</v>
      </c>
      <c r="E33" s="96" t="s">
        <v>98</v>
      </c>
      <c r="F33" s="94" t="s">
        <v>69</v>
      </c>
      <c r="G33" s="110">
        <v>1</v>
      </c>
      <c r="H33" s="104">
        <v>9559</v>
      </c>
      <c r="I33" s="64">
        <f t="shared" si="1"/>
        <v>9559</v>
      </c>
    </row>
    <row r="34" spans="1:9" ht="25.5">
      <c r="A34" s="78">
        <v>25</v>
      </c>
      <c r="B34" s="79"/>
      <c r="C34" s="97" t="s">
        <v>64</v>
      </c>
      <c r="D34" s="108">
        <v>295</v>
      </c>
      <c r="E34" s="80" t="s">
        <v>99</v>
      </c>
      <c r="F34" s="117" t="s">
        <v>88</v>
      </c>
      <c r="G34" s="117">
        <v>1</v>
      </c>
      <c r="H34" s="115">
        <v>1353</v>
      </c>
      <c r="I34" s="64">
        <f t="shared" si="1"/>
        <v>1353</v>
      </c>
    </row>
    <row r="35" spans="1:9" ht="13.5" thickBot="1">
      <c r="A35" s="26" t="s">
        <v>55</v>
      </c>
      <c r="I35" s="33"/>
    </row>
    <row r="36" spans="1:9">
      <c r="B36" s="74" t="s">
        <v>57</v>
      </c>
      <c r="C36" s="29"/>
      <c r="D36" s="29"/>
      <c r="E36" s="30"/>
      <c r="I36" s="33"/>
    </row>
    <row r="37" spans="1:9" ht="13.5" customHeight="1">
      <c r="B37" s="142" t="s">
        <v>60</v>
      </c>
      <c r="C37" s="143"/>
      <c r="D37" s="143"/>
      <c r="E37" s="144"/>
    </row>
    <row r="38" spans="1:9" ht="25.5" customHeight="1">
      <c r="B38" s="142"/>
      <c r="C38" s="143"/>
      <c r="D38" s="143"/>
      <c r="E38" s="144"/>
      <c r="F38" s="31"/>
      <c r="G38" s="32"/>
    </row>
    <row r="39" spans="1:9" ht="13.5" customHeight="1">
      <c r="B39" s="142" t="s">
        <v>58</v>
      </c>
      <c r="C39" s="143"/>
      <c r="D39" s="143"/>
      <c r="E39" s="144"/>
      <c r="F39" s="31"/>
      <c r="G39" s="32"/>
    </row>
    <row r="40" spans="1:9" ht="13.5" thickBot="1">
      <c r="B40" s="81" t="s">
        <v>92</v>
      </c>
      <c r="C40" s="82"/>
      <c r="D40" s="83"/>
      <c r="E40" s="84"/>
      <c r="F40" s="31"/>
      <c r="G40" s="32"/>
    </row>
    <row r="41" spans="1:9" ht="12" customHeight="1"/>
    <row r="42" spans="1:9">
      <c r="H42" s="51" t="s">
        <v>55</v>
      </c>
    </row>
  </sheetData>
  <autoFilter ref="A9:I40" xr:uid="{00000000-0009-0000-0000-000000000000}"/>
  <sortState xmlns:xlrd2="http://schemas.microsoft.com/office/spreadsheetml/2017/richdata2" ref="A10:H31">
    <sortCondition ref="E10:E31"/>
  </sortState>
  <mergeCells count="9">
    <mergeCell ref="A6:B6"/>
    <mergeCell ref="A7:B7"/>
    <mergeCell ref="B37:E38"/>
    <mergeCell ref="B39:E39"/>
    <mergeCell ref="B2:H2"/>
    <mergeCell ref="A4:B4"/>
    <mergeCell ref="C4:E4"/>
    <mergeCell ref="A5:B5"/>
    <mergeCell ref="C5:E5"/>
  </mergeCells>
  <conditionalFormatting sqref="E12 E18 E10">
    <cfRule type="cellIs" dxfId="12" priority="1" operator="equal">
      <formula>"duplicado"</formula>
    </cfRule>
  </conditionalFormatting>
  <conditionalFormatting sqref="E12">
    <cfRule type="duplicateValues" dxfId="11" priority="5"/>
    <cfRule type="duplicateValues" dxfId="10" priority="6"/>
    <cfRule type="cellIs" dxfId="9" priority="7" operator="equal">
      <formula>"calibra"</formula>
    </cfRule>
  </conditionalFormatting>
  <conditionalFormatting sqref="E12">
    <cfRule type="duplicateValues" dxfId="8" priority="2"/>
    <cfRule type="duplicateValues" dxfId="7" priority="3"/>
    <cfRule type="cellIs" dxfId="6" priority="4" operator="equal">
      <formula>"calibra"</formula>
    </cfRule>
  </conditionalFormatting>
  <conditionalFormatting sqref="E12 E10">
    <cfRule type="duplicateValues" dxfId="5" priority="8"/>
    <cfRule type="duplicateValues" dxfId="4" priority="9"/>
    <cfRule type="cellIs" dxfId="3" priority="10" operator="equal">
      <formula>"calibra"</formula>
    </cfRule>
  </conditionalFormatting>
  <conditionalFormatting sqref="E18">
    <cfRule type="duplicateValues" dxfId="2" priority="11"/>
    <cfRule type="duplicateValues" dxfId="1" priority="12"/>
    <cfRule type="cellIs" dxfId="0" priority="13" operator="equal">
      <formula>"calibra"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37"/>
  <sheetViews>
    <sheetView zoomScale="80" zoomScaleNormal="80" workbookViewId="0">
      <selection activeCell="G39" sqref="G39"/>
    </sheetView>
  </sheetViews>
  <sheetFormatPr baseColWidth="10" defaultColWidth="9.140625" defaultRowHeight="12.75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>
      <c r="A1" s="159" t="s">
        <v>14</v>
      </c>
      <c r="B1" s="159"/>
      <c r="C1" s="159"/>
      <c r="D1" s="159"/>
      <c r="E1" s="159"/>
      <c r="F1" s="159"/>
      <c r="G1" s="159"/>
      <c r="H1" s="159"/>
      <c r="I1" s="159"/>
      <c r="J1" s="34" t="s">
        <v>15</v>
      </c>
      <c r="K1" s="35" t="s">
        <v>93</v>
      </c>
    </row>
    <row r="2" spans="1:11" ht="18.75" customHeight="1" thickBot="1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>
      <c r="A3" s="160" t="s">
        <v>48</v>
      </c>
      <c r="B3" s="160"/>
      <c r="C3" s="160"/>
      <c r="D3" s="150" t="str">
        <f>'Necesidades Trimestrales'!C4</f>
        <v>040 - Ministerio de Salud</v>
      </c>
      <c r="E3" s="150"/>
      <c r="F3" s="150"/>
      <c r="G3" s="150"/>
      <c r="H3" s="150"/>
      <c r="I3" s="150"/>
      <c r="J3" s="150"/>
      <c r="K3" s="150"/>
    </row>
    <row r="4" spans="1:11" ht="18.75" customHeight="1" thickBot="1">
      <c r="A4" s="161" t="s">
        <v>49</v>
      </c>
      <c r="B4" s="161"/>
      <c r="C4" s="161"/>
      <c r="D4" s="150" t="str">
        <f>'Necesidades Trimestrales'!C5</f>
        <v>024 - Hospital Interzonal de Niños</v>
      </c>
      <c r="E4" s="150"/>
      <c r="F4" s="150"/>
      <c r="G4" s="150"/>
      <c r="H4" s="150"/>
      <c r="I4" s="150"/>
      <c r="J4" s="150"/>
      <c r="K4" s="150"/>
    </row>
    <row r="5" spans="1:11" ht="18.75" customHeight="1" thickBot="1">
      <c r="A5" s="161" t="s">
        <v>27</v>
      </c>
      <c r="B5" s="161"/>
      <c r="C5" s="161"/>
      <c r="D5" s="150" t="s">
        <v>51</v>
      </c>
      <c r="E5" s="150"/>
      <c r="F5" s="150"/>
      <c r="G5" s="150"/>
      <c r="H5" s="150"/>
      <c r="I5" s="150"/>
      <c r="J5" s="150"/>
      <c r="K5" s="150"/>
    </row>
    <row r="6" spans="1:11" ht="16.5" customHeight="1" thickBot="1">
      <c r="A6" s="160" t="s">
        <v>50</v>
      </c>
      <c r="B6" s="160"/>
      <c r="C6" s="160"/>
      <c r="D6" s="150" t="s">
        <v>61</v>
      </c>
      <c r="E6" s="150"/>
      <c r="F6" s="150"/>
      <c r="G6" s="150"/>
      <c r="H6" s="150"/>
      <c r="I6" s="150"/>
      <c r="J6" s="150"/>
      <c r="K6" s="150"/>
    </row>
    <row r="7" spans="1:11" ht="16.5" customHeight="1">
      <c r="A7" s="161" t="s">
        <v>16</v>
      </c>
      <c r="B7" s="161"/>
      <c r="C7" s="161"/>
      <c r="D7" s="150" t="str">
        <f>'Necesidades Trimestrales'!C7 &amp; "° Trimestre - Año " &amp; 'Necesidades Trimestrales'!C6</f>
        <v>1° Trimestre - Año 2022</v>
      </c>
      <c r="E7" s="150"/>
      <c r="F7" s="150"/>
      <c r="G7" s="150"/>
      <c r="H7" s="150"/>
      <c r="I7" s="150"/>
      <c r="J7" s="150"/>
      <c r="K7" s="150"/>
    </row>
    <row r="8" spans="1:11" ht="16.5" customHeight="1">
      <c r="A8" s="158" t="s">
        <v>17</v>
      </c>
      <c r="B8" s="158"/>
      <c r="C8" s="158"/>
      <c r="D8" s="154" t="s">
        <v>62</v>
      </c>
      <c r="E8" s="154"/>
      <c r="F8" s="154"/>
      <c r="G8" s="154"/>
      <c r="H8" s="154"/>
      <c r="I8" s="154"/>
      <c r="J8" s="154"/>
      <c r="K8" s="154"/>
    </row>
    <row r="9" spans="1:11" ht="15.75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>
      <c r="A10" s="155" t="s">
        <v>18</v>
      </c>
      <c r="B10" s="156" t="s">
        <v>19</v>
      </c>
      <c r="C10" s="156" t="s">
        <v>20</v>
      </c>
      <c r="D10" s="156"/>
      <c r="E10" s="156"/>
      <c r="F10" s="156"/>
      <c r="G10" s="156"/>
      <c r="H10" s="156" t="s">
        <v>21</v>
      </c>
      <c r="I10" s="156" t="s">
        <v>22</v>
      </c>
      <c r="J10" s="156" t="s">
        <v>23</v>
      </c>
      <c r="K10" s="157" t="s">
        <v>24</v>
      </c>
    </row>
    <row r="11" spans="1:11" ht="24" customHeight="1" thickBo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7"/>
    </row>
    <row r="12" spans="1:11" ht="27.75" customHeight="1">
      <c r="A12" s="44">
        <v>1</v>
      </c>
      <c r="B12" s="45"/>
      <c r="C12" s="152" t="str">
        <f>'Necesidades Trimestrales'!E10</f>
        <v>AMPOULE ADAPTER X 150 U</v>
      </c>
      <c r="D12" s="152"/>
      <c r="E12" s="152"/>
      <c r="F12" s="152"/>
      <c r="G12" s="152"/>
      <c r="H12" s="46" t="s">
        <v>54</v>
      </c>
      <c r="I12" s="47" t="str">
        <f>'Necesidades Trimestrales'!F10</f>
        <v>CAJA</v>
      </c>
      <c r="J12" s="48">
        <f>'Necesidades Trimestrales'!H10</f>
        <v>7577</v>
      </c>
      <c r="K12" s="49">
        <f>'Necesidades Trimestrales'!G10</f>
        <v>3</v>
      </c>
    </row>
    <row r="13" spans="1:11" ht="27.75" customHeight="1">
      <c r="A13" s="65">
        <v>2</v>
      </c>
      <c r="B13" s="66"/>
      <c r="C13" s="147" t="str">
        <f>'Necesidades Trimestrales'!E11</f>
        <v>ansas calibradas plasticas esteriles 10 ul x 12u</v>
      </c>
      <c r="D13" s="147"/>
      <c r="E13" s="147"/>
      <c r="F13" s="147"/>
      <c r="G13" s="147"/>
      <c r="H13" s="69" t="s">
        <v>54</v>
      </c>
      <c r="I13" s="70" t="str">
        <f>'Necesidades Trimestrales'!F11</f>
        <v>bolsa</v>
      </c>
      <c r="J13" s="68">
        <f>'Necesidades Trimestrales'!H11</f>
        <v>27.2</v>
      </c>
      <c r="K13" s="67">
        <f>'Necesidades Trimestrales'!G11</f>
        <v>2000</v>
      </c>
    </row>
    <row r="14" spans="1:11" ht="27.75" customHeight="1">
      <c r="A14" s="65">
        <v>3</v>
      </c>
      <c r="B14" s="66"/>
      <c r="C14" s="148" t="str">
        <f>'Necesidades Trimestrales'!E12</f>
        <v>COPAS DE MUESTRAS ROCHE C311 X1000U</v>
      </c>
      <c r="D14" s="148"/>
      <c r="E14" s="148"/>
      <c r="F14" s="148"/>
      <c r="G14" s="148"/>
      <c r="H14" s="69" t="s">
        <v>54</v>
      </c>
      <c r="I14" s="70" t="str">
        <f>'Necesidades Trimestrales'!F12</f>
        <v>BOLSA</v>
      </c>
      <c r="J14" s="68">
        <f>'Necesidades Trimestrales'!H12</f>
        <v>4527</v>
      </c>
      <c r="K14" s="67">
        <f>'Necesidades Trimestrales'!G12</f>
        <v>2</v>
      </c>
    </row>
    <row r="15" spans="1:11" ht="27.75" customHeight="1">
      <c r="A15" s="65">
        <v>4</v>
      </c>
      <c r="B15" s="66"/>
      <c r="C15" s="147" t="str">
        <f>'Necesidades Trimestrales'!E13</f>
        <v>CUBETAS DE REACCION P/COBAS C311 x 3 set completos</v>
      </c>
      <c r="D15" s="147"/>
      <c r="E15" s="147"/>
      <c r="F15" s="147"/>
      <c r="G15" s="147"/>
      <c r="H15" s="89" t="s">
        <v>54</v>
      </c>
      <c r="I15" s="90" t="str">
        <f>'Necesidades Trimestrales'!F13</f>
        <v>CAJA</v>
      </c>
      <c r="J15" s="68">
        <f>'Necesidades Trimestrales'!H13</f>
        <v>148442</v>
      </c>
      <c r="K15" s="67">
        <f>'Necesidades Trimestrales'!G13</f>
        <v>1</v>
      </c>
    </row>
    <row r="16" spans="1:11" ht="27.75" customHeight="1">
      <c r="A16" s="65">
        <v>5</v>
      </c>
      <c r="B16" s="66"/>
      <c r="C16" s="148" t="str">
        <f>'Necesidades Trimestrales'!E14</f>
        <v>CUBETAS PARA COATRON M2 X 500U</v>
      </c>
      <c r="D16" s="148"/>
      <c r="E16" s="148"/>
      <c r="F16" s="148"/>
      <c r="G16" s="148"/>
      <c r="H16" s="69" t="s">
        <v>54</v>
      </c>
      <c r="I16" s="70" t="str">
        <f>'Necesidades Trimestrales'!F14</f>
        <v>CAJA</v>
      </c>
      <c r="J16" s="68">
        <f>'Necesidades Trimestrales'!H14</f>
        <v>12110</v>
      </c>
      <c r="K16" s="67">
        <f>'Necesidades Trimestrales'!G14</f>
        <v>3</v>
      </c>
    </row>
    <row r="17" spans="1:11" ht="27.75" customHeight="1">
      <c r="A17" s="65">
        <v>6</v>
      </c>
      <c r="B17" s="66"/>
      <c r="C17" s="147" t="str">
        <f>'Necesidades Trimestrales'!E15</f>
        <v>CUBRE OBJETOS 18 X 18 X 100 UNID.</v>
      </c>
      <c r="D17" s="147"/>
      <c r="E17" s="147"/>
      <c r="F17" s="147"/>
      <c r="G17" s="147"/>
      <c r="H17" s="89" t="s">
        <v>54</v>
      </c>
      <c r="I17" s="90" t="str">
        <f>'Necesidades Trimestrales'!F15</f>
        <v>CAJA</v>
      </c>
      <c r="J17" s="91">
        <f>'Necesidades Trimestrales'!H15</f>
        <v>183</v>
      </c>
      <c r="K17" s="67">
        <f>'Necesidades Trimestrales'!G15</f>
        <v>50</v>
      </c>
    </row>
    <row r="18" spans="1:11" ht="27.75" customHeight="1">
      <c r="A18" s="65">
        <v>7</v>
      </c>
      <c r="B18" s="98"/>
      <c r="C18" s="147" t="str">
        <f>'Necesidades Trimestrales'!E16</f>
        <v>GRADILLA DE PLASTICO PARA TUBOS CONICOS DE 10 mL</v>
      </c>
      <c r="D18" s="147"/>
      <c r="E18" s="147"/>
      <c r="F18" s="147"/>
      <c r="G18" s="147"/>
      <c r="H18" s="89" t="s">
        <v>54</v>
      </c>
      <c r="I18" s="90" t="str">
        <f>'Necesidades Trimestrales'!F16</f>
        <v>UNIDAD</v>
      </c>
      <c r="J18" s="91">
        <f>'Necesidades Trimestrales'!H16</f>
        <v>2659</v>
      </c>
      <c r="K18" s="67">
        <f>'Necesidades Trimestrales'!G16</f>
        <v>3</v>
      </c>
    </row>
    <row r="19" spans="1:11" ht="27.75" customHeight="1">
      <c r="A19" s="65">
        <v>8</v>
      </c>
      <c r="B19" s="98"/>
      <c r="C19" s="147" t="str">
        <f>'Necesidades Trimestrales'!E17</f>
        <v xml:space="preserve">hisopos con medio transporte STUART </v>
      </c>
      <c r="D19" s="147"/>
      <c r="E19" s="147"/>
      <c r="F19" s="147"/>
      <c r="G19" s="147"/>
      <c r="H19" s="89" t="s">
        <v>54</v>
      </c>
      <c r="I19" s="90" t="str">
        <f>'Necesidades Trimestrales'!F17</f>
        <v>UNIDAD</v>
      </c>
      <c r="J19" s="91">
        <f>'Necesidades Trimestrales'!H17</f>
        <v>84</v>
      </c>
      <c r="K19" s="67">
        <f>'Necesidades Trimestrales'!G17</f>
        <v>1000</v>
      </c>
    </row>
    <row r="20" spans="1:11" ht="27.75" customHeight="1">
      <c r="A20" s="65">
        <v>9</v>
      </c>
      <c r="B20" s="98"/>
      <c r="C20" s="147" t="str">
        <f>'Necesidades Trimestrales'!E18</f>
        <v>hisopos mango madera y punta de algodón Bolsa x 100 un</v>
      </c>
      <c r="D20" s="147"/>
      <c r="E20" s="147"/>
      <c r="F20" s="147"/>
      <c r="G20" s="147"/>
      <c r="H20" s="89" t="s">
        <v>54</v>
      </c>
      <c r="I20" s="90" t="str">
        <f>'Necesidades Trimestrales'!F18</f>
        <v>bolsa</v>
      </c>
      <c r="J20" s="91">
        <f>'Necesidades Trimestrales'!H18</f>
        <v>177</v>
      </c>
      <c r="K20" s="67">
        <f>'Necesidades Trimestrales'!G18</f>
        <v>30</v>
      </c>
    </row>
    <row r="21" spans="1:11" ht="27.75" customHeight="1">
      <c r="A21" s="65">
        <v>10</v>
      </c>
      <c r="B21" s="98"/>
      <c r="C21" s="147" t="str">
        <f>'Necesidades Trimestrales'!E19</f>
        <v>LAMPARA HALOGENA P/ROCHE C311</v>
      </c>
      <c r="D21" s="147"/>
      <c r="E21" s="147"/>
      <c r="F21" s="147"/>
      <c r="G21" s="147"/>
      <c r="H21" s="89" t="s">
        <v>54</v>
      </c>
      <c r="I21" s="90" t="str">
        <f>'Necesidades Trimestrales'!F19</f>
        <v>CAJA</v>
      </c>
      <c r="J21" s="91">
        <f>'Necesidades Trimestrales'!H19</f>
        <v>78467</v>
      </c>
      <c r="K21" s="67">
        <f>'Necesidades Trimestrales'!G19</f>
        <v>3</v>
      </c>
    </row>
    <row r="22" spans="1:11" ht="27.75" customHeight="1">
      <c r="A22" s="65">
        <v>11</v>
      </c>
      <c r="B22" s="98"/>
      <c r="C22" s="147" t="str">
        <f>'Necesidades Trimestrales'!E20</f>
        <v>PAPEL P/CONTADOR HEMATOLOGICO MINDRAY BC 3000 PLUS 49mmx 21m x 6</v>
      </c>
      <c r="D22" s="147"/>
      <c r="E22" s="147"/>
      <c r="F22" s="147"/>
      <c r="G22" s="147"/>
      <c r="H22" s="89" t="s">
        <v>54</v>
      </c>
      <c r="I22" s="90" t="str">
        <f>'Necesidades Trimestrales'!F20</f>
        <v>BOLSA</v>
      </c>
      <c r="J22" s="91">
        <f>'Necesidades Trimestrales'!H20</f>
        <v>2780</v>
      </c>
      <c r="K22" s="67">
        <f>'Necesidades Trimestrales'!G20</f>
        <v>15</v>
      </c>
    </row>
    <row r="23" spans="1:11" ht="27.75" customHeight="1">
      <c r="A23" s="65">
        <v>12</v>
      </c>
      <c r="B23" s="98"/>
      <c r="C23" s="147" t="str">
        <f>'Necesidades Trimestrales'!E21</f>
        <v>PIPETAS DE VIDRIO DE 1 mL</v>
      </c>
      <c r="D23" s="147"/>
      <c r="E23" s="147"/>
      <c r="F23" s="147"/>
      <c r="G23" s="147"/>
      <c r="H23" s="89" t="s">
        <v>54</v>
      </c>
      <c r="I23" s="90" t="str">
        <f>'Necesidades Trimestrales'!F21</f>
        <v>UNIDAD</v>
      </c>
      <c r="J23" s="91">
        <f>'Necesidades Trimestrales'!H21</f>
        <v>623</v>
      </c>
      <c r="K23" s="67">
        <f>'Necesidades Trimestrales'!G21</f>
        <v>15</v>
      </c>
    </row>
    <row r="24" spans="1:11" ht="27.75" customHeight="1">
      <c r="A24" s="65">
        <v>13</v>
      </c>
      <c r="B24" s="98"/>
      <c r="C24" s="147" t="str">
        <f>'Necesidades Trimestrales'!E22</f>
        <v>Placas de Petri descartables de 55mm. 10 x 10 unidades</v>
      </c>
      <c r="D24" s="147"/>
      <c r="E24" s="147"/>
      <c r="F24" s="147"/>
      <c r="G24" s="147"/>
      <c r="H24" s="89" t="s">
        <v>54</v>
      </c>
      <c r="I24" s="90" t="str">
        <f>'Necesidades Trimestrales'!F22</f>
        <v>Bolsa</v>
      </c>
      <c r="J24" s="91">
        <f>'Necesidades Trimestrales'!H22</f>
        <v>750</v>
      </c>
      <c r="K24" s="67">
        <f>'Necesidades Trimestrales'!G22</f>
        <v>15</v>
      </c>
    </row>
    <row r="25" spans="1:11" ht="27.75" customHeight="1">
      <c r="A25" s="65">
        <v>14</v>
      </c>
      <c r="B25" s="98"/>
      <c r="C25" s="147" t="str">
        <f>'Necesidades Trimestrales'!E23</f>
        <v>portaobjetos vidrio 25,4 x 76,2 mm x 50 unid</v>
      </c>
      <c r="D25" s="147"/>
      <c r="E25" s="147"/>
      <c r="F25" s="147"/>
      <c r="G25" s="147"/>
      <c r="H25" s="89" t="s">
        <v>54</v>
      </c>
      <c r="I25" s="90" t="str">
        <f>'Necesidades Trimestrales'!F23</f>
        <v>caja</v>
      </c>
      <c r="J25" s="91">
        <f>'Necesidades Trimestrales'!H23</f>
        <v>182</v>
      </c>
      <c r="K25" s="67">
        <f>'Necesidades Trimestrales'!G23</f>
        <v>10</v>
      </c>
    </row>
    <row r="26" spans="1:11" ht="27.75" customHeight="1">
      <c r="A26" s="65">
        <v>15</v>
      </c>
      <c r="B26" s="98"/>
      <c r="C26" s="147" t="str">
        <f>'Necesidades Trimestrales'!E24</f>
        <v>PROBETA de 1000 ml de vidrio</v>
      </c>
      <c r="D26" s="147"/>
      <c r="E26" s="147"/>
      <c r="F26" s="147"/>
      <c r="G26" s="147"/>
      <c r="H26" s="89" t="s">
        <v>54</v>
      </c>
      <c r="I26" s="90" t="str">
        <f>'Necesidades Trimestrales'!F24</f>
        <v>UNIDADES</v>
      </c>
      <c r="J26" s="91">
        <f>'Necesidades Trimestrales'!H24</f>
        <v>16520</v>
      </c>
      <c r="K26" s="67">
        <f>'Necesidades Trimestrales'!G24</f>
        <v>1</v>
      </c>
    </row>
    <row r="27" spans="1:11" ht="27.75" customHeight="1">
      <c r="A27" s="65">
        <v>16</v>
      </c>
      <c r="B27" s="98"/>
      <c r="C27" s="147" t="str">
        <f>'Necesidades Trimestrales'!E25</f>
        <v>tips amarillos con corona 5-200 ul x1000u</v>
      </c>
      <c r="D27" s="147"/>
      <c r="E27" s="147"/>
      <c r="F27" s="147"/>
      <c r="G27" s="147"/>
      <c r="H27" s="89" t="s">
        <v>54</v>
      </c>
      <c r="I27" s="90" t="str">
        <f>'Necesidades Trimestrales'!F25</f>
        <v>BOLSA</v>
      </c>
      <c r="J27" s="91">
        <f>'Necesidades Trimestrales'!H25</f>
        <v>3220</v>
      </c>
      <c r="K27" s="67">
        <f>'Necesidades Trimestrales'!G25</f>
        <v>2</v>
      </c>
    </row>
    <row r="28" spans="1:11" ht="27.75" customHeight="1">
      <c r="A28" s="65">
        <v>17</v>
      </c>
      <c r="B28" s="98"/>
      <c r="C28" s="147" t="str">
        <f>'Necesidades Trimestrales'!E26</f>
        <v>Tips azules sin corona de 5- 1000 ul</v>
      </c>
      <c r="D28" s="147"/>
      <c r="E28" s="147"/>
      <c r="F28" s="147"/>
      <c r="G28" s="147"/>
      <c r="H28" s="89" t="s">
        <v>54</v>
      </c>
      <c r="I28" s="90" t="str">
        <f>'Necesidades Trimestrales'!F26</f>
        <v>BOLSA</v>
      </c>
      <c r="J28" s="91">
        <f>'Necesidades Trimestrales'!H26</f>
        <v>4.18</v>
      </c>
      <c r="K28" s="67">
        <f>'Necesidades Trimestrales'!G26</f>
        <v>1000</v>
      </c>
    </row>
    <row r="29" spans="1:11" ht="27.75" customHeight="1">
      <c r="A29" s="65">
        <v>18</v>
      </c>
      <c r="B29" s="98"/>
      <c r="C29" s="153" t="str">
        <f>'Necesidades Trimestrales'!E27</f>
        <v>tips sin corona 5 - 50 ul para pipeta x1000 u</v>
      </c>
      <c r="D29" s="153"/>
      <c r="E29" s="153"/>
      <c r="F29" s="153"/>
      <c r="G29" s="153"/>
      <c r="H29" s="119" t="s">
        <v>54</v>
      </c>
      <c r="I29" s="120" t="str">
        <f>'Necesidades Trimestrales'!F27</f>
        <v>BOLSA</v>
      </c>
      <c r="J29" s="121">
        <f>'Necesidades Trimestrales'!H27</f>
        <v>3220</v>
      </c>
      <c r="K29" s="67">
        <f>'Necesidades Trimestrales'!G27</f>
        <v>3</v>
      </c>
    </row>
    <row r="30" spans="1:11" ht="27.75" customHeight="1">
      <c r="A30" s="65">
        <v>19</v>
      </c>
      <c r="B30" s="66"/>
      <c r="C30" s="148" t="str">
        <f>'Necesidades Trimestrales'!E28</f>
        <v>TUBO CONICO PP GRADUADO CON TAPA (Envase Individual) - 15 ML - VITIS</v>
      </c>
      <c r="D30" s="148"/>
      <c r="E30" s="148"/>
      <c r="F30" s="148"/>
      <c r="G30" s="148"/>
      <c r="H30" s="69" t="s">
        <v>54</v>
      </c>
      <c r="I30" s="70" t="str">
        <f>'Necesidades Trimestrales'!F28</f>
        <v>UNIDAD</v>
      </c>
      <c r="J30" s="68">
        <f>'Necesidades Trimestrales'!H28</f>
        <v>30</v>
      </c>
      <c r="K30" s="67">
        <f>'Necesidades Trimestrales'!G28</f>
        <v>250</v>
      </c>
    </row>
    <row r="31" spans="1:11" ht="27.75" customHeight="1">
      <c r="A31" s="65">
        <v>20</v>
      </c>
      <c r="B31" s="66"/>
      <c r="C31" s="148" t="str">
        <f>'Necesidades Trimestrales'!E29</f>
        <v>TUBOS DE VIDRIO DE KAHN</v>
      </c>
      <c r="D31" s="148"/>
      <c r="E31" s="148"/>
      <c r="F31" s="148"/>
      <c r="G31" s="148"/>
      <c r="H31" s="69" t="s">
        <v>54</v>
      </c>
      <c r="I31" s="70" t="str">
        <f>'Necesidades Trimestrales'!F29</f>
        <v>UNIDADES</v>
      </c>
      <c r="J31" s="68">
        <f>'Necesidades Trimestrales'!H29</f>
        <v>18.399999999999999</v>
      </c>
      <c r="K31" s="67">
        <f>'Necesidades Trimestrales'!G29</f>
        <v>500</v>
      </c>
    </row>
    <row r="32" spans="1:11" ht="27.75" customHeight="1">
      <c r="A32" s="65">
        <v>21</v>
      </c>
      <c r="B32" s="66"/>
      <c r="C32" s="148" t="str">
        <f>'Necesidades Trimestrales'!E30</f>
        <v>tubos ependorf 0.5- 1.5 ml x 1000u</v>
      </c>
      <c r="D32" s="148"/>
      <c r="E32" s="148"/>
      <c r="F32" s="148"/>
      <c r="G32" s="148"/>
      <c r="H32" s="69" t="s">
        <v>54</v>
      </c>
      <c r="I32" s="70" t="str">
        <f>'Necesidades Trimestrales'!F30</f>
        <v>BOLSA</v>
      </c>
      <c r="J32" s="68">
        <f>'Necesidades Trimestrales'!H30</f>
        <v>2682</v>
      </c>
      <c r="K32" s="67">
        <f>'Necesidades Trimestrales'!G30</f>
        <v>3</v>
      </c>
    </row>
    <row r="33" spans="1:14" ht="27.75" customHeight="1">
      <c r="A33" s="65">
        <v>22</v>
      </c>
      <c r="B33" s="66"/>
      <c r="C33" s="148" t="str">
        <f>'Necesidades Trimestrales'!E31</f>
        <v>tubos hemolisis vidrio 12x 100</v>
      </c>
      <c r="D33" s="148"/>
      <c r="E33" s="148"/>
      <c r="F33" s="148"/>
      <c r="G33" s="148"/>
      <c r="H33" s="69" t="s">
        <v>54</v>
      </c>
      <c r="I33" s="70" t="str">
        <f>'Necesidades Trimestrales'!F31</f>
        <v>paquete</v>
      </c>
      <c r="J33" s="68">
        <f>'Necesidades Trimestrales'!H31</f>
        <v>25.4</v>
      </c>
      <c r="K33" s="67">
        <f>'Necesidades Trimestrales'!G31</f>
        <v>500</v>
      </c>
    </row>
    <row r="34" spans="1:14" ht="27.75" customHeight="1">
      <c r="A34" s="65">
        <v>20</v>
      </c>
      <c r="B34" s="140"/>
      <c r="C34" s="147" t="str">
        <f>'Necesidades Trimestrales'!E32</f>
        <v>PIPETA PASTEUR Esteril Individual Graduada - 3 ML - VITIS</v>
      </c>
      <c r="D34" s="147"/>
      <c r="E34" s="147"/>
      <c r="F34" s="147"/>
      <c r="G34" s="147"/>
      <c r="H34" s="89" t="s">
        <v>54</v>
      </c>
      <c r="I34" s="90" t="str">
        <f>'Necesidades Trimestrales'!F32</f>
        <v>UNIDAD</v>
      </c>
      <c r="J34" s="91">
        <f>'Necesidades Trimestrales'!H32</f>
        <v>19</v>
      </c>
      <c r="K34" s="67">
        <f>'Necesidades Trimestrales'!G32</f>
        <v>500</v>
      </c>
    </row>
    <row r="35" spans="1:14" ht="27.75" customHeight="1">
      <c r="A35" s="65">
        <v>21</v>
      </c>
      <c r="B35" s="66"/>
      <c r="C35" s="148" t="str">
        <f>'Necesidades Trimestrales'!E33</f>
        <v>TIP BLANCO GRADUADO 0.1 - 10 UL - CON CORONA. Bolsa x 1000 un</v>
      </c>
      <c r="D35" s="148"/>
      <c r="E35" s="148"/>
      <c r="F35" s="148"/>
      <c r="G35" s="148"/>
      <c r="H35" s="69" t="s">
        <v>54</v>
      </c>
      <c r="I35" s="70" t="str">
        <f>'Necesidades Trimestrales'!F33</f>
        <v>BOLSA</v>
      </c>
      <c r="J35" s="68">
        <f>'Necesidades Trimestrales'!H33</f>
        <v>9559</v>
      </c>
      <c r="K35" s="67">
        <f>'Necesidades Trimestrales'!G33</f>
        <v>1</v>
      </c>
    </row>
    <row r="36" spans="1:14" ht="27.75" customHeight="1" thickBot="1">
      <c r="A36" s="65">
        <v>22</v>
      </c>
      <c r="B36" s="85"/>
      <c r="C36" s="149" t="str">
        <f>'Necesidades Trimestrales'!E34</f>
        <v>TIP AMARILLO 5-200 UL - SIN CORONA. Bolsa x 1000 un</v>
      </c>
      <c r="D36" s="149"/>
      <c r="E36" s="149"/>
      <c r="F36" s="149"/>
      <c r="G36" s="149"/>
      <c r="H36" s="86" t="s">
        <v>54</v>
      </c>
      <c r="I36" s="87" t="str">
        <f>'Necesidades Trimestrales'!F34</f>
        <v>bolsa</v>
      </c>
      <c r="J36" s="88">
        <f>'Necesidades Trimestrales'!H34</f>
        <v>1353</v>
      </c>
      <c r="K36" s="67">
        <f>'Necesidades Trimestrales'!G34</f>
        <v>1</v>
      </c>
    </row>
    <row r="37" spans="1:14" ht="20.25" customHeight="1" thickBot="1">
      <c r="A37" s="150" t="s">
        <v>101</v>
      </c>
      <c r="B37" s="150"/>
      <c r="C37" s="150"/>
      <c r="D37" s="150"/>
      <c r="E37" s="150"/>
      <c r="F37" s="150"/>
      <c r="G37" s="150"/>
      <c r="H37" s="150"/>
      <c r="I37" s="150"/>
      <c r="J37" s="151">
        <f>SUMPRODUCT(J12:J36,K12:K36)</f>
        <v>771568</v>
      </c>
      <c r="K37" s="151"/>
      <c r="N37" s="53"/>
    </row>
  </sheetData>
  <mergeCells count="4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37:I37"/>
    <mergeCell ref="J37:K37"/>
    <mergeCell ref="C12:G12"/>
    <mergeCell ref="C13:G13"/>
    <mergeCell ref="C14:G14"/>
    <mergeCell ref="C15:G15"/>
    <mergeCell ref="C16:G16"/>
    <mergeCell ref="C17:G17"/>
    <mergeCell ref="C29:G29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30:G30"/>
    <mergeCell ref="C34:G34"/>
    <mergeCell ref="C35:G35"/>
    <mergeCell ref="C36:G36"/>
    <mergeCell ref="C31:G31"/>
    <mergeCell ref="C32:G32"/>
    <mergeCell ref="C33:G33"/>
  </mergeCells>
  <printOptions horizontalCentered="1"/>
  <pageMargins left="0.19685039370078741" right="0.19685039370078741" top="0.19685039370078741" bottom="0.19685039370078741" header="0" footer="0"/>
  <pageSetup paperSize="5" scale="8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abSelected="1" topLeftCell="C10" zoomScale="130" zoomScaleNormal="130" workbookViewId="0">
      <selection activeCell="S17" sqref="S17"/>
    </sheetView>
  </sheetViews>
  <sheetFormatPr baseColWidth="10" defaultColWidth="11" defaultRowHeight="12.75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90" t="s">
        <v>3</v>
      </c>
      <c r="B1" s="190"/>
      <c r="C1" s="190"/>
      <c r="D1" s="191">
        <f>'Necesidades Trimestrales'!C6</f>
        <v>2022</v>
      </c>
      <c r="E1" s="191"/>
      <c r="F1" s="3"/>
      <c r="G1" s="3"/>
      <c r="H1" s="4"/>
      <c r="I1" s="4"/>
      <c r="J1" s="4"/>
      <c r="K1" s="4"/>
      <c r="L1" s="4"/>
      <c r="M1" s="4"/>
      <c r="N1" s="4"/>
      <c r="P1" s="192" t="s">
        <v>25</v>
      </c>
      <c r="Q1" s="192"/>
    </row>
    <row r="2" spans="1:17" ht="15.75" customHeight="1">
      <c r="H2" s="4"/>
      <c r="I2" s="4"/>
      <c r="J2" s="4"/>
      <c r="K2" s="4"/>
      <c r="L2" s="4"/>
      <c r="M2" s="4"/>
      <c r="N2" s="4"/>
      <c r="P2" s="192"/>
      <c r="Q2" s="192"/>
    </row>
    <row r="4" spans="1:17" s="5" customFormat="1" ht="18" customHeight="1" thickBot="1">
      <c r="A4" s="193" t="s">
        <v>26</v>
      </c>
      <c r="B4" s="193"/>
      <c r="C4" s="193"/>
      <c r="D4" s="193"/>
      <c r="E4" s="193"/>
      <c r="F4" s="193"/>
      <c r="G4" s="188" t="str">
        <f>' NotaPedido'!D3</f>
        <v>040 - Ministerio de Salud</v>
      </c>
      <c r="H4" s="188"/>
      <c r="I4" s="188"/>
      <c r="J4" s="188"/>
      <c r="K4" s="188"/>
      <c r="L4" s="188"/>
      <c r="M4" s="188"/>
      <c r="N4" s="188"/>
      <c r="O4" s="188"/>
      <c r="P4" s="188"/>
      <c r="Q4" s="188"/>
    </row>
    <row r="5" spans="1:17" s="5" customFormat="1" ht="18" customHeight="1" thickBot="1">
      <c r="A5" s="185" t="s">
        <v>49</v>
      </c>
      <c r="B5" s="186"/>
      <c r="C5" s="186"/>
      <c r="D5" s="186"/>
      <c r="E5" s="186"/>
      <c r="F5" s="187"/>
      <c r="G5" s="188" t="str">
        <f>' NotaPedido'!D4</f>
        <v>024 - Hospital Interzonal de Niños</v>
      </c>
      <c r="H5" s="188"/>
      <c r="I5" s="188"/>
      <c r="J5" s="188"/>
      <c r="K5" s="188"/>
      <c r="L5" s="188"/>
      <c r="M5" s="188"/>
      <c r="N5" s="188"/>
      <c r="O5" s="188"/>
      <c r="P5" s="188"/>
      <c r="Q5" s="188"/>
    </row>
    <row r="6" spans="1:17" s="5" customFormat="1" ht="18" customHeight="1" thickBot="1">
      <c r="A6" s="185" t="s">
        <v>27</v>
      </c>
      <c r="B6" s="186"/>
      <c r="C6" s="186"/>
      <c r="D6" s="186"/>
      <c r="E6" s="186"/>
      <c r="F6" s="187"/>
      <c r="G6" s="188" t="str">
        <f>' NotaPedido'!D5</f>
        <v>024 - Hospital Interzonal de Niños</v>
      </c>
      <c r="H6" s="188"/>
      <c r="I6" s="188"/>
      <c r="J6" s="188"/>
      <c r="K6" s="188"/>
      <c r="L6" s="188"/>
      <c r="M6" s="188"/>
      <c r="N6" s="188"/>
      <c r="O6" s="188"/>
      <c r="P6" s="188"/>
      <c r="Q6" s="188"/>
    </row>
    <row r="7" spans="1:17" s="5" customFormat="1" ht="18" customHeight="1" thickBot="1">
      <c r="A7" s="185" t="s">
        <v>50</v>
      </c>
      <c r="B7" s="186"/>
      <c r="C7" s="186"/>
      <c r="D7" s="186"/>
      <c r="E7" s="186"/>
      <c r="F7" s="187"/>
      <c r="G7" s="188" t="s">
        <v>61</v>
      </c>
      <c r="H7" s="188"/>
      <c r="I7" s="188"/>
      <c r="J7" s="188"/>
      <c r="K7" s="188"/>
      <c r="L7" s="188"/>
      <c r="M7" s="188"/>
      <c r="N7" s="188"/>
      <c r="O7" s="188"/>
      <c r="P7" s="188"/>
      <c r="Q7" s="188"/>
    </row>
    <row r="8" spans="1:17" ht="18" customHeight="1" thickBot="1">
      <c r="A8" s="189" t="s">
        <v>28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</row>
    <row r="9" spans="1:17" ht="18" customHeight="1">
      <c r="A9" s="174" t="s">
        <v>29</v>
      </c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"/>
      <c r="P9" s="1"/>
      <c r="Q9" s="6"/>
    </row>
    <row r="10" spans="1:17" ht="54.75" customHeight="1">
      <c r="A10" s="17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014/2022,  afectando la erogación resultante a los créditos presupuestarios aprobados a favor de esta Unidad Ejecutora, conforme al siguiente detalle: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</row>
    <row r="11" spans="1:17" ht="9" customHeight="1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>
      <c r="A12" s="176" t="s">
        <v>30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ht="15.75" customHeight="1" thickBot="1">
      <c r="A13" s="177" t="s">
        <v>31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9" t="s">
        <v>32</v>
      </c>
      <c r="P13" s="180"/>
      <c r="Q13" s="183" t="s">
        <v>33</v>
      </c>
    </row>
    <row r="14" spans="1:17" ht="15.75" customHeight="1" thickBot="1">
      <c r="A14" s="58" t="s">
        <v>34</v>
      </c>
      <c r="B14" s="59" t="s">
        <v>35</v>
      </c>
      <c r="C14" s="59" t="s">
        <v>36</v>
      </c>
      <c r="D14" s="59" t="s">
        <v>37</v>
      </c>
      <c r="E14" s="59" t="s">
        <v>38</v>
      </c>
      <c r="F14" s="59" t="s">
        <v>39</v>
      </c>
      <c r="G14" s="60" t="s">
        <v>40</v>
      </c>
      <c r="H14" s="59" t="s">
        <v>41</v>
      </c>
      <c r="I14" s="59" t="s">
        <v>42</v>
      </c>
      <c r="J14" s="59" t="s">
        <v>43</v>
      </c>
      <c r="K14" s="59" t="s">
        <v>43</v>
      </c>
      <c r="L14" s="59" t="s">
        <v>44</v>
      </c>
      <c r="M14" s="61" t="s">
        <v>45</v>
      </c>
      <c r="N14" s="62" t="s">
        <v>46</v>
      </c>
      <c r="O14" s="181"/>
      <c r="P14" s="182"/>
      <c r="Q14" s="184"/>
    </row>
    <row r="15" spans="1:17" ht="26.25" customHeight="1">
      <c r="A15" s="54">
        <v>36</v>
      </c>
      <c r="B15" s="55"/>
      <c r="C15" s="55"/>
      <c r="D15" s="55">
        <v>1</v>
      </c>
      <c r="E15" s="55"/>
      <c r="F15" s="55">
        <v>4901</v>
      </c>
      <c r="G15" s="55">
        <v>3</v>
      </c>
      <c r="H15" s="55">
        <v>310</v>
      </c>
      <c r="I15" s="55">
        <v>2</v>
      </c>
      <c r="J15" s="55">
        <v>3</v>
      </c>
      <c r="K15" s="55">
        <v>4</v>
      </c>
      <c r="L15" s="55"/>
      <c r="M15" s="56">
        <v>1</v>
      </c>
      <c r="N15" s="57" t="s">
        <v>53</v>
      </c>
      <c r="O15" s="168" t="s">
        <v>73</v>
      </c>
      <c r="P15" s="168"/>
      <c r="Q15" s="63">
        <v>41700</v>
      </c>
    </row>
    <row r="16" spans="1:17" ht="17.25" customHeight="1">
      <c r="A16" s="54">
        <v>36</v>
      </c>
      <c r="B16" s="55"/>
      <c r="C16" s="55"/>
      <c r="D16" s="55">
        <v>1</v>
      </c>
      <c r="E16" s="55"/>
      <c r="F16" s="55">
        <v>4901</v>
      </c>
      <c r="G16" s="55">
        <v>3</v>
      </c>
      <c r="H16" s="55">
        <v>310</v>
      </c>
      <c r="I16" s="55">
        <v>2</v>
      </c>
      <c r="J16" s="55">
        <v>9</v>
      </c>
      <c r="K16" s="55">
        <v>3</v>
      </c>
      <c r="L16" s="55"/>
      <c r="M16" s="56">
        <v>1</v>
      </c>
      <c r="N16" s="57" t="s">
        <v>53</v>
      </c>
      <c r="O16" s="169" t="s">
        <v>74</v>
      </c>
      <c r="P16" s="163"/>
      <c r="Q16" s="15">
        <v>235401</v>
      </c>
    </row>
    <row r="17" spans="1:18" ht="21.75" customHeight="1">
      <c r="A17" s="54">
        <v>36</v>
      </c>
      <c r="B17" s="55"/>
      <c r="C17" s="55"/>
      <c r="D17" s="55">
        <v>1</v>
      </c>
      <c r="E17" s="55"/>
      <c r="F17" s="55">
        <v>4901</v>
      </c>
      <c r="G17" s="55">
        <v>3</v>
      </c>
      <c r="H17" s="55">
        <v>310</v>
      </c>
      <c r="I17" s="55">
        <v>2</v>
      </c>
      <c r="J17" s="55">
        <v>9</v>
      </c>
      <c r="K17" s="55">
        <v>5</v>
      </c>
      <c r="L17" s="55"/>
      <c r="M17" s="56">
        <v>1</v>
      </c>
      <c r="N17" s="57" t="s">
        <v>53</v>
      </c>
      <c r="O17" s="168" t="s">
        <v>65</v>
      </c>
      <c r="P17" s="168"/>
      <c r="Q17" s="15">
        <v>494467</v>
      </c>
    </row>
    <row r="18" spans="1:18" ht="17.25" customHeight="1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63"/>
      <c r="P18" s="163"/>
      <c r="Q18" s="15"/>
    </row>
    <row r="19" spans="1:18" ht="17.25" customHeight="1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64"/>
      <c r="P19" s="164"/>
      <c r="Q19" s="15"/>
      <c r="R19" s="1"/>
    </row>
    <row r="20" spans="1:18" ht="17.25" customHeight="1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65"/>
      <c r="P20" s="165"/>
      <c r="Q20" s="24"/>
    </row>
    <row r="21" spans="1:18" ht="29.25" customHeight="1">
      <c r="A21" s="166" t="s">
        <v>102</v>
      </c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25">
        <f>SUM(Q15:Q20)</f>
        <v>771568</v>
      </c>
    </row>
    <row r="22" spans="1:18" ht="18" customHeight="1" thickBot="1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</row>
    <row r="23" spans="1:18" ht="17.25" customHeight="1" thickBot="1">
      <c r="A23" s="170" t="s">
        <v>47</v>
      </c>
      <c r="B23" s="171"/>
      <c r="C23" s="171"/>
      <c r="D23" s="171"/>
      <c r="E23" s="171"/>
      <c r="F23" s="172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spans="1:18" ht="18" customHeight="1" thickBot="1">
      <c r="A24" s="162" t="s">
        <v>63</v>
      </c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</row>
    <row r="25" spans="1:18" ht="26.25" customHeight="1">
      <c r="A25" s="162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2021-09-15T13:43:26Z</cp:lastPrinted>
  <dcterms:created xsi:type="dcterms:W3CDTF">2020-07-17T23:44:49Z</dcterms:created>
  <dcterms:modified xsi:type="dcterms:W3CDTF">2022-02-25T13:04:44Z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