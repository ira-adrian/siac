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checkCompatibility="1" defaultThemeVersion="124226"/>
  <bookViews>
    <workbookView xWindow="-120" yWindow="0" windowWidth="17490" windowHeight="10890" tabRatio="500"/>
  </bookViews>
  <sheets>
    <sheet name="Necesidades Trimestrales" sheetId="1" r:id="rId1"/>
    <sheet name=" NotaPedido" sheetId="2" r:id="rId2"/>
    <sheet name="Autor Gastar" sheetId="3" r:id="rId3"/>
  </sheets>
  <definedNames>
    <definedName name="_xlnm._FilterDatabase" localSheetId="0" hidden="1">'Necesidades Trimestrales'!$A$9:$I$32</definedName>
    <definedName name="_xlnm.Print_Area" localSheetId="1">' NotaPedido'!$A$1:$K$35</definedName>
    <definedName name="_xlnm.Print_Area" localSheetId="2">'Autor Gastar'!$A$1:$Q$26</definedName>
    <definedName name="_xlnm.Print_Area" localSheetId="0">'Necesidades Trimestrales'!$E$9:$E$32</definedName>
  </definedNames>
  <calcPr calcId="144525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13" i="2" l="1"/>
  <c r="B14" i="2"/>
  <c r="B15" i="2"/>
  <c r="B16" i="2"/>
  <c r="B17" i="2"/>
  <c r="B18" i="2"/>
  <c r="B19" i="2"/>
  <c r="B20" i="2"/>
  <c r="B21" i="2"/>
  <c r="B22" i="2"/>
  <c r="B23" i="2"/>
  <c r="B24" i="2"/>
  <c r="B25" i="2"/>
  <c r="B26" i="2"/>
  <c r="B27" i="2"/>
  <c r="B28" i="2"/>
  <c r="B29" i="2"/>
  <c r="B30" i="2"/>
  <c r="B31" i="2"/>
  <c r="B32" i="2"/>
  <c r="B33" i="2"/>
  <c r="B34" i="2"/>
  <c r="B12" i="2"/>
  <c r="K12" i="2" l="1"/>
  <c r="K13" i="2"/>
  <c r="K14" i="2"/>
  <c r="K15" i="2"/>
  <c r="K16" i="2"/>
  <c r="K17" i="2"/>
  <c r="K18" i="2"/>
  <c r="K19" i="2"/>
  <c r="K20" i="2"/>
  <c r="K21" i="2"/>
  <c r="K22" i="2"/>
  <c r="K23" i="2"/>
  <c r="K24" i="2"/>
  <c r="K25" i="2"/>
  <c r="K26" i="2"/>
  <c r="K27" i="2"/>
  <c r="K28" i="2"/>
  <c r="K29" i="2"/>
  <c r="K30" i="2"/>
  <c r="K31" i="2"/>
  <c r="K32" i="2"/>
  <c r="K33" i="2"/>
  <c r="K34" i="2"/>
  <c r="Q22" i="3" l="1"/>
  <c r="J12" i="2" l="1"/>
  <c r="J13" i="2"/>
  <c r="J14" i="2"/>
  <c r="J15" i="2"/>
  <c r="J16" i="2"/>
  <c r="J17" i="2"/>
  <c r="J18" i="2"/>
  <c r="J19" i="2"/>
  <c r="J20" i="2"/>
  <c r="J21" i="2"/>
  <c r="J22" i="2"/>
  <c r="J23" i="2"/>
  <c r="J24" i="2"/>
  <c r="J25" i="2"/>
  <c r="J26" i="2"/>
  <c r="J27" i="2"/>
  <c r="J28" i="2"/>
  <c r="J29" i="2"/>
  <c r="J30" i="2"/>
  <c r="J31" i="2"/>
  <c r="J32" i="2"/>
  <c r="J33" i="2"/>
  <c r="J34" i="2"/>
  <c r="I12" i="2"/>
  <c r="I13" i="2"/>
  <c r="I14" i="2"/>
  <c r="I15" i="2"/>
  <c r="I16" i="2"/>
  <c r="I17" i="2"/>
  <c r="I18" i="2"/>
  <c r="I19" i="2"/>
  <c r="I20" i="2"/>
  <c r="I21" i="2"/>
  <c r="I22" i="2"/>
  <c r="I23" i="2"/>
  <c r="I24" i="2"/>
  <c r="I25" i="2"/>
  <c r="I26" i="2"/>
  <c r="I27" i="2"/>
  <c r="I28" i="2"/>
  <c r="I29" i="2"/>
  <c r="I30" i="2"/>
  <c r="I31" i="2"/>
  <c r="I32" i="2"/>
  <c r="I33" i="2"/>
  <c r="I34" i="2"/>
  <c r="C12" i="2"/>
  <c r="C13" i="2"/>
  <c r="C14" i="2"/>
  <c r="C15" i="2"/>
  <c r="C16" i="2"/>
  <c r="C17" i="2"/>
  <c r="C18" i="2"/>
  <c r="C19" i="2"/>
  <c r="C20" i="2"/>
  <c r="C21" i="2"/>
  <c r="C22" i="2"/>
  <c r="C23" i="2"/>
  <c r="C24" i="2"/>
  <c r="C25" i="2"/>
  <c r="C26" i="2"/>
  <c r="C27" i="2"/>
  <c r="C28" i="2"/>
  <c r="C29" i="2"/>
  <c r="C30" i="2"/>
  <c r="C31" i="2"/>
  <c r="C32" i="2"/>
  <c r="C33" i="2"/>
  <c r="C34" i="2"/>
  <c r="I30" i="1"/>
  <c r="I10" i="1" l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1" i="1"/>
  <c r="I32" i="1"/>
  <c r="J35" i="2" l="1"/>
  <c r="A10" i="3" l="1"/>
  <c r="D3" i="2" l="1"/>
  <c r="G4" i="3" s="1"/>
  <c r="D4" i="2"/>
  <c r="G5" i="3" l="1"/>
  <c r="D5" i="2"/>
  <c r="D1" i="3"/>
  <c r="D6" i="2" l="1"/>
  <c r="G7" i="3" s="1"/>
  <c r="G6" i="3"/>
</calcChain>
</file>

<file path=xl/sharedStrings.xml><?xml version="1.0" encoding="utf-8"?>
<sst xmlns="http://schemas.openxmlformats.org/spreadsheetml/2006/main" count="208" uniqueCount="119">
  <si>
    <t>Pedido de Necesidades Trimestrales</t>
  </si>
  <si>
    <t>JURISDICCION:</t>
  </si>
  <si>
    <t xml:space="preserve">SAF N°: </t>
  </si>
  <si>
    <t>EJERCICIO:</t>
  </si>
  <si>
    <t>TRIMESTRE:</t>
  </si>
  <si>
    <t>ID</t>
  </si>
  <si>
    <t>CODIGO ITEM</t>
  </si>
  <si>
    <t>RUBRO DE COMPRA</t>
  </si>
  <si>
    <t xml:space="preserve">I.P.P. </t>
  </si>
  <si>
    <t>DESCRIPCION</t>
  </si>
  <si>
    <t>UNIDAD DE MEDIDA</t>
  </si>
  <si>
    <t>CANTIDAD</t>
  </si>
  <si>
    <t>PRECIO UNITARIO ESTIMADO</t>
  </si>
  <si>
    <t xml:space="preserve">IMPORTE TOTAL ESTIMADO </t>
  </si>
  <si>
    <t>NOTA DE PEDIDO</t>
  </si>
  <si>
    <t>N°</t>
  </si>
  <si>
    <t>PERIODO UTILIZACIÓN:</t>
  </si>
  <si>
    <t>OBJETO:</t>
  </si>
  <si>
    <t>Ítem</t>
  </si>
  <si>
    <t>Codigo Item</t>
  </si>
  <si>
    <t>DESCRIPCIÓN</t>
  </si>
  <si>
    <t>Adjunta Detalle Técnico</t>
  </si>
  <si>
    <t>Unidad Medida</t>
  </si>
  <si>
    <t>Precio Unitario Estimado</t>
  </si>
  <si>
    <t>Cantidad Solicitada</t>
  </si>
  <si>
    <t>AUTORIZACION PARA GASTAR</t>
  </si>
  <si>
    <t>JURISDICCIÓN:</t>
  </si>
  <si>
    <t>UNIDAD EJECUTORA:</t>
  </si>
  <si>
    <r>
      <rPr>
        <b/>
        <u/>
        <sz val="10"/>
        <rFont val="Arial"/>
        <family val="2"/>
        <charset val="1"/>
      </rPr>
      <t>AUTORIZACIÓN</t>
    </r>
    <r>
      <rPr>
        <b/>
        <sz val="10"/>
        <rFont val="Arial"/>
        <family val="2"/>
        <charset val="1"/>
      </rPr>
      <t>:</t>
    </r>
  </si>
  <si>
    <t>Señor Jefe de Servicio Administrativo Financiero:</t>
  </si>
  <si>
    <t>IMPUTACIÓN PRESUPUESTARIA</t>
  </si>
  <si>
    <t>CÓDIGO</t>
  </si>
  <si>
    <t xml:space="preserve"> DENOMINACIÓN DE LA PARTIDA PRESUPUESTARIA</t>
  </si>
  <si>
    <t>IMPORTE</t>
  </si>
  <si>
    <t>PR</t>
  </si>
  <si>
    <t>SB</t>
  </si>
  <si>
    <t>PY</t>
  </si>
  <si>
    <t>AC</t>
  </si>
  <si>
    <t>OB</t>
  </si>
  <si>
    <t>UG</t>
  </si>
  <si>
    <t>FIN</t>
  </si>
  <si>
    <t>FUN</t>
  </si>
  <si>
    <t>I</t>
  </si>
  <si>
    <t>P</t>
  </si>
  <si>
    <t>SubP</t>
  </si>
  <si>
    <t>M</t>
  </si>
  <si>
    <t>FF</t>
  </si>
  <si>
    <t>JUSTIFICACIÓN:</t>
  </si>
  <si>
    <t xml:space="preserve">JURISDICCIÓN: </t>
  </si>
  <si>
    <t>SAF:</t>
  </si>
  <si>
    <t xml:space="preserve">DEPENDENCIA SOLICITANTE: </t>
  </si>
  <si>
    <t>040 - Ministerio de Salud</t>
  </si>
  <si>
    <t>1.1</t>
  </si>
  <si>
    <t>NO</t>
  </si>
  <si>
    <t>Semestral</t>
  </si>
  <si>
    <t>UNIDAD</t>
  </si>
  <si>
    <t>Plazos y lugares de entrega</t>
  </si>
  <si>
    <r>
      <rPr>
        <u/>
        <sz val="10"/>
        <rFont val="Times New Roman"/>
        <family val="1"/>
      </rPr>
      <t xml:space="preserve">Lugar de Entrega: </t>
    </r>
    <r>
      <rPr>
        <sz val="10"/>
        <rFont val="Times New Roman"/>
        <family val="1"/>
      </rPr>
      <t>SERVICIO DE FARMACIA -HOSPITAL INT. DE NIÑOS – AV. VIRGEN DEL VALLE N° 1050-CATAMARCA DE 8:00 A 12:00HS., DEBIENDO CORRER LOS GASTOS DE FLETES, ACARREO, CARGA, DESCARGA Y SEGURO A CARGO DEL ADJUDICATARIO.</t>
    </r>
  </si>
  <si>
    <r>
      <rPr>
        <u/>
        <sz val="10"/>
        <rFont val="Times New Roman"/>
        <family val="1"/>
      </rPr>
      <t>Plazo de entrega:</t>
    </r>
    <r>
      <rPr>
        <sz val="10"/>
        <rFont val="Times New Roman"/>
        <family val="1"/>
      </rPr>
      <t xml:space="preserve"> Dentro de los diez (10) días habiles de notificada la Orden de Compra</t>
    </r>
  </si>
  <si>
    <r>
      <t>Mantenimiento de Oferta</t>
    </r>
    <r>
      <rPr>
        <sz val="10"/>
        <rFont val="Times New Roman"/>
        <family val="1"/>
      </rPr>
      <t xml:space="preserve">: 45 dias habiles </t>
    </r>
  </si>
  <si>
    <t>24 - HOPITAL DE NIÑOS EVA PERON</t>
  </si>
  <si>
    <t>2.5.2-1726.520</t>
  </si>
  <si>
    <t>2.5.2-1726.186</t>
  </si>
  <si>
    <t>2.5.2-2183.7</t>
  </si>
  <si>
    <t>2.1.1-4227.56</t>
  </si>
  <si>
    <t>2.5.2-1726.9</t>
  </si>
  <si>
    <t>2.5.2-1726.305</t>
  </si>
  <si>
    <t>2.5.2-1726.519</t>
  </si>
  <si>
    <t>2.5.2-1726.382</t>
  </si>
  <si>
    <t>2.5.2-2689.7</t>
  </si>
  <si>
    <t>2.5.2-1726.378</t>
  </si>
  <si>
    <t>2.5.2-1726.14</t>
  </si>
  <si>
    <t>2.5.2-1726.24</t>
  </si>
  <si>
    <t>2.5.2-1726.376</t>
  </si>
  <si>
    <t>2.5.2-1726.17</t>
  </si>
  <si>
    <t>2.5.2-1726.369</t>
  </si>
  <si>
    <t>2.5.2-1726.419</t>
  </si>
  <si>
    <t>2.5.2-1726.393</t>
  </si>
  <si>
    <t>2.5.2-1726.381</t>
  </si>
  <si>
    <t>2.5.2-1726.521</t>
  </si>
  <si>
    <t>2.5.2-1726.522</t>
  </si>
  <si>
    <t>2.5.2-1726.182</t>
  </si>
  <si>
    <t>2.5.2-1726.371</t>
  </si>
  <si>
    <t>2.5.2-1836.10</t>
  </si>
  <si>
    <t>SOLUCIONES P/MEDICINA; TIPO: AGUA DESTILADA, PRESENTACION: AMPOLLA DE 10 ML</t>
  </si>
  <si>
    <t>SOLUCIONES P/MEDICINA; TIPO: AGUA DESTILADA, PRESENTACION: ENVASE X 500 mL</t>
  </si>
  <si>
    <t>EXPANSORES PLASMATICOS; PRINCIPIO ACTIVO: ALBUMINA HUMANA, CONCENTRACION: 20 %, PRESENTACION: 50ML</t>
  </si>
  <si>
    <t>SUPLEMENTOS DIETARIOS; TIPO: ASOCIACION, DROGA GENERICA: S. PARENTERAL ADULTO 1501-2000 ML, PRESENTACION: UNIDAD</t>
  </si>
  <si>
    <t>SOLUCIONES P/MEDICINA; TIPO: BICARBONATO 1 MOLAR, PRESENTACION: SACHET DE 100 mL</t>
  </si>
  <si>
    <t>SOLUCIONES P/MEDICINA; TIPO: CLORURO DE POTASIO 15 MEQ, PRESENTACION: AMPOLLA DE 5 mL</t>
  </si>
  <si>
    <t>SOLUCIONES P/MEDICINA; PRESENTACION: AMPOLLA X 20 ML, TIPO: CLORURO DE SODIO MOLAR AL 20 %</t>
  </si>
  <si>
    <t>SOLUCIONES P/MEDICINA; TIPO: CLORURO DE POTASIO MOLAR, PRESENTACION: ENVASE X 100 mL</t>
  </si>
  <si>
    <t>NORMALIZADORES DE CALCEMIA; TIPO: MONODROGA, DROGA GENERICA: GLUCONATO DE CALCIO 10 %, FORMA FARMACEUTICA: AMPOLLA, PRESENTACION: ENVASE X 10 mL</t>
  </si>
  <si>
    <t>SOLUCIONES P/MEDICINA; TIPO: DEXTROSA AL 50 %, PRESENTACION: ENVASE X 500 mL</t>
  </si>
  <si>
    <t>SOLUCIONES P/MEDICINA; PRESENTACION: SACHET X 500 mL, TIPO: DEXTROSA AL 10 %</t>
  </si>
  <si>
    <t>SOLUCIONES P/MEDICINA; TIPO: DEXTROSA AL 5%, PRESENTACION: ENVASE X 500 mL</t>
  </si>
  <si>
    <t>SOLUCIONES P/MEDICINA; TIPO: DEXTROSA AL 5%, PRESENTACION: ENVASE X 100 mL</t>
  </si>
  <si>
    <t>SOLUCIONES P/MEDICINA; TIPO: FISIOLOGICA CLORURO DE SODIO, PRESENTACION: 500 CM3</t>
  </si>
  <si>
    <t>SOLUCIONES P/MEDICINA; TIPO: FISIOLOGICA, PRESENTACION: ENVASE X 100 mL</t>
  </si>
  <si>
    <t>SOLUCIONES P/MEDICINA; TIPO: FISIOLOGICA, PRESENTACION: ENVASE X 10 mL</t>
  </si>
  <si>
    <t>SOLUCIONES P/MEDICINA; TIPO: GLUCOSADA HIPERTONICA AL 25%, PRESENTACION: ENVASE X 10 mL</t>
  </si>
  <si>
    <t>SOLUCIONES P/MEDICINA; TIPO: MANITOL AL 15%, PRESENTACION: ENVASE X 500 mL</t>
  </si>
  <si>
    <t>SOLUCIONES P/MEDICINA; TIPO: DIALISIS PERITONEAL DEXTROSA AL 1,5 %, PRESENTACION: ENVASE X 2 L</t>
  </si>
  <si>
    <t>SOLUCIONES P/MEDICINA; TIPO: DIALISIS PERITONEAL DEXTROSA AL 2,5 %, PRESENTACION: ENVASE X 2 L</t>
  </si>
  <si>
    <t>SOLUCIONES P/MEDICINA; TIPO: RINGER LACTATO, PRESENTACION: ENVASE X 500 mL</t>
  </si>
  <si>
    <t>SOLUCIONES P/MEDICINA; TIPO: SULFATO DE MAGNESIO AL 25%, PRESENTACION: ENVASE X 5 mL</t>
  </si>
  <si>
    <t>HIPERTENSORES; TIPO: MONODROGA, DROGA GENERICA: ZINC SULFATO, FORMA FARMACEUTICA: AMPOLLAS, PRESENTACION: 5 mL</t>
  </si>
  <si>
    <t>SACHET</t>
  </si>
  <si>
    <t>ANPOLLA</t>
  </si>
  <si>
    <t xml:space="preserve">UNIDAD  </t>
  </si>
  <si>
    <t>AMPOLLA</t>
  </si>
  <si>
    <t>2.5.2</t>
  </si>
  <si>
    <t>PROD. MEDICO/ FARMACEUTICOS/LAB</t>
  </si>
  <si>
    <t>Nutricion y Soluciones que Afectan el Equilibrio Hidroelectrolitico y Soluciones para Dialisis</t>
  </si>
  <si>
    <t>Para la adquisición de Insumos relacionados a la Nutricion y Soluciones que Afectan el Equilibrio Hidroelectrolitico y Soluciones para Dialisis destinados al Servicio de Farmacia del Hospital Interzonal de Niños Eva Peron, para el normal funcionamiento del organismo.</t>
  </si>
  <si>
    <t>047-2022</t>
  </si>
  <si>
    <t>TOTAL DE PESOS: Cinco Millones Novecientos Seis mil Setecientos Seis con 00/100.</t>
  </si>
  <si>
    <t>PRODUCTOS FARMACEUTICOS Y MEDICINALES</t>
  </si>
  <si>
    <t>Costo total estimado: Cinco Millones Novecientos Seis mil Setecientos Seis con 00/100.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</si>
</sst>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8">
    <numFmt numFmtId="44" formatCode="_-&quot;$&quot;* #,##0.00_-;\-&quot;$&quot;* #,##0.00_-;_-&quot;$&quot;* &quot;-&quot;??_-;_-@_-"/>
    <numFmt numFmtId="164" formatCode="_ &quot;$&quot;\ * #,##0.00_ ;_ &quot;$&quot;\ * \-#,##0.00_ ;_ &quot;$&quot;\ * &quot;-&quot;??_ ;_ @_ "/>
    <numFmt numFmtId="165" formatCode="_(\$* #,##0.00_);_(\$* \(#,##0.00\);_(\$* \-??_);_(@_)"/>
    <numFmt numFmtId="166" formatCode="_-* #,##0.00&quot; €&quot;_-;\-* #,##0.00&quot; €&quot;_-;_-* \-??&quot; €&quot;_-;_-@_-"/>
    <numFmt numFmtId="167" formatCode="[$$-2C0A]\ #,##0.00;[$$-2C0A]&quot; -&quot;#,##0.00"/>
    <numFmt numFmtId="168" formatCode="[$$-2C0A]\ #,##0.00"/>
    <numFmt numFmtId="169" formatCode="dd\-mm\-yy;@"/>
    <numFmt numFmtId="170" formatCode="&quot;$&quot;\ #,##0.00"/>
  </numFmts>
  <fonts count="28" x14ac:knownFonts="1">
    <font>
      <sz val="10"/>
      <name val="Arial"/>
      <charset val="1"/>
    </font>
    <font>
      <b/>
      <sz val="15"/>
      <color rgb="FF666699"/>
      <name val="Calibri"/>
      <family val="2"/>
      <charset val="1"/>
    </font>
    <font>
      <sz val="10"/>
      <name val="Arial"/>
      <family val="2"/>
      <charset val="1"/>
    </font>
    <font>
      <sz val="11"/>
      <color rgb="FF993300"/>
      <name val="Calibri"/>
      <family val="2"/>
      <charset val="1"/>
    </font>
    <font>
      <sz val="10"/>
      <name val="Times New Roman"/>
      <family val="1"/>
      <charset val="1"/>
    </font>
    <font>
      <b/>
      <u/>
      <sz val="12"/>
      <name val="Times New Roman"/>
      <family val="1"/>
      <charset val="1"/>
    </font>
    <font>
      <b/>
      <sz val="12"/>
      <name val="Times New Roman"/>
      <family val="1"/>
      <charset val="1"/>
    </font>
    <font>
      <sz val="12"/>
      <name val="Times New Roman"/>
      <family val="1"/>
      <charset val="1"/>
    </font>
    <font>
      <b/>
      <sz val="11"/>
      <name val="Times New Roman"/>
      <family val="1"/>
      <charset val="1"/>
    </font>
    <font>
      <b/>
      <sz val="11"/>
      <name val="Arial"/>
      <family val="2"/>
      <charset val="1"/>
    </font>
    <font>
      <b/>
      <sz val="12"/>
      <name val="Arial"/>
      <family val="2"/>
      <charset val="1"/>
    </font>
    <font>
      <sz val="11"/>
      <name val="Arial"/>
      <family val="2"/>
      <charset val="1"/>
    </font>
    <font>
      <b/>
      <u/>
      <sz val="10"/>
      <name val="Arial"/>
      <family val="2"/>
      <charset val="1"/>
    </font>
    <font>
      <b/>
      <sz val="10"/>
      <name val="Arial"/>
      <family val="2"/>
      <charset val="1"/>
    </font>
    <font>
      <sz val="10"/>
      <name val="Arial"/>
      <family val="2"/>
    </font>
    <font>
      <sz val="10"/>
      <name val="Times New Roman"/>
      <family val="1"/>
    </font>
    <font>
      <b/>
      <sz val="22"/>
      <name val="Times New Roman"/>
      <family val="1"/>
    </font>
    <font>
      <b/>
      <sz val="11"/>
      <color rgb="FF000000"/>
      <name val="Times New Roman"/>
      <family val="1"/>
    </font>
    <font>
      <sz val="10"/>
      <color rgb="FF000000"/>
      <name val="Times New Roman"/>
      <family val="1"/>
    </font>
    <font>
      <b/>
      <sz val="10"/>
      <color rgb="FF000000"/>
      <name val="Times New Roman"/>
      <family val="1"/>
    </font>
    <font>
      <sz val="9"/>
      <name val="Times New Roman"/>
      <family val="1"/>
    </font>
    <font>
      <u/>
      <sz val="10"/>
      <name val="Times New Roman"/>
      <family val="1"/>
    </font>
    <font>
      <b/>
      <sz val="12"/>
      <color rgb="FF000000"/>
      <name val="Times New Roman"/>
      <family val="1"/>
    </font>
    <font>
      <b/>
      <sz val="10"/>
      <color rgb="FF000000"/>
      <name val="Arial"/>
      <family val="2"/>
    </font>
    <font>
      <sz val="10"/>
      <color rgb="FF000000"/>
      <name val="Arial"/>
      <family val="2"/>
    </font>
    <font>
      <sz val="10"/>
      <color theme="1"/>
      <name val="Arial"/>
      <family val="2"/>
    </font>
    <font>
      <sz val="12"/>
      <name val="Arial"/>
      <family val="2"/>
      <charset val="1"/>
    </font>
    <font>
      <sz val="9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rgb="FFFFFF99"/>
        <bgColor rgb="FFFFFFCC"/>
      </patternFill>
    </fill>
    <fill>
      <patternFill patternType="solid">
        <fgColor theme="0"/>
        <bgColor indexed="64"/>
      </patternFill>
    </fill>
    <fill>
      <patternFill patternType="solid">
        <fgColor theme="0"/>
        <bgColor rgb="FFFFFF00"/>
      </patternFill>
    </fill>
    <fill>
      <patternFill patternType="solid">
        <fgColor theme="0"/>
        <bgColor rgb="FFFFC000"/>
      </patternFill>
    </fill>
    <fill>
      <patternFill patternType="solid">
        <fgColor theme="0"/>
        <bgColor rgb="FFFDE9D9"/>
      </patternFill>
    </fill>
    <fill>
      <patternFill patternType="solid">
        <fgColor theme="0"/>
        <bgColor rgb="FF92D050"/>
      </patternFill>
    </fill>
    <fill>
      <patternFill patternType="solid">
        <fgColor theme="0"/>
        <bgColor rgb="FFB8CCE4"/>
      </patternFill>
    </fill>
  </fills>
  <borders count="59">
    <border>
      <left/>
      <right/>
      <top/>
      <bottom/>
      <diagonal/>
    </border>
    <border>
      <left/>
      <right/>
      <top/>
      <bottom style="thick">
        <color rgb="FF33CCCC"/>
      </bottom>
      <diagonal/>
    </border>
    <border>
      <left style="thick">
        <color auto="1"/>
      </left>
      <right style="thick">
        <color auto="1"/>
      </right>
      <top style="thick">
        <color auto="1"/>
      </top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/>
      <right style="medium">
        <color rgb="FF3D3D3D"/>
      </right>
      <top/>
      <bottom/>
      <diagonal/>
    </border>
    <border>
      <left style="medium">
        <color rgb="FF3D3D3D"/>
      </left>
      <right style="medium">
        <color rgb="FF3D3D3D"/>
      </right>
      <top style="medium">
        <color rgb="FF3D3D3D"/>
      </top>
      <bottom style="medium">
        <color rgb="FF3D3D3D"/>
      </bottom>
      <diagonal/>
    </border>
    <border>
      <left/>
      <right/>
      <top/>
      <bottom style="medium">
        <color rgb="FF3D3D3D"/>
      </bottom>
      <diagonal/>
    </border>
    <border>
      <left style="medium">
        <color rgb="FF3D3D3D"/>
      </left>
      <right/>
      <top style="medium">
        <color rgb="FF3D3D3D"/>
      </top>
      <bottom style="medium">
        <color rgb="FF3D3D3D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rgb="FF3D3D3D"/>
      </left>
      <right/>
      <top style="medium">
        <color rgb="FF3D3D3D"/>
      </top>
      <bottom/>
      <diagonal/>
    </border>
    <border>
      <left style="medium">
        <color auto="1"/>
      </left>
      <right style="medium">
        <color rgb="FF3D3D3D"/>
      </right>
      <top style="medium">
        <color auto="1"/>
      </top>
      <bottom style="medium">
        <color auto="1"/>
      </bottom>
      <diagonal/>
    </border>
    <border>
      <left style="medium">
        <color rgb="FF3D3D3D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rgb="FF3D3D3D"/>
      </left>
      <right style="medium">
        <color rgb="FF3D3D3D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rgb="FF3D3D3D"/>
      </left>
      <right style="medium">
        <color rgb="FF3D3D3D"/>
      </right>
      <top style="medium">
        <color rgb="FF3D3D3D"/>
      </top>
      <bottom/>
      <diagonal/>
    </border>
    <border>
      <left style="medium">
        <color rgb="FF3D3D3D"/>
      </left>
      <right/>
      <top/>
      <bottom/>
      <diagonal/>
    </border>
    <border>
      <left style="medium">
        <color rgb="FF3D3D3D"/>
      </left>
      <right style="medium">
        <color rgb="FF3D3D3D"/>
      </right>
      <top/>
      <bottom/>
      <diagonal/>
    </border>
    <border>
      <left style="medium">
        <color rgb="FF3D3D3D"/>
      </left>
      <right/>
      <top/>
      <bottom style="medium">
        <color rgb="FF3D3D3D"/>
      </bottom>
      <diagonal/>
    </border>
    <border>
      <left/>
      <right style="medium">
        <color rgb="FF3D3D3D"/>
      </right>
      <top/>
      <bottom style="medium">
        <color rgb="FF3D3D3D"/>
      </bottom>
      <diagonal/>
    </border>
    <border>
      <left/>
      <right style="medium">
        <color rgb="FF3D3D3D"/>
      </right>
      <top style="medium">
        <color rgb="FF3D3D3D"/>
      </top>
      <bottom/>
      <diagonal/>
    </border>
    <border>
      <left style="medium">
        <color rgb="FF3D3D3D"/>
      </left>
      <right style="thin">
        <color rgb="FF3D3D3D"/>
      </right>
      <top/>
      <bottom/>
      <diagonal/>
    </border>
    <border>
      <left style="thin">
        <color rgb="FF3D3D3D"/>
      </left>
      <right style="thin">
        <color rgb="FF3D3D3D"/>
      </right>
      <top/>
      <bottom/>
      <diagonal/>
    </border>
    <border>
      <left style="thin">
        <color rgb="FF3D3D3D"/>
      </left>
      <right/>
      <top/>
      <bottom/>
      <diagonal/>
    </border>
    <border>
      <left style="medium">
        <color rgb="FF3D3D3D"/>
      </left>
      <right style="thin">
        <color rgb="FF3D3D3D"/>
      </right>
      <top style="medium">
        <color rgb="FF3D3D3D"/>
      </top>
      <bottom style="thin">
        <color rgb="FF3D3D3D"/>
      </bottom>
      <diagonal/>
    </border>
    <border>
      <left style="thin">
        <color rgb="FF3D3D3D"/>
      </left>
      <right style="thin">
        <color rgb="FF3D3D3D"/>
      </right>
      <top style="medium">
        <color rgb="FF3D3D3D"/>
      </top>
      <bottom style="thin">
        <color rgb="FF3D3D3D"/>
      </bottom>
      <diagonal/>
    </border>
    <border>
      <left style="thin">
        <color rgb="FF3D3D3D"/>
      </left>
      <right/>
      <top style="medium">
        <color rgb="FF3D3D3D"/>
      </top>
      <bottom style="thin">
        <color rgb="FF3D3D3D"/>
      </bottom>
      <diagonal/>
    </border>
    <border>
      <left style="thin">
        <color rgb="FF3D3D3D"/>
      </left>
      <right style="medium">
        <color rgb="FF3D3D3D"/>
      </right>
      <top style="medium">
        <color rgb="FF3D3D3D"/>
      </top>
      <bottom style="thin">
        <color rgb="FF3D3D3D"/>
      </bottom>
      <diagonal/>
    </border>
    <border>
      <left style="medium">
        <color rgb="FF3D3D3D"/>
      </left>
      <right style="thin">
        <color rgb="FF3D3D3D"/>
      </right>
      <top/>
      <bottom style="thin">
        <color rgb="FF3D3D3D"/>
      </bottom>
      <diagonal/>
    </border>
    <border>
      <left style="thin">
        <color rgb="FF3D3D3D"/>
      </left>
      <right style="thin">
        <color rgb="FF3D3D3D"/>
      </right>
      <top/>
      <bottom style="thin">
        <color rgb="FF3D3D3D"/>
      </bottom>
      <diagonal/>
    </border>
    <border>
      <left style="thin">
        <color rgb="FF3D3D3D"/>
      </left>
      <right/>
      <top/>
      <bottom style="thin">
        <color rgb="FF3D3D3D"/>
      </bottom>
      <diagonal/>
    </border>
    <border>
      <left style="thin">
        <color rgb="FF3D3D3D"/>
      </left>
      <right style="thin">
        <color rgb="FF3D3D3D"/>
      </right>
      <top style="thin">
        <color rgb="FF3D3D3D"/>
      </top>
      <bottom style="thin">
        <color rgb="FF3D3D3D"/>
      </bottom>
      <diagonal/>
    </border>
    <border>
      <left style="thin">
        <color rgb="FF3D3D3D"/>
      </left>
      <right style="medium">
        <color rgb="FF3D3D3D"/>
      </right>
      <top style="thin">
        <color rgb="FF3D3D3D"/>
      </top>
      <bottom style="thin">
        <color rgb="FF3D3D3D"/>
      </bottom>
      <diagonal/>
    </border>
    <border>
      <left style="medium">
        <color rgb="FF3D3D3D"/>
      </left>
      <right style="thin">
        <color rgb="FF3D3D3D"/>
      </right>
      <top style="thin">
        <color rgb="FF3D3D3D"/>
      </top>
      <bottom style="medium">
        <color rgb="FF3D3D3D"/>
      </bottom>
      <diagonal/>
    </border>
    <border>
      <left style="thin">
        <color rgb="FF3D3D3D"/>
      </left>
      <right style="thin">
        <color rgb="FF3D3D3D"/>
      </right>
      <top style="thin">
        <color rgb="FF3D3D3D"/>
      </top>
      <bottom style="medium">
        <color rgb="FF3D3D3D"/>
      </bottom>
      <diagonal/>
    </border>
    <border>
      <left style="thin">
        <color rgb="FF3D3D3D"/>
      </left>
      <right/>
      <top style="thin">
        <color rgb="FF3D3D3D"/>
      </top>
      <bottom style="medium">
        <color rgb="FF3D3D3D"/>
      </bottom>
      <diagonal/>
    </border>
    <border>
      <left style="thin">
        <color rgb="FF3D3D3D"/>
      </left>
      <right style="medium">
        <color rgb="FF3D3D3D"/>
      </right>
      <top style="thin">
        <color rgb="FF3D3D3D"/>
      </top>
      <bottom style="medium">
        <color rgb="FF3D3D3D"/>
      </bottom>
      <diagonal/>
    </border>
    <border>
      <left style="medium">
        <color rgb="FF3D3D3D"/>
      </left>
      <right style="medium">
        <color rgb="FF3D3D3D"/>
      </right>
      <top/>
      <bottom style="medium">
        <color rgb="FF3D3D3D"/>
      </bottom>
      <diagonal/>
    </border>
    <border>
      <left style="medium">
        <color rgb="FF3D3D3D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rgb="FF3D3D3D"/>
      </top>
      <bottom style="medium">
        <color rgb="FF3D3D3D"/>
      </bottom>
      <diagonal/>
    </border>
    <border>
      <left/>
      <right style="medium">
        <color rgb="FF3D3D3D"/>
      </right>
      <top style="medium">
        <color rgb="FF3D3D3D"/>
      </top>
      <bottom style="medium">
        <color rgb="FF3D3D3D"/>
      </bottom>
      <diagonal/>
    </border>
    <border>
      <left/>
      <right style="thick">
        <color auto="1"/>
      </right>
      <top style="thick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ck">
        <color auto="1"/>
      </left>
      <right/>
      <top style="thick">
        <color auto="1"/>
      </top>
      <bottom/>
      <diagonal/>
    </border>
    <border>
      <left style="thin">
        <color auto="1"/>
      </left>
      <right style="thin">
        <color auto="1"/>
      </right>
      <top style="thick">
        <color auto="1"/>
      </top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8">
    <xf numFmtId="0" fontId="0" fillId="0" borderId="0"/>
    <xf numFmtId="166" fontId="14" fillId="0" borderId="0" applyBorder="0" applyProtection="0"/>
    <xf numFmtId="0" fontId="1" fillId="0" borderId="1" applyProtection="0"/>
    <xf numFmtId="165" fontId="2" fillId="0" borderId="0" applyBorder="0" applyProtection="0"/>
    <xf numFmtId="0" fontId="3" fillId="2" borderId="0" applyBorder="0" applyProtection="0"/>
    <xf numFmtId="0" fontId="14" fillId="0" borderId="0"/>
    <xf numFmtId="0" fontId="14" fillId="0" borderId="0"/>
    <xf numFmtId="0" fontId="14" fillId="0" borderId="0"/>
  </cellStyleXfs>
  <cellXfs count="161">
    <xf numFmtId="0" fontId="0" fillId="0" borderId="0" xfId="0"/>
    <xf numFmtId="0" fontId="0" fillId="0" borderId="0" xfId="0" applyBorder="1"/>
    <xf numFmtId="0" fontId="0" fillId="0" borderId="0" xfId="0" applyAlignment="1">
      <alignment horizontal="left"/>
    </xf>
    <xf numFmtId="3" fontId="9" fillId="0" borderId="0" xfId="0" applyNumberFormat="1" applyFont="1" applyBorder="1" applyAlignment="1"/>
    <xf numFmtId="169" fontId="0" fillId="0" borderId="0" xfId="0" applyNumberFormat="1" applyAlignment="1">
      <alignment horizontal="left"/>
    </xf>
    <xf numFmtId="0" fontId="2" fillId="0" borderId="0" xfId="0" applyFont="1"/>
    <xf numFmtId="0" fontId="0" fillId="0" borderId="11" xfId="0" applyBorder="1"/>
    <xf numFmtId="0" fontId="0" fillId="0" borderId="25" xfId="0" applyBorder="1"/>
    <xf numFmtId="0" fontId="0" fillId="0" borderId="13" xfId="0" applyBorder="1"/>
    <xf numFmtId="0" fontId="0" fillId="0" borderId="13" xfId="0" applyBorder="1" applyAlignment="1">
      <alignment horizontal="left"/>
    </xf>
    <xf numFmtId="0" fontId="0" fillId="0" borderId="26" xfId="0" applyBorder="1"/>
    <xf numFmtId="0" fontId="13" fillId="0" borderId="28" xfId="0" applyFont="1" applyBorder="1" applyAlignment="1">
      <alignment horizontal="center" vertical="center"/>
    </xf>
    <xf numFmtId="0" fontId="13" fillId="0" borderId="29" xfId="0" applyFont="1" applyBorder="1" applyAlignment="1">
      <alignment horizontal="center" vertical="center"/>
    </xf>
    <xf numFmtId="0" fontId="13" fillId="0" borderId="29" xfId="0" applyFont="1" applyBorder="1" applyAlignment="1">
      <alignment horizontal="left" vertical="center"/>
    </xf>
    <xf numFmtId="0" fontId="13" fillId="0" borderId="30" xfId="0" applyFont="1" applyBorder="1" applyAlignment="1">
      <alignment horizontal="center" vertical="center"/>
    </xf>
    <xf numFmtId="0" fontId="13" fillId="0" borderId="24" xfId="0" applyFont="1" applyBorder="1" applyAlignment="1">
      <alignment horizontal="center" vertical="center"/>
    </xf>
    <xf numFmtId="167" fontId="0" fillId="0" borderId="34" xfId="3" applyNumberFormat="1" applyFont="1" applyBorder="1" applyAlignment="1" applyProtection="1">
      <alignment horizontal="center" vertical="center"/>
    </xf>
    <xf numFmtId="0" fontId="0" fillId="0" borderId="35" xfId="0" applyFont="1" applyBorder="1" applyAlignment="1">
      <alignment horizontal="center" vertical="center"/>
    </xf>
    <xf numFmtId="0" fontId="0" fillId="0" borderId="36" xfId="0" applyFont="1" applyBorder="1" applyAlignment="1">
      <alignment horizontal="center" vertical="center"/>
    </xf>
    <xf numFmtId="0" fontId="0" fillId="0" borderId="37" xfId="0" applyFont="1" applyBorder="1" applyAlignment="1">
      <alignment horizontal="center" vertical="center"/>
    </xf>
    <xf numFmtId="0" fontId="0" fillId="0" borderId="38" xfId="0" applyFont="1" applyBorder="1" applyAlignment="1">
      <alignment horizontal="center" vertical="center"/>
    </xf>
    <xf numFmtId="167" fontId="0" fillId="0" borderId="39" xfId="3" applyNumberFormat="1" applyFont="1" applyBorder="1" applyAlignment="1" applyProtection="1">
      <alignment horizontal="center" vertical="center"/>
    </xf>
    <xf numFmtId="0" fontId="11" fillId="0" borderId="35" xfId="0" applyFont="1" applyBorder="1" applyAlignment="1">
      <alignment horizontal="center" vertical="center"/>
    </xf>
    <xf numFmtId="0" fontId="11" fillId="0" borderId="36" xfId="0" applyFont="1" applyBorder="1" applyAlignment="1">
      <alignment horizontal="center" vertical="center"/>
    </xf>
    <xf numFmtId="0" fontId="0" fillId="0" borderId="38" xfId="0" applyBorder="1" applyAlignment="1">
      <alignment horizontal="center" vertical="center"/>
    </xf>
    <xf numFmtId="0" fontId="11" fillId="0" borderId="37" xfId="0" applyFont="1" applyBorder="1" applyAlignment="1">
      <alignment horizontal="center" vertical="center"/>
    </xf>
    <xf numFmtId="0" fontId="11" fillId="0" borderId="38" xfId="0" applyFont="1" applyBorder="1" applyAlignment="1">
      <alignment horizontal="center" vertical="center"/>
    </xf>
    <xf numFmtId="0" fontId="0" fillId="0" borderId="40" xfId="0" applyBorder="1" applyAlignment="1">
      <alignment horizontal="center" vertical="center"/>
    </xf>
    <xf numFmtId="0" fontId="0" fillId="0" borderId="41" xfId="0" applyBorder="1" applyAlignment="1">
      <alignment horizontal="center" vertical="center"/>
    </xf>
    <xf numFmtId="0" fontId="0" fillId="0" borderId="42" xfId="0" applyBorder="1" applyAlignment="1">
      <alignment horizontal="center" vertical="center"/>
    </xf>
    <xf numFmtId="167" fontId="0" fillId="0" borderId="43" xfId="3" applyNumberFormat="1" applyFont="1" applyBorder="1" applyAlignment="1" applyProtection="1">
      <alignment horizontal="center" vertical="center"/>
    </xf>
    <xf numFmtId="0" fontId="5" fillId="3" borderId="11" xfId="0" applyFont="1" applyFill="1" applyBorder="1" applyAlignment="1">
      <alignment horizontal="right" vertical="center"/>
    </xf>
    <xf numFmtId="0" fontId="2" fillId="3" borderId="0" xfId="0" applyFont="1" applyFill="1" applyBorder="1" applyAlignment="1">
      <alignment vertical="center"/>
    </xf>
    <xf numFmtId="0" fontId="0" fillId="3" borderId="0" xfId="0" applyFill="1"/>
    <xf numFmtId="0" fontId="5" fillId="3" borderId="13" xfId="0" applyFont="1" applyFill="1" applyBorder="1" applyAlignment="1">
      <alignment vertical="center"/>
    </xf>
    <xf numFmtId="0" fontId="5" fillId="3" borderId="0" xfId="0" applyFont="1" applyFill="1" applyBorder="1" applyAlignment="1">
      <alignment vertical="center"/>
    </xf>
    <xf numFmtId="0" fontId="7" fillId="3" borderId="0" xfId="0" applyFont="1" applyFill="1" applyBorder="1" applyAlignment="1">
      <alignment horizontal="left" vertical="center"/>
    </xf>
    <xf numFmtId="0" fontId="6" fillId="3" borderId="0" xfId="0" applyFont="1" applyFill="1" applyBorder="1" applyAlignment="1">
      <alignment horizontal="left" vertical="center" wrapText="1" indent="1"/>
    </xf>
    <xf numFmtId="0" fontId="15" fillId="3" borderId="0" xfId="0" applyFont="1" applyFill="1"/>
    <xf numFmtId="0" fontId="18" fillId="3" borderId="0" xfId="0" applyFont="1" applyFill="1" applyAlignment="1">
      <alignment horizontal="left" wrapText="1"/>
    </xf>
    <xf numFmtId="0" fontId="18" fillId="3" borderId="0" xfId="0" applyFont="1" applyFill="1" applyAlignment="1">
      <alignment horizontal="center" wrapText="1"/>
    </xf>
    <xf numFmtId="0" fontId="23" fillId="3" borderId="2" xfId="0" applyFont="1" applyFill="1" applyBorder="1" applyAlignment="1">
      <alignment horizontal="center" vertical="center" wrapText="1"/>
    </xf>
    <xf numFmtId="0" fontId="23" fillId="3" borderId="50" xfId="0" applyFont="1" applyFill="1" applyBorder="1" applyAlignment="1">
      <alignment horizontal="center" vertical="center" wrapText="1"/>
    </xf>
    <xf numFmtId="0" fontId="23" fillId="3" borderId="51" xfId="0" applyFont="1" applyFill="1" applyBorder="1" applyAlignment="1">
      <alignment horizontal="center" vertical="center" wrapText="1"/>
    </xf>
    <xf numFmtId="0" fontId="23" fillId="3" borderId="48" xfId="0" applyFont="1" applyFill="1" applyBorder="1" applyAlignment="1">
      <alignment horizontal="center" vertical="center" wrapText="1"/>
    </xf>
    <xf numFmtId="0" fontId="14" fillId="3" borderId="49" xfId="0" applyFont="1" applyFill="1" applyBorder="1" applyAlignment="1">
      <alignment horizontal="center" vertical="center"/>
    </xf>
    <xf numFmtId="44" fontId="15" fillId="3" borderId="0" xfId="0" applyNumberFormat="1" applyFont="1" applyFill="1"/>
    <xf numFmtId="44" fontId="23" fillId="3" borderId="2" xfId="0" applyNumberFormat="1" applyFont="1" applyFill="1" applyBorder="1" applyAlignment="1">
      <alignment horizontal="center" vertical="center" wrapText="1"/>
    </xf>
    <xf numFmtId="0" fontId="24" fillId="3" borderId="49" xfId="0" applyFont="1" applyFill="1" applyBorder="1" applyAlignment="1">
      <alignment horizontal="center" vertical="center" wrapText="1"/>
    </xf>
    <xf numFmtId="3" fontId="14" fillId="3" borderId="49" xfId="0" applyNumberFormat="1" applyFont="1" applyFill="1" applyBorder="1" applyAlignment="1">
      <alignment horizontal="center" vertical="center"/>
    </xf>
    <xf numFmtId="0" fontId="25" fillId="5" borderId="49" xfId="0" applyFont="1" applyFill="1" applyBorder="1" applyAlignment="1">
      <alignment vertical="center"/>
    </xf>
    <xf numFmtId="0" fontId="14" fillId="6" borderId="49" xfId="0" applyFont="1" applyFill="1" applyBorder="1" applyAlignment="1">
      <alignment horizontal="left" vertical="center"/>
    </xf>
    <xf numFmtId="0" fontId="14" fillId="5" borderId="49" xfId="0" applyFont="1" applyFill="1" applyBorder="1" applyAlignment="1">
      <alignment horizontal="left" vertical="center"/>
    </xf>
    <xf numFmtId="0" fontId="14" fillId="7" borderId="49" xfId="0" applyFont="1" applyFill="1" applyBorder="1" applyAlignment="1">
      <alignment vertical="center" wrapText="1"/>
    </xf>
    <xf numFmtId="0" fontId="14" fillId="8" borderId="49" xfId="0" applyFont="1" applyFill="1" applyBorder="1" applyAlignment="1">
      <alignment vertical="center"/>
    </xf>
    <xf numFmtId="0" fontId="14" fillId="5" borderId="49" xfId="0" applyFont="1" applyFill="1" applyBorder="1" applyAlignment="1">
      <alignment vertical="center"/>
    </xf>
    <xf numFmtId="0" fontId="15" fillId="0" borderId="0" xfId="0" applyFont="1"/>
    <xf numFmtId="0" fontId="21" fillId="0" borderId="3" xfId="0" applyFont="1" applyBorder="1" applyAlignment="1">
      <alignment horizontal="left" indent="3"/>
    </xf>
    <xf numFmtId="0" fontId="15" fillId="0" borderId="4" xfId="0" applyFont="1" applyBorder="1"/>
    <xf numFmtId="0" fontId="15" fillId="0" borderId="5" xfId="0" applyFont="1" applyBorder="1"/>
    <xf numFmtId="170" fontId="20" fillId="0" borderId="0" xfId="0" applyNumberFormat="1" applyFont="1"/>
    <xf numFmtId="167" fontId="15" fillId="0" borderId="0" xfId="0" applyNumberFormat="1" applyFont="1"/>
    <xf numFmtId="0" fontId="15" fillId="0" borderId="6" xfId="0" applyFont="1" applyBorder="1"/>
    <xf numFmtId="0" fontId="15" fillId="0" borderId="0" xfId="0" applyFont="1" applyBorder="1"/>
    <xf numFmtId="0" fontId="21" fillId="0" borderId="8" xfId="0" applyFont="1" applyBorder="1" applyAlignment="1"/>
    <xf numFmtId="0" fontId="15" fillId="0" borderId="9" xfId="0" applyFont="1" applyBorder="1" applyAlignment="1">
      <alignment horizontal="center" wrapText="1"/>
    </xf>
    <xf numFmtId="0" fontId="15" fillId="0" borderId="9" xfId="0" applyFont="1" applyFill="1" applyBorder="1" applyAlignment="1">
      <alignment horizontal="center" wrapText="1"/>
    </xf>
    <xf numFmtId="0" fontId="15" fillId="0" borderId="10" xfId="0" applyFont="1" applyBorder="1" applyAlignment="1">
      <alignment horizontal="center" wrapText="1"/>
    </xf>
    <xf numFmtId="0" fontId="15" fillId="0" borderId="0" xfId="0" applyFont="1" applyFill="1" applyBorder="1" applyAlignment="1">
      <alignment horizontal="left" vertical="center" wrapText="1"/>
    </xf>
    <xf numFmtId="0" fontId="18" fillId="0" borderId="0" xfId="0" applyFont="1" applyFill="1" applyAlignment="1">
      <alignment horizontal="left" wrapText="1"/>
    </xf>
    <xf numFmtId="0" fontId="18" fillId="0" borderId="0" xfId="0" applyFont="1" applyFill="1" applyAlignment="1">
      <alignment horizontal="center" wrapText="1"/>
    </xf>
    <xf numFmtId="44" fontId="15" fillId="0" borderId="0" xfId="0" applyNumberFormat="1" applyFont="1" applyFill="1"/>
    <xf numFmtId="0" fontId="15" fillId="0" borderId="0" xfId="0" applyFont="1" applyFill="1"/>
    <xf numFmtId="0" fontId="22" fillId="0" borderId="0" xfId="0" applyFont="1" applyFill="1" applyAlignment="1">
      <alignment horizontal="left" wrapText="1" indent="1"/>
    </xf>
    <xf numFmtId="0" fontId="19" fillId="0" borderId="0" xfId="0" applyFont="1" applyFill="1" applyAlignment="1">
      <alignment horizontal="left" wrapText="1"/>
    </xf>
    <xf numFmtId="17" fontId="6" fillId="0" borderId="12" xfId="0" applyNumberFormat="1" applyFont="1" applyFill="1" applyBorder="1" applyAlignment="1">
      <alignment horizontal="center" vertical="center"/>
    </xf>
    <xf numFmtId="0" fontId="0" fillId="0" borderId="31" xfId="0" applyFont="1" applyFill="1" applyBorder="1" applyAlignment="1">
      <alignment horizontal="center" vertical="center"/>
    </xf>
    <xf numFmtId="0" fontId="0" fillId="0" borderId="32" xfId="0" applyFont="1" applyFill="1" applyBorder="1" applyAlignment="1">
      <alignment horizontal="center" vertical="center"/>
    </xf>
    <xf numFmtId="0" fontId="0" fillId="0" borderId="33" xfId="0" applyFont="1" applyFill="1" applyBorder="1" applyAlignment="1">
      <alignment horizontal="center" vertical="center"/>
    </xf>
    <xf numFmtId="0" fontId="14" fillId="0" borderId="32" xfId="0" applyFont="1" applyFill="1" applyBorder="1" applyAlignment="1">
      <alignment horizontal="center" vertical="center"/>
    </xf>
    <xf numFmtId="167" fontId="0" fillId="0" borderId="0" xfId="0" applyNumberFormat="1"/>
    <xf numFmtId="0" fontId="26" fillId="3" borderId="0" xfId="0" applyFont="1" applyFill="1" applyBorder="1" applyAlignment="1">
      <alignment vertical="center"/>
    </xf>
    <xf numFmtId="167" fontId="13" fillId="0" borderId="44" xfId="0" applyNumberFormat="1" applyFont="1" applyFill="1" applyBorder="1" applyAlignment="1">
      <alignment horizontal="center" vertical="center"/>
    </xf>
    <xf numFmtId="0" fontId="14" fillId="0" borderId="0" xfId="0" applyFont="1"/>
    <xf numFmtId="0" fontId="14" fillId="0" borderId="49" xfId="0" applyFont="1" applyFill="1" applyBorder="1" applyAlignment="1">
      <alignment horizontal="center" vertical="center"/>
    </xf>
    <xf numFmtId="0" fontId="14" fillId="0" borderId="49" xfId="0" applyFont="1" applyFill="1" applyBorder="1" applyAlignment="1">
      <alignment vertical="center" wrapText="1"/>
    </xf>
    <xf numFmtId="3" fontId="14" fillId="0" borderId="49" xfId="0" applyNumberFormat="1" applyFont="1" applyFill="1" applyBorder="1" applyAlignment="1">
      <alignment horizontal="center" vertical="center"/>
    </xf>
    <xf numFmtId="0" fontId="14" fillId="3" borderId="49" xfId="0" applyFont="1" applyFill="1" applyBorder="1" applyAlignment="1">
      <alignment horizontal="left" vertical="center"/>
    </xf>
    <xf numFmtId="0" fontId="14" fillId="0" borderId="49" xfId="0" applyFont="1" applyFill="1" applyBorder="1" applyAlignment="1">
      <alignment horizontal="left" vertical="center"/>
    </xf>
    <xf numFmtId="164" fontId="14" fillId="4" borderId="49" xfId="1" applyNumberFormat="1" applyFont="1" applyFill="1" applyBorder="1" applyAlignment="1" applyProtection="1">
      <alignment horizontal="right" vertical="center" wrapText="1"/>
    </xf>
    <xf numFmtId="164" fontId="14" fillId="0" borderId="49" xfId="1" applyNumberFormat="1" applyFont="1" applyFill="1" applyBorder="1" applyAlignment="1" applyProtection="1">
      <alignment horizontal="right" vertical="center" wrapText="1"/>
    </xf>
    <xf numFmtId="0" fontId="14" fillId="0" borderId="49" xfId="0" applyFont="1" applyBorder="1" applyAlignment="1">
      <alignment wrapText="1"/>
    </xf>
    <xf numFmtId="164" fontId="14" fillId="3" borderId="49" xfId="1" applyNumberFormat="1" applyFont="1" applyFill="1" applyBorder="1" applyAlignment="1">
      <alignment horizontal="center" vertical="center"/>
    </xf>
    <xf numFmtId="164" fontId="14" fillId="0" borderId="49" xfId="1" applyNumberFormat="1" applyFont="1" applyFill="1" applyBorder="1" applyAlignment="1">
      <alignment horizontal="center" vertical="center"/>
    </xf>
    <xf numFmtId="0" fontId="4" fillId="3" borderId="52" xfId="0" applyFont="1" applyFill="1" applyBorder="1" applyAlignment="1">
      <alignment horizontal="center" vertical="center"/>
    </xf>
    <xf numFmtId="0" fontId="4" fillId="3" borderId="53" xfId="0" applyFont="1" applyFill="1" applyBorder="1" applyAlignment="1">
      <alignment horizontal="left" vertical="center"/>
    </xf>
    <xf numFmtId="0" fontId="4" fillId="4" borderId="53" xfId="0" applyFont="1" applyFill="1" applyBorder="1" applyAlignment="1">
      <alignment horizontal="center" vertical="center"/>
    </xf>
    <xf numFmtId="0" fontId="4" fillId="3" borderId="53" xfId="0" applyFont="1" applyFill="1" applyBorder="1" applyAlignment="1">
      <alignment horizontal="center" vertical="center" wrapText="1"/>
    </xf>
    <xf numFmtId="167" fontId="4" fillId="3" borderId="53" xfId="1" applyNumberFormat="1" applyFont="1" applyFill="1" applyBorder="1" applyAlignment="1" applyProtection="1">
      <alignment horizontal="right" vertical="center" wrapText="1"/>
    </xf>
    <xf numFmtId="3" fontId="4" fillId="3" borderId="54" xfId="0" applyNumberFormat="1" applyFont="1" applyFill="1" applyBorder="1" applyAlignment="1">
      <alignment horizontal="center" vertical="center"/>
    </xf>
    <xf numFmtId="0" fontId="4" fillId="3" borderId="55" xfId="0" applyFont="1" applyFill="1" applyBorder="1" applyAlignment="1">
      <alignment horizontal="center" vertical="center"/>
    </xf>
    <xf numFmtId="0" fontId="4" fillId="3" borderId="49" xfId="0" applyFont="1" applyFill="1" applyBorder="1" applyAlignment="1">
      <alignment horizontal="left" vertical="center"/>
    </xf>
    <xf numFmtId="0" fontId="4" fillId="4" borderId="49" xfId="0" applyFont="1" applyFill="1" applyBorder="1" applyAlignment="1">
      <alignment horizontal="center" vertical="center"/>
    </xf>
    <xf numFmtId="0" fontId="4" fillId="3" borderId="49" xfId="0" applyFont="1" applyFill="1" applyBorder="1" applyAlignment="1">
      <alignment horizontal="center" vertical="center" wrapText="1"/>
    </xf>
    <xf numFmtId="167" fontId="4" fillId="3" borderId="49" xfId="1" applyNumberFormat="1" applyFont="1" applyFill="1" applyBorder="1" applyAlignment="1" applyProtection="1">
      <alignment horizontal="right" vertical="center" wrapText="1"/>
    </xf>
    <xf numFmtId="3" fontId="4" fillId="3" borderId="56" xfId="0" applyNumberFormat="1" applyFont="1" applyFill="1" applyBorder="1" applyAlignment="1">
      <alignment horizontal="center" vertical="center"/>
    </xf>
    <xf numFmtId="0" fontId="4" fillId="3" borderId="57" xfId="0" applyFont="1" applyFill="1" applyBorder="1" applyAlignment="1">
      <alignment horizontal="left" vertical="center"/>
    </xf>
    <xf numFmtId="0" fontId="4" fillId="4" borderId="57" xfId="0" applyFont="1" applyFill="1" applyBorder="1" applyAlignment="1">
      <alignment horizontal="center" vertical="center"/>
    </xf>
    <xf numFmtId="0" fontId="4" fillId="3" borderId="57" xfId="0" applyFont="1" applyFill="1" applyBorder="1" applyAlignment="1">
      <alignment horizontal="center" vertical="center" wrapText="1"/>
    </xf>
    <xf numFmtId="167" fontId="4" fillId="3" borderId="57" xfId="1" applyNumberFormat="1" applyFont="1" applyFill="1" applyBorder="1" applyAlignment="1" applyProtection="1">
      <alignment horizontal="right" vertical="center" wrapText="1"/>
    </xf>
    <xf numFmtId="3" fontId="4" fillId="3" borderId="58" xfId="0" applyNumberFormat="1" applyFont="1" applyFill="1" applyBorder="1" applyAlignment="1">
      <alignment horizontal="center" vertical="center"/>
    </xf>
    <xf numFmtId="0" fontId="17" fillId="0" borderId="0" xfId="0" applyFont="1" applyFill="1" applyBorder="1" applyAlignment="1">
      <alignment horizontal="left" vertical="center" wrapText="1"/>
    </xf>
    <xf numFmtId="0" fontId="16" fillId="3" borderId="0" xfId="0" applyFont="1" applyFill="1" applyBorder="1" applyAlignment="1">
      <alignment horizontal="center"/>
    </xf>
    <xf numFmtId="0" fontId="17" fillId="3" borderId="0" xfId="0" applyFont="1" applyFill="1" applyBorder="1" applyAlignment="1">
      <alignment horizontal="left" vertical="center" wrapText="1"/>
    </xf>
    <xf numFmtId="0" fontId="22" fillId="4" borderId="0" xfId="0" applyFont="1" applyFill="1" applyBorder="1" applyAlignment="1">
      <alignment horizontal="left" wrapText="1" indent="1"/>
    </xf>
    <xf numFmtId="0" fontId="22" fillId="0" borderId="0" xfId="0" applyFont="1" applyFill="1" applyBorder="1" applyAlignment="1">
      <alignment horizontal="left" wrapText="1" indent="1"/>
    </xf>
    <xf numFmtId="0" fontId="15" fillId="4" borderId="6" xfId="6" applyFont="1" applyFill="1" applyBorder="1" applyAlignment="1">
      <alignment horizontal="left" wrapText="1"/>
    </xf>
    <xf numFmtId="0" fontId="15" fillId="4" borderId="0" xfId="6" applyFont="1" applyFill="1" applyBorder="1" applyAlignment="1">
      <alignment horizontal="left" wrapText="1"/>
    </xf>
    <xf numFmtId="0" fontId="15" fillId="4" borderId="7" xfId="6" applyFont="1" applyFill="1" applyBorder="1" applyAlignment="1">
      <alignment horizontal="left" wrapText="1"/>
    </xf>
    <xf numFmtId="0" fontId="4" fillId="3" borderId="49" xfId="0" applyFont="1" applyFill="1" applyBorder="1" applyAlignment="1">
      <alignment horizontal="left" vertical="center" wrapText="1"/>
    </xf>
    <xf numFmtId="0" fontId="4" fillId="3" borderId="53" xfId="0" applyFont="1" applyFill="1" applyBorder="1" applyAlignment="1">
      <alignment horizontal="left" vertical="center" wrapText="1"/>
    </xf>
    <xf numFmtId="0" fontId="6" fillId="3" borderId="15" xfId="0" applyFont="1" applyFill="1" applyBorder="1" applyAlignment="1">
      <alignment horizontal="left" vertical="center" wrapText="1" indent="1"/>
    </xf>
    <xf numFmtId="168" fontId="7" fillId="3" borderId="15" xfId="0" applyNumberFormat="1" applyFont="1" applyFill="1" applyBorder="1" applyAlignment="1">
      <alignment horizontal="center" vertical="center"/>
    </xf>
    <xf numFmtId="0" fontId="7" fillId="0" borderId="17" xfId="0" applyFont="1" applyFill="1" applyBorder="1" applyAlignment="1">
      <alignment horizontal="left" vertical="center"/>
    </xf>
    <xf numFmtId="0" fontId="6" fillId="4" borderId="18" xfId="0" applyFont="1" applyFill="1" applyBorder="1" applyAlignment="1">
      <alignment horizontal="left" vertical="center" wrapText="1" indent="1"/>
    </xf>
    <xf numFmtId="0" fontId="8" fillId="3" borderId="17" xfId="0" applyFont="1" applyFill="1" applyBorder="1" applyAlignment="1">
      <alignment horizontal="center" vertical="center"/>
    </xf>
    <xf numFmtId="0" fontId="8" fillId="3" borderId="19" xfId="0" applyFont="1" applyFill="1" applyBorder="1" applyAlignment="1">
      <alignment horizontal="center" vertical="center" wrapText="1"/>
    </xf>
    <xf numFmtId="0" fontId="8" fillId="3" borderId="18" xfId="0" applyFont="1" applyFill="1" applyBorder="1" applyAlignment="1">
      <alignment horizontal="center" vertical="center" wrapText="1"/>
    </xf>
    <xf numFmtId="0" fontId="4" fillId="3" borderId="57" xfId="0" applyFont="1" applyFill="1" applyBorder="1" applyAlignment="1">
      <alignment horizontal="left" vertical="center" wrapText="1"/>
    </xf>
    <xf numFmtId="0" fontId="5" fillId="3" borderId="0" xfId="0" applyFont="1" applyFill="1" applyBorder="1" applyAlignment="1">
      <alignment horizontal="center" vertical="center"/>
    </xf>
    <xf numFmtId="0" fontId="7" fillId="0" borderId="14" xfId="0" applyFont="1" applyFill="1" applyBorder="1" applyAlignment="1">
      <alignment horizontal="left" vertical="center" wrapText="1"/>
    </xf>
    <xf numFmtId="0" fontId="6" fillId="0" borderId="15" xfId="0" applyFont="1" applyFill="1" applyBorder="1" applyAlignment="1">
      <alignment horizontal="left" vertical="center" wrapText="1" indent="1"/>
    </xf>
    <xf numFmtId="0" fontId="7" fillId="0" borderId="16" xfId="0" applyFont="1" applyFill="1" applyBorder="1" applyAlignment="1">
      <alignment horizontal="left" vertical="center" wrapText="1"/>
    </xf>
    <xf numFmtId="0" fontId="7" fillId="3" borderId="14" xfId="0" applyFont="1" applyFill="1" applyBorder="1" applyAlignment="1">
      <alignment horizontal="left" vertical="center" wrapText="1"/>
    </xf>
    <xf numFmtId="0" fontId="11" fillId="4" borderId="44" xfId="0" applyFont="1" applyFill="1" applyBorder="1" applyAlignment="1">
      <alignment horizontal="left" vertical="center" wrapText="1" indent="1"/>
    </xf>
    <xf numFmtId="0" fontId="0" fillId="0" borderId="38" xfId="0" applyFont="1" applyBorder="1" applyAlignment="1">
      <alignment horizontal="left" vertical="center"/>
    </xf>
    <xf numFmtId="0" fontId="0" fillId="0" borderId="38" xfId="0" applyBorder="1" applyAlignment="1">
      <alignment horizontal="left" vertical="center"/>
    </xf>
    <xf numFmtId="0" fontId="0" fillId="0" borderId="41" xfId="0" applyBorder="1" applyAlignment="1">
      <alignment horizontal="left" vertical="center"/>
    </xf>
    <xf numFmtId="0" fontId="9" fillId="0" borderId="44" xfId="0" applyFont="1" applyFill="1" applyBorder="1" applyAlignment="1">
      <alignment horizontal="left" vertical="center" wrapText="1"/>
    </xf>
    <xf numFmtId="0" fontId="0" fillId="0" borderId="22" xfId="0" applyBorder="1"/>
    <xf numFmtId="0" fontId="27" fillId="0" borderId="36" xfId="0" applyFont="1" applyFill="1" applyBorder="1" applyAlignment="1">
      <alignment horizontal="left" vertical="center" wrapText="1"/>
    </xf>
    <xf numFmtId="0" fontId="9" fillId="0" borderId="20" xfId="0" applyFont="1" applyBorder="1" applyAlignment="1">
      <alignment vertical="center" wrapText="1"/>
    </xf>
    <xf numFmtId="0" fontId="9" fillId="0" borderId="45" xfId="0" applyFont="1" applyBorder="1" applyAlignment="1">
      <alignment vertical="center" wrapText="1"/>
    </xf>
    <xf numFmtId="0" fontId="9" fillId="0" borderId="18" xfId="0" applyFont="1" applyBorder="1" applyAlignment="1">
      <alignment vertical="center" wrapText="1"/>
    </xf>
    <xf numFmtId="0" fontId="11" fillId="0" borderId="27" xfId="0" applyFont="1" applyBorder="1" applyAlignment="1">
      <alignment vertical="center" wrapText="1"/>
    </xf>
    <xf numFmtId="0" fontId="11" fillId="0" borderId="23" xfId="0" applyFont="1" applyBorder="1"/>
    <xf numFmtId="0" fontId="11" fillId="0" borderId="24" xfId="0" applyFont="1" applyFill="1" applyBorder="1" applyAlignment="1">
      <alignment horizontal="left" vertical="center" wrapText="1" indent="1"/>
    </xf>
    <xf numFmtId="0" fontId="13" fillId="0" borderId="22" xfId="0" applyFont="1" applyBorder="1" applyAlignment="1">
      <alignment horizontal="center" vertical="center"/>
    </xf>
    <xf numFmtId="0" fontId="13" fillId="0" borderId="12" xfId="0" applyFont="1" applyBorder="1" applyAlignment="1">
      <alignment horizontal="center" vertical="center"/>
    </xf>
    <xf numFmtId="0" fontId="13" fillId="0" borderId="22" xfId="0" applyFont="1" applyBorder="1" applyAlignment="1">
      <alignment horizontal="center" vertical="center" wrapText="1"/>
    </xf>
    <xf numFmtId="0" fontId="13" fillId="0" borderId="27" xfId="0" applyFont="1" applyBorder="1" applyAlignment="1">
      <alignment horizontal="center" vertical="center"/>
    </xf>
    <xf numFmtId="0" fontId="4" fillId="0" borderId="14" xfId="0" applyFont="1" applyFill="1" applyBorder="1" applyAlignment="1">
      <alignment horizontal="left" vertical="center" wrapText="1"/>
    </xf>
    <xf numFmtId="0" fontId="4" fillId="0" borderId="46" xfId="0" applyFont="1" applyFill="1" applyBorder="1" applyAlignment="1">
      <alignment horizontal="left" vertical="center" wrapText="1"/>
    </xf>
    <xf numFmtId="0" fontId="4" fillId="0" borderId="47" xfId="0" applyFont="1" applyFill="1" applyBorder="1" applyAlignment="1">
      <alignment horizontal="left" vertical="center" wrapText="1"/>
    </xf>
    <xf numFmtId="0" fontId="11" fillId="0" borderId="12" xfId="0" applyFont="1" applyFill="1" applyBorder="1" applyAlignment="1">
      <alignment horizontal="left" indent="1"/>
    </xf>
    <xf numFmtId="0" fontId="12" fillId="0" borderId="12" xfId="0" applyFont="1" applyBorder="1" applyAlignment="1">
      <alignment horizontal="left"/>
    </xf>
    <xf numFmtId="0" fontId="0" fillId="0" borderId="20" xfId="0" applyFont="1" applyBorder="1" applyAlignment="1">
      <alignment horizontal="center"/>
    </xf>
    <xf numFmtId="3" fontId="9" fillId="0" borderId="21" xfId="0" applyNumberFormat="1" applyFont="1" applyBorder="1" applyAlignment="1">
      <alignment horizontal="center"/>
    </xf>
    <xf numFmtId="0" fontId="10" fillId="0" borderId="12" xfId="0" applyFont="1" applyBorder="1" applyAlignment="1">
      <alignment horizontal="center" vertical="center" wrapText="1"/>
    </xf>
    <xf numFmtId="0" fontId="2" fillId="0" borderId="12" xfId="0" applyFont="1" applyBorder="1"/>
    <xf numFmtId="0" fontId="11" fillId="0" borderId="12" xfId="0" applyFont="1" applyBorder="1" applyAlignment="1">
      <alignment horizontal="left" indent="1"/>
    </xf>
  </cellXfs>
  <cellStyles count="8">
    <cellStyle name="Encabezado 1" xfId="2"/>
    <cellStyle name="Moneda" xfId="1" builtinId="4"/>
    <cellStyle name="Moneda_AUTORIZACION Y NOTA DE PEDIDO" xfId="3"/>
    <cellStyle name="Neutral 1" xfId="4"/>
    <cellStyle name="Normal" xfId="0" builtinId="0"/>
    <cellStyle name="Normal 2" xfId="5"/>
    <cellStyle name="Normal 2 2" xfId="7"/>
    <cellStyle name="Normal 2 3" xfId="6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D3D3D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733320</xdr:colOff>
      <xdr:row>0</xdr:row>
      <xdr:rowOff>0</xdr:rowOff>
    </xdr:from>
    <xdr:to>
      <xdr:col>16</xdr:col>
      <xdr:colOff>733320</xdr:colOff>
      <xdr:row>0</xdr:row>
      <xdr:rowOff>0</xdr:rowOff>
    </xdr:to>
    <xdr:sp macro="" textlink="">
      <xdr:nvSpPr>
        <xdr:cNvPr id="2" name="Freeform 1">
          <a:extLst>
            <a:ext uri="{FF2B5EF4-FFF2-40B4-BE49-F238E27FC236}">
              <a16:creationId xmlns="" xmlns:a16="http://schemas.microsoft.com/office/drawing/2014/main" id="{00000000-0008-0000-0200-000002000000}"/>
            </a:ext>
          </a:extLst>
        </xdr:cNvPr>
        <xdr:cNvSpPr/>
      </xdr:nvSpPr>
      <xdr:spPr>
        <a:xfrm>
          <a:off x="6897600" y="0"/>
          <a:ext cx="360" cy="360"/>
        </a:xfrm>
        <a:custGeom>
          <a:avLst/>
          <a:gdLst/>
          <a:ahLst/>
          <a:cxnLst/>
          <a:rect l="0" t="0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ln w="28440">
          <a:solidFill>
            <a:srgbClr val="3D3D3D"/>
          </a:solidFill>
          <a:miter/>
        </a:ln>
      </xdr:spPr>
    </xdr:sp>
    <xdr:clientData/>
  </xdr:twoCellAnchor>
  <xdr:twoCellAnchor>
    <xdr:from>
      <xdr:col>16</xdr:col>
      <xdr:colOff>733320</xdr:colOff>
      <xdr:row>0</xdr:row>
      <xdr:rowOff>0</xdr:rowOff>
    </xdr:from>
    <xdr:to>
      <xdr:col>16</xdr:col>
      <xdr:colOff>733320</xdr:colOff>
      <xdr:row>0</xdr:row>
      <xdr:rowOff>0</xdr:rowOff>
    </xdr:to>
    <xdr:sp macro="" textlink="">
      <xdr:nvSpPr>
        <xdr:cNvPr id="3" name="Freeform 1">
          <a:extLst>
            <a:ext uri="{FF2B5EF4-FFF2-40B4-BE49-F238E27FC236}">
              <a16:creationId xmlns="" xmlns:a16="http://schemas.microsoft.com/office/drawing/2014/main" id="{00000000-0008-0000-0200-000003000000}"/>
            </a:ext>
          </a:extLst>
        </xdr:cNvPr>
        <xdr:cNvSpPr/>
      </xdr:nvSpPr>
      <xdr:spPr>
        <a:xfrm>
          <a:off x="6897600" y="0"/>
          <a:ext cx="360" cy="360"/>
        </a:xfrm>
        <a:custGeom>
          <a:avLst/>
          <a:gdLst/>
          <a:ahLst/>
          <a:cxnLst/>
          <a:rect l="0" t="0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ln w="28440">
          <a:solidFill>
            <a:srgbClr val="3D3D3D"/>
          </a:solidFill>
          <a:miter/>
        </a:ln>
      </xdr:spPr>
    </xdr:sp>
    <xdr:clientData/>
  </xdr:twoCellAnchor>
  <xdr:twoCellAnchor>
    <xdr:from>
      <xdr:col>16</xdr:col>
      <xdr:colOff>733320</xdr:colOff>
      <xdr:row>0</xdr:row>
      <xdr:rowOff>0</xdr:rowOff>
    </xdr:from>
    <xdr:to>
      <xdr:col>16</xdr:col>
      <xdr:colOff>733320</xdr:colOff>
      <xdr:row>0</xdr:row>
      <xdr:rowOff>0</xdr:rowOff>
    </xdr:to>
    <xdr:sp macro="" textlink="">
      <xdr:nvSpPr>
        <xdr:cNvPr id="4" name="Freeform 1">
          <a:extLst>
            <a:ext uri="{FF2B5EF4-FFF2-40B4-BE49-F238E27FC236}">
              <a16:creationId xmlns="" xmlns:a16="http://schemas.microsoft.com/office/drawing/2014/main" id="{00000000-0008-0000-0200-000004000000}"/>
            </a:ext>
          </a:extLst>
        </xdr:cNvPr>
        <xdr:cNvSpPr/>
      </xdr:nvSpPr>
      <xdr:spPr>
        <a:xfrm>
          <a:off x="6897600" y="0"/>
          <a:ext cx="360" cy="360"/>
        </a:xfrm>
        <a:custGeom>
          <a:avLst/>
          <a:gdLst/>
          <a:ahLst/>
          <a:cxnLst/>
          <a:rect l="0" t="0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ln w="28440">
          <a:solidFill>
            <a:srgbClr val="3D3D3D"/>
          </a:solidFill>
          <a:miter/>
        </a:ln>
      </xdr:spPr>
    </xdr:sp>
    <xdr:clientData/>
  </xdr:twoCellAnchor>
  <xdr:twoCellAnchor>
    <xdr:from>
      <xdr:col>16</xdr:col>
      <xdr:colOff>733320</xdr:colOff>
      <xdr:row>0</xdr:row>
      <xdr:rowOff>0</xdr:rowOff>
    </xdr:from>
    <xdr:to>
      <xdr:col>16</xdr:col>
      <xdr:colOff>733320</xdr:colOff>
      <xdr:row>0</xdr:row>
      <xdr:rowOff>0</xdr:rowOff>
    </xdr:to>
    <xdr:sp macro="" textlink="">
      <xdr:nvSpPr>
        <xdr:cNvPr id="5" name="Freeform 1">
          <a:extLst>
            <a:ext uri="{FF2B5EF4-FFF2-40B4-BE49-F238E27FC236}">
              <a16:creationId xmlns="" xmlns:a16="http://schemas.microsoft.com/office/drawing/2014/main" id="{00000000-0008-0000-0200-000005000000}"/>
            </a:ext>
          </a:extLst>
        </xdr:cNvPr>
        <xdr:cNvSpPr/>
      </xdr:nvSpPr>
      <xdr:spPr>
        <a:xfrm>
          <a:off x="6897600" y="0"/>
          <a:ext cx="360" cy="360"/>
        </a:xfrm>
        <a:custGeom>
          <a:avLst/>
          <a:gdLst/>
          <a:ahLst/>
          <a:cxnLst/>
          <a:rect l="0" t="0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ln w="28440">
          <a:solidFill>
            <a:srgbClr val="3D3D3D"/>
          </a:solidFill>
          <a:miter/>
        </a:ln>
      </xdr:spPr>
    </xdr:sp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2:I41"/>
  <sheetViews>
    <sheetView tabSelected="1" zoomScale="90" zoomScaleNormal="90" workbookViewId="0">
      <selection activeCell="C46" sqref="C46"/>
    </sheetView>
  </sheetViews>
  <sheetFormatPr baseColWidth="10" defaultColWidth="11" defaultRowHeight="12.75" x14ac:dyDescent="0.2"/>
  <cols>
    <col min="1" max="1" width="4.5703125" style="38" customWidth="1"/>
    <col min="2" max="2" width="14" style="38" customWidth="1"/>
    <col min="3" max="3" width="21" style="38" customWidth="1"/>
    <col min="4" max="4" width="8.42578125" style="38" customWidth="1"/>
    <col min="5" max="5" width="93.42578125" style="38" customWidth="1"/>
    <col min="6" max="6" width="11" style="38"/>
    <col min="7" max="7" width="10.42578125" style="38" bestFit="1" customWidth="1"/>
    <col min="8" max="8" width="15.7109375" style="38" customWidth="1"/>
    <col min="9" max="9" width="18.5703125" style="46" customWidth="1"/>
    <col min="10" max="16384" width="11" style="38"/>
  </cols>
  <sheetData>
    <row r="2" spans="1:9" ht="27" x14ac:dyDescent="0.35">
      <c r="B2" s="112" t="s">
        <v>0</v>
      </c>
      <c r="C2" s="112"/>
      <c r="D2" s="112"/>
      <c r="E2" s="112"/>
      <c r="F2" s="112"/>
      <c r="G2" s="112"/>
      <c r="H2" s="112"/>
    </row>
    <row r="3" spans="1:9" ht="12" customHeight="1" x14ac:dyDescent="0.2"/>
    <row r="4" spans="1:9" ht="18" customHeight="1" x14ac:dyDescent="0.25">
      <c r="A4" s="113" t="s">
        <v>1</v>
      </c>
      <c r="B4" s="113"/>
      <c r="C4" s="114" t="s">
        <v>51</v>
      </c>
      <c r="D4" s="114"/>
      <c r="E4" s="114"/>
      <c r="F4" s="39"/>
      <c r="G4" s="40"/>
      <c r="H4" s="39"/>
    </row>
    <row r="5" spans="1:9" s="72" customFormat="1" ht="18" customHeight="1" x14ac:dyDescent="0.25">
      <c r="A5" s="111" t="s">
        <v>2</v>
      </c>
      <c r="B5" s="111"/>
      <c r="C5" s="115" t="s">
        <v>60</v>
      </c>
      <c r="D5" s="115"/>
      <c r="E5" s="115"/>
      <c r="F5" s="69"/>
      <c r="G5" s="70"/>
      <c r="H5" s="69"/>
      <c r="I5" s="71"/>
    </row>
    <row r="6" spans="1:9" s="72" customFormat="1" ht="16.5" customHeight="1" x14ac:dyDescent="0.25">
      <c r="A6" s="111" t="s">
        <v>3</v>
      </c>
      <c r="B6" s="111"/>
      <c r="C6" s="73">
        <v>2022</v>
      </c>
      <c r="D6" s="74"/>
      <c r="E6" s="74"/>
      <c r="F6" s="69"/>
      <c r="G6" s="70"/>
      <c r="H6" s="69"/>
      <c r="I6" s="71"/>
    </row>
    <row r="7" spans="1:9" s="72" customFormat="1" ht="16.5" customHeight="1" x14ac:dyDescent="0.25">
      <c r="A7" s="111" t="s">
        <v>4</v>
      </c>
      <c r="B7" s="111"/>
      <c r="C7" s="73">
        <v>1</v>
      </c>
      <c r="D7" s="74"/>
      <c r="E7" s="74"/>
      <c r="F7" s="69"/>
      <c r="G7" s="70"/>
      <c r="H7" s="69"/>
      <c r="I7" s="71"/>
    </row>
    <row r="8" spans="1:9" ht="13.5" thickBot="1" x14ac:dyDescent="0.25">
      <c r="B8" s="39"/>
      <c r="C8" s="40"/>
      <c r="D8" s="39"/>
      <c r="E8" s="39"/>
      <c r="F8" s="39"/>
      <c r="G8" s="40"/>
      <c r="H8" s="39"/>
    </row>
    <row r="9" spans="1:9" ht="39" thickTop="1" x14ac:dyDescent="0.2">
      <c r="A9" s="41" t="s">
        <v>5</v>
      </c>
      <c r="B9" s="41" t="s">
        <v>6</v>
      </c>
      <c r="C9" s="41" t="s">
        <v>7</v>
      </c>
      <c r="D9" s="42" t="s">
        <v>8</v>
      </c>
      <c r="E9" s="43" t="s">
        <v>9</v>
      </c>
      <c r="F9" s="44" t="s">
        <v>10</v>
      </c>
      <c r="G9" s="41" t="s">
        <v>11</v>
      </c>
      <c r="H9" s="41" t="s">
        <v>12</v>
      </c>
      <c r="I9" s="47" t="s">
        <v>13</v>
      </c>
    </row>
    <row r="10" spans="1:9" ht="38.25" x14ac:dyDescent="0.2">
      <c r="A10" s="45">
        <v>1</v>
      </c>
      <c r="B10" s="87" t="s">
        <v>61</v>
      </c>
      <c r="C10" s="91" t="s">
        <v>112</v>
      </c>
      <c r="D10" s="48" t="s">
        <v>111</v>
      </c>
      <c r="E10" s="51" t="s">
        <v>84</v>
      </c>
      <c r="F10" s="45" t="s">
        <v>108</v>
      </c>
      <c r="G10" s="49">
        <v>5000</v>
      </c>
      <c r="H10" s="92">
        <v>32</v>
      </c>
      <c r="I10" s="89">
        <f t="shared" ref="I10:I32" si="0">+G10*H10</f>
        <v>160000</v>
      </c>
    </row>
    <row r="11" spans="1:9" ht="38.25" x14ac:dyDescent="0.2">
      <c r="A11" s="45">
        <v>2</v>
      </c>
      <c r="B11" s="87" t="s">
        <v>62</v>
      </c>
      <c r="C11" s="91" t="s">
        <v>112</v>
      </c>
      <c r="D11" s="48" t="s">
        <v>111</v>
      </c>
      <c r="E11" s="51" t="s">
        <v>85</v>
      </c>
      <c r="F11" s="45" t="s">
        <v>107</v>
      </c>
      <c r="G11" s="49">
        <v>800</v>
      </c>
      <c r="H11" s="92">
        <v>102.7</v>
      </c>
      <c r="I11" s="89">
        <f t="shared" si="0"/>
        <v>82160</v>
      </c>
    </row>
    <row r="12" spans="1:9" ht="38.25" x14ac:dyDescent="0.2">
      <c r="A12" s="45">
        <v>3</v>
      </c>
      <c r="B12" s="87" t="s">
        <v>63</v>
      </c>
      <c r="C12" s="91" t="s">
        <v>112</v>
      </c>
      <c r="D12" s="48" t="s">
        <v>111</v>
      </c>
      <c r="E12" s="52" t="s">
        <v>86</v>
      </c>
      <c r="F12" s="45" t="s">
        <v>107</v>
      </c>
      <c r="G12" s="49">
        <v>100</v>
      </c>
      <c r="H12" s="92">
        <v>2268</v>
      </c>
      <c r="I12" s="89">
        <f t="shared" si="0"/>
        <v>226800</v>
      </c>
    </row>
    <row r="13" spans="1:9" ht="38.25" x14ac:dyDescent="0.2">
      <c r="A13" s="45">
        <v>4</v>
      </c>
      <c r="B13" s="87" t="s">
        <v>64</v>
      </c>
      <c r="C13" s="91" t="s">
        <v>112</v>
      </c>
      <c r="D13" s="48" t="s">
        <v>111</v>
      </c>
      <c r="E13" s="53" t="s">
        <v>87</v>
      </c>
      <c r="F13" s="45" t="s">
        <v>109</v>
      </c>
      <c r="G13" s="49">
        <v>30</v>
      </c>
      <c r="H13" s="92">
        <v>11198</v>
      </c>
      <c r="I13" s="89">
        <f t="shared" si="0"/>
        <v>335940</v>
      </c>
    </row>
    <row r="14" spans="1:9" ht="38.25" x14ac:dyDescent="0.2">
      <c r="A14" s="45">
        <v>5</v>
      </c>
      <c r="B14" s="87" t="s">
        <v>65</v>
      </c>
      <c r="C14" s="91" t="s">
        <v>112</v>
      </c>
      <c r="D14" s="48" t="s">
        <v>111</v>
      </c>
      <c r="E14" s="53" t="s">
        <v>88</v>
      </c>
      <c r="F14" s="45" t="s">
        <v>107</v>
      </c>
      <c r="G14" s="49">
        <v>300</v>
      </c>
      <c r="H14" s="92">
        <v>366</v>
      </c>
      <c r="I14" s="89">
        <f t="shared" si="0"/>
        <v>109800</v>
      </c>
    </row>
    <row r="15" spans="1:9" ht="38.25" x14ac:dyDescent="0.2">
      <c r="A15" s="45">
        <v>6</v>
      </c>
      <c r="B15" s="87" t="s">
        <v>66</v>
      </c>
      <c r="C15" s="91" t="s">
        <v>112</v>
      </c>
      <c r="D15" s="48" t="s">
        <v>111</v>
      </c>
      <c r="E15" s="54" t="s">
        <v>89</v>
      </c>
      <c r="F15" s="45" t="s">
        <v>110</v>
      </c>
      <c r="G15" s="49">
        <v>500</v>
      </c>
      <c r="H15" s="92">
        <v>29.4</v>
      </c>
      <c r="I15" s="89">
        <f t="shared" si="0"/>
        <v>14700</v>
      </c>
    </row>
    <row r="16" spans="1:9" ht="38.25" x14ac:dyDescent="0.2">
      <c r="A16" s="45">
        <v>7</v>
      </c>
      <c r="B16" s="87" t="s">
        <v>67</v>
      </c>
      <c r="C16" s="91" t="s">
        <v>112</v>
      </c>
      <c r="D16" s="48" t="s">
        <v>111</v>
      </c>
      <c r="E16" s="54" t="s">
        <v>90</v>
      </c>
      <c r="F16" s="45" t="s">
        <v>110</v>
      </c>
      <c r="G16" s="49">
        <v>1000</v>
      </c>
      <c r="H16" s="92">
        <v>44</v>
      </c>
      <c r="I16" s="89">
        <f t="shared" si="0"/>
        <v>44000</v>
      </c>
    </row>
    <row r="17" spans="1:9" ht="38.25" x14ac:dyDescent="0.2">
      <c r="A17" s="45">
        <v>8</v>
      </c>
      <c r="B17" s="87" t="s">
        <v>68</v>
      </c>
      <c r="C17" s="91" t="s">
        <v>112</v>
      </c>
      <c r="D17" s="48" t="s">
        <v>111</v>
      </c>
      <c r="E17" s="54" t="s">
        <v>91</v>
      </c>
      <c r="F17" s="45" t="s">
        <v>107</v>
      </c>
      <c r="G17" s="49">
        <v>1000</v>
      </c>
      <c r="H17" s="92">
        <v>223</v>
      </c>
      <c r="I17" s="89">
        <f t="shared" si="0"/>
        <v>223000</v>
      </c>
    </row>
    <row r="18" spans="1:9" ht="38.25" x14ac:dyDescent="0.2">
      <c r="A18" s="45">
        <v>9</v>
      </c>
      <c r="B18" s="87" t="s">
        <v>69</v>
      </c>
      <c r="C18" s="91" t="s">
        <v>112</v>
      </c>
      <c r="D18" s="48" t="s">
        <v>111</v>
      </c>
      <c r="E18" s="50" t="s">
        <v>92</v>
      </c>
      <c r="F18" s="45" t="s">
        <v>110</v>
      </c>
      <c r="G18" s="49">
        <v>500</v>
      </c>
      <c r="H18" s="92">
        <v>84</v>
      </c>
      <c r="I18" s="89">
        <f t="shared" si="0"/>
        <v>42000</v>
      </c>
    </row>
    <row r="19" spans="1:9" ht="38.25" x14ac:dyDescent="0.2">
      <c r="A19" s="45">
        <v>10</v>
      </c>
      <c r="B19" s="87" t="s">
        <v>70</v>
      </c>
      <c r="C19" s="91" t="s">
        <v>112</v>
      </c>
      <c r="D19" s="48" t="s">
        <v>111</v>
      </c>
      <c r="E19" s="50" t="s">
        <v>93</v>
      </c>
      <c r="F19" s="45" t="s">
        <v>107</v>
      </c>
      <c r="G19" s="49">
        <v>50</v>
      </c>
      <c r="H19" s="92">
        <v>221.95</v>
      </c>
      <c r="I19" s="89">
        <f t="shared" si="0"/>
        <v>11097.5</v>
      </c>
    </row>
    <row r="20" spans="1:9" ht="38.25" x14ac:dyDescent="0.2">
      <c r="A20" s="45">
        <v>11</v>
      </c>
      <c r="B20" s="87" t="s">
        <v>71</v>
      </c>
      <c r="C20" s="91" t="s">
        <v>112</v>
      </c>
      <c r="D20" s="48" t="s">
        <v>111</v>
      </c>
      <c r="E20" s="50" t="s">
        <v>94</v>
      </c>
      <c r="F20" s="45" t="s">
        <v>107</v>
      </c>
      <c r="G20" s="49">
        <v>500</v>
      </c>
      <c r="H20" s="92">
        <v>118.3</v>
      </c>
      <c r="I20" s="89">
        <f t="shared" si="0"/>
        <v>59150</v>
      </c>
    </row>
    <row r="21" spans="1:9" ht="38.25" x14ac:dyDescent="0.2">
      <c r="A21" s="45">
        <v>12</v>
      </c>
      <c r="B21" s="87" t="s">
        <v>72</v>
      </c>
      <c r="C21" s="91" t="s">
        <v>112</v>
      </c>
      <c r="D21" s="48" t="s">
        <v>111</v>
      </c>
      <c r="E21" s="50" t="s">
        <v>95</v>
      </c>
      <c r="F21" s="45" t="s">
        <v>107</v>
      </c>
      <c r="G21" s="49">
        <v>10000</v>
      </c>
      <c r="H21" s="92">
        <v>110.6</v>
      </c>
      <c r="I21" s="89">
        <f t="shared" si="0"/>
        <v>1106000</v>
      </c>
    </row>
    <row r="22" spans="1:9" ht="38.25" x14ac:dyDescent="0.2">
      <c r="A22" s="45">
        <v>13</v>
      </c>
      <c r="B22" s="87" t="s">
        <v>73</v>
      </c>
      <c r="C22" s="91" t="s">
        <v>112</v>
      </c>
      <c r="D22" s="48" t="s">
        <v>111</v>
      </c>
      <c r="E22" s="55" t="s">
        <v>96</v>
      </c>
      <c r="F22" s="45" t="s">
        <v>107</v>
      </c>
      <c r="G22" s="49">
        <v>2600</v>
      </c>
      <c r="H22" s="92">
        <v>64</v>
      </c>
      <c r="I22" s="89">
        <f t="shared" si="0"/>
        <v>166400</v>
      </c>
    </row>
    <row r="23" spans="1:9" ht="38.25" x14ac:dyDescent="0.2">
      <c r="A23" s="45">
        <v>14</v>
      </c>
      <c r="B23" s="87" t="s">
        <v>74</v>
      </c>
      <c r="C23" s="91" t="s">
        <v>112</v>
      </c>
      <c r="D23" s="48" t="s">
        <v>111</v>
      </c>
      <c r="E23" s="55" t="s">
        <v>97</v>
      </c>
      <c r="F23" s="45" t="s">
        <v>107</v>
      </c>
      <c r="G23" s="49">
        <v>20000</v>
      </c>
      <c r="H23" s="92">
        <v>98</v>
      </c>
      <c r="I23" s="89">
        <f t="shared" si="0"/>
        <v>1960000</v>
      </c>
    </row>
    <row r="24" spans="1:9" ht="38.25" x14ac:dyDescent="0.2">
      <c r="A24" s="45">
        <v>15</v>
      </c>
      <c r="B24" s="87" t="s">
        <v>75</v>
      </c>
      <c r="C24" s="91" t="s">
        <v>112</v>
      </c>
      <c r="D24" s="48" t="s">
        <v>111</v>
      </c>
      <c r="E24" s="55" t="s">
        <v>98</v>
      </c>
      <c r="F24" s="45" t="s">
        <v>107</v>
      </c>
      <c r="G24" s="49">
        <v>2000</v>
      </c>
      <c r="H24" s="92">
        <v>89</v>
      </c>
      <c r="I24" s="89">
        <f t="shared" si="0"/>
        <v>178000</v>
      </c>
    </row>
    <row r="25" spans="1:9" ht="38.25" x14ac:dyDescent="0.2">
      <c r="A25" s="45">
        <v>16</v>
      </c>
      <c r="B25" s="87" t="s">
        <v>76</v>
      </c>
      <c r="C25" s="91" t="s">
        <v>112</v>
      </c>
      <c r="D25" s="48" t="s">
        <v>111</v>
      </c>
      <c r="E25" s="55" t="s">
        <v>99</v>
      </c>
      <c r="F25" s="45" t="s">
        <v>110</v>
      </c>
      <c r="G25" s="49">
        <v>3000</v>
      </c>
      <c r="H25" s="92">
        <v>33</v>
      </c>
      <c r="I25" s="89">
        <f t="shared" si="0"/>
        <v>99000</v>
      </c>
    </row>
    <row r="26" spans="1:9" ht="38.25" x14ac:dyDescent="0.2">
      <c r="A26" s="45">
        <v>17</v>
      </c>
      <c r="B26" s="87" t="s">
        <v>77</v>
      </c>
      <c r="C26" s="91" t="s">
        <v>112</v>
      </c>
      <c r="D26" s="48" t="s">
        <v>111</v>
      </c>
      <c r="E26" s="55" t="s">
        <v>100</v>
      </c>
      <c r="F26" s="45" t="s">
        <v>110</v>
      </c>
      <c r="G26" s="49">
        <v>300</v>
      </c>
      <c r="H26" s="92">
        <v>53</v>
      </c>
      <c r="I26" s="89">
        <f t="shared" si="0"/>
        <v>15900</v>
      </c>
    </row>
    <row r="27" spans="1:9" ht="38.25" x14ac:dyDescent="0.2">
      <c r="A27" s="45">
        <v>18</v>
      </c>
      <c r="B27" s="87" t="s">
        <v>78</v>
      </c>
      <c r="C27" s="91" t="s">
        <v>112</v>
      </c>
      <c r="D27" s="48" t="s">
        <v>111</v>
      </c>
      <c r="E27" s="55" t="s">
        <v>101</v>
      </c>
      <c r="F27" s="45" t="s">
        <v>107</v>
      </c>
      <c r="G27" s="49">
        <v>150</v>
      </c>
      <c r="H27" s="92">
        <v>398</v>
      </c>
      <c r="I27" s="89">
        <f t="shared" si="0"/>
        <v>59700</v>
      </c>
    </row>
    <row r="28" spans="1:9" ht="38.25" x14ac:dyDescent="0.2">
      <c r="A28" s="45">
        <v>19</v>
      </c>
      <c r="B28" s="87" t="s">
        <v>79</v>
      </c>
      <c r="C28" s="91" t="s">
        <v>112</v>
      </c>
      <c r="D28" s="48" t="s">
        <v>111</v>
      </c>
      <c r="E28" s="55" t="s">
        <v>102</v>
      </c>
      <c r="F28" s="45" t="s">
        <v>55</v>
      </c>
      <c r="G28" s="49">
        <v>75</v>
      </c>
      <c r="H28" s="92">
        <v>3100</v>
      </c>
      <c r="I28" s="89">
        <f t="shared" si="0"/>
        <v>232500</v>
      </c>
    </row>
    <row r="29" spans="1:9" ht="38.25" x14ac:dyDescent="0.2">
      <c r="A29" s="45">
        <v>20</v>
      </c>
      <c r="B29" s="87" t="s">
        <v>80</v>
      </c>
      <c r="C29" s="91" t="s">
        <v>112</v>
      </c>
      <c r="D29" s="48" t="s">
        <v>111</v>
      </c>
      <c r="E29" s="55" t="s">
        <v>103</v>
      </c>
      <c r="F29" s="45" t="s">
        <v>55</v>
      </c>
      <c r="G29" s="49">
        <v>150</v>
      </c>
      <c r="H29" s="92">
        <v>3100</v>
      </c>
      <c r="I29" s="89">
        <f t="shared" si="0"/>
        <v>465000</v>
      </c>
    </row>
    <row r="30" spans="1:9" ht="38.25" x14ac:dyDescent="0.2">
      <c r="A30" s="45">
        <v>21</v>
      </c>
      <c r="B30" s="87" t="s">
        <v>81</v>
      </c>
      <c r="C30" s="91" t="s">
        <v>112</v>
      </c>
      <c r="D30" s="48" t="s">
        <v>111</v>
      </c>
      <c r="E30" s="55" t="s">
        <v>104</v>
      </c>
      <c r="F30" s="45" t="s">
        <v>107</v>
      </c>
      <c r="G30" s="49">
        <v>150</v>
      </c>
      <c r="H30" s="92">
        <v>106.39</v>
      </c>
      <c r="I30" s="89">
        <f t="shared" si="0"/>
        <v>15958.5</v>
      </c>
    </row>
    <row r="31" spans="1:9" s="72" customFormat="1" ht="38.25" x14ac:dyDescent="0.2">
      <c r="A31" s="45">
        <v>22</v>
      </c>
      <c r="B31" s="88" t="s">
        <v>82</v>
      </c>
      <c r="C31" s="91" t="s">
        <v>112</v>
      </c>
      <c r="D31" s="48" t="s">
        <v>111</v>
      </c>
      <c r="E31" s="85" t="s">
        <v>105</v>
      </c>
      <c r="F31" s="84" t="s">
        <v>110</v>
      </c>
      <c r="G31" s="86">
        <v>300</v>
      </c>
      <c r="H31" s="93">
        <v>33</v>
      </c>
      <c r="I31" s="90">
        <f t="shared" si="0"/>
        <v>9900</v>
      </c>
    </row>
    <row r="32" spans="1:9" s="72" customFormat="1" ht="38.25" x14ac:dyDescent="0.2">
      <c r="A32" s="45">
        <v>23</v>
      </c>
      <c r="B32" s="88" t="s">
        <v>83</v>
      </c>
      <c r="C32" s="91" t="s">
        <v>112</v>
      </c>
      <c r="D32" s="48" t="s">
        <v>111</v>
      </c>
      <c r="E32" s="85" t="s">
        <v>106</v>
      </c>
      <c r="F32" s="84" t="s">
        <v>110</v>
      </c>
      <c r="G32" s="86">
        <v>100</v>
      </c>
      <c r="H32" s="93">
        <v>2897</v>
      </c>
      <c r="I32" s="90">
        <f t="shared" si="0"/>
        <v>289700</v>
      </c>
    </row>
    <row r="34" spans="2:9" ht="13.5" thickBot="1" x14ac:dyDescent="0.25"/>
    <row r="35" spans="2:9" s="56" customFormat="1" x14ac:dyDescent="0.2">
      <c r="B35" s="57" t="s">
        <v>56</v>
      </c>
      <c r="C35" s="58"/>
      <c r="D35" s="58"/>
      <c r="E35" s="59"/>
      <c r="H35" s="60"/>
      <c r="I35" s="61"/>
    </row>
    <row r="36" spans="2:9" s="56" customFormat="1" ht="13.5" customHeight="1" x14ac:dyDescent="0.2">
      <c r="B36" s="116" t="s">
        <v>57</v>
      </c>
      <c r="C36" s="117"/>
      <c r="D36" s="117"/>
      <c r="E36" s="118"/>
      <c r="H36" s="60"/>
    </row>
    <row r="37" spans="2:9" s="56" customFormat="1" ht="25.5" customHeight="1" x14ac:dyDescent="0.2">
      <c r="B37" s="116"/>
      <c r="C37" s="117"/>
      <c r="D37" s="117"/>
      <c r="E37" s="118"/>
      <c r="F37" s="62"/>
      <c r="G37" s="63"/>
      <c r="H37" s="60"/>
    </row>
    <row r="38" spans="2:9" s="56" customFormat="1" ht="13.5" customHeight="1" x14ac:dyDescent="0.2">
      <c r="B38" s="116" t="s">
        <v>58</v>
      </c>
      <c r="C38" s="117"/>
      <c r="D38" s="117"/>
      <c r="E38" s="118"/>
      <c r="F38" s="62"/>
      <c r="G38" s="63"/>
      <c r="H38" s="60"/>
    </row>
    <row r="39" spans="2:9" s="56" customFormat="1" ht="13.5" thickBot="1" x14ac:dyDescent="0.25">
      <c r="B39" s="64" t="s">
        <v>59</v>
      </c>
      <c r="C39" s="65"/>
      <c r="D39" s="66"/>
      <c r="E39" s="67"/>
      <c r="F39" s="62"/>
      <c r="G39" s="63"/>
      <c r="H39" s="60"/>
    </row>
    <row r="40" spans="2:9" s="56" customFormat="1" ht="12" customHeight="1" x14ac:dyDescent="0.2">
      <c r="H40" s="60"/>
    </row>
    <row r="41" spans="2:9" s="56" customFormat="1" x14ac:dyDescent="0.2">
      <c r="B41" s="68"/>
      <c r="C41" s="68"/>
      <c r="D41" s="68"/>
      <c r="E41" s="68"/>
      <c r="H41" s="60"/>
    </row>
  </sheetData>
  <mergeCells count="9">
    <mergeCell ref="B36:E37"/>
    <mergeCell ref="B38:E38"/>
    <mergeCell ref="A6:B6"/>
    <mergeCell ref="A7:B7"/>
    <mergeCell ref="B2:H2"/>
    <mergeCell ref="A4:B4"/>
    <mergeCell ref="C4:E4"/>
    <mergeCell ref="A5:B5"/>
    <mergeCell ref="C5:E5"/>
  </mergeCells>
  <printOptions horizontalCentered="1"/>
  <pageMargins left="0.11811023622047245" right="0.11811023622047245" top="0.74803149606299213" bottom="0.35433070866141736" header="0.11811023622047245" footer="0"/>
  <pageSetup paperSize="5" firstPageNumber="0" fitToWidth="2" fitToHeight="4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MJ36"/>
  <sheetViews>
    <sheetView zoomScale="93" zoomScaleNormal="93" workbookViewId="0">
      <selection activeCell="C13" sqref="C13:G13"/>
    </sheetView>
  </sheetViews>
  <sheetFormatPr baseColWidth="10" defaultColWidth="9.140625" defaultRowHeight="12.75" x14ac:dyDescent="0.2"/>
  <cols>
    <col min="1" max="1" width="5.5703125" style="32" customWidth="1"/>
    <col min="2" max="2" width="15.140625" style="32" customWidth="1"/>
    <col min="3" max="3" width="14.140625" style="32" customWidth="1"/>
    <col min="4" max="4" width="26" style="32" customWidth="1"/>
    <col min="5" max="5" width="8" style="32" customWidth="1"/>
    <col min="6" max="6" width="7.85546875" style="32" customWidth="1"/>
    <col min="7" max="7" width="48.5703125" style="32" customWidth="1"/>
    <col min="8" max="8" width="9.28515625" style="32" customWidth="1"/>
    <col min="9" max="9" width="15.5703125" style="32" customWidth="1"/>
    <col min="10" max="10" width="14.7109375" style="32" customWidth="1"/>
    <col min="11" max="11" width="15.5703125" style="32" customWidth="1"/>
    <col min="12" max="14" width="5.85546875" style="32" customWidth="1"/>
    <col min="15" max="15" width="12.5703125" style="32" customWidth="1"/>
    <col min="16" max="1024" width="9.140625" style="32"/>
    <col min="1025" max="16384" width="9.140625" style="33"/>
  </cols>
  <sheetData>
    <row r="1" spans="1:11" ht="18" customHeight="1" x14ac:dyDescent="0.2">
      <c r="A1" s="129" t="s">
        <v>14</v>
      </c>
      <c r="B1" s="129"/>
      <c r="C1" s="129"/>
      <c r="D1" s="129"/>
      <c r="E1" s="129"/>
      <c r="F1" s="129"/>
      <c r="G1" s="129"/>
      <c r="H1" s="129"/>
      <c r="I1" s="129"/>
      <c r="J1" s="31" t="s">
        <v>15</v>
      </c>
      <c r="K1" s="75" t="s">
        <v>115</v>
      </c>
    </row>
    <row r="2" spans="1:11" ht="18.75" customHeight="1" thickBot="1" x14ac:dyDescent="0.25">
      <c r="A2" s="34"/>
      <c r="B2" s="34"/>
      <c r="C2" s="34"/>
      <c r="D2" s="35"/>
      <c r="E2" s="35"/>
      <c r="F2" s="35"/>
      <c r="G2" s="35"/>
      <c r="H2" s="35"/>
      <c r="I2" s="35"/>
      <c r="J2" s="35"/>
      <c r="K2" s="35"/>
    </row>
    <row r="3" spans="1:11" ht="18.75" customHeight="1" thickBot="1" x14ac:dyDescent="0.25">
      <c r="A3" s="133" t="s">
        <v>48</v>
      </c>
      <c r="B3" s="133"/>
      <c r="C3" s="133"/>
      <c r="D3" s="121" t="str">
        <f>'Necesidades Trimestrales'!C4</f>
        <v>040 - Ministerio de Salud</v>
      </c>
      <c r="E3" s="121"/>
      <c r="F3" s="121"/>
      <c r="G3" s="121"/>
      <c r="H3" s="121"/>
      <c r="I3" s="121"/>
      <c r="J3" s="121"/>
      <c r="K3" s="121"/>
    </row>
    <row r="4" spans="1:11" ht="18.75" customHeight="1" thickBot="1" x14ac:dyDescent="0.25">
      <c r="A4" s="132" t="s">
        <v>49</v>
      </c>
      <c r="B4" s="132"/>
      <c r="C4" s="132"/>
      <c r="D4" s="131" t="str">
        <f>'Necesidades Trimestrales'!C5</f>
        <v>24 - HOPITAL DE NIÑOS EVA PERON</v>
      </c>
      <c r="E4" s="131"/>
      <c r="F4" s="131"/>
      <c r="G4" s="131"/>
      <c r="H4" s="131"/>
      <c r="I4" s="131"/>
      <c r="J4" s="131"/>
      <c r="K4" s="131"/>
    </row>
    <row r="5" spans="1:11" ht="18.75" customHeight="1" thickBot="1" x14ac:dyDescent="0.25">
      <c r="A5" s="132" t="s">
        <v>27</v>
      </c>
      <c r="B5" s="132"/>
      <c r="C5" s="132"/>
      <c r="D5" s="131" t="str">
        <f>+D4</f>
        <v>24 - HOPITAL DE NIÑOS EVA PERON</v>
      </c>
      <c r="E5" s="131"/>
      <c r="F5" s="131"/>
      <c r="G5" s="131"/>
      <c r="H5" s="131"/>
      <c r="I5" s="131"/>
      <c r="J5" s="131"/>
      <c r="K5" s="131"/>
    </row>
    <row r="6" spans="1:11" ht="16.5" customHeight="1" thickBot="1" x14ac:dyDescent="0.25">
      <c r="A6" s="130" t="s">
        <v>50</v>
      </c>
      <c r="B6" s="130"/>
      <c r="C6" s="130"/>
      <c r="D6" s="131" t="str">
        <f>+D5</f>
        <v>24 - HOPITAL DE NIÑOS EVA PERON</v>
      </c>
      <c r="E6" s="131"/>
      <c r="F6" s="131"/>
      <c r="G6" s="131"/>
      <c r="H6" s="131"/>
      <c r="I6" s="131"/>
      <c r="J6" s="131"/>
      <c r="K6" s="131"/>
    </row>
    <row r="7" spans="1:11" ht="16.5" customHeight="1" thickBot="1" x14ac:dyDescent="0.25">
      <c r="A7" s="132" t="s">
        <v>16</v>
      </c>
      <c r="B7" s="132"/>
      <c r="C7" s="132"/>
      <c r="D7" s="131" t="s">
        <v>54</v>
      </c>
      <c r="E7" s="131"/>
      <c r="F7" s="131"/>
      <c r="G7" s="131"/>
      <c r="H7" s="131"/>
      <c r="I7" s="131"/>
      <c r="J7" s="131"/>
      <c r="K7" s="131"/>
    </row>
    <row r="8" spans="1:11" ht="16.5" customHeight="1" thickBot="1" x14ac:dyDescent="0.25">
      <c r="A8" s="123" t="s">
        <v>17</v>
      </c>
      <c r="B8" s="123"/>
      <c r="C8" s="123"/>
      <c r="D8" s="124" t="s">
        <v>113</v>
      </c>
      <c r="E8" s="124"/>
      <c r="F8" s="124"/>
      <c r="G8" s="124"/>
      <c r="H8" s="124"/>
      <c r="I8" s="124"/>
      <c r="J8" s="124"/>
      <c r="K8" s="124"/>
    </row>
    <row r="9" spans="1:11" ht="16.5" thickBot="1" x14ac:dyDescent="0.25">
      <c r="A9" s="36"/>
      <c r="B9" s="36"/>
      <c r="C9" s="36"/>
      <c r="D9" s="37"/>
      <c r="E9" s="37"/>
      <c r="F9" s="37"/>
      <c r="G9" s="37"/>
      <c r="H9" s="37"/>
      <c r="I9" s="37"/>
      <c r="J9" s="37"/>
      <c r="K9" s="37"/>
    </row>
    <row r="10" spans="1:11" ht="18.75" customHeight="1" x14ac:dyDescent="0.2">
      <c r="A10" s="125" t="s">
        <v>18</v>
      </c>
      <c r="B10" s="126" t="s">
        <v>19</v>
      </c>
      <c r="C10" s="126" t="s">
        <v>20</v>
      </c>
      <c r="D10" s="126"/>
      <c r="E10" s="126"/>
      <c r="F10" s="126"/>
      <c r="G10" s="126"/>
      <c r="H10" s="126" t="s">
        <v>21</v>
      </c>
      <c r="I10" s="126" t="s">
        <v>22</v>
      </c>
      <c r="J10" s="126" t="s">
        <v>23</v>
      </c>
      <c r="K10" s="127" t="s">
        <v>24</v>
      </c>
    </row>
    <row r="11" spans="1:11" ht="24" customHeight="1" thickBot="1" x14ac:dyDescent="0.25">
      <c r="A11" s="125"/>
      <c r="B11" s="126"/>
      <c r="C11" s="126"/>
      <c r="D11" s="126"/>
      <c r="E11" s="126"/>
      <c r="F11" s="126"/>
      <c r="G11" s="126"/>
      <c r="H11" s="126"/>
      <c r="I11" s="126"/>
      <c r="J11" s="126"/>
      <c r="K11" s="127"/>
    </row>
    <row r="12" spans="1:11" ht="39.75" customHeight="1" x14ac:dyDescent="0.2">
      <c r="A12" s="94">
        <v>1</v>
      </c>
      <c r="B12" s="95" t="str">
        <f>'Necesidades Trimestrales'!B10</f>
        <v>2.5.2-1726.520</v>
      </c>
      <c r="C12" s="120" t="str">
        <f>+'Necesidades Trimestrales'!E10</f>
        <v>SOLUCIONES P/MEDICINA; TIPO: AGUA DESTILADA, PRESENTACION: AMPOLLA DE 10 ML</v>
      </c>
      <c r="D12" s="120"/>
      <c r="E12" s="120"/>
      <c r="F12" s="120"/>
      <c r="G12" s="120"/>
      <c r="H12" s="96" t="s">
        <v>53</v>
      </c>
      <c r="I12" s="97" t="str">
        <f>+'Necesidades Trimestrales'!F10</f>
        <v>ANPOLLA</v>
      </c>
      <c r="J12" s="98">
        <f>+'Necesidades Trimestrales'!H10</f>
        <v>32</v>
      </c>
      <c r="K12" s="99">
        <f>+'Necesidades Trimestrales'!G10</f>
        <v>5000</v>
      </c>
    </row>
    <row r="13" spans="1:11" ht="27" customHeight="1" x14ac:dyDescent="0.2">
      <c r="A13" s="100">
        <v>2</v>
      </c>
      <c r="B13" s="101" t="str">
        <f>'Necesidades Trimestrales'!B11</f>
        <v>2.5.2-1726.186</v>
      </c>
      <c r="C13" s="119" t="str">
        <f>+'Necesidades Trimestrales'!E11</f>
        <v>SOLUCIONES P/MEDICINA; TIPO: AGUA DESTILADA, PRESENTACION: ENVASE X 500 mL</v>
      </c>
      <c r="D13" s="119"/>
      <c r="E13" s="119"/>
      <c r="F13" s="119"/>
      <c r="G13" s="119"/>
      <c r="H13" s="102" t="s">
        <v>53</v>
      </c>
      <c r="I13" s="103" t="str">
        <f>+'Necesidades Trimestrales'!F11</f>
        <v>SACHET</v>
      </c>
      <c r="J13" s="104">
        <f>+'Necesidades Trimestrales'!H11</f>
        <v>102.7</v>
      </c>
      <c r="K13" s="105">
        <f>+'Necesidades Trimestrales'!G11</f>
        <v>800</v>
      </c>
    </row>
    <row r="14" spans="1:11" ht="33.75" customHeight="1" x14ac:dyDescent="0.2">
      <c r="A14" s="100">
        <v>3</v>
      </c>
      <c r="B14" s="101" t="str">
        <f>'Necesidades Trimestrales'!B12</f>
        <v>2.5.2-2183.7</v>
      </c>
      <c r="C14" s="119" t="str">
        <f>+'Necesidades Trimestrales'!E12</f>
        <v>EXPANSORES PLASMATICOS; PRINCIPIO ACTIVO: ALBUMINA HUMANA, CONCENTRACION: 20 %, PRESENTACION: 50ML</v>
      </c>
      <c r="D14" s="119"/>
      <c r="E14" s="119"/>
      <c r="F14" s="119"/>
      <c r="G14" s="119"/>
      <c r="H14" s="102" t="s">
        <v>53</v>
      </c>
      <c r="I14" s="103" t="str">
        <f>+'Necesidades Trimestrales'!F12</f>
        <v>SACHET</v>
      </c>
      <c r="J14" s="104">
        <f>+'Necesidades Trimestrales'!H12</f>
        <v>2268</v>
      </c>
      <c r="K14" s="105">
        <f>+'Necesidades Trimestrales'!G12</f>
        <v>100</v>
      </c>
    </row>
    <row r="15" spans="1:11" ht="27" customHeight="1" x14ac:dyDescent="0.2">
      <c r="A15" s="100">
        <v>4</v>
      </c>
      <c r="B15" s="101" t="str">
        <f>'Necesidades Trimestrales'!B13</f>
        <v>2.1.1-4227.56</v>
      </c>
      <c r="C15" s="119" t="str">
        <f>+'Necesidades Trimestrales'!E13</f>
        <v>SUPLEMENTOS DIETARIOS; TIPO: ASOCIACION, DROGA GENERICA: S. PARENTERAL ADULTO 1501-2000 ML, PRESENTACION: UNIDAD</v>
      </c>
      <c r="D15" s="119"/>
      <c r="E15" s="119"/>
      <c r="F15" s="119"/>
      <c r="G15" s="119"/>
      <c r="H15" s="102" t="s">
        <v>53</v>
      </c>
      <c r="I15" s="103" t="str">
        <f>+'Necesidades Trimestrales'!F13</f>
        <v xml:space="preserve">UNIDAD  </v>
      </c>
      <c r="J15" s="104">
        <f>+'Necesidades Trimestrales'!H13</f>
        <v>11198</v>
      </c>
      <c r="K15" s="105">
        <f>+'Necesidades Trimestrales'!G13</f>
        <v>30</v>
      </c>
    </row>
    <row r="16" spans="1:11" ht="20.25" customHeight="1" x14ac:dyDescent="0.2">
      <c r="A16" s="100">
        <v>5</v>
      </c>
      <c r="B16" s="101" t="str">
        <f>'Necesidades Trimestrales'!B14</f>
        <v>2.5.2-1726.9</v>
      </c>
      <c r="C16" s="119" t="str">
        <f>+'Necesidades Trimestrales'!E14</f>
        <v>SOLUCIONES P/MEDICINA; TIPO: BICARBONATO 1 MOLAR, PRESENTACION: SACHET DE 100 mL</v>
      </c>
      <c r="D16" s="119"/>
      <c r="E16" s="119"/>
      <c r="F16" s="119"/>
      <c r="G16" s="119"/>
      <c r="H16" s="102" t="s">
        <v>53</v>
      </c>
      <c r="I16" s="103" t="str">
        <f>+'Necesidades Trimestrales'!F14</f>
        <v>SACHET</v>
      </c>
      <c r="J16" s="104">
        <f>+'Necesidades Trimestrales'!H14</f>
        <v>366</v>
      </c>
      <c r="K16" s="105">
        <f>+'Necesidades Trimestrales'!G14</f>
        <v>300</v>
      </c>
    </row>
    <row r="17" spans="1:11" ht="20.25" customHeight="1" x14ac:dyDescent="0.2">
      <c r="A17" s="100">
        <v>6</v>
      </c>
      <c r="B17" s="101" t="str">
        <f>'Necesidades Trimestrales'!B15</f>
        <v>2.5.2-1726.305</v>
      </c>
      <c r="C17" s="119" t="str">
        <f>+'Necesidades Trimestrales'!E15</f>
        <v>SOLUCIONES P/MEDICINA; TIPO: CLORURO DE POTASIO 15 MEQ, PRESENTACION: AMPOLLA DE 5 mL</v>
      </c>
      <c r="D17" s="119"/>
      <c r="E17" s="119"/>
      <c r="F17" s="119"/>
      <c r="G17" s="119"/>
      <c r="H17" s="102" t="s">
        <v>53</v>
      </c>
      <c r="I17" s="103" t="str">
        <f>+'Necesidades Trimestrales'!F15</f>
        <v>AMPOLLA</v>
      </c>
      <c r="J17" s="104">
        <f>+'Necesidades Trimestrales'!H15</f>
        <v>29.4</v>
      </c>
      <c r="K17" s="105">
        <f>+'Necesidades Trimestrales'!G15</f>
        <v>500</v>
      </c>
    </row>
    <row r="18" spans="1:11" ht="20.25" customHeight="1" x14ac:dyDescent="0.2">
      <c r="A18" s="100">
        <v>7</v>
      </c>
      <c r="B18" s="101" t="str">
        <f>'Necesidades Trimestrales'!B16</f>
        <v>2.5.2-1726.519</v>
      </c>
      <c r="C18" s="119" t="str">
        <f>+'Necesidades Trimestrales'!E16</f>
        <v>SOLUCIONES P/MEDICINA; PRESENTACION: AMPOLLA X 20 ML, TIPO: CLORURO DE SODIO MOLAR AL 20 %</v>
      </c>
      <c r="D18" s="119"/>
      <c r="E18" s="119"/>
      <c r="F18" s="119"/>
      <c r="G18" s="119"/>
      <c r="H18" s="102" t="s">
        <v>53</v>
      </c>
      <c r="I18" s="103" t="str">
        <f>+'Necesidades Trimestrales'!F16</f>
        <v>AMPOLLA</v>
      </c>
      <c r="J18" s="104">
        <f>+'Necesidades Trimestrales'!H16</f>
        <v>44</v>
      </c>
      <c r="K18" s="105">
        <f>+'Necesidades Trimestrales'!G16</f>
        <v>1000</v>
      </c>
    </row>
    <row r="19" spans="1:11" ht="30" customHeight="1" x14ac:dyDescent="0.2">
      <c r="A19" s="100">
        <v>8</v>
      </c>
      <c r="B19" s="101" t="str">
        <f>'Necesidades Trimestrales'!B17</f>
        <v>2.5.2-1726.382</v>
      </c>
      <c r="C19" s="119" t="str">
        <f>+'Necesidades Trimestrales'!E17</f>
        <v>SOLUCIONES P/MEDICINA; TIPO: CLORURO DE POTASIO MOLAR, PRESENTACION: ENVASE X 100 mL</v>
      </c>
      <c r="D19" s="119"/>
      <c r="E19" s="119"/>
      <c r="F19" s="119"/>
      <c r="G19" s="119"/>
      <c r="H19" s="102" t="s">
        <v>53</v>
      </c>
      <c r="I19" s="103" t="str">
        <f>+'Necesidades Trimestrales'!F17</f>
        <v>SACHET</v>
      </c>
      <c r="J19" s="104">
        <f>+'Necesidades Trimestrales'!H17</f>
        <v>223</v>
      </c>
      <c r="K19" s="105">
        <f>+'Necesidades Trimestrales'!G17</f>
        <v>1000</v>
      </c>
    </row>
    <row r="20" spans="1:11" ht="37.5" customHeight="1" x14ac:dyDescent="0.2">
      <c r="A20" s="100">
        <v>9</v>
      </c>
      <c r="B20" s="101" t="str">
        <f>'Necesidades Trimestrales'!B18</f>
        <v>2.5.2-2689.7</v>
      </c>
      <c r="C20" s="119" t="str">
        <f>+'Necesidades Trimestrales'!E18</f>
        <v>NORMALIZADORES DE CALCEMIA; TIPO: MONODROGA, DROGA GENERICA: GLUCONATO DE CALCIO 10 %, FORMA FARMACEUTICA: AMPOLLA, PRESENTACION: ENVASE X 10 mL</v>
      </c>
      <c r="D20" s="119"/>
      <c r="E20" s="119"/>
      <c r="F20" s="119"/>
      <c r="G20" s="119"/>
      <c r="H20" s="102" t="s">
        <v>53</v>
      </c>
      <c r="I20" s="103" t="str">
        <f>+'Necesidades Trimestrales'!F18</f>
        <v>AMPOLLA</v>
      </c>
      <c r="J20" s="104">
        <f>+'Necesidades Trimestrales'!H18</f>
        <v>84</v>
      </c>
      <c r="K20" s="105">
        <f>+'Necesidades Trimestrales'!G18</f>
        <v>500</v>
      </c>
    </row>
    <row r="21" spans="1:11" ht="20.25" customHeight="1" x14ac:dyDescent="0.2">
      <c r="A21" s="100">
        <v>10</v>
      </c>
      <c r="B21" s="101" t="str">
        <f>'Necesidades Trimestrales'!B19</f>
        <v>2.5.2-1726.378</v>
      </c>
      <c r="C21" s="119" t="str">
        <f>+'Necesidades Trimestrales'!E19</f>
        <v>SOLUCIONES P/MEDICINA; TIPO: DEXTROSA AL 50 %, PRESENTACION: ENVASE X 500 mL</v>
      </c>
      <c r="D21" s="119"/>
      <c r="E21" s="119"/>
      <c r="F21" s="119"/>
      <c r="G21" s="119"/>
      <c r="H21" s="102" t="s">
        <v>53</v>
      </c>
      <c r="I21" s="103" t="str">
        <f>+'Necesidades Trimestrales'!F19</f>
        <v>SACHET</v>
      </c>
      <c r="J21" s="104">
        <f>+'Necesidades Trimestrales'!H19</f>
        <v>221.95</v>
      </c>
      <c r="K21" s="105">
        <f>+'Necesidades Trimestrales'!G19</f>
        <v>50</v>
      </c>
    </row>
    <row r="22" spans="1:11" ht="33.75" customHeight="1" x14ac:dyDescent="0.2">
      <c r="A22" s="100">
        <v>11</v>
      </c>
      <c r="B22" s="101" t="str">
        <f>'Necesidades Trimestrales'!B20</f>
        <v>2.5.2-1726.14</v>
      </c>
      <c r="C22" s="119" t="str">
        <f>+'Necesidades Trimestrales'!E20</f>
        <v>SOLUCIONES P/MEDICINA; PRESENTACION: SACHET X 500 mL, TIPO: DEXTROSA AL 10 %</v>
      </c>
      <c r="D22" s="119"/>
      <c r="E22" s="119"/>
      <c r="F22" s="119"/>
      <c r="G22" s="119"/>
      <c r="H22" s="102" t="s">
        <v>53</v>
      </c>
      <c r="I22" s="103" t="str">
        <f>+'Necesidades Trimestrales'!F20</f>
        <v>SACHET</v>
      </c>
      <c r="J22" s="104">
        <f>+'Necesidades Trimestrales'!H20</f>
        <v>118.3</v>
      </c>
      <c r="K22" s="105">
        <f>+'Necesidades Trimestrales'!G20</f>
        <v>500</v>
      </c>
    </row>
    <row r="23" spans="1:11" ht="20.25" customHeight="1" x14ac:dyDescent="0.2">
      <c r="A23" s="100">
        <v>12</v>
      </c>
      <c r="B23" s="101" t="str">
        <f>'Necesidades Trimestrales'!B21</f>
        <v>2.5.2-1726.24</v>
      </c>
      <c r="C23" s="119" t="str">
        <f>+'Necesidades Trimestrales'!E21</f>
        <v>SOLUCIONES P/MEDICINA; TIPO: DEXTROSA AL 5%, PRESENTACION: ENVASE X 500 mL</v>
      </c>
      <c r="D23" s="119"/>
      <c r="E23" s="119"/>
      <c r="F23" s="119"/>
      <c r="G23" s="119"/>
      <c r="H23" s="102" t="s">
        <v>53</v>
      </c>
      <c r="I23" s="103" t="str">
        <f>+'Necesidades Trimestrales'!F21</f>
        <v>SACHET</v>
      </c>
      <c r="J23" s="104">
        <f>+'Necesidades Trimestrales'!H21</f>
        <v>110.6</v>
      </c>
      <c r="K23" s="105">
        <f>+'Necesidades Trimestrales'!G21</f>
        <v>10000</v>
      </c>
    </row>
    <row r="24" spans="1:11" ht="24.75" customHeight="1" x14ac:dyDescent="0.2">
      <c r="A24" s="100">
        <v>13</v>
      </c>
      <c r="B24" s="101" t="str">
        <f>'Necesidades Trimestrales'!B22</f>
        <v>2.5.2-1726.376</v>
      </c>
      <c r="C24" s="119" t="str">
        <f>+'Necesidades Trimestrales'!E22</f>
        <v>SOLUCIONES P/MEDICINA; TIPO: DEXTROSA AL 5%, PRESENTACION: ENVASE X 100 mL</v>
      </c>
      <c r="D24" s="119"/>
      <c r="E24" s="119"/>
      <c r="F24" s="119"/>
      <c r="G24" s="119"/>
      <c r="H24" s="102" t="s">
        <v>53</v>
      </c>
      <c r="I24" s="103" t="str">
        <f>+'Necesidades Trimestrales'!F22</f>
        <v>SACHET</v>
      </c>
      <c r="J24" s="104">
        <f>+'Necesidades Trimestrales'!H22</f>
        <v>64</v>
      </c>
      <c r="K24" s="105">
        <f>+'Necesidades Trimestrales'!G22</f>
        <v>2600</v>
      </c>
    </row>
    <row r="25" spans="1:11" ht="20.25" customHeight="1" x14ac:dyDescent="0.2">
      <c r="A25" s="100">
        <v>14</v>
      </c>
      <c r="B25" s="101" t="str">
        <f>'Necesidades Trimestrales'!B23</f>
        <v>2.5.2-1726.17</v>
      </c>
      <c r="C25" s="119" t="str">
        <f>+'Necesidades Trimestrales'!E23</f>
        <v>SOLUCIONES P/MEDICINA; TIPO: FISIOLOGICA CLORURO DE SODIO, PRESENTACION: 500 CM3</v>
      </c>
      <c r="D25" s="119"/>
      <c r="E25" s="119"/>
      <c r="F25" s="119"/>
      <c r="G25" s="119"/>
      <c r="H25" s="102" t="s">
        <v>53</v>
      </c>
      <c r="I25" s="103" t="str">
        <f>+'Necesidades Trimestrales'!F23</f>
        <v>SACHET</v>
      </c>
      <c r="J25" s="104">
        <f>+'Necesidades Trimestrales'!H23</f>
        <v>98</v>
      </c>
      <c r="K25" s="105">
        <f>+'Necesidades Trimestrales'!G23</f>
        <v>20000</v>
      </c>
    </row>
    <row r="26" spans="1:11" ht="20.25" customHeight="1" x14ac:dyDescent="0.2">
      <c r="A26" s="100">
        <v>15</v>
      </c>
      <c r="B26" s="101" t="str">
        <f>'Necesidades Trimestrales'!B24</f>
        <v>2.5.2-1726.369</v>
      </c>
      <c r="C26" s="119" t="str">
        <f>+'Necesidades Trimestrales'!E24</f>
        <v>SOLUCIONES P/MEDICINA; TIPO: FISIOLOGICA, PRESENTACION: ENVASE X 100 mL</v>
      </c>
      <c r="D26" s="119"/>
      <c r="E26" s="119"/>
      <c r="F26" s="119"/>
      <c r="G26" s="119"/>
      <c r="H26" s="102" t="s">
        <v>53</v>
      </c>
      <c r="I26" s="103" t="str">
        <f>+'Necesidades Trimestrales'!F24</f>
        <v>SACHET</v>
      </c>
      <c r="J26" s="104">
        <f>+'Necesidades Trimestrales'!H24</f>
        <v>89</v>
      </c>
      <c r="K26" s="105">
        <f>+'Necesidades Trimestrales'!G24</f>
        <v>2000</v>
      </c>
    </row>
    <row r="27" spans="1:11" ht="20.25" customHeight="1" x14ac:dyDescent="0.2">
      <c r="A27" s="100">
        <v>16</v>
      </c>
      <c r="B27" s="101" t="str">
        <f>'Necesidades Trimestrales'!B25</f>
        <v>2.5.2-1726.419</v>
      </c>
      <c r="C27" s="119" t="str">
        <f>+'Necesidades Trimestrales'!E25</f>
        <v>SOLUCIONES P/MEDICINA; TIPO: FISIOLOGICA, PRESENTACION: ENVASE X 10 mL</v>
      </c>
      <c r="D27" s="119"/>
      <c r="E27" s="119"/>
      <c r="F27" s="119"/>
      <c r="G27" s="119"/>
      <c r="H27" s="102" t="s">
        <v>53</v>
      </c>
      <c r="I27" s="103" t="str">
        <f>+'Necesidades Trimestrales'!F25</f>
        <v>AMPOLLA</v>
      </c>
      <c r="J27" s="104">
        <f>+'Necesidades Trimestrales'!H25</f>
        <v>33</v>
      </c>
      <c r="K27" s="105">
        <f>+'Necesidades Trimestrales'!G25</f>
        <v>3000</v>
      </c>
    </row>
    <row r="28" spans="1:11" ht="25.5" customHeight="1" x14ac:dyDescent="0.2">
      <c r="A28" s="100">
        <v>17</v>
      </c>
      <c r="B28" s="101" t="str">
        <f>'Necesidades Trimestrales'!B26</f>
        <v>2.5.2-1726.393</v>
      </c>
      <c r="C28" s="119" t="str">
        <f>+'Necesidades Trimestrales'!E26</f>
        <v>SOLUCIONES P/MEDICINA; TIPO: GLUCOSADA HIPERTONICA AL 25%, PRESENTACION: ENVASE X 10 mL</v>
      </c>
      <c r="D28" s="119"/>
      <c r="E28" s="119"/>
      <c r="F28" s="119"/>
      <c r="G28" s="119"/>
      <c r="H28" s="102" t="s">
        <v>53</v>
      </c>
      <c r="I28" s="103" t="str">
        <f>+'Necesidades Trimestrales'!F26</f>
        <v>AMPOLLA</v>
      </c>
      <c r="J28" s="104">
        <f>+'Necesidades Trimestrales'!H26</f>
        <v>53</v>
      </c>
      <c r="K28" s="105">
        <f>+'Necesidades Trimestrales'!G26</f>
        <v>300</v>
      </c>
    </row>
    <row r="29" spans="1:11" ht="20.25" customHeight="1" x14ac:dyDescent="0.2">
      <c r="A29" s="100">
        <v>18</v>
      </c>
      <c r="B29" s="101" t="str">
        <f>'Necesidades Trimestrales'!B27</f>
        <v>2.5.2-1726.381</v>
      </c>
      <c r="C29" s="119" t="str">
        <f>+'Necesidades Trimestrales'!E27</f>
        <v>SOLUCIONES P/MEDICINA; TIPO: MANITOL AL 15%, PRESENTACION: ENVASE X 500 mL</v>
      </c>
      <c r="D29" s="119"/>
      <c r="E29" s="119"/>
      <c r="F29" s="119"/>
      <c r="G29" s="119"/>
      <c r="H29" s="102" t="s">
        <v>53</v>
      </c>
      <c r="I29" s="103" t="str">
        <f>+'Necesidades Trimestrales'!F27</f>
        <v>SACHET</v>
      </c>
      <c r="J29" s="104">
        <f>+'Necesidades Trimestrales'!H27</f>
        <v>398</v>
      </c>
      <c r="K29" s="105">
        <f>+'Necesidades Trimestrales'!G27</f>
        <v>150</v>
      </c>
    </row>
    <row r="30" spans="1:11" ht="20.25" customHeight="1" x14ac:dyDescent="0.2">
      <c r="A30" s="100">
        <v>19</v>
      </c>
      <c r="B30" s="101" t="str">
        <f>'Necesidades Trimestrales'!B28</f>
        <v>2.5.2-1726.521</v>
      </c>
      <c r="C30" s="119" t="str">
        <f>+'Necesidades Trimestrales'!E28</f>
        <v>SOLUCIONES P/MEDICINA; TIPO: DIALISIS PERITONEAL DEXTROSA AL 1,5 %, PRESENTACION: ENVASE X 2 L</v>
      </c>
      <c r="D30" s="119"/>
      <c r="E30" s="119"/>
      <c r="F30" s="119"/>
      <c r="G30" s="119"/>
      <c r="H30" s="102" t="s">
        <v>53</v>
      </c>
      <c r="I30" s="103" t="str">
        <f>+'Necesidades Trimestrales'!F28</f>
        <v>UNIDAD</v>
      </c>
      <c r="J30" s="104">
        <f>+'Necesidades Trimestrales'!H28</f>
        <v>3100</v>
      </c>
      <c r="K30" s="105">
        <f>+'Necesidades Trimestrales'!G28</f>
        <v>75</v>
      </c>
    </row>
    <row r="31" spans="1:11" ht="20.25" customHeight="1" x14ac:dyDescent="0.2">
      <c r="A31" s="100">
        <v>20</v>
      </c>
      <c r="B31" s="101" t="str">
        <f>'Necesidades Trimestrales'!B29</f>
        <v>2.5.2-1726.522</v>
      </c>
      <c r="C31" s="119" t="str">
        <f>+'Necesidades Trimestrales'!E29</f>
        <v>SOLUCIONES P/MEDICINA; TIPO: DIALISIS PERITONEAL DEXTROSA AL 2,5 %, PRESENTACION: ENVASE X 2 L</v>
      </c>
      <c r="D31" s="119"/>
      <c r="E31" s="119"/>
      <c r="F31" s="119"/>
      <c r="G31" s="119"/>
      <c r="H31" s="102" t="s">
        <v>53</v>
      </c>
      <c r="I31" s="103" t="str">
        <f>+'Necesidades Trimestrales'!F29</f>
        <v>UNIDAD</v>
      </c>
      <c r="J31" s="104">
        <f>+'Necesidades Trimestrales'!H29</f>
        <v>3100</v>
      </c>
      <c r="K31" s="105">
        <f>+'Necesidades Trimestrales'!G29</f>
        <v>150</v>
      </c>
    </row>
    <row r="32" spans="1:11" ht="20.25" customHeight="1" x14ac:dyDescent="0.2">
      <c r="A32" s="100">
        <v>21</v>
      </c>
      <c r="B32" s="101" t="str">
        <f>'Necesidades Trimestrales'!B30</f>
        <v>2.5.2-1726.182</v>
      </c>
      <c r="C32" s="119" t="str">
        <f>+'Necesidades Trimestrales'!E30</f>
        <v>SOLUCIONES P/MEDICINA; TIPO: RINGER LACTATO, PRESENTACION: ENVASE X 500 mL</v>
      </c>
      <c r="D32" s="119"/>
      <c r="E32" s="119"/>
      <c r="F32" s="119"/>
      <c r="G32" s="119"/>
      <c r="H32" s="102" t="s">
        <v>53</v>
      </c>
      <c r="I32" s="103" t="str">
        <f>+'Necesidades Trimestrales'!F30</f>
        <v>SACHET</v>
      </c>
      <c r="J32" s="104">
        <f>+'Necesidades Trimestrales'!H30</f>
        <v>106.39</v>
      </c>
      <c r="K32" s="105">
        <f>+'Necesidades Trimestrales'!G30</f>
        <v>150</v>
      </c>
    </row>
    <row r="33" spans="1:11" ht="25.5" customHeight="1" x14ac:dyDescent="0.2">
      <c r="A33" s="100">
        <v>22</v>
      </c>
      <c r="B33" s="101" t="str">
        <f>'Necesidades Trimestrales'!B31</f>
        <v>2.5.2-1726.371</v>
      </c>
      <c r="C33" s="119" t="str">
        <f>+'Necesidades Trimestrales'!E31</f>
        <v>SOLUCIONES P/MEDICINA; TIPO: SULFATO DE MAGNESIO AL 25%, PRESENTACION: ENVASE X 5 mL</v>
      </c>
      <c r="D33" s="119"/>
      <c r="E33" s="119"/>
      <c r="F33" s="119"/>
      <c r="G33" s="119"/>
      <c r="H33" s="102" t="s">
        <v>53</v>
      </c>
      <c r="I33" s="103" t="str">
        <f>+'Necesidades Trimestrales'!F31</f>
        <v>AMPOLLA</v>
      </c>
      <c r="J33" s="104">
        <f>+'Necesidades Trimestrales'!H31</f>
        <v>33</v>
      </c>
      <c r="K33" s="105">
        <f>+'Necesidades Trimestrales'!G31</f>
        <v>300</v>
      </c>
    </row>
    <row r="34" spans="1:11" ht="27.75" customHeight="1" thickBot="1" x14ac:dyDescent="0.25">
      <c r="A34" s="100">
        <v>23</v>
      </c>
      <c r="B34" s="106" t="str">
        <f>'Necesidades Trimestrales'!B32</f>
        <v>2.5.2-1836.10</v>
      </c>
      <c r="C34" s="128" t="str">
        <f>+'Necesidades Trimestrales'!E32</f>
        <v>HIPERTENSORES; TIPO: MONODROGA, DROGA GENERICA: ZINC SULFATO, FORMA FARMACEUTICA: AMPOLLAS, PRESENTACION: 5 mL</v>
      </c>
      <c r="D34" s="128"/>
      <c r="E34" s="128"/>
      <c r="F34" s="128"/>
      <c r="G34" s="128"/>
      <c r="H34" s="107" t="s">
        <v>53</v>
      </c>
      <c r="I34" s="108" t="str">
        <f>+'Necesidades Trimestrales'!F32</f>
        <v>AMPOLLA</v>
      </c>
      <c r="J34" s="109">
        <f>+'Necesidades Trimestrales'!H32</f>
        <v>2897</v>
      </c>
      <c r="K34" s="110">
        <f>+'Necesidades Trimestrales'!G32</f>
        <v>100</v>
      </c>
    </row>
    <row r="35" spans="1:11" ht="20.25" customHeight="1" thickBot="1" x14ac:dyDescent="0.25">
      <c r="A35" s="121" t="s">
        <v>118</v>
      </c>
      <c r="B35" s="121"/>
      <c r="C35" s="121"/>
      <c r="D35" s="121"/>
      <c r="E35" s="121"/>
      <c r="F35" s="121"/>
      <c r="G35" s="121"/>
      <c r="H35" s="121"/>
      <c r="I35" s="121"/>
      <c r="J35" s="122">
        <f>SUMPRODUCT(J12:J34,K12:K34)</f>
        <v>5906706</v>
      </c>
      <c r="K35" s="122"/>
    </row>
    <row r="36" spans="1:11" ht="15" x14ac:dyDescent="0.2">
      <c r="J36" s="81"/>
    </row>
  </sheetData>
  <mergeCells count="45">
    <mergeCell ref="A1:I1"/>
    <mergeCell ref="A6:C6"/>
    <mergeCell ref="D6:K6"/>
    <mergeCell ref="A7:C7"/>
    <mergeCell ref="D7:K7"/>
    <mergeCell ref="A3:C3"/>
    <mergeCell ref="D3:K3"/>
    <mergeCell ref="A4:C4"/>
    <mergeCell ref="D4:K4"/>
    <mergeCell ref="A5:C5"/>
    <mergeCell ref="D5:K5"/>
    <mergeCell ref="A35:I35"/>
    <mergeCell ref="J35:K35"/>
    <mergeCell ref="A8:C8"/>
    <mergeCell ref="D8:K8"/>
    <mergeCell ref="A10:A11"/>
    <mergeCell ref="B10:B11"/>
    <mergeCell ref="C10:G11"/>
    <mergeCell ref="H10:H11"/>
    <mergeCell ref="I10:I11"/>
    <mergeCell ref="J10:J11"/>
    <mergeCell ref="K10:K11"/>
    <mergeCell ref="C17:G17"/>
    <mergeCell ref="C18:G18"/>
    <mergeCell ref="C19:G19"/>
    <mergeCell ref="C34:G34"/>
    <mergeCell ref="C12:G12"/>
    <mergeCell ref="C13:G13"/>
    <mergeCell ref="C14:G14"/>
    <mergeCell ref="C33:G33"/>
    <mergeCell ref="C20:G20"/>
    <mergeCell ref="C21:G21"/>
    <mergeCell ref="C30:G30"/>
    <mergeCell ref="C31:G31"/>
    <mergeCell ref="C32:G32"/>
    <mergeCell ref="C23:G23"/>
    <mergeCell ref="C24:G24"/>
    <mergeCell ref="C25:G25"/>
    <mergeCell ref="C22:G22"/>
    <mergeCell ref="C26:G26"/>
    <mergeCell ref="C27:G27"/>
    <mergeCell ref="C28:G28"/>
    <mergeCell ref="C29:G29"/>
    <mergeCell ref="C15:G15"/>
    <mergeCell ref="C16:G16"/>
  </mergeCells>
  <printOptions horizontalCentered="1"/>
  <pageMargins left="0.196527777777778" right="0.196527777777778" top="0.98402777777777795" bottom="0.98402777777777795" header="0.51180555555555496" footer="0.51180555555555496"/>
  <pageSetup paperSize="9" scale="90" firstPageNumber="0" orientation="landscape" horizontalDpi="300" verticalDpi="3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26"/>
  <sheetViews>
    <sheetView topLeftCell="A7" zoomScale="130" zoomScaleNormal="130" workbookViewId="0">
      <selection activeCell="L19" sqref="L19"/>
    </sheetView>
  </sheetViews>
  <sheetFormatPr baseColWidth="10" defaultColWidth="11" defaultRowHeight="12.75" x14ac:dyDescent="0.2"/>
  <cols>
    <col min="1" max="5" width="4.42578125" customWidth="1"/>
    <col min="6" max="6" width="5" customWidth="1"/>
    <col min="7" max="7" width="4.42578125" style="2" customWidth="1"/>
    <col min="8" max="14" width="4.42578125" customWidth="1"/>
    <col min="15" max="16" width="14.85546875" customWidth="1"/>
    <col min="17" max="17" width="14.7109375" customWidth="1"/>
    <col min="19" max="19" width="13.28515625" bestFit="1" customWidth="1"/>
  </cols>
  <sheetData>
    <row r="1" spans="1:17" ht="15.75" customHeight="1" x14ac:dyDescent="0.25">
      <c r="A1" s="156" t="s">
        <v>3</v>
      </c>
      <c r="B1" s="156"/>
      <c r="C1" s="156"/>
      <c r="D1" s="157">
        <f>'Necesidades Trimestrales'!C6</f>
        <v>2022</v>
      </c>
      <c r="E1" s="157"/>
      <c r="F1" s="3"/>
      <c r="G1" s="3"/>
      <c r="H1" s="4"/>
      <c r="I1" s="4"/>
      <c r="J1" s="4"/>
      <c r="K1" s="4"/>
      <c r="L1" s="4"/>
      <c r="M1" s="4"/>
      <c r="N1" s="4"/>
      <c r="P1" s="158" t="s">
        <v>25</v>
      </c>
      <c r="Q1" s="158"/>
    </row>
    <row r="2" spans="1:17" ht="15.75" customHeight="1" x14ac:dyDescent="0.2">
      <c r="H2" s="4"/>
      <c r="I2" s="4"/>
      <c r="J2" s="4"/>
      <c r="K2" s="4"/>
      <c r="L2" s="4"/>
      <c r="M2" s="4"/>
      <c r="N2" s="4"/>
      <c r="P2" s="158"/>
      <c r="Q2" s="158"/>
    </row>
    <row r="4" spans="1:17" s="5" customFormat="1" ht="18" customHeight="1" thickBot="1" x14ac:dyDescent="0.25">
      <c r="A4" s="159" t="s">
        <v>26</v>
      </c>
      <c r="B4" s="159"/>
      <c r="C4" s="159"/>
      <c r="D4" s="159"/>
      <c r="E4" s="159"/>
      <c r="F4" s="159"/>
      <c r="G4" s="160" t="str">
        <f>' NotaPedido'!D3</f>
        <v>040 - Ministerio de Salud</v>
      </c>
      <c r="H4" s="160"/>
      <c r="I4" s="160"/>
      <c r="J4" s="160"/>
      <c r="K4" s="160"/>
      <c r="L4" s="160"/>
      <c r="M4" s="160"/>
      <c r="N4" s="160"/>
      <c r="O4" s="160"/>
      <c r="P4" s="160"/>
      <c r="Q4" s="160"/>
    </row>
    <row r="5" spans="1:17" s="5" customFormat="1" ht="18" customHeight="1" thickBot="1" x14ac:dyDescent="0.25">
      <c r="A5" s="151" t="s">
        <v>49</v>
      </c>
      <c r="B5" s="152"/>
      <c r="C5" s="152"/>
      <c r="D5" s="152"/>
      <c r="E5" s="152"/>
      <c r="F5" s="153"/>
      <c r="G5" s="154" t="str">
        <f>' NotaPedido'!D4</f>
        <v>24 - HOPITAL DE NIÑOS EVA PERON</v>
      </c>
      <c r="H5" s="154"/>
      <c r="I5" s="154"/>
      <c r="J5" s="154"/>
      <c r="K5" s="154"/>
      <c r="L5" s="154"/>
      <c r="M5" s="154"/>
      <c r="N5" s="154"/>
      <c r="O5" s="154"/>
      <c r="P5" s="154"/>
      <c r="Q5" s="154"/>
    </row>
    <row r="6" spans="1:17" s="5" customFormat="1" ht="18" customHeight="1" thickBot="1" x14ac:dyDescent="0.25">
      <c r="A6" s="151" t="s">
        <v>27</v>
      </c>
      <c r="B6" s="152"/>
      <c r="C6" s="152"/>
      <c r="D6" s="152"/>
      <c r="E6" s="152"/>
      <c r="F6" s="153"/>
      <c r="G6" s="154" t="str">
        <f>' NotaPedido'!D5</f>
        <v>24 - HOPITAL DE NIÑOS EVA PERON</v>
      </c>
      <c r="H6" s="154"/>
      <c r="I6" s="154"/>
      <c r="J6" s="154"/>
      <c r="K6" s="154"/>
      <c r="L6" s="154"/>
      <c r="M6" s="154"/>
      <c r="N6" s="154"/>
      <c r="O6" s="154"/>
      <c r="P6" s="154"/>
      <c r="Q6" s="154"/>
    </row>
    <row r="7" spans="1:17" s="5" customFormat="1" ht="18" customHeight="1" thickBot="1" x14ac:dyDescent="0.25">
      <c r="A7" s="151" t="s">
        <v>50</v>
      </c>
      <c r="B7" s="152"/>
      <c r="C7" s="152"/>
      <c r="D7" s="152"/>
      <c r="E7" s="152"/>
      <c r="F7" s="153"/>
      <c r="G7" s="154" t="str">
        <f>' NotaPedido'!D6</f>
        <v>24 - HOPITAL DE NIÑOS EVA PERON</v>
      </c>
      <c r="H7" s="154"/>
      <c r="I7" s="154"/>
      <c r="J7" s="154"/>
      <c r="K7" s="154"/>
      <c r="L7" s="154"/>
      <c r="M7" s="154"/>
      <c r="N7" s="154"/>
      <c r="O7" s="154"/>
      <c r="P7" s="154"/>
      <c r="Q7" s="154"/>
    </row>
    <row r="8" spans="1:17" ht="18" customHeight="1" thickBot="1" x14ac:dyDescent="0.25">
      <c r="A8" s="155" t="s">
        <v>28</v>
      </c>
      <c r="B8" s="155"/>
      <c r="C8" s="155"/>
      <c r="D8" s="155"/>
      <c r="E8" s="155"/>
      <c r="F8" s="155"/>
      <c r="G8" s="155"/>
      <c r="H8" s="155"/>
      <c r="I8" s="155"/>
      <c r="J8" s="155"/>
      <c r="K8" s="155"/>
      <c r="L8" s="155"/>
      <c r="M8" s="155"/>
      <c r="N8" s="155"/>
      <c r="O8" s="155"/>
      <c r="P8" s="155"/>
      <c r="Q8" s="155"/>
    </row>
    <row r="9" spans="1:17" ht="18" customHeight="1" x14ac:dyDescent="0.2">
      <c r="A9" s="145" t="s">
        <v>29</v>
      </c>
      <c r="B9" s="145"/>
      <c r="C9" s="145"/>
      <c r="D9" s="145"/>
      <c r="E9" s="145"/>
      <c r="F9" s="145"/>
      <c r="G9" s="145"/>
      <c r="H9" s="145"/>
      <c r="I9" s="145"/>
      <c r="J9" s="145"/>
      <c r="K9" s="145"/>
      <c r="L9" s="145"/>
      <c r="M9" s="145"/>
      <c r="N9" s="145"/>
      <c r="O9" s="1"/>
      <c r="P9" s="1"/>
      <c r="Q9" s="6"/>
    </row>
    <row r="10" spans="1:17" ht="54.75" customHeight="1" x14ac:dyDescent="0.2">
      <c r="A10" s="146" t="str">
        <f>"Autorizo la realización de los  trámites correspondientes, a fin de proveer a  este Organismo los bienes y/o servicios que se detallan en Nota  de Pedido N° " &amp; ' NotaPedido'!K1&amp;",  afectando la erogación resultante a los créditos presupuestarios aprobados a favor de esta Unidad Ejecutora, conforme al siguiente detalle:"</f>
        <v>Autorizo la realización de los  trámites correspondientes, a fin de proveer a  este Organismo los bienes y/o servicios que se detallan en Nota  de Pedido N° 047-2022,  afectando la erogación resultante a los créditos presupuestarios aprobados a favor de esta Unidad Ejecutora, conforme al siguiente detalle:</v>
      </c>
      <c r="B10" s="146"/>
      <c r="C10" s="146"/>
      <c r="D10" s="146"/>
      <c r="E10" s="146"/>
      <c r="F10" s="146"/>
      <c r="G10" s="146"/>
      <c r="H10" s="146"/>
      <c r="I10" s="146"/>
      <c r="J10" s="146"/>
      <c r="K10" s="146"/>
      <c r="L10" s="146"/>
      <c r="M10" s="146"/>
      <c r="N10" s="146"/>
      <c r="O10" s="146"/>
      <c r="P10" s="146"/>
      <c r="Q10" s="146"/>
    </row>
    <row r="11" spans="1:17" ht="9" customHeight="1" x14ac:dyDescent="0.2">
      <c r="A11" s="7"/>
      <c r="B11" s="8"/>
      <c r="C11" s="8"/>
      <c r="D11" s="8"/>
      <c r="E11" s="8"/>
      <c r="F11" s="8"/>
      <c r="G11" s="9"/>
      <c r="H11" s="8"/>
      <c r="I11" s="8"/>
      <c r="J11" s="8"/>
      <c r="K11" s="8"/>
      <c r="L11" s="8"/>
      <c r="M11" s="8"/>
      <c r="N11" s="8"/>
      <c r="O11" s="8"/>
      <c r="P11" s="8"/>
      <c r="Q11" s="10"/>
    </row>
    <row r="12" spans="1:17" ht="15.75" customHeight="1" x14ac:dyDescent="0.2">
      <c r="A12" s="147" t="s">
        <v>30</v>
      </c>
      <c r="B12" s="147"/>
      <c r="C12" s="147"/>
      <c r="D12" s="147"/>
      <c r="E12" s="147"/>
      <c r="F12" s="147"/>
      <c r="G12" s="147"/>
      <c r="H12" s="147"/>
      <c r="I12" s="147"/>
      <c r="J12" s="147"/>
      <c r="K12" s="147"/>
      <c r="L12" s="147"/>
      <c r="M12" s="147"/>
      <c r="N12" s="147"/>
      <c r="O12" s="147"/>
      <c r="P12" s="147"/>
      <c r="Q12" s="147"/>
    </row>
    <row r="13" spans="1:17" ht="15.75" customHeight="1" x14ac:dyDescent="0.2">
      <c r="A13" s="148" t="s">
        <v>31</v>
      </c>
      <c r="B13" s="148"/>
      <c r="C13" s="148"/>
      <c r="D13" s="148"/>
      <c r="E13" s="148"/>
      <c r="F13" s="148"/>
      <c r="G13" s="148"/>
      <c r="H13" s="148"/>
      <c r="I13" s="148"/>
      <c r="J13" s="148"/>
      <c r="K13" s="148"/>
      <c r="L13" s="148"/>
      <c r="M13" s="148"/>
      <c r="N13" s="148"/>
      <c r="O13" s="149" t="s">
        <v>32</v>
      </c>
      <c r="P13" s="149"/>
      <c r="Q13" s="150" t="s">
        <v>33</v>
      </c>
    </row>
    <row r="14" spans="1:17" ht="15.75" customHeight="1" thickBot="1" x14ac:dyDescent="0.25">
      <c r="A14" s="11" t="s">
        <v>34</v>
      </c>
      <c r="B14" s="12" t="s">
        <v>35</v>
      </c>
      <c r="C14" s="12" t="s">
        <v>36</v>
      </c>
      <c r="D14" s="12" t="s">
        <v>37</v>
      </c>
      <c r="E14" s="12" t="s">
        <v>38</v>
      </c>
      <c r="F14" s="12" t="s">
        <v>39</v>
      </c>
      <c r="G14" s="13" t="s">
        <v>40</v>
      </c>
      <c r="H14" s="12" t="s">
        <v>41</v>
      </c>
      <c r="I14" s="12" t="s">
        <v>42</v>
      </c>
      <c r="J14" s="12" t="s">
        <v>43</v>
      </c>
      <c r="K14" s="12" t="s">
        <v>43</v>
      </c>
      <c r="L14" s="12" t="s">
        <v>44</v>
      </c>
      <c r="M14" s="14" t="s">
        <v>45</v>
      </c>
      <c r="N14" s="15" t="s">
        <v>46</v>
      </c>
      <c r="O14" s="149"/>
      <c r="P14" s="149"/>
      <c r="Q14" s="150"/>
    </row>
    <row r="15" spans="1:17" ht="39" customHeight="1" x14ac:dyDescent="0.2">
      <c r="A15" s="76">
        <v>36</v>
      </c>
      <c r="B15" s="77"/>
      <c r="C15" s="77"/>
      <c r="D15" s="77">
        <v>1</v>
      </c>
      <c r="E15" s="77"/>
      <c r="F15" s="77">
        <v>4901</v>
      </c>
      <c r="G15" s="77">
        <v>3</v>
      </c>
      <c r="H15" s="77">
        <v>310</v>
      </c>
      <c r="I15" s="77">
        <v>2</v>
      </c>
      <c r="J15" s="77">
        <v>5</v>
      </c>
      <c r="K15" s="77">
        <v>2</v>
      </c>
      <c r="L15" s="77"/>
      <c r="M15" s="78">
        <v>1</v>
      </c>
      <c r="N15" s="79" t="s">
        <v>52</v>
      </c>
      <c r="O15" s="140" t="s">
        <v>117</v>
      </c>
      <c r="P15" s="140"/>
      <c r="Q15" s="16">
        <v>5906706</v>
      </c>
    </row>
    <row r="16" spans="1:17" ht="17.25" customHeight="1" x14ac:dyDescent="0.2">
      <c r="A16" s="17"/>
      <c r="B16" s="18"/>
      <c r="C16" s="18"/>
      <c r="D16" s="18"/>
      <c r="E16" s="18"/>
      <c r="F16" s="20"/>
      <c r="G16" s="18"/>
      <c r="H16" s="18"/>
      <c r="I16" s="18"/>
      <c r="J16" s="18"/>
      <c r="K16" s="18"/>
      <c r="L16" s="18"/>
      <c r="M16" s="19"/>
      <c r="N16" s="20"/>
      <c r="O16" s="135"/>
      <c r="P16" s="135"/>
      <c r="Q16" s="21"/>
    </row>
    <row r="17" spans="1:20" ht="17.25" customHeight="1" x14ac:dyDescent="0.2">
      <c r="A17" s="17"/>
      <c r="B17" s="18"/>
      <c r="C17" s="18"/>
      <c r="D17" s="18"/>
      <c r="E17" s="18"/>
      <c r="F17" s="18"/>
      <c r="G17" s="18"/>
      <c r="H17" s="18"/>
      <c r="I17" s="18"/>
      <c r="J17" s="18"/>
      <c r="K17" s="18"/>
      <c r="L17" s="18"/>
      <c r="M17" s="19"/>
      <c r="N17" s="20"/>
      <c r="O17" s="135"/>
      <c r="P17" s="135"/>
      <c r="Q17" s="21"/>
    </row>
    <row r="18" spans="1:20" ht="17.25" customHeight="1" x14ac:dyDescent="0.2">
      <c r="A18" s="17"/>
      <c r="B18" s="18"/>
      <c r="C18" s="18"/>
      <c r="D18" s="18"/>
      <c r="E18" s="18"/>
      <c r="F18" s="20"/>
      <c r="G18" s="18"/>
      <c r="H18" s="18"/>
      <c r="I18" s="18"/>
      <c r="J18" s="18"/>
      <c r="K18" s="18"/>
      <c r="L18" s="18"/>
      <c r="M18" s="19"/>
      <c r="N18" s="20"/>
      <c r="O18" s="135"/>
      <c r="P18" s="135"/>
      <c r="Q18" s="21"/>
    </row>
    <row r="19" spans="1:20" ht="17.25" customHeight="1" x14ac:dyDescent="0.2">
      <c r="A19" s="17"/>
      <c r="B19" s="18"/>
      <c r="C19" s="18"/>
      <c r="D19" s="18"/>
      <c r="E19" s="18"/>
      <c r="F19" s="20"/>
      <c r="G19" s="18"/>
      <c r="H19" s="18"/>
      <c r="I19" s="18"/>
      <c r="J19" s="18"/>
      <c r="K19" s="18"/>
      <c r="L19" s="18"/>
      <c r="M19" s="19"/>
      <c r="N19" s="20"/>
      <c r="O19" s="135"/>
      <c r="P19" s="135"/>
      <c r="Q19" s="21"/>
    </row>
    <row r="20" spans="1:20" ht="17.25" customHeight="1" x14ac:dyDescent="0.2">
      <c r="A20" s="22"/>
      <c r="B20" s="23"/>
      <c r="C20" s="23"/>
      <c r="D20" s="23"/>
      <c r="E20" s="23"/>
      <c r="F20" s="24"/>
      <c r="G20" s="23"/>
      <c r="H20" s="23"/>
      <c r="I20" s="23"/>
      <c r="J20" s="23"/>
      <c r="K20" s="23"/>
      <c r="L20" s="23"/>
      <c r="M20" s="25"/>
      <c r="N20" s="26"/>
      <c r="O20" s="136"/>
      <c r="P20" s="136"/>
      <c r="Q20" s="21"/>
      <c r="R20" s="1"/>
    </row>
    <row r="21" spans="1:20" ht="17.25" customHeight="1" x14ac:dyDescent="0.2">
      <c r="A21" s="27"/>
      <c r="B21" s="28"/>
      <c r="C21" s="28"/>
      <c r="D21" s="28"/>
      <c r="E21" s="28"/>
      <c r="F21" s="28"/>
      <c r="G21" s="28"/>
      <c r="H21" s="28"/>
      <c r="I21" s="28"/>
      <c r="J21" s="28"/>
      <c r="K21" s="28"/>
      <c r="L21" s="28"/>
      <c r="M21" s="29"/>
      <c r="N21" s="28"/>
      <c r="O21" s="137"/>
      <c r="P21" s="137"/>
      <c r="Q21" s="30"/>
    </row>
    <row r="22" spans="1:20" ht="29.25" customHeight="1" x14ac:dyDescent="0.2">
      <c r="A22" s="138" t="s">
        <v>116</v>
      </c>
      <c r="B22" s="138"/>
      <c r="C22" s="138"/>
      <c r="D22" s="138"/>
      <c r="E22" s="138"/>
      <c r="F22" s="138"/>
      <c r="G22" s="138"/>
      <c r="H22" s="138"/>
      <c r="I22" s="138"/>
      <c r="J22" s="138"/>
      <c r="K22" s="138"/>
      <c r="L22" s="138"/>
      <c r="M22" s="138"/>
      <c r="N22" s="138"/>
      <c r="O22" s="138"/>
      <c r="P22" s="138"/>
      <c r="Q22" s="82">
        <f>SUM(Q15:Q21)</f>
        <v>5906706</v>
      </c>
      <c r="S22" s="80"/>
      <c r="T22" s="83"/>
    </row>
    <row r="23" spans="1:20" ht="18" customHeight="1" thickBot="1" x14ac:dyDescent="0.25">
      <c r="A23" s="139"/>
      <c r="B23" s="139"/>
      <c r="C23" s="139"/>
      <c r="D23" s="139"/>
      <c r="E23" s="139"/>
      <c r="F23" s="139"/>
      <c r="G23" s="139"/>
      <c r="H23" s="139"/>
      <c r="I23" s="139"/>
      <c r="J23" s="139"/>
      <c r="K23" s="139"/>
      <c r="L23" s="139"/>
      <c r="M23" s="139"/>
      <c r="N23" s="139"/>
      <c r="O23" s="139"/>
      <c r="P23" s="139"/>
      <c r="Q23" s="139"/>
    </row>
    <row r="24" spans="1:20" ht="17.25" customHeight="1" thickBot="1" x14ac:dyDescent="0.25">
      <c r="A24" s="141" t="s">
        <v>47</v>
      </c>
      <c r="B24" s="142"/>
      <c r="C24" s="142"/>
      <c r="D24" s="142"/>
      <c r="E24" s="142"/>
      <c r="F24" s="143"/>
      <c r="G24" s="144"/>
      <c r="H24" s="144"/>
      <c r="I24" s="144"/>
      <c r="J24" s="144"/>
      <c r="K24" s="144"/>
      <c r="L24" s="144"/>
      <c r="M24" s="144"/>
      <c r="N24" s="144"/>
      <c r="O24" s="144"/>
      <c r="P24" s="144"/>
      <c r="Q24" s="144"/>
    </row>
    <row r="25" spans="1:20" ht="18" customHeight="1" thickBot="1" x14ac:dyDescent="0.25">
      <c r="A25" s="134" t="s">
        <v>114</v>
      </c>
      <c r="B25" s="134"/>
      <c r="C25" s="134"/>
      <c r="D25" s="134"/>
      <c r="E25" s="134"/>
      <c r="F25" s="134"/>
      <c r="G25" s="134"/>
      <c r="H25" s="134"/>
      <c r="I25" s="134"/>
      <c r="J25" s="134"/>
      <c r="K25" s="134"/>
      <c r="L25" s="134"/>
      <c r="M25" s="134"/>
      <c r="N25" s="134"/>
      <c r="O25" s="134"/>
      <c r="P25" s="134"/>
      <c r="Q25" s="134"/>
    </row>
    <row r="26" spans="1:20" ht="34.5" customHeight="1" thickBot="1" x14ac:dyDescent="0.25">
      <c r="A26" s="134"/>
      <c r="B26" s="134"/>
      <c r="C26" s="134"/>
      <c r="D26" s="134"/>
      <c r="E26" s="134"/>
      <c r="F26" s="134"/>
      <c r="G26" s="134"/>
      <c r="H26" s="134"/>
      <c r="I26" s="134"/>
      <c r="J26" s="134"/>
      <c r="K26" s="134"/>
      <c r="L26" s="134"/>
      <c r="M26" s="134"/>
      <c r="N26" s="134"/>
      <c r="O26" s="134"/>
      <c r="P26" s="134"/>
      <c r="Q26" s="134"/>
    </row>
  </sheetData>
  <mergeCells count="30">
    <mergeCell ref="A1:C1"/>
    <mergeCell ref="D1:E1"/>
    <mergeCell ref="P1:Q2"/>
    <mergeCell ref="A4:F4"/>
    <mergeCell ref="G4:Q4"/>
    <mergeCell ref="A5:F5"/>
    <mergeCell ref="G5:Q5"/>
    <mergeCell ref="A8:Q8"/>
    <mergeCell ref="A6:F6"/>
    <mergeCell ref="G6:Q6"/>
    <mergeCell ref="A7:F7"/>
    <mergeCell ref="G7:Q7"/>
    <mergeCell ref="A9:N9"/>
    <mergeCell ref="A10:Q10"/>
    <mergeCell ref="A12:Q12"/>
    <mergeCell ref="A13:N13"/>
    <mergeCell ref="O13:P14"/>
    <mergeCell ref="Q13:Q14"/>
    <mergeCell ref="O15:P15"/>
    <mergeCell ref="O16:P16"/>
    <mergeCell ref="O17:P17"/>
    <mergeCell ref="O18:P18"/>
    <mergeCell ref="A24:F24"/>
    <mergeCell ref="G24:Q24"/>
    <mergeCell ref="A25:Q26"/>
    <mergeCell ref="O19:P19"/>
    <mergeCell ref="O20:P20"/>
    <mergeCell ref="O21:P21"/>
    <mergeCell ref="A22:P22"/>
    <mergeCell ref="A23:Q23"/>
  </mergeCells>
  <printOptions horizontalCentered="1"/>
  <pageMargins left="0.39374999999999999" right="0.39374999999999999" top="0.98402777777777795" bottom="0.98402777777777795" header="0.51180555555555496" footer="0.51180555555555496"/>
  <pageSetup paperSize="5" scale="90" firstPageNumber="0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</TotalTime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3</vt:i4>
      </vt:variant>
    </vt:vector>
  </HeadingPairs>
  <TitlesOfParts>
    <vt:vector size="6" baseType="lpstr">
      <vt:lpstr>Necesidades Trimestrales</vt:lpstr>
      <vt:lpstr> NotaPedido</vt:lpstr>
      <vt:lpstr>Autor Gastar</vt:lpstr>
      <vt:lpstr>' NotaPedido'!Área_de_impresión</vt:lpstr>
      <vt:lpstr>'Autor Gastar'!Área_de_impresión</vt:lpstr>
      <vt:lpstr>'Necesidades Trimestrales'!Área_de_impresión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Usuario</cp:lastModifiedBy>
  <cp:revision>2</cp:revision>
  <cp:lastPrinted>2022-04-26T11:59:09Z</cp:lastPrinted>
  <dcterms:created xsi:type="dcterms:W3CDTF">2020-07-17T23:44:49Z</dcterms:created>
  <dcterms:modified xsi:type="dcterms:W3CDTF">2022-04-26T12:06:25Z</dcterms:modified>
  <dc:language>es-AR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14.0300</vt:lpwstr>
  </property>
  <property fmtid="{D5CDD505-2E9C-101B-9397-08002B2CF9AE}" pid="3" name="DocSecurity">
    <vt:i4>0</vt:i4>
  </property>
  <property fmtid="{D5CDD505-2E9C-101B-9397-08002B2CF9AE}" pid="4" name="HyperlinksChanged">
    <vt:bool>false</vt:bool>
  </property>
  <property fmtid="{D5CDD505-2E9C-101B-9397-08002B2CF9AE}" pid="5" name="LinksUpToDate">
    <vt:bool>false</vt:bool>
  </property>
  <property fmtid="{D5CDD505-2E9C-101B-9397-08002B2CF9AE}" pid="6" name="ScaleCrop">
    <vt:bool>false</vt:bool>
  </property>
  <property fmtid="{D5CDD505-2E9C-101B-9397-08002B2CF9AE}" pid="7" name="ShareDoc">
    <vt:bool>false</vt:bool>
  </property>
</Properties>
</file>