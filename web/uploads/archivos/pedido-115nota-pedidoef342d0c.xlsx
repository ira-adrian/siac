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SUTURAS\hnep\corregido\"/>
    </mc:Choice>
  </mc:AlternateContent>
  <xr:revisionPtr revIDLastSave="0" documentId="13_ncr:1_{992450A1-4500-44D7-91D4-3524E91B5062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Trimestrales'!$A$9:$I$57</definedName>
    <definedName name="_xlnm.Print_Area" localSheetId="1">' NotaPedido'!$A$1:$K$60</definedName>
    <definedName name="_xlnm.Print_Area" localSheetId="2">'Autor Gastar'!$A$1:$Q$25</definedName>
    <definedName name="_xlnm.Print_Area" localSheetId="0">'Necesidades Trimestrales'!$E$9:$E$57</definedName>
  </definedNames>
  <calcPr calcId="181029"/>
</workbook>
</file>

<file path=xl/calcChain.xml><?xml version="1.0" encoding="utf-8"?>
<calcChain xmlns="http://schemas.openxmlformats.org/spreadsheetml/2006/main"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9" i="1" l="1"/>
  <c r="I30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I21" i="2"/>
  <c r="I22" i="2"/>
  <c r="I23" i="2"/>
  <c r="I24" i="2"/>
  <c r="I25" i="2"/>
  <c r="I26" i="2"/>
  <c r="I27" i="2"/>
  <c r="I28" i="2"/>
  <c r="I19" i="1"/>
  <c r="I20" i="1"/>
  <c r="I21" i="1"/>
  <c r="I22" i="1"/>
  <c r="I23" i="1"/>
  <c r="I24" i="1"/>
  <c r="I25" i="1"/>
  <c r="I26" i="1"/>
  <c r="I27" i="1"/>
  <c r="I28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J60" i="2" l="1"/>
  <c r="Q21" i="3"/>
</calcChain>
</file>

<file path=xl/sharedStrings.xml><?xml version="1.0" encoding="utf-8"?>
<sst xmlns="http://schemas.openxmlformats.org/spreadsheetml/2006/main" count="271" uniqueCount="121">
  <si>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</si>
  <si>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</si>
  <si>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</si>
  <si>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</si>
  <si>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</si>
  <si>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</si>
  <si>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</si>
  <si>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</si>
  <si>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</si>
  <si>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</si>
  <si>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</si>
  <si>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</si>
  <si>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</si>
  <si>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</si>
  <si>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</si>
  <si>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</si>
  <si>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</si>
  <si>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</si>
  <si>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</si>
  <si>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</si>
  <si>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</si>
  <si>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</si>
  <si>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</si>
  <si>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</si>
  <si>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</si>
  <si>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</si>
  <si>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</si>
  <si>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</si>
  <si>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</si>
  <si>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</si>
  <si>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</si>
  <si>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</si>
  <si>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</si>
  <si>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</si>
  <si>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</si>
  <si>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</si>
  <si>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</si>
  <si>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</si>
  <si>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</si>
  <si>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</si>
  <si>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</si>
  <si>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</si>
  <si>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</si>
  <si>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</si>
  <si>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</si>
  <si>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</si>
  <si>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</si>
  <si>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</si>
  <si>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</si>
  <si>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</si>
  <si>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</si>
  <si>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</si>
  <si>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</si>
  <si>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</si>
  <si>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</si>
  <si>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</si>
  <si>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</si>
  <si>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</si>
  <si>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</si>
  <si>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</si>
  <si>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</si>
  <si>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</si>
  <si>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</si>
  <si>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HILO DE SUTURA MONOFILAMENTO 2-0  TIPO ETHICON  164T C/AGUJA X UNIDAD</t>
  </si>
  <si>
    <t>HILO DE SUTURA MONOFILAMENTO 3-0 163T C/AGUJA X UNIDAD</t>
  </si>
  <si>
    <t>HILO DE SUTURA MONOFILAMENTO 4-0 AGUJA PS-1 3/8 CIRC 24 MM X UNIDAD</t>
  </si>
  <si>
    <t>HILO DE SUTURA  SEDA 2-0 TIPO ETHICON COD K 833 H X UNIDAD</t>
  </si>
  <si>
    <t>HILO DE SUTURA SEDA QUIRUR.NEG./TRENZ 3-0 TIPO ETHICON K 832 H X UNIDAD</t>
  </si>
  <si>
    <t>SUT.N/ABS.MONONYLON  4-0  TIPO DAFILON BRAUN  COD OFTAL. 0936103   X 1 UNID.</t>
  </si>
  <si>
    <t>SUT.N/ABS.MONONYLON  5/0  TIPO DAFILON BRAUN COD OFTAL. 0936090  X 1 UNID.</t>
  </si>
  <si>
    <t>SUT.N/ABS.MONONYLON  6-0 TIPO DAFILON BRAUN COD OFTAL. 0936081 X 1 UNID.</t>
  </si>
  <si>
    <t>SUT.N/ABS.MONONYLON 10-0 (OFTAL.)tipo TAGUN CODIGO NN06VZF*X 1 UNID.</t>
  </si>
  <si>
    <t>SUTURA ANTIBACTERIAL ABSORBIBLE POLIACTINA 25 TIPO MONOCRYL PLUS 5-0 CON AGUJA COD MCP 493 G X UNIDAD</t>
  </si>
  <si>
    <t>SUTURA ANTIBACTERIAL ABSORBIBLE POLIACTINA 25 TIPO MONOCRYL PLUS 4-0 CON AGUJA COD MCP 496 G X UNIDAD</t>
  </si>
  <si>
    <t>SUTURA ANTIBACTERIAL ABSORBIBLE POLIACTINA 25 TIPO MONOCRYL PLUS 3-0 CON AGUJA COD MCP 936 H X UNIDAD</t>
  </si>
  <si>
    <t>SUTURA QUIRURGICA ACIDO POLIGLICOLICO Nª 8/0 OFTALMOLOGICO TIPO VICRYL  J 547 G  X UNIDAD</t>
  </si>
  <si>
    <t>SUTURA QUIRURGICA ACIDO POLIGLICOLICO TRENZADA ABSORBIBLE T/VICRYL N°2-0 J339 H X 1 UNID.</t>
  </si>
  <si>
    <t>SUTURA QUIRURGICA ACIDO POLIGLICOLICO TRENZADA ABSORBIBLE T/VICRYL N°3-0 J 305 H X 1 UNID.</t>
  </si>
  <si>
    <t>SUTURA QUIRURGICA ACIDO POLIGLICOLICO TRENZADA ABSORBIBLE T/VICRYL N°3-0 J338 H X 1 UNID.</t>
  </si>
  <si>
    <t>SUTURA QUIRURGICA ACIDO POLIGLICOLICO TRENZADA ABSORBIBLE T/VICRYL N°4-0 J 304 H X 1 UNID.</t>
  </si>
  <si>
    <t>SUTURA QUIRURGICA ACIDO POLIGLICOLICO TRENZADA ABSORBIBLE T/VICRYL N°5-0 J 303 H X 1 UNID.</t>
  </si>
  <si>
    <t>SUTURA QUIRURGICA ACIDO POLIGLICOLICO TRENZADA ABSORBIBLE T/VICRYL N°6-0 C/A J 302 H X 1 UNID.</t>
  </si>
  <si>
    <t>SUTURA QUIRURGICA ACIDO POLIGLICOLICO TRENZADA ABSORBIBLE TIPO VIRYL Nº 3-0 CODIGO J316 C / AGUJA</t>
  </si>
  <si>
    <t>SUTURA QUIRURGICA ACIDO POLIGLICOLICO TRENZADA ABSORBIBLE TIPO VIRYL Nº 4-0 CODIGO J315 C / AGUJA</t>
  </si>
  <si>
    <t>SUTURA QUIRURGICA ACIDO POLIGLICOLICO TRENZADA ABSORBIBLE TIPO VIRYL Nº 5-0 CODIGO J314 C / AGUJA</t>
  </si>
  <si>
    <t>SUTURA QUIRURGICA ACIDO POLIGLICOLICO TRENZADA ABSROBIBLE TIPO VICRYL  1  J 353 H x UNIDAD</t>
  </si>
  <si>
    <t xml:space="preserve">SUTURA QUIRURGICA ACIDO POLIGLICOLICO TRENZADA ABSROBIBLE TIPO VICRYL  1 J 347 H x  UNIDAD </t>
  </si>
  <si>
    <t>SUTURA QUIRURGICA ACIDO POLIGLICOLICO TRENZADA ABSROBIBLE TIPO VICRYL  5/0 J 121 H  x UNIDAD</t>
  </si>
  <si>
    <t>SUTURA QUIRURGICA ACIDO POLIGLICOLICO TRENZADA ABSROBIBLE TIPO VICRYL  6/0 J 570 G X UNIDAD</t>
  </si>
  <si>
    <t>SUTURA QUIRURGICA ACIDO POLIGLICOLICO TRENZADA ABSROBIBLE TIPO VICRYL  6/0 JP 492 G X UNIDAD</t>
  </si>
  <si>
    <t>SUTURA QUIRURGICA ACIDO POLIGLICOLICO TRENZADA ABSROBIBLE TIPO VICRYL 0 J340 H CON AGUJA X UNIDAD</t>
  </si>
  <si>
    <t>SUTURA QUIRURGICA ACIDO POLIGLICOLICO TRENZADA ABSROBIBLE TIPO VICRYL 1 J341 CON AGUJA X UNIDAD</t>
  </si>
  <si>
    <t>SUTURA QUIRURGICA ACIDO POLIGLICOLICO TRENZADA ABSROBIBLE TIPO VICRYL 2/0 J317H CON AGUJA X UNIDAD</t>
  </si>
  <si>
    <t>SUTURA QUIRURGICA ACIDO POLIGLICOLICO TRENZADA ABSORBIBLE  NO ABSORBIBLE 0  TIPO VICRYL  J 334 H X UNIDAD</t>
  </si>
  <si>
    <t>SUTURA QUIRURGICA POLIPROPILENO NO ABSORBIBLE TIPO PROLENE 0 CT 8424 X UNIDAD</t>
  </si>
  <si>
    <t>SUTURA QUIRURGICA POLIPROPILENO NO ABSORBIBLE  2/0  CON AGUJA SC-26 3/08 CIRC 19 mm TIPO PROLENE 8185 T CON UNIDAD</t>
  </si>
  <si>
    <t>SUTURA QUIRURGICA POLIPROPILENO NO ABSORBIBLE  2/0  TIPO PROLENE con aguja recta 8423 T POR UNIDAD</t>
  </si>
  <si>
    <t>SUTURA QUIRURGICA POLIPROPILENO NO ABSORBIBLE  3/0 TIPO PROLENE  8622  H Con aguja recta POR UNIDAD</t>
  </si>
  <si>
    <t>SUTURA QUIRURGICA POLIPROPILENO NO ABSORBIBLE 4/0 TIPO PROLENE  8521 T POR UNIDAD</t>
  </si>
  <si>
    <t>SUTURA QUIRURGICA POLIPROPILENO NO ABSORBIBLE TIPO PROLENE 6/0 P8697 T PLASTICA POR UNIDAD</t>
  </si>
  <si>
    <t>Suturas</t>
  </si>
  <si>
    <t>Anual</t>
  </si>
  <si>
    <t>011/2022</t>
  </si>
  <si>
    <t>Para la adquisición de Suturas destinadas al Servicio de Farmacia del Hospital Interzonal de Niños Eva Peron, para el normal funcionamiento del organismo.</t>
  </si>
  <si>
    <t>Descripción técnica</t>
  </si>
  <si>
    <t>TIPO MONONYLON 3/0 CON AGUJA CURVA</t>
  </si>
  <si>
    <t>Especificidades Item N° 2: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</si>
  <si>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</si>
  <si>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SUTURA QUIRURGICA ACIDO POLIGLICOLICO TRENZADA ABSORBIBLE TIPO VICRYL 2 J 536 H X UNIDAD</t>
  </si>
  <si>
    <t>SUTURA QUIRURGICA ACIDO POLIGLICOLICO ABSORBIBLE  3/0 TIPO VICRYL J 332H  X UNIDAD</t>
  </si>
  <si>
    <t>SUTURA QUIRURGICA ACIDO POLIGLICOLICO ABSORBIBLE 0  TIPO VICRYL J318 H  X UNIDAD</t>
  </si>
  <si>
    <t>SUTURA QUIRURGICA ACIDO POLIGLICOLICO ABSORBIBLE 3/0 TIPO VICRYL J 311 H X UNIDAD</t>
  </si>
  <si>
    <t>SUTURA QUIRURGICA POLIPROPILENO NO ABSORBIBLE TIPO PROLENE 1 CT   8425 H X UNIDAD</t>
  </si>
  <si>
    <t>SUTURA QUIRURGICA POLIPROPILENO NO ABSORBIBLE  3/0  TIPO PROLENE  8822 T AGUJA CURVA POR UNIDAD</t>
  </si>
  <si>
    <t>SUTURA QUIRURGICA ACIDO POLIGLICOLICO  ABSORBIBLE TIPO VICRYL  2 W9246 POR UNIDAD</t>
  </si>
  <si>
    <t xml:space="preserve"> SUTURA QUIRURGICA ACIDO POLIGLICOLICO Nª7/0 OFTALMOLOGICO TIPO VICRYL  J546G   X UNIDAD</t>
  </si>
  <si>
    <t>SUTURA QUIRURGICA POLIPROPILENO NO ABSORBIBLE TIPO PROLENE  3/0 DOBLE AGUJA 8842H X UNIDAD</t>
  </si>
  <si>
    <t>SUTURA QUIRURGICA ACIDO POLIGLICOLICO TRENZADA ABSROBIBLE TIPO VICRYL  4/0 SJ 310 H  x UNIDAD</t>
  </si>
  <si>
    <t>SUTURA QUIRURGICA POLIPROPILENO NO ABSORBIBLE TIPO PROLENE 7/0 M 8727 T  POR UNIDAD</t>
  </si>
  <si>
    <t>Costo total estimado: Cinco Millones Novecientos Once Mil trescientos cuarenta y cuatro Con 00/100.</t>
  </si>
  <si>
    <t>TOTAL DE PESOS: Cinco Millones Novecientos Once Mil trescientos cuarenta y cuatro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</si>
</sst>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;\-[$$-2C0A]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name val="Times New Roman"/>
      <family val="1"/>
      <charset val="1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29" fillId="0" borderId="0"/>
  </cellStyleXfs>
  <cellXfs count="15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0" fillId="0" borderId="53" xfId="0" applyBorder="1"/>
    <xf numFmtId="0" fontId="23" fillId="0" borderId="54" xfId="0" applyFont="1" applyBorder="1" applyAlignment="1">
      <alignment horizontal="center" vertical="center"/>
    </xf>
    <xf numFmtId="0" fontId="17" fillId="0" borderId="53" xfId="0" applyFont="1" applyBorder="1" applyAlignment="1">
      <alignment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indent="3"/>
    </xf>
    <xf numFmtId="0" fontId="18" fillId="3" borderId="57" xfId="0" applyFont="1" applyFill="1" applyBorder="1" applyAlignment="1">
      <alignment horizontal="center" vertical="center" wrapText="1"/>
    </xf>
    <xf numFmtId="0" fontId="17" fillId="3" borderId="53" xfId="0" applyFont="1" applyFill="1" applyBorder="1" applyAlignment="1">
      <alignment horizontal="center" vertical="center" wrapText="1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7" fillId="3" borderId="58" xfId="9" applyFont="1" applyFill="1" applyBorder="1" applyAlignment="1">
      <alignment vertical="center" wrapText="1"/>
    </xf>
    <xf numFmtId="0" fontId="17" fillId="5" borderId="58" xfId="9" applyFont="1" applyFill="1" applyBorder="1" applyAlignment="1">
      <alignment vertical="center" wrapText="1"/>
    </xf>
    <xf numFmtId="0" fontId="17" fillId="3" borderId="53" xfId="9" applyFont="1" applyFill="1" applyBorder="1" applyAlignment="1">
      <alignment vertical="center" wrapText="1"/>
    </xf>
    <xf numFmtId="0" fontId="17" fillId="3" borderId="60" xfId="9" applyFont="1" applyFill="1" applyBorder="1" applyAlignment="1">
      <alignment horizontal="left" vertical="center" wrapText="1"/>
    </xf>
    <xf numFmtId="0" fontId="17" fillId="5" borderId="60" xfId="9" applyFont="1" applyFill="1" applyBorder="1" applyAlignment="1">
      <alignment horizontal="left" vertical="center" wrapText="1"/>
    </xf>
    <xf numFmtId="0" fontId="17" fillId="5" borderId="60" xfId="9" applyFont="1" applyFill="1" applyBorder="1" applyAlignment="1">
      <alignment vertical="center" wrapText="1"/>
    </xf>
    <xf numFmtId="0" fontId="17" fillId="3" borderId="60" xfId="9" applyFont="1" applyFill="1" applyBorder="1" applyAlignment="1">
      <alignment wrapText="1"/>
    </xf>
    <xf numFmtId="0" fontId="17" fillId="5" borderId="53" xfId="9" applyFont="1" applyFill="1" applyBorder="1" applyAlignment="1">
      <alignment vertical="center" wrapText="1"/>
    </xf>
    <xf numFmtId="0" fontId="17" fillId="5" borderId="56" xfId="9" applyFont="1" applyFill="1" applyBorder="1" applyAlignment="1">
      <alignment vertical="center" wrapText="1"/>
    </xf>
    <xf numFmtId="0" fontId="25" fillId="0" borderId="2" xfId="0" applyFont="1" applyBorder="1"/>
    <xf numFmtId="0" fontId="25" fillId="0" borderId="5" xfId="0" applyFont="1" applyBorder="1" applyAlignment="1"/>
    <xf numFmtId="0" fontId="18" fillId="0" borderId="6" xfId="0" applyFont="1" applyBorder="1"/>
    <xf numFmtId="0" fontId="18" fillId="0" borderId="0" xfId="0" applyFont="1" applyFill="1"/>
    <xf numFmtId="0" fontId="31" fillId="0" borderId="0" xfId="0" applyFont="1"/>
    <xf numFmtId="167" fontId="31" fillId="0" borderId="0" xfId="0" applyNumberFormat="1" applyFont="1"/>
    <xf numFmtId="0" fontId="30" fillId="0" borderId="53" xfId="0" applyFont="1" applyFill="1" applyBorder="1" applyAlignment="1">
      <alignment horizontal="center" vertical="center"/>
    </xf>
    <xf numFmtId="170" fontId="17" fillId="0" borderId="53" xfId="1" applyNumberFormat="1" applyFont="1" applyFill="1" applyBorder="1" applyAlignment="1">
      <alignment horizontal="center" vertical="center"/>
    </xf>
    <xf numFmtId="166" fontId="23" fillId="0" borderId="55" xfId="1" applyNumberFormat="1" applyFont="1" applyFill="1" applyBorder="1" applyAlignment="1" applyProtection="1">
      <alignment horizontal="right" vertical="center" wrapText="1"/>
    </xf>
    <xf numFmtId="0" fontId="31" fillId="0" borderId="0" xfId="0" applyFont="1" applyFill="1"/>
    <xf numFmtId="166" fontId="0" fillId="0" borderId="0" xfId="0" applyNumberFormat="1"/>
    <xf numFmtId="0" fontId="23" fillId="3" borderId="54" xfId="0" applyFont="1" applyFill="1" applyBorder="1" applyAlignment="1">
      <alignment horizontal="center" vertical="center"/>
    </xf>
    <xf numFmtId="0" fontId="0" fillId="3" borderId="53" xfId="0" applyFill="1" applyBorder="1"/>
    <xf numFmtId="0" fontId="17" fillId="3" borderId="53" xfId="0" applyFont="1" applyFill="1" applyBorder="1" applyAlignment="1">
      <alignment wrapText="1"/>
    </xf>
    <xf numFmtId="0" fontId="17" fillId="3" borderId="59" xfId="9" applyFont="1" applyFill="1" applyBorder="1" applyAlignment="1">
      <alignment horizontal="left" vertical="center" wrapText="1"/>
    </xf>
    <xf numFmtId="0" fontId="30" fillId="3" borderId="53" xfId="0" applyFont="1" applyFill="1" applyBorder="1" applyAlignment="1">
      <alignment horizontal="center" vertical="center"/>
    </xf>
    <xf numFmtId="170" fontId="17" fillId="3" borderId="53" xfId="1" applyNumberFormat="1" applyFont="1" applyFill="1" applyBorder="1" applyAlignment="1">
      <alignment horizontal="center" vertical="center"/>
    </xf>
    <xf numFmtId="166" fontId="23" fillId="3" borderId="55" xfId="1" applyNumberFormat="1" applyFont="1" applyFill="1" applyBorder="1" applyAlignment="1" applyProtection="1">
      <alignment horizontal="right" vertical="center" wrapText="1"/>
    </xf>
    <xf numFmtId="0" fontId="19" fillId="0" borderId="0" xfId="0" applyFont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26" fillId="4" borderId="0" xfId="0" applyFont="1" applyFill="1" applyBorder="1" applyAlignment="1">
      <alignment horizontal="left" wrapText="1" indent="1"/>
    </xf>
    <xf numFmtId="0" fontId="18" fillId="6" borderId="7" xfId="0" applyFont="1" applyFill="1" applyBorder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28" fillId="0" borderId="28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10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9" xr:uid="{00000000-0005-0000-0000-000006000000}"/>
    <cellStyle name="Normal 2 3" xfId="5" xr:uid="{00000000-0005-0000-0000-000007000000}"/>
    <cellStyle name="Normal 3" xfId="7" xr:uid="{00000000-0005-0000-0000-000008000000}"/>
    <cellStyle name="Normal 4" xfId="8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67"/>
  <sheetViews>
    <sheetView tabSelected="1" topLeftCell="A28" zoomScale="93" zoomScaleNormal="93" workbookViewId="0">
      <selection activeCell="E41" sqref="E41"/>
    </sheetView>
  </sheetViews>
  <sheetFormatPr baseColWidth="10" defaultColWidth="11" defaultRowHeight="12.75" x14ac:dyDescent="0.2"/>
  <cols>
    <col min="1" max="1" width="6.42578125" style="26" customWidth="1"/>
    <col min="2" max="2" width="11.42578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85546875" style="26" customWidth="1"/>
    <col min="8" max="8" width="13.85546875" style="44" customWidth="1"/>
    <col min="9" max="9" width="18.5703125" style="26" customWidth="1"/>
    <col min="10" max="10" width="11" style="90"/>
    <col min="11" max="11" width="11" style="26"/>
    <col min="12" max="12" width="13.140625" style="26" customWidth="1"/>
    <col min="13" max="16384" width="11" style="26"/>
  </cols>
  <sheetData>
    <row r="2" spans="1:10" ht="27" x14ac:dyDescent="0.35">
      <c r="B2" s="104" t="s">
        <v>0</v>
      </c>
      <c r="C2" s="104"/>
      <c r="D2" s="104"/>
      <c r="E2" s="104"/>
      <c r="F2" s="104"/>
      <c r="G2" s="104"/>
      <c r="H2" s="104"/>
    </row>
    <row r="3" spans="1:10" ht="12" customHeight="1" x14ac:dyDescent="0.2"/>
    <row r="4" spans="1:10" ht="18" customHeight="1" x14ac:dyDescent="0.25">
      <c r="A4" s="105" t="s">
        <v>1</v>
      </c>
      <c r="B4" s="105"/>
      <c r="C4" s="106" t="s">
        <v>52</v>
      </c>
      <c r="D4" s="106"/>
      <c r="E4" s="106"/>
      <c r="F4" s="27"/>
      <c r="G4" s="28"/>
      <c r="H4" s="45"/>
    </row>
    <row r="5" spans="1:10" ht="18" customHeight="1" x14ac:dyDescent="0.25">
      <c r="A5" s="105" t="s">
        <v>2</v>
      </c>
      <c r="B5" s="105"/>
      <c r="C5" s="106" t="s">
        <v>51</v>
      </c>
      <c r="D5" s="106"/>
      <c r="E5" s="106"/>
      <c r="F5" s="27"/>
      <c r="G5" s="28" t="s">
        <v>55</v>
      </c>
      <c r="H5" s="45"/>
    </row>
    <row r="6" spans="1:10" ht="16.5" customHeight="1" x14ac:dyDescent="0.25">
      <c r="A6" s="105" t="s">
        <v>3</v>
      </c>
      <c r="B6" s="105"/>
      <c r="C6" s="42">
        <v>2022</v>
      </c>
      <c r="D6" s="43"/>
      <c r="E6" s="43"/>
      <c r="F6" s="27"/>
      <c r="G6" s="28"/>
      <c r="H6" s="45"/>
    </row>
    <row r="7" spans="1:10" ht="16.5" customHeight="1" x14ac:dyDescent="0.25">
      <c r="A7" s="105" t="s">
        <v>4</v>
      </c>
      <c r="B7" s="105"/>
      <c r="C7" s="42">
        <v>1</v>
      </c>
      <c r="D7" s="43"/>
      <c r="E7" s="43"/>
      <c r="F7" s="27"/>
      <c r="G7" s="28"/>
      <c r="H7" s="45"/>
    </row>
    <row r="8" spans="1:10" ht="13.5" thickBot="1" x14ac:dyDescent="0.25">
      <c r="B8" s="27"/>
      <c r="C8" s="28"/>
      <c r="D8" s="27"/>
      <c r="E8" s="27"/>
      <c r="F8" s="27"/>
      <c r="G8" s="28"/>
      <c r="H8" s="45"/>
      <c r="J8" s="91"/>
    </row>
    <row r="9" spans="1:10" ht="36.75" thickBot="1" x14ac:dyDescent="0.25">
      <c r="A9" s="67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7" t="s">
        <v>10</v>
      </c>
      <c r="G9" s="67" t="s">
        <v>11</v>
      </c>
      <c r="H9" s="68" t="s">
        <v>12</v>
      </c>
      <c r="I9" s="67" t="s">
        <v>13</v>
      </c>
    </row>
    <row r="10" spans="1:10" ht="25.5" x14ac:dyDescent="0.2">
      <c r="A10" s="59">
        <v>1</v>
      </c>
      <c r="B10" s="58"/>
      <c r="C10" s="60" t="s">
        <v>57</v>
      </c>
      <c r="D10" s="71">
        <v>295</v>
      </c>
      <c r="E10" s="77" t="s">
        <v>63</v>
      </c>
      <c r="F10" s="72" t="s">
        <v>58</v>
      </c>
      <c r="G10" s="92">
        <v>648</v>
      </c>
      <c r="H10" s="93">
        <v>240</v>
      </c>
      <c r="I10" s="94">
        <f t="shared" ref="I10:I57" si="0">+G10*H10</f>
        <v>155520</v>
      </c>
      <c r="J10" s="95"/>
    </row>
    <row r="11" spans="1:10" ht="25.5" x14ac:dyDescent="0.2">
      <c r="A11" s="59">
        <v>2</v>
      </c>
      <c r="B11" s="58"/>
      <c r="C11" s="60" t="s">
        <v>57</v>
      </c>
      <c r="D11" s="71">
        <v>295</v>
      </c>
      <c r="E11" s="78" t="s">
        <v>64</v>
      </c>
      <c r="F11" s="72" t="s">
        <v>58</v>
      </c>
      <c r="G11" s="92">
        <v>648</v>
      </c>
      <c r="H11" s="93">
        <v>240</v>
      </c>
      <c r="I11" s="94">
        <f t="shared" si="0"/>
        <v>155520</v>
      </c>
      <c r="J11" s="95"/>
    </row>
    <row r="12" spans="1:10" ht="25.5" x14ac:dyDescent="0.2">
      <c r="A12" s="59">
        <v>3</v>
      </c>
      <c r="B12" s="58"/>
      <c r="C12" s="60" t="s">
        <v>57</v>
      </c>
      <c r="D12" s="71">
        <v>295</v>
      </c>
      <c r="E12" s="78" t="s">
        <v>65</v>
      </c>
      <c r="F12" s="72" t="s">
        <v>58</v>
      </c>
      <c r="G12" s="92">
        <v>648</v>
      </c>
      <c r="H12" s="93">
        <v>240</v>
      </c>
      <c r="I12" s="94">
        <f t="shared" si="0"/>
        <v>155520</v>
      </c>
      <c r="J12" s="95"/>
    </row>
    <row r="13" spans="1:10" ht="25.5" x14ac:dyDescent="0.2">
      <c r="A13" s="59">
        <v>4</v>
      </c>
      <c r="B13" s="58"/>
      <c r="C13" s="60" t="s">
        <v>57</v>
      </c>
      <c r="D13" s="71">
        <v>295</v>
      </c>
      <c r="E13" s="78" t="s">
        <v>66</v>
      </c>
      <c r="F13" s="72" t="s">
        <v>58</v>
      </c>
      <c r="G13" s="92">
        <v>648</v>
      </c>
      <c r="H13" s="93">
        <v>307</v>
      </c>
      <c r="I13" s="94">
        <f t="shared" si="0"/>
        <v>198936</v>
      </c>
      <c r="J13" s="95"/>
    </row>
    <row r="14" spans="1:10" ht="25.5" x14ac:dyDescent="0.2">
      <c r="A14" s="59">
        <v>5</v>
      </c>
      <c r="B14" s="58"/>
      <c r="C14" s="60" t="s">
        <v>57</v>
      </c>
      <c r="D14" s="71">
        <v>295</v>
      </c>
      <c r="E14" s="84" t="s">
        <v>67</v>
      </c>
      <c r="F14" s="72" t="s">
        <v>58</v>
      </c>
      <c r="G14" s="92">
        <v>648</v>
      </c>
      <c r="H14" s="93">
        <v>307</v>
      </c>
      <c r="I14" s="94">
        <f t="shared" si="0"/>
        <v>198936</v>
      </c>
      <c r="J14" s="95"/>
    </row>
    <row r="15" spans="1:10" ht="25.5" x14ac:dyDescent="0.2">
      <c r="A15" s="59">
        <v>6</v>
      </c>
      <c r="B15" s="58"/>
      <c r="C15" s="60" t="s">
        <v>57</v>
      </c>
      <c r="D15" s="71">
        <v>295</v>
      </c>
      <c r="E15" s="79" t="s">
        <v>68</v>
      </c>
      <c r="F15" s="72" t="s">
        <v>58</v>
      </c>
      <c r="G15" s="92">
        <v>648</v>
      </c>
      <c r="H15" s="93">
        <v>245</v>
      </c>
      <c r="I15" s="94">
        <f t="shared" si="0"/>
        <v>158760</v>
      </c>
      <c r="J15" s="95"/>
    </row>
    <row r="16" spans="1:10" ht="25.5" x14ac:dyDescent="0.2">
      <c r="A16" s="59">
        <v>7</v>
      </c>
      <c r="B16" s="58"/>
      <c r="C16" s="60" t="s">
        <v>57</v>
      </c>
      <c r="D16" s="71">
        <v>295</v>
      </c>
      <c r="E16" s="79" t="s">
        <v>69</v>
      </c>
      <c r="F16" s="72" t="s">
        <v>58</v>
      </c>
      <c r="G16" s="92">
        <v>648</v>
      </c>
      <c r="H16" s="93">
        <v>245</v>
      </c>
      <c r="I16" s="94">
        <f t="shared" si="0"/>
        <v>158760</v>
      </c>
      <c r="J16" s="95"/>
    </row>
    <row r="17" spans="1:10" ht="25.5" x14ac:dyDescent="0.2">
      <c r="A17" s="59">
        <v>8</v>
      </c>
      <c r="B17" s="58"/>
      <c r="C17" s="60" t="s">
        <v>57</v>
      </c>
      <c r="D17" s="71">
        <v>295</v>
      </c>
      <c r="E17" s="79" t="s">
        <v>70</v>
      </c>
      <c r="F17" s="72" t="s">
        <v>58</v>
      </c>
      <c r="G17" s="92">
        <v>648</v>
      </c>
      <c r="H17" s="93">
        <v>245</v>
      </c>
      <c r="I17" s="94">
        <f t="shared" si="0"/>
        <v>158760</v>
      </c>
      <c r="J17" s="95"/>
    </row>
    <row r="18" spans="1:10" ht="25.5" x14ac:dyDescent="0.2">
      <c r="A18" s="59">
        <v>9</v>
      </c>
      <c r="B18" s="58"/>
      <c r="C18" s="60" t="s">
        <v>57</v>
      </c>
      <c r="D18" s="71">
        <v>295</v>
      </c>
      <c r="E18" s="85" t="s">
        <v>71</v>
      </c>
      <c r="F18" s="72" t="s">
        <v>58</v>
      </c>
      <c r="G18" s="92">
        <v>108</v>
      </c>
      <c r="H18" s="93">
        <v>245</v>
      </c>
      <c r="I18" s="94">
        <f t="shared" si="0"/>
        <v>26460</v>
      </c>
      <c r="J18" s="95"/>
    </row>
    <row r="19" spans="1:10" ht="25.5" x14ac:dyDescent="0.2">
      <c r="A19" s="59">
        <v>10</v>
      </c>
      <c r="B19" s="58"/>
      <c r="C19" s="60" t="s">
        <v>57</v>
      </c>
      <c r="D19" s="71">
        <v>295</v>
      </c>
      <c r="E19" s="84" t="s">
        <v>72</v>
      </c>
      <c r="F19" s="72" t="s">
        <v>58</v>
      </c>
      <c r="G19" s="92">
        <v>108</v>
      </c>
      <c r="H19" s="93">
        <v>380</v>
      </c>
      <c r="I19" s="94">
        <f t="shared" si="0"/>
        <v>41040</v>
      </c>
      <c r="J19" s="95"/>
    </row>
    <row r="20" spans="1:10" ht="25.5" x14ac:dyDescent="0.2">
      <c r="A20" s="59">
        <v>11</v>
      </c>
      <c r="B20" s="58"/>
      <c r="C20" s="60" t="s">
        <v>57</v>
      </c>
      <c r="D20" s="71">
        <v>295</v>
      </c>
      <c r="E20" s="84" t="s">
        <v>73</v>
      </c>
      <c r="F20" s="72" t="s">
        <v>58</v>
      </c>
      <c r="G20" s="92">
        <v>108</v>
      </c>
      <c r="H20" s="93">
        <v>380</v>
      </c>
      <c r="I20" s="94">
        <f t="shared" si="0"/>
        <v>41040</v>
      </c>
      <c r="J20" s="95"/>
    </row>
    <row r="21" spans="1:10" ht="25.5" x14ac:dyDescent="0.2">
      <c r="A21" s="59">
        <v>12</v>
      </c>
      <c r="B21" s="58"/>
      <c r="C21" s="60" t="s">
        <v>57</v>
      </c>
      <c r="D21" s="71">
        <v>295</v>
      </c>
      <c r="E21" s="84" t="s">
        <v>74</v>
      </c>
      <c r="F21" s="72" t="s">
        <v>58</v>
      </c>
      <c r="G21" s="92">
        <v>108</v>
      </c>
      <c r="H21" s="93">
        <v>380</v>
      </c>
      <c r="I21" s="94">
        <f t="shared" si="0"/>
        <v>41040</v>
      </c>
      <c r="J21" s="95"/>
    </row>
    <row r="22" spans="1:10" s="89" customFormat="1" ht="25.5" x14ac:dyDescent="0.2">
      <c r="A22" s="97">
        <v>13</v>
      </c>
      <c r="B22" s="98"/>
      <c r="C22" s="99" t="s">
        <v>57</v>
      </c>
      <c r="D22" s="71">
        <v>295</v>
      </c>
      <c r="E22" s="100" t="s">
        <v>115</v>
      </c>
      <c r="F22" s="72" t="s">
        <v>58</v>
      </c>
      <c r="G22" s="101">
        <v>252</v>
      </c>
      <c r="H22" s="102">
        <v>445</v>
      </c>
      <c r="I22" s="103">
        <f t="shared" si="0"/>
        <v>112140</v>
      </c>
      <c r="J22" s="95"/>
    </row>
    <row r="23" spans="1:10" ht="25.5" x14ac:dyDescent="0.2">
      <c r="A23" s="97">
        <v>14</v>
      </c>
      <c r="B23" s="98"/>
      <c r="C23" s="99" t="s">
        <v>57</v>
      </c>
      <c r="D23" s="71">
        <v>295</v>
      </c>
      <c r="E23" s="80" t="s">
        <v>75</v>
      </c>
      <c r="F23" s="72" t="s">
        <v>58</v>
      </c>
      <c r="G23" s="101">
        <v>108</v>
      </c>
      <c r="H23" s="102">
        <v>445</v>
      </c>
      <c r="I23" s="103">
        <f t="shared" si="0"/>
        <v>48060</v>
      </c>
      <c r="J23" s="95"/>
    </row>
    <row r="24" spans="1:10" ht="25.5" x14ac:dyDescent="0.2">
      <c r="A24" s="97">
        <v>15</v>
      </c>
      <c r="B24" s="98"/>
      <c r="C24" s="99" t="s">
        <v>57</v>
      </c>
      <c r="D24" s="71">
        <v>295</v>
      </c>
      <c r="E24" s="82" t="s">
        <v>76</v>
      </c>
      <c r="F24" s="72" t="s">
        <v>58</v>
      </c>
      <c r="G24" s="101">
        <v>648</v>
      </c>
      <c r="H24" s="102">
        <v>280</v>
      </c>
      <c r="I24" s="103">
        <f t="shared" si="0"/>
        <v>181440</v>
      </c>
      <c r="J24" s="95"/>
    </row>
    <row r="25" spans="1:10" ht="25.5" x14ac:dyDescent="0.2">
      <c r="A25" s="59">
        <v>16</v>
      </c>
      <c r="B25" s="58"/>
      <c r="C25" s="60" t="s">
        <v>57</v>
      </c>
      <c r="D25" s="71">
        <v>295</v>
      </c>
      <c r="E25" s="82" t="s">
        <v>77</v>
      </c>
      <c r="F25" s="72" t="s">
        <v>58</v>
      </c>
      <c r="G25" s="92">
        <v>648</v>
      </c>
      <c r="H25" s="93">
        <v>280</v>
      </c>
      <c r="I25" s="94">
        <f t="shared" si="0"/>
        <v>181440</v>
      </c>
      <c r="J25" s="95"/>
    </row>
    <row r="26" spans="1:10" ht="25.5" x14ac:dyDescent="0.2">
      <c r="A26" s="59">
        <v>17</v>
      </c>
      <c r="B26" s="58"/>
      <c r="C26" s="60" t="s">
        <v>57</v>
      </c>
      <c r="D26" s="71">
        <v>295</v>
      </c>
      <c r="E26" s="82" t="s">
        <v>78</v>
      </c>
      <c r="F26" s="72" t="s">
        <v>58</v>
      </c>
      <c r="G26" s="92">
        <v>648</v>
      </c>
      <c r="H26" s="93">
        <v>280</v>
      </c>
      <c r="I26" s="94">
        <f t="shared" si="0"/>
        <v>181440</v>
      </c>
      <c r="J26" s="95"/>
    </row>
    <row r="27" spans="1:10" ht="25.5" x14ac:dyDescent="0.2">
      <c r="A27" s="59">
        <v>18</v>
      </c>
      <c r="B27" s="58"/>
      <c r="C27" s="60" t="s">
        <v>57</v>
      </c>
      <c r="D27" s="71">
        <v>295</v>
      </c>
      <c r="E27" s="82" t="s">
        <v>79</v>
      </c>
      <c r="F27" s="72" t="s">
        <v>58</v>
      </c>
      <c r="G27" s="92">
        <v>648</v>
      </c>
      <c r="H27" s="93">
        <v>280</v>
      </c>
      <c r="I27" s="94">
        <f t="shared" si="0"/>
        <v>181440</v>
      </c>
      <c r="J27" s="95"/>
    </row>
    <row r="28" spans="1:10" ht="25.5" x14ac:dyDescent="0.2">
      <c r="A28" s="59">
        <v>19</v>
      </c>
      <c r="B28" s="58"/>
      <c r="C28" s="60" t="s">
        <v>57</v>
      </c>
      <c r="D28" s="71">
        <v>295</v>
      </c>
      <c r="E28" s="82" t="s">
        <v>80</v>
      </c>
      <c r="F28" s="72" t="s">
        <v>58</v>
      </c>
      <c r="G28" s="92">
        <v>648</v>
      </c>
      <c r="H28" s="93">
        <v>280</v>
      </c>
      <c r="I28" s="94">
        <f t="shared" si="0"/>
        <v>181440</v>
      </c>
      <c r="J28" s="95"/>
    </row>
    <row r="29" spans="1:10" ht="25.5" x14ac:dyDescent="0.2">
      <c r="A29" s="59">
        <v>20</v>
      </c>
      <c r="B29" s="58"/>
      <c r="C29" s="60" t="s">
        <v>57</v>
      </c>
      <c r="D29" s="71">
        <v>295</v>
      </c>
      <c r="E29" s="82" t="s">
        <v>81</v>
      </c>
      <c r="F29" s="72" t="s">
        <v>58</v>
      </c>
      <c r="G29" s="92">
        <v>648</v>
      </c>
      <c r="H29" s="93">
        <v>280</v>
      </c>
      <c r="I29" s="94">
        <f t="shared" si="0"/>
        <v>181440</v>
      </c>
      <c r="J29" s="95"/>
    </row>
    <row r="30" spans="1:10" ht="25.5" x14ac:dyDescent="0.2">
      <c r="A30" s="59">
        <v>21</v>
      </c>
      <c r="B30" s="58"/>
      <c r="C30" s="60" t="s">
        <v>57</v>
      </c>
      <c r="D30" s="71">
        <v>295</v>
      </c>
      <c r="E30" s="82" t="s">
        <v>82</v>
      </c>
      <c r="F30" s="72" t="s">
        <v>58</v>
      </c>
      <c r="G30" s="92">
        <v>648</v>
      </c>
      <c r="H30" s="93">
        <v>280</v>
      </c>
      <c r="I30" s="94">
        <f t="shared" si="0"/>
        <v>181440</v>
      </c>
      <c r="J30" s="95"/>
    </row>
    <row r="31" spans="1:10" ht="25.5" x14ac:dyDescent="0.2">
      <c r="A31" s="59">
        <v>22</v>
      </c>
      <c r="B31" s="58"/>
      <c r="C31" s="60" t="s">
        <v>57</v>
      </c>
      <c r="D31" s="71">
        <v>295</v>
      </c>
      <c r="E31" s="82" t="s">
        <v>83</v>
      </c>
      <c r="F31" s="72" t="s">
        <v>58</v>
      </c>
      <c r="G31" s="92">
        <v>648</v>
      </c>
      <c r="H31" s="93">
        <v>280</v>
      </c>
      <c r="I31" s="94">
        <f t="shared" si="0"/>
        <v>181440</v>
      </c>
      <c r="J31" s="95"/>
    </row>
    <row r="32" spans="1:10" ht="25.5" x14ac:dyDescent="0.2">
      <c r="A32" s="59">
        <v>23</v>
      </c>
      <c r="B32" s="58"/>
      <c r="C32" s="60" t="s">
        <v>57</v>
      </c>
      <c r="D32" s="71">
        <v>295</v>
      </c>
      <c r="E32" s="82" t="s">
        <v>84</v>
      </c>
      <c r="F32" s="72" t="s">
        <v>58</v>
      </c>
      <c r="G32" s="92">
        <v>648</v>
      </c>
      <c r="H32" s="93">
        <v>280</v>
      </c>
      <c r="I32" s="94">
        <f t="shared" si="0"/>
        <v>181440</v>
      </c>
      <c r="J32" s="95"/>
    </row>
    <row r="33" spans="1:10" ht="25.5" x14ac:dyDescent="0.2">
      <c r="A33" s="59">
        <v>24</v>
      </c>
      <c r="B33" s="58"/>
      <c r="C33" s="60" t="s">
        <v>57</v>
      </c>
      <c r="D33" s="71">
        <v>295</v>
      </c>
      <c r="E33" s="81" t="s">
        <v>85</v>
      </c>
      <c r="F33" s="72" t="s">
        <v>58</v>
      </c>
      <c r="G33" s="92">
        <v>648</v>
      </c>
      <c r="H33" s="93">
        <v>235</v>
      </c>
      <c r="I33" s="94">
        <f t="shared" si="0"/>
        <v>152280</v>
      </c>
      <c r="J33" s="95"/>
    </row>
    <row r="34" spans="1:10" ht="25.5" x14ac:dyDescent="0.2">
      <c r="A34" s="59">
        <v>25</v>
      </c>
      <c r="B34" s="58"/>
      <c r="C34" s="60" t="s">
        <v>57</v>
      </c>
      <c r="D34" s="71">
        <v>295</v>
      </c>
      <c r="E34" s="81" t="s">
        <v>86</v>
      </c>
      <c r="F34" s="72" t="s">
        <v>58</v>
      </c>
      <c r="G34" s="92">
        <v>360</v>
      </c>
      <c r="H34" s="93">
        <v>235</v>
      </c>
      <c r="I34" s="94">
        <f t="shared" si="0"/>
        <v>84600</v>
      </c>
      <c r="J34" s="95"/>
    </row>
    <row r="35" spans="1:10" ht="25.5" x14ac:dyDescent="0.2">
      <c r="A35" s="97">
        <v>26</v>
      </c>
      <c r="B35" s="98"/>
      <c r="C35" s="99" t="s">
        <v>57</v>
      </c>
      <c r="D35" s="71">
        <v>295</v>
      </c>
      <c r="E35" s="81" t="s">
        <v>116</v>
      </c>
      <c r="F35" s="72" t="s">
        <v>58</v>
      </c>
      <c r="G35" s="101">
        <v>648</v>
      </c>
      <c r="H35" s="102">
        <v>280</v>
      </c>
      <c r="I35" s="103">
        <f t="shared" si="0"/>
        <v>181440</v>
      </c>
      <c r="J35" s="95"/>
    </row>
    <row r="36" spans="1:10" ht="25.5" x14ac:dyDescent="0.2">
      <c r="A36" s="97">
        <v>27</v>
      </c>
      <c r="B36" s="98"/>
      <c r="C36" s="99" t="s">
        <v>57</v>
      </c>
      <c r="D36" s="71">
        <v>295</v>
      </c>
      <c r="E36" s="81" t="s">
        <v>117</v>
      </c>
      <c r="F36" s="72" t="s">
        <v>58</v>
      </c>
      <c r="G36" s="101">
        <v>648</v>
      </c>
      <c r="H36" s="102">
        <v>280</v>
      </c>
      <c r="I36" s="103">
        <f t="shared" si="0"/>
        <v>181440</v>
      </c>
      <c r="J36" s="95"/>
    </row>
    <row r="37" spans="1:10" ht="25.5" x14ac:dyDescent="0.2">
      <c r="A37" s="97">
        <v>28</v>
      </c>
      <c r="B37" s="98"/>
      <c r="C37" s="99" t="s">
        <v>57</v>
      </c>
      <c r="D37" s="71">
        <v>295</v>
      </c>
      <c r="E37" s="81" t="s">
        <v>87</v>
      </c>
      <c r="F37" s="72" t="s">
        <v>58</v>
      </c>
      <c r="G37" s="101">
        <v>648</v>
      </c>
      <c r="H37" s="102">
        <v>280</v>
      </c>
      <c r="I37" s="103">
        <f t="shared" si="0"/>
        <v>181440</v>
      </c>
      <c r="J37" s="95"/>
    </row>
    <row r="38" spans="1:10" ht="25.5" x14ac:dyDescent="0.2">
      <c r="A38" s="59">
        <v>29</v>
      </c>
      <c r="B38" s="58"/>
      <c r="C38" s="60" t="s">
        <v>57</v>
      </c>
      <c r="D38" s="71">
        <v>295</v>
      </c>
      <c r="E38" s="80" t="s">
        <v>88</v>
      </c>
      <c r="F38" s="72" t="s">
        <v>58</v>
      </c>
      <c r="G38" s="92">
        <v>360</v>
      </c>
      <c r="H38" s="93">
        <v>289</v>
      </c>
      <c r="I38" s="94">
        <f t="shared" si="0"/>
        <v>104040</v>
      </c>
      <c r="J38" s="95"/>
    </row>
    <row r="39" spans="1:10" ht="25.5" x14ac:dyDescent="0.2">
      <c r="A39" s="59">
        <v>30</v>
      </c>
      <c r="B39" s="58"/>
      <c r="C39" s="60" t="s">
        <v>57</v>
      </c>
      <c r="D39" s="71">
        <v>295</v>
      </c>
      <c r="E39" s="81" t="s">
        <v>89</v>
      </c>
      <c r="F39" s="72" t="s">
        <v>58</v>
      </c>
      <c r="G39" s="92">
        <v>360</v>
      </c>
      <c r="H39" s="93">
        <v>289</v>
      </c>
      <c r="I39" s="94">
        <f t="shared" si="0"/>
        <v>104040</v>
      </c>
      <c r="J39" s="95"/>
    </row>
    <row r="40" spans="1:10" ht="25.5" x14ac:dyDescent="0.2">
      <c r="A40" s="59">
        <v>31</v>
      </c>
      <c r="B40" s="58"/>
      <c r="C40" s="60" t="s">
        <v>57</v>
      </c>
      <c r="D40" s="71">
        <v>295</v>
      </c>
      <c r="E40" s="82" t="s">
        <v>90</v>
      </c>
      <c r="F40" s="72" t="s">
        <v>58</v>
      </c>
      <c r="G40" s="92">
        <v>360</v>
      </c>
      <c r="H40" s="93">
        <v>235</v>
      </c>
      <c r="I40" s="94">
        <f t="shared" si="0"/>
        <v>84600</v>
      </c>
      <c r="J40" s="95"/>
    </row>
    <row r="41" spans="1:10" ht="25.5" x14ac:dyDescent="0.2">
      <c r="A41" s="59">
        <v>32</v>
      </c>
      <c r="B41" s="58"/>
      <c r="C41" s="60" t="s">
        <v>57</v>
      </c>
      <c r="D41" s="71">
        <v>295</v>
      </c>
      <c r="E41" s="82" t="s">
        <v>91</v>
      </c>
      <c r="F41" s="72" t="s">
        <v>58</v>
      </c>
      <c r="G41" s="92">
        <v>360</v>
      </c>
      <c r="H41" s="93">
        <v>235</v>
      </c>
      <c r="I41" s="94">
        <f t="shared" si="0"/>
        <v>84600</v>
      </c>
      <c r="J41" s="95"/>
    </row>
    <row r="42" spans="1:10" ht="25.5" x14ac:dyDescent="0.2">
      <c r="A42" s="59">
        <v>33</v>
      </c>
      <c r="B42" s="58"/>
      <c r="C42" s="60" t="s">
        <v>57</v>
      </c>
      <c r="D42" s="71">
        <v>295</v>
      </c>
      <c r="E42" s="82" t="s">
        <v>108</v>
      </c>
      <c r="F42" s="72" t="s">
        <v>58</v>
      </c>
      <c r="G42" s="92">
        <v>108</v>
      </c>
      <c r="H42" s="93">
        <v>444</v>
      </c>
      <c r="I42" s="94">
        <f t="shared" si="0"/>
        <v>47952</v>
      </c>
      <c r="J42" s="95"/>
    </row>
    <row r="43" spans="1:10" ht="25.5" x14ac:dyDescent="0.2">
      <c r="A43" s="59">
        <v>34</v>
      </c>
      <c r="B43" s="58"/>
      <c r="C43" s="60" t="s">
        <v>57</v>
      </c>
      <c r="D43" s="71">
        <v>295</v>
      </c>
      <c r="E43" s="82" t="s">
        <v>92</v>
      </c>
      <c r="F43" s="72" t="s">
        <v>58</v>
      </c>
      <c r="G43" s="92">
        <v>360</v>
      </c>
      <c r="H43" s="93">
        <v>289</v>
      </c>
      <c r="I43" s="94">
        <f t="shared" si="0"/>
        <v>104040</v>
      </c>
      <c r="J43" s="95"/>
    </row>
    <row r="44" spans="1:10" ht="38.25" x14ac:dyDescent="0.2">
      <c r="A44" s="59">
        <v>35</v>
      </c>
      <c r="B44" s="58"/>
      <c r="C44" s="60" t="s">
        <v>57</v>
      </c>
      <c r="D44" s="71">
        <v>295</v>
      </c>
      <c r="E44" s="83" t="s">
        <v>93</v>
      </c>
      <c r="F44" s="72" t="s">
        <v>58</v>
      </c>
      <c r="G44" s="92">
        <v>360</v>
      </c>
      <c r="H44" s="93">
        <v>235</v>
      </c>
      <c r="I44" s="94">
        <f t="shared" si="0"/>
        <v>84600</v>
      </c>
      <c r="J44" s="95"/>
    </row>
    <row r="45" spans="1:10" ht="25.5" x14ac:dyDescent="0.2">
      <c r="A45" s="59">
        <v>36</v>
      </c>
      <c r="B45" s="58"/>
      <c r="C45" s="60" t="s">
        <v>57</v>
      </c>
      <c r="D45" s="71">
        <v>295</v>
      </c>
      <c r="E45" s="80" t="s">
        <v>109</v>
      </c>
      <c r="F45" s="72" t="s">
        <v>58</v>
      </c>
      <c r="G45" s="92">
        <v>648</v>
      </c>
      <c r="H45" s="93">
        <v>285</v>
      </c>
      <c r="I45" s="94">
        <f t="shared" si="0"/>
        <v>184680</v>
      </c>
      <c r="J45" s="95"/>
    </row>
    <row r="46" spans="1:10" ht="25.5" x14ac:dyDescent="0.2">
      <c r="A46" s="59">
        <v>37</v>
      </c>
      <c r="B46" s="58"/>
      <c r="C46" s="60" t="s">
        <v>57</v>
      </c>
      <c r="D46" s="71">
        <v>295</v>
      </c>
      <c r="E46" s="80" t="s">
        <v>110</v>
      </c>
      <c r="F46" s="72" t="s">
        <v>58</v>
      </c>
      <c r="G46" s="92">
        <v>108</v>
      </c>
      <c r="H46" s="93">
        <v>235</v>
      </c>
      <c r="I46" s="94">
        <f t="shared" si="0"/>
        <v>25380</v>
      </c>
      <c r="J46" s="95"/>
    </row>
    <row r="47" spans="1:10" ht="25.5" x14ac:dyDescent="0.2">
      <c r="A47" s="59">
        <v>38</v>
      </c>
      <c r="B47" s="58"/>
      <c r="C47" s="60" t="s">
        <v>57</v>
      </c>
      <c r="D47" s="71">
        <v>295</v>
      </c>
      <c r="E47" s="80" t="s">
        <v>111</v>
      </c>
      <c r="F47" s="72" t="s">
        <v>58</v>
      </c>
      <c r="G47" s="92">
        <v>648</v>
      </c>
      <c r="H47" s="93">
        <v>285</v>
      </c>
      <c r="I47" s="94">
        <f t="shared" si="0"/>
        <v>184680</v>
      </c>
      <c r="J47" s="95"/>
    </row>
    <row r="48" spans="1:10" ht="25.5" x14ac:dyDescent="0.2">
      <c r="A48" s="59">
        <v>39</v>
      </c>
      <c r="B48" s="58"/>
      <c r="C48" s="60" t="s">
        <v>57</v>
      </c>
      <c r="D48" s="71">
        <v>295</v>
      </c>
      <c r="E48" s="82" t="s">
        <v>94</v>
      </c>
      <c r="F48" s="72" t="s">
        <v>58</v>
      </c>
      <c r="G48" s="92">
        <v>108</v>
      </c>
      <c r="H48" s="93">
        <v>780</v>
      </c>
      <c r="I48" s="94">
        <f t="shared" si="0"/>
        <v>84240</v>
      </c>
      <c r="J48" s="95"/>
    </row>
    <row r="49" spans="1:10" ht="25.5" x14ac:dyDescent="0.2">
      <c r="A49" s="59">
        <v>40</v>
      </c>
      <c r="B49" s="58"/>
      <c r="C49" s="60" t="s">
        <v>57</v>
      </c>
      <c r="D49" s="71">
        <v>295</v>
      </c>
      <c r="E49" s="81" t="s">
        <v>112</v>
      </c>
      <c r="F49" s="72" t="s">
        <v>58</v>
      </c>
      <c r="G49" s="92">
        <v>108</v>
      </c>
      <c r="H49" s="93">
        <v>765</v>
      </c>
      <c r="I49" s="94">
        <f t="shared" si="0"/>
        <v>82620</v>
      </c>
      <c r="J49" s="95"/>
    </row>
    <row r="50" spans="1:10" ht="38.25" x14ac:dyDescent="0.2">
      <c r="A50" s="59">
        <v>41</v>
      </c>
      <c r="B50" s="58"/>
      <c r="C50" s="60" t="s">
        <v>57</v>
      </c>
      <c r="D50" s="71">
        <v>295</v>
      </c>
      <c r="E50" s="82" t="s">
        <v>95</v>
      </c>
      <c r="F50" s="72" t="s">
        <v>58</v>
      </c>
      <c r="G50" s="92">
        <v>108</v>
      </c>
      <c r="H50" s="93">
        <v>782</v>
      </c>
      <c r="I50" s="94">
        <f t="shared" si="0"/>
        <v>84456</v>
      </c>
      <c r="J50" s="95"/>
    </row>
    <row r="51" spans="1:10" ht="25.5" x14ac:dyDescent="0.2">
      <c r="A51" s="59">
        <v>42</v>
      </c>
      <c r="B51" s="58"/>
      <c r="C51" s="60" t="s">
        <v>57</v>
      </c>
      <c r="D51" s="71">
        <v>295</v>
      </c>
      <c r="E51" s="80" t="s">
        <v>96</v>
      </c>
      <c r="F51" s="72" t="s">
        <v>58</v>
      </c>
      <c r="G51" s="92">
        <v>108</v>
      </c>
      <c r="H51" s="93">
        <v>782</v>
      </c>
      <c r="I51" s="94">
        <f t="shared" si="0"/>
        <v>84456</v>
      </c>
      <c r="J51" s="95"/>
    </row>
    <row r="52" spans="1:10" ht="25.5" x14ac:dyDescent="0.2">
      <c r="A52" s="59">
        <v>43</v>
      </c>
      <c r="B52" s="58"/>
      <c r="C52" s="60" t="s">
        <v>57</v>
      </c>
      <c r="D52" s="71">
        <v>295</v>
      </c>
      <c r="E52" s="81" t="s">
        <v>97</v>
      </c>
      <c r="F52" s="72" t="s">
        <v>58</v>
      </c>
      <c r="G52" s="92">
        <v>108</v>
      </c>
      <c r="H52" s="93">
        <v>782</v>
      </c>
      <c r="I52" s="94">
        <f t="shared" si="0"/>
        <v>84456</v>
      </c>
      <c r="J52" s="95"/>
    </row>
    <row r="53" spans="1:10" ht="25.5" x14ac:dyDescent="0.2">
      <c r="A53" s="59">
        <v>44</v>
      </c>
      <c r="B53" s="58"/>
      <c r="C53" s="60" t="s">
        <v>57</v>
      </c>
      <c r="D53" s="71">
        <v>295</v>
      </c>
      <c r="E53" s="82" t="s">
        <v>113</v>
      </c>
      <c r="F53" s="72" t="s">
        <v>58</v>
      </c>
      <c r="G53" s="92">
        <v>108</v>
      </c>
      <c r="H53" s="93">
        <v>782</v>
      </c>
      <c r="I53" s="94">
        <f t="shared" si="0"/>
        <v>84456</v>
      </c>
      <c r="J53" s="95"/>
    </row>
    <row r="54" spans="1:10" ht="25.5" x14ac:dyDescent="0.2">
      <c r="A54" s="59">
        <v>45</v>
      </c>
      <c r="B54" s="58"/>
      <c r="C54" s="60" t="s">
        <v>57</v>
      </c>
      <c r="D54" s="71">
        <v>295</v>
      </c>
      <c r="E54" s="81" t="s">
        <v>98</v>
      </c>
      <c r="F54" s="72" t="s">
        <v>58</v>
      </c>
      <c r="G54" s="92">
        <v>108</v>
      </c>
      <c r="H54" s="93">
        <v>782</v>
      </c>
      <c r="I54" s="94">
        <f t="shared" si="0"/>
        <v>84456</v>
      </c>
      <c r="J54" s="95"/>
    </row>
    <row r="55" spans="1:10" ht="25.5" x14ac:dyDescent="0.2">
      <c r="A55" s="59">
        <v>46</v>
      </c>
      <c r="B55" s="58"/>
      <c r="C55" s="60" t="s">
        <v>57</v>
      </c>
      <c r="D55" s="71">
        <v>295</v>
      </c>
      <c r="E55" s="81" t="s">
        <v>99</v>
      </c>
      <c r="F55" s="72" t="s">
        <v>58</v>
      </c>
      <c r="G55" s="92">
        <v>108</v>
      </c>
      <c r="H55" s="93">
        <v>780</v>
      </c>
      <c r="I55" s="94">
        <f t="shared" si="0"/>
        <v>84240</v>
      </c>
      <c r="J55" s="95"/>
    </row>
    <row r="56" spans="1:10" ht="25.5" x14ac:dyDescent="0.2">
      <c r="A56" s="59">
        <v>47</v>
      </c>
      <c r="B56" s="58"/>
      <c r="C56" s="60" t="s">
        <v>57</v>
      </c>
      <c r="D56" s="71">
        <v>295</v>
      </c>
      <c r="E56" s="81" t="s">
        <v>118</v>
      </c>
      <c r="F56" s="72" t="s">
        <v>58</v>
      </c>
      <c r="G56" s="92">
        <v>108</v>
      </c>
      <c r="H56" s="93">
        <v>785</v>
      </c>
      <c r="I56" s="94">
        <f t="shared" si="0"/>
        <v>84780</v>
      </c>
      <c r="J56" s="95"/>
    </row>
    <row r="57" spans="1:10" ht="25.5" x14ac:dyDescent="0.2">
      <c r="A57" s="59">
        <v>48</v>
      </c>
      <c r="B57" s="58"/>
      <c r="C57" s="60" t="s">
        <v>57</v>
      </c>
      <c r="D57" s="71">
        <v>295</v>
      </c>
      <c r="E57" s="80" t="s">
        <v>114</v>
      </c>
      <c r="F57" s="72" t="s">
        <v>58</v>
      </c>
      <c r="G57" s="92">
        <v>180</v>
      </c>
      <c r="H57" s="93">
        <v>444</v>
      </c>
      <c r="I57" s="94">
        <f t="shared" si="0"/>
        <v>79920</v>
      </c>
      <c r="J57" s="95"/>
    </row>
    <row r="58" spans="1:10" ht="13.5" thickBot="1" x14ac:dyDescent="0.25">
      <c r="I58" s="33"/>
    </row>
    <row r="59" spans="1:10" x14ac:dyDescent="0.2">
      <c r="B59" s="70" t="s">
        <v>60</v>
      </c>
      <c r="C59" s="29"/>
      <c r="D59" s="29"/>
      <c r="E59" s="30"/>
      <c r="I59" s="33"/>
    </row>
    <row r="60" spans="1:10" ht="13.5" customHeight="1" x14ac:dyDescent="0.2">
      <c r="B60" s="110" t="s">
        <v>61</v>
      </c>
      <c r="C60" s="111"/>
      <c r="D60" s="111"/>
      <c r="E60" s="112"/>
    </row>
    <row r="61" spans="1:10" ht="25.5" customHeight="1" x14ac:dyDescent="0.2">
      <c r="B61" s="110"/>
      <c r="C61" s="111"/>
      <c r="D61" s="111"/>
      <c r="E61" s="112"/>
      <c r="F61" s="31"/>
      <c r="G61" s="32"/>
    </row>
    <row r="62" spans="1:10" ht="13.5" customHeight="1" x14ac:dyDescent="0.2">
      <c r="B62" s="110" t="s">
        <v>107</v>
      </c>
      <c r="C62" s="111"/>
      <c r="D62" s="111"/>
      <c r="E62" s="112"/>
      <c r="F62" s="31"/>
      <c r="G62" s="32"/>
    </row>
    <row r="63" spans="1:10" ht="13.5" thickBot="1" x14ac:dyDescent="0.25">
      <c r="B63" s="73" t="s">
        <v>62</v>
      </c>
      <c r="C63" s="74"/>
      <c r="D63" s="75"/>
      <c r="E63" s="76"/>
      <c r="F63" s="31"/>
      <c r="G63" s="32"/>
    </row>
    <row r="64" spans="1:10" ht="12" customHeight="1" thickBot="1" x14ac:dyDescent="0.25"/>
    <row r="65" spans="2:5" x14ac:dyDescent="0.2">
      <c r="B65" s="86" t="s">
        <v>106</v>
      </c>
      <c r="C65" s="29"/>
      <c r="D65" s="29"/>
      <c r="E65" s="30"/>
    </row>
    <row r="66" spans="2:5" x14ac:dyDescent="0.2">
      <c r="B66" s="87" t="s">
        <v>104</v>
      </c>
      <c r="C66" s="32"/>
      <c r="D66" s="32"/>
      <c r="E66" s="88"/>
    </row>
    <row r="67" spans="2:5" ht="13.5" thickBot="1" x14ac:dyDescent="0.25">
      <c r="B67" s="107" t="s">
        <v>105</v>
      </c>
      <c r="C67" s="108"/>
      <c r="D67" s="108"/>
      <c r="E67" s="109"/>
    </row>
  </sheetData>
  <autoFilter ref="A9:I57" xr:uid="{00000000-0009-0000-0000-000000000000}"/>
  <mergeCells count="10">
    <mergeCell ref="B67:E67"/>
    <mergeCell ref="A6:B6"/>
    <mergeCell ref="A7:B7"/>
    <mergeCell ref="B60:E61"/>
    <mergeCell ref="B62:E62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0"/>
  <sheetViews>
    <sheetView topLeftCell="A52" zoomScale="80" zoomScaleNormal="80" workbookViewId="0">
      <selection activeCell="A60" sqref="A60:I60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4" t="s">
        <v>14</v>
      </c>
      <c r="B1" s="114"/>
      <c r="C1" s="114"/>
      <c r="D1" s="114"/>
      <c r="E1" s="114"/>
      <c r="F1" s="114"/>
      <c r="G1" s="114"/>
      <c r="H1" s="114"/>
      <c r="I1" s="114"/>
      <c r="J1" s="34" t="s">
        <v>15</v>
      </c>
      <c r="K1" s="35" t="s">
        <v>102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5" t="s">
        <v>48</v>
      </c>
      <c r="B3" s="115"/>
      <c r="C3" s="115"/>
      <c r="D3" s="116" t="str">
        <f>'Necesidades Trimestrales'!C4</f>
        <v>040 - Ministerio de Salud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25">
      <c r="A4" s="117" t="s">
        <v>49</v>
      </c>
      <c r="B4" s="117"/>
      <c r="C4" s="117"/>
      <c r="D4" s="116" t="str">
        <f>'Necesidades Trimestrales'!C5</f>
        <v>024 - Hospital Interzonal de Niños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17" t="s">
        <v>27</v>
      </c>
      <c r="B5" s="117"/>
      <c r="C5" s="117"/>
      <c r="D5" s="116" t="s">
        <v>51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15" t="s">
        <v>50</v>
      </c>
      <c r="B6" s="115"/>
      <c r="C6" s="115"/>
      <c r="D6" s="116" t="s">
        <v>56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17" t="s">
        <v>16</v>
      </c>
      <c r="B7" s="117"/>
      <c r="C7" s="117"/>
      <c r="D7" s="116" t="s">
        <v>101</v>
      </c>
      <c r="E7" s="116"/>
      <c r="F7" s="116"/>
      <c r="G7" s="116"/>
      <c r="H7" s="116"/>
      <c r="I7" s="116"/>
      <c r="J7" s="116"/>
      <c r="K7" s="116"/>
    </row>
    <row r="8" spans="1:11" ht="16.5" customHeight="1" x14ac:dyDescent="0.2">
      <c r="A8" s="122" t="s">
        <v>17</v>
      </c>
      <c r="B8" s="122"/>
      <c r="C8" s="122"/>
      <c r="D8" s="118" t="s">
        <v>100</v>
      </c>
      <c r="E8" s="118"/>
      <c r="F8" s="118"/>
      <c r="G8" s="118"/>
      <c r="H8" s="118"/>
      <c r="I8" s="118"/>
      <c r="J8" s="118"/>
      <c r="K8" s="118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19" t="s">
        <v>18</v>
      </c>
      <c r="B10" s="120" t="s">
        <v>19</v>
      </c>
      <c r="C10" s="120" t="s">
        <v>20</v>
      </c>
      <c r="D10" s="120"/>
      <c r="E10" s="120"/>
      <c r="F10" s="120"/>
      <c r="G10" s="120"/>
      <c r="H10" s="120" t="s">
        <v>21</v>
      </c>
      <c r="I10" s="120" t="s">
        <v>22</v>
      </c>
      <c r="J10" s="120" t="s">
        <v>23</v>
      </c>
      <c r="K10" s="121" t="s">
        <v>24</v>
      </c>
    </row>
    <row r="11" spans="1:11" ht="24" customHeight="1" thickBot="1" x14ac:dyDescent="0.25">
      <c r="A11" s="119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 ht="27.75" customHeight="1" x14ac:dyDescent="0.2">
      <c r="A12" s="61">
        <v>1</v>
      </c>
      <c r="B12" s="62"/>
      <c r="C12" s="113" t="str">
        <f>'Necesidades Trimestrales'!E10</f>
        <v>HILO DE SUTURA MONOFILAMENTO 2-0  TIPO ETHICON  164T C/AGUJA X UNIDAD</v>
      </c>
      <c r="D12" s="113"/>
      <c r="E12" s="113"/>
      <c r="F12" s="113"/>
      <c r="G12" s="113"/>
      <c r="H12" s="65" t="s">
        <v>54</v>
      </c>
      <c r="I12" s="66" t="str">
        <f>'Necesidades Trimestrales'!F10</f>
        <v>UNIDAD</v>
      </c>
      <c r="J12" s="64">
        <f>'Necesidades Trimestrales'!H10</f>
        <v>240</v>
      </c>
      <c r="K12" s="63">
        <f>'Necesidades Trimestrales'!G10</f>
        <v>648</v>
      </c>
    </row>
    <row r="13" spans="1:11" ht="27.75" customHeight="1" x14ac:dyDescent="0.2">
      <c r="A13" s="61">
        <v>2</v>
      </c>
      <c r="B13" s="62"/>
      <c r="C13" s="113" t="str">
        <f>'Necesidades Trimestrales'!E11</f>
        <v>HILO DE SUTURA MONOFILAMENTO 3-0 163T C/AGUJA X UNIDAD</v>
      </c>
      <c r="D13" s="113"/>
      <c r="E13" s="113"/>
      <c r="F13" s="113"/>
      <c r="G13" s="113"/>
      <c r="H13" s="65" t="s">
        <v>54</v>
      </c>
      <c r="I13" s="66" t="str">
        <f>'Necesidades Trimestrales'!F11</f>
        <v>UNIDAD</v>
      </c>
      <c r="J13" s="64">
        <f>'Necesidades Trimestrales'!H11</f>
        <v>240</v>
      </c>
      <c r="K13" s="63">
        <f>'Necesidades Trimestrales'!G11</f>
        <v>648</v>
      </c>
    </row>
    <row r="14" spans="1:11" ht="27.75" customHeight="1" x14ac:dyDescent="0.2">
      <c r="A14" s="61">
        <v>3</v>
      </c>
      <c r="B14" s="62"/>
      <c r="C14" s="113" t="str">
        <f>'Necesidades Trimestrales'!E12</f>
        <v>HILO DE SUTURA MONOFILAMENTO 4-0 AGUJA PS-1 3/8 CIRC 24 MM X UNIDAD</v>
      </c>
      <c r="D14" s="113"/>
      <c r="E14" s="113"/>
      <c r="F14" s="113"/>
      <c r="G14" s="113"/>
      <c r="H14" s="65" t="s">
        <v>54</v>
      </c>
      <c r="I14" s="66" t="str">
        <f>'Necesidades Trimestrales'!F12</f>
        <v>UNIDAD</v>
      </c>
      <c r="J14" s="64">
        <f>'Necesidades Trimestrales'!H12</f>
        <v>240</v>
      </c>
      <c r="K14" s="63">
        <f>'Necesidades Trimestrales'!G12</f>
        <v>648</v>
      </c>
    </row>
    <row r="15" spans="1:11" ht="27.75" customHeight="1" x14ac:dyDescent="0.2">
      <c r="A15" s="61">
        <v>4</v>
      </c>
      <c r="B15" s="62"/>
      <c r="C15" s="113" t="str">
        <f>'Necesidades Trimestrales'!E13</f>
        <v>HILO DE SUTURA  SEDA 2-0 TIPO ETHICON COD K 833 H X UNIDAD</v>
      </c>
      <c r="D15" s="113"/>
      <c r="E15" s="113"/>
      <c r="F15" s="113"/>
      <c r="G15" s="113"/>
      <c r="H15" s="65" t="s">
        <v>54</v>
      </c>
      <c r="I15" s="66" t="str">
        <f>'Necesidades Trimestrales'!F13</f>
        <v>UNIDAD</v>
      </c>
      <c r="J15" s="64">
        <f>'Necesidades Trimestrales'!H13</f>
        <v>307</v>
      </c>
      <c r="K15" s="63">
        <f>'Necesidades Trimestrales'!G13</f>
        <v>648</v>
      </c>
    </row>
    <row r="16" spans="1:11" ht="27.75" customHeight="1" x14ac:dyDescent="0.2">
      <c r="A16" s="61">
        <v>5</v>
      </c>
      <c r="B16" s="62"/>
      <c r="C16" s="113" t="str">
        <f>'Necesidades Trimestrales'!E14</f>
        <v>HILO DE SUTURA SEDA QUIRUR.NEG./TRENZ 3-0 TIPO ETHICON K 832 H X UNIDAD</v>
      </c>
      <c r="D16" s="113"/>
      <c r="E16" s="113"/>
      <c r="F16" s="113"/>
      <c r="G16" s="113"/>
      <c r="H16" s="65" t="s">
        <v>54</v>
      </c>
      <c r="I16" s="66" t="str">
        <f>'Necesidades Trimestrales'!F14</f>
        <v>UNIDAD</v>
      </c>
      <c r="J16" s="64">
        <f>'Necesidades Trimestrales'!H14</f>
        <v>307</v>
      </c>
      <c r="K16" s="63">
        <f>'Necesidades Trimestrales'!G14</f>
        <v>648</v>
      </c>
    </row>
    <row r="17" spans="1:14" ht="27.75" customHeight="1" x14ac:dyDescent="0.2">
      <c r="A17" s="61">
        <v>6</v>
      </c>
      <c r="B17" s="62"/>
      <c r="C17" s="113" t="str">
        <f>'Necesidades Trimestrales'!E15</f>
        <v>SUT.N/ABS.MONONYLON  4-0  TIPO DAFILON BRAUN  COD OFTAL. 0936103   X 1 UNID.</v>
      </c>
      <c r="D17" s="113"/>
      <c r="E17" s="113"/>
      <c r="F17" s="113"/>
      <c r="G17" s="113"/>
      <c r="H17" s="65" t="s">
        <v>54</v>
      </c>
      <c r="I17" s="66" t="str">
        <f>'Necesidades Trimestrales'!F15</f>
        <v>UNIDAD</v>
      </c>
      <c r="J17" s="64">
        <f>'Necesidades Trimestrales'!H15</f>
        <v>245</v>
      </c>
      <c r="K17" s="63">
        <f>'Necesidades Trimestrales'!G15</f>
        <v>648</v>
      </c>
    </row>
    <row r="18" spans="1:14" ht="27.75" customHeight="1" x14ac:dyDescent="0.2">
      <c r="A18" s="61">
        <v>7</v>
      </c>
      <c r="B18" s="62"/>
      <c r="C18" s="113" t="str">
        <f>'Necesidades Trimestrales'!E16</f>
        <v>SUT.N/ABS.MONONYLON  5/0  TIPO DAFILON BRAUN COD OFTAL. 0936090  X 1 UNID.</v>
      </c>
      <c r="D18" s="113"/>
      <c r="E18" s="113"/>
      <c r="F18" s="113"/>
      <c r="G18" s="113"/>
      <c r="H18" s="65" t="s">
        <v>54</v>
      </c>
      <c r="I18" s="66" t="str">
        <f>'Necesidades Trimestrales'!F16</f>
        <v>UNIDAD</v>
      </c>
      <c r="J18" s="64">
        <f>'Necesidades Trimestrales'!H16</f>
        <v>245</v>
      </c>
      <c r="K18" s="63">
        <f>'Necesidades Trimestrales'!G16</f>
        <v>648</v>
      </c>
    </row>
    <row r="19" spans="1:14" ht="27.75" customHeight="1" x14ac:dyDescent="0.2">
      <c r="A19" s="61">
        <v>8</v>
      </c>
      <c r="B19" s="62"/>
      <c r="C19" s="113" t="str">
        <f>'Necesidades Trimestrales'!E17</f>
        <v>SUT.N/ABS.MONONYLON  6-0 TIPO DAFILON BRAUN COD OFTAL. 0936081 X 1 UNID.</v>
      </c>
      <c r="D19" s="113"/>
      <c r="E19" s="113"/>
      <c r="F19" s="113"/>
      <c r="G19" s="113"/>
      <c r="H19" s="65" t="s">
        <v>54</v>
      </c>
      <c r="I19" s="66" t="str">
        <f>'Necesidades Trimestrales'!F17</f>
        <v>UNIDAD</v>
      </c>
      <c r="J19" s="64">
        <f>'Necesidades Trimestrales'!H17</f>
        <v>245</v>
      </c>
      <c r="K19" s="63">
        <f>'Necesidades Trimestrales'!G17</f>
        <v>648</v>
      </c>
    </row>
    <row r="20" spans="1:14" ht="27.75" customHeight="1" x14ac:dyDescent="0.2">
      <c r="A20" s="61">
        <v>9</v>
      </c>
      <c r="B20" s="62"/>
      <c r="C20" s="113" t="str">
        <f>'Necesidades Trimestrales'!E18</f>
        <v>SUT.N/ABS.MONONYLON 10-0 (OFTAL.)tipo TAGUN CODIGO NN06VZF*X 1 UNID.</v>
      </c>
      <c r="D20" s="113"/>
      <c r="E20" s="113"/>
      <c r="F20" s="113"/>
      <c r="G20" s="113"/>
      <c r="H20" s="65" t="s">
        <v>54</v>
      </c>
      <c r="I20" s="66" t="str">
        <f>'Necesidades Trimestrales'!F18</f>
        <v>UNIDAD</v>
      </c>
      <c r="J20" s="64">
        <f>'Necesidades Trimestrales'!H18</f>
        <v>245</v>
      </c>
      <c r="K20" s="63">
        <f>'Necesidades Trimestrales'!G18</f>
        <v>108</v>
      </c>
    </row>
    <row r="21" spans="1:14" ht="27.75" customHeight="1" x14ac:dyDescent="0.2">
      <c r="A21" s="61">
        <v>10</v>
      </c>
      <c r="B21" s="69"/>
      <c r="C21" s="113" t="str">
        <f>'Necesidades Trimestrales'!E19</f>
        <v>SUTURA ANTIBACTERIAL ABSORBIBLE POLIACTINA 25 TIPO MONOCRYL PLUS 5-0 CON AGUJA COD MCP 493 G X UNIDAD</v>
      </c>
      <c r="D21" s="113"/>
      <c r="E21" s="113"/>
      <c r="F21" s="113"/>
      <c r="G21" s="113"/>
      <c r="H21" s="65" t="s">
        <v>54</v>
      </c>
      <c r="I21" s="66" t="str">
        <f>'Necesidades Trimestrales'!F19</f>
        <v>UNIDAD</v>
      </c>
      <c r="J21" s="64">
        <f>'Necesidades Trimestrales'!H19</f>
        <v>380</v>
      </c>
      <c r="K21" s="63">
        <f>'Necesidades Trimestrales'!G19</f>
        <v>108</v>
      </c>
    </row>
    <row r="22" spans="1:14" ht="27.75" customHeight="1" x14ac:dyDescent="0.2">
      <c r="A22" s="61">
        <v>11</v>
      </c>
      <c r="B22" s="69"/>
      <c r="C22" s="113" t="str">
        <f>'Necesidades Trimestrales'!E20</f>
        <v>SUTURA ANTIBACTERIAL ABSORBIBLE POLIACTINA 25 TIPO MONOCRYL PLUS 4-0 CON AGUJA COD MCP 496 G X UNIDAD</v>
      </c>
      <c r="D22" s="113"/>
      <c r="E22" s="113"/>
      <c r="F22" s="113"/>
      <c r="G22" s="113"/>
      <c r="H22" s="65" t="s">
        <v>54</v>
      </c>
      <c r="I22" s="66" t="str">
        <f>'Necesidades Trimestrales'!F20</f>
        <v>UNIDAD</v>
      </c>
      <c r="J22" s="64">
        <f>'Necesidades Trimestrales'!H20</f>
        <v>380</v>
      </c>
      <c r="K22" s="63">
        <f>'Necesidades Trimestrales'!G20</f>
        <v>108</v>
      </c>
    </row>
    <row r="23" spans="1:14" ht="27.75" customHeight="1" x14ac:dyDescent="0.2">
      <c r="A23" s="61">
        <v>12</v>
      </c>
      <c r="B23" s="69"/>
      <c r="C23" s="113" t="str">
        <f>'Necesidades Trimestrales'!E21</f>
        <v>SUTURA ANTIBACTERIAL ABSORBIBLE POLIACTINA 25 TIPO MONOCRYL PLUS 3-0 CON AGUJA COD MCP 936 H X UNIDAD</v>
      </c>
      <c r="D23" s="113"/>
      <c r="E23" s="113"/>
      <c r="F23" s="113"/>
      <c r="G23" s="113"/>
      <c r="H23" s="65" t="s">
        <v>54</v>
      </c>
      <c r="I23" s="66" t="str">
        <f>'Necesidades Trimestrales'!F21</f>
        <v>UNIDAD</v>
      </c>
      <c r="J23" s="64">
        <f>'Necesidades Trimestrales'!H21</f>
        <v>380</v>
      </c>
      <c r="K23" s="63">
        <f>'Necesidades Trimestrales'!G21</f>
        <v>108</v>
      </c>
    </row>
    <row r="24" spans="1:14" ht="27.75" customHeight="1" x14ac:dyDescent="0.2">
      <c r="A24" s="61">
        <v>13</v>
      </c>
      <c r="B24" s="69"/>
      <c r="C24" s="113" t="str">
        <f>'Necesidades Trimestrales'!E22</f>
        <v xml:space="preserve"> SUTURA QUIRURGICA ACIDO POLIGLICOLICO Nª7/0 OFTALMOLOGICO TIPO VICRYL  J546G   X UNIDAD</v>
      </c>
      <c r="D24" s="113"/>
      <c r="E24" s="113"/>
      <c r="F24" s="113"/>
      <c r="G24" s="113"/>
      <c r="H24" s="65" t="s">
        <v>54</v>
      </c>
      <c r="I24" s="66" t="str">
        <f>'Necesidades Trimestrales'!F22</f>
        <v>UNIDAD</v>
      </c>
      <c r="J24" s="64">
        <f>'Necesidades Trimestrales'!H22</f>
        <v>445</v>
      </c>
      <c r="K24" s="63">
        <f>'Necesidades Trimestrales'!G22</f>
        <v>252</v>
      </c>
    </row>
    <row r="25" spans="1:14" ht="27.75" customHeight="1" x14ac:dyDescent="0.2">
      <c r="A25" s="61">
        <v>14</v>
      </c>
      <c r="B25" s="69"/>
      <c r="C25" s="113" t="str">
        <f>'Necesidades Trimestrales'!E23</f>
        <v>SUTURA QUIRURGICA ACIDO POLIGLICOLICO Nª 8/0 OFTALMOLOGICO TIPO VICRYL  J 547 G  X UNIDAD</v>
      </c>
      <c r="D25" s="113"/>
      <c r="E25" s="113"/>
      <c r="F25" s="113"/>
      <c r="G25" s="113"/>
      <c r="H25" s="65" t="s">
        <v>54</v>
      </c>
      <c r="I25" s="66" t="str">
        <f>'Necesidades Trimestrales'!F23</f>
        <v>UNIDAD</v>
      </c>
      <c r="J25" s="64">
        <f>'Necesidades Trimestrales'!H23</f>
        <v>445</v>
      </c>
      <c r="K25" s="63">
        <f>'Necesidades Trimestrales'!G23</f>
        <v>108</v>
      </c>
    </row>
    <row r="26" spans="1:14" ht="27.75" customHeight="1" x14ac:dyDescent="0.2">
      <c r="A26" s="61">
        <v>15</v>
      </c>
      <c r="B26" s="69"/>
      <c r="C26" s="113" t="str">
        <f>'Necesidades Trimestrales'!E24</f>
        <v>SUTURA QUIRURGICA ACIDO POLIGLICOLICO TRENZADA ABSORBIBLE T/VICRYL N°2-0 J339 H X 1 UNID.</v>
      </c>
      <c r="D26" s="113"/>
      <c r="E26" s="113"/>
      <c r="F26" s="113"/>
      <c r="G26" s="113"/>
      <c r="H26" s="65" t="s">
        <v>54</v>
      </c>
      <c r="I26" s="66" t="str">
        <f>'Necesidades Trimestrales'!F24</f>
        <v>UNIDAD</v>
      </c>
      <c r="J26" s="64">
        <f>'Necesidades Trimestrales'!H24</f>
        <v>280</v>
      </c>
      <c r="K26" s="63">
        <f>'Necesidades Trimestrales'!G24</f>
        <v>648</v>
      </c>
    </row>
    <row r="27" spans="1:14" ht="27.75" customHeight="1" x14ac:dyDescent="0.2">
      <c r="A27" s="61">
        <v>16</v>
      </c>
      <c r="B27" s="69"/>
      <c r="C27" s="113" t="str">
        <f>'Necesidades Trimestrales'!E25</f>
        <v>SUTURA QUIRURGICA ACIDO POLIGLICOLICO TRENZADA ABSORBIBLE T/VICRYL N°3-0 J 305 H X 1 UNID.</v>
      </c>
      <c r="D27" s="113"/>
      <c r="E27" s="113"/>
      <c r="F27" s="113"/>
      <c r="G27" s="113"/>
      <c r="H27" s="65" t="s">
        <v>54</v>
      </c>
      <c r="I27" s="66" t="str">
        <f>'Necesidades Trimestrales'!F25</f>
        <v>UNIDAD</v>
      </c>
      <c r="J27" s="64">
        <f>'Necesidades Trimestrales'!H25</f>
        <v>280</v>
      </c>
      <c r="K27" s="63">
        <f>'Necesidades Trimestrales'!G25</f>
        <v>648</v>
      </c>
    </row>
    <row r="28" spans="1:14" ht="27.75" customHeight="1" x14ac:dyDescent="0.2">
      <c r="A28" s="61">
        <v>17</v>
      </c>
      <c r="B28" s="69"/>
      <c r="C28" s="113" t="str">
        <f>'Necesidades Trimestrales'!E26</f>
        <v>SUTURA QUIRURGICA ACIDO POLIGLICOLICO TRENZADA ABSORBIBLE T/VICRYL N°3-0 J338 H X 1 UNID.</v>
      </c>
      <c r="D28" s="113"/>
      <c r="E28" s="113"/>
      <c r="F28" s="113"/>
      <c r="G28" s="113"/>
      <c r="H28" s="65" t="s">
        <v>54</v>
      </c>
      <c r="I28" s="66" t="str">
        <f>'Necesidades Trimestrales'!F26</f>
        <v>UNIDAD</v>
      </c>
      <c r="J28" s="64">
        <f>'Necesidades Trimestrales'!H26</f>
        <v>280</v>
      </c>
      <c r="K28" s="63">
        <f>'Necesidades Trimestrales'!G26</f>
        <v>648</v>
      </c>
    </row>
    <row r="29" spans="1:14" ht="27.75" customHeight="1" x14ac:dyDescent="0.2">
      <c r="A29" s="61">
        <v>18</v>
      </c>
      <c r="B29" s="69"/>
      <c r="C29" s="113" t="str">
        <f>'Necesidades Trimestrales'!E27</f>
        <v>SUTURA QUIRURGICA ACIDO POLIGLICOLICO TRENZADA ABSORBIBLE T/VICRYL N°4-0 J 304 H X 1 UNID.</v>
      </c>
      <c r="D29" s="113"/>
      <c r="E29" s="113"/>
      <c r="F29" s="113"/>
      <c r="G29" s="113"/>
      <c r="H29" s="65" t="s">
        <v>54</v>
      </c>
      <c r="I29" s="66" t="str">
        <f>'Necesidades Trimestrales'!F27</f>
        <v>UNIDAD</v>
      </c>
      <c r="J29" s="64">
        <f>'Necesidades Trimestrales'!H27</f>
        <v>280</v>
      </c>
      <c r="K29" s="63">
        <f>'Necesidades Trimestrales'!G27</f>
        <v>648</v>
      </c>
    </row>
    <row r="30" spans="1:14" ht="27.75" customHeight="1" x14ac:dyDescent="0.2">
      <c r="A30" s="61">
        <v>19</v>
      </c>
      <c r="B30" s="69"/>
      <c r="C30" s="113" t="str">
        <f>'Necesidades Trimestrales'!E28</f>
        <v>SUTURA QUIRURGICA ACIDO POLIGLICOLICO TRENZADA ABSORBIBLE T/VICRYL N°5-0 J 303 H X 1 UNID.</v>
      </c>
      <c r="D30" s="113"/>
      <c r="E30" s="113"/>
      <c r="F30" s="113"/>
      <c r="G30" s="113"/>
      <c r="H30" s="65" t="s">
        <v>54</v>
      </c>
      <c r="I30" s="66" t="str">
        <f>'Necesidades Trimestrales'!F28</f>
        <v>UNIDAD</v>
      </c>
      <c r="J30" s="64">
        <f>'Necesidades Trimestrales'!H28</f>
        <v>280</v>
      </c>
      <c r="K30" s="63">
        <f>'Necesidades Trimestrales'!G28</f>
        <v>648</v>
      </c>
      <c r="N30" s="36" t="s">
        <v>55</v>
      </c>
    </row>
    <row r="31" spans="1:14" ht="27.75" customHeight="1" x14ac:dyDescent="0.2">
      <c r="A31" s="61">
        <v>20</v>
      </c>
      <c r="B31" s="69"/>
      <c r="C31" s="113" t="str">
        <f>'Necesidades Trimestrales'!E29</f>
        <v>SUTURA QUIRURGICA ACIDO POLIGLICOLICO TRENZADA ABSORBIBLE T/VICRYL N°6-0 C/A J 302 H X 1 UNID.</v>
      </c>
      <c r="D31" s="113"/>
      <c r="E31" s="113"/>
      <c r="F31" s="113"/>
      <c r="G31" s="113"/>
      <c r="H31" s="65" t="s">
        <v>54</v>
      </c>
      <c r="I31" s="66" t="str">
        <f>'Necesidades Trimestrales'!F29</f>
        <v>UNIDAD</v>
      </c>
      <c r="J31" s="64">
        <f>'Necesidades Trimestrales'!H29</f>
        <v>280</v>
      </c>
      <c r="K31" s="63">
        <f>'Necesidades Trimestrales'!G29</f>
        <v>648</v>
      </c>
    </row>
    <row r="32" spans="1:14" ht="27.75" customHeight="1" x14ac:dyDescent="0.2">
      <c r="A32" s="61">
        <v>21</v>
      </c>
      <c r="B32" s="69"/>
      <c r="C32" s="113" t="str">
        <f>'Necesidades Trimestrales'!E30</f>
        <v>SUTURA QUIRURGICA ACIDO POLIGLICOLICO TRENZADA ABSORBIBLE TIPO VIRYL Nº 3-0 CODIGO J316 C / AGUJA</v>
      </c>
      <c r="D32" s="113"/>
      <c r="E32" s="113"/>
      <c r="F32" s="113"/>
      <c r="G32" s="113"/>
      <c r="H32" s="65" t="s">
        <v>54</v>
      </c>
      <c r="I32" s="66" t="str">
        <f>'Necesidades Trimestrales'!F30</f>
        <v>UNIDAD</v>
      </c>
      <c r="J32" s="64">
        <f>'Necesidades Trimestrales'!H30</f>
        <v>280</v>
      </c>
      <c r="K32" s="63">
        <f>'Necesidades Trimestrales'!G30</f>
        <v>648</v>
      </c>
    </row>
    <row r="33" spans="1:11" ht="27.75" customHeight="1" x14ac:dyDescent="0.2">
      <c r="A33" s="61">
        <v>22</v>
      </c>
      <c r="B33" s="69"/>
      <c r="C33" s="113" t="str">
        <f>'Necesidades Trimestrales'!E31</f>
        <v>SUTURA QUIRURGICA ACIDO POLIGLICOLICO TRENZADA ABSORBIBLE TIPO VIRYL Nº 4-0 CODIGO J315 C / AGUJA</v>
      </c>
      <c r="D33" s="113"/>
      <c r="E33" s="113"/>
      <c r="F33" s="113"/>
      <c r="G33" s="113"/>
      <c r="H33" s="65" t="s">
        <v>54</v>
      </c>
      <c r="I33" s="66" t="str">
        <f>'Necesidades Trimestrales'!F31</f>
        <v>UNIDAD</v>
      </c>
      <c r="J33" s="64">
        <f>'Necesidades Trimestrales'!H31</f>
        <v>280</v>
      </c>
      <c r="K33" s="63">
        <f>'Necesidades Trimestrales'!G31</f>
        <v>648</v>
      </c>
    </row>
    <row r="34" spans="1:11" ht="27.75" customHeight="1" x14ac:dyDescent="0.2">
      <c r="A34" s="61">
        <v>23</v>
      </c>
      <c r="B34" s="69"/>
      <c r="C34" s="113" t="str">
        <f>'Necesidades Trimestrales'!E32</f>
        <v>SUTURA QUIRURGICA ACIDO POLIGLICOLICO TRENZADA ABSORBIBLE TIPO VIRYL Nº 5-0 CODIGO J314 C / AGUJA</v>
      </c>
      <c r="D34" s="113"/>
      <c r="E34" s="113"/>
      <c r="F34" s="113"/>
      <c r="G34" s="113"/>
      <c r="H34" s="65" t="s">
        <v>54</v>
      </c>
      <c r="I34" s="66" t="str">
        <f>'Necesidades Trimestrales'!F32</f>
        <v>UNIDAD</v>
      </c>
      <c r="J34" s="64">
        <f>'Necesidades Trimestrales'!H32</f>
        <v>280</v>
      </c>
      <c r="K34" s="63">
        <f>'Necesidades Trimestrales'!G32</f>
        <v>648</v>
      </c>
    </row>
    <row r="35" spans="1:11" ht="27.75" customHeight="1" x14ac:dyDescent="0.2">
      <c r="A35" s="61">
        <v>24</v>
      </c>
      <c r="B35" s="69"/>
      <c r="C35" s="113" t="str">
        <f>'Necesidades Trimestrales'!E33</f>
        <v>SUTURA QUIRURGICA ACIDO POLIGLICOLICO TRENZADA ABSROBIBLE TIPO VICRYL  1  J 353 H x UNIDAD</v>
      </c>
      <c r="D35" s="113"/>
      <c r="E35" s="113"/>
      <c r="F35" s="113"/>
      <c r="G35" s="113"/>
      <c r="H35" s="65" t="s">
        <v>54</v>
      </c>
      <c r="I35" s="66" t="str">
        <f>'Necesidades Trimestrales'!F33</f>
        <v>UNIDAD</v>
      </c>
      <c r="J35" s="64">
        <f>'Necesidades Trimestrales'!H33</f>
        <v>235</v>
      </c>
      <c r="K35" s="63">
        <f>'Necesidades Trimestrales'!G33</f>
        <v>648</v>
      </c>
    </row>
    <row r="36" spans="1:11" ht="27.75" customHeight="1" x14ac:dyDescent="0.2">
      <c r="A36" s="61">
        <v>25</v>
      </c>
      <c r="B36" s="69"/>
      <c r="C36" s="113" t="str">
        <f>'Necesidades Trimestrales'!E34</f>
        <v xml:space="preserve">SUTURA QUIRURGICA ACIDO POLIGLICOLICO TRENZADA ABSROBIBLE TIPO VICRYL  1 J 347 H x  UNIDAD </v>
      </c>
      <c r="D36" s="113"/>
      <c r="E36" s="113"/>
      <c r="F36" s="113"/>
      <c r="G36" s="113"/>
      <c r="H36" s="65" t="s">
        <v>54</v>
      </c>
      <c r="I36" s="66" t="str">
        <f>'Necesidades Trimestrales'!F34</f>
        <v>UNIDAD</v>
      </c>
      <c r="J36" s="64">
        <f>'Necesidades Trimestrales'!H34</f>
        <v>235</v>
      </c>
      <c r="K36" s="63">
        <f>'Necesidades Trimestrales'!G34</f>
        <v>360</v>
      </c>
    </row>
    <row r="37" spans="1:11" ht="27.75" customHeight="1" x14ac:dyDescent="0.2">
      <c r="A37" s="61">
        <v>26</v>
      </c>
      <c r="B37" s="69"/>
      <c r="C37" s="113" t="str">
        <f>'Necesidades Trimestrales'!E35</f>
        <v>SUTURA QUIRURGICA POLIPROPILENO NO ABSORBIBLE TIPO PROLENE  3/0 DOBLE AGUJA 8842H X UNIDAD</v>
      </c>
      <c r="D37" s="113"/>
      <c r="E37" s="113"/>
      <c r="F37" s="113"/>
      <c r="G37" s="113"/>
      <c r="H37" s="65" t="s">
        <v>54</v>
      </c>
      <c r="I37" s="66" t="str">
        <f>'Necesidades Trimestrales'!F35</f>
        <v>UNIDAD</v>
      </c>
      <c r="J37" s="64">
        <f>'Necesidades Trimestrales'!H35</f>
        <v>280</v>
      </c>
      <c r="K37" s="63">
        <f>'Necesidades Trimestrales'!G35</f>
        <v>648</v>
      </c>
    </row>
    <row r="38" spans="1:11" ht="27.75" customHeight="1" x14ac:dyDescent="0.2">
      <c r="A38" s="61">
        <v>27</v>
      </c>
      <c r="B38" s="69"/>
      <c r="C38" s="113" t="str">
        <f>'Necesidades Trimestrales'!E36</f>
        <v>SUTURA QUIRURGICA ACIDO POLIGLICOLICO TRENZADA ABSROBIBLE TIPO VICRYL  4/0 SJ 310 H  x UNIDAD</v>
      </c>
      <c r="D38" s="113"/>
      <c r="E38" s="113"/>
      <c r="F38" s="113"/>
      <c r="G38" s="113"/>
      <c r="H38" s="65" t="s">
        <v>54</v>
      </c>
      <c r="I38" s="66" t="str">
        <f>'Necesidades Trimestrales'!F36</f>
        <v>UNIDAD</v>
      </c>
      <c r="J38" s="64">
        <f>'Necesidades Trimestrales'!H36</f>
        <v>280</v>
      </c>
      <c r="K38" s="63">
        <f>'Necesidades Trimestrales'!G36</f>
        <v>648</v>
      </c>
    </row>
    <row r="39" spans="1:11" ht="27.75" customHeight="1" x14ac:dyDescent="0.2">
      <c r="A39" s="61">
        <v>28</v>
      </c>
      <c r="B39" s="69"/>
      <c r="C39" s="113" t="str">
        <f>'Necesidades Trimestrales'!E37</f>
        <v>SUTURA QUIRURGICA ACIDO POLIGLICOLICO TRENZADA ABSROBIBLE TIPO VICRYL  5/0 J 121 H  x UNIDAD</v>
      </c>
      <c r="D39" s="113"/>
      <c r="E39" s="113"/>
      <c r="F39" s="113"/>
      <c r="G39" s="113"/>
      <c r="H39" s="65" t="s">
        <v>54</v>
      </c>
      <c r="I39" s="66" t="str">
        <f>'Necesidades Trimestrales'!F37</f>
        <v>UNIDAD</v>
      </c>
      <c r="J39" s="64">
        <f>'Necesidades Trimestrales'!H37</f>
        <v>280</v>
      </c>
      <c r="K39" s="63">
        <f>'Necesidades Trimestrales'!G37</f>
        <v>648</v>
      </c>
    </row>
    <row r="40" spans="1:11" ht="27.75" customHeight="1" x14ac:dyDescent="0.2">
      <c r="A40" s="61">
        <v>29</v>
      </c>
      <c r="B40" s="69"/>
      <c r="C40" s="113" t="str">
        <f>'Necesidades Trimestrales'!E38</f>
        <v>SUTURA QUIRURGICA ACIDO POLIGLICOLICO TRENZADA ABSROBIBLE TIPO VICRYL  6/0 J 570 G X UNIDAD</v>
      </c>
      <c r="D40" s="113"/>
      <c r="E40" s="113"/>
      <c r="F40" s="113"/>
      <c r="G40" s="113"/>
      <c r="H40" s="65" t="s">
        <v>54</v>
      </c>
      <c r="I40" s="66" t="str">
        <f>'Necesidades Trimestrales'!F38</f>
        <v>UNIDAD</v>
      </c>
      <c r="J40" s="64">
        <f>'Necesidades Trimestrales'!H38</f>
        <v>289</v>
      </c>
      <c r="K40" s="63">
        <f>'Necesidades Trimestrales'!G38</f>
        <v>360</v>
      </c>
    </row>
    <row r="41" spans="1:11" ht="27.75" customHeight="1" x14ac:dyDescent="0.2">
      <c r="A41" s="61">
        <v>30</v>
      </c>
      <c r="B41" s="69"/>
      <c r="C41" s="113" t="str">
        <f>'Necesidades Trimestrales'!E39</f>
        <v>SUTURA QUIRURGICA ACIDO POLIGLICOLICO TRENZADA ABSROBIBLE TIPO VICRYL  6/0 JP 492 G X UNIDAD</v>
      </c>
      <c r="D41" s="113"/>
      <c r="E41" s="113"/>
      <c r="F41" s="113"/>
      <c r="G41" s="113"/>
      <c r="H41" s="65" t="s">
        <v>54</v>
      </c>
      <c r="I41" s="66" t="str">
        <f>'Necesidades Trimestrales'!F39</f>
        <v>UNIDAD</v>
      </c>
      <c r="J41" s="64">
        <f>'Necesidades Trimestrales'!H39</f>
        <v>289</v>
      </c>
      <c r="K41" s="63">
        <f>'Necesidades Trimestrales'!G39</f>
        <v>360</v>
      </c>
    </row>
    <row r="42" spans="1:11" ht="27.75" customHeight="1" x14ac:dyDescent="0.2">
      <c r="A42" s="61">
        <v>31</v>
      </c>
      <c r="B42" s="69"/>
      <c r="C42" s="113" t="str">
        <f>'Necesidades Trimestrales'!E40</f>
        <v>SUTURA QUIRURGICA ACIDO POLIGLICOLICO TRENZADA ABSROBIBLE TIPO VICRYL 0 J340 H CON AGUJA X UNIDAD</v>
      </c>
      <c r="D42" s="113"/>
      <c r="E42" s="113"/>
      <c r="F42" s="113"/>
      <c r="G42" s="113"/>
      <c r="H42" s="65" t="s">
        <v>54</v>
      </c>
      <c r="I42" s="66" t="str">
        <f>'Necesidades Trimestrales'!F40</f>
        <v>UNIDAD</v>
      </c>
      <c r="J42" s="64">
        <f>'Necesidades Trimestrales'!H40</f>
        <v>235</v>
      </c>
      <c r="K42" s="63">
        <f>'Necesidades Trimestrales'!G40</f>
        <v>360</v>
      </c>
    </row>
    <row r="43" spans="1:11" ht="27.75" customHeight="1" x14ac:dyDescent="0.2">
      <c r="A43" s="61">
        <v>32</v>
      </c>
      <c r="B43" s="69"/>
      <c r="C43" s="113" t="str">
        <f>'Necesidades Trimestrales'!E41</f>
        <v>SUTURA QUIRURGICA ACIDO POLIGLICOLICO TRENZADA ABSROBIBLE TIPO VICRYL 1 J341 CON AGUJA X UNIDAD</v>
      </c>
      <c r="D43" s="113"/>
      <c r="E43" s="113"/>
      <c r="F43" s="113"/>
      <c r="G43" s="113"/>
      <c r="H43" s="65" t="s">
        <v>54</v>
      </c>
      <c r="I43" s="66" t="str">
        <f>'Necesidades Trimestrales'!F41</f>
        <v>UNIDAD</v>
      </c>
      <c r="J43" s="64">
        <f>'Necesidades Trimestrales'!H41</f>
        <v>235</v>
      </c>
      <c r="K43" s="63">
        <f>'Necesidades Trimestrales'!G41</f>
        <v>360</v>
      </c>
    </row>
    <row r="44" spans="1:11" ht="27.75" customHeight="1" x14ac:dyDescent="0.2">
      <c r="A44" s="61">
        <v>33</v>
      </c>
      <c r="B44" s="69"/>
      <c r="C44" s="113" t="str">
        <f>'Necesidades Trimestrales'!E42</f>
        <v>SUTURA QUIRURGICA ACIDO POLIGLICOLICO TRENZADA ABSORBIBLE TIPO VICRYL 2 J 536 H X UNIDAD</v>
      </c>
      <c r="D44" s="113"/>
      <c r="E44" s="113"/>
      <c r="F44" s="113"/>
      <c r="G44" s="113"/>
      <c r="H44" s="65" t="s">
        <v>54</v>
      </c>
      <c r="I44" s="66" t="str">
        <f>'Necesidades Trimestrales'!F42</f>
        <v>UNIDAD</v>
      </c>
      <c r="J44" s="64">
        <f>'Necesidades Trimestrales'!H42</f>
        <v>444</v>
      </c>
      <c r="K44" s="63">
        <f>'Necesidades Trimestrales'!G42</f>
        <v>108</v>
      </c>
    </row>
    <row r="45" spans="1:11" ht="27.75" customHeight="1" x14ac:dyDescent="0.2">
      <c r="A45" s="61">
        <v>34</v>
      </c>
      <c r="B45" s="69"/>
      <c r="C45" s="113" t="str">
        <f>'Necesidades Trimestrales'!E43</f>
        <v>SUTURA QUIRURGICA ACIDO POLIGLICOLICO TRENZADA ABSROBIBLE TIPO VICRYL 2/0 J317H CON AGUJA X UNIDAD</v>
      </c>
      <c r="D45" s="113"/>
      <c r="E45" s="113"/>
      <c r="F45" s="113"/>
      <c r="G45" s="113"/>
      <c r="H45" s="65" t="s">
        <v>54</v>
      </c>
      <c r="I45" s="66" t="str">
        <f>'Necesidades Trimestrales'!F43</f>
        <v>UNIDAD</v>
      </c>
      <c r="J45" s="64">
        <f>'Necesidades Trimestrales'!H43</f>
        <v>289</v>
      </c>
      <c r="K45" s="63">
        <f>'Necesidades Trimestrales'!G43</f>
        <v>360</v>
      </c>
    </row>
    <row r="46" spans="1:11" ht="27.75" customHeight="1" x14ac:dyDescent="0.2">
      <c r="A46" s="61">
        <v>35</v>
      </c>
      <c r="B46" s="69"/>
      <c r="C46" s="113" t="str">
        <f>'Necesidades Trimestrales'!E44</f>
        <v>SUTURA QUIRURGICA ACIDO POLIGLICOLICO TRENZADA ABSORBIBLE  NO ABSORBIBLE 0  TIPO VICRYL  J 334 H X UNIDAD</v>
      </c>
      <c r="D46" s="113"/>
      <c r="E46" s="113"/>
      <c r="F46" s="113"/>
      <c r="G46" s="113"/>
      <c r="H46" s="65" t="s">
        <v>54</v>
      </c>
      <c r="I46" s="66" t="str">
        <f>'Necesidades Trimestrales'!F44</f>
        <v>UNIDAD</v>
      </c>
      <c r="J46" s="64">
        <f>'Necesidades Trimestrales'!H44</f>
        <v>235</v>
      </c>
      <c r="K46" s="63">
        <f>'Necesidades Trimestrales'!G44</f>
        <v>360</v>
      </c>
    </row>
    <row r="47" spans="1:11" ht="27.75" customHeight="1" x14ac:dyDescent="0.2">
      <c r="A47" s="61">
        <v>36</v>
      </c>
      <c r="B47" s="69"/>
      <c r="C47" s="113" t="str">
        <f>'Necesidades Trimestrales'!E45</f>
        <v>SUTURA QUIRURGICA ACIDO POLIGLICOLICO ABSORBIBLE  3/0 TIPO VICRYL J 332H  X UNIDAD</v>
      </c>
      <c r="D47" s="113"/>
      <c r="E47" s="113"/>
      <c r="F47" s="113"/>
      <c r="G47" s="113"/>
      <c r="H47" s="65" t="s">
        <v>54</v>
      </c>
      <c r="I47" s="66" t="str">
        <f>'Necesidades Trimestrales'!F45</f>
        <v>UNIDAD</v>
      </c>
      <c r="J47" s="64">
        <f>'Necesidades Trimestrales'!H45</f>
        <v>285</v>
      </c>
      <c r="K47" s="63">
        <f>'Necesidades Trimestrales'!G45</f>
        <v>648</v>
      </c>
    </row>
    <row r="48" spans="1:11" ht="27.75" customHeight="1" x14ac:dyDescent="0.2">
      <c r="A48" s="61">
        <v>37</v>
      </c>
      <c r="B48" s="69"/>
      <c r="C48" s="113" t="str">
        <f>'Necesidades Trimestrales'!E46</f>
        <v>SUTURA QUIRURGICA ACIDO POLIGLICOLICO ABSORBIBLE 0  TIPO VICRYL J318 H  X UNIDAD</v>
      </c>
      <c r="D48" s="113"/>
      <c r="E48" s="113"/>
      <c r="F48" s="113"/>
      <c r="G48" s="113"/>
      <c r="H48" s="65" t="s">
        <v>54</v>
      </c>
      <c r="I48" s="66" t="str">
        <f>'Necesidades Trimestrales'!F46</f>
        <v>UNIDAD</v>
      </c>
      <c r="J48" s="64">
        <f>'Necesidades Trimestrales'!H46</f>
        <v>235</v>
      </c>
      <c r="K48" s="63">
        <f>'Necesidades Trimestrales'!G46</f>
        <v>108</v>
      </c>
    </row>
    <row r="49" spans="1:15" ht="27.75" customHeight="1" x14ac:dyDescent="0.2">
      <c r="A49" s="61">
        <v>38</v>
      </c>
      <c r="B49" s="69"/>
      <c r="C49" s="113" t="str">
        <f>'Necesidades Trimestrales'!E47</f>
        <v>SUTURA QUIRURGICA ACIDO POLIGLICOLICO ABSORBIBLE 3/0 TIPO VICRYL J 311 H X UNIDAD</v>
      </c>
      <c r="D49" s="113"/>
      <c r="E49" s="113"/>
      <c r="F49" s="113"/>
      <c r="G49" s="113"/>
      <c r="H49" s="65" t="s">
        <v>54</v>
      </c>
      <c r="I49" s="66" t="str">
        <f>'Necesidades Trimestrales'!F47</f>
        <v>UNIDAD</v>
      </c>
      <c r="J49" s="64">
        <f>'Necesidades Trimestrales'!H47</f>
        <v>285</v>
      </c>
      <c r="K49" s="63">
        <f>'Necesidades Trimestrales'!G47</f>
        <v>648</v>
      </c>
    </row>
    <row r="50" spans="1:15" ht="27.75" customHeight="1" x14ac:dyDescent="0.2">
      <c r="A50" s="61">
        <v>39</v>
      </c>
      <c r="B50" s="69"/>
      <c r="C50" s="113" t="str">
        <f>'Necesidades Trimestrales'!E48</f>
        <v>SUTURA QUIRURGICA POLIPROPILENO NO ABSORBIBLE TIPO PROLENE 0 CT 8424 X UNIDAD</v>
      </c>
      <c r="D50" s="113"/>
      <c r="E50" s="113"/>
      <c r="F50" s="113"/>
      <c r="G50" s="113"/>
      <c r="H50" s="65" t="s">
        <v>54</v>
      </c>
      <c r="I50" s="66" t="str">
        <f>'Necesidades Trimestrales'!F48</f>
        <v>UNIDAD</v>
      </c>
      <c r="J50" s="64">
        <f>'Necesidades Trimestrales'!H48</f>
        <v>780</v>
      </c>
      <c r="K50" s="63">
        <f>'Necesidades Trimestrales'!G48</f>
        <v>108</v>
      </c>
    </row>
    <row r="51" spans="1:15" ht="27.75" customHeight="1" x14ac:dyDescent="0.2">
      <c r="A51" s="61">
        <v>40</v>
      </c>
      <c r="B51" s="69"/>
      <c r="C51" s="113" t="str">
        <f>'Necesidades Trimestrales'!E49</f>
        <v>SUTURA QUIRURGICA POLIPROPILENO NO ABSORBIBLE TIPO PROLENE 1 CT   8425 H X UNIDAD</v>
      </c>
      <c r="D51" s="113"/>
      <c r="E51" s="113"/>
      <c r="F51" s="113"/>
      <c r="G51" s="113"/>
      <c r="H51" s="65" t="s">
        <v>54</v>
      </c>
      <c r="I51" s="66" t="str">
        <f>'Necesidades Trimestrales'!F49</f>
        <v>UNIDAD</v>
      </c>
      <c r="J51" s="64">
        <f>'Necesidades Trimestrales'!H49</f>
        <v>765</v>
      </c>
      <c r="K51" s="63">
        <f>'Necesidades Trimestrales'!G49</f>
        <v>108</v>
      </c>
    </row>
    <row r="52" spans="1:15" ht="27.75" customHeight="1" x14ac:dyDescent="0.2">
      <c r="A52" s="61">
        <v>41</v>
      </c>
      <c r="B52" s="69"/>
      <c r="C52" s="113" t="str">
        <f>'Necesidades Trimestrales'!E50</f>
        <v>SUTURA QUIRURGICA POLIPROPILENO NO ABSORBIBLE  2/0  CON AGUJA SC-26 3/08 CIRC 19 mm TIPO PROLENE 8185 T CON UNIDAD</v>
      </c>
      <c r="D52" s="113"/>
      <c r="E52" s="113"/>
      <c r="F52" s="113"/>
      <c r="G52" s="113"/>
      <c r="H52" s="65" t="s">
        <v>54</v>
      </c>
      <c r="I52" s="66" t="str">
        <f>'Necesidades Trimestrales'!F50</f>
        <v>UNIDAD</v>
      </c>
      <c r="J52" s="64">
        <f>'Necesidades Trimestrales'!H50</f>
        <v>782</v>
      </c>
      <c r="K52" s="63">
        <f>'Necesidades Trimestrales'!G50</f>
        <v>108</v>
      </c>
    </row>
    <row r="53" spans="1:15" ht="27.75" customHeight="1" x14ac:dyDescent="0.2">
      <c r="A53" s="61">
        <v>42</v>
      </c>
      <c r="B53" s="69"/>
      <c r="C53" s="113" t="str">
        <f>'Necesidades Trimestrales'!E51</f>
        <v>SUTURA QUIRURGICA POLIPROPILENO NO ABSORBIBLE  2/0  TIPO PROLENE con aguja recta 8423 T POR UNIDAD</v>
      </c>
      <c r="D53" s="113"/>
      <c r="E53" s="113"/>
      <c r="F53" s="113"/>
      <c r="G53" s="113"/>
      <c r="H53" s="65" t="s">
        <v>54</v>
      </c>
      <c r="I53" s="66" t="str">
        <f>'Necesidades Trimestrales'!F51</f>
        <v>UNIDAD</v>
      </c>
      <c r="J53" s="64">
        <f>'Necesidades Trimestrales'!H51</f>
        <v>782</v>
      </c>
      <c r="K53" s="63">
        <f>'Necesidades Trimestrales'!G51</f>
        <v>108</v>
      </c>
    </row>
    <row r="54" spans="1:15" ht="27.75" customHeight="1" x14ac:dyDescent="0.2">
      <c r="A54" s="61">
        <v>43</v>
      </c>
      <c r="B54" s="69"/>
      <c r="C54" s="113" t="str">
        <f>'Necesidades Trimestrales'!E52</f>
        <v>SUTURA QUIRURGICA POLIPROPILENO NO ABSORBIBLE  3/0 TIPO PROLENE  8622  H Con aguja recta POR UNIDAD</v>
      </c>
      <c r="D54" s="113"/>
      <c r="E54" s="113"/>
      <c r="F54" s="113"/>
      <c r="G54" s="113"/>
      <c r="H54" s="65" t="s">
        <v>54</v>
      </c>
      <c r="I54" s="66" t="str">
        <f>'Necesidades Trimestrales'!F52</f>
        <v>UNIDAD</v>
      </c>
      <c r="J54" s="64">
        <f>'Necesidades Trimestrales'!H52</f>
        <v>782</v>
      </c>
      <c r="K54" s="63">
        <f>'Necesidades Trimestrales'!G52</f>
        <v>108</v>
      </c>
    </row>
    <row r="55" spans="1:15" ht="27.75" customHeight="1" x14ac:dyDescent="0.2">
      <c r="A55" s="61">
        <v>44</v>
      </c>
      <c r="B55" s="69"/>
      <c r="C55" s="113" t="str">
        <f>'Necesidades Trimestrales'!E53</f>
        <v>SUTURA QUIRURGICA POLIPROPILENO NO ABSORBIBLE  3/0  TIPO PROLENE  8822 T AGUJA CURVA POR UNIDAD</v>
      </c>
      <c r="D55" s="113"/>
      <c r="E55" s="113"/>
      <c r="F55" s="113"/>
      <c r="G55" s="113"/>
      <c r="H55" s="65" t="s">
        <v>54</v>
      </c>
      <c r="I55" s="66" t="str">
        <f>'Necesidades Trimestrales'!F53</f>
        <v>UNIDAD</v>
      </c>
      <c r="J55" s="64">
        <f>'Necesidades Trimestrales'!H53</f>
        <v>782</v>
      </c>
      <c r="K55" s="63">
        <f>'Necesidades Trimestrales'!G53</f>
        <v>108</v>
      </c>
    </row>
    <row r="56" spans="1:15" ht="27.75" customHeight="1" x14ac:dyDescent="0.2">
      <c r="A56" s="61">
        <v>45</v>
      </c>
      <c r="B56" s="69"/>
      <c r="C56" s="113" t="str">
        <f>'Necesidades Trimestrales'!E54</f>
        <v>SUTURA QUIRURGICA POLIPROPILENO NO ABSORBIBLE 4/0 TIPO PROLENE  8521 T POR UNIDAD</v>
      </c>
      <c r="D56" s="113"/>
      <c r="E56" s="113"/>
      <c r="F56" s="113"/>
      <c r="G56" s="113"/>
      <c r="H56" s="65" t="s">
        <v>54</v>
      </c>
      <c r="I56" s="66" t="str">
        <f>'Necesidades Trimestrales'!F54</f>
        <v>UNIDAD</v>
      </c>
      <c r="J56" s="64">
        <f>'Necesidades Trimestrales'!H54</f>
        <v>782</v>
      </c>
      <c r="K56" s="63">
        <f>'Necesidades Trimestrales'!G54</f>
        <v>108</v>
      </c>
      <c r="O56" s="36" t="s">
        <v>55</v>
      </c>
    </row>
    <row r="57" spans="1:15" ht="27.75" customHeight="1" x14ac:dyDescent="0.2">
      <c r="A57" s="61">
        <v>46</v>
      </c>
      <c r="B57" s="69"/>
      <c r="C57" s="113" t="str">
        <f>'Necesidades Trimestrales'!E55</f>
        <v>SUTURA QUIRURGICA POLIPROPILENO NO ABSORBIBLE TIPO PROLENE 6/0 P8697 T PLASTICA POR UNIDAD</v>
      </c>
      <c r="D57" s="113"/>
      <c r="E57" s="113"/>
      <c r="F57" s="113"/>
      <c r="G57" s="113"/>
      <c r="H57" s="65" t="s">
        <v>54</v>
      </c>
      <c r="I57" s="66" t="str">
        <f>'Necesidades Trimestrales'!F55</f>
        <v>UNIDAD</v>
      </c>
      <c r="J57" s="64">
        <f>'Necesidades Trimestrales'!H55</f>
        <v>780</v>
      </c>
      <c r="K57" s="63">
        <f>'Necesidades Trimestrales'!G55</f>
        <v>108</v>
      </c>
    </row>
    <row r="58" spans="1:15" ht="27.75" customHeight="1" x14ac:dyDescent="0.2">
      <c r="A58" s="61">
        <v>47</v>
      </c>
      <c r="B58" s="69"/>
      <c r="C58" s="113" t="str">
        <f>'Necesidades Trimestrales'!E56</f>
        <v>SUTURA QUIRURGICA POLIPROPILENO NO ABSORBIBLE TIPO PROLENE 7/0 M 8727 T  POR UNIDAD</v>
      </c>
      <c r="D58" s="113"/>
      <c r="E58" s="113"/>
      <c r="F58" s="113"/>
      <c r="G58" s="113"/>
      <c r="H58" s="65" t="s">
        <v>54</v>
      </c>
      <c r="I58" s="66" t="str">
        <f>'Necesidades Trimestrales'!F56</f>
        <v>UNIDAD</v>
      </c>
      <c r="J58" s="64">
        <f>'Necesidades Trimestrales'!H56</f>
        <v>785</v>
      </c>
      <c r="K58" s="63">
        <f>'Necesidades Trimestrales'!G56</f>
        <v>108</v>
      </c>
    </row>
    <row r="59" spans="1:15" ht="27.75" customHeight="1" thickBot="1" x14ac:dyDescent="0.25">
      <c r="A59" s="61">
        <v>48</v>
      </c>
      <c r="B59" s="69"/>
      <c r="C59" s="113" t="str">
        <f>'Necesidades Trimestrales'!E57</f>
        <v>SUTURA QUIRURGICA ACIDO POLIGLICOLICO  ABSORBIBLE TIPO VICRYL  2 W9246 POR UNIDAD</v>
      </c>
      <c r="D59" s="113"/>
      <c r="E59" s="113"/>
      <c r="F59" s="113"/>
      <c r="G59" s="113"/>
      <c r="H59" s="65" t="s">
        <v>54</v>
      </c>
      <c r="I59" s="66" t="str">
        <f>'Necesidades Trimestrales'!F57</f>
        <v>UNIDAD</v>
      </c>
      <c r="J59" s="64">
        <f>'Necesidades Trimestrales'!H57</f>
        <v>444</v>
      </c>
      <c r="K59" s="63">
        <f>'Necesidades Trimestrales'!G57</f>
        <v>180</v>
      </c>
    </row>
    <row r="60" spans="1:15" ht="20.25" customHeight="1" thickBot="1" x14ac:dyDescent="0.25">
      <c r="A60" s="116" t="s">
        <v>119</v>
      </c>
      <c r="B60" s="116"/>
      <c r="C60" s="116"/>
      <c r="D60" s="116"/>
      <c r="E60" s="116"/>
      <c r="F60" s="116"/>
      <c r="G60" s="116"/>
      <c r="H60" s="116"/>
      <c r="I60" s="116"/>
      <c r="J60" s="123">
        <f>SUMPRODUCT(J12:J59,K12:K59)</f>
        <v>5911344</v>
      </c>
      <c r="K60" s="123"/>
      <c r="N60" s="46"/>
    </row>
  </sheetData>
  <mergeCells count="70">
    <mergeCell ref="C57:G57"/>
    <mergeCell ref="C58:G58"/>
    <mergeCell ref="C59:G59"/>
    <mergeCell ref="A60:I60"/>
    <mergeCell ref="J60:K6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0:G30"/>
    <mergeCell ref="C25:G25"/>
    <mergeCell ref="C26:G26"/>
    <mergeCell ref="C27:G27"/>
    <mergeCell ref="C28:G28"/>
    <mergeCell ref="C29:G29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54:G54"/>
    <mergeCell ref="C55:G55"/>
    <mergeCell ref="C56:G56"/>
    <mergeCell ref="C49:G49"/>
    <mergeCell ref="C50:G50"/>
    <mergeCell ref="C51:G51"/>
    <mergeCell ref="C52:G52"/>
    <mergeCell ref="C53:G53"/>
    <mergeCell ref="C42:G42"/>
    <mergeCell ref="C43:G43"/>
    <mergeCell ref="C44:G44"/>
    <mergeCell ref="C45:G45"/>
    <mergeCell ref="C46:G46"/>
    <mergeCell ref="C47:G47"/>
    <mergeCell ref="C48:G48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A16" zoomScale="130" zoomScaleNormal="130" workbookViewId="0">
      <selection activeCell="L29" sqref="L2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1.28515625" bestFit="1" customWidth="1"/>
  </cols>
  <sheetData>
    <row r="1" spans="1:17" ht="15.75" customHeight="1" x14ac:dyDescent="0.25">
      <c r="A1" s="124" t="s">
        <v>3</v>
      </c>
      <c r="B1" s="124"/>
      <c r="C1" s="124"/>
      <c r="D1" s="125">
        <f>'Necesidades Trimestrales'!C6</f>
        <v>2022</v>
      </c>
      <c r="E1" s="125"/>
      <c r="F1" s="3"/>
      <c r="G1" s="3"/>
      <c r="H1" s="4"/>
      <c r="I1" s="4"/>
      <c r="J1" s="4"/>
      <c r="K1" s="4"/>
      <c r="L1" s="4"/>
      <c r="M1" s="4"/>
      <c r="N1" s="4"/>
      <c r="P1" s="126" t="s">
        <v>25</v>
      </c>
      <c r="Q1" s="12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6"/>
      <c r="Q2" s="126"/>
    </row>
    <row r="4" spans="1:17" s="5" customFormat="1" ht="18" customHeight="1" thickBot="1" x14ac:dyDescent="0.25">
      <c r="A4" s="127" t="s">
        <v>26</v>
      </c>
      <c r="B4" s="127"/>
      <c r="C4" s="127"/>
      <c r="D4" s="127"/>
      <c r="E4" s="127"/>
      <c r="F4" s="127"/>
      <c r="G4" s="128" t="str">
        <f>' NotaPedido'!D3</f>
        <v>040 - 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5" customFormat="1" ht="18" customHeight="1" thickBot="1" x14ac:dyDescent="0.25">
      <c r="A5" s="129" t="s">
        <v>49</v>
      </c>
      <c r="B5" s="130"/>
      <c r="C5" s="130"/>
      <c r="D5" s="130"/>
      <c r="E5" s="130"/>
      <c r="F5" s="131"/>
      <c r="G5" s="128" t="str">
        <f>' NotaPedido'!D4</f>
        <v>024 - Hospital Interzonal de Niños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5" customFormat="1" ht="18" customHeight="1" thickBot="1" x14ac:dyDescent="0.25">
      <c r="A6" s="129" t="s">
        <v>27</v>
      </c>
      <c r="B6" s="130"/>
      <c r="C6" s="130"/>
      <c r="D6" s="130"/>
      <c r="E6" s="130"/>
      <c r="F6" s="131"/>
      <c r="G6" s="128" t="str">
        <f>' NotaPedido'!D5</f>
        <v>024 - Hospital Interzonal de Niños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5" customFormat="1" ht="18" customHeight="1" thickBot="1" x14ac:dyDescent="0.25">
      <c r="A7" s="129" t="s">
        <v>50</v>
      </c>
      <c r="B7" s="130"/>
      <c r="C7" s="130"/>
      <c r="D7" s="130"/>
      <c r="E7" s="130"/>
      <c r="F7" s="131"/>
      <c r="G7" s="128" t="s">
        <v>56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 thickBot="1" x14ac:dyDescent="0.25">
      <c r="A8" s="132" t="s">
        <v>28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33" t="s">
        <v>29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6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011/2022,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5" t="s">
        <v>30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thickBot="1" x14ac:dyDescent="0.25">
      <c r="A13" s="136" t="s">
        <v>31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32</v>
      </c>
      <c r="P13" s="139"/>
      <c r="Q13" s="142" t="s">
        <v>33</v>
      </c>
    </row>
    <row r="14" spans="1:17" ht="15.75" customHeight="1" thickBot="1" x14ac:dyDescent="0.25">
      <c r="A14" s="51" t="s">
        <v>34</v>
      </c>
      <c r="B14" s="52" t="s">
        <v>35</v>
      </c>
      <c r="C14" s="52" t="s">
        <v>36</v>
      </c>
      <c r="D14" s="52" t="s">
        <v>37</v>
      </c>
      <c r="E14" s="52" t="s">
        <v>38</v>
      </c>
      <c r="F14" s="52" t="s">
        <v>39</v>
      </c>
      <c r="G14" s="53" t="s">
        <v>40</v>
      </c>
      <c r="H14" s="52" t="s">
        <v>41</v>
      </c>
      <c r="I14" s="52" t="s">
        <v>42</v>
      </c>
      <c r="J14" s="52" t="s">
        <v>43</v>
      </c>
      <c r="K14" s="52" t="s">
        <v>43</v>
      </c>
      <c r="L14" s="52" t="s">
        <v>44</v>
      </c>
      <c r="M14" s="54" t="s">
        <v>45</v>
      </c>
      <c r="N14" s="55" t="s">
        <v>46</v>
      </c>
      <c r="O14" s="140"/>
      <c r="P14" s="141"/>
      <c r="Q14" s="143"/>
    </row>
    <row r="15" spans="1:17" ht="26.25" customHeight="1" x14ac:dyDescent="0.2">
      <c r="A15" s="47">
        <v>36</v>
      </c>
      <c r="B15" s="48"/>
      <c r="C15" s="48"/>
      <c r="D15" s="48">
        <v>1</v>
      </c>
      <c r="E15" s="48"/>
      <c r="F15" s="48">
        <v>4901</v>
      </c>
      <c r="G15" s="48">
        <v>3</v>
      </c>
      <c r="H15" s="48">
        <v>310</v>
      </c>
      <c r="I15" s="48">
        <v>2</v>
      </c>
      <c r="J15" s="48">
        <v>9</v>
      </c>
      <c r="K15" s="48">
        <v>5</v>
      </c>
      <c r="L15" s="48"/>
      <c r="M15" s="49">
        <v>1</v>
      </c>
      <c r="N15" s="50" t="s">
        <v>53</v>
      </c>
      <c r="O15" s="144" t="s">
        <v>59</v>
      </c>
      <c r="P15" s="144"/>
      <c r="Q15" s="56">
        <v>5911344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57"/>
      <c r="O16" s="145"/>
      <c r="P16" s="146"/>
      <c r="Q16" s="15"/>
    </row>
    <row r="17" spans="1:19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46"/>
      <c r="P17" s="146"/>
      <c r="Q17" s="15"/>
    </row>
    <row r="18" spans="1:19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6"/>
      <c r="P18" s="146"/>
      <c r="Q18" s="15"/>
    </row>
    <row r="19" spans="1:19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52"/>
      <c r="P19" s="152"/>
      <c r="Q19" s="15"/>
      <c r="R19" s="1"/>
    </row>
    <row r="20" spans="1:19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53"/>
      <c r="P20" s="153"/>
      <c r="Q20" s="24"/>
    </row>
    <row r="21" spans="1:19" ht="29.25" customHeight="1" x14ac:dyDescent="0.2">
      <c r="A21" s="154" t="s">
        <v>120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25">
        <f>SUM(Q15:Q20)</f>
        <v>5911344</v>
      </c>
      <c r="S21" s="96"/>
    </row>
    <row r="22" spans="1:19" ht="18" customHeight="1" thickBot="1" x14ac:dyDescent="0.25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</row>
    <row r="23" spans="1:19" ht="17.25" customHeight="1" thickBot="1" x14ac:dyDescent="0.25">
      <c r="A23" s="147" t="s">
        <v>47</v>
      </c>
      <c r="B23" s="148"/>
      <c r="C23" s="148"/>
      <c r="D23" s="148"/>
      <c r="E23" s="148"/>
      <c r="F23" s="149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</row>
    <row r="24" spans="1:19" ht="18" customHeight="1" thickBot="1" x14ac:dyDescent="0.25">
      <c r="A24" s="151" t="s">
        <v>103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</row>
    <row r="25" spans="1:19" ht="26.25" customHeight="1" x14ac:dyDescent="0.2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2021-11-08T15:21:02Z</cp:lastPrinted>
  <dcterms:created xsi:type="dcterms:W3CDTF">2020-07-17T23:44:49Z</dcterms:created>
  <dcterms:modified xsi:type="dcterms:W3CDTF">2022-02-25T13:37:57Z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