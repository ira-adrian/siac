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Tramites Cesar\Equipos Sanitarios y Utiles Menores\"/>
    </mc:Choice>
  </mc:AlternateContent>
  <xr:revisionPtr revIDLastSave="0" documentId="13_ncr:1_{C5438CBE-5519-4251-BC8E-538CCB9F6F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TRIMESTRAL'!$A$9:$J$31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0" i="1" l="1"/>
  <c r="C103" i="1" l="1"/>
  <c r="C97" i="1"/>
  <c r="C94" i="1"/>
  <c r="C91" i="1"/>
  <c r="C88" i="1"/>
  <c r="C85" i="1"/>
  <c r="C82" i="1"/>
  <c r="C79" i="1"/>
  <c r="C76" i="1"/>
  <c r="C73" i="1"/>
  <c r="C70" i="1"/>
  <c r="C67" i="1"/>
  <c r="C64" i="1"/>
  <c r="C61" i="1"/>
  <c r="C58" i="1"/>
  <c r="C55" i="1"/>
  <c r="C52" i="1"/>
  <c r="C49" i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P30" i="2" l="1"/>
  <c r="P33" i="2" s="1"/>
  <c r="O17" i="2"/>
  <c r="A40" i="3"/>
  <c r="G7" i="3"/>
  <c r="G6" i="3"/>
  <c r="G5" i="3"/>
  <c r="G4" i="3"/>
  <c r="C12" i="2"/>
  <c r="B12" i="2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0" i="1" l="1"/>
  <c r="J33" i="2"/>
  <c r="O20" i="2"/>
  <c r="O24" i="2"/>
  <c r="O14" i="2"/>
  <c r="O18" i="2"/>
  <c r="O26" i="2"/>
  <c r="O16" i="2"/>
  <c r="O28" i="2"/>
  <c r="O13" i="2"/>
  <c r="O21" i="2"/>
  <c r="N22" i="2"/>
  <c r="O25" i="2"/>
  <c r="O29" i="2"/>
  <c r="N15" i="2"/>
  <c r="O19" i="2"/>
  <c r="O23" i="2"/>
  <c r="O27" i="2"/>
  <c r="O31" i="2"/>
  <c r="O12" i="2"/>
  <c r="O33" i="2" l="1"/>
  <c r="N33" i="2"/>
  <c r="Q37" i="3" l="1"/>
  <c r="Q33" i="2"/>
</calcChain>
</file>

<file path=xl/sharedStrings.xml><?xml version="1.0" encoding="utf-8"?>
<sst xmlns="http://schemas.openxmlformats.org/spreadsheetml/2006/main" count="266" uniqueCount="160">
  <si>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</si>
  <si>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</si>
  <si>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</si>
  <si>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</si>
  <si>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</si>
  <si>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</si>
  <si>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</si>
  <si>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</si>
  <si>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</si>
  <si>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</si>
  <si>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</si>
  <si>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</si>
  <si>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</si>
  <si>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</si>
  <si>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</si>
  <si>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</si>
  <si>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</si>
  <si>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4.3.3-5415.6</t>
  </si>
  <si>
    <t>PROD. MEDICO/FARMACEUTICOS/LAB</t>
  </si>
  <si>
    <t>4.3.3</t>
  </si>
  <si>
    <t>BALANZAS P/PERSONAS; TIPO: ADULTO, PRECISION: 100 GR, ACCESORIO: ALTIMETRO, CAPACIDAD: 250 Kg</t>
  </si>
  <si>
    <t>UNIDAD</t>
  </si>
  <si>
    <t>4.3.3-5415.3</t>
  </si>
  <si>
    <t>BALANZAS P/PERSONAS; TIPO: P/ADULTOS, PRECISION: 100 GR, ACCESORIO: ALTIMETRO, CAPACIDAD: 150 Kg</t>
  </si>
  <si>
    <t>4.3.3-5415.7</t>
  </si>
  <si>
    <t>BALANZAS P/PERSONAS; TIPO: PEDIATRICA, PRECISION: 100 GR, ACCESORIO: ESCALIMETRO, CAPACIDAD: 50 Kg</t>
  </si>
  <si>
    <t>2.9.5-8239.1</t>
  </si>
  <si>
    <t>2.9.5</t>
  </si>
  <si>
    <t>CHATAS; MATERIAL: PVC</t>
  </si>
  <si>
    <t>2.9.5-5041.6</t>
  </si>
  <si>
    <t>COLLARES CERVICALES; MATERIAL: PLASTICO, TALLE: SIN VALOR, USO: INMOBILIZADORES LATERALES DE C</t>
  </si>
  <si>
    <t>4.3.3-7798.1</t>
  </si>
  <si>
    <t>DETECTORES DE LATIDOS; USO: P/LATIDOS FETALES, ALIMENTACION: ELECTRICA-BATERIA, FRECUENCIA: 1,1- 2,1 MHZ, INTENSIDAD: 10 MW/CM2, CORRIENTE: 10 MW/CM2</t>
  </si>
  <si>
    <t>4.3.3-2049.4</t>
  </si>
  <si>
    <t>ESTETOSCOPIOS; TIPO: VIA AURICULAR, CAMPANA: DOBLE</t>
  </si>
  <si>
    <t>2.9.5-8874.9</t>
  </si>
  <si>
    <t>INSTRUMENTAL MEDICO; DESCRIPCION: TABLA LARGA DE INMOVILIZACION, DESCARTABLE: NO, MATERIAL: POLIETILENO, ELEMENTO: TABLA LARGA DE INMOVILIZACION</t>
  </si>
  <si>
    <t>2.9.5-8874.10</t>
  </si>
  <si>
    <t>INSTRUMENTAL MEDICO; DESCRIPCION: TABLA PEDIATRICA, DESCARTABLE: NO, MATERIAL: MADERA, ELEMENTO: TABLA PEDIATRICA</t>
  </si>
  <si>
    <t>2.9.5-8234.1</t>
  </si>
  <si>
    <t>ORINALES; MATERIAL: MATERIAL PVC</t>
  </si>
  <si>
    <t>4.3.3-5079.5</t>
  </si>
  <si>
    <t>EQUIPOS</t>
  </si>
  <si>
    <t>OTOSCOPIOS; TIPO: DE BOLSILLO C/LAMPARA, CANULAS: SIN, ALIMENTACION: A PILA</t>
  </si>
  <si>
    <t>4.3.3-3999.3</t>
  </si>
  <si>
    <t>OXIMETROS DE BOLSILLOS; RANGO: 0 - 100 %, TEMPERATURA DE TRABAJO: 0 A 50 °C, ALIMENTACION: 2 BATERIAS, PESO: 50 A 70 GR</t>
  </si>
  <si>
    <t>4.3.3-7819.1</t>
  </si>
  <si>
    <t>PEDIOMETROS; RANGO: 0 A 1 M, RESOLUCION: 0,5 Cm, MATERIAL: ALUMINIO Y PLASTICO</t>
  </si>
  <si>
    <t>4.3.3-4853.2</t>
  </si>
  <si>
    <t>PIES DE SUEROS; RUEDAS: CON, MATERIAL: ACERO INOXIDABLE</t>
  </si>
  <si>
    <t>4.3.3-130.13</t>
  </si>
  <si>
    <t>TENSIOMETROS ARTERIALES; RANGO DE PRESION: +/- 3 mm hg, RANGO PULSACIONES: SIN, ALIMENTACION: SIN, TIPO: ANEROIDE</t>
  </si>
  <si>
    <t>4.3.3-3675.100</t>
  </si>
  <si>
    <t>TERMOMETROS; TIPO: DIGITAL, ESCALA: GRADO CENTIGRADO, RANGO DE TEMPERATURA: -5 A 50 °C</t>
  </si>
  <si>
    <t>4.3.3-4212.4</t>
  </si>
  <si>
    <t>TUBOS DE OXIGENO; TIPO: CAPACIDAD 6 M3</t>
  </si>
  <si>
    <t>TOTAL RUBRO EQUIPOS Y UTILES MEDICOS MENORES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</si>
  <si>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</si>
  <si>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</si>
  <si>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</si>
  <si>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</si>
  <si>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</si>
  <si>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</si>
  <si>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</si>
  <si>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ESPECIFICIDADES ITEM 5</t>
  </si>
  <si>
    <t>ESPECIFICIDADES ITEM 8</t>
  </si>
  <si>
    <t>ESPECIFICIDADES ITEM 9</t>
  </si>
  <si>
    <t>ESPECIFICIDADES ITEM 10</t>
  </si>
  <si>
    <t>ESPECIFICIDADES ITEM 11</t>
  </si>
  <si>
    <t>ESPECIFICIDADES ITEM 14</t>
  </si>
  <si>
    <t>ESPECIFICIDADES ITEM 16</t>
  </si>
  <si>
    <t>ESPECIFICIDADES ITEM 17</t>
  </si>
  <si>
    <t>ESPECIFICIDADES ITEM 18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</si>
  <si>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</si>
  <si>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</si>
  <si>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</si>
  <si>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</si>
  <si>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</si>
  <si>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</si>
  <si>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</si>
  <si>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</si>
  <si>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</si>
  <si>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</si>
  <si>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ADQUISICION DE EQUIPOS Y UTILES MEDICOS MENORES CON DESTINO A HOSPITALES DE LA PROVINCIA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</si>
  <si>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</si>
  <si>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</si>
  <si>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</si>
  <si>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</si>
  <si>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</si>
  <si>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</si>
  <si>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</si>
  <si>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</si>
  <si>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SI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</si>
  <si>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</si>
  <si>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</si>
  <si>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</si>
  <si>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</si>
  <si>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</si>
  <si>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</si>
  <si>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</si>
  <si>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</si>
  <si>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</si>
  <si>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</si>
  <si>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</si>
  <si>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</si>
  <si>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</si>
  <si>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</si>
  <si>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</si>
  <si>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</si>
  <si>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</si>
  <si>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</si>
  <si>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</si>
  <si>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</si>
  <si>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</si>
  <si>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</si>
  <si>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UTILES MENORES MEDICOS QUIRURGICOS Y DE LABORATORIO</t>
  </si>
  <si>
    <t>EQUIPOS SANITARIOS Y DE LABORATORIO</t>
  </si>
  <si>
    <t>JUSTIFICACIÓN:</t>
  </si>
  <si>
    <t xml:space="preserve"> Tecnología LED y Fibra Optica, Aumento mínimo de 3x, cabezal giratorio, rueda de lentes con 18 lentes mínimo.</t>
  </si>
  <si>
    <r>
      <rPr>
        <sz val="10"/>
        <color rgb="FFFF0000"/>
        <rFont val="Calibri"/>
        <family val="2"/>
      </rPr>
      <t xml:space="preserve"> </t>
    </r>
    <r>
      <rPr>
        <sz val="10"/>
        <rFont val="Calibri"/>
        <family val="2"/>
      </rPr>
      <t>Para uso pedíatrico, con una varilla metálica milimetrada, y aletas plásticas fija que pueden sujetarse cómodamente.</t>
    </r>
  </si>
  <si>
    <t>2.9.5-4208.17</t>
  </si>
  <si>
    <t>ELEMENTOS P/RADIOLOGIA; TIPO: DELANTAL PLOMADO, PRESENTACION: UNIDAD</t>
  </si>
  <si>
    <t>50 unid. uso masculino - 50 unid. Uso femenino</t>
  </si>
  <si>
    <t>modelo con doble cabezal (campana + diafragma: uso adulto y pediátrico), tubo auditivo de acero inoxidable con curvatura anatómica, olivas de goma y garantía minima de 1 año. 70 unid para uso en adultos y 70 unid. Para uso pediatrico</t>
  </si>
  <si>
    <t>Construída ergonómicamente en HDPE (Polietileno de Alta Densidad, lavable antiestático de alta resistencia) sin costuras p/evitar el alojamiento de gérmenes patógenos, acabado delicado, impermeable y atóxico con exclusivos calados p/inmovilizador cervical, pectorales, abdomen y piernas en forma independiente. incluye juegos de cinturones de fijacion, con velcro, colores según codigos internacionales.</t>
  </si>
  <si>
    <t>Multilaminado fenólico standard, con un mínimo de 5 capas compensadas, con calados (para inmovilizador cervical y piernas en forma individual), terminación plastificado en barniz marino, con tres juegos de cinturones de fijación con velcro.</t>
  </si>
  <si>
    <t>Altura mínima regulable de 180cm, con  base rodante de 5 ramas con ruedas de plástico de alta resistencia y alto impacto inyectadas. Caño y estructura en acero inoxidable, con 2 ganchos minimo.</t>
  </si>
  <si>
    <t>De uso medicinal, provisto de una válvula de reducción medicinal con regulador de flujo y manómetro. Industria Nacional. Material acero. Color blanco. Con prueba hidráulica aprobada por 5 años. Incluye soporte</t>
  </si>
  <si>
    <t>veinte (20) dias habiles</t>
  </si>
  <si>
    <t>Garantia:</t>
  </si>
  <si>
    <t>un (1) año</t>
  </si>
  <si>
    <t>4.3.9</t>
  </si>
  <si>
    <t>OTROS N.E.P.</t>
  </si>
  <si>
    <t>ESPECIFICIDADES ITEM 1</t>
  </si>
  <si>
    <t>ESPECIFICIDADES ITEM 2</t>
  </si>
  <si>
    <t>ESPECIFICIDADES ITEM 3</t>
  </si>
  <si>
    <t>ESPECIFICIDADES ITEM 6</t>
  </si>
  <si>
    <t>ESPECIFICIDADES ITEM 7</t>
  </si>
  <si>
    <t>ESPECIFICIDADES ITEM 12</t>
  </si>
  <si>
    <t>ESPECIFICIDADES ITEM 13</t>
  </si>
  <si>
    <t>ESPECIFICIDADES ITEM 15</t>
  </si>
  <si>
    <t>ESPECIFICIDADES ITEM 20</t>
  </si>
  <si>
    <t>TERCERO</t>
  </si>
  <si>
    <t xml:space="preserve"> 08/2022</t>
  </si>
  <si>
    <t>Autorizo la realización de los  trámites correspondientes, a fin de proveer a  este Organismo los bienes, servicios o ejecución de obras públicas que se detallan en Nota  de Pedido N° 08/2022 , afectando la erogación resultante a los créditos presupuestarios aprobados a favor de esta Unidad Ejecutora, conforme al siguiente detalle:</t>
  </si>
  <si>
    <t xml:space="preserve">Balanza tipo: mecánica, con estructura totalmente metálica recubierta con pintura epoxi, plataforma de apoyo en caucho antideslizante. Con Altímetro Incluido. Sistema de fácil lectura a barra y cursores. Escala graduada en relieve en acero inoxidable. Dispositivo de traba de brazo. Asientos y cuchillas de acero. Patas regulables. Garantía mínima un (1) año, aprobado por ANMAT. </t>
  </si>
  <si>
    <t xml:space="preserve">Balanza tipo: mecánica, con estructura totalmente metálica recubierta con pintura epoxi, plataforma de apoyo en caucho antideslizante. Con Altímetro Incluido. Sistema de fácil lectura a barra y cursores. Escala graduada en relieve en acero inoxidable. Dispositivo de traba de brazo. Asientos y cuchillas de acero. Patas regulables. Garantía mínima de un (1) año, aprobado por ANMAT. </t>
  </si>
  <si>
    <t>Consta de emisor/receptor de señal ultrasónica, procesador, pantalla mínima LCD, altavoz y fuente de alimentación; ser de fácil uso y portátil; Mostrar la frecuencia cardíaca, con una medición precisa y de sonido nítido. Con funciones mínimas como: toma en tiempo real, promedio y conteo manual. Con salida de audio externa, bajo consumo y función de apagado automático. Aprobado por ANMAT.</t>
  </si>
  <si>
    <t>Tensiómetro manual anaeroide (analógico), con manómetro circular de facil lectura, brazalete uso adulto, con  estetoscopio de campana simple y olivas de plástico incluido. Aprobado por ANMAT.</t>
  </si>
  <si>
    <t>Tensiómetro manual anaeroide (analógico), con manómetro circular de facil lectura, brazalete uso pediátrico, con  estetoscopio de campana simple y olivas de plástico incluido. Aprobado por ANMAT.</t>
  </si>
  <si>
    <t>Tensiómetro manual anaeroide (analógico), con manómetro circular de facil lectura, brazalete uso adulto obesos (de 32 a 42cm de diámetro aproximado), con  estetoscopio de campana simple y olivas de plástico incluido. Aprobado por ANMAT.</t>
  </si>
  <si>
    <t>Aprobado por ANMAT.</t>
  </si>
  <si>
    <t>ESPECIFICIDADES ITEM 19</t>
  </si>
  <si>
    <t>Oximetro de pulso adulto (15 unidades) / pediatrico (10 unidades). Alimentación con 2 pilas AAA, debe contar con aprobación de ANMAT</t>
  </si>
  <si>
    <t>Inmovilizador filadelfia en dos piezas, ajustables entre si con velcro - Talle S: 20 unid. - Talle M: 20 unid. - Talle L: 20 unid. - Talle XL: 20 unid. - Talle Pediatrico: 20 unid. Que cumpla con las siguientes caracteristicas mínimas: Hipoalergénico, Anatómico, Regulable, Material: por ej. Polietilendo expandido de celdas cerradas, Disponible en tamaño pediatrico, chico, mediano, grande y extra grande de acuerdo a los talles solicitados. Aprobado por ANMAT</t>
  </si>
  <si>
    <t>Tamaño adulto, recubierto con tela de avión, cierre mediante correas, con protector de tiroides y 0,5mm de plomo de blindaje. Aprobado por ANMAT</t>
  </si>
  <si>
    <t>* ADJUNTAR FOLLETERIA, MANUALES Y/O CUALQUIER OTRA DOCUMENTACION QUE EL PROVEEDOR ESTIME NECESARIO PARA ACLARAR EL BIEN COTIZADO</t>
  </si>
  <si>
    <t>Costo total estimado: PESOS DOCE MILLONES SEISCIENTOS SETENTA Y SIETE MIL OCHOCIENTOS CON 00/100.-</t>
  </si>
  <si>
    <t>TOTAL DE PESOS: DOCE MILLONES SEISCIENTOS SETENTA Y SIETE MIL OCHOCIENTOS CON 00/100.-</t>
  </si>
  <si>
    <t>3er TRIMESTRE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</si>
</sst>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</numFmts>
  <fonts count="38" x14ac:knownFonts="1">
    <font>
      <sz val="11"/>
      <color rgb="FF000000"/>
      <name val="Calibri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u/>
      <sz val="24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Times New Roman"/>
      <family val="1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/>
      <bottom style="thin">
        <color rgb="FF3D3D3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7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3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0" fillId="0" borderId="14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/>
    <xf numFmtId="165" fontId="14" fillId="0" borderId="18" xfId="0" applyNumberFormat="1" applyFont="1" applyBorder="1" applyAlignment="1">
      <alignment horizontal="right" vertical="center"/>
    </xf>
    <xf numFmtId="0" fontId="15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vertical="center"/>
    </xf>
    <xf numFmtId="0" fontId="17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vertical="center"/>
    </xf>
    <xf numFmtId="0" fontId="19" fillId="0" borderId="0" xfId="0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14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165" fontId="15" fillId="0" borderId="25" xfId="0" applyNumberFormat="1" applyFont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22" fillId="0" borderId="13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165" fontId="15" fillId="0" borderId="0" xfId="0" applyNumberFormat="1" applyFont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24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 wrapText="1"/>
    </xf>
    <xf numFmtId="165" fontId="24" fillId="0" borderId="41" xfId="0" applyNumberFormat="1" applyFont="1" applyBorder="1" applyAlignment="1">
      <alignment horizontal="center" vertical="center" wrapText="1"/>
    </xf>
    <xf numFmtId="3" fontId="24" fillId="0" borderId="45" xfId="0" applyNumberFormat="1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65" fontId="24" fillId="0" borderId="1" xfId="0" applyNumberFormat="1" applyFont="1" applyBorder="1" applyAlignment="1">
      <alignment horizontal="center" vertical="center" wrapText="1"/>
    </xf>
    <xf numFmtId="3" fontId="24" fillId="0" borderId="48" xfId="0" applyNumberFormat="1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 wrapText="1"/>
    </xf>
    <xf numFmtId="165" fontId="24" fillId="0" borderId="50" xfId="0" applyNumberFormat="1" applyFont="1" applyBorder="1" applyAlignment="1">
      <alignment horizontal="center" vertical="center" wrapText="1"/>
    </xf>
    <xf numFmtId="3" fontId="24" fillId="0" borderId="54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165" fontId="0" fillId="0" borderId="0" xfId="0" applyNumberFormat="1" applyFont="1"/>
    <xf numFmtId="3" fontId="25" fillId="0" borderId="11" xfId="0" applyNumberFormat="1" applyFont="1" applyBorder="1"/>
    <xf numFmtId="167" fontId="0" fillId="0" borderId="11" xfId="0" applyNumberFormat="1" applyFont="1" applyBorder="1" applyAlignment="1">
      <alignment horizontal="left"/>
    </xf>
    <xf numFmtId="0" fontId="0" fillId="0" borderId="11" xfId="0" applyFont="1" applyBorder="1"/>
    <xf numFmtId="0" fontId="0" fillId="0" borderId="13" xfId="0" applyFont="1" applyBorder="1"/>
    <xf numFmtId="0" fontId="0" fillId="0" borderId="0" xfId="0" applyFont="1" applyAlignment="1">
      <alignment horizontal="left"/>
    </xf>
    <xf numFmtId="167" fontId="0" fillId="0" borderId="0" xfId="0" applyNumberFormat="1" applyFont="1" applyAlignment="1">
      <alignment horizontal="left"/>
    </xf>
    <xf numFmtId="165" fontId="0" fillId="0" borderId="14" xfId="0" applyNumberFormat="1" applyFont="1" applyBorder="1"/>
    <xf numFmtId="0" fontId="0" fillId="0" borderId="63" xfId="0" applyFont="1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165" fontId="0" fillId="0" borderId="69" xfId="0" applyNumberFormat="1" applyFont="1" applyBorder="1" applyAlignment="1">
      <alignment horizontal="center" vertical="center"/>
    </xf>
    <xf numFmtId="0" fontId="28" fillId="0" borderId="63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8" fillId="0" borderId="65" xfId="0" applyFont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0" fillId="0" borderId="70" xfId="0" applyFont="1" applyBorder="1" applyAlignment="1">
      <alignment horizontal="center" vertical="center"/>
    </xf>
    <xf numFmtId="0" fontId="0" fillId="0" borderId="71" xfId="0" applyFont="1" applyBorder="1" applyAlignment="1">
      <alignment horizontal="center" vertical="center"/>
    </xf>
    <xf numFmtId="0" fontId="0" fillId="0" borderId="72" xfId="0" applyFont="1" applyBorder="1" applyAlignment="1">
      <alignment horizontal="center" vertical="center"/>
    </xf>
    <xf numFmtId="165" fontId="0" fillId="0" borderId="74" xfId="0" applyNumberFormat="1" applyFont="1" applyBorder="1" applyAlignment="1">
      <alignment horizontal="center" vertical="center"/>
    </xf>
    <xf numFmtId="165" fontId="30" fillId="0" borderId="76" xfId="0" applyNumberFormat="1" applyFont="1" applyBorder="1" applyAlignment="1">
      <alignment horizontal="center" vertical="center"/>
    </xf>
    <xf numFmtId="0" fontId="12" fillId="0" borderId="14" xfId="0" applyFont="1" applyBorder="1"/>
    <xf numFmtId="0" fontId="0" fillId="0" borderId="0" xfId="0" applyFont="1" applyAlignment="1"/>
    <xf numFmtId="0" fontId="1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164" fontId="7" fillId="0" borderId="47" xfId="0" applyNumberFormat="1" applyFont="1" applyBorder="1" applyAlignment="1">
      <alignment horizontal="right" vertical="center" wrapText="1"/>
    </xf>
    <xf numFmtId="165" fontId="7" fillId="0" borderId="47" xfId="0" applyNumberFormat="1" applyFont="1" applyBorder="1" applyAlignment="1">
      <alignment horizontal="center" vertical="center"/>
    </xf>
    <xf numFmtId="164" fontId="7" fillId="0" borderId="77" xfId="0" applyNumberFormat="1" applyFont="1" applyBorder="1" applyAlignment="1">
      <alignment horizontal="right" vertical="center" wrapText="1"/>
    </xf>
    <xf numFmtId="0" fontId="32" fillId="0" borderId="0" xfId="0" applyFont="1"/>
    <xf numFmtId="0" fontId="32" fillId="0" borderId="0" xfId="0" applyFont="1" applyAlignment="1"/>
    <xf numFmtId="0" fontId="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165" fontId="0" fillId="0" borderId="85" xfId="0" applyNumberFormat="1" applyFont="1" applyBorder="1" applyAlignment="1">
      <alignment horizontal="center" vertical="center"/>
    </xf>
    <xf numFmtId="0" fontId="30" fillId="0" borderId="91" xfId="0" applyFont="1" applyBorder="1" applyAlignment="1">
      <alignment horizontal="center" vertical="center"/>
    </xf>
    <xf numFmtId="0" fontId="30" fillId="0" borderId="92" xfId="0" applyFont="1" applyBorder="1" applyAlignment="1">
      <alignment horizontal="center" vertical="center"/>
    </xf>
    <xf numFmtId="0" fontId="30" fillId="0" borderId="92" xfId="0" applyFont="1" applyBorder="1" applyAlignment="1">
      <alignment horizontal="left" vertical="center"/>
    </xf>
    <xf numFmtId="0" fontId="30" fillId="0" borderId="93" xfId="0" applyFont="1" applyBorder="1" applyAlignment="1">
      <alignment horizontal="center" vertical="center"/>
    </xf>
    <xf numFmtId="0" fontId="30" fillId="0" borderId="94" xfId="0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0" fillId="0" borderId="0" xfId="0" applyFont="1" applyAlignment="1"/>
    <xf numFmtId="165" fontId="37" fillId="0" borderId="0" xfId="0" applyNumberFormat="1" applyFont="1" applyFill="1"/>
    <xf numFmtId="0" fontId="37" fillId="0" borderId="0" xfId="0" applyFont="1" applyFill="1"/>
    <xf numFmtId="0" fontId="37" fillId="0" borderId="0" xfId="0" applyFont="1" applyFill="1" applyAlignment="1"/>
    <xf numFmtId="165" fontId="37" fillId="0" borderId="0" xfId="0" applyNumberFormat="1" applyFont="1" applyFill="1" applyAlignment="1">
      <alignment vertical="center"/>
    </xf>
    <xf numFmtId="0" fontId="7" fillId="0" borderId="82" xfId="0" applyFont="1" applyFill="1" applyBorder="1" applyAlignment="1">
      <alignment horizontal="left" vertical="center" wrapText="1"/>
    </xf>
    <xf numFmtId="0" fontId="7" fillId="0" borderId="78" xfId="0" applyFont="1" applyFill="1" applyBorder="1" applyAlignment="1">
      <alignment horizontal="left" vertical="center" wrapText="1"/>
    </xf>
    <xf numFmtId="0" fontId="7" fillId="0" borderId="83" xfId="0" applyFont="1" applyFill="1" applyBorder="1" applyAlignment="1">
      <alignment horizontal="left" vertical="center" wrapText="1"/>
    </xf>
    <xf numFmtId="0" fontId="35" fillId="0" borderId="79" xfId="0" applyFont="1" applyFill="1" applyBorder="1" applyAlignment="1">
      <alignment horizontal="left" vertical="center" wrapText="1"/>
    </xf>
    <xf numFmtId="0" fontId="10" fillId="0" borderId="80" xfId="0" applyFont="1" applyFill="1" applyBorder="1" applyAlignment="1">
      <alignment horizontal="left" vertical="center" wrapText="1"/>
    </xf>
    <xf numFmtId="0" fontId="10" fillId="0" borderId="81" xfId="0" applyFont="1" applyFill="1" applyBorder="1" applyAlignment="1">
      <alignment horizontal="left" vertical="center" wrapText="1"/>
    </xf>
    <xf numFmtId="0" fontId="10" fillId="0" borderId="79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14" xfId="0" applyFont="1" applyBorder="1"/>
    <xf numFmtId="0" fontId="0" fillId="0" borderId="16" xfId="0" applyFont="1" applyBorder="1" applyAlignment="1">
      <alignment horizontal="center" vertical="center"/>
    </xf>
    <xf numFmtId="0" fontId="12" fillId="0" borderId="17" xfId="0" applyFont="1" applyBorder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36" fillId="0" borderId="13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36" fillId="0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/>
    </xf>
    <xf numFmtId="0" fontId="12" fillId="0" borderId="11" xfId="0" applyFont="1" applyBorder="1"/>
    <xf numFmtId="0" fontId="22" fillId="0" borderId="27" xfId="0" applyFont="1" applyBorder="1" applyAlignment="1">
      <alignment horizontal="left" vertical="center" wrapText="1"/>
    </xf>
    <xf numFmtId="0" fontId="12" fillId="0" borderId="28" xfId="0" applyFont="1" applyBorder="1"/>
    <xf numFmtId="0" fontId="24" fillId="0" borderId="42" xfId="0" applyFont="1" applyBorder="1" applyAlignment="1">
      <alignment horizontal="left" vertical="center" wrapText="1"/>
    </xf>
    <xf numFmtId="0" fontId="12" fillId="0" borderId="43" xfId="0" applyFont="1" applyBorder="1"/>
    <xf numFmtId="0" fontId="12" fillId="0" borderId="44" xfId="0" applyFont="1" applyBorder="1"/>
    <xf numFmtId="0" fontId="23" fillId="0" borderId="32" xfId="0" applyFont="1" applyBorder="1" applyAlignment="1">
      <alignment horizontal="center" vertical="center" wrapText="1"/>
    </xf>
    <xf numFmtId="0" fontId="12" fillId="0" borderId="36" xfId="0" applyFont="1" applyBorder="1"/>
    <xf numFmtId="0" fontId="23" fillId="0" borderId="31" xfId="0" applyFont="1" applyBorder="1" applyAlignment="1">
      <alignment horizontal="center" vertical="center"/>
    </xf>
    <xf numFmtId="0" fontId="12" fillId="0" borderId="35" xfId="0" applyFont="1" applyBorder="1"/>
    <xf numFmtId="0" fontId="22" fillId="0" borderId="22" xfId="0" applyFont="1" applyBorder="1" applyAlignment="1">
      <alignment horizontal="left" vertical="center" wrapText="1"/>
    </xf>
    <xf numFmtId="0" fontId="12" fillId="0" borderId="23" xfId="0" applyFont="1" applyBorder="1"/>
    <xf numFmtId="0" fontId="23" fillId="0" borderId="33" xfId="0" applyFont="1" applyBorder="1" applyAlignment="1">
      <alignment horizontal="center" vertical="center" wrapText="1"/>
    </xf>
    <xf numFmtId="0" fontId="12" fillId="0" borderId="18" xfId="0" applyFont="1" applyBorder="1"/>
    <xf numFmtId="0" fontId="12" fillId="0" borderId="37" xfId="0" applyFont="1" applyBorder="1"/>
    <xf numFmtId="0" fontId="12" fillId="0" borderId="38" xfId="0" applyFont="1" applyBorder="1"/>
    <xf numFmtId="0" fontId="22" fillId="0" borderId="24" xfId="0" applyFont="1" applyBorder="1" applyAlignment="1">
      <alignment horizontal="left" vertical="center"/>
    </xf>
    <xf numFmtId="0" fontId="12" fillId="0" borderId="25" xfId="0" applyFont="1" applyBorder="1"/>
    <xf numFmtId="0" fontId="12" fillId="0" borderId="29" xfId="0" applyFont="1" applyBorder="1"/>
    <xf numFmtId="166" fontId="15" fillId="0" borderId="24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0" fontId="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vertical="center"/>
    </xf>
    <xf numFmtId="0" fontId="24" fillId="0" borderId="51" xfId="0" applyFont="1" applyBorder="1" applyAlignment="1">
      <alignment horizontal="center" vertical="center" wrapText="1"/>
    </xf>
    <xf numFmtId="0" fontId="12" fillId="0" borderId="52" xfId="0" applyFont="1" applyBorder="1"/>
    <xf numFmtId="0" fontId="12" fillId="0" borderId="53" xfId="0" applyFont="1" applyBorder="1"/>
    <xf numFmtId="0" fontId="23" fillId="0" borderId="34" xfId="0" applyFont="1" applyBorder="1" applyAlignment="1">
      <alignment horizontal="center" vertical="center" wrapText="1"/>
    </xf>
    <xf numFmtId="0" fontId="12" fillId="0" borderId="39" xfId="0" applyFont="1" applyBorder="1"/>
    <xf numFmtId="165" fontId="23" fillId="0" borderId="32" xfId="0" applyNumberFormat="1" applyFont="1" applyBorder="1" applyAlignment="1">
      <alignment horizontal="center" vertical="center" wrapText="1"/>
    </xf>
    <xf numFmtId="0" fontId="0" fillId="0" borderId="67" xfId="0" applyFont="1" applyBorder="1" applyAlignment="1">
      <alignment horizontal="center" vertical="center"/>
    </xf>
    <xf numFmtId="0" fontId="12" fillId="0" borderId="68" xfId="0" applyFont="1" applyBorder="1"/>
    <xf numFmtId="0" fontId="0" fillId="0" borderId="67" xfId="0" applyFont="1" applyBorder="1" applyAlignment="1">
      <alignment horizontal="left" vertical="center"/>
    </xf>
    <xf numFmtId="0" fontId="0" fillId="0" borderId="72" xfId="0" applyFont="1" applyBorder="1" applyAlignment="1">
      <alignment horizontal="left" vertical="center"/>
    </xf>
    <xf numFmtId="0" fontId="12" fillId="0" borderId="73" xfId="0" applyFont="1" applyBorder="1"/>
    <xf numFmtId="0" fontId="25" fillId="0" borderId="20" xfId="0" applyFont="1" applyBorder="1" applyAlignment="1">
      <alignment horizontal="left" vertical="center" wrapText="1"/>
    </xf>
    <xf numFmtId="0" fontId="12" fillId="0" borderId="21" xfId="0" applyFont="1" applyBorder="1"/>
    <xf numFmtId="0" fontId="12" fillId="0" borderId="75" xfId="0" applyFont="1" applyBorder="1"/>
    <xf numFmtId="0" fontId="0" fillId="0" borderId="27" xfId="0" applyFont="1" applyBorder="1"/>
    <xf numFmtId="0" fontId="12" fillId="0" borderId="60" xfId="0" applyFont="1" applyBorder="1"/>
    <xf numFmtId="0" fontId="25" fillId="0" borderId="24" xfId="0" applyFont="1" applyBorder="1" applyAlignment="1">
      <alignment vertical="center" wrapText="1"/>
    </xf>
    <xf numFmtId="0" fontId="12" fillId="0" borderId="26" xfId="0" applyFont="1" applyBorder="1"/>
    <xf numFmtId="0" fontId="28" fillId="0" borderId="28" xfId="0" applyFont="1" applyBorder="1" applyAlignment="1">
      <alignment vertical="center" wrapText="1"/>
    </xf>
    <xf numFmtId="0" fontId="28" fillId="0" borderId="13" xfId="0" applyFont="1" applyBorder="1" applyAlignment="1">
      <alignment horizontal="left" vertical="center" wrapText="1"/>
    </xf>
    <xf numFmtId="0" fontId="12" fillId="0" borderId="15" xfId="0" applyFont="1" applyBorder="1"/>
    <xf numFmtId="0" fontId="12" fillId="0" borderId="16" xfId="0" applyFont="1" applyBorder="1"/>
    <xf numFmtId="0" fontId="0" fillId="0" borderId="24" xfId="0" applyFont="1" applyBorder="1" applyAlignment="1">
      <alignment horizontal="center"/>
    </xf>
    <xf numFmtId="3" fontId="25" fillId="0" borderId="25" xfId="0" applyNumberFormat="1" applyFont="1" applyBorder="1" applyAlignment="1">
      <alignment horizontal="center"/>
    </xf>
    <xf numFmtId="0" fontId="26" fillId="0" borderId="33" xfId="0" applyFont="1" applyBorder="1" applyAlignment="1">
      <alignment horizontal="center" vertical="center" wrapText="1"/>
    </xf>
    <xf numFmtId="0" fontId="12" fillId="0" borderId="12" xfId="0" applyFont="1" applyBorder="1"/>
    <xf numFmtId="0" fontId="12" fillId="0" borderId="55" xfId="0" applyFont="1" applyBorder="1"/>
    <xf numFmtId="0" fontId="12" fillId="0" borderId="56" xfId="0" applyFont="1" applyBorder="1"/>
    <xf numFmtId="0" fontId="28" fillId="0" borderId="58" xfId="0" applyFont="1" applyBorder="1" applyAlignment="1">
      <alignment horizontal="left"/>
    </xf>
    <xf numFmtId="0" fontId="12" fillId="0" borderId="59" xfId="0" applyFont="1" applyBorder="1"/>
    <xf numFmtId="0" fontId="1" fillId="0" borderId="22" xfId="0" applyFont="1" applyBorder="1" applyAlignment="1">
      <alignment horizontal="left" vertical="center" wrapText="1"/>
    </xf>
    <xf numFmtId="0" fontId="12" fillId="0" borderId="57" xfId="0" applyFont="1" applyBorder="1"/>
    <xf numFmtId="0" fontId="27" fillId="0" borderId="22" xfId="0" applyFont="1" applyBorder="1"/>
    <xf numFmtId="0" fontId="28" fillId="0" borderId="27" xfId="0" applyFont="1" applyBorder="1" applyAlignment="1">
      <alignment horizontal="left"/>
    </xf>
    <xf numFmtId="0" fontId="29" fillId="0" borderId="22" xfId="0" applyFont="1" applyBorder="1" applyAlignment="1">
      <alignment horizontal="left"/>
    </xf>
    <xf numFmtId="49" fontId="28" fillId="0" borderId="13" xfId="0" applyNumberFormat="1" applyFont="1" applyBorder="1" applyAlignment="1">
      <alignment horizontal="left" vertical="center" wrapText="1"/>
    </xf>
    <xf numFmtId="0" fontId="30" fillId="0" borderId="86" xfId="0" applyFont="1" applyBorder="1" applyAlignment="1">
      <alignment horizontal="center" vertical="center"/>
    </xf>
    <xf numFmtId="0" fontId="12" fillId="0" borderId="87" xfId="0" applyFont="1" applyBorder="1"/>
    <xf numFmtId="0" fontId="12" fillId="0" borderId="88" xfId="0" applyFont="1" applyBorder="1"/>
    <xf numFmtId="0" fontId="30" fillId="0" borderId="89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12" fillId="0" borderId="62" xfId="0" applyFont="1" applyBorder="1"/>
    <xf numFmtId="0" fontId="12" fillId="0" borderId="95" xfId="0" applyFont="1" applyBorder="1"/>
    <xf numFmtId="0" fontId="12" fillId="0" borderId="96" xfId="0" applyFont="1" applyBorder="1"/>
    <xf numFmtId="165" fontId="30" fillId="0" borderId="90" xfId="0" applyNumberFormat="1" applyFont="1" applyBorder="1" applyAlignment="1">
      <alignment horizontal="center" vertical="center"/>
    </xf>
    <xf numFmtId="0" fontId="12" fillId="0" borderId="97" xfId="0" applyFont="1" applyBorder="1"/>
    <xf numFmtId="0" fontId="0" fillId="0" borderId="65" xfId="0" applyFont="1" applyBorder="1" applyAlignment="1">
      <alignment horizontal="left" vertical="center" wrapText="1"/>
    </xf>
    <xf numFmtId="0" fontId="12" fillId="0" borderId="84" xfId="0" applyFont="1" applyBorder="1"/>
    <xf numFmtId="0" fontId="33" fillId="0" borderId="67" xfId="0" applyFont="1" applyBorder="1" applyAlignment="1">
      <alignment horizontal="left" vertical="center"/>
    </xf>
    <xf numFmtId="0" fontId="12" fillId="0" borderId="68" xfId="0" applyFont="1" applyBorder="1" applyAlignment="1">
      <alignment horizontal="left"/>
    </xf>
    <xf numFmtId="165" fontId="3" fillId="0" borderId="99" xfId="0" applyNumberFormat="1" applyFont="1" applyBorder="1" applyAlignment="1">
      <alignment horizontal="center" vertical="center" wrapText="1"/>
    </xf>
    <xf numFmtId="165" fontId="7" fillId="2" borderId="100" xfId="0" applyNumberFormat="1" applyFont="1" applyFill="1" applyBorder="1" applyAlignment="1">
      <alignment horizontal="center" vertical="center" wrapText="1"/>
    </xf>
    <xf numFmtId="165" fontId="7" fillId="2" borderId="101" xfId="0" applyNumberFormat="1" applyFont="1" applyFill="1" applyBorder="1" applyAlignment="1">
      <alignment horizontal="center" vertical="center" wrapText="1"/>
    </xf>
    <xf numFmtId="165" fontId="7" fillId="0" borderId="101" xfId="0" applyNumberFormat="1" applyFont="1" applyBorder="1" applyAlignment="1">
      <alignment horizontal="center" vertical="center" wrapText="1"/>
    </xf>
    <xf numFmtId="165" fontId="7" fillId="2" borderId="102" xfId="0" applyNumberFormat="1" applyFont="1" applyFill="1" applyBorder="1" applyAlignment="1">
      <alignment horizontal="center" vertical="center" wrapText="1"/>
    </xf>
    <xf numFmtId="165" fontId="9" fillId="0" borderId="103" xfId="0" applyNumberFormat="1" applyFont="1" applyBorder="1" applyAlignment="1">
      <alignment horizontal="center" vertical="center" wrapText="1"/>
    </xf>
    <xf numFmtId="0" fontId="6" fillId="0" borderId="98" xfId="0" applyFont="1" applyFill="1" applyBorder="1" applyAlignment="1">
      <alignment horizontal="center" vertical="center"/>
    </xf>
    <xf numFmtId="0" fontId="7" fillId="0" borderId="98" xfId="0" applyFont="1" applyFill="1" applyBorder="1" applyAlignment="1">
      <alignment vertical="center"/>
    </xf>
    <xf numFmtId="0" fontId="31" fillId="0" borderId="98" xfId="0" applyFont="1" applyFill="1" applyBorder="1" applyAlignment="1">
      <alignment vertical="center"/>
    </xf>
    <xf numFmtId="0" fontId="9" fillId="0" borderId="98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3"/>
  <sheetViews>
    <sheetView tabSelected="1" topLeftCell="D6" zoomScale="90" zoomScaleNormal="90" workbookViewId="0">
      <selection activeCell="F11" sqref="F11"/>
    </sheetView>
  </sheetViews>
  <sheetFormatPr baseColWidth="10" defaultColWidth="14.42578125" defaultRowHeight="15" customHeight="1" x14ac:dyDescent="0.25"/>
  <cols>
    <col min="1" max="1" width="4.85546875" customWidth="1"/>
    <col min="2" max="2" width="13.85546875" customWidth="1"/>
    <col min="3" max="3" width="37.7109375" style="98" customWidth="1"/>
    <col min="4" max="4" width="5.5703125" style="98" customWidth="1"/>
    <col min="5" max="5" width="91.85546875" customWidth="1"/>
    <col min="6" max="6" width="18.140625" customWidth="1"/>
    <col min="7" max="7" width="11.42578125" customWidth="1"/>
    <col min="8" max="8" width="15.5703125" customWidth="1"/>
    <col min="9" max="9" width="19.28515625" customWidth="1"/>
    <col min="10" max="10" width="76" style="256" customWidth="1"/>
  </cols>
  <sheetData>
    <row r="1" spans="1:10" x14ac:dyDescent="0.25">
      <c r="A1" s="1">
        <v>2022</v>
      </c>
      <c r="B1" s="2"/>
      <c r="C1" s="99"/>
      <c r="D1" s="99"/>
      <c r="E1" s="4"/>
      <c r="F1" s="3"/>
      <c r="G1" s="8"/>
      <c r="H1" s="6"/>
      <c r="I1" s="6"/>
      <c r="J1" s="253"/>
    </row>
    <row r="2" spans="1:10" ht="18.75" x14ac:dyDescent="0.25">
      <c r="A2" s="3"/>
      <c r="B2" s="160" t="s">
        <v>0</v>
      </c>
      <c r="C2" s="156"/>
      <c r="D2" s="156"/>
      <c r="E2" s="156"/>
      <c r="F2" s="156"/>
      <c r="G2" s="156"/>
      <c r="H2" s="156"/>
      <c r="I2" s="6"/>
      <c r="J2" s="253"/>
    </row>
    <row r="3" spans="1:10" x14ac:dyDescent="0.25">
      <c r="A3" s="3"/>
      <c r="B3" s="2"/>
      <c r="C3" s="99"/>
      <c r="D3" s="99"/>
      <c r="E3" s="4"/>
      <c r="F3" s="3"/>
      <c r="G3" s="8"/>
      <c r="H3" s="6"/>
      <c r="I3" s="6"/>
      <c r="J3" s="253"/>
    </row>
    <row r="4" spans="1:10" x14ac:dyDescent="0.25">
      <c r="A4" s="155" t="s">
        <v>1</v>
      </c>
      <c r="B4" s="156"/>
      <c r="C4" s="161" t="s">
        <v>2</v>
      </c>
      <c r="D4" s="156"/>
      <c r="E4" s="156"/>
      <c r="F4" s="9"/>
      <c r="G4" s="8"/>
      <c r="H4" s="6"/>
      <c r="I4" s="6"/>
      <c r="J4" s="253"/>
    </row>
    <row r="5" spans="1:10" x14ac:dyDescent="0.25">
      <c r="A5" s="155" t="s">
        <v>3</v>
      </c>
      <c r="B5" s="156"/>
      <c r="C5" s="162" t="s">
        <v>4</v>
      </c>
      <c r="D5" s="156"/>
      <c r="E5" s="156"/>
      <c r="F5" s="9"/>
      <c r="G5" s="10"/>
      <c r="H5" s="5"/>
      <c r="I5" s="5"/>
      <c r="J5" s="253"/>
    </row>
    <row r="6" spans="1:10" x14ac:dyDescent="0.25">
      <c r="A6" s="155" t="s">
        <v>5</v>
      </c>
      <c r="B6" s="156"/>
      <c r="C6" s="100">
        <v>2022</v>
      </c>
      <c r="D6" s="101"/>
      <c r="E6" s="11"/>
      <c r="F6" s="9"/>
      <c r="G6" s="10"/>
      <c r="H6" s="5"/>
      <c r="I6" s="5"/>
      <c r="J6" s="253"/>
    </row>
    <row r="7" spans="1:10" x14ac:dyDescent="0.25">
      <c r="A7" s="155" t="s">
        <v>6</v>
      </c>
      <c r="B7" s="156"/>
      <c r="C7" s="100" t="s">
        <v>142</v>
      </c>
      <c r="D7" s="101"/>
      <c r="E7" s="11"/>
      <c r="F7" s="9"/>
      <c r="G7" s="10"/>
      <c r="H7" s="5"/>
      <c r="I7" s="5"/>
      <c r="J7" s="253"/>
    </row>
    <row r="8" spans="1:10" ht="15.75" thickBot="1" x14ac:dyDescent="0.3">
      <c r="A8" s="3"/>
      <c r="B8" s="9"/>
      <c r="C8" s="102"/>
      <c r="D8" s="102"/>
      <c r="E8" s="12"/>
      <c r="F8" s="9"/>
      <c r="G8" s="10"/>
      <c r="H8" s="5"/>
      <c r="I8" s="5"/>
      <c r="J8" s="253"/>
    </row>
    <row r="9" spans="1:10" ht="39" thickBot="1" x14ac:dyDescent="0.3">
      <c r="A9" s="13" t="s">
        <v>7</v>
      </c>
      <c r="B9" s="14" t="s">
        <v>8</v>
      </c>
      <c r="C9" s="103" t="s">
        <v>9</v>
      </c>
      <c r="D9" s="104" t="s">
        <v>10</v>
      </c>
      <c r="E9" s="16" t="s">
        <v>11</v>
      </c>
      <c r="F9" s="15" t="s">
        <v>12</v>
      </c>
      <c r="G9" s="17" t="s">
        <v>13</v>
      </c>
      <c r="H9" s="18" t="s">
        <v>14</v>
      </c>
      <c r="I9" s="243" t="s">
        <v>15</v>
      </c>
      <c r="J9" s="249" t="s">
        <v>16</v>
      </c>
    </row>
    <row r="10" spans="1:10" ht="43.9" customHeight="1" x14ac:dyDescent="0.25">
      <c r="A10" s="19">
        <v>1</v>
      </c>
      <c r="B10" s="19" t="s">
        <v>17</v>
      </c>
      <c r="C10" s="105" t="s">
        <v>18</v>
      </c>
      <c r="D10" s="105" t="s">
        <v>19</v>
      </c>
      <c r="E10" s="20" t="s">
        <v>20</v>
      </c>
      <c r="F10" s="21" t="s">
        <v>21</v>
      </c>
      <c r="G10" s="22">
        <v>10</v>
      </c>
      <c r="H10" s="117">
        <v>180000</v>
      </c>
      <c r="I10" s="244">
        <f t="shared" ref="I10:I29" si="0">+G10*H10</f>
        <v>1800000</v>
      </c>
      <c r="J10" s="250" t="s">
        <v>145</v>
      </c>
    </row>
    <row r="11" spans="1:10" ht="46.15" customHeight="1" x14ac:dyDescent="0.25">
      <c r="A11" s="19">
        <v>2</v>
      </c>
      <c r="B11" s="19" t="s">
        <v>22</v>
      </c>
      <c r="C11" s="105" t="s">
        <v>18</v>
      </c>
      <c r="D11" s="105" t="s">
        <v>19</v>
      </c>
      <c r="E11" s="20" t="s">
        <v>23</v>
      </c>
      <c r="F11" s="21" t="s">
        <v>21</v>
      </c>
      <c r="G11" s="22">
        <v>10</v>
      </c>
      <c r="H11" s="117">
        <v>110000</v>
      </c>
      <c r="I11" s="245">
        <f t="shared" si="0"/>
        <v>1100000</v>
      </c>
      <c r="J11" s="250" t="s">
        <v>146</v>
      </c>
    </row>
    <row r="12" spans="1:10" ht="35.450000000000003" customHeight="1" x14ac:dyDescent="0.25">
      <c r="A12" s="19">
        <v>3</v>
      </c>
      <c r="B12" s="19" t="s">
        <v>24</v>
      </c>
      <c r="C12" s="105" t="s">
        <v>18</v>
      </c>
      <c r="D12" s="105" t="s">
        <v>19</v>
      </c>
      <c r="E12" s="20" t="s">
        <v>25</v>
      </c>
      <c r="F12" s="21" t="s">
        <v>21</v>
      </c>
      <c r="G12" s="22">
        <v>10</v>
      </c>
      <c r="H12" s="117">
        <v>110000</v>
      </c>
      <c r="I12" s="245">
        <f t="shared" si="0"/>
        <v>1100000</v>
      </c>
      <c r="J12" s="250" t="s">
        <v>146</v>
      </c>
    </row>
    <row r="13" spans="1:10" ht="28.15" customHeight="1" x14ac:dyDescent="0.25">
      <c r="A13" s="19">
        <v>4</v>
      </c>
      <c r="B13" s="19" t="s">
        <v>26</v>
      </c>
      <c r="C13" s="105" t="s">
        <v>18</v>
      </c>
      <c r="D13" s="105" t="s">
        <v>27</v>
      </c>
      <c r="E13" s="20" t="s">
        <v>28</v>
      </c>
      <c r="F13" s="21" t="s">
        <v>21</v>
      </c>
      <c r="G13" s="22">
        <v>85</v>
      </c>
      <c r="H13" s="117">
        <v>800</v>
      </c>
      <c r="I13" s="245">
        <f t="shared" si="0"/>
        <v>68000</v>
      </c>
      <c r="J13" s="250"/>
    </row>
    <row r="14" spans="1:10" ht="28.9" customHeight="1" x14ac:dyDescent="0.25">
      <c r="A14" s="19">
        <v>5</v>
      </c>
      <c r="B14" s="19" t="s">
        <v>29</v>
      </c>
      <c r="C14" s="105" t="s">
        <v>18</v>
      </c>
      <c r="D14" s="105" t="s">
        <v>19</v>
      </c>
      <c r="E14" s="20" t="s">
        <v>30</v>
      </c>
      <c r="F14" s="21" t="s">
        <v>21</v>
      </c>
      <c r="G14" s="22">
        <v>100</v>
      </c>
      <c r="H14" s="117">
        <v>2300</v>
      </c>
      <c r="I14" s="245">
        <f t="shared" si="0"/>
        <v>230000</v>
      </c>
      <c r="J14" s="251" t="s">
        <v>154</v>
      </c>
    </row>
    <row r="15" spans="1:10" ht="31.9" customHeight="1" x14ac:dyDescent="0.25">
      <c r="A15" s="19">
        <v>6</v>
      </c>
      <c r="B15" s="21" t="s">
        <v>120</v>
      </c>
      <c r="C15" s="106" t="s">
        <v>18</v>
      </c>
      <c r="D15" s="106" t="s">
        <v>19</v>
      </c>
      <c r="E15" s="20" t="s">
        <v>121</v>
      </c>
      <c r="F15" s="21" t="s">
        <v>21</v>
      </c>
      <c r="G15" s="22">
        <v>50</v>
      </c>
      <c r="H15" s="118">
        <v>42000</v>
      </c>
      <c r="I15" s="245">
        <f t="shared" si="0"/>
        <v>2100000</v>
      </c>
      <c r="J15" s="250" t="s">
        <v>155</v>
      </c>
    </row>
    <row r="16" spans="1:10" ht="38.450000000000003" customHeight="1" x14ac:dyDescent="0.25">
      <c r="A16" s="19">
        <v>7</v>
      </c>
      <c r="B16" s="19" t="s">
        <v>31</v>
      </c>
      <c r="C16" s="105" t="s">
        <v>18</v>
      </c>
      <c r="D16" s="105" t="s">
        <v>19</v>
      </c>
      <c r="E16" s="20" t="s">
        <v>32</v>
      </c>
      <c r="F16" s="21" t="s">
        <v>21</v>
      </c>
      <c r="G16" s="22">
        <v>15</v>
      </c>
      <c r="H16" s="117">
        <v>17300</v>
      </c>
      <c r="I16" s="245">
        <f t="shared" si="0"/>
        <v>259500</v>
      </c>
      <c r="J16" s="251" t="s">
        <v>147</v>
      </c>
    </row>
    <row r="17" spans="1:10" ht="36.6" customHeight="1" x14ac:dyDescent="0.25">
      <c r="A17" s="19">
        <v>8</v>
      </c>
      <c r="B17" s="19" t="s">
        <v>33</v>
      </c>
      <c r="C17" s="105" t="s">
        <v>18</v>
      </c>
      <c r="D17" s="105" t="s">
        <v>19</v>
      </c>
      <c r="E17" s="20" t="s">
        <v>34</v>
      </c>
      <c r="F17" s="21" t="s">
        <v>21</v>
      </c>
      <c r="G17" s="22">
        <v>140</v>
      </c>
      <c r="H17" s="117">
        <v>5500</v>
      </c>
      <c r="I17" s="246">
        <f t="shared" si="0"/>
        <v>770000</v>
      </c>
      <c r="J17" s="251" t="s">
        <v>123</v>
      </c>
    </row>
    <row r="18" spans="1:10" ht="42.6" customHeight="1" x14ac:dyDescent="0.25">
      <c r="A18" s="19">
        <v>9</v>
      </c>
      <c r="B18" s="19" t="s">
        <v>35</v>
      </c>
      <c r="C18" s="105" t="s">
        <v>18</v>
      </c>
      <c r="D18" s="105" t="s">
        <v>19</v>
      </c>
      <c r="E18" s="20" t="s">
        <v>36</v>
      </c>
      <c r="F18" s="21" t="s">
        <v>21</v>
      </c>
      <c r="G18" s="22">
        <v>10</v>
      </c>
      <c r="H18" s="117">
        <v>32000</v>
      </c>
      <c r="I18" s="246">
        <f t="shared" si="0"/>
        <v>320000</v>
      </c>
      <c r="J18" s="251" t="s">
        <v>124</v>
      </c>
    </row>
    <row r="19" spans="1:10" ht="48" customHeight="1" x14ac:dyDescent="0.25">
      <c r="A19" s="19">
        <v>10</v>
      </c>
      <c r="B19" s="19" t="s">
        <v>37</v>
      </c>
      <c r="C19" s="105" t="s">
        <v>18</v>
      </c>
      <c r="D19" s="105" t="s">
        <v>19</v>
      </c>
      <c r="E19" s="20" t="s">
        <v>38</v>
      </c>
      <c r="F19" s="21" t="s">
        <v>21</v>
      </c>
      <c r="G19" s="22">
        <v>10</v>
      </c>
      <c r="H19" s="117">
        <v>28000</v>
      </c>
      <c r="I19" s="246">
        <f t="shared" si="0"/>
        <v>280000</v>
      </c>
      <c r="J19" s="251" t="s">
        <v>125</v>
      </c>
    </row>
    <row r="20" spans="1:10" ht="25.5" customHeight="1" x14ac:dyDescent="0.25">
      <c r="A20" s="19">
        <v>11</v>
      </c>
      <c r="B20" s="19" t="s">
        <v>39</v>
      </c>
      <c r="C20" s="105" t="s">
        <v>18</v>
      </c>
      <c r="D20" s="105" t="s">
        <v>27</v>
      </c>
      <c r="E20" s="20" t="s">
        <v>40</v>
      </c>
      <c r="F20" s="21" t="s">
        <v>21</v>
      </c>
      <c r="G20" s="22">
        <v>100</v>
      </c>
      <c r="H20" s="117">
        <v>500</v>
      </c>
      <c r="I20" s="246">
        <f t="shared" si="0"/>
        <v>50000</v>
      </c>
      <c r="J20" s="251" t="s">
        <v>122</v>
      </c>
    </row>
    <row r="21" spans="1:10" ht="29.45" customHeight="1" x14ac:dyDescent="0.25">
      <c r="A21" s="19">
        <v>12</v>
      </c>
      <c r="B21" s="19" t="s">
        <v>41</v>
      </c>
      <c r="C21" s="105" t="s">
        <v>42</v>
      </c>
      <c r="D21" s="105" t="s">
        <v>19</v>
      </c>
      <c r="E21" s="20" t="s">
        <v>43</v>
      </c>
      <c r="F21" s="21" t="s">
        <v>21</v>
      </c>
      <c r="G21" s="22">
        <v>14</v>
      </c>
      <c r="H21" s="117">
        <v>7300</v>
      </c>
      <c r="I21" s="246">
        <f t="shared" si="0"/>
        <v>102200</v>
      </c>
      <c r="J21" s="251" t="s">
        <v>118</v>
      </c>
    </row>
    <row r="22" spans="1:10" ht="27.75" customHeight="1" x14ac:dyDescent="0.25">
      <c r="A22" s="19">
        <v>13</v>
      </c>
      <c r="B22" s="19" t="s">
        <v>44</v>
      </c>
      <c r="C22" s="105" t="s">
        <v>18</v>
      </c>
      <c r="D22" s="105" t="s">
        <v>19</v>
      </c>
      <c r="E22" s="20" t="s">
        <v>45</v>
      </c>
      <c r="F22" s="21" t="s">
        <v>21</v>
      </c>
      <c r="G22" s="22">
        <v>25</v>
      </c>
      <c r="H22" s="117">
        <v>4500</v>
      </c>
      <c r="I22" s="246">
        <f t="shared" si="0"/>
        <v>112500</v>
      </c>
      <c r="J22" s="250" t="s">
        <v>153</v>
      </c>
    </row>
    <row r="23" spans="1:10" ht="33" customHeight="1" x14ac:dyDescent="0.25">
      <c r="A23" s="19">
        <v>14</v>
      </c>
      <c r="B23" s="19" t="s">
        <v>46</v>
      </c>
      <c r="C23" s="105" t="s">
        <v>18</v>
      </c>
      <c r="D23" s="105" t="s">
        <v>19</v>
      </c>
      <c r="E23" s="20" t="s">
        <v>47</v>
      </c>
      <c r="F23" s="21" t="s">
        <v>21</v>
      </c>
      <c r="G23" s="22">
        <v>7</v>
      </c>
      <c r="H23" s="117">
        <v>12300</v>
      </c>
      <c r="I23" s="246">
        <f t="shared" si="0"/>
        <v>86100</v>
      </c>
      <c r="J23" s="251" t="s">
        <v>119</v>
      </c>
    </row>
    <row r="24" spans="1:10" ht="32.450000000000003" customHeight="1" x14ac:dyDescent="0.25">
      <c r="A24" s="19">
        <v>15</v>
      </c>
      <c r="B24" s="19" t="s">
        <v>48</v>
      </c>
      <c r="C24" s="105" t="s">
        <v>42</v>
      </c>
      <c r="D24" s="105" t="s">
        <v>19</v>
      </c>
      <c r="E24" s="20" t="s">
        <v>49</v>
      </c>
      <c r="F24" s="21" t="s">
        <v>21</v>
      </c>
      <c r="G24" s="22">
        <v>200</v>
      </c>
      <c r="H24" s="117">
        <v>6500</v>
      </c>
      <c r="I24" s="246">
        <f t="shared" si="0"/>
        <v>1300000</v>
      </c>
      <c r="J24" s="251" t="s">
        <v>126</v>
      </c>
    </row>
    <row r="25" spans="1:10" ht="42" customHeight="1" x14ac:dyDescent="0.25">
      <c r="A25" s="19">
        <v>16</v>
      </c>
      <c r="B25" s="19" t="s">
        <v>50</v>
      </c>
      <c r="C25" s="105" t="s">
        <v>18</v>
      </c>
      <c r="D25" s="105" t="s">
        <v>19</v>
      </c>
      <c r="E25" s="20" t="s">
        <v>51</v>
      </c>
      <c r="F25" s="21" t="s">
        <v>21</v>
      </c>
      <c r="G25" s="22">
        <v>70</v>
      </c>
      <c r="H25" s="117">
        <v>2300</v>
      </c>
      <c r="I25" s="246">
        <f t="shared" si="0"/>
        <v>161000</v>
      </c>
      <c r="J25" s="251" t="s">
        <v>148</v>
      </c>
    </row>
    <row r="26" spans="1:10" ht="42.75" customHeight="1" x14ac:dyDescent="0.25">
      <c r="A26" s="19">
        <v>17</v>
      </c>
      <c r="B26" s="19" t="s">
        <v>50</v>
      </c>
      <c r="C26" s="105" t="s">
        <v>18</v>
      </c>
      <c r="D26" s="105" t="s">
        <v>19</v>
      </c>
      <c r="E26" s="20" t="s">
        <v>51</v>
      </c>
      <c r="F26" s="21" t="s">
        <v>21</v>
      </c>
      <c r="G26" s="22">
        <v>70</v>
      </c>
      <c r="H26" s="117">
        <v>2700</v>
      </c>
      <c r="I26" s="246">
        <f t="shared" si="0"/>
        <v>189000</v>
      </c>
      <c r="J26" s="251" t="s">
        <v>149</v>
      </c>
    </row>
    <row r="27" spans="1:10" ht="51.75" customHeight="1" x14ac:dyDescent="0.25">
      <c r="A27" s="19">
        <v>18</v>
      </c>
      <c r="B27" s="19" t="s">
        <v>50</v>
      </c>
      <c r="C27" s="105" t="s">
        <v>18</v>
      </c>
      <c r="D27" s="105" t="s">
        <v>19</v>
      </c>
      <c r="E27" s="20" t="s">
        <v>51</v>
      </c>
      <c r="F27" s="21" t="s">
        <v>21</v>
      </c>
      <c r="G27" s="22">
        <v>70</v>
      </c>
      <c r="H27" s="117">
        <v>4800</v>
      </c>
      <c r="I27" s="246">
        <f t="shared" si="0"/>
        <v>336000</v>
      </c>
      <c r="J27" s="251" t="s">
        <v>150</v>
      </c>
    </row>
    <row r="28" spans="1:10" ht="31.5" customHeight="1" x14ac:dyDescent="0.25">
      <c r="A28" s="19">
        <v>19</v>
      </c>
      <c r="B28" s="19" t="s">
        <v>52</v>
      </c>
      <c r="C28" s="105" t="s">
        <v>18</v>
      </c>
      <c r="D28" s="105" t="s">
        <v>131</v>
      </c>
      <c r="E28" s="20" t="s">
        <v>53</v>
      </c>
      <c r="F28" s="21" t="s">
        <v>21</v>
      </c>
      <c r="G28" s="22">
        <v>70</v>
      </c>
      <c r="H28" s="117">
        <v>850</v>
      </c>
      <c r="I28" s="246">
        <f t="shared" si="0"/>
        <v>59500</v>
      </c>
      <c r="J28" s="250" t="s">
        <v>151</v>
      </c>
    </row>
    <row r="29" spans="1:10" ht="48.75" customHeight="1" thickBot="1" x14ac:dyDescent="0.3">
      <c r="A29" s="19">
        <v>20</v>
      </c>
      <c r="B29" s="23" t="s">
        <v>54</v>
      </c>
      <c r="C29" s="107" t="s">
        <v>18</v>
      </c>
      <c r="D29" s="107" t="s">
        <v>19</v>
      </c>
      <c r="E29" s="24" t="s">
        <v>55</v>
      </c>
      <c r="F29" s="21" t="s">
        <v>21</v>
      </c>
      <c r="G29" s="25">
        <v>70</v>
      </c>
      <c r="H29" s="119">
        <v>32200</v>
      </c>
      <c r="I29" s="247">
        <f t="shared" si="0"/>
        <v>2254000</v>
      </c>
      <c r="J29" s="251" t="s">
        <v>127</v>
      </c>
    </row>
    <row r="30" spans="1:10" ht="25.5" customHeight="1" thickBot="1" x14ac:dyDescent="0.3">
      <c r="A30" s="26"/>
      <c r="B30" s="27"/>
      <c r="C30" s="108"/>
      <c r="D30" s="108"/>
      <c r="E30" s="28" t="s">
        <v>56</v>
      </c>
      <c r="F30" s="27"/>
      <c r="G30" s="30"/>
      <c r="H30" s="29"/>
      <c r="I30" s="248">
        <f>+SUM(I10:I29)</f>
        <v>12677800</v>
      </c>
      <c r="J30" s="252"/>
    </row>
    <row r="31" spans="1:10" ht="15.75" customHeight="1" x14ac:dyDescent="0.25">
      <c r="A31" s="31"/>
      <c r="B31" s="31"/>
      <c r="C31" s="97"/>
      <c r="D31" s="97"/>
      <c r="E31" s="32"/>
      <c r="F31" s="31"/>
      <c r="G31" s="33"/>
      <c r="H31" s="34"/>
      <c r="I31" s="34"/>
      <c r="J31" s="254"/>
    </row>
    <row r="32" spans="1:10" ht="15.75" customHeight="1" thickBot="1" x14ac:dyDescent="0.3">
      <c r="A32" s="31"/>
      <c r="B32" s="31"/>
      <c r="C32" s="97"/>
      <c r="D32" s="97"/>
      <c r="E32" s="32"/>
      <c r="F32" s="31"/>
      <c r="G32" s="33"/>
      <c r="H32" s="34"/>
      <c r="I32" s="34"/>
      <c r="J32" s="254"/>
    </row>
    <row r="33" spans="1:10" ht="45" customHeight="1" x14ac:dyDescent="0.25">
      <c r="A33" s="31"/>
      <c r="B33" s="31"/>
      <c r="C33" s="163" t="s">
        <v>57</v>
      </c>
      <c r="D33" s="164"/>
      <c r="E33" s="165"/>
      <c r="F33" s="31"/>
      <c r="G33" s="33"/>
      <c r="H33" s="34"/>
      <c r="I33" s="34"/>
      <c r="J33" s="254"/>
    </row>
    <row r="34" spans="1:10" s="135" customFormat="1" ht="45" customHeight="1" x14ac:dyDescent="0.25">
      <c r="A34" s="31"/>
      <c r="B34" s="31"/>
      <c r="C34" s="157" t="s">
        <v>156</v>
      </c>
      <c r="D34" s="158"/>
      <c r="E34" s="159"/>
      <c r="F34" s="31"/>
      <c r="G34" s="33"/>
      <c r="H34" s="34"/>
      <c r="I34" s="34"/>
      <c r="J34" s="254"/>
    </row>
    <row r="35" spans="1:10" ht="15.75" customHeight="1" x14ac:dyDescent="0.25">
      <c r="A35" s="31"/>
      <c r="B35" s="31"/>
      <c r="C35" s="109"/>
      <c r="D35" s="154"/>
      <c r="E35" s="148"/>
      <c r="F35" s="31"/>
      <c r="G35" s="33"/>
      <c r="H35" s="34"/>
      <c r="I35" s="34"/>
      <c r="J35" s="254"/>
    </row>
    <row r="36" spans="1:10" ht="15.75" customHeight="1" x14ac:dyDescent="0.25">
      <c r="A36" s="31"/>
      <c r="B36" s="31"/>
      <c r="C36" s="109" t="s">
        <v>58</v>
      </c>
      <c r="D36" s="110" t="s">
        <v>128</v>
      </c>
      <c r="E36" s="35"/>
      <c r="F36" s="31"/>
      <c r="G36" s="33"/>
      <c r="H36" s="34"/>
      <c r="I36" s="34"/>
      <c r="J36" s="254"/>
    </row>
    <row r="37" spans="1:10" ht="15.75" customHeight="1" x14ac:dyDescent="0.25">
      <c r="A37" s="31"/>
      <c r="B37" s="31"/>
      <c r="C37" s="109"/>
      <c r="D37" s="147"/>
      <c r="E37" s="148"/>
      <c r="F37" s="31"/>
      <c r="G37" s="33"/>
      <c r="H37" s="34"/>
      <c r="I37" s="34"/>
      <c r="J37" s="254"/>
    </row>
    <row r="38" spans="1:10" ht="15.75" customHeight="1" x14ac:dyDescent="0.25">
      <c r="A38" s="31"/>
      <c r="B38" s="31"/>
      <c r="C38" s="109" t="s">
        <v>59</v>
      </c>
      <c r="D38" s="151" t="s">
        <v>60</v>
      </c>
      <c r="E38" s="148"/>
      <c r="F38" s="31"/>
      <c r="G38" s="33"/>
      <c r="H38" s="34"/>
      <c r="I38" s="34"/>
      <c r="J38" s="254"/>
    </row>
    <row r="39" spans="1:10" ht="15.75" customHeight="1" x14ac:dyDescent="0.25">
      <c r="A39" s="31"/>
      <c r="B39" s="31"/>
      <c r="C39" s="109"/>
      <c r="D39" s="147"/>
      <c r="E39" s="148"/>
      <c r="F39" s="31"/>
      <c r="G39" s="33"/>
      <c r="H39" s="34"/>
      <c r="I39" s="34"/>
      <c r="J39" s="254"/>
    </row>
    <row r="40" spans="1:10" ht="15.75" customHeight="1" x14ac:dyDescent="0.25">
      <c r="A40" s="31"/>
      <c r="B40" s="31"/>
      <c r="C40" s="109" t="s">
        <v>61</v>
      </c>
      <c r="D40" s="147"/>
      <c r="E40" s="148"/>
      <c r="F40" s="31"/>
      <c r="G40" s="33"/>
      <c r="H40" s="34"/>
      <c r="I40" s="34"/>
      <c r="J40" s="254"/>
    </row>
    <row r="41" spans="1:10" s="96" customFormat="1" ht="15.75" customHeight="1" x14ac:dyDescent="0.25">
      <c r="A41" s="31"/>
      <c r="B41" s="31"/>
      <c r="C41" s="109"/>
      <c r="D41" s="111"/>
      <c r="E41" s="95"/>
      <c r="F41" s="31"/>
      <c r="G41" s="33"/>
      <c r="H41" s="34"/>
      <c r="I41" s="34"/>
      <c r="J41" s="254"/>
    </row>
    <row r="42" spans="1:10" s="96" customFormat="1" ht="15.75" customHeight="1" x14ac:dyDescent="0.25">
      <c r="A42" s="31"/>
      <c r="B42" s="31"/>
      <c r="C42" s="109" t="s">
        <v>129</v>
      </c>
      <c r="D42" s="152" t="s">
        <v>130</v>
      </c>
      <c r="E42" s="153"/>
      <c r="F42" s="31"/>
      <c r="G42" s="33"/>
      <c r="H42" s="34"/>
      <c r="I42" s="34"/>
      <c r="J42" s="254"/>
    </row>
    <row r="43" spans="1:10" ht="15.75" customHeight="1" x14ac:dyDescent="0.25">
      <c r="A43" s="31"/>
      <c r="B43" s="31"/>
      <c r="C43" s="109"/>
      <c r="D43" s="147"/>
      <c r="E43" s="148"/>
      <c r="F43" s="31"/>
      <c r="G43" s="33"/>
      <c r="H43" s="34"/>
      <c r="I43" s="34"/>
      <c r="J43" s="254"/>
    </row>
    <row r="44" spans="1:10" ht="15.75" customHeight="1" x14ac:dyDescent="0.25">
      <c r="A44" s="31"/>
      <c r="B44" s="31"/>
      <c r="C44" s="109" t="s">
        <v>62</v>
      </c>
      <c r="D44" s="110" t="s">
        <v>63</v>
      </c>
      <c r="E44" s="35"/>
      <c r="F44" s="31"/>
      <c r="G44" s="33"/>
      <c r="H44" s="34"/>
      <c r="I44" s="34"/>
      <c r="J44" s="254"/>
    </row>
    <row r="45" spans="1:10" ht="15.75" customHeight="1" thickBot="1" x14ac:dyDescent="0.3">
      <c r="A45" s="31"/>
      <c r="B45" s="31"/>
      <c r="C45" s="112"/>
      <c r="D45" s="149"/>
      <c r="E45" s="150"/>
      <c r="F45" s="31"/>
      <c r="G45" s="33"/>
      <c r="H45" s="34"/>
      <c r="I45" s="34"/>
      <c r="J45" s="254"/>
    </row>
    <row r="46" spans="1:10" ht="15.75" customHeight="1" x14ac:dyDescent="0.25">
      <c r="A46" s="31"/>
      <c r="B46" s="31"/>
      <c r="C46" s="97"/>
      <c r="D46" s="97"/>
      <c r="E46" s="32"/>
      <c r="F46" s="31"/>
      <c r="G46" s="33"/>
      <c r="H46" s="34"/>
      <c r="I46" s="34"/>
      <c r="J46" s="254"/>
    </row>
    <row r="47" spans="1:10" ht="15.75" customHeight="1" thickBot="1" x14ac:dyDescent="0.3">
      <c r="A47" s="31"/>
      <c r="B47" s="31"/>
      <c r="C47" s="97"/>
      <c r="D47" s="97"/>
      <c r="E47" s="32"/>
      <c r="F47" s="31"/>
      <c r="G47" s="33"/>
      <c r="H47" s="34"/>
      <c r="I47" s="34"/>
      <c r="J47" s="254"/>
    </row>
    <row r="48" spans="1:10" ht="15.75" customHeight="1" x14ac:dyDescent="0.25">
      <c r="A48" s="31"/>
      <c r="B48" s="31"/>
      <c r="C48" s="143" t="s">
        <v>133</v>
      </c>
      <c r="D48" s="144"/>
      <c r="E48" s="145"/>
      <c r="F48" s="31"/>
      <c r="G48" s="33"/>
      <c r="H48" s="34"/>
      <c r="I48" s="34"/>
      <c r="J48" s="254"/>
    </row>
    <row r="49" spans="1:10" ht="54" customHeight="1" thickBot="1" x14ac:dyDescent="0.3">
      <c r="A49" s="7"/>
      <c r="B49" s="7"/>
      <c r="C49" s="140" t="str">
        <f>J10</f>
        <v xml:space="preserve">Balanza tipo: mecánica, con estructura totalmente metálica recubierta con pintura epoxi, plataforma de apoyo en caucho antideslizante. Con Altímetro Incluido. Sistema de fácil lectura a barra y cursores. Escala graduada en relieve en acero inoxidable. Dispositivo de traba de brazo. Asientos y cuchillas de acero. Patas regulables. Garantía mínima un (1) año, aprobado por ANMAT. </v>
      </c>
      <c r="D49" s="141"/>
      <c r="E49" s="142"/>
      <c r="F49" s="7"/>
      <c r="G49" s="8"/>
      <c r="H49" s="6"/>
      <c r="I49" s="6"/>
      <c r="J49" s="253"/>
    </row>
    <row r="50" spans="1:10" ht="15.75" customHeight="1" thickBot="1" x14ac:dyDescent="0.3">
      <c r="A50" s="31"/>
      <c r="B50" s="31"/>
      <c r="C50" s="113"/>
      <c r="D50" s="113"/>
      <c r="E50" s="31"/>
      <c r="F50" s="31"/>
      <c r="G50" s="31"/>
      <c r="H50" s="31"/>
      <c r="I50" s="31"/>
      <c r="J50" s="255"/>
    </row>
    <row r="51" spans="1:10" ht="15.75" customHeight="1" x14ac:dyDescent="0.25">
      <c r="A51" s="7"/>
      <c r="B51" s="7"/>
      <c r="C51" s="143" t="s">
        <v>134</v>
      </c>
      <c r="D51" s="144"/>
      <c r="E51" s="145"/>
      <c r="F51" s="7"/>
      <c r="G51" s="8"/>
      <c r="H51" s="6"/>
      <c r="I51" s="6"/>
      <c r="J51" s="253"/>
    </row>
    <row r="52" spans="1:10" ht="55.5" customHeight="1" thickBot="1" x14ac:dyDescent="0.3">
      <c r="A52" s="7"/>
      <c r="B52" s="7"/>
      <c r="C52" s="140" t="str">
        <f>J11</f>
        <v xml:space="preserve">Balanza tipo: mecánica, con estructura totalmente metálica recubierta con pintura epoxi, plataforma de apoyo en caucho antideslizante. Con Altímetro Incluido. Sistema de fácil lectura a barra y cursores. Escala graduada en relieve en acero inoxidable. Dispositivo de traba de brazo. Asientos y cuchillas de acero. Patas regulables. Garantía mínima de un (1) año, aprobado por ANMAT. </v>
      </c>
      <c r="D52" s="141"/>
      <c r="E52" s="142"/>
      <c r="F52" s="7"/>
      <c r="G52" s="8"/>
      <c r="H52" s="6"/>
      <c r="I52" s="6"/>
      <c r="J52" s="253"/>
    </row>
    <row r="53" spans="1:10" ht="15.75" customHeight="1" thickBot="1" x14ac:dyDescent="0.3">
      <c r="A53" s="7"/>
      <c r="B53" s="7"/>
      <c r="C53" s="114"/>
      <c r="D53" s="115"/>
      <c r="E53" s="36"/>
      <c r="F53" s="7"/>
      <c r="G53" s="8"/>
      <c r="H53" s="6"/>
      <c r="I53" s="6"/>
      <c r="J53" s="253"/>
    </row>
    <row r="54" spans="1:10" ht="15.75" customHeight="1" x14ac:dyDescent="0.25">
      <c r="A54" s="7"/>
      <c r="B54" s="7"/>
      <c r="C54" s="143" t="s">
        <v>135</v>
      </c>
      <c r="D54" s="144"/>
      <c r="E54" s="145"/>
      <c r="F54" s="7"/>
      <c r="G54" s="8"/>
      <c r="H54" s="6"/>
      <c r="I54" s="6"/>
      <c r="J54" s="253"/>
    </row>
    <row r="55" spans="1:10" ht="48.75" customHeight="1" thickBot="1" x14ac:dyDescent="0.3">
      <c r="A55" s="7"/>
      <c r="B55" s="7"/>
      <c r="C55" s="140" t="str">
        <f>J12</f>
        <v xml:space="preserve">Balanza tipo: mecánica, con estructura totalmente metálica recubierta con pintura epoxi, plataforma de apoyo en caucho antideslizante. Con Altímetro Incluido. Sistema de fácil lectura a barra y cursores. Escala graduada en relieve en acero inoxidable. Dispositivo de traba de brazo. Asientos y cuchillas de acero. Patas regulables. Garantía mínima de un (1) año, aprobado por ANMAT. </v>
      </c>
      <c r="D55" s="141"/>
      <c r="E55" s="142"/>
      <c r="F55" s="7"/>
      <c r="G55" s="8"/>
      <c r="H55" s="6"/>
      <c r="I55" s="6"/>
      <c r="J55" s="253"/>
    </row>
    <row r="56" spans="1:10" ht="15.75" customHeight="1" thickBot="1" x14ac:dyDescent="0.3">
      <c r="A56" s="7"/>
      <c r="B56" s="7"/>
      <c r="C56" s="114"/>
      <c r="D56" s="115"/>
      <c r="E56" s="36"/>
      <c r="F56" s="7"/>
      <c r="G56" s="8"/>
      <c r="H56" s="6"/>
      <c r="I56" s="6"/>
      <c r="J56" s="253"/>
    </row>
    <row r="57" spans="1:10" ht="15.75" customHeight="1" x14ac:dyDescent="0.25">
      <c r="A57" s="7"/>
      <c r="B57" s="7"/>
      <c r="C57" s="146" t="s">
        <v>64</v>
      </c>
      <c r="D57" s="144"/>
      <c r="E57" s="145"/>
      <c r="F57" s="7"/>
      <c r="G57" s="8"/>
      <c r="H57" s="6"/>
      <c r="I57" s="6"/>
      <c r="J57" s="253"/>
    </row>
    <row r="58" spans="1:10" ht="49.15" customHeight="1" thickBot="1" x14ac:dyDescent="0.3">
      <c r="A58" s="7"/>
      <c r="B58" s="7"/>
      <c r="C58" s="140" t="str">
        <f>J14</f>
        <v>Inmovilizador filadelfia en dos piezas, ajustables entre si con velcro - Talle S: 20 unid. - Talle M: 20 unid. - Talle L: 20 unid. - Talle XL: 20 unid. - Talle Pediatrico: 20 unid. Que cumpla con las siguientes caracteristicas mínimas: Hipoalergénico, Anatómico, Regulable, Material: por ej. Polietilendo expandido de celdas cerradas, Disponible en tamaño pediatrico, chico, mediano, grande y extra grande de acuerdo a los talles solicitados. Aprobado por ANMAT</v>
      </c>
      <c r="D58" s="141"/>
      <c r="E58" s="142"/>
      <c r="F58" s="7"/>
      <c r="G58" s="8"/>
      <c r="H58" s="6"/>
      <c r="I58" s="6"/>
      <c r="J58" s="253"/>
    </row>
    <row r="59" spans="1:10" ht="15.75" customHeight="1" thickBot="1" x14ac:dyDescent="0.3">
      <c r="A59" s="7"/>
      <c r="B59" s="7"/>
      <c r="C59" s="116"/>
      <c r="D59" s="116"/>
      <c r="E59" s="36"/>
      <c r="F59" s="7"/>
      <c r="G59" s="8"/>
      <c r="H59" s="6"/>
      <c r="I59" s="6"/>
      <c r="J59" s="253"/>
    </row>
    <row r="60" spans="1:10" ht="15.75" customHeight="1" x14ac:dyDescent="0.25">
      <c r="A60" s="7"/>
      <c r="B60" s="7"/>
      <c r="C60" s="143" t="s">
        <v>136</v>
      </c>
      <c r="D60" s="144"/>
      <c r="E60" s="145"/>
      <c r="F60" s="7"/>
      <c r="G60" s="8"/>
      <c r="H60" s="6"/>
      <c r="I60" s="6"/>
      <c r="J60" s="253"/>
    </row>
    <row r="61" spans="1:10" ht="15.75" customHeight="1" thickBot="1" x14ac:dyDescent="0.3">
      <c r="A61" s="7"/>
      <c r="B61" s="7"/>
      <c r="C61" s="140" t="str">
        <f>J15</f>
        <v>Tamaño adulto, recubierto con tela de avión, cierre mediante correas, con protector de tiroides y 0,5mm de plomo de blindaje. Aprobado por ANMAT</v>
      </c>
      <c r="D61" s="141"/>
      <c r="E61" s="142"/>
      <c r="F61" s="7"/>
      <c r="G61" s="8"/>
      <c r="H61" s="6"/>
      <c r="I61" s="6"/>
      <c r="J61" s="253"/>
    </row>
    <row r="62" spans="1:10" ht="15.75" customHeight="1" thickBot="1" x14ac:dyDescent="0.3">
      <c r="A62" s="7"/>
      <c r="B62" s="7"/>
      <c r="C62" s="116"/>
      <c r="D62" s="116"/>
      <c r="E62" s="36"/>
      <c r="F62" s="7"/>
      <c r="G62" s="8"/>
      <c r="H62" s="6"/>
      <c r="I62" s="6"/>
      <c r="J62" s="253"/>
    </row>
    <row r="63" spans="1:10" ht="15.75" customHeight="1" x14ac:dyDescent="0.25">
      <c r="A63" s="7"/>
      <c r="B63" s="7"/>
      <c r="C63" s="143" t="s">
        <v>137</v>
      </c>
      <c r="D63" s="144"/>
      <c r="E63" s="145"/>
      <c r="F63" s="7"/>
      <c r="G63" s="8"/>
      <c r="H63" s="6"/>
      <c r="I63" s="6"/>
      <c r="J63" s="253"/>
    </row>
    <row r="64" spans="1:10" ht="42.75" customHeight="1" thickBot="1" x14ac:dyDescent="0.3">
      <c r="A64" s="7"/>
      <c r="B64" s="7"/>
      <c r="C64" s="140" t="str">
        <f>J16</f>
        <v>Consta de emisor/receptor de señal ultrasónica, procesador, pantalla mínima LCD, altavoz y fuente de alimentación; ser de fácil uso y portátil; Mostrar la frecuencia cardíaca, con una medición precisa y de sonido nítido. Con funciones mínimas como: toma en tiempo real, promedio y conteo manual. Con salida de audio externa, bajo consumo y función de apagado automático. Aprobado por ANMAT.</v>
      </c>
      <c r="D64" s="141"/>
      <c r="E64" s="142"/>
      <c r="F64" s="7"/>
      <c r="G64" s="8"/>
      <c r="H64" s="6"/>
      <c r="I64" s="6"/>
      <c r="J64" s="253"/>
    </row>
    <row r="65" spans="1:10" ht="15.75" customHeight="1" thickBot="1" x14ac:dyDescent="0.3">
      <c r="A65" s="7"/>
      <c r="B65" s="7"/>
      <c r="C65" s="116"/>
      <c r="D65" s="116"/>
      <c r="E65" s="36"/>
      <c r="F65" s="7"/>
      <c r="G65" s="8"/>
      <c r="H65" s="6"/>
      <c r="I65" s="6"/>
      <c r="J65" s="253"/>
    </row>
    <row r="66" spans="1:10" ht="15.75" customHeight="1" x14ac:dyDescent="0.25">
      <c r="A66" s="7"/>
      <c r="B66" s="7"/>
      <c r="C66" s="143" t="s">
        <v>65</v>
      </c>
      <c r="D66" s="144"/>
      <c r="E66" s="145"/>
      <c r="F66" s="7"/>
      <c r="G66" s="8"/>
      <c r="H66" s="6"/>
      <c r="I66" s="6"/>
      <c r="J66" s="253"/>
    </row>
    <row r="67" spans="1:10" ht="45.75" customHeight="1" thickBot="1" x14ac:dyDescent="0.3">
      <c r="A67" s="7"/>
      <c r="B67" s="7"/>
      <c r="C67" s="140" t="str">
        <f>J17</f>
        <v>modelo con doble cabezal (campana + diafragma: uso adulto y pediátrico), tubo auditivo de acero inoxidable con curvatura anatómica, olivas de goma y garantía minima de 1 año. 70 unid para uso en adultos y 70 unid. Para uso pediatrico</v>
      </c>
      <c r="D67" s="141"/>
      <c r="E67" s="142"/>
      <c r="F67" s="7"/>
      <c r="G67" s="8"/>
      <c r="H67" s="6"/>
      <c r="I67" s="6"/>
      <c r="J67" s="253"/>
    </row>
    <row r="68" spans="1:10" ht="15.75" customHeight="1" thickBot="1" x14ac:dyDescent="0.3">
      <c r="A68" s="7"/>
      <c r="B68" s="7"/>
      <c r="C68" s="116"/>
      <c r="D68" s="116"/>
      <c r="E68" s="36"/>
      <c r="F68" s="7"/>
      <c r="G68" s="8"/>
      <c r="H68" s="6"/>
      <c r="I68" s="6"/>
      <c r="J68" s="253"/>
    </row>
    <row r="69" spans="1:10" ht="15.75" customHeight="1" x14ac:dyDescent="0.25">
      <c r="A69" s="7"/>
      <c r="B69" s="7"/>
      <c r="C69" s="143" t="s">
        <v>66</v>
      </c>
      <c r="D69" s="144"/>
      <c r="E69" s="145"/>
      <c r="F69" s="7"/>
      <c r="G69" s="8"/>
      <c r="H69" s="6"/>
      <c r="I69" s="6"/>
      <c r="J69" s="253"/>
    </row>
    <row r="70" spans="1:10" ht="57" customHeight="1" thickBot="1" x14ac:dyDescent="0.3">
      <c r="A70" s="7"/>
      <c r="B70" s="7"/>
      <c r="C70" s="140" t="str">
        <f>J18</f>
        <v>Construída ergonómicamente en HDPE (Polietileno de Alta Densidad, lavable antiestático de alta resistencia) sin costuras p/evitar el alojamiento de gérmenes patógenos, acabado delicado, impermeable y atóxico con exclusivos calados p/inmovilizador cervical, pectorales, abdomen y piernas en forma independiente. incluye juegos de cinturones de fijacion, con velcro, colores según codigos internacionales.</v>
      </c>
      <c r="D70" s="141"/>
      <c r="E70" s="142"/>
      <c r="F70" s="7"/>
      <c r="G70" s="8"/>
      <c r="H70" s="6"/>
      <c r="I70" s="6"/>
      <c r="J70" s="253"/>
    </row>
    <row r="71" spans="1:10" ht="15.75" customHeight="1" thickBot="1" x14ac:dyDescent="0.3">
      <c r="A71" s="7"/>
      <c r="B71" s="7"/>
      <c r="C71" s="116"/>
      <c r="D71" s="116"/>
      <c r="E71" s="36"/>
      <c r="F71" s="7"/>
      <c r="G71" s="8"/>
      <c r="H71" s="6"/>
      <c r="I71" s="6"/>
      <c r="J71" s="253"/>
    </row>
    <row r="72" spans="1:10" ht="15.75" customHeight="1" x14ac:dyDescent="0.25">
      <c r="A72" s="7"/>
      <c r="B72" s="7"/>
      <c r="C72" s="143" t="s">
        <v>67</v>
      </c>
      <c r="D72" s="144"/>
      <c r="E72" s="145"/>
      <c r="F72" s="7"/>
      <c r="G72" s="8"/>
      <c r="H72" s="6"/>
      <c r="I72" s="6"/>
      <c r="J72" s="253"/>
    </row>
    <row r="73" spans="1:10" ht="41.25" customHeight="1" thickBot="1" x14ac:dyDescent="0.3">
      <c r="A73" s="7"/>
      <c r="B73" s="7"/>
      <c r="C73" s="140" t="str">
        <f>J19</f>
        <v>Multilaminado fenólico standard, con un mínimo de 5 capas compensadas, con calados (para inmovilizador cervical y piernas en forma individual), terminación plastificado en barniz marino, con tres juegos de cinturones de fijación con velcro.</v>
      </c>
      <c r="D73" s="141"/>
      <c r="E73" s="142"/>
      <c r="F73" s="7"/>
      <c r="G73" s="8"/>
      <c r="H73" s="6"/>
      <c r="I73" s="6"/>
      <c r="J73" s="253"/>
    </row>
    <row r="74" spans="1:10" ht="15.75" customHeight="1" thickBot="1" x14ac:dyDescent="0.3">
      <c r="A74" s="7"/>
      <c r="B74" s="7"/>
      <c r="C74" s="116"/>
      <c r="D74" s="116"/>
      <c r="E74" s="36"/>
      <c r="F74" s="7"/>
      <c r="G74" s="8"/>
      <c r="H74" s="6"/>
      <c r="I74" s="6"/>
      <c r="J74" s="253"/>
    </row>
    <row r="75" spans="1:10" ht="15.75" customHeight="1" x14ac:dyDescent="0.25">
      <c r="A75" s="7"/>
      <c r="B75" s="7"/>
      <c r="C75" s="143" t="s">
        <v>68</v>
      </c>
      <c r="D75" s="144"/>
      <c r="E75" s="145"/>
      <c r="F75" s="7"/>
      <c r="G75" s="8"/>
      <c r="H75" s="6"/>
      <c r="I75" s="6"/>
      <c r="J75" s="253"/>
    </row>
    <row r="76" spans="1:10" ht="15.75" customHeight="1" thickBot="1" x14ac:dyDescent="0.3">
      <c r="A76" s="7"/>
      <c r="B76" s="7"/>
      <c r="C76" s="140" t="str">
        <f>J20</f>
        <v>50 unid. uso masculino - 50 unid. Uso femenino</v>
      </c>
      <c r="D76" s="141"/>
      <c r="E76" s="142"/>
      <c r="F76" s="7"/>
      <c r="G76" s="8"/>
      <c r="H76" s="6"/>
      <c r="I76" s="6"/>
      <c r="J76" s="253"/>
    </row>
    <row r="77" spans="1:10" ht="15.75" customHeight="1" thickBot="1" x14ac:dyDescent="0.3">
      <c r="A77" s="7"/>
      <c r="B77" s="7"/>
      <c r="C77" s="116"/>
      <c r="D77" s="116"/>
      <c r="E77" s="36"/>
      <c r="F77" s="7"/>
      <c r="G77" s="8"/>
      <c r="H77" s="6"/>
      <c r="I77" s="6"/>
      <c r="J77" s="253"/>
    </row>
    <row r="78" spans="1:10" ht="15.75" customHeight="1" x14ac:dyDescent="0.25">
      <c r="A78" s="7"/>
      <c r="B78" s="7"/>
      <c r="C78" s="143" t="s">
        <v>138</v>
      </c>
      <c r="D78" s="144"/>
      <c r="E78" s="145"/>
      <c r="F78" s="7"/>
      <c r="G78" s="8"/>
      <c r="H78" s="6"/>
      <c r="I78" s="6"/>
      <c r="J78" s="253"/>
    </row>
    <row r="79" spans="1:10" ht="15" customHeight="1" thickBot="1" x14ac:dyDescent="0.3">
      <c r="C79" s="140" t="str">
        <f>J21</f>
        <v xml:space="preserve"> Tecnología LED y Fibra Optica, Aumento mínimo de 3x, cabezal giratorio, rueda de lentes con 18 lentes mínimo.</v>
      </c>
      <c r="D79" s="141"/>
      <c r="E79" s="142"/>
    </row>
    <row r="80" spans="1:10" ht="15" customHeight="1" thickBot="1" x14ac:dyDescent="0.3"/>
    <row r="81" spans="3:5" ht="15" customHeight="1" x14ac:dyDescent="0.25">
      <c r="C81" s="143" t="s">
        <v>139</v>
      </c>
      <c r="D81" s="144"/>
      <c r="E81" s="145"/>
    </row>
    <row r="82" spans="3:5" ht="15" customHeight="1" thickBot="1" x14ac:dyDescent="0.3">
      <c r="C82" s="140" t="str">
        <f>J22</f>
        <v>Oximetro de pulso adulto (15 unidades) / pediatrico (10 unidades). Alimentación con 2 pilas AAA, debe contar con aprobación de ANMAT</v>
      </c>
      <c r="D82" s="141"/>
      <c r="E82" s="142"/>
    </row>
    <row r="83" spans="3:5" ht="15" customHeight="1" thickBot="1" x14ac:dyDescent="0.3"/>
    <row r="84" spans="3:5" ht="15" customHeight="1" x14ac:dyDescent="0.25">
      <c r="C84" s="143" t="s">
        <v>69</v>
      </c>
      <c r="D84" s="144"/>
      <c r="E84" s="145"/>
    </row>
    <row r="85" spans="3:5" ht="15" customHeight="1" thickBot="1" x14ac:dyDescent="0.3">
      <c r="C85" s="140" t="str">
        <f>J23</f>
        <v xml:space="preserve"> Para uso pedíatrico, con una varilla metálica milimetrada, y aletas plásticas fija que pueden sujetarse cómodamente.</v>
      </c>
      <c r="D85" s="141"/>
      <c r="E85" s="142"/>
    </row>
    <row r="86" spans="3:5" ht="15" customHeight="1" thickBot="1" x14ac:dyDescent="0.3"/>
    <row r="87" spans="3:5" ht="15" customHeight="1" x14ac:dyDescent="0.25">
      <c r="C87" s="143" t="s">
        <v>140</v>
      </c>
      <c r="D87" s="144"/>
      <c r="E87" s="145"/>
    </row>
    <row r="88" spans="3:5" ht="36" customHeight="1" thickBot="1" x14ac:dyDescent="0.3">
      <c r="C88" s="140" t="str">
        <f>J24</f>
        <v>Altura mínima regulable de 180cm, con  base rodante de 5 ramas con ruedas de plástico de alta resistencia y alto impacto inyectadas. Caño y estructura en acero inoxidable, con 2 ganchos minimo.</v>
      </c>
      <c r="D88" s="141"/>
      <c r="E88" s="142"/>
    </row>
    <row r="89" spans="3:5" ht="15" customHeight="1" thickBot="1" x14ac:dyDescent="0.3"/>
    <row r="90" spans="3:5" ht="15" customHeight="1" x14ac:dyDescent="0.25">
      <c r="C90" s="143" t="s">
        <v>70</v>
      </c>
      <c r="D90" s="144"/>
      <c r="E90" s="145"/>
    </row>
    <row r="91" spans="3:5" ht="31.5" customHeight="1" thickBot="1" x14ac:dyDescent="0.3">
      <c r="C91" s="140" t="str">
        <f>J25</f>
        <v>Tensiómetro manual anaeroide (analógico), con manómetro circular de facil lectura, brazalete uso adulto, con  estetoscopio de campana simple y olivas de plástico incluido. Aprobado por ANMAT.</v>
      </c>
      <c r="D91" s="141"/>
      <c r="E91" s="142"/>
    </row>
    <row r="92" spans="3:5" ht="15" customHeight="1" thickBot="1" x14ac:dyDescent="0.3"/>
    <row r="93" spans="3:5" ht="15" customHeight="1" x14ac:dyDescent="0.25">
      <c r="C93" s="143" t="s">
        <v>71</v>
      </c>
      <c r="D93" s="144"/>
      <c r="E93" s="145"/>
    </row>
    <row r="94" spans="3:5" ht="32.25" customHeight="1" thickBot="1" x14ac:dyDescent="0.3">
      <c r="C94" s="140" t="str">
        <f>J26</f>
        <v>Tensiómetro manual anaeroide (analógico), con manómetro circular de facil lectura, brazalete uso pediátrico, con  estetoscopio de campana simple y olivas de plástico incluido. Aprobado por ANMAT.</v>
      </c>
      <c r="D94" s="141"/>
      <c r="E94" s="142"/>
    </row>
    <row r="95" spans="3:5" ht="15" customHeight="1" thickBot="1" x14ac:dyDescent="0.3"/>
    <row r="96" spans="3:5" ht="15" customHeight="1" x14ac:dyDescent="0.25">
      <c r="C96" s="143" t="s">
        <v>72</v>
      </c>
      <c r="D96" s="144"/>
      <c r="E96" s="145"/>
    </row>
    <row r="97" spans="3:10" ht="36" customHeight="1" thickBot="1" x14ac:dyDescent="0.3">
      <c r="C97" s="140" t="str">
        <f>J27</f>
        <v>Tensiómetro manual anaeroide (analógico), con manómetro circular de facil lectura, brazalete uso adulto obesos (de 32 a 42cm de diámetro aproximado), con  estetoscopio de campana simple y olivas de plástico incluido. Aprobado por ANMAT.</v>
      </c>
      <c r="D97" s="141"/>
      <c r="E97" s="142"/>
    </row>
    <row r="98" spans="3:10" ht="15" customHeight="1" thickBot="1" x14ac:dyDescent="0.3"/>
    <row r="99" spans="3:10" s="135" customFormat="1" ht="15" customHeight="1" x14ac:dyDescent="0.25">
      <c r="C99" s="143" t="s">
        <v>152</v>
      </c>
      <c r="D99" s="144"/>
      <c r="E99" s="145"/>
      <c r="J99" s="256"/>
    </row>
    <row r="100" spans="3:10" s="135" customFormat="1" ht="18" customHeight="1" thickBot="1" x14ac:dyDescent="0.3">
      <c r="C100" s="140" t="str">
        <f>J28</f>
        <v>Aprobado por ANMAT.</v>
      </c>
      <c r="D100" s="141"/>
      <c r="E100" s="142"/>
      <c r="J100" s="256"/>
    </row>
    <row r="101" spans="3:10" s="135" customFormat="1" ht="15" customHeight="1" thickBot="1" x14ac:dyDescent="0.3">
      <c r="C101" s="98"/>
      <c r="D101" s="98"/>
      <c r="J101" s="256"/>
    </row>
    <row r="102" spans="3:10" ht="15" customHeight="1" x14ac:dyDescent="0.25">
      <c r="C102" s="143" t="s">
        <v>141</v>
      </c>
      <c r="D102" s="144"/>
      <c r="E102" s="145"/>
    </row>
    <row r="103" spans="3:10" ht="40.5" customHeight="1" thickBot="1" x14ac:dyDescent="0.3">
      <c r="C103" s="140" t="str">
        <f>J29</f>
        <v>De uso medicinal, provisto de una válvula de reducción medicinal con regulador de flujo y manómetro. Industria Nacional. Material acero. Color blanco. Con prueba hidráulica aprobada por 5 años. Incluye soporte</v>
      </c>
      <c r="D103" s="141"/>
      <c r="E103" s="142"/>
    </row>
  </sheetData>
  <mergeCells count="55">
    <mergeCell ref="B2:H2"/>
    <mergeCell ref="C4:E4"/>
    <mergeCell ref="C5:E5"/>
    <mergeCell ref="A7:B7"/>
    <mergeCell ref="C33:E33"/>
    <mergeCell ref="C55:E55"/>
    <mergeCell ref="D35:E35"/>
    <mergeCell ref="A6:B6"/>
    <mergeCell ref="A4:B4"/>
    <mergeCell ref="A5:B5"/>
    <mergeCell ref="C34:E34"/>
    <mergeCell ref="C64:E64"/>
    <mergeCell ref="C66:E66"/>
    <mergeCell ref="C67:E67"/>
    <mergeCell ref="C69:E69"/>
    <mergeCell ref="D37:E37"/>
    <mergeCell ref="D45:E45"/>
    <mergeCell ref="D38:E38"/>
    <mergeCell ref="D39:E39"/>
    <mergeCell ref="D40:E40"/>
    <mergeCell ref="D43:E43"/>
    <mergeCell ref="D42:E42"/>
    <mergeCell ref="C49:E49"/>
    <mergeCell ref="C48:E48"/>
    <mergeCell ref="C51:E51"/>
    <mergeCell ref="C52:E52"/>
    <mergeCell ref="C54:E54"/>
    <mergeCell ref="C57:E57"/>
    <mergeCell ref="C58:E58"/>
    <mergeCell ref="C60:E60"/>
    <mergeCell ref="C61:E61"/>
    <mergeCell ref="C63:E63"/>
    <mergeCell ref="C70:E70"/>
    <mergeCell ref="C72:E72"/>
    <mergeCell ref="C73:E73"/>
    <mergeCell ref="C75:E75"/>
    <mergeCell ref="C76:E76"/>
    <mergeCell ref="C78:E78"/>
    <mergeCell ref="C79:E79"/>
    <mergeCell ref="C81:E81"/>
    <mergeCell ref="C82:E82"/>
    <mergeCell ref="C84:E84"/>
    <mergeCell ref="C85:E85"/>
    <mergeCell ref="C87:E87"/>
    <mergeCell ref="C88:E88"/>
    <mergeCell ref="C90:E90"/>
    <mergeCell ref="C91:E91"/>
    <mergeCell ref="C103:E103"/>
    <mergeCell ref="C93:E93"/>
    <mergeCell ref="C94:E94"/>
    <mergeCell ref="C96:E96"/>
    <mergeCell ref="C97:E97"/>
    <mergeCell ref="C102:E102"/>
    <mergeCell ref="C99:E99"/>
    <mergeCell ref="C100:E10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"/>
  <sheetViews>
    <sheetView topLeftCell="A7" workbookViewId="0">
      <selection activeCell="I12" sqref="I12:K31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81.28515625" customWidth="1"/>
    <col min="8" max="8" width="9.28515625" customWidth="1"/>
    <col min="9" max="9" width="15.5703125" customWidth="1"/>
    <col min="10" max="10" width="16.5703125" customWidth="1"/>
    <col min="11" max="11" width="15.5703125" customWidth="1"/>
    <col min="12" max="12" width="10.7109375" customWidth="1"/>
    <col min="13" max="14" width="14.5703125" style="138" customWidth="1"/>
    <col min="15" max="15" width="15.5703125" style="138" bestFit="1" customWidth="1"/>
    <col min="16" max="16" width="14.5703125" style="138" customWidth="1"/>
    <col min="17" max="17" width="15.5703125" style="138" customWidth="1"/>
    <col min="18" max="18" width="11.42578125" style="121" customWidth="1"/>
  </cols>
  <sheetData>
    <row r="1" spans="1:18" ht="30" x14ac:dyDescent="0.25">
      <c r="A1" s="169" t="s">
        <v>73</v>
      </c>
      <c r="B1" s="170"/>
      <c r="C1" s="170"/>
      <c r="D1" s="170"/>
      <c r="E1" s="170"/>
      <c r="F1" s="170"/>
      <c r="G1" s="170"/>
      <c r="H1" s="170"/>
      <c r="I1" s="170"/>
      <c r="J1" s="38" t="s">
        <v>74</v>
      </c>
      <c r="K1" s="39" t="s">
        <v>143</v>
      </c>
      <c r="M1" s="136"/>
      <c r="N1" s="136"/>
      <c r="O1" s="136"/>
      <c r="P1" s="136"/>
      <c r="Q1" s="137"/>
      <c r="R1" s="120"/>
    </row>
    <row r="2" spans="1:18" ht="15.75" x14ac:dyDescent="0.25">
      <c r="A2" s="40"/>
      <c r="B2" s="41"/>
      <c r="C2" s="42"/>
      <c r="D2" s="43"/>
      <c r="E2" s="43"/>
      <c r="F2" s="43"/>
      <c r="G2" s="43"/>
      <c r="H2" s="43"/>
      <c r="I2" s="43"/>
      <c r="J2" s="44"/>
      <c r="K2" s="45"/>
      <c r="M2" s="136"/>
      <c r="N2" s="136"/>
      <c r="O2" s="136"/>
      <c r="P2" s="136"/>
      <c r="Q2" s="137"/>
      <c r="R2" s="120"/>
    </row>
    <row r="3" spans="1:18" ht="16.5" customHeight="1" x14ac:dyDescent="0.25">
      <c r="A3" s="180" t="s">
        <v>75</v>
      </c>
      <c r="B3" s="181"/>
      <c r="C3" s="181"/>
      <c r="D3" s="46" t="s">
        <v>2</v>
      </c>
      <c r="E3" s="47"/>
      <c r="F3" s="47"/>
      <c r="G3" s="47"/>
      <c r="H3" s="47"/>
      <c r="I3" s="47"/>
      <c r="J3" s="48"/>
      <c r="K3" s="49"/>
      <c r="M3" s="136"/>
      <c r="N3" s="136"/>
      <c r="O3" s="136"/>
      <c r="P3" s="136"/>
      <c r="Q3" s="137"/>
      <c r="R3" s="120"/>
    </row>
    <row r="4" spans="1:18" ht="16.5" customHeight="1" x14ac:dyDescent="0.25">
      <c r="A4" s="171" t="s">
        <v>76</v>
      </c>
      <c r="B4" s="172"/>
      <c r="C4" s="172"/>
      <c r="D4" s="46" t="s">
        <v>77</v>
      </c>
      <c r="E4" s="47"/>
      <c r="F4" s="47"/>
      <c r="G4" s="47"/>
      <c r="H4" s="47"/>
      <c r="I4" s="47"/>
      <c r="J4" s="48"/>
      <c r="K4" s="49"/>
      <c r="M4" s="136"/>
      <c r="N4" s="136"/>
      <c r="O4" s="136"/>
      <c r="P4" s="136"/>
      <c r="Q4" s="137"/>
      <c r="R4" s="120"/>
    </row>
    <row r="5" spans="1:18" ht="15.75" x14ac:dyDescent="0.25">
      <c r="A5" s="171" t="s">
        <v>78</v>
      </c>
      <c r="B5" s="172"/>
      <c r="C5" s="172"/>
      <c r="D5" s="46" t="s">
        <v>79</v>
      </c>
      <c r="E5" s="47"/>
      <c r="F5" s="47"/>
      <c r="G5" s="47"/>
      <c r="H5" s="47"/>
      <c r="I5" s="47"/>
      <c r="J5" s="48"/>
      <c r="K5" s="49"/>
      <c r="M5" s="136"/>
      <c r="N5" s="136"/>
      <c r="O5" s="136"/>
      <c r="P5" s="136"/>
      <c r="Q5" s="137"/>
      <c r="R5" s="120"/>
    </row>
    <row r="6" spans="1:18" ht="15.75" x14ac:dyDescent="0.25">
      <c r="A6" s="180" t="s">
        <v>80</v>
      </c>
      <c r="B6" s="181"/>
      <c r="C6" s="181"/>
      <c r="D6" s="46" t="s">
        <v>79</v>
      </c>
      <c r="E6" s="47"/>
      <c r="F6" s="47"/>
      <c r="G6" s="47"/>
      <c r="H6" s="47"/>
      <c r="I6" s="47"/>
      <c r="J6" s="48"/>
      <c r="K6" s="49"/>
      <c r="M6" s="136"/>
      <c r="N6" s="136"/>
      <c r="O6" s="136"/>
      <c r="P6" s="136"/>
      <c r="Q6" s="137"/>
      <c r="R6" s="120"/>
    </row>
    <row r="7" spans="1:18" ht="15.75" x14ac:dyDescent="0.25">
      <c r="A7" s="171" t="s">
        <v>81</v>
      </c>
      <c r="B7" s="172"/>
      <c r="C7" s="172"/>
      <c r="D7" s="46" t="s">
        <v>159</v>
      </c>
      <c r="E7" s="47"/>
      <c r="F7" s="47"/>
      <c r="G7" s="47"/>
      <c r="H7" s="47"/>
      <c r="I7" s="47"/>
      <c r="J7" s="48"/>
      <c r="K7" s="49"/>
      <c r="M7" s="136"/>
      <c r="N7" s="136"/>
      <c r="O7" s="136"/>
      <c r="P7" s="136"/>
      <c r="Q7" s="137"/>
      <c r="R7" s="120"/>
    </row>
    <row r="8" spans="1:18" ht="16.5" customHeight="1" x14ac:dyDescent="0.25">
      <c r="A8" s="186" t="s">
        <v>82</v>
      </c>
      <c r="B8" s="187"/>
      <c r="C8" s="188"/>
      <c r="D8" s="50" t="s">
        <v>83</v>
      </c>
      <c r="E8" s="47"/>
      <c r="F8" s="47"/>
      <c r="G8" s="47"/>
      <c r="H8" s="47"/>
      <c r="I8" s="47"/>
      <c r="J8" s="48"/>
      <c r="K8" s="49"/>
      <c r="M8" s="136"/>
      <c r="N8" s="136"/>
      <c r="O8" s="136"/>
      <c r="P8" s="136"/>
      <c r="Q8" s="137"/>
      <c r="R8" s="120"/>
    </row>
    <row r="9" spans="1:18" ht="15.75" x14ac:dyDescent="0.25">
      <c r="A9" s="51"/>
      <c r="B9" s="52"/>
      <c r="C9" s="53"/>
      <c r="D9" s="54"/>
      <c r="E9" s="54"/>
      <c r="F9" s="54"/>
      <c r="G9" s="54"/>
      <c r="H9" s="54"/>
      <c r="I9" s="54"/>
      <c r="J9" s="55"/>
      <c r="K9" s="56"/>
      <c r="M9" s="136"/>
      <c r="N9" s="136"/>
      <c r="O9" s="136"/>
      <c r="P9" s="136"/>
      <c r="Q9" s="137"/>
      <c r="R9" s="120"/>
    </row>
    <row r="10" spans="1:18" x14ac:dyDescent="0.25">
      <c r="A10" s="178" t="s">
        <v>84</v>
      </c>
      <c r="B10" s="176" t="s">
        <v>85</v>
      </c>
      <c r="C10" s="182" t="s">
        <v>86</v>
      </c>
      <c r="D10" s="170"/>
      <c r="E10" s="170"/>
      <c r="F10" s="170"/>
      <c r="G10" s="183"/>
      <c r="H10" s="176" t="s">
        <v>87</v>
      </c>
      <c r="I10" s="176" t="s">
        <v>88</v>
      </c>
      <c r="J10" s="198" t="s">
        <v>89</v>
      </c>
      <c r="K10" s="196" t="s">
        <v>90</v>
      </c>
      <c r="M10" s="136"/>
      <c r="N10" s="136"/>
      <c r="O10" s="136"/>
      <c r="P10" s="136"/>
      <c r="Q10" s="137"/>
      <c r="R10" s="120"/>
    </row>
    <row r="11" spans="1:18" ht="36.75" customHeight="1" x14ac:dyDescent="0.25">
      <c r="A11" s="179"/>
      <c r="B11" s="177"/>
      <c r="C11" s="184"/>
      <c r="D11" s="156"/>
      <c r="E11" s="156"/>
      <c r="F11" s="156"/>
      <c r="G11" s="185"/>
      <c r="H11" s="177"/>
      <c r="I11" s="177"/>
      <c r="J11" s="177"/>
      <c r="K11" s="197"/>
      <c r="M11" s="137"/>
      <c r="N11" s="137">
        <v>295</v>
      </c>
      <c r="O11" s="137">
        <v>433</v>
      </c>
      <c r="P11" s="137">
        <v>439</v>
      </c>
      <c r="Q11" s="137"/>
      <c r="R11" s="120"/>
    </row>
    <row r="12" spans="1:18" x14ac:dyDescent="0.25">
      <c r="A12" s="57">
        <v>1</v>
      </c>
      <c r="B12" s="58" t="str">
        <f>'SAF 011 - NECESIDAD TRIMESTRAL'!B10</f>
        <v>4.3.3-5415.6</v>
      </c>
      <c r="C12" s="173" t="str">
        <f>'SAF 011 - NECESIDAD TRIMESTRAL'!E10</f>
        <v>BALANZAS P/PERSONAS; TIPO: ADULTO, PRECISION: 100 GR, ACCESORIO: ALTIMETRO, CAPACIDAD: 250 Kg</v>
      </c>
      <c r="D12" s="174"/>
      <c r="E12" s="174"/>
      <c r="F12" s="174"/>
      <c r="G12" s="175"/>
      <c r="H12" s="133" t="s">
        <v>92</v>
      </c>
      <c r="I12" s="59" t="s">
        <v>21</v>
      </c>
      <c r="J12" s="60">
        <v>180000</v>
      </c>
      <c r="K12" s="61">
        <v>10</v>
      </c>
      <c r="L12" s="37"/>
      <c r="M12" s="136"/>
      <c r="N12" s="136"/>
      <c r="O12" s="136">
        <f t="shared" ref="O12:O14" si="0">+K12*J12</f>
        <v>1800000</v>
      </c>
      <c r="P12" s="136"/>
      <c r="Q12" s="137"/>
      <c r="R12" s="120"/>
    </row>
    <row r="13" spans="1:18" ht="15" customHeight="1" x14ac:dyDescent="0.25">
      <c r="A13" s="62">
        <v>2</v>
      </c>
      <c r="B13" s="63" t="str">
        <f>'SAF 011 - NECESIDAD TRIMESTRAL'!B11</f>
        <v>4.3.3-5415.3</v>
      </c>
      <c r="C13" s="166" t="str">
        <f>'SAF 011 - NECESIDAD TRIMESTRAL'!E11</f>
        <v>BALANZAS P/PERSONAS; TIPO: P/ADULTOS, PRECISION: 100 GR, ACCESORIO: ALTIMETRO, CAPACIDAD: 150 Kg</v>
      </c>
      <c r="D13" s="167"/>
      <c r="E13" s="167"/>
      <c r="F13" s="167"/>
      <c r="G13" s="168"/>
      <c r="H13" s="134" t="s">
        <v>92</v>
      </c>
      <c r="I13" s="64" t="s">
        <v>21</v>
      </c>
      <c r="J13" s="65">
        <v>110000</v>
      </c>
      <c r="K13" s="66">
        <v>10</v>
      </c>
      <c r="L13" s="37"/>
      <c r="M13" s="136"/>
      <c r="N13" s="136"/>
      <c r="O13" s="136">
        <f t="shared" si="0"/>
        <v>1100000</v>
      </c>
      <c r="P13" s="136"/>
      <c r="Q13" s="137"/>
      <c r="R13" s="120"/>
    </row>
    <row r="14" spans="1:18" ht="15" customHeight="1" x14ac:dyDescent="0.25">
      <c r="A14" s="62">
        <v>3</v>
      </c>
      <c r="B14" s="63" t="str">
        <f>'SAF 011 - NECESIDAD TRIMESTRAL'!B12</f>
        <v>4.3.3-5415.7</v>
      </c>
      <c r="C14" s="166" t="str">
        <f>'SAF 011 - NECESIDAD TRIMESTRAL'!E12</f>
        <v>BALANZAS P/PERSONAS; TIPO: PEDIATRICA, PRECISION: 100 GR, ACCESORIO: ESCALIMETRO, CAPACIDAD: 50 Kg</v>
      </c>
      <c r="D14" s="167"/>
      <c r="E14" s="167"/>
      <c r="F14" s="167"/>
      <c r="G14" s="168"/>
      <c r="H14" s="134" t="s">
        <v>92</v>
      </c>
      <c r="I14" s="64" t="s">
        <v>21</v>
      </c>
      <c r="J14" s="65">
        <v>110000</v>
      </c>
      <c r="K14" s="66">
        <v>10</v>
      </c>
      <c r="L14" s="37"/>
      <c r="M14" s="136"/>
      <c r="N14" s="136"/>
      <c r="O14" s="136">
        <f t="shared" si="0"/>
        <v>1100000</v>
      </c>
      <c r="P14" s="136"/>
      <c r="Q14" s="137"/>
      <c r="R14" s="120"/>
    </row>
    <row r="15" spans="1:18" ht="15" customHeight="1" x14ac:dyDescent="0.25">
      <c r="A15" s="62">
        <v>4</v>
      </c>
      <c r="B15" s="63" t="str">
        <f>'SAF 011 - NECESIDAD TRIMESTRAL'!B13</f>
        <v>2.9.5-8239.1</v>
      </c>
      <c r="C15" s="166" t="str">
        <f>'SAF 011 - NECESIDAD TRIMESTRAL'!E13</f>
        <v>CHATAS; MATERIAL: PVC</v>
      </c>
      <c r="D15" s="167"/>
      <c r="E15" s="167"/>
      <c r="F15" s="167"/>
      <c r="G15" s="168"/>
      <c r="H15" s="134" t="s">
        <v>91</v>
      </c>
      <c r="I15" s="64" t="s">
        <v>21</v>
      </c>
      <c r="J15" s="65">
        <v>800</v>
      </c>
      <c r="K15" s="66">
        <v>85</v>
      </c>
      <c r="L15" s="37"/>
      <c r="M15" s="136"/>
      <c r="N15" s="136">
        <f t="shared" ref="N15" si="1">+J15*K15</f>
        <v>68000</v>
      </c>
      <c r="O15" s="136"/>
      <c r="P15" s="136"/>
      <c r="Q15" s="137"/>
      <c r="R15" s="120"/>
    </row>
    <row r="16" spans="1:18" ht="15" customHeight="1" x14ac:dyDescent="0.25">
      <c r="A16" s="62">
        <v>5</v>
      </c>
      <c r="B16" s="63" t="str">
        <f>'SAF 011 - NECESIDAD TRIMESTRAL'!B14</f>
        <v>2.9.5-5041.6</v>
      </c>
      <c r="C16" s="166" t="str">
        <f>'SAF 011 - NECESIDAD TRIMESTRAL'!E14</f>
        <v>COLLARES CERVICALES; MATERIAL: PLASTICO, TALLE: SIN VALOR, USO: INMOBILIZADORES LATERALES DE C</v>
      </c>
      <c r="D16" s="167"/>
      <c r="E16" s="167"/>
      <c r="F16" s="167"/>
      <c r="G16" s="168"/>
      <c r="H16" s="134" t="s">
        <v>92</v>
      </c>
      <c r="I16" s="64" t="s">
        <v>21</v>
      </c>
      <c r="J16" s="65">
        <v>2300</v>
      </c>
      <c r="K16" s="66">
        <v>100</v>
      </c>
      <c r="L16" s="37"/>
      <c r="M16" s="136"/>
      <c r="O16" s="136">
        <f>+J16*K16</f>
        <v>230000</v>
      </c>
      <c r="P16" s="136"/>
      <c r="Q16" s="137"/>
      <c r="R16" s="120"/>
    </row>
    <row r="17" spans="1:18" ht="15" customHeight="1" x14ac:dyDescent="0.25">
      <c r="A17" s="62">
        <v>6</v>
      </c>
      <c r="B17" s="63" t="str">
        <f>'SAF 011 - NECESIDAD TRIMESTRAL'!B15</f>
        <v>2.9.5-4208.17</v>
      </c>
      <c r="C17" s="166" t="str">
        <f>'SAF 011 - NECESIDAD TRIMESTRAL'!E15</f>
        <v>ELEMENTOS P/RADIOLOGIA; TIPO: DELANTAL PLOMADO, PRESENTACION: UNIDAD</v>
      </c>
      <c r="D17" s="167"/>
      <c r="E17" s="167"/>
      <c r="F17" s="167"/>
      <c r="G17" s="168"/>
      <c r="H17" s="134" t="s">
        <v>92</v>
      </c>
      <c r="I17" s="64" t="s">
        <v>21</v>
      </c>
      <c r="J17" s="65">
        <v>42000</v>
      </c>
      <c r="K17" s="66">
        <v>50</v>
      </c>
      <c r="L17" s="37"/>
      <c r="M17" s="136"/>
      <c r="O17" s="136">
        <f>+J17*K17</f>
        <v>2100000</v>
      </c>
      <c r="P17" s="136"/>
      <c r="Q17" s="137"/>
      <c r="R17" s="120"/>
    </row>
    <row r="18" spans="1:18" ht="31.5" customHeight="1" x14ac:dyDescent="0.25">
      <c r="A18" s="62">
        <v>7</v>
      </c>
      <c r="B18" s="63" t="str">
        <f>'SAF 011 - NECESIDAD TRIMESTRAL'!B16</f>
        <v>4.3.3-7798.1</v>
      </c>
      <c r="C18" s="166" t="str">
        <f>'SAF 011 - NECESIDAD TRIMESTRAL'!E16</f>
        <v>DETECTORES DE LATIDOS; USO: P/LATIDOS FETALES, ALIMENTACION: ELECTRICA-BATERIA, FRECUENCIA: 1,1- 2,1 MHZ, INTENSIDAD: 10 MW/CM2, CORRIENTE: 10 MW/CM2</v>
      </c>
      <c r="D18" s="167"/>
      <c r="E18" s="167"/>
      <c r="F18" s="167"/>
      <c r="G18" s="168"/>
      <c r="H18" s="134" t="s">
        <v>92</v>
      </c>
      <c r="I18" s="64" t="s">
        <v>21</v>
      </c>
      <c r="J18" s="65">
        <v>17300</v>
      </c>
      <c r="K18" s="66">
        <v>15</v>
      </c>
      <c r="L18" s="37"/>
      <c r="M18" s="136"/>
      <c r="N18" s="136"/>
      <c r="O18" s="136">
        <f t="shared" ref="O18:O20" si="2">+K18*J18</f>
        <v>259500</v>
      </c>
      <c r="P18" s="136"/>
      <c r="Q18" s="137"/>
      <c r="R18" s="120"/>
    </row>
    <row r="19" spans="1:18" ht="15" customHeight="1" x14ac:dyDescent="0.25">
      <c r="A19" s="62">
        <v>8</v>
      </c>
      <c r="B19" s="63" t="str">
        <f>'SAF 011 - NECESIDAD TRIMESTRAL'!B17</f>
        <v>4.3.3-2049.4</v>
      </c>
      <c r="C19" s="166" t="str">
        <f>'SAF 011 - NECESIDAD TRIMESTRAL'!E17</f>
        <v>ESTETOSCOPIOS; TIPO: VIA AURICULAR, CAMPANA: DOBLE</v>
      </c>
      <c r="D19" s="167"/>
      <c r="E19" s="167"/>
      <c r="F19" s="167"/>
      <c r="G19" s="168"/>
      <c r="H19" s="63" t="s">
        <v>92</v>
      </c>
      <c r="I19" s="64" t="s">
        <v>21</v>
      </c>
      <c r="J19" s="65">
        <v>5500</v>
      </c>
      <c r="K19" s="66">
        <v>140</v>
      </c>
      <c r="L19" s="37"/>
      <c r="M19" s="136"/>
      <c r="N19" s="136"/>
      <c r="O19" s="136">
        <f t="shared" si="2"/>
        <v>770000</v>
      </c>
      <c r="P19" s="136"/>
      <c r="Q19" s="137"/>
      <c r="R19" s="120"/>
    </row>
    <row r="20" spans="1:18" ht="33" customHeight="1" x14ac:dyDescent="0.25">
      <c r="A20" s="62">
        <v>9</v>
      </c>
      <c r="B20" s="63" t="str">
        <f>'SAF 011 - NECESIDAD TRIMESTRAL'!B18</f>
        <v>2.9.5-8874.9</v>
      </c>
      <c r="C20" s="166" t="str">
        <f>'SAF 011 - NECESIDAD TRIMESTRAL'!E18</f>
        <v>INSTRUMENTAL MEDICO; DESCRIPCION: TABLA LARGA DE INMOVILIZACION, DESCARTABLE: NO, MATERIAL: POLIETILENO, ELEMENTO: TABLA LARGA DE INMOVILIZACION</v>
      </c>
      <c r="D20" s="167"/>
      <c r="E20" s="167"/>
      <c r="F20" s="167"/>
      <c r="G20" s="168"/>
      <c r="H20" s="63" t="s">
        <v>92</v>
      </c>
      <c r="I20" s="64" t="s">
        <v>21</v>
      </c>
      <c r="J20" s="65">
        <v>32000</v>
      </c>
      <c r="K20" s="66">
        <v>10</v>
      </c>
      <c r="L20" s="37"/>
      <c r="M20" s="136"/>
      <c r="N20" s="136"/>
      <c r="O20" s="136">
        <f t="shared" si="2"/>
        <v>320000</v>
      </c>
      <c r="P20" s="136"/>
      <c r="Q20" s="137"/>
      <c r="R20" s="120"/>
    </row>
    <row r="21" spans="1:18" ht="15.75" customHeight="1" x14ac:dyDescent="0.25">
      <c r="A21" s="62">
        <v>10</v>
      </c>
      <c r="B21" s="63" t="str">
        <f>'SAF 011 - NECESIDAD TRIMESTRAL'!B19</f>
        <v>2.9.5-8874.10</v>
      </c>
      <c r="C21" s="166" t="str">
        <f>'SAF 011 - NECESIDAD TRIMESTRAL'!E19</f>
        <v>INSTRUMENTAL MEDICO; DESCRIPCION: TABLA PEDIATRICA, DESCARTABLE: NO, MATERIAL: MADERA, ELEMENTO: TABLA PEDIATRICA</v>
      </c>
      <c r="D21" s="167"/>
      <c r="E21" s="167"/>
      <c r="F21" s="167"/>
      <c r="G21" s="168"/>
      <c r="H21" s="63" t="s">
        <v>92</v>
      </c>
      <c r="I21" s="64" t="s">
        <v>21</v>
      </c>
      <c r="J21" s="65">
        <v>28000</v>
      </c>
      <c r="K21" s="66">
        <v>10</v>
      </c>
      <c r="L21" s="37"/>
      <c r="M21" s="136"/>
      <c r="O21" s="136">
        <f>+J21*K21</f>
        <v>280000</v>
      </c>
      <c r="P21" s="136"/>
      <c r="Q21" s="137"/>
      <c r="R21" s="120"/>
    </row>
    <row r="22" spans="1:18" ht="15.75" customHeight="1" x14ac:dyDescent="0.25">
      <c r="A22" s="62">
        <v>11</v>
      </c>
      <c r="B22" s="63" t="str">
        <f>'SAF 011 - NECESIDAD TRIMESTRAL'!B20</f>
        <v>2.9.5-8234.1</v>
      </c>
      <c r="C22" s="166" t="str">
        <f>'SAF 011 - NECESIDAD TRIMESTRAL'!E20</f>
        <v>ORINALES; MATERIAL: MATERIAL PVC</v>
      </c>
      <c r="D22" s="167"/>
      <c r="E22" s="167"/>
      <c r="F22" s="167"/>
      <c r="G22" s="168"/>
      <c r="H22" s="63" t="s">
        <v>92</v>
      </c>
      <c r="I22" s="64" t="s">
        <v>21</v>
      </c>
      <c r="J22" s="65">
        <v>500</v>
      </c>
      <c r="K22" s="66">
        <v>100</v>
      </c>
      <c r="L22" s="37"/>
      <c r="M22" s="136"/>
      <c r="N22" s="136">
        <f t="shared" ref="N22" si="3">+J22*K22</f>
        <v>50000</v>
      </c>
      <c r="O22" s="136"/>
      <c r="P22" s="136"/>
      <c r="Q22" s="137"/>
      <c r="R22" s="120"/>
    </row>
    <row r="23" spans="1:18" ht="15.75" customHeight="1" x14ac:dyDescent="0.25">
      <c r="A23" s="62">
        <v>12</v>
      </c>
      <c r="B23" s="63" t="str">
        <f>'SAF 011 - NECESIDAD TRIMESTRAL'!B21</f>
        <v>4.3.3-5079.5</v>
      </c>
      <c r="C23" s="166" t="str">
        <f>'SAF 011 - NECESIDAD TRIMESTRAL'!E21</f>
        <v>OTOSCOPIOS; TIPO: DE BOLSILLO C/LAMPARA, CANULAS: SIN, ALIMENTACION: A PILA</v>
      </c>
      <c r="D23" s="167"/>
      <c r="E23" s="167"/>
      <c r="F23" s="167"/>
      <c r="G23" s="168"/>
      <c r="H23" s="134" t="s">
        <v>92</v>
      </c>
      <c r="I23" s="64" t="s">
        <v>21</v>
      </c>
      <c r="J23" s="65">
        <v>7300</v>
      </c>
      <c r="K23" s="66">
        <v>14</v>
      </c>
      <c r="L23" s="37"/>
      <c r="M23" s="136"/>
      <c r="O23" s="136">
        <f>+J23*K23</f>
        <v>102200</v>
      </c>
      <c r="P23" s="136"/>
      <c r="Q23" s="137"/>
      <c r="R23" s="120"/>
    </row>
    <row r="24" spans="1:18" ht="15.75" customHeight="1" x14ac:dyDescent="0.25">
      <c r="A24" s="62">
        <v>13</v>
      </c>
      <c r="B24" s="63" t="str">
        <f>'SAF 011 - NECESIDAD TRIMESTRAL'!B22</f>
        <v>4.3.3-3999.3</v>
      </c>
      <c r="C24" s="166" t="str">
        <f>'SAF 011 - NECESIDAD TRIMESTRAL'!E22</f>
        <v>OXIMETROS DE BOLSILLOS; RANGO: 0 - 100 %, TEMPERATURA DE TRABAJO: 0 A 50 °C, ALIMENTACION: 2 BATERIAS, PESO: 50 A 70 GR</v>
      </c>
      <c r="D24" s="167"/>
      <c r="E24" s="167"/>
      <c r="F24" s="167"/>
      <c r="G24" s="168"/>
      <c r="H24" s="134" t="s">
        <v>92</v>
      </c>
      <c r="I24" s="64" t="s">
        <v>21</v>
      </c>
      <c r="J24" s="65">
        <v>4500</v>
      </c>
      <c r="K24" s="66">
        <v>25</v>
      </c>
      <c r="L24" s="37"/>
      <c r="M24" s="136"/>
      <c r="N24" s="136"/>
      <c r="O24" s="136">
        <f t="shared" ref="O24:O31" si="4">+K24*J24</f>
        <v>112500</v>
      </c>
      <c r="P24" s="136"/>
      <c r="Q24" s="137"/>
      <c r="R24" s="120"/>
    </row>
    <row r="25" spans="1:18" ht="15.75" customHeight="1" x14ac:dyDescent="0.25">
      <c r="A25" s="62">
        <v>14</v>
      </c>
      <c r="B25" s="63" t="str">
        <f>'SAF 011 - NECESIDAD TRIMESTRAL'!B23</f>
        <v>4.3.3-7819.1</v>
      </c>
      <c r="C25" s="166" t="str">
        <f>'SAF 011 - NECESIDAD TRIMESTRAL'!E23</f>
        <v>PEDIOMETROS; RANGO: 0 A 1 M, RESOLUCION: 0,5 Cm, MATERIAL: ALUMINIO Y PLASTICO</v>
      </c>
      <c r="D25" s="167"/>
      <c r="E25" s="167"/>
      <c r="F25" s="167"/>
      <c r="G25" s="168"/>
      <c r="H25" s="63" t="s">
        <v>92</v>
      </c>
      <c r="I25" s="64" t="s">
        <v>21</v>
      </c>
      <c r="J25" s="65">
        <v>12300</v>
      </c>
      <c r="K25" s="66">
        <v>7</v>
      </c>
      <c r="L25" s="37"/>
      <c r="M25" s="136"/>
      <c r="N25" s="136"/>
      <c r="O25" s="136">
        <f t="shared" si="4"/>
        <v>86100</v>
      </c>
      <c r="P25" s="136"/>
      <c r="Q25" s="137"/>
      <c r="R25" s="120"/>
    </row>
    <row r="26" spans="1:18" ht="15.75" customHeight="1" x14ac:dyDescent="0.25">
      <c r="A26" s="62">
        <v>15</v>
      </c>
      <c r="B26" s="63" t="str">
        <f>'SAF 011 - NECESIDAD TRIMESTRAL'!B24</f>
        <v>4.3.3-4853.2</v>
      </c>
      <c r="C26" s="166" t="str">
        <f>'SAF 011 - NECESIDAD TRIMESTRAL'!E24</f>
        <v>PIES DE SUEROS; RUEDAS: CON, MATERIAL: ACERO INOXIDABLE</v>
      </c>
      <c r="D26" s="167"/>
      <c r="E26" s="167"/>
      <c r="F26" s="167"/>
      <c r="G26" s="168"/>
      <c r="H26" s="134" t="s">
        <v>92</v>
      </c>
      <c r="I26" s="64" t="s">
        <v>21</v>
      </c>
      <c r="J26" s="65">
        <v>6500</v>
      </c>
      <c r="K26" s="66">
        <v>200</v>
      </c>
      <c r="L26" s="37"/>
      <c r="M26" s="136"/>
      <c r="N26" s="136"/>
      <c r="O26" s="136">
        <f t="shared" si="4"/>
        <v>1300000</v>
      </c>
      <c r="P26" s="136"/>
      <c r="Q26" s="137"/>
      <c r="R26" s="120"/>
    </row>
    <row r="27" spans="1:18" ht="15.75" customHeight="1" x14ac:dyDescent="0.25">
      <c r="A27" s="62">
        <v>16</v>
      </c>
      <c r="B27" s="63" t="str">
        <f>'SAF 011 - NECESIDAD TRIMESTRAL'!B25</f>
        <v>4.3.3-130.13</v>
      </c>
      <c r="C27" s="166" t="str">
        <f>'SAF 011 - NECESIDAD TRIMESTRAL'!E25</f>
        <v>TENSIOMETROS ARTERIALES; RANGO DE PRESION: +/- 3 mm hg, RANGO PULSACIONES: SIN, ALIMENTACION: SIN, TIPO: ANEROIDE</v>
      </c>
      <c r="D27" s="167"/>
      <c r="E27" s="167"/>
      <c r="F27" s="167"/>
      <c r="G27" s="168"/>
      <c r="H27" s="63" t="s">
        <v>92</v>
      </c>
      <c r="I27" s="64" t="s">
        <v>21</v>
      </c>
      <c r="J27" s="65">
        <v>2300</v>
      </c>
      <c r="K27" s="66">
        <v>70</v>
      </c>
      <c r="L27" s="37"/>
      <c r="M27" s="136"/>
      <c r="N27" s="136"/>
      <c r="O27" s="136">
        <f t="shared" si="4"/>
        <v>161000</v>
      </c>
      <c r="P27" s="136"/>
      <c r="Q27" s="137"/>
      <c r="R27" s="120"/>
    </row>
    <row r="28" spans="1:18" ht="15.75" customHeight="1" x14ac:dyDescent="0.25">
      <c r="A28" s="62">
        <v>17</v>
      </c>
      <c r="B28" s="63" t="str">
        <f>'SAF 011 - NECESIDAD TRIMESTRAL'!B26</f>
        <v>4.3.3-130.13</v>
      </c>
      <c r="C28" s="166" t="str">
        <f>'SAF 011 - NECESIDAD TRIMESTRAL'!E26</f>
        <v>TENSIOMETROS ARTERIALES; RANGO DE PRESION: +/- 3 mm hg, RANGO PULSACIONES: SIN, ALIMENTACION: SIN, TIPO: ANEROIDE</v>
      </c>
      <c r="D28" s="167"/>
      <c r="E28" s="167"/>
      <c r="F28" s="167"/>
      <c r="G28" s="168"/>
      <c r="H28" s="63" t="s">
        <v>92</v>
      </c>
      <c r="I28" s="64" t="s">
        <v>21</v>
      </c>
      <c r="J28" s="65">
        <v>2700</v>
      </c>
      <c r="K28" s="66">
        <v>70</v>
      </c>
      <c r="L28" s="37"/>
      <c r="M28" s="136"/>
      <c r="N28" s="136"/>
      <c r="O28" s="136">
        <f t="shared" si="4"/>
        <v>189000</v>
      </c>
      <c r="P28" s="136"/>
      <c r="Q28" s="137"/>
      <c r="R28" s="120"/>
    </row>
    <row r="29" spans="1:18" ht="15.75" customHeight="1" x14ac:dyDescent="0.25">
      <c r="A29" s="62">
        <v>18</v>
      </c>
      <c r="B29" s="63" t="str">
        <f>'SAF 011 - NECESIDAD TRIMESTRAL'!B27</f>
        <v>4.3.3-130.13</v>
      </c>
      <c r="C29" s="166" t="str">
        <f>'SAF 011 - NECESIDAD TRIMESTRAL'!E27</f>
        <v>TENSIOMETROS ARTERIALES; RANGO DE PRESION: +/- 3 mm hg, RANGO PULSACIONES: SIN, ALIMENTACION: SIN, TIPO: ANEROIDE</v>
      </c>
      <c r="D29" s="167"/>
      <c r="E29" s="167"/>
      <c r="F29" s="167"/>
      <c r="G29" s="168"/>
      <c r="H29" s="63" t="s">
        <v>92</v>
      </c>
      <c r="I29" s="64" t="s">
        <v>21</v>
      </c>
      <c r="J29" s="65">
        <v>4800</v>
      </c>
      <c r="K29" s="66">
        <v>70</v>
      </c>
      <c r="L29" s="37"/>
      <c r="M29" s="136"/>
      <c r="N29" s="136"/>
      <c r="O29" s="136">
        <f t="shared" si="4"/>
        <v>336000</v>
      </c>
      <c r="P29" s="136"/>
      <c r="Q29" s="137"/>
      <c r="R29" s="120"/>
    </row>
    <row r="30" spans="1:18" ht="15.75" customHeight="1" x14ac:dyDescent="0.25">
      <c r="A30" s="62">
        <v>19</v>
      </c>
      <c r="B30" s="63" t="str">
        <f>'SAF 011 - NECESIDAD TRIMESTRAL'!B28</f>
        <v>4.3.3-3675.100</v>
      </c>
      <c r="C30" s="166" t="str">
        <f>'SAF 011 - NECESIDAD TRIMESTRAL'!E28</f>
        <v>TERMOMETROS; TIPO: DIGITAL, ESCALA: GRADO CENTIGRADO, RANGO DE TEMPERATURA: -5 A 50 °C</v>
      </c>
      <c r="D30" s="167"/>
      <c r="E30" s="167"/>
      <c r="F30" s="167"/>
      <c r="G30" s="168"/>
      <c r="H30" s="134" t="s">
        <v>92</v>
      </c>
      <c r="I30" s="64" t="s">
        <v>21</v>
      </c>
      <c r="J30" s="65">
        <v>850</v>
      </c>
      <c r="K30" s="66">
        <v>70</v>
      </c>
      <c r="L30" s="37"/>
      <c r="M30" s="136"/>
      <c r="N30" s="136"/>
      <c r="O30" s="136"/>
      <c r="P30" s="136">
        <f>+J30*K30</f>
        <v>59500</v>
      </c>
      <c r="Q30" s="137"/>
      <c r="R30" s="120"/>
    </row>
    <row r="31" spans="1:18" ht="15.75" customHeight="1" x14ac:dyDescent="0.25">
      <c r="A31" s="62">
        <v>20</v>
      </c>
      <c r="B31" s="63" t="str">
        <f>'SAF 011 - NECESIDAD TRIMESTRAL'!B29</f>
        <v>4.3.3-4212.4</v>
      </c>
      <c r="C31" s="166" t="str">
        <f>'SAF 011 - NECESIDAD TRIMESTRAL'!E29</f>
        <v>TUBOS DE OXIGENO; TIPO: CAPACIDAD 6 M3</v>
      </c>
      <c r="D31" s="167"/>
      <c r="E31" s="167"/>
      <c r="F31" s="167"/>
      <c r="G31" s="168"/>
      <c r="H31" s="134" t="s">
        <v>92</v>
      </c>
      <c r="I31" s="64" t="s">
        <v>21</v>
      </c>
      <c r="J31" s="65">
        <v>32200</v>
      </c>
      <c r="K31" s="66">
        <v>70</v>
      </c>
      <c r="L31" s="37"/>
      <c r="M31" s="136"/>
      <c r="N31" s="136"/>
      <c r="O31" s="136">
        <f t="shared" si="4"/>
        <v>2254000</v>
      </c>
      <c r="P31" s="136"/>
      <c r="Q31" s="137"/>
      <c r="R31" s="120"/>
    </row>
    <row r="32" spans="1:18" ht="15.75" customHeight="1" thickBot="1" x14ac:dyDescent="0.3">
      <c r="A32" s="67"/>
      <c r="B32" s="68"/>
      <c r="C32" s="193"/>
      <c r="D32" s="194"/>
      <c r="E32" s="194"/>
      <c r="F32" s="194"/>
      <c r="G32" s="195"/>
      <c r="H32" s="68"/>
      <c r="I32" s="69"/>
      <c r="J32" s="70"/>
      <c r="K32" s="71"/>
      <c r="L32" s="37"/>
      <c r="M32" s="136"/>
      <c r="N32" s="136"/>
      <c r="O32" s="136"/>
      <c r="P32" s="136"/>
      <c r="Q32" s="137"/>
      <c r="R32" s="120"/>
    </row>
    <row r="33" spans="1:18" s="122" customFormat="1" ht="15.75" customHeight="1" x14ac:dyDescent="0.25">
      <c r="A33" s="191" t="s">
        <v>157</v>
      </c>
      <c r="B33" s="192"/>
      <c r="C33" s="192"/>
      <c r="D33" s="192"/>
      <c r="E33" s="192"/>
      <c r="F33" s="192"/>
      <c r="G33" s="192"/>
      <c r="H33" s="192"/>
      <c r="I33" s="190"/>
      <c r="J33" s="189">
        <f>SUMPRODUCT(J12:J31,K12:K31)</f>
        <v>12677800</v>
      </c>
      <c r="K33" s="190"/>
      <c r="M33" s="139"/>
      <c r="N33" s="139">
        <f>SUM(N12:N32)</f>
        <v>118000</v>
      </c>
      <c r="O33" s="139">
        <f>SUM(O12:O32)</f>
        <v>12500300</v>
      </c>
      <c r="P33" s="139">
        <f>SUM(P12:P32)</f>
        <v>59500</v>
      </c>
      <c r="Q33" s="139">
        <f>SUM(M33:P33)</f>
        <v>12677800</v>
      </c>
      <c r="R33" s="123"/>
    </row>
    <row r="34" spans="1:18" ht="15.75" customHeight="1" x14ac:dyDescent="0.25">
      <c r="B34" s="72"/>
      <c r="J34" s="73"/>
      <c r="M34" s="136"/>
      <c r="N34" s="136"/>
      <c r="O34" s="136"/>
      <c r="P34" s="136"/>
      <c r="Q34" s="137"/>
      <c r="R34" s="120"/>
    </row>
    <row r="35" spans="1:18" ht="15.75" customHeight="1" x14ac:dyDescent="0.25">
      <c r="B35" s="72"/>
      <c r="J35" s="73"/>
      <c r="M35" s="136"/>
      <c r="N35" s="136"/>
      <c r="O35" s="136"/>
      <c r="P35" s="136"/>
      <c r="Q35" s="137"/>
      <c r="R35" s="120"/>
    </row>
    <row r="36" spans="1:18" ht="15.75" customHeight="1" x14ac:dyDescent="0.25">
      <c r="B36" s="72"/>
      <c r="J36" s="73"/>
      <c r="M36" s="136"/>
      <c r="N36" s="136"/>
      <c r="O36" s="136"/>
      <c r="P36" s="136"/>
      <c r="Q36" s="137"/>
      <c r="R36" s="120"/>
    </row>
    <row r="37" spans="1:18" ht="15.75" customHeight="1" x14ac:dyDescent="0.25">
      <c r="B37" s="72"/>
      <c r="J37" s="73"/>
      <c r="M37" s="136"/>
      <c r="N37" s="136"/>
      <c r="O37" s="136"/>
      <c r="P37" s="136"/>
      <c r="Q37" s="137"/>
      <c r="R37" s="120"/>
    </row>
    <row r="38" spans="1:18" ht="15.75" customHeight="1" x14ac:dyDescent="0.25">
      <c r="B38" s="72"/>
      <c r="J38" s="73"/>
      <c r="M38" s="136"/>
      <c r="N38" s="136"/>
      <c r="O38" s="136"/>
      <c r="P38" s="136"/>
      <c r="Q38" s="137"/>
      <c r="R38" s="120"/>
    </row>
    <row r="39" spans="1:18" ht="15.75" customHeight="1" x14ac:dyDescent="0.25">
      <c r="B39" s="72"/>
      <c r="J39" s="73"/>
      <c r="M39" s="136"/>
      <c r="N39" s="136"/>
      <c r="O39" s="136"/>
      <c r="P39" s="136"/>
      <c r="Q39" s="137"/>
      <c r="R39" s="120"/>
    </row>
    <row r="40" spans="1:18" ht="15.75" customHeight="1" x14ac:dyDescent="0.25">
      <c r="B40" s="72"/>
      <c r="J40" s="73"/>
      <c r="M40" s="136"/>
      <c r="N40" s="136"/>
      <c r="O40" s="136"/>
      <c r="P40" s="136"/>
      <c r="Q40" s="137"/>
      <c r="R40" s="120"/>
    </row>
    <row r="41" spans="1:18" ht="15.75" customHeight="1" x14ac:dyDescent="0.25">
      <c r="B41" s="72"/>
      <c r="J41" s="73"/>
      <c r="M41" s="136"/>
      <c r="N41" s="136"/>
      <c r="O41" s="136"/>
      <c r="P41" s="136"/>
      <c r="Q41" s="137"/>
      <c r="R41" s="120"/>
    </row>
    <row r="42" spans="1:18" ht="15.75" customHeight="1" x14ac:dyDescent="0.25">
      <c r="B42" s="72"/>
      <c r="J42" s="73"/>
      <c r="M42" s="136"/>
      <c r="N42" s="136"/>
      <c r="O42" s="136"/>
      <c r="P42" s="136"/>
      <c r="Q42" s="137"/>
      <c r="R42" s="120"/>
    </row>
    <row r="43" spans="1:18" ht="15.75" customHeight="1" x14ac:dyDescent="0.25">
      <c r="B43" s="72"/>
      <c r="J43" s="73"/>
      <c r="M43" s="136"/>
      <c r="N43" s="136"/>
      <c r="O43" s="136"/>
      <c r="P43" s="136"/>
      <c r="Q43" s="137"/>
      <c r="R43" s="120"/>
    </row>
    <row r="44" spans="1:18" ht="15.75" customHeight="1" x14ac:dyDescent="0.25">
      <c r="B44" s="72"/>
      <c r="J44" s="73"/>
      <c r="M44" s="136"/>
      <c r="N44" s="136"/>
      <c r="O44" s="136"/>
      <c r="P44" s="136"/>
      <c r="Q44" s="137"/>
      <c r="R44" s="120"/>
    </row>
    <row r="45" spans="1:18" ht="15.75" customHeight="1" x14ac:dyDescent="0.25">
      <c r="B45" s="72"/>
      <c r="J45" s="73"/>
      <c r="M45" s="136"/>
      <c r="N45" s="136"/>
      <c r="O45" s="136"/>
      <c r="P45" s="136"/>
      <c r="Q45" s="137"/>
      <c r="R45" s="120"/>
    </row>
    <row r="46" spans="1:18" ht="15.75" customHeight="1" x14ac:dyDescent="0.25">
      <c r="B46" s="72"/>
      <c r="J46" s="73"/>
      <c r="M46" s="136"/>
      <c r="N46" s="136"/>
      <c r="O46" s="136"/>
      <c r="P46" s="136"/>
      <c r="Q46" s="137"/>
      <c r="R46" s="120"/>
    </row>
    <row r="47" spans="1:18" ht="15.75" customHeight="1" x14ac:dyDescent="0.25">
      <c r="B47" s="72"/>
      <c r="J47" s="73"/>
      <c r="M47" s="136"/>
      <c r="N47" s="136"/>
      <c r="O47" s="136"/>
      <c r="P47" s="136"/>
      <c r="Q47" s="137"/>
      <c r="R47" s="120"/>
    </row>
    <row r="48" spans="1:18" ht="15.75" customHeight="1" x14ac:dyDescent="0.25">
      <c r="B48" s="72"/>
      <c r="J48" s="73"/>
      <c r="M48" s="136"/>
      <c r="N48" s="136"/>
      <c r="O48" s="136"/>
      <c r="P48" s="136"/>
      <c r="Q48" s="137"/>
      <c r="R48" s="120"/>
    </row>
    <row r="49" spans="2:18" ht="15.75" customHeight="1" x14ac:dyDescent="0.25">
      <c r="B49" s="72"/>
      <c r="J49" s="73"/>
      <c r="M49" s="136"/>
      <c r="N49" s="136"/>
      <c r="O49" s="136"/>
      <c r="P49" s="136"/>
      <c r="Q49" s="137"/>
      <c r="R49" s="120"/>
    </row>
    <row r="50" spans="2:18" ht="15.75" customHeight="1" x14ac:dyDescent="0.25">
      <c r="B50" s="72"/>
      <c r="J50" s="73"/>
      <c r="M50" s="136"/>
      <c r="N50" s="136"/>
      <c r="O50" s="136"/>
      <c r="P50" s="136"/>
      <c r="Q50" s="137"/>
      <c r="R50" s="120"/>
    </row>
    <row r="51" spans="2:18" ht="15.75" customHeight="1" x14ac:dyDescent="0.25">
      <c r="B51" s="72"/>
      <c r="J51" s="73"/>
      <c r="M51" s="136"/>
      <c r="N51" s="136"/>
      <c r="O51" s="136"/>
      <c r="P51" s="136"/>
      <c r="Q51" s="137"/>
      <c r="R51" s="120"/>
    </row>
    <row r="52" spans="2:18" ht="15.75" customHeight="1" x14ac:dyDescent="0.25">
      <c r="B52" s="72"/>
      <c r="J52" s="73"/>
      <c r="M52" s="136"/>
      <c r="N52" s="136"/>
      <c r="O52" s="136"/>
      <c r="P52" s="136"/>
      <c r="Q52" s="137"/>
      <c r="R52" s="120"/>
    </row>
    <row r="53" spans="2:18" ht="15.75" customHeight="1" x14ac:dyDescent="0.25">
      <c r="B53" s="72"/>
      <c r="J53" s="73"/>
      <c r="M53" s="136"/>
      <c r="N53" s="136"/>
      <c r="O53" s="136"/>
      <c r="P53" s="136"/>
      <c r="Q53" s="137"/>
      <c r="R53" s="120"/>
    </row>
    <row r="54" spans="2:18" ht="15.75" customHeight="1" x14ac:dyDescent="0.25">
      <c r="B54" s="72"/>
      <c r="J54" s="73"/>
      <c r="M54" s="136"/>
      <c r="N54" s="136"/>
      <c r="O54" s="136"/>
      <c r="P54" s="136"/>
      <c r="Q54" s="137"/>
      <c r="R54" s="120"/>
    </row>
    <row r="55" spans="2:18" ht="15.75" customHeight="1" x14ac:dyDescent="0.25">
      <c r="B55" s="72"/>
      <c r="J55" s="73"/>
      <c r="M55" s="136"/>
      <c r="N55" s="136"/>
      <c r="O55" s="136"/>
      <c r="P55" s="136"/>
      <c r="Q55" s="137"/>
      <c r="R55" s="120"/>
    </row>
    <row r="56" spans="2:18" ht="15.75" customHeight="1" x14ac:dyDescent="0.25">
      <c r="B56" s="72"/>
      <c r="J56" s="73"/>
      <c r="M56" s="136"/>
      <c r="N56" s="136"/>
      <c r="O56" s="136"/>
      <c r="P56" s="136"/>
      <c r="Q56" s="137"/>
      <c r="R56" s="120"/>
    </row>
    <row r="57" spans="2:18" ht="15.75" customHeight="1" x14ac:dyDescent="0.25">
      <c r="B57" s="72"/>
      <c r="J57" s="73"/>
      <c r="M57" s="136"/>
      <c r="N57" s="136"/>
      <c r="O57" s="136"/>
      <c r="P57" s="136"/>
      <c r="Q57" s="137"/>
      <c r="R57" s="120"/>
    </row>
    <row r="58" spans="2:18" ht="15.75" customHeight="1" x14ac:dyDescent="0.25">
      <c r="B58" s="72"/>
      <c r="J58" s="73"/>
      <c r="M58" s="136"/>
      <c r="N58" s="136"/>
      <c r="O58" s="136"/>
      <c r="P58" s="136"/>
      <c r="Q58" s="137"/>
      <c r="R58" s="120"/>
    </row>
    <row r="59" spans="2:18" ht="15.75" customHeight="1" x14ac:dyDescent="0.25">
      <c r="B59" s="72"/>
      <c r="J59" s="73"/>
      <c r="M59" s="136"/>
      <c r="N59" s="136"/>
      <c r="O59" s="136"/>
      <c r="P59" s="136"/>
      <c r="Q59" s="137"/>
      <c r="R59" s="120"/>
    </row>
    <row r="60" spans="2:18" ht="15.75" customHeight="1" x14ac:dyDescent="0.25">
      <c r="B60" s="72"/>
      <c r="J60" s="73"/>
      <c r="M60" s="136"/>
      <c r="N60" s="136"/>
      <c r="O60" s="136"/>
      <c r="P60" s="136"/>
      <c r="Q60" s="137"/>
      <c r="R60" s="120"/>
    </row>
    <row r="61" spans="2:18" ht="15.75" customHeight="1" x14ac:dyDescent="0.25">
      <c r="B61" s="72"/>
      <c r="J61" s="73"/>
      <c r="M61" s="136"/>
      <c r="N61" s="136"/>
      <c r="O61" s="136"/>
      <c r="P61" s="136"/>
      <c r="Q61" s="137"/>
      <c r="R61" s="120"/>
    </row>
    <row r="62" spans="2:18" ht="15.75" customHeight="1" x14ac:dyDescent="0.25">
      <c r="B62" s="72"/>
      <c r="J62" s="73"/>
      <c r="M62" s="136"/>
      <c r="N62" s="136"/>
      <c r="O62" s="136"/>
      <c r="P62" s="136"/>
      <c r="Q62" s="137"/>
      <c r="R62" s="120"/>
    </row>
    <row r="63" spans="2:18" ht="15.75" customHeight="1" x14ac:dyDescent="0.25">
      <c r="B63" s="72"/>
      <c r="J63" s="73"/>
      <c r="M63" s="136"/>
      <c r="N63" s="136"/>
      <c r="O63" s="136"/>
      <c r="P63" s="136"/>
      <c r="Q63" s="137"/>
      <c r="R63" s="120"/>
    </row>
    <row r="64" spans="2:18" ht="15.75" customHeight="1" x14ac:dyDescent="0.25">
      <c r="B64" s="72"/>
      <c r="J64" s="73"/>
      <c r="M64" s="136"/>
      <c r="N64" s="136"/>
      <c r="O64" s="136"/>
      <c r="P64" s="136"/>
      <c r="Q64" s="137"/>
      <c r="R64" s="120"/>
    </row>
    <row r="65" spans="2:18" ht="15.75" customHeight="1" x14ac:dyDescent="0.25">
      <c r="B65" s="72"/>
      <c r="J65" s="73"/>
      <c r="M65" s="136"/>
      <c r="N65" s="136"/>
      <c r="O65" s="136"/>
      <c r="P65" s="136"/>
      <c r="Q65" s="137"/>
      <c r="R65" s="120"/>
    </row>
    <row r="66" spans="2:18" ht="15.75" customHeight="1" x14ac:dyDescent="0.25">
      <c r="B66" s="72"/>
      <c r="J66" s="73"/>
      <c r="M66" s="136"/>
      <c r="N66" s="136"/>
      <c r="O66" s="136"/>
      <c r="P66" s="136"/>
      <c r="Q66" s="137"/>
      <c r="R66" s="120"/>
    </row>
    <row r="67" spans="2:18" ht="15.75" customHeight="1" x14ac:dyDescent="0.25">
      <c r="B67" s="72"/>
      <c r="J67" s="73"/>
      <c r="M67" s="136"/>
      <c r="N67" s="136"/>
      <c r="O67" s="136"/>
      <c r="P67" s="136"/>
      <c r="Q67" s="137"/>
      <c r="R67" s="120"/>
    </row>
    <row r="68" spans="2:18" ht="15.75" customHeight="1" x14ac:dyDescent="0.25">
      <c r="B68" s="72"/>
      <c r="J68" s="73"/>
      <c r="M68" s="136"/>
      <c r="N68" s="136"/>
      <c r="O68" s="136"/>
      <c r="P68" s="136"/>
      <c r="Q68" s="137"/>
      <c r="R68" s="120"/>
    </row>
    <row r="69" spans="2:18" ht="15.75" customHeight="1" x14ac:dyDescent="0.25">
      <c r="B69" s="72"/>
      <c r="J69" s="73"/>
      <c r="M69" s="136"/>
      <c r="N69" s="136"/>
      <c r="O69" s="136"/>
      <c r="P69" s="136"/>
      <c r="Q69" s="137"/>
      <c r="R69" s="120"/>
    </row>
    <row r="70" spans="2:18" ht="15.75" customHeight="1" x14ac:dyDescent="0.25">
      <c r="B70" s="72"/>
      <c r="J70" s="73"/>
      <c r="M70" s="136"/>
      <c r="N70" s="136"/>
      <c r="O70" s="136"/>
      <c r="P70" s="136"/>
      <c r="Q70" s="137"/>
      <c r="R70" s="120"/>
    </row>
    <row r="71" spans="2:18" ht="15.75" customHeight="1" x14ac:dyDescent="0.25">
      <c r="B71" s="72"/>
      <c r="J71" s="73"/>
      <c r="M71" s="136"/>
      <c r="N71" s="136"/>
      <c r="O71" s="136"/>
      <c r="P71" s="136"/>
      <c r="Q71" s="137"/>
      <c r="R71" s="120"/>
    </row>
    <row r="72" spans="2:18" ht="15.75" customHeight="1" x14ac:dyDescent="0.25">
      <c r="B72" s="72"/>
      <c r="J72" s="73"/>
      <c r="M72" s="136"/>
      <c r="N72" s="136"/>
      <c r="O72" s="136"/>
      <c r="P72" s="136"/>
      <c r="Q72" s="137"/>
      <c r="R72" s="120"/>
    </row>
    <row r="73" spans="2:18" ht="15.75" customHeight="1" x14ac:dyDescent="0.25">
      <c r="B73" s="72"/>
      <c r="J73" s="73"/>
      <c r="M73" s="136"/>
      <c r="N73" s="136"/>
      <c r="O73" s="136"/>
      <c r="P73" s="136"/>
      <c r="Q73" s="137"/>
      <c r="R73" s="120"/>
    </row>
    <row r="74" spans="2:18" ht="15.75" customHeight="1" x14ac:dyDescent="0.25">
      <c r="B74" s="72"/>
      <c r="J74" s="73"/>
      <c r="M74" s="136"/>
      <c r="N74" s="136"/>
      <c r="O74" s="136"/>
      <c r="P74" s="136"/>
      <c r="Q74" s="137"/>
      <c r="R74" s="120"/>
    </row>
    <row r="75" spans="2:18" ht="15.75" customHeight="1" x14ac:dyDescent="0.25">
      <c r="B75" s="72"/>
      <c r="J75" s="73"/>
      <c r="M75" s="136"/>
      <c r="N75" s="136"/>
      <c r="O75" s="136"/>
      <c r="P75" s="136"/>
      <c r="Q75" s="137"/>
      <c r="R75" s="120"/>
    </row>
    <row r="76" spans="2:18" ht="15.75" customHeight="1" x14ac:dyDescent="0.25">
      <c r="B76" s="72"/>
      <c r="J76" s="73"/>
      <c r="M76" s="136"/>
      <c r="N76" s="136"/>
      <c r="O76" s="136"/>
      <c r="P76" s="136"/>
      <c r="Q76" s="137"/>
      <c r="R76" s="120"/>
    </row>
    <row r="77" spans="2:18" ht="15.75" customHeight="1" x14ac:dyDescent="0.25">
      <c r="B77" s="72"/>
      <c r="J77" s="73"/>
      <c r="M77" s="136"/>
      <c r="N77" s="136"/>
      <c r="O77" s="136"/>
      <c r="P77" s="136"/>
      <c r="Q77" s="137"/>
      <c r="R77" s="120"/>
    </row>
    <row r="78" spans="2:18" ht="15.75" customHeight="1" x14ac:dyDescent="0.25">
      <c r="B78" s="72"/>
      <c r="J78" s="73"/>
      <c r="M78" s="136"/>
      <c r="N78" s="136"/>
      <c r="O78" s="136"/>
      <c r="P78" s="136"/>
      <c r="Q78" s="137"/>
      <c r="R78" s="120"/>
    </row>
    <row r="79" spans="2:18" ht="15.75" customHeight="1" x14ac:dyDescent="0.25">
      <c r="B79" s="72"/>
      <c r="J79" s="73"/>
      <c r="M79" s="136"/>
      <c r="N79" s="136"/>
      <c r="O79" s="136"/>
      <c r="P79" s="136"/>
      <c r="Q79" s="137"/>
      <c r="R79" s="120"/>
    </row>
    <row r="80" spans="2:18" ht="15.75" customHeight="1" x14ac:dyDescent="0.25">
      <c r="B80" s="72"/>
      <c r="J80" s="73"/>
      <c r="M80" s="136"/>
      <c r="N80" s="136"/>
      <c r="O80" s="136"/>
      <c r="P80" s="136"/>
      <c r="Q80" s="137"/>
      <c r="R80" s="120"/>
    </row>
    <row r="81" spans="2:18" ht="15.75" customHeight="1" x14ac:dyDescent="0.25">
      <c r="B81" s="72"/>
      <c r="J81" s="73"/>
      <c r="M81" s="136"/>
      <c r="N81" s="136"/>
      <c r="O81" s="136"/>
      <c r="P81" s="136"/>
      <c r="Q81" s="137"/>
      <c r="R81" s="120"/>
    </row>
    <row r="82" spans="2:18" ht="15.75" customHeight="1" x14ac:dyDescent="0.25">
      <c r="B82" s="72"/>
      <c r="J82" s="73"/>
      <c r="M82" s="136"/>
      <c r="N82" s="136"/>
      <c r="O82" s="136"/>
      <c r="P82" s="136"/>
      <c r="Q82" s="137"/>
      <c r="R82" s="120"/>
    </row>
    <row r="83" spans="2:18" ht="15.75" customHeight="1" x14ac:dyDescent="0.25">
      <c r="B83" s="72"/>
      <c r="J83" s="73"/>
      <c r="M83" s="136"/>
      <c r="N83" s="136"/>
      <c r="O83" s="136"/>
      <c r="P83" s="136"/>
      <c r="Q83" s="137"/>
      <c r="R83" s="120"/>
    </row>
    <row r="84" spans="2:18" ht="15.75" customHeight="1" x14ac:dyDescent="0.25">
      <c r="B84" s="72"/>
      <c r="J84" s="73"/>
      <c r="M84" s="136"/>
      <c r="N84" s="136"/>
      <c r="O84" s="136"/>
      <c r="P84" s="136"/>
      <c r="Q84" s="137"/>
      <c r="R84" s="120"/>
    </row>
    <row r="85" spans="2:18" ht="15.75" customHeight="1" x14ac:dyDescent="0.25">
      <c r="B85" s="72"/>
      <c r="J85" s="73"/>
      <c r="M85" s="136"/>
      <c r="N85" s="136"/>
      <c r="O85" s="136"/>
      <c r="P85" s="136"/>
      <c r="Q85" s="137"/>
      <c r="R85" s="120"/>
    </row>
    <row r="86" spans="2:18" ht="15.75" customHeight="1" x14ac:dyDescent="0.25">
      <c r="B86" s="72"/>
      <c r="J86" s="73"/>
      <c r="M86" s="136"/>
      <c r="N86" s="136"/>
      <c r="O86" s="136"/>
      <c r="P86" s="136"/>
      <c r="Q86" s="137"/>
      <c r="R86" s="120"/>
    </row>
    <row r="87" spans="2:18" ht="15.75" customHeight="1" x14ac:dyDescent="0.25">
      <c r="B87" s="72"/>
      <c r="J87" s="73"/>
      <c r="M87" s="136"/>
      <c r="N87" s="136"/>
      <c r="O87" s="136"/>
      <c r="P87" s="136"/>
      <c r="Q87" s="137"/>
      <c r="R87" s="120"/>
    </row>
    <row r="88" spans="2:18" ht="15.75" customHeight="1" x14ac:dyDescent="0.25">
      <c r="B88" s="72"/>
      <c r="J88" s="73"/>
      <c r="M88" s="136"/>
      <c r="N88" s="136"/>
      <c r="O88" s="136"/>
      <c r="P88" s="136"/>
      <c r="Q88" s="137"/>
      <c r="R88" s="120"/>
    </row>
    <row r="89" spans="2:18" ht="15.75" customHeight="1" x14ac:dyDescent="0.25">
      <c r="B89" s="72"/>
      <c r="J89" s="73"/>
      <c r="M89" s="136"/>
      <c r="N89" s="136"/>
      <c r="O89" s="136"/>
      <c r="P89" s="136"/>
      <c r="Q89" s="137"/>
      <c r="R89" s="120"/>
    </row>
    <row r="90" spans="2:18" ht="15.75" customHeight="1" x14ac:dyDescent="0.25">
      <c r="B90" s="72"/>
      <c r="J90" s="73"/>
      <c r="M90" s="136"/>
      <c r="N90" s="136"/>
      <c r="O90" s="136"/>
      <c r="P90" s="136"/>
      <c r="Q90" s="137"/>
      <c r="R90" s="120"/>
    </row>
    <row r="91" spans="2:18" ht="15.75" customHeight="1" x14ac:dyDescent="0.25">
      <c r="B91" s="72"/>
      <c r="J91" s="73"/>
      <c r="M91" s="136"/>
      <c r="N91" s="136"/>
      <c r="O91" s="136"/>
      <c r="P91" s="136"/>
      <c r="Q91" s="137"/>
      <c r="R91" s="120"/>
    </row>
    <row r="92" spans="2:18" ht="15.75" customHeight="1" x14ac:dyDescent="0.25">
      <c r="B92" s="72"/>
      <c r="J92" s="73"/>
      <c r="M92" s="136"/>
      <c r="N92" s="136"/>
      <c r="O92" s="136"/>
      <c r="P92" s="136"/>
      <c r="Q92" s="137"/>
      <c r="R92" s="120"/>
    </row>
    <row r="93" spans="2:18" ht="15.75" customHeight="1" x14ac:dyDescent="0.25">
      <c r="B93" s="72"/>
      <c r="J93" s="73"/>
      <c r="M93" s="136"/>
      <c r="N93" s="136"/>
      <c r="O93" s="136"/>
      <c r="P93" s="136"/>
      <c r="Q93" s="137"/>
      <c r="R93" s="120"/>
    </row>
    <row r="94" spans="2:18" ht="15.75" customHeight="1" x14ac:dyDescent="0.25">
      <c r="B94" s="72"/>
      <c r="J94" s="73"/>
      <c r="M94" s="136"/>
      <c r="N94" s="136"/>
      <c r="O94" s="136"/>
      <c r="P94" s="136"/>
      <c r="Q94" s="137"/>
      <c r="R94" s="120"/>
    </row>
    <row r="95" spans="2:18" ht="15.75" customHeight="1" x14ac:dyDescent="0.25">
      <c r="B95" s="72"/>
      <c r="J95" s="73"/>
      <c r="M95" s="136"/>
      <c r="N95" s="136"/>
      <c r="O95" s="136"/>
      <c r="P95" s="136"/>
      <c r="Q95" s="137"/>
      <c r="R95" s="120"/>
    </row>
    <row r="96" spans="2:18" ht="15.75" customHeight="1" x14ac:dyDescent="0.25">
      <c r="B96" s="72"/>
      <c r="J96" s="73"/>
      <c r="M96" s="136"/>
      <c r="N96" s="136"/>
      <c r="O96" s="136"/>
      <c r="P96" s="136"/>
      <c r="Q96" s="137"/>
      <c r="R96" s="120"/>
    </row>
    <row r="97" spans="2:18" ht="15.75" customHeight="1" x14ac:dyDescent="0.25">
      <c r="B97" s="72"/>
      <c r="J97" s="73"/>
      <c r="M97" s="136"/>
      <c r="N97" s="136"/>
      <c r="O97" s="136"/>
      <c r="P97" s="136"/>
      <c r="Q97" s="137"/>
      <c r="R97" s="120"/>
    </row>
    <row r="98" spans="2:18" ht="15.75" customHeight="1" x14ac:dyDescent="0.25">
      <c r="B98" s="72"/>
      <c r="J98" s="73"/>
      <c r="M98" s="136"/>
      <c r="N98" s="136"/>
      <c r="O98" s="136"/>
      <c r="P98" s="136"/>
      <c r="Q98" s="137"/>
      <c r="R98" s="120"/>
    </row>
    <row r="99" spans="2:18" ht="15.75" customHeight="1" x14ac:dyDescent="0.25">
      <c r="B99" s="72"/>
      <c r="J99" s="73"/>
      <c r="M99" s="136"/>
      <c r="N99" s="136"/>
      <c r="O99" s="136"/>
      <c r="P99" s="136"/>
      <c r="Q99" s="137"/>
      <c r="R99" s="120"/>
    </row>
  </sheetData>
  <mergeCells count="37">
    <mergeCell ref="A7:C7"/>
    <mergeCell ref="A8:C8"/>
    <mergeCell ref="J33:K33"/>
    <mergeCell ref="A33:I33"/>
    <mergeCell ref="C32:G32"/>
    <mergeCell ref="C31:G31"/>
    <mergeCell ref="C26:G26"/>
    <mergeCell ref="C27:G27"/>
    <mergeCell ref="C28:G28"/>
    <mergeCell ref="C29:G29"/>
    <mergeCell ref="C30:G30"/>
    <mergeCell ref="C25:G25"/>
    <mergeCell ref="K10:K11"/>
    <mergeCell ref="J10:J11"/>
    <mergeCell ref="C21:G21"/>
    <mergeCell ref="C22:G22"/>
    <mergeCell ref="A1:I1"/>
    <mergeCell ref="A5:C5"/>
    <mergeCell ref="C12:G12"/>
    <mergeCell ref="C19:G19"/>
    <mergeCell ref="C20:G20"/>
    <mergeCell ref="C14:G14"/>
    <mergeCell ref="C15:G15"/>
    <mergeCell ref="C13:G13"/>
    <mergeCell ref="B10:B11"/>
    <mergeCell ref="A10:A11"/>
    <mergeCell ref="A3:C3"/>
    <mergeCell ref="A4:C4"/>
    <mergeCell ref="H10:H11"/>
    <mergeCell ref="I10:I11"/>
    <mergeCell ref="C10:G11"/>
    <mergeCell ref="A6:C6"/>
    <mergeCell ref="C23:G23"/>
    <mergeCell ref="C24:G24"/>
    <mergeCell ref="C16:G16"/>
    <mergeCell ref="C17:G17"/>
    <mergeCell ref="C18:G18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"/>
  <sheetViews>
    <sheetView topLeftCell="A16" workbookViewId="0">
      <selection activeCell="Q17" sqref="Q17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3.85546875" customWidth="1"/>
    <col min="17" max="17" width="15.42578125" customWidth="1"/>
  </cols>
  <sheetData>
    <row r="1" spans="1:17" x14ac:dyDescent="0.25">
      <c r="A1" s="215" t="s">
        <v>5</v>
      </c>
      <c r="B1" s="187"/>
      <c r="C1" s="187"/>
      <c r="D1" s="216">
        <v>2022</v>
      </c>
      <c r="E1" s="210"/>
      <c r="F1" s="74"/>
      <c r="G1" s="74"/>
      <c r="H1" s="75"/>
      <c r="I1" s="75"/>
      <c r="J1" s="75"/>
      <c r="K1" s="75"/>
      <c r="L1" s="75"/>
      <c r="M1" s="75"/>
      <c r="N1" s="75"/>
      <c r="O1" s="76"/>
      <c r="P1" s="217" t="s">
        <v>93</v>
      </c>
      <c r="Q1" s="218"/>
    </row>
    <row r="2" spans="1:17" x14ac:dyDescent="0.25">
      <c r="A2" s="77"/>
      <c r="B2" s="37"/>
      <c r="C2" s="37"/>
      <c r="D2" s="37"/>
      <c r="E2" s="37"/>
      <c r="F2" s="37"/>
      <c r="G2" s="78"/>
      <c r="H2" s="79"/>
      <c r="I2" s="79"/>
      <c r="J2" s="79"/>
      <c r="K2" s="79"/>
      <c r="L2" s="79"/>
      <c r="M2" s="79"/>
      <c r="N2" s="79"/>
      <c r="O2" s="37"/>
      <c r="P2" s="219"/>
      <c r="Q2" s="220"/>
    </row>
    <row r="3" spans="1:17" x14ac:dyDescent="0.25">
      <c r="A3" s="77"/>
      <c r="B3" s="37"/>
      <c r="C3" s="37"/>
      <c r="D3" s="37"/>
      <c r="E3" s="37"/>
      <c r="F3" s="37"/>
      <c r="G3" s="78"/>
      <c r="H3" s="37"/>
      <c r="I3" s="37"/>
      <c r="J3" s="37"/>
      <c r="K3" s="37"/>
      <c r="L3" s="37"/>
      <c r="M3" s="37"/>
      <c r="N3" s="37"/>
      <c r="O3" s="37"/>
      <c r="P3" s="37"/>
      <c r="Q3" s="80"/>
    </row>
    <row r="4" spans="1:17" x14ac:dyDescent="0.25">
      <c r="A4" s="225" t="s">
        <v>94</v>
      </c>
      <c r="B4" s="181"/>
      <c r="C4" s="181"/>
      <c r="D4" s="181"/>
      <c r="E4" s="181"/>
      <c r="F4" s="224"/>
      <c r="G4" s="221" t="str">
        <f>NP!D3</f>
        <v>040 - MINISTERIO DE SALUD</v>
      </c>
      <c r="H4" s="181"/>
      <c r="I4" s="181"/>
      <c r="J4" s="181"/>
      <c r="K4" s="181"/>
      <c r="L4" s="181"/>
      <c r="M4" s="181"/>
      <c r="N4" s="181"/>
      <c r="O4" s="181"/>
      <c r="P4" s="181"/>
      <c r="Q4" s="222"/>
    </row>
    <row r="5" spans="1:17" x14ac:dyDescent="0.25">
      <c r="A5" s="223" t="s">
        <v>76</v>
      </c>
      <c r="B5" s="181"/>
      <c r="C5" s="181"/>
      <c r="D5" s="181"/>
      <c r="E5" s="181"/>
      <c r="F5" s="224"/>
      <c r="G5" s="221" t="str">
        <f>NP!D4</f>
        <v>011 - DIRECCION PROVINCIAL DE ADMINISTRACION DEL MINISTERIO DE SALUD</v>
      </c>
      <c r="H5" s="181"/>
      <c r="I5" s="181"/>
      <c r="J5" s="181"/>
      <c r="K5" s="181"/>
      <c r="L5" s="181"/>
      <c r="M5" s="181"/>
      <c r="N5" s="181"/>
      <c r="O5" s="181"/>
      <c r="P5" s="181"/>
      <c r="Q5" s="222"/>
    </row>
    <row r="6" spans="1:17" x14ac:dyDescent="0.25">
      <c r="A6" s="223" t="s">
        <v>78</v>
      </c>
      <c r="B6" s="181"/>
      <c r="C6" s="181"/>
      <c r="D6" s="181"/>
      <c r="E6" s="181"/>
      <c r="F6" s="224"/>
      <c r="G6" s="221" t="str">
        <f>NP!D5</f>
        <v>352 - MINISTERIO DE SALUD</v>
      </c>
      <c r="H6" s="181"/>
      <c r="I6" s="181"/>
      <c r="J6" s="181"/>
      <c r="K6" s="181"/>
      <c r="L6" s="181"/>
      <c r="M6" s="181"/>
      <c r="N6" s="181"/>
      <c r="O6" s="181"/>
      <c r="P6" s="181"/>
      <c r="Q6" s="222"/>
    </row>
    <row r="7" spans="1:17" x14ac:dyDescent="0.25">
      <c r="A7" s="223" t="s">
        <v>80</v>
      </c>
      <c r="B7" s="181"/>
      <c r="C7" s="181"/>
      <c r="D7" s="181"/>
      <c r="E7" s="181"/>
      <c r="F7" s="224"/>
      <c r="G7" s="221" t="str">
        <f>NP!D6</f>
        <v>352 - MINISTERIO DE SALUD</v>
      </c>
      <c r="H7" s="181"/>
      <c r="I7" s="181"/>
      <c r="J7" s="181"/>
      <c r="K7" s="181"/>
      <c r="L7" s="181"/>
      <c r="M7" s="181"/>
      <c r="N7" s="181"/>
      <c r="O7" s="181"/>
      <c r="P7" s="181"/>
      <c r="Q7" s="222"/>
    </row>
    <row r="8" spans="1:17" x14ac:dyDescent="0.25">
      <c r="A8" s="227" t="s">
        <v>95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222"/>
    </row>
    <row r="9" spans="1:17" x14ac:dyDescent="0.25">
      <c r="A9" s="226" t="s">
        <v>96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208"/>
    </row>
    <row r="10" spans="1:17" ht="75" customHeight="1" x14ac:dyDescent="0.25">
      <c r="A10" s="228" t="s">
        <v>144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48"/>
    </row>
    <row r="11" spans="1:17" ht="15.75" thickBot="1" x14ac:dyDescent="0.3">
      <c r="A11" s="77"/>
      <c r="B11" s="124"/>
      <c r="C11" s="124"/>
      <c r="D11" s="124"/>
      <c r="E11" s="124"/>
      <c r="F11" s="124"/>
      <c r="G11" s="125"/>
      <c r="H11" s="124"/>
      <c r="I11" s="124"/>
      <c r="J11" s="124"/>
      <c r="K11" s="124"/>
      <c r="L11" s="124"/>
      <c r="M11" s="124"/>
      <c r="N11" s="124"/>
      <c r="O11" s="124"/>
      <c r="P11" s="124"/>
      <c r="Q11" s="80"/>
    </row>
    <row r="12" spans="1:17" ht="15.75" thickBot="1" x14ac:dyDescent="0.3">
      <c r="A12" s="229" t="s">
        <v>97</v>
      </c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1"/>
    </row>
    <row r="13" spans="1:17" ht="15.75" thickBot="1" x14ac:dyDescent="0.3">
      <c r="A13" s="232" t="s">
        <v>98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224"/>
      <c r="O13" s="233" t="s">
        <v>99</v>
      </c>
      <c r="P13" s="234"/>
      <c r="Q13" s="237" t="s">
        <v>100</v>
      </c>
    </row>
    <row r="14" spans="1:17" ht="15.75" thickBot="1" x14ac:dyDescent="0.3">
      <c r="A14" s="127" t="s">
        <v>101</v>
      </c>
      <c r="B14" s="128" t="s">
        <v>102</v>
      </c>
      <c r="C14" s="128" t="s">
        <v>103</v>
      </c>
      <c r="D14" s="128" t="s">
        <v>104</v>
      </c>
      <c r="E14" s="128" t="s">
        <v>105</v>
      </c>
      <c r="F14" s="128" t="s">
        <v>106</v>
      </c>
      <c r="G14" s="129" t="s">
        <v>107</v>
      </c>
      <c r="H14" s="128" t="s">
        <v>108</v>
      </c>
      <c r="I14" s="128" t="s">
        <v>109</v>
      </c>
      <c r="J14" s="128" t="s">
        <v>110</v>
      </c>
      <c r="K14" s="128" t="s">
        <v>110</v>
      </c>
      <c r="L14" s="128" t="s">
        <v>111</v>
      </c>
      <c r="M14" s="130" t="s">
        <v>112</v>
      </c>
      <c r="N14" s="131" t="s">
        <v>113</v>
      </c>
      <c r="O14" s="235"/>
      <c r="P14" s="236"/>
      <c r="Q14" s="238"/>
    </row>
    <row r="15" spans="1:17" ht="34.5" customHeight="1" x14ac:dyDescent="0.25">
      <c r="A15" s="81">
        <v>1</v>
      </c>
      <c r="B15" s="82"/>
      <c r="C15" s="82"/>
      <c r="D15" s="82">
        <v>1</v>
      </c>
      <c r="E15" s="82"/>
      <c r="F15" s="82">
        <v>4901</v>
      </c>
      <c r="G15" s="82">
        <v>3</v>
      </c>
      <c r="H15" s="82">
        <v>1</v>
      </c>
      <c r="I15" s="82">
        <v>2</v>
      </c>
      <c r="J15" s="82">
        <v>9</v>
      </c>
      <c r="K15" s="82">
        <v>5</v>
      </c>
      <c r="L15" s="82"/>
      <c r="M15" s="83">
        <v>1</v>
      </c>
      <c r="N15" s="82" t="s">
        <v>114</v>
      </c>
      <c r="O15" s="239" t="s">
        <v>115</v>
      </c>
      <c r="P15" s="240"/>
      <c r="Q15" s="126">
        <v>118000</v>
      </c>
    </row>
    <row r="16" spans="1:17" x14ac:dyDescent="0.25">
      <c r="A16" s="81">
        <v>1</v>
      </c>
      <c r="B16" s="82"/>
      <c r="C16" s="82"/>
      <c r="D16" s="82">
        <v>1</v>
      </c>
      <c r="E16" s="82"/>
      <c r="F16" s="82">
        <v>4901</v>
      </c>
      <c r="G16" s="82">
        <v>3</v>
      </c>
      <c r="H16" s="82">
        <v>1</v>
      </c>
      <c r="I16" s="82">
        <v>4</v>
      </c>
      <c r="J16" s="82">
        <v>3</v>
      </c>
      <c r="K16" s="82">
        <v>3</v>
      </c>
      <c r="L16" s="82"/>
      <c r="M16" s="83">
        <v>1</v>
      </c>
      <c r="N16" s="84" t="s">
        <v>114</v>
      </c>
      <c r="O16" s="201" t="s">
        <v>116</v>
      </c>
      <c r="P16" s="200"/>
      <c r="Q16" s="85">
        <v>12500300</v>
      </c>
    </row>
    <row r="17" spans="1:17" x14ac:dyDescent="0.25">
      <c r="A17" s="81">
        <v>1</v>
      </c>
      <c r="B17" s="82"/>
      <c r="C17" s="82"/>
      <c r="D17" s="82">
        <v>1</v>
      </c>
      <c r="E17" s="82"/>
      <c r="F17" s="82">
        <v>4901</v>
      </c>
      <c r="G17" s="82">
        <v>3</v>
      </c>
      <c r="H17" s="82">
        <v>1</v>
      </c>
      <c r="I17" s="82">
        <v>4</v>
      </c>
      <c r="J17" s="82">
        <v>3</v>
      </c>
      <c r="K17" s="82">
        <v>9</v>
      </c>
      <c r="L17" s="82"/>
      <c r="M17" s="83">
        <v>1</v>
      </c>
      <c r="N17" s="132" t="s">
        <v>114</v>
      </c>
      <c r="O17" s="241" t="s">
        <v>132</v>
      </c>
      <c r="P17" s="242"/>
      <c r="Q17" s="85">
        <v>59500</v>
      </c>
    </row>
    <row r="18" spans="1:17" x14ac:dyDescent="0.25">
      <c r="A18" s="81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3"/>
      <c r="N18" s="84"/>
      <c r="O18" s="199"/>
      <c r="P18" s="200"/>
      <c r="Q18" s="85"/>
    </row>
    <row r="19" spans="1:17" x14ac:dyDescent="0.25">
      <c r="A19" s="81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3"/>
      <c r="N19" s="84"/>
      <c r="O19" s="199"/>
      <c r="P19" s="200"/>
      <c r="Q19" s="85"/>
    </row>
    <row r="20" spans="1:17" ht="15.75" customHeight="1" x14ac:dyDescent="0.25">
      <c r="A20" s="81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3"/>
      <c r="N20" s="84"/>
      <c r="O20" s="199"/>
      <c r="P20" s="200"/>
      <c r="Q20" s="85"/>
    </row>
    <row r="21" spans="1:17" ht="15.75" customHeight="1" x14ac:dyDescent="0.25">
      <c r="A21" s="81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3"/>
      <c r="N21" s="84"/>
      <c r="O21" s="199"/>
      <c r="P21" s="200"/>
      <c r="Q21" s="85"/>
    </row>
    <row r="22" spans="1:17" ht="15.75" customHeight="1" x14ac:dyDescent="0.25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3"/>
      <c r="N22" s="84"/>
      <c r="O22" s="199"/>
      <c r="P22" s="200"/>
      <c r="Q22" s="85"/>
    </row>
    <row r="23" spans="1:17" ht="15.75" customHeight="1" x14ac:dyDescent="0.25">
      <c r="A23" s="81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3"/>
      <c r="N23" s="84"/>
      <c r="O23" s="199"/>
      <c r="P23" s="200"/>
      <c r="Q23" s="85"/>
    </row>
    <row r="24" spans="1:17" ht="15.75" customHeight="1" x14ac:dyDescent="0.25">
      <c r="A24" s="81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3"/>
      <c r="N24" s="84"/>
      <c r="O24" s="199"/>
      <c r="P24" s="200"/>
      <c r="Q24" s="85"/>
    </row>
    <row r="25" spans="1:17" ht="15.75" customHeight="1" x14ac:dyDescent="0.25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3"/>
      <c r="N25" s="84"/>
      <c r="O25" s="199"/>
      <c r="P25" s="200"/>
      <c r="Q25" s="85"/>
    </row>
    <row r="26" spans="1:17" ht="15.75" customHeight="1" x14ac:dyDescent="0.25">
      <c r="A26" s="81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3"/>
      <c r="N26" s="84"/>
      <c r="O26" s="199"/>
      <c r="P26" s="200"/>
      <c r="Q26" s="85"/>
    </row>
    <row r="27" spans="1:17" ht="15.75" customHeight="1" x14ac:dyDescent="0.25">
      <c r="A27" s="81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3"/>
      <c r="N27" s="84"/>
      <c r="O27" s="199"/>
      <c r="P27" s="200"/>
      <c r="Q27" s="85"/>
    </row>
    <row r="28" spans="1:17" ht="15.75" customHeight="1" x14ac:dyDescent="0.25">
      <c r="A28" s="81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3"/>
      <c r="N28" s="84"/>
      <c r="O28" s="199"/>
      <c r="P28" s="200"/>
      <c r="Q28" s="85"/>
    </row>
    <row r="29" spans="1:17" ht="15.75" customHeight="1" x14ac:dyDescent="0.25">
      <c r="A29" s="81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3"/>
      <c r="N29" s="84"/>
      <c r="O29" s="199"/>
      <c r="P29" s="200"/>
      <c r="Q29" s="85"/>
    </row>
    <row r="30" spans="1:17" ht="15.75" customHeight="1" x14ac:dyDescent="0.25">
      <c r="A30" s="81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3"/>
      <c r="N30" s="84"/>
      <c r="O30" s="199"/>
      <c r="P30" s="200"/>
      <c r="Q30" s="85"/>
    </row>
    <row r="31" spans="1:17" ht="15.75" customHeight="1" x14ac:dyDescent="0.25">
      <c r="A31" s="81"/>
      <c r="B31" s="82"/>
      <c r="C31" s="82"/>
      <c r="D31" s="82"/>
      <c r="E31" s="82"/>
      <c r="F31" s="84"/>
      <c r="G31" s="82"/>
      <c r="H31" s="82"/>
      <c r="I31" s="82"/>
      <c r="J31" s="82"/>
      <c r="K31" s="82"/>
      <c r="L31" s="82"/>
      <c r="M31" s="83"/>
      <c r="N31" s="84"/>
      <c r="O31" s="201"/>
      <c r="P31" s="200"/>
      <c r="Q31" s="85"/>
    </row>
    <row r="32" spans="1:17" ht="15.75" customHeight="1" x14ac:dyDescent="0.25">
      <c r="A32" s="81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3"/>
      <c r="N32" s="84"/>
      <c r="O32" s="201"/>
      <c r="P32" s="200"/>
      <c r="Q32" s="85"/>
    </row>
    <row r="33" spans="1:17" ht="15.75" customHeight="1" x14ac:dyDescent="0.25">
      <c r="A33" s="81"/>
      <c r="B33" s="82"/>
      <c r="C33" s="82"/>
      <c r="D33" s="82"/>
      <c r="E33" s="82"/>
      <c r="F33" s="84"/>
      <c r="G33" s="82"/>
      <c r="H33" s="82"/>
      <c r="I33" s="82"/>
      <c r="J33" s="82"/>
      <c r="K33" s="82"/>
      <c r="L33" s="82"/>
      <c r="M33" s="83"/>
      <c r="N33" s="84"/>
      <c r="O33" s="201"/>
      <c r="P33" s="200"/>
      <c r="Q33" s="85"/>
    </row>
    <row r="34" spans="1:17" ht="15.75" customHeight="1" x14ac:dyDescent="0.25">
      <c r="A34" s="81"/>
      <c r="B34" s="82"/>
      <c r="C34" s="82"/>
      <c r="D34" s="82"/>
      <c r="E34" s="82"/>
      <c r="F34" s="84"/>
      <c r="G34" s="82"/>
      <c r="H34" s="82"/>
      <c r="I34" s="82"/>
      <c r="J34" s="82"/>
      <c r="K34" s="82"/>
      <c r="L34" s="82"/>
      <c r="M34" s="83"/>
      <c r="N34" s="84"/>
      <c r="O34" s="201"/>
      <c r="P34" s="200"/>
      <c r="Q34" s="85"/>
    </row>
    <row r="35" spans="1:17" ht="15.75" customHeight="1" x14ac:dyDescent="0.25">
      <c r="A35" s="86"/>
      <c r="B35" s="87"/>
      <c r="C35" s="87"/>
      <c r="D35" s="87"/>
      <c r="E35" s="87"/>
      <c r="F35" s="84"/>
      <c r="G35" s="87"/>
      <c r="H35" s="87"/>
      <c r="I35" s="87"/>
      <c r="J35" s="87"/>
      <c r="K35" s="87"/>
      <c r="L35" s="87"/>
      <c r="M35" s="88"/>
      <c r="N35" s="89"/>
      <c r="O35" s="201"/>
      <c r="P35" s="200"/>
      <c r="Q35" s="85"/>
    </row>
    <row r="36" spans="1:17" ht="15.75" customHeight="1" x14ac:dyDescent="0.25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2"/>
      <c r="N36" s="91"/>
      <c r="O36" s="202"/>
      <c r="P36" s="203"/>
      <c r="Q36" s="93"/>
    </row>
    <row r="37" spans="1:17" ht="32.25" customHeight="1" x14ac:dyDescent="0.25">
      <c r="A37" s="204" t="s">
        <v>158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6"/>
      <c r="Q37" s="94">
        <f>SUM(Q15:Q36)</f>
        <v>12677800</v>
      </c>
    </row>
    <row r="38" spans="1:17" ht="15.75" customHeight="1" x14ac:dyDescent="0.25">
      <c r="A38" s="207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208"/>
    </row>
    <row r="39" spans="1:17" ht="15.75" customHeight="1" x14ac:dyDescent="0.25">
      <c r="A39" s="209" t="s">
        <v>117</v>
      </c>
      <c r="B39" s="187"/>
      <c r="C39" s="187"/>
      <c r="D39" s="187"/>
      <c r="E39" s="187"/>
      <c r="F39" s="210"/>
      <c r="G39" s="211"/>
      <c r="H39" s="172"/>
      <c r="I39" s="172"/>
      <c r="J39" s="172"/>
      <c r="K39" s="172"/>
      <c r="L39" s="172"/>
      <c r="M39" s="172"/>
      <c r="N39" s="172"/>
      <c r="O39" s="172"/>
      <c r="P39" s="172"/>
      <c r="Q39" s="208"/>
    </row>
    <row r="40" spans="1:17" ht="15.75" customHeight="1" x14ac:dyDescent="0.25">
      <c r="A40" s="212" t="str">
        <f>NP!D8</f>
        <v>ADQUISICION DE EQUIPOS Y UTILES MEDICOS MENORES CON DESTINO A HOSPITALES DE LA PROVINCIA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48"/>
    </row>
    <row r="41" spans="1:17" ht="15.75" customHeight="1" x14ac:dyDescent="0.25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150"/>
    </row>
    <row r="42" spans="1:17" ht="15.75" customHeight="1" x14ac:dyDescent="0.25">
      <c r="Q42" s="73"/>
    </row>
    <row r="43" spans="1:17" ht="15.75" customHeight="1" x14ac:dyDescent="0.25">
      <c r="Q43" s="73"/>
    </row>
    <row r="44" spans="1:17" ht="15.75" customHeight="1" x14ac:dyDescent="0.25">
      <c r="Q44" s="73"/>
    </row>
    <row r="45" spans="1:17" ht="15.75" customHeight="1" x14ac:dyDescent="0.25">
      <c r="Q45" s="73"/>
    </row>
    <row r="46" spans="1:17" ht="15.75" customHeight="1" x14ac:dyDescent="0.25">
      <c r="Q46" s="73"/>
    </row>
    <row r="47" spans="1:17" ht="15.75" customHeight="1" x14ac:dyDescent="0.25">
      <c r="Q47" s="73"/>
    </row>
    <row r="48" spans="1:17" ht="15.75" customHeight="1" x14ac:dyDescent="0.25">
      <c r="Q48" s="73"/>
    </row>
    <row r="49" spans="17:17" ht="15.75" customHeight="1" x14ac:dyDescent="0.25">
      <c r="Q49" s="73"/>
    </row>
    <row r="50" spans="17:17" ht="15.75" customHeight="1" x14ac:dyDescent="0.25">
      <c r="Q50" s="73"/>
    </row>
    <row r="51" spans="17:17" ht="15.75" customHeight="1" x14ac:dyDescent="0.25">
      <c r="Q51" s="73"/>
    </row>
    <row r="52" spans="17:17" ht="15.75" customHeight="1" x14ac:dyDescent="0.25">
      <c r="Q52" s="73"/>
    </row>
    <row r="53" spans="17:17" ht="15.75" customHeight="1" x14ac:dyDescent="0.25">
      <c r="Q53" s="73"/>
    </row>
    <row r="54" spans="17:17" ht="15.75" customHeight="1" x14ac:dyDescent="0.25">
      <c r="Q54" s="73"/>
    </row>
    <row r="55" spans="17:17" ht="15.75" customHeight="1" x14ac:dyDescent="0.25">
      <c r="Q55" s="73"/>
    </row>
    <row r="56" spans="17:17" ht="15.75" customHeight="1" x14ac:dyDescent="0.25">
      <c r="Q56" s="73"/>
    </row>
    <row r="57" spans="17:17" ht="15.75" customHeight="1" x14ac:dyDescent="0.25">
      <c r="Q57" s="73"/>
    </row>
    <row r="58" spans="17:17" ht="15.75" customHeight="1" x14ac:dyDescent="0.25">
      <c r="Q58" s="73"/>
    </row>
    <row r="59" spans="17:17" ht="15.75" customHeight="1" x14ac:dyDescent="0.25">
      <c r="Q59" s="73"/>
    </row>
    <row r="60" spans="17:17" ht="15.75" customHeight="1" x14ac:dyDescent="0.25">
      <c r="Q60" s="73"/>
    </row>
    <row r="61" spans="17:17" ht="15.75" customHeight="1" x14ac:dyDescent="0.25">
      <c r="Q61" s="73"/>
    </row>
    <row r="62" spans="17:17" ht="15.75" customHeight="1" x14ac:dyDescent="0.25">
      <c r="Q62" s="73"/>
    </row>
    <row r="63" spans="17:17" ht="15.75" customHeight="1" x14ac:dyDescent="0.25">
      <c r="Q63" s="73"/>
    </row>
    <row r="64" spans="17:17" ht="15.75" customHeight="1" x14ac:dyDescent="0.25">
      <c r="Q64" s="73"/>
    </row>
    <row r="65" spans="17:17" ht="15.75" customHeight="1" x14ac:dyDescent="0.25">
      <c r="Q65" s="73"/>
    </row>
    <row r="66" spans="17:17" ht="15.75" customHeight="1" x14ac:dyDescent="0.25">
      <c r="Q66" s="73"/>
    </row>
    <row r="67" spans="17:17" ht="15.75" customHeight="1" x14ac:dyDescent="0.25">
      <c r="Q67" s="73"/>
    </row>
    <row r="68" spans="17:17" ht="15.75" customHeight="1" x14ac:dyDescent="0.25">
      <c r="Q68" s="73"/>
    </row>
    <row r="69" spans="17:17" ht="15.75" customHeight="1" x14ac:dyDescent="0.25">
      <c r="Q69" s="73"/>
    </row>
    <row r="70" spans="17:17" ht="15.75" customHeight="1" x14ac:dyDescent="0.25">
      <c r="Q70" s="73"/>
    </row>
    <row r="71" spans="17:17" ht="15.75" customHeight="1" x14ac:dyDescent="0.25">
      <c r="Q71" s="73"/>
    </row>
    <row r="72" spans="17:17" ht="15.75" customHeight="1" x14ac:dyDescent="0.25">
      <c r="Q72" s="73"/>
    </row>
    <row r="73" spans="17:17" ht="15.75" customHeight="1" x14ac:dyDescent="0.25">
      <c r="Q73" s="73"/>
    </row>
    <row r="74" spans="17:17" ht="15.75" customHeight="1" x14ac:dyDescent="0.25">
      <c r="Q74" s="73"/>
    </row>
    <row r="75" spans="17:17" ht="15.75" customHeight="1" x14ac:dyDescent="0.25">
      <c r="Q75" s="73"/>
    </row>
    <row r="76" spans="17:17" ht="15.75" customHeight="1" x14ac:dyDescent="0.25">
      <c r="Q76" s="73"/>
    </row>
    <row r="77" spans="17:17" ht="15.75" customHeight="1" x14ac:dyDescent="0.25">
      <c r="Q77" s="73"/>
    </row>
    <row r="78" spans="17:17" ht="15.75" customHeight="1" x14ac:dyDescent="0.25">
      <c r="Q78" s="73"/>
    </row>
    <row r="79" spans="17:17" ht="15.75" customHeight="1" x14ac:dyDescent="0.25">
      <c r="Q79" s="73"/>
    </row>
    <row r="80" spans="17:17" ht="15.75" customHeight="1" x14ac:dyDescent="0.25">
      <c r="Q80" s="73"/>
    </row>
    <row r="81" spans="17:17" ht="15.75" customHeight="1" x14ac:dyDescent="0.25">
      <c r="Q81" s="73"/>
    </row>
    <row r="82" spans="17:17" ht="15.75" customHeight="1" x14ac:dyDescent="0.25">
      <c r="Q82" s="73"/>
    </row>
    <row r="83" spans="17:17" ht="15.75" customHeight="1" x14ac:dyDescent="0.25">
      <c r="Q83" s="73"/>
    </row>
    <row r="84" spans="17:17" ht="15.75" customHeight="1" x14ac:dyDescent="0.25">
      <c r="Q84" s="73"/>
    </row>
    <row r="85" spans="17:17" ht="15.75" customHeight="1" x14ac:dyDescent="0.25">
      <c r="Q85" s="73"/>
    </row>
    <row r="86" spans="17:17" ht="15.75" customHeight="1" x14ac:dyDescent="0.25">
      <c r="Q86" s="73"/>
    </row>
    <row r="87" spans="17:17" ht="15.75" customHeight="1" x14ac:dyDescent="0.25">
      <c r="Q87" s="73"/>
    </row>
    <row r="88" spans="17:17" ht="15.75" customHeight="1" x14ac:dyDescent="0.25">
      <c r="Q88" s="73"/>
    </row>
    <row r="89" spans="17:17" ht="15.75" customHeight="1" x14ac:dyDescent="0.25">
      <c r="Q89" s="73"/>
    </row>
    <row r="90" spans="17:17" ht="15.75" customHeight="1" x14ac:dyDescent="0.25">
      <c r="Q90" s="73"/>
    </row>
    <row r="91" spans="17:17" ht="15.75" customHeight="1" x14ac:dyDescent="0.25">
      <c r="Q91" s="73"/>
    </row>
    <row r="92" spans="17:17" ht="15.75" customHeight="1" x14ac:dyDescent="0.25">
      <c r="Q92" s="73"/>
    </row>
    <row r="93" spans="17:17" ht="15.75" customHeight="1" x14ac:dyDescent="0.25">
      <c r="Q93" s="73"/>
    </row>
    <row r="94" spans="17:17" ht="15.75" customHeight="1" x14ac:dyDescent="0.25">
      <c r="Q94" s="73"/>
    </row>
    <row r="95" spans="17:17" ht="15.75" customHeight="1" x14ac:dyDescent="0.25">
      <c r="Q95" s="73"/>
    </row>
    <row r="96" spans="17:17" ht="15.75" customHeight="1" x14ac:dyDescent="0.25">
      <c r="Q96" s="73"/>
    </row>
    <row r="97" spans="17:17" ht="15.75" customHeight="1" x14ac:dyDescent="0.25">
      <c r="Q97" s="73"/>
    </row>
    <row r="98" spans="17:17" ht="15.75" customHeight="1" x14ac:dyDescent="0.25">
      <c r="Q98" s="73"/>
    </row>
    <row r="99" spans="17:17" ht="15.75" customHeight="1" x14ac:dyDescent="0.25">
      <c r="Q99" s="73"/>
    </row>
  </sheetData>
  <mergeCells count="45">
    <mergeCell ref="O18:P18"/>
    <mergeCell ref="O19:P19"/>
    <mergeCell ref="O21:P21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A6:F6"/>
    <mergeCell ref="A4:F4"/>
    <mergeCell ref="A7:F7"/>
    <mergeCell ref="A9:Q9"/>
    <mergeCell ref="A8:Q8"/>
    <mergeCell ref="G6:Q6"/>
    <mergeCell ref="G7:Q7"/>
    <mergeCell ref="A1:C1"/>
    <mergeCell ref="D1:E1"/>
    <mergeCell ref="P1:Q2"/>
    <mergeCell ref="G4:Q4"/>
    <mergeCell ref="G5:Q5"/>
    <mergeCell ref="A5:F5"/>
    <mergeCell ref="A37:P37"/>
    <mergeCell ref="A38:Q38"/>
    <mergeCell ref="A39:F39"/>
    <mergeCell ref="G39:Q39"/>
    <mergeCell ref="A40:Q41"/>
    <mergeCell ref="O33:P33"/>
    <mergeCell ref="O34:P34"/>
    <mergeCell ref="O35:P35"/>
    <mergeCell ref="O36:P36"/>
    <mergeCell ref="O27:P27"/>
    <mergeCell ref="O28:P28"/>
    <mergeCell ref="O29:P29"/>
    <mergeCell ref="O30:P30"/>
    <mergeCell ref="O32:P32"/>
    <mergeCell ref="O31:P31"/>
    <mergeCell ref="O22:P22"/>
    <mergeCell ref="O23:P23"/>
    <mergeCell ref="O24:P24"/>
    <mergeCell ref="O25:P25"/>
    <mergeCell ref="O26:P2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2022-06-22T15:14:50Z</dcterms:modified>
</cp:coreProperties>
</file>