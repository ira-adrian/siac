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HJO\37. Alimentos Perecederos Escuela de Cadetes\3. Analisis\"/>
    </mc:Choice>
  </mc:AlternateContent>
  <xr:revisionPtr revIDLastSave="0" documentId="13_ncr:1_{C38A528C-636E-4E5C-8943-F9251AFD49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comparativo'!$O$8:$R$8,'Cuadro comparativo'!$S$8:$V$8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0" i="2" l="1"/>
  <c r="M30" i="2"/>
  <c r="Q30" i="2"/>
  <c r="U30" i="2"/>
</calcChain>
</file>

<file path=xl/sharedStrings.xml><?xml version="1.0" encoding="utf-8"?>
<sst xmlns="http://schemas.openxmlformats.org/spreadsheetml/2006/main" count="193" uniqueCount="139">
  <si>
    <t>Número expediente:</t>
  </si>
  <si>
    <t>EX-2022-01730514-   -CAT-SCA#MEC</t>
  </si>
  <si>
    <t>Número proceso de compra:</t>
  </si>
  <si>
    <t>100-0166-CDI22</t>
  </si>
  <si>
    <t>Nombre descriptivo proceso de compra:</t>
  </si>
  <si>
    <t>“Adquisición de alimentos perecederos para la Escuela de Cadetes de la Policía de Catamarca”</t>
  </si>
  <si>
    <t>Unidad Operativa de Compras:</t>
  </si>
  <si>
    <t>Secretaria de Compras y Abastecimiento</t>
  </si>
  <si>
    <t>Fecha de Apertura:</t>
  </si>
  <si>
    <t>23/09/2022</t>
  </si>
  <si>
    <t>Renglón</t>
  </si>
  <si>
    <t>maria angela mascareño</t>
  </si>
  <si>
    <t>LUJAIKO SRL</t>
  </si>
  <si>
    <t>EL PUESTO SRL</t>
  </si>
  <si>
    <t>raquel del valle contreras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</si>
  <si>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</si>
  <si>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</si>
  <si>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</si>
  <si>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</si>
  <si>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</si>
  <si>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</si>
  <si>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</si>
  <si>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</si>
  <si>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</si>
  <si>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</si>
  <si>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2.1.1-542.236 </t>
  </si>
  <si>
    <t xml:space="preserve">QUESOS; TIPO: CREMOSO, PRESENTACION: AL PESO, ELEM. TRANSPORTE: SIN, MATERIAL 
ELEM. TRANSPORTE: SIN, MATERIAL ENVASE: SIN, CERTIFICADO FORESTAL (GFS): SIN, 
LIBRE DE GLUTEN: A DEFINIR </t>
  </si>
  <si>
    <t xml:space="preserve">UNIDAD </t>
  </si>
  <si>
    <t xml:space="preserve">queso cremoso x kg marca: rocalac </t>
  </si>
  <si>
    <t xml:space="preserve">QUESOS; TIPO: CREMOSO, PRESENTACION: AL PESO X KG MARCA TREMBLAY 
</t>
  </si>
  <si>
    <t xml:space="preserve">2 </t>
  </si>
  <si>
    <t xml:space="preserve">2.1.1-541.176 </t>
  </si>
  <si>
    <t xml:space="preserve">CARNES; TIPO: VACUNA, CORTE: CUARTO TRASERO </t>
  </si>
  <si>
    <t xml:space="preserve">CUARTO TRASERO DE NOVILLO. ESTABLECIMIENTO FAENADOR FRIGORIFICO NATILLA </t>
  </si>
  <si>
    <t xml:space="preserve">CARNES; TIPO: VACUNA, CORTE: CUARTO TRASERO. kg FRIGORIFICO FRIAR </t>
  </si>
  <si>
    <t xml:space="preserve">3 </t>
  </si>
  <si>
    <t xml:space="preserve">2.1.1-541.7 </t>
  </si>
  <si>
    <t xml:space="preserve">CARNES; ESPECIE: VACUNA, CORTE: PICADA ESPECIAL, TIPO: VACUNA </t>
  </si>
  <si>
    <t xml:space="preserve">CARNE PICADA ESPECIAL. ELABORACION PROPIA CON CARNE DEL ESTABLECIMIENTO FAENADOR 
FRIGORIFICO NATILLA </t>
  </si>
  <si>
    <t xml:space="preserve">CARNES; ESPECIE: VACUNA, CORTE: PICADA ESPECIAL, TIPO: VACUNA KG FRIGORIFICO 
FRIAR </t>
  </si>
  <si>
    <t xml:space="preserve">PRECIO POR KILO- FRIGORIFICO NATILLA </t>
  </si>
  <si>
    <t xml:space="preserve">4 </t>
  </si>
  <si>
    <t xml:space="preserve">2.1.1-456.22 </t>
  </si>
  <si>
    <t xml:space="preserve">YOGHURT; CAPACIDAD: 1 L, SABOR: FRUTILLA, TIPO: ENTERO, ENVASE: SACHET, 
AGREGADO: SIN VALOR, CONSISTENCIA: BEBIBLE, PRESENTACION: SACHET X 1 L 
</t>
  </si>
  <si>
    <t xml:space="preserve">YOGURT X 1 LITRO SABORES VARIOS MARCA: ROCALAC </t>
  </si>
  <si>
    <t xml:space="preserve">YOGHURT; CAPACIDAD: 1 L, SABOR: FRUTILLA, TIPO: ENTERO, ENVASE: SACHET, 
AGREGADO: SIN VALOR, CONSISTENCIA: BEBIBLE, PRESENTACION: SACHET X 1 L 
MARCA MANFREY </t>
  </si>
  <si>
    <t xml:space="preserve">5 </t>
  </si>
  <si>
    <t xml:space="preserve">2.1.1-6546.112 </t>
  </si>
  <si>
    <t xml:space="preserve">VERDURAS Y HORTALIZAS; ESTADO: NATURAL, PESO: 25 Kg, VARIEDAD: PAPA 
NEGRA, PRESENTACION: BOLSA </t>
  </si>
  <si>
    <t xml:space="preserve">PAPA NEGRA X BOLSA DE 25 KG  </t>
  </si>
  <si>
    <t xml:space="preserve">  VERDURAS Y HORTALIZAS; ESTADO: NATURAL, PESO: 25 Kg, 
VARIEDAD: PAPA NEGRA, PRESENTACION: BOLSA; PRIMERA CALIDAD </t>
  </si>
  <si>
    <t xml:space="preserve">6 </t>
  </si>
  <si>
    <t xml:space="preserve">2.1.1-6546.236 </t>
  </si>
  <si>
    <t xml:space="preserve">VERDURAS Y HORTALIZAS; VARIEDAD: CEBOLLA, ESTADO: NATURAL, PRESENTACION: BOLSA, PESO: 
20 Kg </t>
  </si>
  <si>
    <t xml:space="preserve">CEBOLLA, ESTADO: NATURAL, PRESENTACION: BOLSA, PESO: 20 Kg  </t>
  </si>
  <si>
    <t xml:space="preserve">CEBOLLA, ESTADO: NATURAL, PRESENTACION: BOLSA X 20 KG </t>
  </si>
  <si>
    <t xml:space="preserve">  VERDURAS Y HORTALIZAS; VARIEDAD: CEBOLLA, ESTADO: NATURAL, PRESENTACION: 
BOLSA, PESO: 20 Kg; PRIMERA CALIDAD </t>
  </si>
  <si>
    <t xml:space="preserve">7 </t>
  </si>
  <si>
    <t xml:space="preserve">2.1.1-6546.167 </t>
  </si>
  <si>
    <t xml:space="preserve">VERDURAS Y HORTALIZAS; VARIEDAD: ZANAHORIA, PRESENTACION: BOLSA, ESTADO: NATURAL, PESO: 
20 Kg </t>
  </si>
  <si>
    <t xml:space="preserve"> ZANAHORIA, PRESENTACION: BOLSA, ESTADO: NATURAL, PESO: 20 Kg  
</t>
  </si>
  <si>
    <t xml:space="preserve">ZANAHORIA, PRESENTACION: BOLSA, ESTADO: NATURAL, PESO: 20 Kg  </t>
  </si>
  <si>
    <t xml:space="preserve">VERDURAS Y HORTALIZAS; VARIEDAD: ZANAHORIA, PRESENTACION: BOLSA, ESTADO: NATURAL, PESO: 
20 Kg; PRIMERA CALIDAD </t>
  </si>
  <si>
    <t xml:space="preserve">8 </t>
  </si>
  <si>
    <t xml:space="preserve">2.1.1-6546.390 </t>
  </si>
  <si>
    <t xml:space="preserve">VERDURAS Y HORTALIZAS; VARIEDAD: TOMATE REDONDO, ESTADO: NATURAL, PRESENTACION: CAJON, 
PESO: 17 A 22 Kg, ELEM. TRANSPORTE: SIN, MATERIAL ELEM. 
TRANSPORTE: SIN, LIBRE DE GLUTEN: SI, ORGANICO: NO </t>
  </si>
  <si>
    <t xml:space="preserve">TOMATE REDONDO, ESTADO: NATURAL, PRESENTACION: CAJON, PESO: 17 A 22 
Kg </t>
  </si>
  <si>
    <t xml:space="preserve">  VERDURAS Y HORTALIZAS; VARIEDAD: TOMATE REDONDO, ESTADO: NATURAL, 
PRESENTACION: CAJON, PESO: 17 A 22 Kg, ELEM. TRANSPORTE: SIN, 
MATERIAL ELEM. TRANSPORTE: SIN, LIBRE DE GLUTEN: SI, ORGANICO: NO; 
PRIMERA CALIDAD </t>
  </si>
  <si>
    <t xml:space="preserve">9 </t>
  </si>
  <si>
    <t xml:space="preserve">2.1.1-6546.95 </t>
  </si>
  <si>
    <t xml:space="preserve">VERDURAS Y HORTALIZAS; VARIEDAD: MORRON VERDE, ESTADO: NATURAL, PRESENTACION: GRANEL, 
PESO: SIN VALOR </t>
  </si>
  <si>
    <t xml:space="preserve"> MORRON VERDE, ESTADO: NATURAL, PRESENTACION: cajon x 10 kg 
APROXI. </t>
  </si>
  <si>
    <t xml:space="preserve">MORRON VERDE, ESTADO: NATURAL, PRESENTACION: CAJON DE 10 KG APROX. 
 </t>
  </si>
  <si>
    <t xml:space="preserve">  VERDURAS Y HORTALIZAS; VARIEDAD: MORRON VERDE, ESTADO: NATURAL, 
PRESENTACION: GRANEL, PESO: SIN VALOR; PRIMERA CALIDAD </t>
  </si>
  <si>
    <t xml:space="preserve">10 </t>
  </si>
  <si>
    <t xml:space="preserve">2.1.1-6546.162 </t>
  </si>
  <si>
    <t xml:space="preserve">VERDURAS Y HORTALIZAS; VARIEDAD: ZAPALLO CRIOLLO, ESTADO: NATURAL, PRESENTACION: UNIDAD, 
PESO: SIN VALOR </t>
  </si>
  <si>
    <t xml:space="preserve"> ZAPALLO CRIOLLO PIEZA X 10 KG APROXI. CADA UNO 
</t>
  </si>
  <si>
    <t xml:space="preserve">VERDURAS Y HORTALIZAS; VARIEDAD: ZAPALLO CRIOLLO, ESTADO: NATURAL, PRESENTACION: UNIDAD, 
PESO: SIN VALOR; PRIMERA CALIDAD </t>
  </si>
  <si>
    <t xml:space="preserve">11 </t>
  </si>
  <si>
    <t xml:space="preserve">2.1.1-6546.151 </t>
  </si>
  <si>
    <t xml:space="preserve">VERDURAS Y HORTALIZAS; VARIEDAD: ZAPALLITO REDONDO, ESTADO: NATURAL, PRESENTACION: CAJON, 
PESO: SIN VALOR </t>
  </si>
  <si>
    <t xml:space="preserve">ZAPALLITO REDONDO CAJON X 15 KG APROXI. </t>
  </si>
  <si>
    <t xml:space="preserve">ZAPALLITO REDONDO, ESTADO: NATURAL, PRESENTACION: CAJON DE 15 KG APROX 
</t>
  </si>
  <si>
    <t xml:space="preserve">  VERDURAS Y HORTALIZAS; VARIEDAD: ZAPALLITO REDONDO, ESTADO: NATURAL, 
PRESENTACION: CAJON, PESO: SIN VALOR; PRIMERA CALIDAD </t>
  </si>
  <si>
    <t xml:space="preserve">12 </t>
  </si>
  <si>
    <t xml:space="preserve">2.1.1-6546.153 </t>
  </si>
  <si>
    <t xml:space="preserve">VERDURAS Y HORTALIZAS; VARIEDAD: AJO, ESTADO: NATURAL, PRESENTACION: RISTRA, PESO: 
SIN VALOR </t>
  </si>
  <si>
    <t xml:space="preserve">AJO RISTRA X 50 UNIDADES </t>
  </si>
  <si>
    <t xml:space="preserve">AJO, ESTADO: NATURAL, PRESENTACION: RISTRA, DE 50 BULBOS APROX.  
 </t>
  </si>
  <si>
    <t xml:space="preserve">  VERDURAS Y HORTALIZAS; VARIEDAD: AJO, ESTADO: NATURAL, PRESENTACION: 
RISTRA, PESO: SIN VALOR; PRIMERA CALIDAD </t>
  </si>
  <si>
    <t xml:space="preserve">13 </t>
  </si>
  <si>
    <t xml:space="preserve">2.1.1-6546.47 </t>
  </si>
  <si>
    <t xml:space="preserve">VERDURAS Y HORTALIZAS; VARIEDAD: CEBOLLA DE VERDEO, ESTADO: NATURAL, PRESENTACION: 
GRANEL, PESO: SIN VALOR </t>
  </si>
  <si>
    <t xml:space="preserve">CABOLLA DE VERDEO ATADO X 200 GR  </t>
  </si>
  <si>
    <t xml:space="preserve">CEBOLLA DE VERDEO, ESTADO: NATURAL, X KG  </t>
  </si>
  <si>
    <t xml:space="preserve">VERDURAS Y HORTALIZAS; VARIEDAD: CEBOLLA DE VERDEO, ESTADO: NATURAL, PRESENTACION: 
GRANEL, PESO: SIN VALOR; PRIMERA CALIDAD </t>
  </si>
  <si>
    <t xml:space="preserve">14 </t>
  </si>
  <si>
    <t xml:space="preserve">2.1.1-6546.132 </t>
  </si>
  <si>
    <t xml:space="preserve">VERDURAS Y HORTALIZAS; VARIEDAD: PEREJIL, ESTADO: NATURAL, PRESENTACION: GRANEL, PESO: 
SIN VALOR </t>
  </si>
  <si>
    <t xml:space="preserve">PEREJIL POR ATADO DE 200 GR  </t>
  </si>
  <si>
    <t xml:space="preserve">PEREJIL, ESTADO: NATURAL, X KG </t>
  </si>
  <si>
    <t xml:space="preserve">VERDURAS Y HORTALIZAS; VARIEDAD: PEREJIL, ESTADO: NATURAL, PRESENTACION: GRANEL, PESO: 
SIN VALOR; PRIMERA CALIDAD </t>
  </si>
  <si>
    <t xml:space="preserve">15 </t>
  </si>
  <si>
    <t xml:space="preserve">2.1.1-6546.34 </t>
  </si>
  <si>
    <t xml:space="preserve">VERDURAS Y HORTALIZAS; VARIEDAD: ACELGA, ESTADO: EN HOJA, PRESENTACION: ATADO, 
PESO: SIN VALOR </t>
  </si>
  <si>
    <t xml:space="preserve">ACELGA POR ATADOS DE 200 GR  </t>
  </si>
  <si>
    <t xml:space="preserve">ACELGA, ESTADO: EN HOJA, X KG </t>
  </si>
  <si>
    <t xml:space="preserve">  VERDURAS Y HORTALIZAS; VARIEDAD: ACELGA, ESTADO: EN HOJA, 
PRESENTACION: ATADO, PESO: SIN VALOR; PRIMERA CALIDAD </t>
  </si>
  <si>
    <t xml:space="preserve">16 </t>
  </si>
  <si>
    <t xml:space="preserve">2.1.1-483.37 </t>
  </si>
  <si>
    <t xml:space="preserve">HUEVO DE GALLINA; TAMAÑO: GRANDE, COLOR: COLOR, PRESENTACION: 30 UN 
</t>
  </si>
  <si>
    <t xml:space="preserve">HUEVOS COLOR MAPLE X 30 UNIDADES  </t>
  </si>
  <si>
    <t xml:space="preserve">  HUEVO DE GALLINA; TAMAÑO: GRANDE, COLOR: COLOR, PRESENTACION: 
30 UN; PRIMERA CALIDAD </t>
  </si>
  <si>
    <t xml:space="preserve">17 </t>
  </si>
  <si>
    <t xml:space="preserve">2.1.1-6539.170 </t>
  </si>
  <si>
    <t xml:space="preserve">FRUTAS; VARIEDAD: MANZANA RED DELICIOSA, ESTADO: NATURAL, PRESENTACION: ENVASE X 
15 Kg, ELEM. TRANSPORTE: CAJON, MATERIAL ELEM. TRANSPORTE: CARTON </t>
  </si>
  <si>
    <t xml:space="preserve">MANZANA RED DELICIOSA CAJON X 15 KG APROXI. </t>
  </si>
  <si>
    <t xml:space="preserve">MANZANA RED DELICIOSA, ESTADO: NATURAL, PRESENTACION: ENVASE X 15 Kg, 
</t>
  </si>
  <si>
    <t xml:space="preserve">FRUTAS; VARIEDAD: MANZANA RED DELICIOSA, ESTADO: NATURAL, PRESENTACION: ENVASE X 
15 Kg, ELEM. TRANSPORTE: CAJON, MATERIAL ELEM. TRANSPORTE: CARTON; PRIMERA 
CALIDAD </t>
  </si>
  <si>
    <t xml:space="preserve">18 </t>
  </si>
  <si>
    <t xml:space="preserve">2.1.1-6539.30 </t>
  </si>
  <si>
    <t xml:space="preserve">FRUTAS; VARIEDAD: BANANA, PRESENTACION: CAJON, ESTADO: NATURAL, PESO: SIN VALOR 
</t>
  </si>
  <si>
    <t xml:space="preserve">BANANA CAJON X 20 KG APROXI </t>
  </si>
  <si>
    <t xml:space="preserve">BANANA, PRESENTACION: CAJON DE 20 KG APROX. , ESTADO: NATURAL 
 </t>
  </si>
  <si>
    <t xml:space="preserve">FRUTAS; VARIEDAD: BANANA, PRESENTACION: CAJON, ESTADO: NATURAL, PESO: SIN VALOR; 
PRIMERA CALIDAD </t>
  </si>
  <si>
    <t xml:space="preserve">19 </t>
  </si>
  <si>
    <t xml:space="preserve">2.1.1-6539.157 </t>
  </si>
  <si>
    <t xml:space="preserve">FRUTAS; VARIEDAD: PERA, ESTADO: NATURAL, PRESENTACION: ENVASE X 20 Kg 
</t>
  </si>
  <si>
    <t xml:space="preserve">PERA CAJON X 20 KG APROXI. </t>
  </si>
  <si>
    <t xml:space="preserve">PERA, ESTADO: NATURAL, PRESENTACION: ENVASE X 20 Kg </t>
  </si>
  <si>
    <t xml:space="preserve">  FRUTAS; VARIEDAD: PERA, ESTADO: NATURAL, PRESENTACION: ENVASE X 
20 Kg; PRIMERA CALIDAD </t>
  </si>
  <si>
    <t xml:space="preserve">20 </t>
  </si>
  <si>
    <t xml:space="preserve">2.1.1-6539.8 </t>
  </si>
  <si>
    <t xml:space="preserve">FRUTAS; VARIEDAD: NARANJA ESPECIAL, ESTADO: NATURAL, PRESENTACION: CAJON, PESO: SIN 
VALOR </t>
  </si>
  <si>
    <t xml:space="preserve">NARANJAS CAJON X 20 KG APROXI. </t>
  </si>
  <si>
    <t xml:space="preserve">NARANJA ESPECIAL, ESTADO: NATURAL, PRESENTACION: CAJON DE 20 KG APROX. 
</t>
  </si>
  <si>
    <t xml:space="preserve">  FRUTAS; VARIEDAD: NARANJA ESPECIAL, ESTADO: NATURAL, PRESENTACION: CAJON, 
PESO: SIN VALOR; PRIMERA CALIDAD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</si>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</sst>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30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30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30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30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S9:V30" totalsRowCount="1">
  <tableColumns count="4">
    <tableColumn id="1" xr3:uid="{00000000-0010-0000-0400-000001000000}" name="Precio unitario"/>
    <tableColumn id="2" xr3:uid="{00000000-0010-0000-0400-000002000000}" name="Cantidad ofertada"/>
    <tableColumn id="3" xr3:uid="{00000000-0010-0000-0400-000003000000}" name="Total por renglón" totalsRowFunction="sum"/>
    <tableColumn id="4" xr3:uid="{00000000-0010-0000-04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91.7109375" customWidth="1"/>
    <col min="5" max="5" width="83.57031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84" customWidth="1"/>
    <col min="11" max="11" width="14.28515625" customWidth="1"/>
    <col min="12" max="12" width="17.28515625" customWidth="1"/>
    <col min="13" max="13" width="16.5703125" customWidth="1"/>
    <col min="14" max="14" width="75.140625" customWidth="1"/>
    <col min="15" max="15" width="14.28515625" customWidth="1"/>
    <col min="16" max="16" width="17.28515625" customWidth="1"/>
    <col min="17" max="17" width="16.5703125" customWidth="1"/>
    <col min="18" max="18" width="36.28515625" customWidth="1"/>
    <col min="19" max="19" width="14.28515625" customWidth="1"/>
    <col min="20" max="20" width="17.28515625" customWidth="1"/>
    <col min="21" max="21" width="16.5703125" customWidth="1"/>
    <col min="22" max="22" width="90" customWidth="1"/>
  </cols>
  <sheetData>
    <row r="1" spans="1:22" x14ac:dyDescent="0.25">
      <c r="D1" s="2" t="s">
        <v>0</v>
      </c>
      <c r="E1" s="2" t="s">
        <v>1</v>
      </c>
    </row>
    <row r="2" spans="1:22" x14ac:dyDescent="0.25">
      <c r="D2" s="2" t="s">
        <v>2</v>
      </c>
      <c r="E2" s="2" t="s">
        <v>3</v>
      </c>
    </row>
    <row r="3" spans="1:22" x14ac:dyDescent="0.25">
      <c r="D3" s="2" t="s">
        <v>4</v>
      </c>
      <c r="E3" s="2" t="s">
        <v>5</v>
      </c>
    </row>
    <row r="4" spans="1:22" x14ac:dyDescent="0.25">
      <c r="D4" s="2" t="s">
        <v>6</v>
      </c>
      <c r="E4" s="2" t="s">
        <v>7</v>
      </c>
    </row>
    <row r="5" spans="1:22" x14ac:dyDescent="0.25">
      <c r="D5" s="2" t="s">
        <v>8</v>
      </c>
      <c r="E5" s="2" t="s">
        <v>9</v>
      </c>
    </row>
    <row r="8" spans="1:22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  <c r="S8" s="1" t="s">
        <v>14</v>
      </c>
      <c r="T8" s="1"/>
      <c r="U8" s="1"/>
      <c r="V8" s="1"/>
    </row>
    <row r="9" spans="1:22" x14ac:dyDescent="0.25">
      <c r="A9" t="s">
        <v>10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s="3" t="s">
        <v>20</v>
      </c>
      <c r="H9" s="3" t="s">
        <v>21</v>
      </c>
      <c r="I9" t="s">
        <v>22</v>
      </c>
      <c r="J9" t="s">
        <v>23</v>
      </c>
      <c r="K9" s="3" t="s">
        <v>20</v>
      </c>
      <c r="L9" s="3" t="s">
        <v>21</v>
      </c>
      <c r="M9" t="s">
        <v>22</v>
      </c>
      <c r="N9" t="s">
        <v>23</v>
      </c>
      <c r="O9" s="3" t="s">
        <v>20</v>
      </c>
      <c r="P9" s="3" t="s">
        <v>21</v>
      </c>
      <c r="Q9" t="s">
        <v>22</v>
      </c>
      <c r="R9" t="s">
        <v>23</v>
      </c>
      <c r="S9" s="3" t="s">
        <v>20</v>
      </c>
      <c r="T9" s="3" t="s">
        <v>21</v>
      </c>
      <c r="U9" t="s">
        <v>22</v>
      </c>
      <c r="V9" t="s">
        <v>23</v>
      </c>
    </row>
    <row r="10" spans="1:22" ht="45" x14ac:dyDescent="0.25">
      <c r="A10" t="s">
        <v>24</v>
      </c>
      <c r="B10" t="s">
        <v>24</v>
      </c>
      <c r="C10" t="s">
        <v>25</v>
      </c>
      <c r="D10" s="4" t="s">
        <v>26</v>
      </c>
      <c r="E10">
        <v>300</v>
      </c>
      <c r="F10" t="s">
        <v>27</v>
      </c>
      <c r="G10" s="3">
        <v>1026</v>
      </c>
      <c r="H10" s="3">
        <v>300</v>
      </c>
      <c r="I10" s="5">
        <v>307800</v>
      </c>
      <c r="J10" t="s">
        <v>28</v>
      </c>
      <c r="K10" s="3">
        <v>1040</v>
      </c>
      <c r="L10" s="3">
        <v>300</v>
      </c>
      <c r="M10" s="5">
        <v>312000</v>
      </c>
      <c r="N10" s="4" t="s">
        <v>29</v>
      </c>
      <c r="O10" s="3"/>
      <c r="P10" s="3"/>
      <c r="Q10" s="5"/>
      <c r="S10" s="3"/>
      <c r="T10" s="3"/>
      <c r="U10" s="5"/>
    </row>
    <row r="11" spans="1:22" x14ac:dyDescent="0.25">
      <c r="A11" t="s">
        <v>30</v>
      </c>
      <c r="B11" t="s">
        <v>24</v>
      </c>
      <c r="C11" t="s">
        <v>31</v>
      </c>
      <c r="D11" t="s">
        <v>32</v>
      </c>
      <c r="E11">
        <v>1500</v>
      </c>
      <c r="F11" t="s">
        <v>27</v>
      </c>
      <c r="G11" s="3">
        <v>1090</v>
      </c>
      <c r="H11" s="3">
        <v>1500</v>
      </c>
      <c r="I11" s="5">
        <v>1635000</v>
      </c>
      <c r="J11" t="s">
        <v>33</v>
      </c>
      <c r="K11" s="3">
        <v>1150</v>
      </c>
      <c r="L11" s="3">
        <v>1500</v>
      </c>
      <c r="M11" s="5">
        <v>1725000</v>
      </c>
      <c r="N11" t="s">
        <v>34</v>
      </c>
      <c r="O11" s="3"/>
      <c r="P11" s="3"/>
      <c r="Q11" s="5"/>
      <c r="S11" s="3"/>
      <c r="T11" s="3"/>
      <c r="U11" s="5"/>
    </row>
    <row r="12" spans="1:22" ht="45" x14ac:dyDescent="0.25">
      <c r="A12" t="s">
        <v>35</v>
      </c>
      <c r="B12" t="s">
        <v>24</v>
      </c>
      <c r="C12" t="s">
        <v>36</v>
      </c>
      <c r="D12" t="s">
        <v>37</v>
      </c>
      <c r="E12">
        <v>2000</v>
      </c>
      <c r="F12" t="s">
        <v>27</v>
      </c>
      <c r="G12" s="3">
        <v>1349</v>
      </c>
      <c r="H12" s="3">
        <v>2000</v>
      </c>
      <c r="I12" s="5">
        <v>2698000</v>
      </c>
      <c r="J12" s="4" t="s">
        <v>38</v>
      </c>
      <c r="K12" s="3">
        <v>1300</v>
      </c>
      <c r="L12" s="3">
        <v>2000</v>
      </c>
      <c r="M12" s="5">
        <v>2600000</v>
      </c>
      <c r="N12" s="4" t="s">
        <v>39</v>
      </c>
      <c r="O12" s="3">
        <v>1200</v>
      </c>
      <c r="P12" s="3">
        <v>2000</v>
      </c>
      <c r="Q12" s="5">
        <v>2400000</v>
      </c>
      <c r="R12" t="s">
        <v>40</v>
      </c>
      <c r="S12" s="3"/>
      <c r="T12" s="3"/>
      <c r="U12" s="5"/>
    </row>
    <row r="13" spans="1:22" ht="45" x14ac:dyDescent="0.25">
      <c r="A13" t="s">
        <v>41</v>
      </c>
      <c r="B13" t="s">
        <v>24</v>
      </c>
      <c r="C13" t="s">
        <v>42</v>
      </c>
      <c r="D13" s="4" t="s">
        <v>43</v>
      </c>
      <c r="E13">
        <v>2000</v>
      </c>
      <c r="F13" t="s">
        <v>27</v>
      </c>
      <c r="G13" s="3">
        <v>182.25</v>
      </c>
      <c r="H13" s="3">
        <v>2000</v>
      </c>
      <c r="I13" s="5">
        <v>364500</v>
      </c>
      <c r="J13" t="s">
        <v>44</v>
      </c>
      <c r="K13" s="3">
        <v>249</v>
      </c>
      <c r="L13" s="3">
        <v>2000</v>
      </c>
      <c r="M13" s="5">
        <v>498000</v>
      </c>
      <c r="N13" s="4" t="s">
        <v>45</v>
      </c>
      <c r="O13" s="3"/>
      <c r="P13" s="3"/>
      <c r="Q13" s="5"/>
      <c r="S13" s="3"/>
      <c r="T13" s="3"/>
      <c r="U13" s="5"/>
    </row>
    <row r="14" spans="1:22" ht="30" x14ac:dyDescent="0.25">
      <c r="A14" t="s">
        <v>46</v>
      </c>
      <c r="B14" t="s">
        <v>24</v>
      </c>
      <c r="C14" t="s">
        <v>47</v>
      </c>
      <c r="D14" s="4" t="s">
        <v>48</v>
      </c>
      <c r="E14">
        <v>150</v>
      </c>
      <c r="F14" t="s">
        <v>27</v>
      </c>
      <c r="G14" s="3">
        <v>1885</v>
      </c>
      <c r="H14" s="3">
        <v>150</v>
      </c>
      <c r="I14" s="5">
        <v>282750</v>
      </c>
      <c r="J14" t="s">
        <v>49</v>
      </c>
      <c r="K14" s="3"/>
      <c r="L14" s="3"/>
      <c r="M14" s="5"/>
      <c r="O14" s="3"/>
      <c r="P14" s="3"/>
      <c r="Q14" s="5"/>
      <c r="S14" s="3">
        <v>3250</v>
      </c>
      <c r="T14" s="3">
        <v>150</v>
      </c>
      <c r="U14" s="5">
        <v>487500</v>
      </c>
      <c r="V14" s="4" t="s">
        <v>50</v>
      </c>
    </row>
    <row r="15" spans="1:22" ht="30" x14ac:dyDescent="0.25">
      <c r="A15" t="s">
        <v>51</v>
      </c>
      <c r="B15" t="s">
        <v>24</v>
      </c>
      <c r="C15" t="s">
        <v>52</v>
      </c>
      <c r="D15" s="4" t="s">
        <v>53</v>
      </c>
      <c r="E15">
        <v>150</v>
      </c>
      <c r="F15" t="s">
        <v>27</v>
      </c>
      <c r="G15" s="3">
        <v>4810</v>
      </c>
      <c r="H15" s="3">
        <v>150</v>
      </c>
      <c r="I15" s="5">
        <v>721500</v>
      </c>
      <c r="J15" t="s">
        <v>54</v>
      </c>
      <c r="K15" s="3">
        <v>6125</v>
      </c>
      <c r="L15" s="3">
        <v>150</v>
      </c>
      <c r="M15" s="5">
        <v>918750</v>
      </c>
      <c r="N15" t="s">
        <v>55</v>
      </c>
      <c r="O15" s="3"/>
      <c r="P15" s="3"/>
      <c r="Q15" s="5"/>
      <c r="S15" s="3">
        <v>6117.64</v>
      </c>
      <c r="T15" s="3">
        <v>150</v>
      </c>
      <c r="U15" s="5">
        <v>917646</v>
      </c>
      <c r="V15" s="4" t="s">
        <v>56</v>
      </c>
    </row>
    <row r="16" spans="1:22" ht="45" x14ac:dyDescent="0.25">
      <c r="A16" t="s">
        <v>57</v>
      </c>
      <c r="B16" t="s">
        <v>24</v>
      </c>
      <c r="C16" t="s">
        <v>58</v>
      </c>
      <c r="D16" s="4" t="s">
        <v>59</v>
      </c>
      <c r="E16">
        <v>150</v>
      </c>
      <c r="F16" t="s">
        <v>27</v>
      </c>
      <c r="G16" s="3">
        <v>1390</v>
      </c>
      <c r="H16" s="3">
        <v>150</v>
      </c>
      <c r="I16" s="5">
        <v>208500</v>
      </c>
      <c r="J16" s="4" t="s">
        <v>60</v>
      </c>
      <c r="K16" s="3">
        <v>1350</v>
      </c>
      <c r="L16" s="3">
        <v>150</v>
      </c>
      <c r="M16" s="5">
        <v>202500</v>
      </c>
      <c r="N16" t="s">
        <v>61</v>
      </c>
      <c r="O16" s="3"/>
      <c r="P16" s="3"/>
      <c r="Q16" s="5"/>
      <c r="S16" s="3">
        <v>2022.22</v>
      </c>
      <c r="T16" s="3">
        <v>150</v>
      </c>
      <c r="U16" s="5">
        <v>303333</v>
      </c>
      <c r="V16" s="4" t="s">
        <v>62</v>
      </c>
    </row>
    <row r="17" spans="1:22" ht="60" x14ac:dyDescent="0.25">
      <c r="A17" t="s">
        <v>63</v>
      </c>
      <c r="B17" t="s">
        <v>24</v>
      </c>
      <c r="C17" t="s">
        <v>64</v>
      </c>
      <c r="D17" s="4" t="s">
        <v>65</v>
      </c>
      <c r="E17">
        <v>80</v>
      </c>
      <c r="F17" t="s">
        <v>27</v>
      </c>
      <c r="G17" s="3">
        <v>2100</v>
      </c>
      <c r="H17" s="3">
        <v>80</v>
      </c>
      <c r="I17" s="5">
        <v>168000</v>
      </c>
      <c r="J17" s="4" t="s">
        <v>66</v>
      </c>
      <c r="K17" s="3">
        <v>3675</v>
      </c>
      <c r="L17" s="3">
        <v>80</v>
      </c>
      <c r="M17" s="5">
        <v>294000</v>
      </c>
      <c r="N17" s="4" t="s">
        <v>66</v>
      </c>
      <c r="O17" s="3"/>
      <c r="P17" s="3"/>
      <c r="Q17" s="5"/>
      <c r="S17" s="3">
        <v>4000</v>
      </c>
      <c r="T17" s="3">
        <v>80</v>
      </c>
      <c r="U17" s="5">
        <v>320000</v>
      </c>
      <c r="V17" s="4" t="s">
        <v>67</v>
      </c>
    </row>
    <row r="18" spans="1:22" ht="30" x14ac:dyDescent="0.25">
      <c r="A18" t="s">
        <v>68</v>
      </c>
      <c r="B18" t="s">
        <v>24</v>
      </c>
      <c r="C18" t="s">
        <v>69</v>
      </c>
      <c r="D18" s="4" t="s">
        <v>70</v>
      </c>
      <c r="E18">
        <v>100</v>
      </c>
      <c r="F18" t="s">
        <v>27</v>
      </c>
      <c r="G18" s="3">
        <v>3590</v>
      </c>
      <c r="H18" s="3">
        <v>100</v>
      </c>
      <c r="I18" s="5">
        <v>359000</v>
      </c>
      <c r="J18" s="4" t="s">
        <v>71</v>
      </c>
      <c r="K18" s="3">
        <v>3990</v>
      </c>
      <c r="L18" s="3">
        <v>100</v>
      </c>
      <c r="M18" s="5">
        <v>399000</v>
      </c>
      <c r="N18" s="4" t="s">
        <v>72</v>
      </c>
      <c r="O18" s="3"/>
      <c r="P18" s="3"/>
      <c r="Q18" s="5"/>
      <c r="S18" s="3">
        <v>4160</v>
      </c>
      <c r="T18" s="3">
        <v>100</v>
      </c>
      <c r="U18" s="5">
        <v>416000</v>
      </c>
      <c r="V18" s="4" t="s">
        <v>73</v>
      </c>
    </row>
    <row r="19" spans="1:22" ht="45" x14ac:dyDescent="0.25">
      <c r="A19" t="s">
        <v>74</v>
      </c>
      <c r="B19" t="s">
        <v>24</v>
      </c>
      <c r="C19" t="s">
        <v>75</v>
      </c>
      <c r="D19" s="4" t="s">
        <v>76</v>
      </c>
      <c r="E19">
        <v>100</v>
      </c>
      <c r="F19" t="s">
        <v>27</v>
      </c>
      <c r="G19" s="3">
        <v>1600</v>
      </c>
      <c r="H19" s="3">
        <v>100</v>
      </c>
      <c r="I19" s="5">
        <v>160000</v>
      </c>
      <c r="J19" s="4" t="s">
        <v>77</v>
      </c>
      <c r="K19" s="3"/>
      <c r="L19" s="3"/>
      <c r="M19" s="5"/>
      <c r="O19" s="3"/>
      <c r="P19" s="3"/>
      <c r="Q19" s="5"/>
      <c r="S19" s="3">
        <v>2500</v>
      </c>
      <c r="T19" s="3">
        <v>100</v>
      </c>
      <c r="U19" s="5">
        <v>250000</v>
      </c>
      <c r="V19" s="4" t="s">
        <v>78</v>
      </c>
    </row>
    <row r="20" spans="1:22" ht="45" x14ac:dyDescent="0.25">
      <c r="A20" t="s">
        <v>79</v>
      </c>
      <c r="B20" t="s">
        <v>24</v>
      </c>
      <c r="C20" t="s">
        <v>80</v>
      </c>
      <c r="D20" s="4" t="s">
        <v>81</v>
      </c>
      <c r="E20">
        <v>50</v>
      </c>
      <c r="F20" t="s">
        <v>27</v>
      </c>
      <c r="G20" s="3">
        <v>5790</v>
      </c>
      <c r="H20" s="3">
        <v>50</v>
      </c>
      <c r="I20" s="5">
        <v>289500</v>
      </c>
      <c r="J20" t="s">
        <v>82</v>
      </c>
      <c r="K20" s="3">
        <v>4700</v>
      </c>
      <c r="L20" s="3">
        <v>50</v>
      </c>
      <c r="M20" s="5">
        <v>235000</v>
      </c>
      <c r="N20" s="4" t="s">
        <v>83</v>
      </c>
      <c r="O20" s="3"/>
      <c r="P20" s="3"/>
      <c r="Q20" s="5"/>
      <c r="S20" s="3">
        <v>4940</v>
      </c>
      <c r="T20" s="3">
        <v>50</v>
      </c>
      <c r="U20" s="5">
        <v>247000</v>
      </c>
      <c r="V20" s="4" t="s">
        <v>84</v>
      </c>
    </row>
    <row r="21" spans="1:22" ht="30" x14ac:dyDescent="0.25">
      <c r="A21" t="s">
        <v>85</v>
      </c>
      <c r="B21" t="s">
        <v>24</v>
      </c>
      <c r="C21" t="s">
        <v>86</v>
      </c>
      <c r="D21" s="4" t="s">
        <v>87</v>
      </c>
      <c r="E21">
        <v>52</v>
      </c>
      <c r="F21" t="s">
        <v>27</v>
      </c>
      <c r="G21" s="3">
        <v>4500</v>
      </c>
      <c r="H21" s="3">
        <v>52</v>
      </c>
      <c r="I21" s="5">
        <v>234000</v>
      </c>
      <c r="J21" t="s">
        <v>88</v>
      </c>
      <c r="K21" s="3">
        <v>3650</v>
      </c>
      <c r="L21" s="3">
        <v>52</v>
      </c>
      <c r="M21" s="5">
        <v>189800</v>
      </c>
      <c r="N21" s="4" t="s">
        <v>89</v>
      </c>
      <c r="O21" s="3"/>
      <c r="P21" s="3"/>
      <c r="Q21" s="5"/>
      <c r="S21" s="3">
        <v>3900</v>
      </c>
      <c r="T21" s="3">
        <v>52</v>
      </c>
      <c r="U21" s="5">
        <v>202800</v>
      </c>
      <c r="V21" s="4" t="s">
        <v>90</v>
      </c>
    </row>
    <row r="22" spans="1:22" ht="30" x14ac:dyDescent="0.25">
      <c r="A22" t="s">
        <v>91</v>
      </c>
      <c r="B22" t="s">
        <v>24</v>
      </c>
      <c r="C22" t="s">
        <v>92</v>
      </c>
      <c r="D22" s="4" t="s">
        <v>93</v>
      </c>
      <c r="E22">
        <v>50</v>
      </c>
      <c r="F22" t="s">
        <v>27</v>
      </c>
      <c r="G22" s="3">
        <v>60</v>
      </c>
      <c r="H22" s="3">
        <v>50</v>
      </c>
      <c r="I22" s="5">
        <v>3000</v>
      </c>
      <c r="J22" t="s">
        <v>94</v>
      </c>
      <c r="K22" s="3">
        <v>500</v>
      </c>
      <c r="L22" s="3">
        <v>50</v>
      </c>
      <c r="M22" s="5">
        <v>25000</v>
      </c>
      <c r="N22" t="s">
        <v>95</v>
      </c>
      <c r="O22" s="3"/>
      <c r="P22" s="3"/>
      <c r="Q22" s="5"/>
      <c r="S22" s="3">
        <v>325</v>
      </c>
      <c r="T22" s="3">
        <v>50</v>
      </c>
      <c r="U22" s="5">
        <v>16250</v>
      </c>
      <c r="V22" s="4" t="s">
        <v>96</v>
      </c>
    </row>
    <row r="23" spans="1:22" ht="30" x14ac:dyDescent="0.25">
      <c r="A23" t="s">
        <v>97</v>
      </c>
      <c r="B23" t="s">
        <v>24</v>
      </c>
      <c r="C23" t="s">
        <v>98</v>
      </c>
      <c r="D23" s="4" t="s">
        <v>99</v>
      </c>
      <c r="E23">
        <v>80</v>
      </c>
      <c r="F23" t="s">
        <v>27</v>
      </c>
      <c r="G23" s="3">
        <v>60</v>
      </c>
      <c r="H23" s="3">
        <v>80</v>
      </c>
      <c r="I23" s="5">
        <v>4800</v>
      </c>
      <c r="J23" t="s">
        <v>100</v>
      </c>
      <c r="K23" s="3">
        <v>450</v>
      </c>
      <c r="L23" s="3">
        <v>80</v>
      </c>
      <c r="M23" s="5">
        <v>36000</v>
      </c>
      <c r="N23" t="s">
        <v>101</v>
      </c>
      <c r="O23" s="3"/>
      <c r="P23" s="3"/>
      <c r="Q23" s="5"/>
      <c r="S23" s="3">
        <v>325</v>
      </c>
      <c r="T23" s="3">
        <v>80</v>
      </c>
      <c r="U23" s="5">
        <v>26000</v>
      </c>
      <c r="V23" s="4" t="s">
        <v>102</v>
      </c>
    </row>
    <row r="24" spans="1:22" ht="30" x14ac:dyDescent="0.25">
      <c r="A24" t="s">
        <v>103</v>
      </c>
      <c r="B24" t="s">
        <v>24</v>
      </c>
      <c r="C24" t="s">
        <v>104</v>
      </c>
      <c r="D24" s="4" t="s">
        <v>105</v>
      </c>
      <c r="E24">
        <v>50</v>
      </c>
      <c r="F24" t="s">
        <v>27</v>
      </c>
      <c r="G24" s="3">
        <v>60</v>
      </c>
      <c r="H24" s="3">
        <v>50</v>
      </c>
      <c r="I24" s="5">
        <v>3000</v>
      </c>
      <c r="J24" t="s">
        <v>106</v>
      </c>
      <c r="K24" s="3">
        <v>400</v>
      </c>
      <c r="L24" s="3">
        <v>50</v>
      </c>
      <c r="M24" s="5">
        <v>20000</v>
      </c>
      <c r="N24" t="s">
        <v>107</v>
      </c>
      <c r="O24" s="3"/>
      <c r="P24" s="3"/>
      <c r="Q24" s="5"/>
      <c r="S24" s="3">
        <v>325</v>
      </c>
      <c r="T24" s="3">
        <v>50</v>
      </c>
      <c r="U24" s="5">
        <v>16250</v>
      </c>
      <c r="V24" s="4" t="s">
        <v>108</v>
      </c>
    </row>
    <row r="25" spans="1:22" ht="30" x14ac:dyDescent="0.25">
      <c r="A25" t="s">
        <v>109</v>
      </c>
      <c r="B25" t="s">
        <v>24</v>
      </c>
      <c r="C25" t="s">
        <v>110</v>
      </c>
      <c r="D25" s="4" t="s">
        <v>111</v>
      </c>
      <c r="E25">
        <v>150</v>
      </c>
      <c r="F25" t="s">
        <v>27</v>
      </c>
      <c r="G25" s="3">
        <v>940</v>
      </c>
      <c r="H25" s="3">
        <v>150</v>
      </c>
      <c r="I25" s="5">
        <v>141000</v>
      </c>
      <c r="J25" t="s">
        <v>112</v>
      </c>
      <c r="K25" s="3">
        <v>970</v>
      </c>
      <c r="L25" s="3">
        <v>150</v>
      </c>
      <c r="M25" s="5">
        <v>145500</v>
      </c>
      <c r="N25" s="4" t="s">
        <v>111</v>
      </c>
      <c r="O25" s="3"/>
      <c r="P25" s="3"/>
      <c r="Q25" s="5"/>
      <c r="S25" s="3">
        <v>840</v>
      </c>
      <c r="T25" s="3">
        <v>150</v>
      </c>
      <c r="U25" s="5">
        <v>126000</v>
      </c>
      <c r="V25" s="4" t="s">
        <v>113</v>
      </c>
    </row>
    <row r="26" spans="1:22" ht="45" x14ac:dyDescent="0.25">
      <c r="A26" t="s">
        <v>114</v>
      </c>
      <c r="B26" t="s">
        <v>24</v>
      </c>
      <c r="C26" t="s">
        <v>115</v>
      </c>
      <c r="D26" s="4" t="s">
        <v>116</v>
      </c>
      <c r="E26">
        <v>100</v>
      </c>
      <c r="F26" t="s">
        <v>27</v>
      </c>
      <c r="G26" s="3">
        <v>5700</v>
      </c>
      <c r="H26" s="3">
        <v>100</v>
      </c>
      <c r="I26" s="5">
        <v>570000</v>
      </c>
      <c r="J26" t="s">
        <v>117</v>
      </c>
      <c r="K26" s="3">
        <v>6300</v>
      </c>
      <c r="L26" s="3">
        <v>100</v>
      </c>
      <c r="M26" s="5">
        <v>630000</v>
      </c>
      <c r="N26" s="4" t="s">
        <v>118</v>
      </c>
      <c r="O26" s="3"/>
      <c r="P26" s="3"/>
      <c r="Q26" s="5"/>
      <c r="S26" s="3">
        <v>6240</v>
      </c>
      <c r="T26" s="3">
        <v>100</v>
      </c>
      <c r="U26" s="5">
        <v>624000</v>
      </c>
      <c r="V26" s="4" t="s">
        <v>119</v>
      </c>
    </row>
    <row r="27" spans="1:22" ht="30" x14ac:dyDescent="0.25">
      <c r="A27" t="s">
        <v>120</v>
      </c>
      <c r="B27" t="s">
        <v>24</v>
      </c>
      <c r="C27" t="s">
        <v>121</v>
      </c>
      <c r="D27" s="4" t="s">
        <v>122</v>
      </c>
      <c r="E27">
        <v>100</v>
      </c>
      <c r="F27" t="s">
        <v>27</v>
      </c>
      <c r="G27" s="3">
        <v>3600</v>
      </c>
      <c r="H27" s="3">
        <v>100</v>
      </c>
      <c r="I27" s="5">
        <v>360000</v>
      </c>
      <c r="J27" t="s">
        <v>123</v>
      </c>
      <c r="K27" s="3">
        <v>6435</v>
      </c>
      <c r="L27" s="3">
        <v>100</v>
      </c>
      <c r="M27" s="5">
        <v>643500</v>
      </c>
      <c r="N27" s="4" t="s">
        <v>124</v>
      </c>
      <c r="O27" s="3"/>
      <c r="P27" s="3"/>
      <c r="Q27" s="5"/>
      <c r="S27" s="3">
        <v>3770</v>
      </c>
      <c r="T27" s="3">
        <v>100</v>
      </c>
      <c r="U27" s="5">
        <v>377000</v>
      </c>
      <c r="V27" s="4" t="s">
        <v>125</v>
      </c>
    </row>
    <row r="28" spans="1:22" ht="30" x14ac:dyDescent="0.25">
      <c r="A28" t="s">
        <v>126</v>
      </c>
      <c r="B28" t="s">
        <v>24</v>
      </c>
      <c r="C28" t="s">
        <v>127</v>
      </c>
      <c r="D28" s="4" t="s">
        <v>128</v>
      </c>
      <c r="E28">
        <v>100</v>
      </c>
      <c r="F28" t="s">
        <v>27</v>
      </c>
      <c r="G28" s="3">
        <v>3490</v>
      </c>
      <c r="H28" s="3">
        <v>100</v>
      </c>
      <c r="I28" s="5">
        <v>349000</v>
      </c>
      <c r="J28" t="s">
        <v>129</v>
      </c>
      <c r="K28" s="3">
        <v>3465</v>
      </c>
      <c r="L28" s="3">
        <v>100</v>
      </c>
      <c r="M28" s="5">
        <v>346500</v>
      </c>
      <c r="N28" t="s">
        <v>130</v>
      </c>
      <c r="O28" s="3"/>
      <c r="P28" s="3"/>
      <c r="Q28" s="5"/>
      <c r="S28" s="3">
        <v>3900</v>
      </c>
      <c r="T28" s="3">
        <v>100</v>
      </c>
      <c r="U28" s="5">
        <v>390000</v>
      </c>
      <c r="V28" s="4" t="s">
        <v>131</v>
      </c>
    </row>
    <row r="29" spans="1:22" ht="30" x14ac:dyDescent="0.25">
      <c r="A29" t="s">
        <v>132</v>
      </c>
      <c r="B29" t="s">
        <v>24</v>
      </c>
      <c r="C29" t="s">
        <v>133</v>
      </c>
      <c r="D29" s="4" t="s">
        <v>134</v>
      </c>
      <c r="E29">
        <v>100</v>
      </c>
      <c r="F29" t="s">
        <v>27</v>
      </c>
      <c r="G29" s="3">
        <v>1200</v>
      </c>
      <c r="H29" s="3">
        <v>100</v>
      </c>
      <c r="I29" s="5">
        <v>120000</v>
      </c>
      <c r="J29" t="s">
        <v>135</v>
      </c>
      <c r="K29" s="3">
        <v>1490</v>
      </c>
      <c r="L29" s="3">
        <v>100</v>
      </c>
      <c r="M29" s="5">
        <v>149000</v>
      </c>
      <c r="N29" s="4" t="s">
        <v>136</v>
      </c>
      <c r="O29" s="3"/>
      <c r="P29" s="3"/>
      <c r="Q29" s="5"/>
      <c r="S29" s="3">
        <v>2300</v>
      </c>
      <c r="T29" s="3">
        <v>100</v>
      </c>
      <c r="U29" s="5">
        <v>230000</v>
      </c>
      <c r="V29" s="4" t="s">
        <v>137</v>
      </c>
    </row>
    <row r="30" spans="1:22" x14ac:dyDescent="0.25">
      <c r="C30" t="s">
        <v>138</v>
      </c>
      <c r="D30" s="4"/>
      <c r="G30" s="3"/>
      <c r="H30" s="3"/>
      <c r="I30" s="5">
        <f>SUBTOTAL(109,Table2[Total por renglón])</f>
        <v>8979350</v>
      </c>
      <c r="K30" s="3"/>
      <c r="L30" s="3"/>
      <c r="M30" s="5">
        <f>SUBTOTAL(109,Table3[Total por renglón])</f>
        <v>9369550</v>
      </c>
      <c r="N30" s="4"/>
      <c r="O30" s="3"/>
      <c r="P30" s="3"/>
      <c r="Q30" s="5">
        <f>SUBTOTAL(109,Table4[Total por renglón])</f>
        <v>2400000</v>
      </c>
      <c r="S30" s="3"/>
      <c r="T30" s="3"/>
      <c r="U30" s="5">
        <f>SUBTOTAL(109,Table5[Total por renglón])</f>
        <v>4949779</v>
      </c>
      <c r="V30" s="4"/>
    </row>
  </sheetData>
  <mergeCells count="5">
    <mergeCell ref="G8:J8"/>
    <mergeCell ref="K8:N8"/>
    <mergeCell ref="O8:R8"/>
    <mergeCell ref="S8:V8"/>
    <mergeCell ref="A8:F8"/>
  </mergeCells>
  <pageMargins left="0.75" right="0.75" top="0.75" bottom="0.5" header="0.5" footer="0.75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HERNAN OLIMA</cp:lastModifiedBy>
  <dcterms:created xsi:type="dcterms:W3CDTF">2022-09-23T18:40:47Z</dcterms:created>
  <dcterms:modified xsi:type="dcterms:W3CDTF">2022-09-26T11:43:06Z</dcterms:modified>
</cp:coreProperties>
</file>