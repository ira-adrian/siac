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heckCompatibility="1" defaultThemeVersion="124226"/>
  <bookViews>
    <workbookView xWindow="-105" yWindow="255" windowWidth="15600" windowHeight="11400" tabRatio="500" activeTab="2"/>
  </bookViews>
  <sheets>
    <sheet name="Necesidades Trimestrales" sheetId="1" r:id="rId1"/>
    <sheet name=" NotaPedido" sheetId="2" r:id="rId2"/>
    <sheet name="Autor Gastar" sheetId="3" r:id="rId3"/>
  </sheets>
  <externalReferences>
    <externalReference r:id="rId4"/>
  </externalReferences>
  <definedNames>
    <definedName name="_xlnm._FilterDatabase" localSheetId="0" hidden="1">'Necesidades Trimestrales'!$A$9:$H$47</definedName>
    <definedName name="_xlnm.Print_Area" localSheetId="1">' NotaPedido'!$A$1:$G$49</definedName>
    <definedName name="_xlnm.Print_Area" localSheetId="2">'Autor Gastar'!$A$1:$Q$26</definedName>
    <definedName name="_xlnm.Print_Area" localSheetId="0">'Necesidades Trimestrales'!$D$9:$D$25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3" i="2" l="1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12" i="2"/>
  <c r="F12" i="2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F50" i="2" l="1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D4" i="2" l="1"/>
  <c r="D3" i="2"/>
  <c r="C13" i="2" l="1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A10" i="3" l="1"/>
  <c r="B13" i="2" l="1"/>
  <c r="B14" i="2"/>
  <c r="B15" i="2"/>
  <c r="B16" i="2"/>
  <c r="B17" i="2"/>
  <c r="B18" i="2"/>
  <c r="B19" i="2"/>
  <c r="B20" i="2"/>
  <c r="B21" i="2"/>
  <c r="B49" i="2"/>
  <c r="E13" i="2"/>
  <c r="E14" i="2"/>
  <c r="E15" i="2"/>
  <c r="E16" i="2"/>
  <c r="E17" i="2"/>
  <c r="E18" i="2"/>
  <c r="E19" i="2"/>
  <c r="E20" i="2"/>
  <c r="E21" i="2"/>
  <c r="E49" i="2"/>
  <c r="D1" i="3" l="1"/>
  <c r="E12" i="2"/>
  <c r="C12" i="2"/>
  <c r="Q22" i="3" l="1"/>
</calcChain>
</file>

<file path=xl/sharedStrings.xml><?xml version="1.0" encoding="utf-8"?>
<sst xmlns="http://schemas.openxmlformats.org/spreadsheetml/2006/main" count="229" uniqueCount="110">
  <si>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</si>
  <si>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</si>
  <si>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</si>
  <si>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</si>
  <si>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</si>
  <si>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</si>
  <si>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</si>
  <si>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</si>
  <si>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</si>
  <si>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</si>
  <si>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</si>
  <si>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</si>
  <si>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</si>
  <si>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</si>
  <si>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</si>
  <si>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</si>
  <si>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</si>
  <si>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</si>
  <si>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</si>
  <si>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</si>
  <si>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</si>
  <si>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</si>
  <si>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</si>
  <si>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</si>
  <si>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</si>
  <si>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</si>
  <si>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</si>
  <si>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</si>
  <si>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</si>
  <si>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</si>
  <si>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</si>
  <si>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</si>
  <si>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</si>
  <si>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</si>
  <si>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</si>
  <si>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</si>
  <si>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</si>
  <si>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</si>
  <si>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</si>
  <si>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</si>
  <si>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</si>
  <si>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</si>
  <si>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</si>
  <si>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</si>
  <si>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</si>
  <si>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</si>
  <si>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</si>
  <si>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</si>
  <si>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</si>
  <si>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</si>
  <si>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</si>
  <si>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</si>
  <si>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</si>
  <si>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</si>
  <si>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</si>
  <si>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</si>
  <si>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>PROD. MEDICO/FARMACEUTICOS/LAB</t>
  </si>
  <si>
    <t>ALBUMINA 20% X 50 ML</t>
  </si>
  <si>
    <t>DEXAMETASONA 8 MG. AMPOLLA</t>
  </si>
  <si>
    <t xml:space="preserve">DICLOFENAC 75 MG. AMPOLLA </t>
  </si>
  <si>
    <t>ENOXAPARINA 40 MG AMPOLLA PRELLENA</t>
  </si>
  <si>
    <t>FENOBARBITAL 100 MG. AMPOLLAS</t>
  </si>
  <si>
    <t>GENTAMICINA 80 MG AMPOLLA</t>
  </si>
  <si>
    <t>HEPARINA SODICA 5000 UI FCO AMPOLLA</t>
  </si>
  <si>
    <t>METRONIDAZOL 500 MG SACHET</t>
  </si>
  <si>
    <t>MIDAZOLAM 15 MG AMPOLLA</t>
  </si>
  <si>
    <t>PARACETAMOL 100 ML FRASCO</t>
  </si>
  <si>
    <t>ALPRAZOLAM 1MG. COMP</t>
  </si>
  <si>
    <t>CLONAZEPAM 1MG COMP</t>
  </si>
  <si>
    <t>CLONAZEPAM 2MG COMP</t>
  </si>
  <si>
    <t>DIAZEPAN 10MG COMP</t>
  </si>
  <si>
    <t>DIAZEPAN 5MG COMP</t>
  </si>
  <si>
    <t>PREGABALINA 75 MG COMP</t>
  </si>
  <si>
    <t>VALPROATO DE MAGNESIO 400MG COMP</t>
  </si>
  <si>
    <t xml:space="preserve">ALUM, HIDR +MG.HIDR SUSP X 175 ML </t>
  </si>
  <si>
    <t>BACLOFENO 10 MG COMP</t>
  </si>
  <si>
    <t>CINCLOPENTOLATO 1% GOTAS X5ML</t>
  </si>
  <si>
    <t>COLISTINA F/A X2ML</t>
  </si>
  <si>
    <t>COTRIMOXAZOL 800/160MG COMP</t>
  </si>
  <si>
    <t>COTRIMOXAZOL AMP. I.V. x 5ML</t>
  </si>
  <si>
    <t>DOMPERIDONA GOTAS X 20ML</t>
  </si>
  <si>
    <t>DOPAMINA CLORH 100MG AMP X 5ML</t>
  </si>
  <si>
    <t>ESPIRONOLACTONA 100 MG COMP</t>
  </si>
  <si>
    <t>FENOBARBITAL 15 MG COMP</t>
  </si>
  <si>
    <t>FOTORRETIN SOL. OFT. ESTERIL X 5ML</t>
  </si>
  <si>
    <t>HIOSCINA BULTIBROMURO 20 MG AMP. X1 ML</t>
  </si>
  <si>
    <t>INSULINA CORRIENTE 100 UI F/A X 10ML</t>
  </si>
  <si>
    <t>METOCLOPRAMIDA 10MG AMP X 1X 2ML</t>
  </si>
  <si>
    <t>METRONIDAZOL 500MG COMP</t>
  </si>
  <si>
    <t>MORFINA CLORH 1% AMP X 1ML</t>
  </si>
  <si>
    <t>OMEPRAZOL 4MG FCO/AMP</t>
  </si>
  <si>
    <t>PROPARACAINA COL. X 10ML</t>
  </si>
  <si>
    <t>RESINA COLOFON/ADHESOLX92ML</t>
  </si>
  <si>
    <t>RIFAMPICINA 600MG F/A</t>
  </si>
  <si>
    <t>VALPROICO ACIDO 500 MG X 5ML AMP X 1</t>
  </si>
  <si>
    <t>COSTO TOTAL ESTIMADO</t>
  </si>
  <si>
    <t>Servicio de Farmacia</t>
  </si>
  <si>
    <t xml:space="preserve">Adquisición de Medicamentos </t>
  </si>
  <si>
    <t>Productos Farmaceuticos y Medicinales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</si>
  <si>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</si>
  <si>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</si>
  <si>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7 días de notificada la Orden de Compra</t>
    </r>
  </si>
  <si>
    <t xml:space="preserve">45 dias habiles </t>
  </si>
  <si>
    <t>Servicio De Farmacia</t>
  </si>
  <si>
    <t>Mantenimiento de Oferta:</t>
  </si>
  <si>
    <t>011/2021</t>
  </si>
  <si>
    <t>1er TRIMESTRE - 2021</t>
  </si>
  <si>
    <r>
      <rPr>
        <u/>
        <sz val="10"/>
        <rFont val="Times New Roman"/>
        <family val="1"/>
      </rPr>
      <t>Plazo de vencimiento de los bienes ofrecidos:</t>
    </r>
    <r>
      <rPr>
        <sz val="10"/>
        <rFont val="Times New Roman"/>
        <family val="1"/>
      </rPr>
      <t xml:space="preserve"> No podrán ser inferior a los 18 meses.</t>
    </r>
  </si>
  <si>
    <t>TOTAL DE PESOS: ONCE MILLONES TRESCIENTOS SETENTA Y SIETE MIL TRESCIENTOS DIECISEIS CON 00/100.</t>
  </si>
  <si>
    <t>Para la adquisición de Medicamentos Criticos destinados al servico de Farmacia del Hospital Interzonal de Niños Eva Peron, para el normal funcionamiento del organismo.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</si>
</sst>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 [$$-2C0A]\ * #,##0.00_ ;_ [$$-2C0A]\ * \-#,##0.00_ ;_ [$$-2C0A]\ * &quot;-&quot;??_ ;_ @_ "/>
  </numFmts>
  <fonts count="26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name val="Calibri"/>
      <family val="2"/>
      <scheme val="minor"/>
    </font>
    <font>
      <b/>
      <sz val="10"/>
      <name val="Arial"/>
      <family val="2"/>
    </font>
    <font>
      <u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45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5" xfId="0" applyBorder="1"/>
    <xf numFmtId="0" fontId="0" fillId="0" borderId="20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1" xfId="0" applyBorder="1"/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4" xfId="0" applyFont="1" applyBorder="1" applyAlignment="1">
      <alignment horizontal="left" vertical="center"/>
    </xf>
    <xf numFmtId="0" fontId="13" fillId="0" borderId="25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166" fontId="0" fillId="0" borderId="29" xfId="3" applyNumberFormat="1" applyFont="1" applyBorder="1" applyAlignment="1" applyProtection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6" fontId="0" fillId="0" borderId="38" xfId="3" applyNumberFormat="1" applyFont="1" applyBorder="1" applyAlignment="1" applyProtection="1">
      <alignment horizontal="center" vertical="center"/>
    </xf>
    <xf numFmtId="166" fontId="13" fillId="0" borderId="39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20" fillId="0" borderId="43" xfId="0" applyFont="1" applyBorder="1" applyAlignment="1">
      <alignment horizontal="center" vertical="center"/>
    </xf>
    <xf numFmtId="0" fontId="19" fillId="0" borderId="45" xfId="0" applyFont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0" fillId="0" borderId="47" xfId="0" applyBorder="1"/>
    <xf numFmtId="0" fontId="5" fillId="3" borderId="5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7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4" fillId="3" borderId="48" xfId="0" applyFont="1" applyFill="1" applyBorder="1" applyAlignment="1">
      <alignment horizontal="center" vertical="center"/>
    </xf>
    <xf numFmtId="0" fontId="4" fillId="3" borderId="48" xfId="0" applyFont="1" applyFill="1" applyBorder="1" applyAlignment="1">
      <alignment horizontal="left" vertical="center"/>
    </xf>
    <xf numFmtId="0" fontId="4" fillId="4" borderId="48" xfId="0" applyFont="1" applyFill="1" applyBorder="1" applyAlignment="1">
      <alignment horizontal="center" vertical="center"/>
    </xf>
    <xf numFmtId="0" fontId="4" fillId="3" borderId="48" xfId="0" applyFont="1" applyFill="1" applyBorder="1" applyAlignment="1">
      <alignment horizontal="center" vertical="center" wrapText="1"/>
    </xf>
    <xf numFmtId="166" fontId="4" fillId="3" borderId="48" xfId="1" applyNumberFormat="1" applyFont="1" applyFill="1" applyBorder="1" applyAlignment="1" applyProtection="1">
      <alignment horizontal="right" vertical="center" wrapText="1"/>
    </xf>
    <xf numFmtId="3" fontId="4" fillId="3" borderId="48" xfId="0" applyNumberFormat="1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left" vertical="center"/>
    </xf>
    <xf numFmtId="0" fontId="4" fillId="4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 wrapText="1"/>
    </xf>
    <xf numFmtId="0" fontId="22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166" fontId="20" fillId="4" borderId="4" xfId="1" applyNumberFormat="1" applyFont="1" applyFill="1" applyBorder="1" applyAlignment="1" applyProtection="1">
      <alignment horizontal="right" vertical="center" wrapText="1"/>
    </xf>
    <xf numFmtId="0" fontId="0" fillId="4" borderId="26" xfId="0" applyFont="1" applyFill="1" applyBorder="1" applyAlignment="1">
      <alignment horizontal="center" vertical="center"/>
    </xf>
    <xf numFmtId="0" fontId="0" fillId="4" borderId="27" xfId="0" applyFont="1" applyFill="1" applyBorder="1" applyAlignment="1">
      <alignment horizontal="center" vertical="center"/>
    </xf>
    <xf numFmtId="0" fontId="0" fillId="3" borderId="27" xfId="0" applyFont="1" applyFill="1" applyBorder="1" applyAlignment="1">
      <alignment horizontal="center" vertical="center"/>
    </xf>
    <xf numFmtId="0" fontId="0" fillId="4" borderId="28" xfId="0" applyFont="1" applyFill="1" applyBorder="1" applyAlignment="1">
      <alignment horizontal="center" vertical="center"/>
    </xf>
    <xf numFmtId="0" fontId="14" fillId="4" borderId="27" xfId="0" applyFont="1" applyFill="1" applyBorder="1" applyAlignment="1">
      <alignment horizontal="center" vertical="center"/>
    </xf>
    <xf numFmtId="0" fontId="21" fillId="4" borderId="47" xfId="0" applyFont="1" applyFill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0" fillId="0" borderId="47" xfId="0" applyBorder="1" applyAlignment="1"/>
    <xf numFmtId="0" fontId="23" fillId="3" borderId="47" xfId="0" applyFont="1" applyFill="1" applyBorder="1" applyAlignment="1">
      <alignment vertical="center" wrapText="1"/>
    </xf>
    <xf numFmtId="0" fontId="25" fillId="0" borderId="52" xfId="0" applyFont="1" applyBorder="1" applyAlignment="1">
      <alignment horizontal="left" indent="3"/>
    </xf>
    <xf numFmtId="0" fontId="15" fillId="0" borderId="53" xfId="0" applyFont="1" applyBorder="1"/>
    <xf numFmtId="0" fontId="15" fillId="0" borderId="54" xfId="0" applyFont="1" applyBorder="1"/>
    <xf numFmtId="0" fontId="25" fillId="0" borderId="55" xfId="0" applyFont="1" applyBorder="1" applyAlignment="1"/>
    <xf numFmtId="0" fontId="15" fillId="0" borderId="0" xfId="0" applyFont="1" applyBorder="1" applyAlignment="1">
      <alignment horizontal="center" wrapText="1"/>
    </xf>
    <xf numFmtId="0" fontId="15" fillId="0" borderId="0" xfId="0" applyFont="1" applyFill="1" applyBorder="1" applyAlignment="1">
      <alignment horizontal="center" wrapText="1"/>
    </xf>
    <xf numFmtId="0" fontId="15" fillId="0" borderId="56" xfId="0" applyFont="1" applyBorder="1" applyAlignment="1">
      <alignment horizontal="center" wrapText="1"/>
    </xf>
    <xf numFmtId="0" fontId="15" fillId="0" borderId="55" xfId="0" applyFont="1" applyBorder="1" applyAlignment="1">
      <alignment horizontal="left" indent="3"/>
    </xf>
    <xf numFmtId="0" fontId="15" fillId="0" borderId="57" xfId="0" applyFont="1" applyBorder="1" applyAlignment="1">
      <alignment horizontal="left" indent="3"/>
    </xf>
    <xf numFmtId="0" fontId="15" fillId="0" borderId="58" xfId="0" applyFont="1" applyBorder="1"/>
    <xf numFmtId="0" fontId="15" fillId="0" borderId="59" xfId="0" applyFont="1" applyBorder="1"/>
    <xf numFmtId="169" fontId="14" fillId="0" borderId="0" xfId="1" applyNumberFormat="1" applyFill="1"/>
    <xf numFmtId="169" fontId="14" fillId="0" borderId="2" xfId="1" applyNumberFormat="1" applyFill="1" applyBorder="1"/>
    <xf numFmtId="169" fontId="14" fillId="0" borderId="3" xfId="1" applyNumberFormat="1" applyFill="1" applyBorder="1" applyProtection="1"/>
    <xf numFmtId="169" fontId="14" fillId="0" borderId="44" xfId="1" applyNumberFormat="1" applyFill="1" applyBorder="1" applyProtection="1"/>
    <xf numFmtId="169" fontId="14" fillId="0" borderId="49" xfId="1" applyNumberFormat="1" applyFill="1" applyBorder="1" applyProtection="1"/>
    <xf numFmtId="169" fontId="14" fillId="0" borderId="47" xfId="1" applyNumberFormat="1" applyFill="1" applyBorder="1" applyProtection="1"/>
    <xf numFmtId="0" fontId="15" fillId="0" borderId="0" xfId="0" applyFont="1" applyFill="1"/>
    <xf numFmtId="167" fontId="2" fillId="3" borderId="0" xfId="0" applyNumberFormat="1" applyFont="1" applyFill="1" applyBorder="1" applyAlignment="1">
      <alignment vertical="center"/>
    </xf>
    <xf numFmtId="166" fontId="0" fillId="0" borderId="0" xfId="0" applyNumberFormat="1"/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21" fillId="4" borderId="3" xfId="0" applyFont="1" applyFill="1" applyBorder="1" applyAlignment="1">
      <alignment horizontal="center" vertical="center" wrapText="1"/>
    </xf>
    <xf numFmtId="0" fontId="21" fillId="4" borderId="44" xfId="0" applyFont="1" applyFill="1" applyBorder="1" applyAlignment="1">
      <alignment horizontal="center" vertical="center" wrapText="1"/>
    </xf>
    <xf numFmtId="0" fontId="21" fillId="4" borderId="49" xfId="0" applyFont="1" applyFill="1" applyBorder="1" applyAlignment="1">
      <alignment horizontal="center" vertical="center" wrapText="1"/>
    </xf>
    <xf numFmtId="0" fontId="21" fillId="4" borderId="47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6" fillId="0" borderId="6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2" fillId="4" borderId="0" xfId="0" applyFont="1" applyFill="1" applyBorder="1" applyAlignment="1">
      <alignment horizontal="left" wrapText="1" indent="1"/>
    </xf>
    <xf numFmtId="0" fontId="15" fillId="4" borderId="55" xfId="5" applyFont="1" applyFill="1" applyBorder="1" applyAlignment="1">
      <alignment horizontal="left" wrapText="1"/>
    </xf>
    <xf numFmtId="0" fontId="15" fillId="4" borderId="0" xfId="5" applyFont="1" applyFill="1" applyBorder="1" applyAlignment="1">
      <alignment horizontal="left" wrapText="1"/>
    </xf>
    <xf numFmtId="0" fontId="15" fillId="4" borderId="56" xfId="5" applyFont="1" applyFill="1" applyBorder="1" applyAlignment="1">
      <alignment horizontal="left" wrapText="1"/>
    </xf>
    <xf numFmtId="0" fontId="15" fillId="4" borderId="56" xfId="0" applyFont="1" applyFill="1" applyBorder="1" applyAlignment="1">
      <alignment horizontal="left" wrapText="1"/>
    </xf>
    <xf numFmtId="0" fontId="5" fillId="3" borderId="0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 wrapText="1"/>
    </xf>
    <xf numFmtId="0" fontId="6" fillId="3" borderId="15" xfId="0" applyFont="1" applyFill="1" applyBorder="1" applyAlignment="1">
      <alignment horizontal="left" vertical="center" wrapText="1"/>
    </xf>
    <xf numFmtId="0" fontId="6" fillId="3" borderId="51" xfId="0" applyFont="1" applyFill="1" applyBorder="1" applyAlignment="1">
      <alignment horizontal="left" vertical="center" wrapText="1"/>
    </xf>
    <xf numFmtId="0" fontId="6" fillId="3" borderId="16" xfId="0" applyFont="1" applyFill="1" applyBorder="1" applyAlignment="1">
      <alignment horizontal="left" vertical="center" wrapText="1"/>
    </xf>
    <xf numFmtId="0" fontId="24" fillId="3" borderId="15" xfId="0" applyFont="1" applyFill="1" applyBorder="1" applyAlignment="1">
      <alignment horizontal="left" vertical="center"/>
    </xf>
    <xf numFmtId="0" fontId="24" fillId="3" borderId="51" xfId="0" applyFont="1" applyFill="1" applyBorder="1" applyAlignment="1">
      <alignment horizontal="left" vertical="center"/>
    </xf>
    <xf numFmtId="167" fontId="7" fillId="3" borderId="9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left" vertical="center" wrapText="1" indent="1"/>
    </xf>
    <xf numFmtId="0" fontId="6" fillId="4" borderId="12" xfId="0" applyFont="1" applyFill="1" applyBorder="1" applyAlignment="1">
      <alignment horizontal="left" vertical="center" wrapText="1" indent="1"/>
    </xf>
    <xf numFmtId="0" fontId="7" fillId="3" borderId="11" xfId="0" applyFont="1" applyFill="1" applyBorder="1" applyAlignment="1">
      <alignment horizontal="left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vertical="center" wrapText="1"/>
    </xf>
    <xf numFmtId="0" fontId="9" fillId="0" borderId="40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11" fillId="0" borderId="22" xfId="0" applyFont="1" applyBorder="1" applyAlignment="1">
      <alignment vertical="center" wrapText="1"/>
    </xf>
    <xf numFmtId="0" fontId="11" fillId="4" borderId="39" xfId="0" applyFont="1" applyFill="1" applyBorder="1" applyAlignment="1">
      <alignment horizontal="left" vertical="center" wrapText="1" indent="1"/>
    </xf>
    <xf numFmtId="0" fontId="0" fillId="0" borderId="33" xfId="0" applyFont="1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9" fillId="0" borderId="39" xfId="0" applyFont="1" applyBorder="1" applyAlignment="1">
      <alignment horizontal="left" vertical="center" wrapText="1"/>
    </xf>
    <xf numFmtId="0" fontId="0" fillId="0" borderId="17" xfId="0" applyBorder="1"/>
    <xf numFmtId="0" fontId="14" fillId="0" borderId="27" xfId="0" applyFont="1" applyBorder="1" applyAlignment="1">
      <alignment horizontal="left" vertical="center" wrapText="1"/>
    </xf>
    <xf numFmtId="0" fontId="0" fillId="0" borderId="27" xfId="0" applyFont="1" applyBorder="1" applyAlignment="1">
      <alignment horizontal="left" vertical="center" wrapText="1"/>
    </xf>
    <xf numFmtId="0" fontId="11" fillId="0" borderId="18" xfId="0" applyFont="1" applyBorder="1"/>
    <xf numFmtId="0" fontId="11" fillId="0" borderId="19" xfId="0" applyFont="1" applyBorder="1" applyAlignment="1">
      <alignment horizontal="left" vertical="center" wrapText="1" indent="1"/>
    </xf>
    <xf numFmtId="0" fontId="13" fillId="0" borderId="17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4" fillId="0" borderId="41" xfId="0" applyFont="1" applyBorder="1" applyAlignment="1">
      <alignment horizontal="left" vertical="center" wrapText="1"/>
    </xf>
    <xf numFmtId="0" fontId="4" fillId="0" borderId="42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indent="1"/>
    </xf>
    <xf numFmtId="0" fontId="12" fillId="0" borderId="6" xfId="0" applyFont="1" applyBorder="1" applyAlignment="1">
      <alignment horizontal="left"/>
    </xf>
    <xf numFmtId="0" fontId="0" fillId="0" borderId="15" xfId="0" applyFont="1" applyBorder="1" applyAlignment="1">
      <alignment horizontal="center"/>
    </xf>
    <xf numFmtId="3" fontId="9" fillId="0" borderId="16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 wrapText="1"/>
    </xf>
    <xf numFmtId="0" fontId="2" fillId="0" borderId="6" xfId="0" applyFont="1" applyBorder="1"/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uario\descargas\pedido\PEDIDO%20medicamentos%20caidos%20-%20SAF%2024%20-%203&#186;%20TRIMEST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4">
          <cell r="C4" t="str">
            <v>040 - Ministerio de Salud</v>
          </cell>
        </row>
        <row r="5">
          <cell r="C5" t="str">
            <v>024 - Hospital Interzonal de Niños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58"/>
  <sheetViews>
    <sheetView zoomScaleNormal="100" workbookViewId="0">
      <selection activeCell="D6" sqref="D6"/>
    </sheetView>
  </sheetViews>
  <sheetFormatPr baseColWidth="10" defaultColWidth="11" defaultRowHeight="12.75" x14ac:dyDescent="0.2"/>
  <cols>
    <col min="1" max="1" width="4.5703125" style="32" customWidth="1"/>
    <col min="2" max="2" width="14" style="32" customWidth="1"/>
    <col min="3" max="3" width="13.28515625" style="32" customWidth="1"/>
    <col min="4" max="4" width="52.5703125" style="32" customWidth="1"/>
    <col min="5" max="5" width="11" style="32" customWidth="1"/>
    <col min="6" max="6" width="10.42578125" style="88" bestFit="1" customWidth="1"/>
    <col min="7" max="7" width="13.85546875" style="79" customWidth="1"/>
    <col min="8" max="8" width="18.5703125" style="32" customWidth="1"/>
    <col min="9" max="16384" width="11" style="32"/>
  </cols>
  <sheetData>
    <row r="2" spans="1:8" ht="27" x14ac:dyDescent="0.35">
      <c r="B2" s="96" t="s">
        <v>0</v>
      </c>
      <c r="C2" s="96"/>
      <c r="D2" s="96"/>
      <c r="E2" s="96"/>
      <c r="F2" s="96"/>
      <c r="G2" s="96"/>
    </row>
    <row r="3" spans="1:8" ht="12" customHeight="1" x14ac:dyDescent="0.2"/>
    <row r="4" spans="1:8" ht="18" customHeight="1" x14ac:dyDescent="0.25">
      <c r="A4" s="97" t="s">
        <v>1</v>
      </c>
      <c r="B4" s="97"/>
      <c r="C4" s="98" t="s">
        <v>53</v>
      </c>
      <c r="D4" s="98"/>
      <c r="E4" s="33"/>
      <c r="F4" s="89"/>
    </row>
    <row r="5" spans="1:8" ht="18" customHeight="1" x14ac:dyDescent="0.25">
      <c r="A5" s="97" t="s">
        <v>2</v>
      </c>
      <c r="B5" s="97"/>
      <c r="C5" s="98" t="s">
        <v>52</v>
      </c>
      <c r="D5" s="98"/>
      <c r="E5" s="33"/>
      <c r="F5" s="89"/>
    </row>
    <row r="6" spans="1:8" ht="16.5" customHeight="1" x14ac:dyDescent="0.25">
      <c r="A6" s="97" t="s">
        <v>3</v>
      </c>
      <c r="B6" s="97"/>
      <c r="C6" s="56">
        <v>2021</v>
      </c>
      <c r="D6" s="57"/>
      <c r="E6" s="33"/>
      <c r="F6" s="89"/>
    </row>
    <row r="7" spans="1:8" ht="16.5" customHeight="1" x14ac:dyDescent="0.25">
      <c r="A7" s="97" t="s">
        <v>4</v>
      </c>
      <c r="B7" s="97"/>
      <c r="C7" s="56">
        <v>1</v>
      </c>
      <c r="D7" s="57"/>
      <c r="E7" s="33"/>
      <c r="F7" s="89"/>
    </row>
    <row r="8" spans="1:8" ht="13.5" thickBot="1" x14ac:dyDescent="0.25">
      <c r="B8" s="33"/>
      <c r="C8" s="34"/>
      <c r="D8" s="33"/>
      <c r="E8" s="33"/>
      <c r="F8" s="89"/>
    </row>
    <row r="9" spans="1:8" ht="27" thickTop="1" thickBot="1" x14ac:dyDescent="0.25">
      <c r="A9" s="37" t="s">
        <v>5</v>
      </c>
      <c r="B9" s="35" t="s">
        <v>6</v>
      </c>
      <c r="C9" s="35" t="s">
        <v>7</v>
      </c>
      <c r="D9" s="65" t="s">
        <v>8</v>
      </c>
      <c r="E9" s="38" t="s">
        <v>9</v>
      </c>
      <c r="F9" s="35" t="s">
        <v>10</v>
      </c>
      <c r="G9" s="80" t="s">
        <v>11</v>
      </c>
      <c r="H9" s="35" t="s">
        <v>12</v>
      </c>
    </row>
    <row r="10" spans="1:8" ht="16.5" thickTop="1" thickBot="1" x14ac:dyDescent="0.25">
      <c r="A10" s="36">
        <v>1</v>
      </c>
      <c r="B10" s="39">
        <v>252</v>
      </c>
      <c r="C10" s="39" t="s">
        <v>56</v>
      </c>
      <c r="D10" s="67" t="s">
        <v>57</v>
      </c>
      <c r="E10" s="64" t="s">
        <v>13</v>
      </c>
      <c r="F10" s="90">
        <v>200</v>
      </c>
      <c r="G10" s="81">
        <v>30</v>
      </c>
      <c r="H10" s="58">
        <f>+F10*G10</f>
        <v>6000</v>
      </c>
    </row>
    <row r="11" spans="1:8" ht="15.75" thickBot="1" x14ac:dyDescent="0.25">
      <c r="A11" s="36">
        <v>2</v>
      </c>
      <c r="B11" s="39">
        <v>252</v>
      </c>
      <c r="C11" s="39" t="s">
        <v>56</v>
      </c>
      <c r="D11" s="67" t="s">
        <v>58</v>
      </c>
      <c r="E11" s="64" t="s">
        <v>13</v>
      </c>
      <c r="F11" s="91">
        <v>4000</v>
      </c>
      <c r="G11" s="82">
        <v>82</v>
      </c>
      <c r="H11" s="58">
        <f t="shared" ref="H11:H47" si="0">+F11*G11</f>
        <v>328000</v>
      </c>
    </row>
    <row r="12" spans="1:8" ht="15.75" thickBot="1" x14ac:dyDescent="0.25">
      <c r="A12" s="36">
        <v>3</v>
      </c>
      <c r="B12" s="39">
        <v>252</v>
      </c>
      <c r="C12" s="39" t="s">
        <v>56</v>
      </c>
      <c r="D12" s="67" t="s">
        <v>59</v>
      </c>
      <c r="E12" s="64" t="s">
        <v>13</v>
      </c>
      <c r="F12" s="91">
        <v>3000</v>
      </c>
      <c r="G12" s="82">
        <v>220</v>
      </c>
      <c r="H12" s="58">
        <f t="shared" si="0"/>
        <v>660000</v>
      </c>
    </row>
    <row r="13" spans="1:8" ht="15.75" thickBot="1" x14ac:dyDescent="0.25">
      <c r="A13" s="36">
        <v>4</v>
      </c>
      <c r="B13" s="39">
        <v>252</v>
      </c>
      <c r="C13" s="39" t="s">
        <v>56</v>
      </c>
      <c r="D13" s="67" t="s">
        <v>60</v>
      </c>
      <c r="E13" s="64" t="s">
        <v>13</v>
      </c>
      <c r="F13" s="91">
        <v>200</v>
      </c>
      <c r="G13" s="82">
        <v>43</v>
      </c>
      <c r="H13" s="58">
        <f t="shared" si="0"/>
        <v>8600</v>
      </c>
    </row>
    <row r="14" spans="1:8" ht="15.75" thickBot="1" x14ac:dyDescent="0.25">
      <c r="A14" s="36">
        <v>5</v>
      </c>
      <c r="B14" s="39">
        <v>252</v>
      </c>
      <c r="C14" s="39" t="s">
        <v>56</v>
      </c>
      <c r="D14" s="67" t="s">
        <v>61</v>
      </c>
      <c r="E14" s="64" t="s">
        <v>13</v>
      </c>
      <c r="F14" s="91">
        <v>500</v>
      </c>
      <c r="G14" s="82">
        <v>79</v>
      </c>
      <c r="H14" s="58">
        <f t="shared" si="0"/>
        <v>39500</v>
      </c>
    </row>
    <row r="15" spans="1:8" ht="15.75" thickBot="1" x14ac:dyDescent="0.25">
      <c r="A15" s="36">
        <v>6</v>
      </c>
      <c r="B15" s="39">
        <v>252</v>
      </c>
      <c r="C15" s="39" t="s">
        <v>56</v>
      </c>
      <c r="D15" s="67" t="s">
        <v>62</v>
      </c>
      <c r="E15" s="64" t="s">
        <v>13</v>
      </c>
      <c r="F15" s="91">
        <v>300</v>
      </c>
      <c r="G15" s="82">
        <v>102</v>
      </c>
      <c r="H15" s="58">
        <f t="shared" si="0"/>
        <v>30600</v>
      </c>
    </row>
    <row r="16" spans="1:8" ht="15.75" thickBot="1" x14ac:dyDescent="0.25">
      <c r="A16" s="36">
        <v>7</v>
      </c>
      <c r="B16" s="39">
        <v>252</v>
      </c>
      <c r="C16" s="39" t="s">
        <v>56</v>
      </c>
      <c r="D16" s="67" t="s">
        <v>63</v>
      </c>
      <c r="E16" s="64" t="s">
        <v>13</v>
      </c>
      <c r="F16" s="64">
        <v>300</v>
      </c>
      <c r="G16" s="82">
        <v>315</v>
      </c>
      <c r="H16" s="58">
        <f t="shared" si="0"/>
        <v>94500</v>
      </c>
    </row>
    <row r="17" spans="1:8" ht="15.75" thickBot="1" x14ac:dyDescent="0.25">
      <c r="A17" s="36">
        <v>8</v>
      </c>
      <c r="B17" s="39">
        <v>252</v>
      </c>
      <c r="C17" s="39" t="s">
        <v>56</v>
      </c>
      <c r="D17" s="67" t="s">
        <v>64</v>
      </c>
      <c r="E17" s="64" t="s">
        <v>13</v>
      </c>
      <c r="F17" s="64">
        <v>1500</v>
      </c>
      <c r="G17" s="82">
        <v>980</v>
      </c>
      <c r="H17" s="58">
        <f t="shared" si="0"/>
        <v>1470000</v>
      </c>
    </row>
    <row r="18" spans="1:8" ht="15.75" thickBot="1" x14ac:dyDescent="0.25">
      <c r="A18" s="36">
        <v>9</v>
      </c>
      <c r="B18" s="39">
        <v>252</v>
      </c>
      <c r="C18" s="39" t="s">
        <v>56</v>
      </c>
      <c r="D18" s="67" t="s">
        <v>65</v>
      </c>
      <c r="E18" s="64" t="s">
        <v>13</v>
      </c>
      <c r="F18" s="64">
        <v>2000</v>
      </c>
      <c r="G18" s="82">
        <v>3800</v>
      </c>
      <c r="H18" s="58">
        <f t="shared" si="0"/>
        <v>7600000</v>
      </c>
    </row>
    <row r="19" spans="1:8" ht="15.75" thickBot="1" x14ac:dyDescent="0.25">
      <c r="A19" s="36">
        <v>10</v>
      </c>
      <c r="B19" s="39">
        <v>252</v>
      </c>
      <c r="C19" s="39" t="s">
        <v>56</v>
      </c>
      <c r="D19" s="67" t="s">
        <v>66</v>
      </c>
      <c r="E19" s="64" t="s">
        <v>13</v>
      </c>
      <c r="F19" s="64">
        <v>30</v>
      </c>
      <c r="G19" s="82">
        <v>580</v>
      </c>
      <c r="H19" s="58">
        <f t="shared" si="0"/>
        <v>17400</v>
      </c>
    </row>
    <row r="20" spans="1:8" ht="15.75" thickBot="1" x14ac:dyDescent="0.25">
      <c r="A20" s="36">
        <v>11</v>
      </c>
      <c r="B20" s="39">
        <v>252</v>
      </c>
      <c r="C20" t="s">
        <v>56</v>
      </c>
      <c r="D20" s="67" t="s">
        <v>67</v>
      </c>
      <c r="E20" s="64" t="s">
        <v>13</v>
      </c>
      <c r="F20" s="92">
        <v>500</v>
      </c>
      <c r="G20" s="83">
        <v>4.75</v>
      </c>
      <c r="H20" s="58">
        <f t="shared" si="0"/>
        <v>2375</v>
      </c>
    </row>
    <row r="21" spans="1:8" ht="15.75" thickBot="1" x14ac:dyDescent="0.25">
      <c r="A21" s="36">
        <v>12</v>
      </c>
      <c r="B21" s="39">
        <v>252</v>
      </c>
      <c r="C21" s="66" t="s">
        <v>56</v>
      </c>
      <c r="D21" s="67" t="s">
        <v>68</v>
      </c>
      <c r="E21" s="64" t="s">
        <v>13</v>
      </c>
      <c r="F21" s="93">
        <v>500</v>
      </c>
      <c r="G21" s="84">
        <v>9.9700000000000006</v>
      </c>
      <c r="H21" s="58">
        <f t="shared" si="0"/>
        <v>4985</v>
      </c>
    </row>
    <row r="22" spans="1:8" ht="15.75" thickBot="1" x14ac:dyDescent="0.25">
      <c r="A22" s="36">
        <v>13</v>
      </c>
      <c r="B22" s="39">
        <v>252</v>
      </c>
      <c r="C22" s="66" t="s">
        <v>56</v>
      </c>
      <c r="D22" s="67" t="s">
        <v>69</v>
      </c>
      <c r="E22" s="64" t="s">
        <v>13</v>
      </c>
      <c r="F22" s="93">
        <v>500</v>
      </c>
      <c r="G22" s="84">
        <v>4.9800000000000004</v>
      </c>
      <c r="H22" s="58">
        <f t="shared" si="0"/>
        <v>2490</v>
      </c>
    </row>
    <row r="23" spans="1:8" ht="15.75" thickBot="1" x14ac:dyDescent="0.25">
      <c r="A23" s="36">
        <v>14</v>
      </c>
      <c r="B23" s="39">
        <v>252</v>
      </c>
      <c r="C23" s="66" t="s">
        <v>56</v>
      </c>
      <c r="D23" s="67" t="s">
        <v>70</v>
      </c>
      <c r="E23" s="64" t="s">
        <v>13</v>
      </c>
      <c r="F23" s="93">
        <v>1500</v>
      </c>
      <c r="G23" s="84">
        <v>6.46</v>
      </c>
      <c r="H23" s="58">
        <f t="shared" si="0"/>
        <v>9690</v>
      </c>
    </row>
    <row r="24" spans="1:8" ht="15.75" thickBot="1" x14ac:dyDescent="0.25">
      <c r="A24" s="36">
        <v>15</v>
      </c>
      <c r="B24" s="39">
        <v>252</v>
      </c>
      <c r="C24" s="66" t="s">
        <v>56</v>
      </c>
      <c r="D24" s="67" t="s">
        <v>71</v>
      </c>
      <c r="E24" s="64" t="s">
        <v>13</v>
      </c>
      <c r="F24" s="93">
        <v>1000</v>
      </c>
      <c r="G24" s="84">
        <v>8.15</v>
      </c>
      <c r="H24" s="58">
        <f t="shared" si="0"/>
        <v>8150</v>
      </c>
    </row>
    <row r="25" spans="1:8" ht="15.75" thickBot="1" x14ac:dyDescent="0.25">
      <c r="A25" s="36">
        <v>16</v>
      </c>
      <c r="B25" s="39">
        <v>252</v>
      </c>
      <c r="C25" s="66" t="s">
        <v>56</v>
      </c>
      <c r="D25" s="67" t="s">
        <v>72</v>
      </c>
      <c r="E25" s="64" t="s">
        <v>13</v>
      </c>
      <c r="F25" s="93">
        <v>300</v>
      </c>
      <c r="G25" s="84">
        <v>27.54</v>
      </c>
      <c r="H25" s="58">
        <f t="shared" si="0"/>
        <v>8262</v>
      </c>
    </row>
    <row r="26" spans="1:8" ht="15.75" thickBot="1" x14ac:dyDescent="0.25">
      <c r="A26" s="36">
        <v>17</v>
      </c>
      <c r="B26" s="39">
        <v>252</v>
      </c>
      <c r="C26" s="66" t="s">
        <v>56</v>
      </c>
      <c r="D26" s="67" t="s">
        <v>73</v>
      </c>
      <c r="E26" s="64" t="s">
        <v>13</v>
      </c>
      <c r="F26" s="93">
        <v>300</v>
      </c>
      <c r="G26" s="84">
        <v>94.65</v>
      </c>
      <c r="H26" s="58">
        <f t="shared" si="0"/>
        <v>28395</v>
      </c>
    </row>
    <row r="27" spans="1:8" ht="15.75" thickBot="1" x14ac:dyDescent="0.25">
      <c r="A27" s="36">
        <v>18</v>
      </c>
      <c r="B27" s="39">
        <v>252</v>
      </c>
      <c r="C27" s="66" t="s">
        <v>56</v>
      </c>
      <c r="D27" s="67" t="s">
        <v>74</v>
      </c>
      <c r="E27" s="64" t="s">
        <v>13</v>
      </c>
      <c r="F27" s="93">
        <v>200</v>
      </c>
      <c r="G27" s="84">
        <v>700.76</v>
      </c>
      <c r="H27" s="58">
        <f t="shared" si="0"/>
        <v>140152</v>
      </c>
    </row>
    <row r="28" spans="1:8" ht="15.75" thickBot="1" x14ac:dyDescent="0.25">
      <c r="A28" s="36">
        <v>19</v>
      </c>
      <c r="B28" s="39">
        <v>252</v>
      </c>
      <c r="C28" s="66" t="s">
        <v>56</v>
      </c>
      <c r="D28" s="67" t="s">
        <v>75</v>
      </c>
      <c r="E28" s="64" t="s">
        <v>13</v>
      </c>
      <c r="F28" s="93">
        <v>1000</v>
      </c>
      <c r="G28" s="84">
        <v>7.2</v>
      </c>
      <c r="H28" s="58">
        <f t="shared" si="0"/>
        <v>7200</v>
      </c>
    </row>
    <row r="29" spans="1:8" ht="15.75" thickBot="1" x14ac:dyDescent="0.25">
      <c r="A29" s="36">
        <v>20</v>
      </c>
      <c r="B29" s="39">
        <v>252</v>
      </c>
      <c r="C29" s="66" t="s">
        <v>56</v>
      </c>
      <c r="D29" s="67" t="s">
        <v>76</v>
      </c>
      <c r="E29" s="64" t="s">
        <v>13</v>
      </c>
      <c r="F29" s="93">
        <v>50</v>
      </c>
      <c r="G29" s="84">
        <v>524</v>
      </c>
      <c r="H29" s="58">
        <f t="shared" si="0"/>
        <v>26200</v>
      </c>
    </row>
    <row r="30" spans="1:8" ht="15.75" thickBot="1" x14ac:dyDescent="0.25">
      <c r="A30" s="36">
        <v>21</v>
      </c>
      <c r="B30" s="39">
        <v>252</v>
      </c>
      <c r="C30" s="66" t="s">
        <v>56</v>
      </c>
      <c r="D30" s="67" t="s">
        <v>77</v>
      </c>
      <c r="E30" s="64" t="s">
        <v>13</v>
      </c>
      <c r="F30" s="93">
        <v>100</v>
      </c>
      <c r="G30" s="84">
        <v>841.5</v>
      </c>
      <c r="H30" s="58">
        <f t="shared" si="0"/>
        <v>84150</v>
      </c>
    </row>
    <row r="31" spans="1:8" ht="15.75" thickBot="1" x14ac:dyDescent="0.25">
      <c r="A31" s="36">
        <v>22</v>
      </c>
      <c r="B31" s="39">
        <v>252</v>
      </c>
      <c r="C31" s="66" t="s">
        <v>56</v>
      </c>
      <c r="D31" s="67" t="s">
        <v>78</v>
      </c>
      <c r="E31" s="64" t="s">
        <v>13</v>
      </c>
      <c r="F31" s="93">
        <v>500</v>
      </c>
      <c r="G31" s="84">
        <v>21.75</v>
      </c>
      <c r="H31" s="58">
        <f t="shared" si="0"/>
        <v>10875</v>
      </c>
    </row>
    <row r="32" spans="1:8" ht="15.75" thickBot="1" x14ac:dyDescent="0.25">
      <c r="A32" s="36">
        <v>23</v>
      </c>
      <c r="B32" s="39">
        <v>252</v>
      </c>
      <c r="C32" s="66" t="s">
        <v>56</v>
      </c>
      <c r="D32" s="67" t="s">
        <v>79</v>
      </c>
      <c r="E32" s="64" t="s">
        <v>13</v>
      </c>
      <c r="F32" s="93">
        <v>500</v>
      </c>
      <c r="G32" s="84">
        <v>242.35</v>
      </c>
      <c r="H32" s="58">
        <f t="shared" si="0"/>
        <v>121175</v>
      </c>
    </row>
    <row r="33" spans="1:8" ht="15.75" thickBot="1" x14ac:dyDescent="0.25">
      <c r="A33" s="36">
        <v>24</v>
      </c>
      <c r="B33" s="39">
        <v>252</v>
      </c>
      <c r="C33" s="66" t="s">
        <v>56</v>
      </c>
      <c r="D33" s="67" t="s">
        <v>80</v>
      </c>
      <c r="E33" s="64" t="s">
        <v>13</v>
      </c>
      <c r="F33" s="93">
        <v>100</v>
      </c>
      <c r="G33" s="84">
        <v>220</v>
      </c>
      <c r="H33" s="58">
        <f t="shared" si="0"/>
        <v>22000</v>
      </c>
    </row>
    <row r="34" spans="1:8" ht="15.75" thickBot="1" x14ac:dyDescent="0.25">
      <c r="A34" s="36">
        <v>25</v>
      </c>
      <c r="B34" s="39">
        <v>252</v>
      </c>
      <c r="C34" s="66" t="s">
        <v>56</v>
      </c>
      <c r="D34" s="67" t="s">
        <v>81</v>
      </c>
      <c r="E34" s="64" t="s">
        <v>13</v>
      </c>
      <c r="F34" s="93">
        <v>100</v>
      </c>
      <c r="G34" s="84">
        <v>247.81</v>
      </c>
      <c r="H34" s="58">
        <f t="shared" si="0"/>
        <v>24781</v>
      </c>
    </row>
    <row r="35" spans="1:8" ht="15.75" thickBot="1" x14ac:dyDescent="0.25">
      <c r="A35" s="36">
        <v>26</v>
      </c>
      <c r="B35" s="39">
        <v>252</v>
      </c>
      <c r="C35" s="66" t="s">
        <v>56</v>
      </c>
      <c r="D35" s="67" t="s">
        <v>82</v>
      </c>
      <c r="E35" s="64" t="s">
        <v>13</v>
      </c>
      <c r="F35" s="93">
        <v>500</v>
      </c>
      <c r="G35" s="84">
        <v>36.229999999999997</v>
      </c>
      <c r="H35" s="58">
        <f t="shared" si="0"/>
        <v>18115</v>
      </c>
    </row>
    <row r="36" spans="1:8" ht="15.75" thickBot="1" x14ac:dyDescent="0.25">
      <c r="A36" s="36">
        <v>27</v>
      </c>
      <c r="B36" s="39">
        <v>252</v>
      </c>
      <c r="C36" s="66" t="s">
        <v>56</v>
      </c>
      <c r="D36" s="67" t="s">
        <v>83</v>
      </c>
      <c r="E36" s="64" t="s">
        <v>13</v>
      </c>
      <c r="F36" s="93">
        <v>500</v>
      </c>
      <c r="G36" s="84">
        <v>3.1</v>
      </c>
      <c r="H36" s="58">
        <f t="shared" si="0"/>
        <v>1550</v>
      </c>
    </row>
    <row r="37" spans="1:8" ht="15.75" thickBot="1" x14ac:dyDescent="0.25">
      <c r="A37" s="36">
        <v>28</v>
      </c>
      <c r="B37" s="39">
        <v>252</v>
      </c>
      <c r="C37" s="66" t="s">
        <v>56</v>
      </c>
      <c r="D37" s="67" t="s">
        <v>84</v>
      </c>
      <c r="E37" s="64" t="s">
        <v>13</v>
      </c>
      <c r="F37" s="93">
        <v>30</v>
      </c>
      <c r="G37" s="84">
        <v>561.20000000000005</v>
      </c>
      <c r="H37" s="58">
        <f t="shared" si="0"/>
        <v>16836</v>
      </c>
    </row>
    <row r="38" spans="1:8" ht="15.75" thickBot="1" x14ac:dyDescent="0.25">
      <c r="A38" s="36">
        <v>29</v>
      </c>
      <c r="B38" s="39">
        <v>252</v>
      </c>
      <c r="C38" s="66" t="s">
        <v>56</v>
      </c>
      <c r="D38" s="67" t="s">
        <v>85</v>
      </c>
      <c r="E38" s="64" t="s">
        <v>13</v>
      </c>
      <c r="F38" s="93">
        <v>1000</v>
      </c>
      <c r="G38" s="84">
        <v>120.45</v>
      </c>
      <c r="H38" s="58">
        <f t="shared" si="0"/>
        <v>120450</v>
      </c>
    </row>
    <row r="39" spans="1:8" ht="15.75" thickBot="1" x14ac:dyDescent="0.25">
      <c r="A39" s="36">
        <v>30</v>
      </c>
      <c r="B39" s="39">
        <v>252</v>
      </c>
      <c r="C39" s="66" t="s">
        <v>56</v>
      </c>
      <c r="D39" s="67" t="s">
        <v>86</v>
      </c>
      <c r="E39" s="64" t="s">
        <v>13</v>
      </c>
      <c r="F39" s="93">
        <v>10</v>
      </c>
      <c r="G39" s="84">
        <v>1990</v>
      </c>
      <c r="H39" s="58">
        <f t="shared" si="0"/>
        <v>19900</v>
      </c>
    </row>
    <row r="40" spans="1:8" ht="15.75" thickBot="1" x14ac:dyDescent="0.25">
      <c r="A40" s="36">
        <v>31</v>
      </c>
      <c r="B40" s="39">
        <v>252</v>
      </c>
      <c r="C40" s="66" t="s">
        <v>56</v>
      </c>
      <c r="D40" s="67" t="s">
        <v>87</v>
      </c>
      <c r="E40" s="64" t="s">
        <v>13</v>
      </c>
      <c r="F40" s="93">
        <v>2000</v>
      </c>
      <c r="G40" s="84">
        <v>39</v>
      </c>
      <c r="H40" s="58">
        <f t="shared" si="0"/>
        <v>78000</v>
      </c>
    </row>
    <row r="41" spans="1:8" ht="15.75" thickBot="1" x14ac:dyDescent="0.25">
      <c r="A41" s="36">
        <v>32</v>
      </c>
      <c r="B41" s="39">
        <v>252</v>
      </c>
      <c r="C41" s="66" t="s">
        <v>56</v>
      </c>
      <c r="D41" s="67" t="s">
        <v>88</v>
      </c>
      <c r="E41" s="64" t="s">
        <v>13</v>
      </c>
      <c r="F41" s="93">
        <v>500</v>
      </c>
      <c r="G41" s="84">
        <v>19.399999999999999</v>
      </c>
      <c r="H41" s="58">
        <f t="shared" si="0"/>
        <v>9700</v>
      </c>
    </row>
    <row r="42" spans="1:8" ht="15.75" thickBot="1" x14ac:dyDescent="0.25">
      <c r="A42" s="36">
        <v>33</v>
      </c>
      <c r="B42" s="39">
        <v>252</v>
      </c>
      <c r="C42" s="66" t="s">
        <v>56</v>
      </c>
      <c r="D42" s="67" t="s">
        <v>89</v>
      </c>
      <c r="E42" s="64" t="s">
        <v>13</v>
      </c>
      <c r="F42" s="93">
        <v>500</v>
      </c>
      <c r="G42" s="84">
        <v>170</v>
      </c>
      <c r="H42" s="58">
        <f t="shared" si="0"/>
        <v>85000</v>
      </c>
    </row>
    <row r="43" spans="1:8" ht="15.75" thickBot="1" x14ac:dyDescent="0.25">
      <c r="A43" s="36">
        <v>34</v>
      </c>
      <c r="B43" s="39">
        <v>252</v>
      </c>
      <c r="C43" s="66" t="s">
        <v>56</v>
      </c>
      <c r="D43" s="67" t="s">
        <v>90</v>
      </c>
      <c r="E43" s="64" t="s">
        <v>13</v>
      </c>
      <c r="F43" s="93">
        <v>300</v>
      </c>
      <c r="G43" s="84">
        <v>307.8</v>
      </c>
      <c r="H43" s="58">
        <f t="shared" si="0"/>
        <v>92340</v>
      </c>
    </row>
    <row r="44" spans="1:8" ht="15.75" thickBot="1" x14ac:dyDescent="0.25">
      <c r="A44" s="36">
        <v>35</v>
      </c>
      <c r="B44" s="39">
        <v>252</v>
      </c>
      <c r="C44" s="66" t="s">
        <v>56</v>
      </c>
      <c r="D44" s="67" t="s">
        <v>91</v>
      </c>
      <c r="E44" s="64" t="s">
        <v>13</v>
      </c>
      <c r="F44" s="93">
        <v>50</v>
      </c>
      <c r="G44" s="84">
        <v>412.65</v>
      </c>
      <c r="H44" s="58">
        <f t="shared" si="0"/>
        <v>20632.5</v>
      </c>
    </row>
    <row r="45" spans="1:8" ht="15.75" thickBot="1" x14ac:dyDescent="0.25">
      <c r="A45" s="36">
        <v>36</v>
      </c>
      <c r="B45" s="39">
        <v>252</v>
      </c>
      <c r="C45" s="66" t="s">
        <v>56</v>
      </c>
      <c r="D45" s="67" t="s">
        <v>92</v>
      </c>
      <c r="E45" s="64" t="s">
        <v>13</v>
      </c>
      <c r="F45" s="93">
        <v>10</v>
      </c>
      <c r="G45" s="84">
        <v>833.63</v>
      </c>
      <c r="H45" s="58">
        <f t="shared" si="0"/>
        <v>8336.2999999999993</v>
      </c>
    </row>
    <row r="46" spans="1:8" ht="15.75" thickBot="1" x14ac:dyDescent="0.25">
      <c r="A46" s="36">
        <v>37</v>
      </c>
      <c r="B46" s="39">
        <v>252</v>
      </c>
      <c r="C46" s="66" t="s">
        <v>56</v>
      </c>
      <c r="D46" s="67" t="s">
        <v>93</v>
      </c>
      <c r="E46" s="64" t="s">
        <v>13</v>
      </c>
      <c r="F46" s="93">
        <v>30</v>
      </c>
      <c r="G46" s="84">
        <v>2204.14</v>
      </c>
      <c r="H46" s="58">
        <f t="shared" si="0"/>
        <v>66124.2</v>
      </c>
    </row>
    <row r="47" spans="1:8" ht="15" x14ac:dyDescent="0.2">
      <c r="A47" s="36">
        <v>38</v>
      </c>
      <c r="B47" s="39">
        <v>252</v>
      </c>
      <c r="C47" s="66" t="s">
        <v>56</v>
      </c>
      <c r="D47" s="67" t="s">
        <v>94</v>
      </c>
      <c r="E47" s="64" t="s">
        <v>13</v>
      </c>
      <c r="F47" s="93">
        <v>100</v>
      </c>
      <c r="G47" s="84">
        <v>848.52</v>
      </c>
      <c r="H47" s="58">
        <f t="shared" si="0"/>
        <v>84852</v>
      </c>
    </row>
    <row r="49" spans="2:7" ht="13.5" thickBot="1" x14ac:dyDescent="0.25"/>
    <row r="50" spans="2:7" x14ac:dyDescent="0.2">
      <c r="B50" s="68" t="s">
        <v>99</v>
      </c>
      <c r="C50" s="69"/>
      <c r="D50" s="69"/>
      <c r="E50" s="70"/>
      <c r="F50" s="94"/>
      <c r="G50" s="85"/>
    </row>
    <row r="51" spans="2:7" ht="12.75" customHeight="1" x14ac:dyDescent="0.2">
      <c r="B51" s="99" t="s">
        <v>100</v>
      </c>
      <c r="C51" s="100"/>
      <c r="D51" s="100"/>
      <c r="E51" s="101"/>
      <c r="F51" s="94"/>
      <c r="G51" s="85"/>
    </row>
    <row r="52" spans="2:7" ht="26.25" customHeight="1" x14ac:dyDescent="0.2">
      <c r="B52" s="99"/>
      <c r="C52" s="100"/>
      <c r="D52" s="100"/>
      <c r="E52" s="101"/>
      <c r="F52" s="94"/>
      <c r="G52" s="85"/>
    </row>
    <row r="53" spans="2:7" ht="26.25" customHeight="1" x14ac:dyDescent="0.2">
      <c r="B53" s="99" t="s">
        <v>107</v>
      </c>
      <c r="C53" s="100"/>
      <c r="D53" s="100"/>
      <c r="E53" s="101"/>
      <c r="F53" s="94"/>
      <c r="G53" s="85"/>
    </row>
    <row r="54" spans="2:7" ht="26.25" customHeight="1" x14ac:dyDescent="0.2">
      <c r="B54" s="99" t="s">
        <v>101</v>
      </c>
      <c r="C54" s="100"/>
      <c r="D54" s="100"/>
      <c r="E54" s="101"/>
      <c r="F54" s="94"/>
      <c r="G54" s="85"/>
    </row>
    <row r="55" spans="2:7" x14ac:dyDescent="0.2">
      <c r="B55" s="71" t="s">
        <v>104</v>
      </c>
      <c r="C55" s="72"/>
      <c r="D55" s="73"/>
      <c r="E55" s="74"/>
      <c r="F55" s="94"/>
      <c r="G55" s="85"/>
    </row>
    <row r="56" spans="2:7" ht="26.25" customHeight="1" x14ac:dyDescent="0.2">
      <c r="B56" s="75"/>
      <c r="C56" s="102" t="s">
        <v>102</v>
      </c>
      <c r="D56" s="102"/>
      <c r="E56" s="102"/>
      <c r="F56" s="94"/>
      <c r="G56" s="85"/>
    </row>
    <row r="57" spans="2:7" ht="13.5" thickBot="1" x14ac:dyDescent="0.25">
      <c r="B57" s="76"/>
      <c r="C57" s="77"/>
      <c r="D57" s="77"/>
      <c r="E57" s="78"/>
      <c r="F57" s="94"/>
      <c r="G57" s="85"/>
    </row>
    <row r="58" spans="2:7" x14ac:dyDescent="0.2">
      <c r="F58" s="94"/>
      <c r="G58" s="85"/>
    </row>
  </sheetData>
  <autoFilter ref="A9:H47"/>
  <sortState ref="D454:H576">
    <sortCondition ref="H576"/>
  </sortState>
  <mergeCells count="11">
    <mergeCell ref="B51:E52"/>
    <mergeCell ref="B54:E54"/>
    <mergeCell ref="C56:E56"/>
    <mergeCell ref="A6:B6"/>
    <mergeCell ref="A7:B7"/>
    <mergeCell ref="B53:E53"/>
    <mergeCell ref="B2:G2"/>
    <mergeCell ref="A4:B4"/>
    <mergeCell ref="C4:D4"/>
    <mergeCell ref="A5:B5"/>
    <mergeCell ref="C5:D5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B50"/>
  <sheetViews>
    <sheetView zoomScaleNormal="100" workbookViewId="0">
      <selection activeCell="C60" sqref="C60"/>
    </sheetView>
  </sheetViews>
  <sheetFormatPr baseColWidth="10" defaultColWidth="9.140625" defaultRowHeight="12.75" x14ac:dyDescent="0.2"/>
  <cols>
    <col min="1" max="1" width="5.5703125" style="41" customWidth="1"/>
    <col min="2" max="2" width="15.140625" style="41" customWidth="1"/>
    <col min="3" max="3" width="54.5703125" style="41" customWidth="1"/>
    <col min="4" max="4" width="9.28515625" style="41" customWidth="1"/>
    <col min="5" max="5" width="15.5703125" style="41" customWidth="1"/>
    <col min="6" max="6" width="14.7109375" style="41" customWidth="1"/>
    <col min="7" max="7" width="15.5703125" style="41" customWidth="1"/>
    <col min="8" max="8" width="9.140625" style="41"/>
    <col min="9" max="9" width="13.85546875" style="41" bestFit="1" customWidth="1"/>
    <col min="10" max="1016" width="9.140625" style="41"/>
    <col min="1017" max="16384" width="9.140625" style="42"/>
  </cols>
  <sheetData>
    <row r="1" spans="1:7" ht="18" customHeight="1" thickBot="1" x14ac:dyDescent="0.25">
      <c r="A1" s="103" t="s">
        <v>14</v>
      </c>
      <c r="B1" s="103"/>
      <c r="C1" s="103"/>
      <c r="D1" s="103"/>
      <c r="E1" s="103"/>
      <c r="F1" s="40" t="s">
        <v>15</v>
      </c>
      <c r="G1" s="95" t="s">
        <v>105</v>
      </c>
    </row>
    <row r="2" spans="1:7" ht="18.75" customHeight="1" thickBot="1" x14ac:dyDescent="0.25">
      <c r="A2" s="43"/>
      <c r="B2" s="43"/>
      <c r="C2" s="43"/>
      <c r="D2" s="44"/>
      <c r="E2" s="44"/>
      <c r="F2" s="44"/>
      <c r="G2" s="44"/>
    </row>
    <row r="3" spans="1:7" ht="18.75" customHeight="1" thickBot="1" x14ac:dyDescent="0.25">
      <c r="A3" s="104" t="s">
        <v>49</v>
      </c>
      <c r="B3" s="104"/>
      <c r="C3" s="104"/>
      <c r="D3" s="106" t="str">
        <f>'[1]Necesidades Trimestrales'!C4</f>
        <v>040 - Ministerio de Salud</v>
      </c>
      <c r="E3" s="107"/>
      <c r="F3" s="107"/>
      <c r="G3" s="108"/>
    </row>
    <row r="4" spans="1:7" ht="18.75" customHeight="1" thickBot="1" x14ac:dyDescent="0.25">
      <c r="A4" s="105" t="s">
        <v>50</v>
      </c>
      <c r="B4" s="105"/>
      <c r="C4" s="105"/>
      <c r="D4" s="112" t="str">
        <f>'[1]Necesidades Trimestrales'!C5</f>
        <v>024 - Hospital Interzonal de Niños</v>
      </c>
      <c r="E4" s="112"/>
      <c r="F4" s="112"/>
      <c r="G4" s="112"/>
    </row>
    <row r="5" spans="1:7" ht="18.75" customHeight="1" thickBot="1" x14ac:dyDescent="0.25">
      <c r="A5" s="105" t="s">
        <v>28</v>
      </c>
      <c r="B5" s="105"/>
      <c r="C5" s="105"/>
      <c r="D5" s="112" t="s">
        <v>52</v>
      </c>
      <c r="E5" s="112"/>
      <c r="F5" s="112"/>
      <c r="G5" s="112"/>
    </row>
    <row r="6" spans="1:7" ht="16.5" customHeight="1" thickBot="1" x14ac:dyDescent="0.25">
      <c r="A6" s="104" t="s">
        <v>51</v>
      </c>
      <c r="B6" s="104"/>
      <c r="C6" s="104"/>
      <c r="D6" s="112" t="s">
        <v>96</v>
      </c>
      <c r="E6" s="112"/>
      <c r="F6" s="112"/>
      <c r="G6" s="112"/>
    </row>
    <row r="7" spans="1:7" ht="16.5" customHeight="1" thickBot="1" x14ac:dyDescent="0.25">
      <c r="A7" s="105" t="s">
        <v>16</v>
      </c>
      <c r="B7" s="105"/>
      <c r="C7" s="105"/>
      <c r="D7" s="112" t="s">
        <v>106</v>
      </c>
      <c r="E7" s="112"/>
      <c r="F7" s="112"/>
      <c r="G7" s="112"/>
    </row>
    <row r="8" spans="1:7" ht="16.5" customHeight="1" thickBot="1" x14ac:dyDescent="0.25">
      <c r="A8" s="114" t="s">
        <v>17</v>
      </c>
      <c r="B8" s="114"/>
      <c r="C8" s="114"/>
      <c r="D8" s="113" t="s">
        <v>97</v>
      </c>
      <c r="E8" s="113"/>
      <c r="F8" s="113"/>
      <c r="G8" s="113"/>
    </row>
    <row r="9" spans="1:7" ht="16.5" thickBot="1" x14ac:dyDescent="0.25">
      <c r="A9" s="45"/>
      <c r="B9" s="45"/>
      <c r="C9" s="45"/>
      <c r="D9" s="46"/>
      <c r="E9" s="46"/>
      <c r="F9" s="46"/>
      <c r="G9" s="46"/>
    </row>
    <row r="10" spans="1:7" ht="18.75" customHeight="1" thickBot="1" x14ac:dyDescent="0.25">
      <c r="A10" s="115" t="s">
        <v>18</v>
      </c>
      <c r="B10" s="116" t="s">
        <v>19</v>
      </c>
      <c r="C10" s="116" t="s">
        <v>20</v>
      </c>
      <c r="D10" s="116" t="s">
        <v>21</v>
      </c>
      <c r="E10" s="116" t="s">
        <v>22</v>
      </c>
      <c r="F10" s="116" t="s">
        <v>23</v>
      </c>
      <c r="G10" s="117" t="s">
        <v>24</v>
      </c>
    </row>
    <row r="11" spans="1:7" ht="24" customHeight="1" thickBot="1" x14ac:dyDescent="0.25">
      <c r="A11" s="115"/>
      <c r="B11" s="116"/>
      <c r="C11" s="116"/>
      <c r="D11" s="116"/>
      <c r="E11" s="116"/>
      <c r="F11" s="116"/>
      <c r="G11" s="117"/>
    </row>
    <row r="12" spans="1:7" ht="27.75" customHeight="1" thickBot="1" x14ac:dyDescent="0.25">
      <c r="A12" s="47">
        <v>1</v>
      </c>
      <c r="B12" s="48">
        <v>252</v>
      </c>
      <c r="C12" s="48" t="str">
        <f>'Necesidades Trimestrales'!D10</f>
        <v>ALBUMINA 20% X 50 ML</v>
      </c>
      <c r="D12" s="49" t="s">
        <v>55</v>
      </c>
      <c r="E12" s="50" t="str">
        <f>'Necesidades Trimestrales'!E10</f>
        <v>UNIDAD</v>
      </c>
      <c r="F12" s="51">
        <f>+'Necesidades Trimestrales'!G10</f>
        <v>30</v>
      </c>
      <c r="G12" s="52">
        <f>+'Necesidades Trimestrales'!F10</f>
        <v>200</v>
      </c>
    </row>
    <row r="13" spans="1:7" ht="20.25" customHeight="1" thickBot="1" x14ac:dyDescent="0.25">
      <c r="A13" s="47">
        <v>10</v>
      </c>
      <c r="B13" s="53">
        <f>'Necesidades Trimestrales'!B11</f>
        <v>252</v>
      </c>
      <c r="C13" s="48" t="str">
        <f>'Necesidades Trimestrales'!D11</f>
        <v>DEXAMETASONA 8 MG. AMPOLLA</v>
      </c>
      <c r="D13" s="54" t="s">
        <v>55</v>
      </c>
      <c r="E13" s="55" t="str">
        <f>'Necesidades Trimestrales'!E11</f>
        <v>UNIDAD</v>
      </c>
      <c r="F13" s="51">
        <f>+'Necesidades Trimestrales'!G11</f>
        <v>82</v>
      </c>
      <c r="G13" s="52">
        <f>+'Necesidades Trimestrales'!F11</f>
        <v>4000</v>
      </c>
    </row>
    <row r="14" spans="1:7" ht="20.25" customHeight="1" thickBot="1" x14ac:dyDescent="0.25">
      <c r="A14" s="47">
        <v>11</v>
      </c>
      <c r="B14" s="53">
        <f>'Necesidades Trimestrales'!B12</f>
        <v>252</v>
      </c>
      <c r="C14" s="48" t="str">
        <f>'Necesidades Trimestrales'!D12</f>
        <v xml:space="preserve">DICLOFENAC 75 MG. AMPOLLA </v>
      </c>
      <c r="D14" s="54" t="s">
        <v>55</v>
      </c>
      <c r="E14" s="55" t="str">
        <f>'Necesidades Trimestrales'!E12</f>
        <v>UNIDAD</v>
      </c>
      <c r="F14" s="51">
        <f>+'Necesidades Trimestrales'!G12</f>
        <v>220</v>
      </c>
      <c r="G14" s="52">
        <f>+'Necesidades Trimestrales'!F12</f>
        <v>3000</v>
      </c>
    </row>
    <row r="15" spans="1:7" ht="20.25" customHeight="1" thickBot="1" x14ac:dyDescent="0.25">
      <c r="A15" s="47">
        <v>12</v>
      </c>
      <c r="B15" s="53">
        <f>'Necesidades Trimestrales'!B13</f>
        <v>252</v>
      </c>
      <c r="C15" s="48" t="str">
        <f>'Necesidades Trimestrales'!D13</f>
        <v>ENOXAPARINA 40 MG AMPOLLA PRELLENA</v>
      </c>
      <c r="D15" s="54" t="s">
        <v>55</v>
      </c>
      <c r="E15" s="55" t="str">
        <f>'Necesidades Trimestrales'!E13</f>
        <v>UNIDAD</v>
      </c>
      <c r="F15" s="51">
        <f>+'Necesidades Trimestrales'!G13</f>
        <v>43</v>
      </c>
      <c r="G15" s="52">
        <f>+'Necesidades Trimestrales'!F13</f>
        <v>200</v>
      </c>
    </row>
    <row r="16" spans="1:7" ht="20.25" customHeight="1" thickBot="1" x14ac:dyDescent="0.25">
      <c r="A16" s="47">
        <v>13</v>
      </c>
      <c r="B16" s="53">
        <f>'Necesidades Trimestrales'!B14</f>
        <v>252</v>
      </c>
      <c r="C16" s="48" t="str">
        <f>'Necesidades Trimestrales'!D14</f>
        <v>FENOBARBITAL 100 MG. AMPOLLAS</v>
      </c>
      <c r="D16" s="54" t="s">
        <v>55</v>
      </c>
      <c r="E16" s="55" t="str">
        <f>'Necesidades Trimestrales'!E14</f>
        <v>UNIDAD</v>
      </c>
      <c r="F16" s="51">
        <f>+'Necesidades Trimestrales'!G14</f>
        <v>79</v>
      </c>
      <c r="G16" s="52">
        <f>+'Necesidades Trimestrales'!F14</f>
        <v>500</v>
      </c>
    </row>
    <row r="17" spans="1:7" ht="20.25" customHeight="1" thickBot="1" x14ac:dyDescent="0.25">
      <c r="A17" s="47">
        <v>15</v>
      </c>
      <c r="B17" s="53">
        <f>'Necesidades Trimestrales'!B15</f>
        <v>252</v>
      </c>
      <c r="C17" s="48" t="str">
        <f>'Necesidades Trimestrales'!D15</f>
        <v>GENTAMICINA 80 MG AMPOLLA</v>
      </c>
      <c r="D17" s="54" t="s">
        <v>55</v>
      </c>
      <c r="E17" s="55" t="str">
        <f>'Necesidades Trimestrales'!E15</f>
        <v>UNIDAD</v>
      </c>
      <c r="F17" s="51">
        <f>+'Necesidades Trimestrales'!G15</f>
        <v>102</v>
      </c>
      <c r="G17" s="52">
        <f>+'Necesidades Trimestrales'!F15</f>
        <v>300</v>
      </c>
    </row>
    <row r="18" spans="1:7" ht="20.25" customHeight="1" thickBot="1" x14ac:dyDescent="0.25">
      <c r="A18" s="47">
        <v>17</v>
      </c>
      <c r="B18" s="53">
        <f>'Necesidades Trimestrales'!B16</f>
        <v>252</v>
      </c>
      <c r="C18" s="48" t="str">
        <f>'Necesidades Trimestrales'!D16</f>
        <v>HEPARINA SODICA 5000 UI FCO AMPOLLA</v>
      </c>
      <c r="D18" s="54" t="s">
        <v>55</v>
      </c>
      <c r="E18" s="55" t="str">
        <f>'Necesidades Trimestrales'!E16</f>
        <v>UNIDAD</v>
      </c>
      <c r="F18" s="51">
        <f>+'Necesidades Trimestrales'!G16</f>
        <v>315</v>
      </c>
      <c r="G18" s="52">
        <f>+'Necesidades Trimestrales'!F16</f>
        <v>300</v>
      </c>
    </row>
    <row r="19" spans="1:7" ht="20.25" customHeight="1" thickBot="1" x14ac:dyDescent="0.25">
      <c r="A19" s="47">
        <v>21</v>
      </c>
      <c r="B19" s="53">
        <f>'Necesidades Trimestrales'!B17</f>
        <v>252</v>
      </c>
      <c r="C19" s="48" t="str">
        <f>'Necesidades Trimestrales'!D17</f>
        <v>METRONIDAZOL 500 MG SACHET</v>
      </c>
      <c r="D19" s="54" t="s">
        <v>55</v>
      </c>
      <c r="E19" s="55" t="str">
        <f>'Necesidades Trimestrales'!E17</f>
        <v>UNIDAD</v>
      </c>
      <c r="F19" s="51">
        <f>+'Necesidades Trimestrales'!G17</f>
        <v>980</v>
      </c>
      <c r="G19" s="52">
        <f>+'Necesidades Trimestrales'!F17</f>
        <v>1500</v>
      </c>
    </row>
    <row r="20" spans="1:7" ht="20.25" customHeight="1" thickBot="1" x14ac:dyDescent="0.25">
      <c r="A20" s="47">
        <v>22</v>
      </c>
      <c r="B20" s="53">
        <f>'Necesidades Trimestrales'!B18</f>
        <v>252</v>
      </c>
      <c r="C20" s="48" t="str">
        <f>'Necesidades Trimestrales'!D18</f>
        <v>MIDAZOLAM 15 MG AMPOLLA</v>
      </c>
      <c r="D20" s="54" t="s">
        <v>55</v>
      </c>
      <c r="E20" s="55" t="str">
        <f>'Necesidades Trimestrales'!E18</f>
        <v>UNIDAD</v>
      </c>
      <c r="F20" s="51">
        <f>+'Necesidades Trimestrales'!G18</f>
        <v>3800</v>
      </c>
      <c r="G20" s="52">
        <f>+'Necesidades Trimestrales'!F18</f>
        <v>2000</v>
      </c>
    </row>
    <row r="21" spans="1:7" ht="20.25" customHeight="1" thickBot="1" x14ac:dyDescent="0.25">
      <c r="A21" s="47">
        <v>23</v>
      </c>
      <c r="B21" s="53">
        <f>'Necesidades Trimestrales'!B19</f>
        <v>252</v>
      </c>
      <c r="C21" s="48" t="str">
        <f>'Necesidades Trimestrales'!D19</f>
        <v>PARACETAMOL 100 ML FRASCO</v>
      </c>
      <c r="D21" s="54" t="s">
        <v>55</v>
      </c>
      <c r="E21" s="55" t="str">
        <f>'Necesidades Trimestrales'!E19</f>
        <v>UNIDAD</v>
      </c>
      <c r="F21" s="51">
        <f>+'Necesidades Trimestrales'!G19</f>
        <v>580</v>
      </c>
      <c r="G21" s="52">
        <f>+'Necesidades Trimestrales'!F19</f>
        <v>30</v>
      </c>
    </row>
    <row r="22" spans="1:7" ht="20.25" customHeight="1" thickBot="1" x14ac:dyDescent="0.25">
      <c r="A22" s="47">
        <v>26</v>
      </c>
      <c r="B22" s="53">
        <f>'Necesidades Trimestrales'!B20</f>
        <v>252</v>
      </c>
      <c r="C22" s="48" t="str">
        <f>'Necesidades Trimestrales'!D20</f>
        <v>ALPRAZOLAM 1MG. COMP</v>
      </c>
      <c r="D22" s="54" t="s">
        <v>55</v>
      </c>
      <c r="E22" s="55" t="str">
        <f>'Necesidades Trimestrales'!E20</f>
        <v>UNIDAD</v>
      </c>
      <c r="F22" s="51">
        <f>+'Necesidades Trimestrales'!G20</f>
        <v>4.75</v>
      </c>
      <c r="G22" s="52">
        <f>+'Necesidades Trimestrales'!F20</f>
        <v>500</v>
      </c>
    </row>
    <row r="23" spans="1:7" ht="20.25" customHeight="1" thickBot="1" x14ac:dyDescent="0.25">
      <c r="A23" s="47">
        <v>27</v>
      </c>
      <c r="B23" s="53">
        <f>'Necesidades Trimestrales'!B21</f>
        <v>252</v>
      </c>
      <c r="C23" s="48" t="str">
        <f>'Necesidades Trimestrales'!D21</f>
        <v>CLONAZEPAM 1MG COMP</v>
      </c>
      <c r="D23" s="54" t="s">
        <v>55</v>
      </c>
      <c r="E23" s="55" t="str">
        <f>'Necesidades Trimestrales'!E21</f>
        <v>UNIDAD</v>
      </c>
      <c r="F23" s="51">
        <f>+'Necesidades Trimestrales'!G21</f>
        <v>9.9700000000000006</v>
      </c>
      <c r="G23" s="52">
        <f>+'Necesidades Trimestrales'!F21</f>
        <v>500</v>
      </c>
    </row>
    <row r="24" spans="1:7" ht="20.25" customHeight="1" thickBot="1" x14ac:dyDescent="0.25">
      <c r="A24" s="47">
        <v>28</v>
      </c>
      <c r="B24" s="53">
        <f>'Necesidades Trimestrales'!B22</f>
        <v>252</v>
      </c>
      <c r="C24" s="48" t="str">
        <f>'Necesidades Trimestrales'!D22</f>
        <v>CLONAZEPAM 2MG COMP</v>
      </c>
      <c r="D24" s="54" t="s">
        <v>55</v>
      </c>
      <c r="E24" s="55" t="str">
        <f>'Necesidades Trimestrales'!E22</f>
        <v>UNIDAD</v>
      </c>
      <c r="F24" s="51">
        <f>+'Necesidades Trimestrales'!G22</f>
        <v>4.9800000000000004</v>
      </c>
      <c r="G24" s="52">
        <f>+'Necesidades Trimestrales'!F22</f>
        <v>500</v>
      </c>
    </row>
    <row r="25" spans="1:7" ht="20.25" customHeight="1" thickBot="1" x14ac:dyDescent="0.25">
      <c r="A25" s="47">
        <v>29</v>
      </c>
      <c r="B25" s="53">
        <f>'Necesidades Trimestrales'!B23</f>
        <v>252</v>
      </c>
      <c r="C25" s="48" t="str">
        <f>'Necesidades Trimestrales'!D23</f>
        <v>DIAZEPAN 10MG COMP</v>
      </c>
      <c r="D25" s="54" t="s">
        <v>55</v>
      </c>
      <c r="E25" s="55" t="str">
        <f>'Necesidades Trimestrales'!E23</f>
        <v>UNIDAD</v>
      </c>
      <c r="F25" s="51">
        <f>+'Necesidades Trimestrales'!G23</f>
        <v>6.46</v>
      </c>
      <c r="G25" s="52">
        <f>+'Necesidades Trimestrales'!F23</f>
        <v>1500</v>
      </c>
    </row>
    <row r="26" spans="1:7" ht="20.25" customHeight="1" thickBot="1" x14ac:dyDescent="0.25">
      <c r="A26" s="47">
        <v>30</v>
      </c>
      <c r="B26" s="53">
        <f>'Necesidades Trimestrales'!B24</f>
        <v>252</v>
      </c>
      <c r="C26" s="48" t="str">
        <f>'Necesidades Trimestrales'!D24</f>
        <v>DIAZEPAN 5MG COMP</v>
      </c>
      <c r="D26" s="54" t="s">
        <v>55</v>
      </c>
      <c r="E26" s="55" t="str">
        <f>'Necesidades Trimestrales'!E24</f>
        <v>UNIDAD</v>
      </c>
      <c r="F26" s="51">
        <f>+'Necesidades Trimestrales'!G24</f>
        <v>8.15</v>
      </c>
      <c r="G26" s="52">
        <f>+'Necesidades Trimestrales'!F24</f>
        <v>1000</v>
      </c>
    </row>
    <row r="27" spans="1:7" ht="20.25" customHeight="1" thickBot="1" x14ac:dyDescent="0.25">
      <c r="A27" s="47">
        <v>31</v>
      </c>
      <c r="B27" s="53">
        <f>'Necesidades Trimestrales'!B25</f>
        <v>252</v>
      </c>
      <c r="C27" s="48" t="str">
        <f>'Necesidades Trimestrales'!D25</f>
        <v>PREGABALINA 75 MG COMP</v>
      </c>
      <c r="D27" s="54" t="s">
        <v>55</v>
      </c>
      <c r="E27" s="55" t="str">
        <f>'Necesidades Trimestrales'!E25</f>
        <v>UNIDAD</v>
      </c>
      <c r="F27" s="51">
        <f>+'Necesidades Trimestrales'!G25</f>
        <v>27.54</v>
      </c>
      <c r="G27" s="52">
        <f>+'Necesidades Trimestrales'!F25</f>
        <v>300</v>
      </c>
    </row>
    <row r="28" spans="1:7" ht="20.25" customHeight="1" thickBot="1" x14ac:dyDescent="0.25">
      <c r="A28" s="47">
        <v>32</v>
      </c>
      <c r="B28" s="53">
        <f>'Necesidades Trimestrales'!B26</f>
        <v>252</v>
      </c>
      <c r="C28" s="48" t="str">
        <f>'Necesidades Trimestrales'!D26</f>
        <v>VALPROATO DE MAGNESIO 400MG COMP</v>
      </c>
      <c r="D28" s="54" t="s">
        <v>55</v>
      </c>
      <c r="E28" s="55" t="str">
        <f>'Necesidades Trimestrales'!E26</f>
        <v>UNIDAD</v>
      </c>
      <c r="F28" s="51">
        <f>+'Necesidades Trimestrales'!G26</f>
        <v>94.65</v>
      </c>
      <c r="G28" s="52">
        <f>+'Necesidades Trimestrales'!F26</f>
        <v>300</v>
      </c>
    </row>
    <row r="29" spans="1:7" ht="20.25" customHeight="1" thickBot="1" x14ac:dyDescent="0.25">
      <c r="A29" s="47">
        <v>33</v>
      </c>
      <c r="B29" s="53">
        <f>'Necesidades Trimestrales'!B27</f>
        <v>252</v>
      </c>
      <c r="C29" s="48" t="str">
        <f>'Necesidades Trimestrales'!D27</f>
        <v xml:space="preserve">ALUM, HIDR +MG.HIDR SUSP X 175 ML </v>
      </c>
      <c r="D29" s="54" t="s">
        <v>55</v>
      </c>
      <c r="E29" s="55" t="str">
        <f>'Necesidades Trimestrales'!E27</f>
        <v>UNIDAD</v>
      </c>
      <c r="F29" s="51">
        <f>+'Necesidades Trimestrales'!G27</f>
        <v>700.76</v>
      </c>
      <c r="G29" s="52">
        <f>+'Necesidades Trimestrales'!F27</f>
        <v>200</v>
      </c>
    </row>
    <row r="30" spans="1:7" ht="20.25" customHeight="1" thickBot="1" x14ac:dyDescent="0.25">
      <c r="A30" s="47">
        <v>34</v>
      </c>
      <c r="B30" s="53">
        <f>'Necesidades Trimestrales'!B28</f>
        <v>252</v>
      </c>
      <c r="C30" s="48" t="str">
        <f>'Necesidades Trimestrales'!D28</f>
        <v>BACLOFENO 10 MG COMP</v>
      </c>
      <c r="D30" s="54" t="s">
        <v>55</v>
      </c>
      <c r="E30" s="55" t="str">
        <f>'Necesidades Trimestrales'!E28</f>
        <v>UNIDAD</v>
      </c>
      <c r="F30" s="51">
        <f>+'Necesidades Trimestrales'!G28</f>
        <v>7.2</v>
      </c>
      <c r="G30" s="52">
        <f>+'Necesidades Trimestrales'!F28</f>
        <v>1000</v>
      </c>
    </row>
    <row r="31" spans="1:7" ht="20.25" customHeight="1" thickBot="1" x14ac:dyDescent="0.25">
      <c r="A31" s="47">
        <v>38</v>
      </c>
      <c r="B31" s="53">
        <f>'Necesidades Trimestrales'!B29</f>
        <v>252</v>
      </c>
      <c r="C31" s="48" t="str">
        <f>'Necesidades Trimestrales'!D29</f>
        <v>CINCLOPENTOLATO 1% GOTAS X5ML</v>
      </c>
      <c r="D31" s="54" t="s">
        <v>55</v>
      </c>
      <c r="E31" s="55" t="str">
        <f>'Necesidades Trimestrales'!E29</f>
        <v>UNIDAD</v>
      </c>
      <c r="F31" s="51">
        <f>+'Necesidades Trimestrales'!G29</f>
        <v>524</v>
      </c>
      <c r="G31" s="52">
        <f>+'Necesidades Trimestrales'!F29</f>
        <v>50</v>
      </c>
    </row>
    <row r="32" spans="1:7" ht="20.25" customHeight="1" thickBot="1" x14ac:dyDescent="0.25">
      <c r="A32" s="47">
        <v>39</v>
      </c>
      <c r="B32" s="53">
        <f>'Necesidades Trimestrales'!B30</f>
        <v>252</v>
      </c>
      <c r="C32" s="48" t="str">
        <f>'Necesidades Trimestrales'!D30</f>
        <v>COLISTINA F/A X2ML</v>
      </c>
      <c r="D32" s="54" t="s">
        <v>55</v>
      </c>
      <c r="E32" s="55" t="str">
        <f>'Necesidades Trimestrales'!E30</f>
        <v>UNIDAD</v>
      </c>
      <c r="F32" s="51">
        <f>+'Necesidades Trimestrales'!G30</f>
        <v>841.5</v>
      </c>
      <c r="G32" s="52">
        <f>+'Necesidades Trimestrales'!F30</f>
        <v>100</v>
      </c>
    </row>
    <row r="33" spans="1:7" ht="20.25" customHeight="1" thickBot="1" x14ac:dyDescent="0.25">
      <c r="A33" s="47">
        <v>40</v>
      </c>
      <c r="B33" s="53">
        <f>'Necesidades Trimestrales'!B31</f>
        <v>252</v>
      </c>
      <c r="C33" s="48" t="str">
        <f>'Necesidades Trimestrales'!D31</f>
        <v>COTRIMOXAZOL 800/160MG COMP</v>
      </c>
      <c r="D33" s="54" t="s">
        <v>55</v>
      </c>
      <c r="E33" s="55" t="str">
        <f>'Necesidades Trimestrales'!E31</f>
        <v>UNIDAD</v>
      </c>
      <c r="F33" s="51">
        <f>+'Necesidades Trimestrales'!G31</f>
        <v>21.75</v>
      </c>
      <c r="G33" s="52">
        <f>+'Necesidades Trimestrales'!F31</f>
        <v>500</v>
      </c>
    </row>
    <row r="34" spans="1:7" ht="20.25" customHeight="1" thickBot="1" x14ac:dyDescent="0.25">
      <c r="A34" s="47">
        <v>41</v>
      </c>
      <c r="B34" s="53">
        <f>'Necesidades Trimestrales'!B32</f>
        <v>252</v>
      </c>
      <c r="C34" s="48" t="str">
        <f>'Necesidades Trimestrales'!D32</f>
        <v>COTRIMOXAZOL AMP. I.V. x 5ML</v>
      </c>
      <c r="D34" s="54" t="s">
        <v>55</v>
      </c>
      <c r="E34" s="55" t="str">
        <f>'Necesidades Trimestrales'!E32</f>
        <v>UNIDAD</v>
      </c>
      <c r="F34" s="51">
        <f>+'Necesidades Trimestrales'!G32</f>
        <v>242.35</v>
      </c>
      <c r="G34" s="52">
        <f>+'Necesidades Trimestrales'!F32</f>
        <v>500</v>
      </c>
    </row>
    <row r="35" spans="1:7" ht="20.25" customHeight="1" thickBot="1" x14ac:dyDescent="0.25">
      <c r="A35" s="47">
        <v>42</v>
      </c>
      <c r="B35" s="53">
        <f>'Necesidades Trimestrales'!B33</f>
        <v>252</v>
      </c>
      <c r="C35" s="48" t="str">
        <f>'Necesidades Trimestrales'!D33</f>
        <v>DOMPERIDONA GOTAS X 20ML</v>
      </c>
      <c r="D35" s="54" t="s">
        <v>55</v>
      </c>
      <c r="E35" s="55" t="str">
        <f>'Necesidades Trimestrales'!E33</f>
        <v>UNIDAD</v>
      </c>
      <c r="F35" s="51">
        <f>+'Necesidades Trimestrales'!G33</f>
        <v>220</v>
      </c>
      <c r="G35" s="52">
        <f>+'Necesidades Trimestrales'!F33</f>
        <v>100</v>
      </c>
    </row>
    <row r="36" spans="1:7" ht="20.25" customHeight="1" thickBot="1" x14ac:dyDescent="0.25">
      <c r="A36" s="47">
        <v>43</v>
      </c>
      <c r="B36" s="53">
        <f>'Necesidades Trimestrales'!B34</f>
        <v>252</v>
      </c>
      <c r="C36" s="48" t="str">
        <f>'Necesidades Trimestrales'!D34</f>
        <v>DOPAMINA CLORH 100MG AMP X 5ML</v>
      </c>
      <c r="D36" s="54" t="s">
        <v>55</v>
      </c>
      <c r="E36" s="55" t="str">
        <f>'Necesidades Trimestrales'!E34</f>
        <v>UNIDAD</v>
      </c>
      <c r="F36" s="51">
        <f>+'Necesidades Trimestrales'!G34</f>
        <v>247.81</v>
      </c>
      <c r="G36" s="52">
        <f>+'Necesidades Trimestrales'!F34</f>
        <v>100</v>
      </c>
    </row>
    <row r="37" spans="1:7" ht="20.25" customHeight="1" thickBot="1" x14ac:dyDescent="0.25">
      <c r="A37" s="47">
        <v>44</v>
      </c>
      <c r="B37" s="53">
        <f>'Necesidades Trimestrales'!B35</f>
        <v>252</v>
      </c>
      <c r="C37" s="48" t="str">
        <f>'Necesidades Trimestrales'!D35</f>
        <v>ESPIRONOLACTONA 100 MG COMP</v>
      </c>
      <c r="D37" s="54" t="s">
        <v>55</v>
      </c>
      <c r="E37" s="55" t="str">
        <f>'Necesidades Trimestrales'!E35</f>
        <v>UNIDAD</v>
      </c>
      <c r="F37" s="51">
        <f>+'Necesidades Trimestrales'!G35</f>
        <v>36.229999999999997</v>
      </c>
      <c r="G37" s="52">
        <f>+'Necesidades Trimestrales'!F35</f>
        <v>500</v>
      </c>
    </row>
    <row r="38" spans="1:7" ht="20.25" customHeight="1" thickBot="1" x14ac:dyDescent="0.25">
      <c r="A38" s="47">
        <v>45</v>
      </c>
      <c r="B38" s="53">
        <f>'Necesidades Trimestrales'!B36</f>
        <v>252</v>
      </c>
      <c r="C38" s="48" t="str">
        <f>'Necesidades Trimestrales'!D36</f>
        <v>FENOBARBITAL 15 MG COMP</v>
      </c>
      <c r="D38" s="54" t="s">
        <v>55</v>
      </c>
      <c r="E38" s="55" t="str">
        <f>'Necesidades Trimestrales'!E36</f>
        <v>UNIDAD</v>
      </c>
      <c r="F38" s="51">
        <f>+'Necesidades Trimestrales'!G36</f>
        <v>3.1</v>
      </c>
      <c r="G38" s="52">
        <f>+'Necesidades Trimestrales'!F36</f>
        <v>500</v>
      </c>
    </row>
    <row r="39" spans="1:7" ht="20.25" customHeight="1" thickBot="1" x14ac:dyDescent="0.25">
      <c r="A39" s="47">
        <v>46</v>
      </c>
      <c r="B39" s="53">
        <f>'Necesidades Trimestrales'!B37</f>
        <v>252</v>
      </c>
      <c r="C39" s="48" t="str">
        <f>'Necesidades Trimestrales'!D37</f>
        <v>FOTORRETIN SOL. OFT. ESTERIL X 5ML</v>
      </c>
      <c r="D39" s="54" t="s">
        <v>55</v>
      </c>
      <c r="E39" s="55" t="str">
        <f>'Necesidades Trimestrales'!E37</f>
        <v>UNIDAD</v>
      </c>
      <c r="F39" s="51">
        <f>+'Necesidades Trimestrales'!G37</f>
        <v>561.20000000000005</v>
      </c>
      <c r="G39" s="52">
        <f>+'Necesidades Trimestrales'!F37</f>
        <v>30</v>
      </c>
    </row>
    <row r="40" spans="1:7" ht="20.25" customHeight="1" thickBot="1" x14ac:dyDescent="0.25">
      <c r="A40" s="47">
        <v>47</v>
      </c>
      <c r="B40" s="53">
        <f>'Necesidades Trimestrales'!B38</f>
        <v>252</v>
      </c>
      <c r="C40" s="48" t="str">
        <f>'Necesidades Trimestrales'!D38</f>
        <v>HIOSCINA BULTIBROMURO 20 MG AMP. X1 ML</v>
      </c>
      <c r="D40" s="54" t="s">
        <v>25</v>
      </c>
      <c r="E40" s="55" t="str">
        <f>'Necesidades Trimestrales'!E38</f>
        <v>UNIDAD</v>
      </c>
      <c r="F40" s="51">
        <f>+'Necesidades Trimestrales'!G38</f>
        <v>120.45</v>
      </c>
      <c r="G40" s="52">
        <f>+'Necesidades Trimestrales'!F38</f>
        <v>1000</v>
      </c>
    </row>
    <row r="41" spans="1:7" ht="20.25" customHeight="1" thickBot="1" x14ac:dyDescent="0.25">
      <c r="A41" s="47">
        <v>48</v>
      </c>
      <c r="B41" s="53">
        <f>'Necesidades Trimestrales'!B39</f>
        <v>252</v>
      </c>
      <c r="C41" s="48" t="str">
        <f>'Necesidades Trimestrales'!D39</f>
        <v>INSULINA CORRIENTE 100 UI F/A X 10ML</v>
      </c>
      <c r="D41" s="54" t="s">
        <v>55</v>
      </c>
      <c r="E41" s="55" t="str">
        <f>'Necesidades Trimestrales'!E39</f>
        <v>UNIDAD</v>
      </c>
      <c r="F41" s="51">
        <f>+'Necesidades Trimestrales'!G39</f>
        <v>1990</v>
      </c>
      <c r="G41" s="52">
        <f>+'Necesidades Trimestrales'!F39</f>
        <v>10</v>
      </c>
    </row>
    <row r="42" spans="1:7" ht="20.25" customHeight="1" thickBot="1" x14ac:dyDescent="0.25">
      <c r="A42" s="47">
        <v>53</v>
      </c>
      <c r="B42" s="53">
        <f>'Necesidades Trimestrales'!B40</f>
        <v>252</v>
      </c>
      <c r="C42" s="48" t="str">
        <f>'Necesidades Trimestrales'!D40</f>
        <v>METOCLOPRAMIDA 10MG AMP X 1X 2ML</v>
      </c>
      <c r="D42" s="54" t="s">
        <v>55</v>
      </c>
      <c r="E42" s="55" t="str">
        <f>'Necesidades Trimestrales'!E40</f>
        <v>UNIDAD</v>
      </c>
      <c r="F42" s="51">
        <f>+'Necesidades Trimestrales'!G40</f>
        <v>39</v>
      </c>
      <c r="G42" s="52">
        <f>+'Necesidades Trimestrales'!F40</f>
        <v>2000</v>
      </c>
    </row>
    <row r="43" spans="1:7" ht="20.25" customHeight="1" thickBot="1" x14ac:dyDescent="0.25">
      <c r="A43" s="47">
        <v>54</v>
      </c>
      <c r="B43" s="53">
        <f>'Necesidades Trimestrales'!B41</f>
        <v>252</v>
      </c>
      <c r="C43" s="48" t="str">
        <f>'Necesidades Trimestrales'!D41</f>
        <v>METRONIDAZOL 500MG COMP</v>
      </c>
      <c r="D43" s="54" t="s">
        <v>55</v>
      </c>
      <c r="E43" s="55" t="str">
        <f>'Necesidades Trimestrales'!E41</f>
        <v>UNIDAD</v>
      </c>
      <c r="F43" s="51">
        <f>+'Necesidades Trimestrales'!G41</f>
        <v>19.399999999999999</v>
      </c>
      <c r="G43" s="52">
        <f>+'Necesidades Trimestrales'!F41</f>
        <v>500</v>
      </c>
    </row>
    <row r="44" spans="1:7" ht="20.25" customHeight="1" thickBot="1" x14ac:dyDescent="0.25">
      <c r="A44" s="47">
        <v>55</v>
      </c>
      <c r="B44" s="53">
        <f>'Necesidades Trimestrales'!B42</f>
        <v>252</v>
      </c>
      <c r="C44" s="48" t="str">
        <f>'Necesidades Trimestrales'!D42</f>
        <v>MORFINA CLORH 1% AMP X 1ML</v>
      </c>
      <c r="D44" s="54" t="s">
        <v>55</v>
      </c>
      <c r="E44" s="55" t="str">
        <f>'Necesidades Trimestrales'!E42</f>
        <v>UNIDAD</v>
      </c>
      <c r="F44" s="51">
        <f>+'Necesidades Trimestrales'!G42</f>
        <v>170</v>
      </c>
      <c r="G44" s="52">
        <f>+'Necesidades Trimestrales'!F42</f>
        <v>500</v>
      </c>
    </row>
    <row r="45" spans="1:7" ht="20.25" customHeight="1" thickBot="1" x14ac:dyDescent="0.25">
      <c r="A45" s="47">
        <v>56</v>
      </c>
      <c r="B45" s="53">
        <f>'Necesidades Trimestrales'!B43</f>
        <v>252</v>
      </c>
      <c r="C45" s="48" t="str">
        <f>'Necesidades Trimestrales'!D43</f>
        <v>OMEPRAZOL 4MG FCO/AMP</v>
      </c>
      <c r="D45" s="54" t="s">
        <v>55</v>
      </c>
      <c r="E45" s="55" t="str">
        <f>'Necesidades Trimestrales'!E43</f>
        <v>UNIDAD</v>
      </c>
      <c r="F45" s="51">
        <f>+'Necesidades Trimestrales'!G43</f>
        <v>307.8</v>
      </c>
      <c r="G45" s="52">
        <f>+'Necesidades Trimestrales'!F43</f>
        <v>300</v>
      </c>
    </row>
    <row r="46" spans="1:7" ht="20.25" customHeight="1" thickBot="1" x14ac:dyDescent="0.25">
      <c r="A46" s="47">
        <v>57</v>
      </c>
      <c r="B46" s="53">
        <f>'Necesidades Trimestrales'!B44</f>
        <v>252</v>
      </c>
      <c r="C46" s="48" t="str">
        <f>'Necesidades Trimestrales'!D44</f>
        <v>PROPARACAINA COL. X 10ML</v>
      </c>
      <c r="D46" s="54" t="s">
        <v>55</v>
      </c>
      <c r="E46" s="55" t="str">
        <f>'Necesidades Trimestrales'!E44</f>
        <v>UNIDAD</v>
      </c>
      <c r="F46" s="51">
        <f>+'Necesidades Trimestrales'!G44</f>
        <v>412.65</v>
      </c>
      <c r="G46" s="52">
        <f>+'Necesidades Trimestrales'!F44</f>
        <v>50</v>
      </c>
    </row>
    <row r="47" spans="1:7" ht="20.25" customHeight="1" thickBot="1" x14ac:dyDescent="0.25">
      <c r="A47" s="47">
        <v>58</v>
      </c>
      <c r="B47" s="53">
        <f>'Necesidades Trimestrales'!B45</f>
        <v>252</v>
      </c>
      <c r="C47" s="48" t="str">
        <f>'Necesidades Trimestrales'!D45</f>
        <v>RESINA COLOFON/ADHESOLX92ML</v>
      </c>
      <c r="D47" s="54" t="s">
        <v>55</v>
      </c>
      <c r="E47" s="55" t="str">
        <f>'Necesidades Trimestrales'!E45</f>
        <v>UNIDAD</v>
      </c>
      <c r="F47" s="51">
        <f>+'Necesidades Trimestrales'!G45</f>
        <v>833.63</v>
      </c>
      <c r="G47" s="52">
        <f>+'Necesidades Trimestrales'!F45</f>
        <v>10</v>
      </c>
    </row>
    <row r="48" spans="1:7" ht="20.25" customHeight="1" thickBot="1" x14ac:dyDescent="0.25">
      <c r="A48" s="47">
        <v>59</v>
      </c>
      <c r="B48" s="53">
        <f>'Necesidades Trimestrales'!B46</f>
        <v>252</v>
      </c>
      <c r="C48" s="48" t="str">
        <f>'Necesidades Trimestrales'!D46</f>
        <v>RIFAMPICINA 600MG F/A</v>
      </c>
      <c r="D48" s="54" t="s">
        <v>55</v>
      </c>
      <c r="E48" s="55" t="str">
        <f>'Necesidades Trimestrales'!E46</f>
        <v>UNIDAD</v>
      </c>
      <c r="F48" s="51">
        <f>+'Necesidades Trimestrales'!G46</f>
        <v>2204.14</v>
      </c>
      <c r="G48" s="52">
        <f>+'Necesidades Trimestrales'!F46</f>
        <v>30</v>
      </c>
    </row>
    <row r="49" spans="1:9" ht="20.25" customHeight="1" thickBot="1" x14ac:dyDescent="0.25">
      <c r="A49" s="47">
        <v>60</v>
      </c>
      <c r="B49" s="53">
        <f>'Necesidades Trimestrales'!B20</f>
        <v>252</v>
      </c>
      <c r="C49" s="48" t="str">
        <f>'Necesidades Trimestrales'!D47</f>
        <v>VALPROICO ACIDO 500 MG X 5ML AMP X 1</v>
      </c>
      <c r="D49" s="54" t="s">
        <v>55</v>
      </c>
      <c r="E49" s="55" t="str">
        <f>'Necesidades Trimestrales'!E20</f>
        <v>UNIDAD</v>
      </c>
      <c r="F49" s="51">
        <f>+'Necesidades Trimestrales'!G47</f>
        <v>848.52</v>
      </c>
      <c r="G49" s="52">
        <f>+'Necesidades Trimestrales'!F47</f>
        <v>100</v>
      </c>
      <c r="I49" s="86"/>
    </row>
    <row r="50" spans="1:9" ht="25.5" customHeight="1" thickBot="1" x14ac:dyDescent="0.25">
      <c r="A50" s="109" t="s">
        <v>95</v>
      </c>
      <c r="B50" s="110"/>
      <c r="C50" s="110"/>
      <c r="D50" s="110"/>
      <c r="E50" s="110"/>
      <c r="F50" s="111">
        <f>SUMPRODUCT(F12:F49,G12:G49)</f>
        <v>11377316</v>
      </c>
      <c r="G50" s="111"/>
      <c r="I50" s="86"/>
    </row>
  </sheetData>
  <mergeCells count="22">
    <mergeCell ref="A50:E50"/>
    <mergeCell ref="F50:G50"/>
    <mergeCell ref="D4:G4"/>
    <mergeCell ref="D5:G5"/>
    <mergeCell ref="D6:G6"/>
    <mergeCell ref="D7:G7"/>
    <mergeCell ref="D8:G8"/>
    <mergeCell ref="A8:C8"/>
    <mergeCell ref="A10:A11"/>
    <mergeCell ref="B10:B11"/>
    <mergeCell ref="C10:C11"/>
    <mergeCell ref="D10:D11"/>
    <mergeCell ref="E10:E11"/>
    <mergeCell ref="F10:F11"/>
    <mergeCell ref="G10:G11"/>
    <mergeCell ref="A1:E1"/>
    <mergeCell ref="A6:C6"/>
    <mergeCell ref="A7:C7"/>
    <mergeCell ref="A3:C3"/>
    <mergeCell ref="D3:G3"/>
    <mergeCell ref="A4:C4"/>
    <mergeCell ref="A5:C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tabSelected="1" zoomScale="130" zoomScaleNormal="130" workbookViewId="0">
      <selection activeCell="G24" sqref="G24:Q24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9" ht="15.75" customHeight="1" x14ac:dyDescent="0.25">
      <c r="A1" s="141" t="s">
        <v>3</v>
      </c>
      <c r="B1" s="141"/>
      <c r="C1" s="141"/>
      <c r="D1" s="142">
        <f>'Necesidades Trimestrales'!C6</f>
        <v>2021</v>
      </c>
      <c r="E1" s="142"/>
      <c r="F1" s="3"/>
      <c r="G1" s="3"/>
      <c r="H1" s="4"/>
      <c r="I1" s="4"/>
      <c r="J1" s="4"/>
      <c r="K1" s="4"/>
      <c r="L1" s="4"/>
      <c r="M1" s="4"/>
      <c r="N1" s="4"/>
      <c r="P1" s="143" t="s">
        <v>26</v>
      </c>
      <c r="Q1" s="143"/>
    </row>
    <row r="2" spans="1:19" ht="15.75" customHeight="1" x14ac:dyDescent="0.2">
      <c r="H2" s="4"/>
      <c r="I2" s="4"/>
      <c r="J2" s="4"/>
      <c r="K2" s="4"/>
      <c r="L2" s="4"/>
      <c r="M2" s="4"/>
      <c r="N2" s="4"/>
      <c r="P2" s="143"/>
      <c r="Q2" s="143"/>
    </row>
    <row r="4" spans="1:19" s="5" customFormat="1" ht="18" customHeight="1" thickBot="1" x14ac:dyDescent="0.25">
      <c r="A4" s="144" t="s">
        <v>27</v>
      </c>
      <c r="B4" s="144"/>
      <c r="C4" s="144"/>
      <c r="D4" s="144"/>
      <c r="E4" s="144"/>
      <c r="F4" s="144"/>
      <c r="G4" s="139" t="s">
        <v>53</v>
      </c>
      <c r="H4" s="139"/>
      <c r="I4" s="139"/>
      <c r="J4" s="139"/>
      <c r="K4" s="139"/>
      <c r="L4" s="139"/>
      <c r="M4" s="139"/>
      <c r="N4" s="139"/>
      <c r="O4" s="139"/>
      <c r="P4" s="139"/>
      <c r="Q4" s="139"/>
    </row>
    <row r="5" spans="1:19" s="5" customFormat="1" ht="18" customHeight="1" thickBot="1" x14ac:dyDescent="0.25">
      <c r="A5" s="136" t="s">
        <v>50</v>
      </c>
      <c r="B5" s="137"/>
      <c r="C5" s="137"/>
      <c r="D5" s="137"/>
      <c r="E5" s="137"/>
      <c r="F5" s="138"/>
      <c r="G5" s="139" t="s">
        <v>52</v>
      </c>
      <c r="H5" s="139"/>
      <c r="I5" s="139"/>
      <c r="J5" s="139"/>
      <c r="K5" s="139"/>
      <c r="L5" s="139"/>
      <c r="M5" s="139"/>
      <c r="N5" s="139"/>
      <c r="O5" s="139"/>
      <c r="P5" s="139"/>
      <c r="Q5" s="139"/>
    </row>
    <row r="6" spans="1:19" s="5" customFormat="1" ht="18" customHeight="1" thickBot="1" x14ac:dyDescent="0.25">
      <c r="A6" s="136" t="s">
        <v>28</v>
      </c>
      <c r="B6" s="137"/>
      <c r="C6" s="137"/>
      <c r="D6" s="137"/>
      <c r="E6" s="137"/>
      <c r="F6" s="138"/>
      <c r="G6" s="139" t="s">
        <v>52</v>
      </c>
      <c r="H6" s="139"/>
      <c r="I6" s="139"/>
      <c r="J6" s="139"/>
      <c r="K6" s="139"/>
      <c r="L6" s="139"/>
      <c r="M6" s="139"/>
      <c r="N6" s="139"/>
      <c r="O6" s="139"/>
      <c r="P6" s="139"/>
      <c r="Q6" s="139"/>
    </row>
    <row r="7" spans="1:19" s="5" customFormat="1" ht="18" customHeight="1" thickBot="1" x14ac:dyDescent="0.25">
      <c r="A7" s="136" t="s">
        <v>51</v>
      </c>
      <c r="B7" s="137"/>
      <c r="C7" s="137"/>
      <c r="D7" s="137"/>
      <c r="E7" s="137"/>
      <c r="F7" s="138"/>
      <c r="G7" s="139" t="s">
        <v>103</v>
      </c>
      <c r="H7" s="139"/>
      <c r="I7" s="139"/>
      <c r="J7" s="139"/>
      <c r="K7" s="139"/>
      <c r="L7" s="139"/>
      <c r="M7" s="139"/>
      <c r="N7" s="139"/>
      <c r="O7" s="139"/>
      <c r="P7" s="139"/>
      <c r="Q7" s="139"/>
    </row>
    <row r="8" spans="1:19" ht="18" customHeight="1" thickBot="1" x14ac:dyDescent="0.25">
      <c r="A8" s="140" t="s">
        <v>29</v>
      </c>
      <c r="B8" s="140"/>
      <c r="C8" s="140"/>
      <c r="D8" s="140"/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0"/>
      <c r="Q8" s="140"/>
    </row>
    <row r="9" spans="1:19" ht="18" customHeight="1" x14ac:dyDescent="0.2">
      <c r="A9" s="130" t="s">
        <v>30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"/>
      <c r="P9" s="1"/>
      <c r="Q9" s="6"/>
    </row>
    <row r="10" spans="1:19" ht="54.75" customHeight="1" x14ac:dyDescent="0.2">
      <c r="A10" s="131" t="str">
        <f>"Autorizo la realización de los  trámites correspondientes, a fin de proveer a  este Organismo los bienes y/o servicios que se detallan en Nota  de Pedido N° " &amp; ' NotaPedido'!G1&amp;",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011/2021,  afectando la erogación resultante a los créditos presupuestarios aprobados a favor de esta Unidad Ejecutora, conforme al siguiente detalle: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</row>
    <row r="11" spans="1:19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9" ht="15.75" customHeight="1" x14ac:dyDescent="0.2">
      <c r="A12" s="132" t="s">
        <v>31</v>
      </c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</row>
    <row r="13" spans="1:19" ht="15.75" customHeight="1" x14ac:dyDescent="0.2">
      <c r="A13" s="133" t="s">
        <v>32</v>
      </c>
      <c r="B13" s="133"/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4" t="s">
        <v>33</v>
      </c>
      <c r="P13" s="134"/>
      <c r="Q13" s="135" t="s">
        <v>34</v>
      </c>
    </row>
    <row r="14" spans="1:19" ht="15.75" customHeight="1" x14ac:dyDescent="0.2">
      <c r="A14" s="11" t="s">
        <v>35</v>
      </c>
      <c r="B14" s="12" t="s">
        <v>36</v>
      </c>
      <c r="C14" s="12" t="s">
        <v>37</v>
      </c>
      <c r="D14" s="12" t="s">
        <v>38</v>
      </c>
      <c r="E14" s="12" t="s">
        <v>39</v>
      </c>
      <c r="F14" s="12" t="s">
        <v>40</v>
      </c>
      <c r="G14" s="13" t="s">
        <v>41</v>
      </c>
      <c r="H14" s="12" t="s">
        <v>42</v>
      </c>
      <c r="I14" s="12" t="s">
        <v>43</v>
      </c>
      <c r="J14" s="12" t="s">
        <v>44</v>
      </c>
      <c r="K14" s="12" t="s">
        <v>44</v>
      </c>
      <c r="L14" s="12" t="s">
        <v>45</v>
      </c>
      <c r="M14" s="14" t="s">
        <v>46</v>
      </c>
      <c r="N14" s="15" t="s">
        <v>47</v>
      </c>
      <c r="O14" s="134"/>
      <c r="P14" s="134"/>
      <c r="Q14" s="135"/>
    </row>
    <row r="15" spans="1:19" ht="27.75" customHeight="1" x14ac:dyDescent="0.2">
      <c r="A15" s="59">
        <v>36</v>
      </c>
      <c r="B15" s="60"/>
      <c r="C15" s="60"/>
      <c r="D15" s="60">
        <v>1</v>
      </c>
      <c r="E15" s="60"/>
      <c r="F15" s="60">
        <v>4901</v>
      </c>
      <c r="G15" s="60">
        <v>3</v>
      </c>
      <c r="H15" s="60">
        <v>310</v>
      </c>
      <c r="I15" s="61">
        <v>2</v>
      </c>
      <c r="J15" s="61">
        <v>5</v>
      </c>
      <c r="K15" s="61">
        <v>2</v>
      </c>
      <c r="L15" s="60"/>
      <c r="M15" s="62">
        <v>1</v>
      </c>
      <c r="N15" s="63" t="s">
        <v>54</v>
      </c>
      <c r="O15" s="128" t="s">
        <v>98</v>
      </c>
      <c r="P15" s="129"/>
      <c r="Q15" s="16">
        <v>11377316</v>
      </c>
      <c r="S15" s="87"/>
    </row>
    <row r="16" spans="1:19" ht="17.25" customHeight="1" x14ac:dyDescent="0.2">
      <c r="A16" s="17"/>
      <c r="B16" s="18"/>
      <c r="C16" s="18"/>
      <c r="D16" s="18"/>
      <c r="E16" s="18"/>
      <c r="F16" s="20"/>
      <c r="G16" s="18"/>
      <c r="H16" s="18"/>
      <c r="I16" s="18"/>
      <c r="J16" s="18"/>
      <c r="K16" s="18"/>
      <c r="L16" s="18"/>
      <c r="M16" s="19"/>
      <c r="N16" s="20"/>
      <c r="O16" s="123"/>
      <c r="P16" s="123"/>
      <c r="Q16" s="21"/>
    </row>
    <row r="17" spans="1:18" ht="17.25" customHeight="1" x14ac:dyDescent="0.2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9"/>
      <c r="N17" s="20"/>
      <c r="O17" s="123"/>
      <c r="P17" s="123"/>
      <c r="Q17" s="21"/>
    </row>
    <row r="18" spans="1:18" ht="17.25" customHeight="1" x14ac:dyDescent="0.2">
      <c r="A18" s="17"/>
      <c r="B18" s="18"/>
      <c r="C18" s="18"/>
      <c r="D18" s="18"/>
      <c r="E18" s="18"/>
      <c r="F18" s="20"/>
      <c r="G18" s="18"/>
      <c r="H18" s="18"/>
      <c r="I18" s="18"/>
      <c r="J18" s="18"/>
      <c r="K18" s="18"/>
      <c r="L18" s="18"/>
      <c r="M18" s="19"/>
      <c r="N18" s="20"/>
      <c r="O18" s="123"/>
      <c r="P18" s="123"/>
      <c r="Q18" s="21"/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23"/>
      <c r="P19" s="123"/>
      <c r="Q19" s="21"/>
    </row>
    <row r="20" spans="1:18" ht="17.25" customHeight="1" x14ac:dyDescent="0.2">
      <c r="A20" s="22"/>
      <c r="B20" s="23"/>
      <c r="C20" s="23"/>
      <c r="D20" s="23"/>
      <c r="E20" s="23"/>
      <c r="F20" s="24"/>
      <c r="G20" s="23"/>
      <c r="H20" s="23"/>
      <c r="I20" s="23"/>
      <c r="J20" s="23"/>
      <c r="K20" s="23"/>
      <c r="L20" s="23"/>
      <c r="M20" s="25"/>
      <c r="N20" s="26"/>
      <c r="O20" s="124"/>
      <c r="P20" s="124"/>
      <c r="Q20" s="21"/>
      <c r="R20" s="1"/>
    </row>
    <row r="21" spans="1:18" ht="17.25" customHeight="1" x14ac:dyDescent="0.2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9"/>
      <c r="N21" s="28"/>
      <c r="O21" s="125"/>
      <c r="P21" s="125"/>
      <c r="Q21" s="30"/>
    </row>
    <row r="22" spans="1:18" ht="29.25" customHeight="1" x14ac:dyDescent="0.2">
      <c r="A22" s="126" t="s">
        <v>108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31">
        <f>SUM(Q15:Q21)</f>
        <v>11377316</v>
      </c>
    </row>
    <row r="23" spans="1:18" ht="18" customHeight="1" thickBot="1" x14ac:dyDescent="0.25">
      <c r="A23" s="127"/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</row>
    <row r="24" spans="1:18" ht="17.25" customHeight="1" thickBot="1" x14ac:dyDescent="0.25">
      <c r="A24" s="118" t="s">
        <v>48</v>
      </c>
      <c r="B24" s="119"/>
      <c r="C24" s="119"/>
      <c r="D24" s="119"/>
      <c r="E24" s="119"/>
      <c r="F24" s="120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</row>
    <row r="25" spans="1:18" ht="18" customHeight="1" thickBot="1" x14ac:dyDescent="0.25">
      <c r="A25" s="122" t="s">
        <v>109</v>
      </c>
      <c r="B25" s="122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</row>
    <row r="26" spans="1:18" ht="15" customHeight="1" x14ac:dyDescent="0.2">
      <c r="A26" s="122"/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</row>
  </sheetData>
  <mergeCells count="30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A24:F24"/>
    <mergeCell ref="G24:Q24"/>
    <mergeCell ref="A25:Q26"/>
    <mergeCell ref="O19:P19"/>
    <mergeCell ref="O20:P20"/>
    <mergeCell ref="O21:P21"/>
    <mergeCell ref="A22:P22"/>
    <mergeCell ref="A23:Q23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Lorena</cp:lastModifiedBy>
  <cp:revision>2</cp:revision>
  <cp:lastPrinted>2020-07-23T13:47:13Z</cp:lastPrinted>
  <dcterms:created xsi:type="dcterms:W3CDTF">2020-07-17T23:44:49Z</dcterms:created>
  <dcterms:modified xsi:type="dcterms:W3CDTF">2021-02-22T16:26:00Z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