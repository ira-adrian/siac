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pras PC 2\Desktop\VALERIA  2022\MATERIALES PARA PROGRAMAS EDICILICIOS\"/>
    </mc:Choice>
  </mc:AlternateContent>
  <bookViews>
    <workbookView xWindow="0" yWindow="0" windowWidth="20490" windowHeight="7155" activeTab="3"/>
  </bookViews>
  <sheets>
    <sheet name="Necesidades Trimestrales" sheetId="1" r:id="rId1"/>
    <sheet name="Partidas" sheetId="4" state="hidden" r:id="rId2"/>
    <sheet name="NDP" sheetId="2" r:id="rId3"/>
    <sheet name="APG" sheetId="3" r:id="rId4"/>
  </sheets>
  <definedNames>
    <definedName name="_xlnm._FilterDatabase" localSheetId="0" hidden="1">'Necesidades Trimestrales'!$A$6:$I$15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9" i="2" l="1"/>
  <c r="G18" i="2"/>
  <c r="G17" i="2"/>
  <c r="G16" i="2"/>
  <c r="G15" i="2"/>
  <c r="G14" i="2"/>
  <c r="G13" i="2"/>
  <c r="G12" i="2"/>
  <c r="G11" i="2"/>
  <c r="L13" i="1"/>
  <c r="I15" i="1"/>
  <c r="I14" i="1"/>
  <c r="I13" i="1"/>
  <c r="I12" i="1"/>
  <c r="I11" i="1"/>
  <c r="I10" i="1"/>
  <c r="I9" i="1"/>
  <c r="I8" i="1"/>
  <c r="I7" i="1"/>
  <c r="H11" i="2" l="1"/>
  <c r="H19" i="2" l="1"/>
  <c r="H18" i="2"/>
  <c r="H17" i="2"/>
  <c r="H16" i="2"/>
  <c r="H15" i="2"/>
  <c r="H14" i="2"/>
  <c r="H13" i="2"/>
  <c r="H12" i="2"/>
  <c r="Q19" i="3" l="1"/>
  <c r="H20" i="2" l="1"/>
  <c r="I16" i="1" l="1"/>
</calcChain>
</file>

<file path=xl/sharedStrings.xml><?xml version="1.0" encoding="utf-8"?>
<sst xmlns="http://schemas.openxmlformats.org/spreadsheetml/2006/main" count="170" uniqueCount="98">
  <si>
    <t>JURISDICCION:</t>
  </si>
  <si>
    <t xml:space="preserve">SAF N°: </t>
  </si>
  <si>
    <t>EJERCICIO:</t>
  </si>
  <si>
    <t>TRIMESTRE:</t>
  </si>
  <si>
    <t>ID</t>
  </si>
  <si>
    <t>Pedido de Necesidades Trimestrales</t>
  </si>
  <si>
    <t>CODIGO ITEM</t>
  </si>
  <si>
    <t>Descripción técnica</t>
  </si>
  <si>
    <t>Plazos y lugares de entrega</t>
  </si>
  <si>
    <t>Calidad Minima esperada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</si>
  <si>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</si>
  <si>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</si>
  <si>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</si>
  <si>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</si>
  <si>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</si>
  <si>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</si>
  <si>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</si>
  <si>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</si>
  <si>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</si>
  <si>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</si>
  <si>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</si>
  <si>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</si>
  <si>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</si>
  <si>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</si>
  <si>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</si>
  <si>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</si>
  <si>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</si>
  <si>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</si>
  <si>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</si>
  <si>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</si>
  <si>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</si>
  <si>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</si>
  <si>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</si>
  <si>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</si>
  <si>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</si>
  <si>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</si>
  <si>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</si>
  <si>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</si>
  <si>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</si>
  <si>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</si>
  <si>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</si>
  <si>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</si>
  <si>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</si>
  <si>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</si>
  <si>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</si>
  <si>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</si>
  <si>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</si>
  <si>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</si>
  <si>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</si>
  <si>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</si>
  <si>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</si>
  <si>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</si>
  <si>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</si>
  <si>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NO</t>
  </si>
  <si>
    <t>3 (TRES) MESES</t>
  </si>
  <si>
    <t>MATERIALES DE CONSTRUCCION</t>
  </si>
  <si>
    <t>FERRETERIA</t>
  </si>
  <si>
    <t>CEMENTO PORTLAND; PRESENTACION: BOLSA X 50 Kg, TIPO: PUZOLANICO, CANT. PLIEGOS BOLSA: SIN VALOR</t>
  </si>
  <si>
    <t>2.6.5-335.5</t>
  </si>
  <si>
    <r>
      <t>Mantenimiento:</t>
    </r>
    <r>
      <rPr>
        <sz val="10"/>
        <rFont val="Times New Roman"/>
        <family val="1"/>
      </rPr>
      <t xml:space="preserve"> 45 días habiles</t>
    </r>
  </si>
  <si>
    <t>PRECIO TOTAL ESTIMADO</t>
  </si>
  <si>
    <t xml:space="preserve">26 DIRECCION PROVINCIAL DE ADMINISTRACION </t>
  </si>
  <si>
    <t>DIRECCION PROVINCIAL DE PROGRMACION EDILICIA</t>
  </si>
  <si>
    <t>CEMENTO, CAL Y YESO</t>
  </si>
  <si>
    <t>PRODUCTOS FERROSOS</t>
  </si>
  <si>
    <t>HERRAMIENTAS MENORES</t>
  </si>
  <si>
    <t xml:space="preserve">MINISTERIO DE EDUCACION </t>
  </si>
  <si>
    <t>ADQUISICIÓN DE ELEMENTOS VARIOS</t>
  </si>
  <si>
    <t>DIRECCION PROVINCIAL DE PROGRAMACION EDILICIA</t>
  </si>
  <si>
    <t>Especificidades Items:</t>
  </si>
  <si>
    <t xml:space="preserve">   ADQUISICIÓN DE ELEMENTOS VARIOS CON DESTINO A REFACCIONES DE ESTABLECIMIENTOS EDUCATIVOS DE LA PROVINCIA.-</t>
  </si>
  <si>
    <t>N°       /2022</t>
  </si>
  <si>
    <t>2.6.5-1741.1</t>
  </si>
  <si>
    <t>2.7.1-977.5</t>
  </si>
  <si>
    <t>2.7.1-331.62</t>
  </si>
  <si>
    <t>2.7.5-633.4</t>
  </si>
  <si>
    <t>2.6.5-1740.3</t>
  </si>
  <si>
    <t>2.6.5-1740.1</t>
  </si>
  <si>
    <t>2.6.5-677.1</t>
  </si>
  <si>
    <t>2.5.5-381.2</t>
  </si>
  <si>
    <t>CAL; PRESENTACION: BOLSA 25 Kg, USO: CONSTRUCCION, TIPO: SIN VALOR</t>
  </si>
  <si>
    <t>PERFILES NORMALIZADOS; TIPO: T, TRATAMIENTO: LAMINADO EN CALIENTE, ALMA X ALA X ESP.: 50 X 50 X 5 mm</t>
  </si>
  <si>
    <t>CHAPAS GALVANIZADAS; ANCHO: 2,5 M, CALIBRE (BWG): 25, LARGO UTIL: 6,5 M, CALIBRE BWG: 25, LARGO: 6,5 M</t>
  </si>
  <si>
    <t>PALAS; LARGO: 2 M, USO: POSTES, TIPO: DERECHA PUNTA CORAZON</t>
  </si>
  <si>
    <t>PLACAS PREMOLDEADAS DE YESO; ESPESOR: 12,5 mm, TIPO: NORMAL</t>
  </si>
  <si>
    <t>PLACAS PREMOLDEADAS DE YESO; ESPESOR: 12,5 mm, TIPO: RESISTENTE A LA HUMEDAD</t>
  </si>
  <si>
    <t>YESO EN POLVO; PESO: 40 Kg, USO: CONSTRUCCION, PRESENTACION: BOLSA</t>
  </si>
  <si>
    <t>ENDUIDOS; CAPACIDAD: LATA X 4 L</t>
  </si>
  <si>
    <t>Autorizo la realización de los  trámites correspondientes, a fin de proveer a  este Organismo los bienes que se detallan en Nota  de Pedido N°  /22, afectando la erogación resultante a los créditos presupuestarios aprobados a favor de esta Unidad Ejecutora, conforme al siguiente detalle:</t>
  </si>
  <si>
    <t>2.6.5</t>
  </si>
  <si>
    <t>2.7.1</t>
  </si>
  <si>
    <t>2.7.5</t>
  </si>
  <si>
    <t>2.5.5</t>
  </si>
  <si>
    <t>COSTO TOTAL ESTIMADO: PESOS SEIS MILLONES NOVECIENTOS CUARENTA Y OCHO MIL DOSCIENTOS DIEZ CON 00/100.</t>
  </si>
  <si>
    <t>El plazo de entrega diez (10) días hábiles a partir de la fecha de recepción de la respectiva Orden de Compra en el domicilio especial electrónico constituido, en virtud del método de contratación. La entrega de dichos bienes se realizará en el Deposito del Ministerio de Educación, sito en calle Maipu N°1251 - San Fernando del Valle de Catamarca.  Se presentará Remito que deberá cumplimentar lo dispuesto por la R.G. AFIP  1415/03, sin excepción.</t>
  </si>
  <si>
    <t>TINTAS, PINTURAS Y COLORANTES</t>
  </si>
  <si>
    <t xml:space="preserve">TOTAL DE PESOS: SEIS MILLONES NOVECIENTOS CUARENTA Y OCHO MIL DOSCIENTOS DIEZ CON 00/100 </t>
  </si>
  <si>
    <t xml:space="preserve">Costo total estimado:  PESOS SEIS MILLONES NOVECIENTOS CUARENTA Y OCHO MIL DOSCIENTOS DIEZ CON 00/100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</si>
</sst>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 #,##0.00_-;\-&quot;$&quot;\ * #,##0.00_-;_-&quot;$&quot;\ * &quot;-&quot;??_-;_-@_-"/>
    <numFmt numFmtId="164" formatCode="_-* #,##0.00\ _€_-;\-* #,##0.00\ _€_-;_-* &quot;-&quot;??\ _€_-;_-@_-"/>
    <numFmt numFmtId="165" formatCode="[$$-2C0A]\ #,##0.00;[$$-2C0A]&quot; -&quot;#,##0.00"/>
    <numFmt numFmtId="166" formatCode="&quot;$&quot;\ #,##0.00"/>
    <numFmt numFmtId="167" formatCode="dd\-mm\-yy;@"/>
    <numFmt numFmtId="168" formatCode="_(\$* #,##0.00_);_(\$* \(#,##0.00\);_(\$* \-??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11"/>
      <color rgb="FF333333"/>
      <name val="Arial"/>
      <family val="2"/>
    </font>
    <font>
      <sz val="11"/>
      <color theme="1"/>
      <name val="Arial"/>
      <family val="2"/>
    </font>
    <font>
      <sz val="11"/>
      <name val="Calibri"/>
      <family val="2"/>
      <scheme val="minor"/>
    </font>
    <font>
      <b/>
      <sz val="8"/>
      <color rgb="FF000000"/>
      <name val="Times New Roman"/>
      <family val="1"/>
    </font>
    <font>
      <sz val="11"/>
      <color rgb="FFFF0000"/>
      <name val="Calibri"/>
      <family val="2"/>
      <scheme val="minor"/>
    </font>
    <font>
      <sz val="10"/>
      <color theme="1"/>
      <name val="Calibri"/>
      <family val="2"/>
      <scheme val="minor"/>
    </font>
    <font>
      <b/>
      <sz val="8"/>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6">
    <border>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
      <left style="medium">
        <color auto="1"/>
      </left>
      <right style="medium">
        <color auto="1"/>
      </right>
      <top style="medium">
        <color auto="1"/>
      </top>
      <bottom/>
      <diagonal/>
    </border>
    <border>
      <left/>
      <right/>
      <top style="medium">
        <color rgb="FFE5E5E5"/>
      </top>
      <bottom/>
      <diagonal/>
    </border>
    <border>
      <left style="medium">
        <color indexed="64"/>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8" fontId="21" fillId="0" borderId="0" applyBorder="0" applyProtection="0"/>
  </cellStyleXfs>
  <cellXfs count="169">
    <xf numFmtId="0" fontId="0" fillId="0" borderId="0" xfId="0"/>
    <xf numFmtId="0" fontId="3" fillId="0" borderId="0" xfId="0" applyFont="1"/>
    <xf numFmtId="0" fontId="5" fillId="0" borderId="1"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5" xfId="0" applyFont="1" applyBorder="1"/>
    <xf numFmtId="0" fontId="9" fillId="0" borderId="6" xfId="0" applyFont="1" applyBorder="1" applyAlignment="1">
      <alignment horizontal="left" indent="3"/>
    </xf>
    <xf numFmtId="0" fontId="3" fillId="0" borderId="6"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4" xfId="0" applyFont="1" applyBorder="1"/>
    <xf numFmtId="0" fontId="3" fillId="0" borderId="8"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9" xfId="0" applyFont="1" applyBorder="1"/>
    <xf numFmtId="0" fontId="3" fillId="0" borderId="10" xfId="0" applyFont="1" applyBorder="1"/>
    <xf numFmtId="0" fontId="3" fillId="0" borderId="10" xfId="0" applyFont="1" applyBorder="1" applyAlignment="1">
      <alignment horizontal="center" wrapText="1"/>
    </xf>
    <xf numFmtId="0" fontId="3" fillId="0" borderId="11" xfId="0" applyFont="1" applyBorder="1"/>
    <xf numFmtId="0" fontId="8" fillId="2" borderId="2"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4" xfId="0" applyNumberFormat="1" applyFont="1" applyBorder="1"/>
    <xf numFmtId="167" fontId="11" fillId="0" borderId="4" xfId="0" applyNumberFormat="1" applyFont="1" applyBorder="1" applyAlignment="1">
      <alignment horizontal="left"/>
    </xf>
    <xf numFmtId="0" fontId="11" fillId="0" borderId="4" xfId="0" applyFont="1" applyBorder="1"/>
    <xf numFmtId="0" fontId="11" fillId="0" borderId="6" xfId="0" applyFont="1" applyBorder="1"/>
    <xf numFmtId="0" fontId="11" fillId="0" borderId="0" xfId="0" applyFont="1"/>
    <xf numFmtId="0" fontId="11" fillId="0" borderId="0" xfId="0" applyFont="1" applyAlignment="1">
      <alignment horizontal="left"/>
    </xf>
    <xf numFmtId="167" fontId="11" fillId="0" borderId="0" xfId="0" applyNumberFormat="1" applyFont="1" applyAlignment="1">
      <alignment horizontal="left"/>
    </xf>
    <xf numFmtId="0" fontId="11" fillId="0" borderId="10" xfId="0" applyFont="1" applyBorder="1"/>
    <xf numFmtId="0" fontId="11" fillId="0" borderId="13" xfId="0" applyFont="1" applyBorder="1"/>
    <xf numFmtId="0" fontId="11" fillId="0" borderId="14" xfId="0" applyFont="1" applyBorder="1"/>
    <xf numFmtId="0" fontId="11" fillId="0" borderId="14" xfId="0" applyFont="1" applyBorder="1" applyAlignment="1">
      <alignment horizontal="left"/>
    </xf>
    <xf numFmtId="0" fontId="11" fillId="0" borderId="23" xfId="0" applyFont="1" applyBorder="1"/>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7" xfId="0" applyFont="1" applyBorder="1" applyAlignment="1">
      <alignment horizontal="left"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165" fontId="11" fillId="0" borderId="35" xfId="2" applyNumberFormat="1" applyFont="1" applyBorder="1" applyAlignment="1" applyProtection="1">
      <alignment horizontal="center" vertical="center"/>
    </xf>
    <xf numFmtId="165" fontId="20" fillId="0" borderId="37" xfId="0" applyNumberFormat="1" applyFont="1" applyBorder="1" applyAlignment="1">
      <alignment horizontal="center" vertical="center"/>
    </xf>
    <xf numFmtId="0" fontId="17" fillId="0" borderId="2" xfId="0" applyFont="1" applyFill="1" applyBorder="1" applyAlignment="1">
      <alignment horizontal="center" vertical="center"/>
    </xf>
    <xf numFmtId="0" fontId="5" fillId="0" borderId="3" xfId="0" applyFont="1" applyBorder="1" applyAlignment="1">
      <alignment horizontal="center" vertical="center"/>
    </xf>
    <xf numFmtId="0" fontId="8" fillId="2" borderId="3" xfId="0" applyFont="1" applyFill="1" applyBorder="1" applyAlignment="1">
      <alignment horizontal="center" vertical="center" wrapText="1"/>
    </xf>
    <xf numFmtId="0" fontId="22" fillId="0" borderId="0" xfId="0" applyFont="1" applyBorder="1" applyAlignment="1">
      <alignment horizontal="left" vertical="center" wrapText="1"/>
    </xf>
    <xf numFmtId="44" fontId="22" fillId="0" borderId="0" xfId="0" applyNumberFormat="1" applyFont="1" applyBorder="1" applyAlignment="1">
      <alignment horizontal="left" vertical="center" wrapText="1"/>
    </xf>
    <xf numFmtId="0" fontId="21" fillId="0" borderId="0" xfId="0" applyFont="1" applyBorder="1" applyAlignment="1">
      <alignment vertical="center"/>
    </xf>
    <xf numFmtId="44" fontId="21" fillId="0" borderId="0" xfId="1" applyFont="1" applyBorder="1" applyAlignment="1">
      <alignment vertical="center"/>
    </xf>
    <xf numFmtId="0" fontId="8" fillId="0" borderId="3" xfId="0" applyFont="1" applyBorder="1" applyAlignment="1">
      <alignment horizontal="center" vertical="center" wrapText="1"/>
    </xf>
    <xf numFmtId="0" fontId="17" fillId="0" borderId="3" xfId="0" applyFont="1" applyFill="1" applyBorder="1" applyAlignment="1">
      <alignment horizontal="center" vertical="center"/>
    </xf>
    <xf numFmtId="0" fontId="23" fillId="0" borderId="48" xfId="0" applyFont="1" applyFill="1" applyBorder="1" applyAlignment="1">
      <alignment vertical="center" wrapText="1"/>
    </xf>
    <xf numFmtId="0" fontId="0" fillId="0" borderId="0" xfId="0" applyFill="1"/>
    <xf numFmtId="0" fontId="24" fillId="0" borderId="48" xfId="0" applyFont="1" applyFill="1" applyBorder="1" applyAlignment="1">
      <alignment vertical="center" wrapText="1"/>
    </xf>
    <xf numFmtId="0" fontId="0" fillId="0" borderId="0" xfId="0" applyAlignment="1">
      <alignment horizontal="left"/>
    </xf>
    <xf numFmtId="0" fontId="23" fillId="0" borderId="48" xfId="0" applyFont="1" applyFill="1" applyBorder="1" applyAlignment="1">
      <alignment horizontal="left" vertical="center" wrapText="1"/>
    </xf>
    <xf numFmtId="0" fontId="5" fillId="0" borderId="49" xfId="0" applyFont="1" applyBorder="1" applyAlignment="1">
      <alignment horizontal="center" vertical="center"/>
    </xf>
    <xf numFmtId="0" fontId="3" fillId="0" borderId="0" xfId="0" applyFont="1" applyBorder="1"/>
    <xf numFmtId="0" fontId="3" fillId="0" borderId="0" xfId="0" applyFont="1" applyBorder="1" applyAlignment="1">
      <alignment horizontal="center" wrapText="1"/>
    </xf>
    <xf numFmtId="0" fontId="9" fillId="0" borderId="7" xfId="0" applyFont="1" applyBorder="1" applyAlignment="1">
      <alignment horizontal="left" indent="3"/>
    </xf>
    <xf numFmtId="0" fontId="5" fillId="0" borderId="3" xfId="0" applyFont="1" applyBorder="1" applyAlignment="1">
      <alignment vertical="center"/>
    </xf>
    <xf numFmtId="44" fontId="5" fillId="0" borderId="3" xfId="1" applyFont="1" applyBorder="1" applyAlignment="1">
      <alignment vertical="center"/>
    </xf>
    <xf numFmtId="0" fontId="5" fillId="0" borderId="3" xfId="0" applyFont="1" applyBorder="1" applyAlignment="1">
      <alignment horizontal="center" vertical="center" wrapText="1"/>
    </xf>
    <xf numFmtId="0" fontId="24" fillId="0" borderId="48" xfId="0" applyFont="1" applyFill="1" applyBorder="1" applyAlignment="1">
      <alignment horizontal="left" vertical="center"/>
    </xf>
    <xf numFmtId="0" fontId="27" fillId="0" borderId="0" xfId="0" applyFont="1"/>
    <xf numFmtId="0" fontId="0" fillId="0" borderId="0" xfId="0" applyAlignment="1">
      <alignment vertical="center" wrapText="1"/>
    </xf>
    <xf numFmtId="0" fontId="0" fillId="0" borderId="0" xfId="0" applyAlignment="1">
      <alignment vertical="center"/>
    </xf>
    <xf numFmtId="0" fontId="0" fillId="0" borderId="3" xfId="0" applyBorder="1" applyAlignment="1">
      <alignment vertical="center" wrapText="1"/>
    </xf>
    <xf numFmtId="0" fontId="0" fillId="0" borderId="43" xfId="0" applyBorder="1" applyAlignment="1">
      <alignment vertical="center" wrapText="1"/>
    </xf>
    <xf numFmtId="0" fontId="0" fillId="0" borderId="3" xfId="0" applyBorder="1" applyAlignment="1">
      <alignment vertical="center"/>
    </xf>
    <xf numFmtId="0" fontId="0" fillId="0" borderId="2" xfId="0" applyBorder="1" applyAlignment="1">
      <alignment vertical="center" wrapText="1"/>
    </xf>
    <xf numFmtId="0" fontId="0" fillId="0" borderId="3" xfId="0" applyFont="1" applyBorder="1" applyAlignment="1">
      <alignment vertical="center"/>
    </xf>
    <xf numFmtId="0" fontId="0" fillId="0" borderId="3" xfId="0" applyFont="1" applyBorder="1" applyAlignment="1">
      <alignment vertical="center" wrapText="1"/>
    </xf>
    <xf numFmtId="0" fontId="28" fillId="0" borderId="3" xfId="0" applyFont="1" applyBorder="1" applyAlignment="1">
      <alignment vertical="center" wrapText="1"/>
    </xf>
    <xf numFmtId="44" fontId="0" fillId="0" borderId="0" xfId="0" applyNumberFormat="1"/>
    <xf numFmtId="0" fontId="8" fillId="2" borderId="46" xfId="0" applyFont="1" applyFill="1" applyBorder="1" applyAlignment="1">
      <alignment horizontal="left" vertical="center" wrapText="1"/>
    </xf>
    <xf numFmtId="0" fontId="28" fillId="0" borderId="3" xfId="0" applyFont="1" applyBorder="1" applyAlignment="1">
      <alignment wrapText="1"/>
    </xf>
    <xf numFmtId="0" fontId="28" fillId="0" borderId="3" xfId="0" applyFont="1" applyBorder="1" applyAlignment="1">
      <alignment horizontal="center" vertical="center" wrapText="1"/>
    </xf>
    <xf numFmtId="0" fontId="28" fillId="0" borderId="3" xfId="0" applyFont="1" applyBorder="1" applyAlignment="1">
      <alignment horizontal="left" vertical="center" wrapText="1"/>
    </xf>
    <xf numFmtId="0" fontId="15" fillId="0" borderId="3" xfId="0" applyFont="1" applyFill="1" applyBorder="1" applyAlignment="1">
      <alignment vertical="center"/>
    </xf>
    <xf numFmtId="0" fontId="27" fillId="0" borderId="3" xfId="0" applyFont="1" applyBorder="1" applyAlignment="1"/>
    <xf numFmtId="0" fontId="15" fillId="3" borderId="3" xfId="0" applyFont="1" applyFill="1" applyBorder="1" applyAlignment="1">
      <alignment vertical="center"/>
    </xf>
    <xf numFmtId="0" fontId="15" fillId="0" borderId="3" xfId="0" applyFont="1" applyBorder="1" applyAlignment="1">
      <alignment vertical="center"/>
    </xf>
    <xf numFmtId="0" fontId="18" fillId="0" borderId="47" xfId="0" applyFont="1" applyFill="1" applyBorder="1" applyAlignment="1">
      <alignment horizontal="left" vertical="center" wrapText="1"/>
    </xf>
    <xf numFmtId="0" fontId="15" fillId="0" borderId="2" xfId="0" applyFont="1" applyFill="1" applyBorder="1" applyAlignment="1">
      <alignment vertical="center"/>
    </xf>
    <xf numFmtId="0" fontId="27" fillId="0" borderId="2" xfId="0" applyFont="1" applyBorder="1" applyAlignment="1"/>
    <xf numFmtId="0" fontId="14" fillId="0" borderId="3" xfId="0" applyFont="1" applyBorder="1" applyAlignment="1">
      <alignment vertical="center"/>
    </xf>
    <xf numFmtId="0" fontId="14" fillId="0" borderId="3" xfId="0" applyFont="1" applyBorder="1" applyAlignment="1">
      <alignment horizontal="left" vertical="center"/>
    </xf>
    <xf numFmtId="0" fontId="0" fillId="0" borderId="3" xfId="0" applyBorder="1"/>
    <xf numFmtId="0" fontId="14" fillId="0" borderId="3" xfId="0" applyFont="1" applyBorder="1" applyAlignment="1">
      <alignment vertical="center" wrapText="1"/>
    </xf>
    <xf numFmtId="0" fontId="2" fillId="0" borderId="7" xfId="0" applyFont="1" applyBorder="1" applyAlignment="1">
      <alignment vertical="top"/>
    </xf>
    <xf numFmtId="0" fontId="2" fillId="0" borderId="8" xfId="0" applyFont="1" applyBorder="1" applyAlignment="1">
      <alignment vertical="top"/>
    </xf>
    <xf numFmtId="0" fontId="26" fillId="0" borderId="47" xfId="0" applyFont="1" applyBorder="1" applyAlignment="1">
      <alignment horizontal="center" vertical="center" wrapText="1"/>
    </xf>
    <xf numFmtId="0" fontId="26" fillId="0" borderId="47" xfId="0" applyFont="1" applyBorder="1" applyAlignment="1">
      <alignment horizontal="left" vertical="center" wrapText="1"/>
    </xf>
    <xf numFmtId="0" fontId="29" fillId="0" borderId="47" xfId="0" applyFont="1" applyBorder="1" applyAlignment="1">
      <alignment horizontal="center" vertical="center" wrapText="1"/>
    </xf>
    <xf numFmtId="0" fontId="26" fillId="0" borderId="5" xfId="0" applyFont="1" applyBorder="1" applyAlignment="1">
      <alignment horizontal="center" vertical="center" wrapText="1"/>
    </xf>
    <xf numFmtId="44" fontId="25" fillId="0" borderId="50" xfId="0" applyNumberFormat="1" applyFont="1" applyBorder="1"/>
    <xf numFmtId="166" fontId="0" fillId="0" borderId="3" xfId="0" applyNumberFormat="1" applyBorder="1" applyAlignment="1"/>
    <xf numFmtId="44" fontId="20" fillId="0" borderId="3" xfId="1" applyFont="1" applyBorder="1" applyAlignment="1">
      <alignment vertical="center"/>
    </xf>
    <xf numFmtId="165" fontId="0" fillId="0" borderId="0" xfId="0" applyNumberFormat="1"/>
    <xf numFmtId="12" fontId="0" fillId="0" borderId="0" xfId="0" applyNumberFormat="1"/>
    <xf numFmtId="164" fontId="0" fillId="0" borderId="0" xfId="0" applyNumberFormat="1"/>
    <xf numFmtId="0" fontId="5" fillId="0" borderId="2" xfId="0" applyFont="1" applyBorder="1" applyAlignment="1">
      <alignment horizontal="center" vertical="center"/>
    </xf>
    <xf numFmtId="0" fontId="8"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xf>
    <xf numFmtId="44" fontId="5" fillId="0" borderId="2" xfId="1" applyFont="1" applyBorder="1" applyAlignment="1">
      <alignment vertical="center"/>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55" xfId="0" applyFont="1" applyBorder="1" applyAlignment="1">
      <alignment horizontal="center" vertical="center" wrapText="1"/>
    </xf>
    <xf numFmtId="44" fontId="5" fillId="3" borderId="3" xfId="1" applyFont="1" applyFill="1" applyBorder="1" applyAlignment="1">
      <alignment vertical="center"/>
    </xf>
    <xf numFmtId="0" fontId="5" fillId="3" borderId="31" xfId="0" applyFont="1" applyFill="1" applyBorder="1" applyAlignment="1">
      <alignment horizontal="center" vertical="center"/>
    </xf>
    <xf numFmtId="0" fontId="4" fillId="0" borderId="0" xfId="0" applyFont="1" applyAlignment="1">
      <alignment horizontal="left" vertical="center" wrapText="1"/>
    </xf>
    <xf numFmtId="0" fontId="11" fillId="2" borderId="0" xfId="0" applyFont="1" applyFill="1" applyBorder="1" applyAlignment="1">
      <alignment horizontal="left" wrapText="1"/>
    </xf>
    <xf numFmtId="0" fontId="11" fillId="2" borderId="10" xfId="0" applyFont="1" applyFill="1" applyBorder="1" applyAlignment="1">
      <alignment horizontal="left" wrapText="1"/>
    </xf>
    <xf numFmtId="0" fontId="6" fillId="0" borderId="0" xfId="0" applyFont="1" applyAlignment="1">
      <alignment horizontal="center"/>
    </xf>
    <xf numFmtId="0" fontId="10" fillId="2" borderId="0" xfId="0" applyFont="1" applyFill="1" applyAlignment="1">
      <alignment horizontal="left" wrapText="1" indent="1"/>
    </xf>
    <xf numFmtId="0" fontId="20" fillId="0" borderId="51" xfId="0" applyFont="1" applyBorder="1" applyAlignment="1">
      <alignment horizontal="left" vertical="center" wrapText="1"/>
    </xf>
    <xf numFmtId="0" fontId="20" fillId="0" borderId="52" xfId="0" applyFont="1" applyBorder="1" applyAlignment="1">
      <alignment horizontal="left" vertical="center" wrapText="1"/>
    </xf>
    <xf numFmtId="0" fontId="20" fillId="0" borderId="50" xfId="0" applyFont="1" applyBorder="1" applyAlignment="1">
      <alignment horizontal="left" vertical="center" wrapText="1"/>
    </xf>
    <xf numFmtId="0" fontId="13" fillId="0" borderId="6" xfId="0" applyFont="1" applyBorder="1" applyAlignment="1">
      <alignment horizontal="center" vertical="center"/>
    </xf>
    <xf numFmtId="0" fontId="13" fillId="0" borderId="0" xfId="0" applyFont="1" applyBorder="1" applyAlignment="1">
      <alignment horizontal="center" vertical="center"/>
    </xf>
    <xf numFmtId="0" fontId="13" fillId="0" borderId="10" xfId="0" applyFont="1" applyBorder="1" applyAlignment="1">
      <alignment horizontal="center" vertical="center"/>
    </xf>
    <xf numFmtId="0" fontId="16" fillId="0" borderId="16" xfId="0" applyFont="1" applyBorder="1" applyAlignment="1">
      <alignment horizontal="left" vertical="center"/>
    </xf>
    <xf numFmtId="0" fontId="16" fillId="0" borderId="39" xfId="0" applyFont="1" applyBorder="1" applyAlignment="1">
      <alignment horizontal="left" vertical="center"/>
    </xf>
    <xf numFmtId="0" fontId="16" fillId="0" borderId="8" xfId="0" applyFont="1" applyBorder="1" applyAlignment="1">
      <alignment horizontal="left" vertical="center"/>
    </xf>
    <xf numFmtId="0" fontId="16" fillId="0" borderId="11" xfId="0" applyFont="1" applyBorder="1" applyAlignment="1">
      <alignment horizontal="left" vertical="center"/>
    </xf>
    <xf numFmtId="0" fontId="16" fillId="0" borderId="38"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15"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11" fillId="0" borderId="16" xfId="0" applyFont="1" applyBorder="1" applyAlignment="1">
      <alignment horizontal="center"/>
    </xf>
    <xf numFmtId="0" fontId="18" fillId="0" borderId="17" xfId="0" applyFont="1" applyBorder="1" applyAlignment="1">
      <alignment horizontal="center"/>
    </xf>
    <xf numFmtId="0" fontId="18" fillId="0" borderId="12" xfId="0" applyFont="1" applyBorder="1" applyAlignment="1">
      <alignment horizontal="center" vertical="center" wrapText="1"/>
    </xf>
    <xf numFmtId="0" fontId="11" fillId="0" borderId="18" xfId="0" applyFont="1" applyFill="1" applyBorder="1"/>
    <xf numFmtId="0" fontId="11" fillId="0" borderId="19" xfId="0" applyFont="1" applyFill="1" applyBorder="1" applyAlignment="1"/>
    <xf numFmtId="0" fontId="11" fillId="0" borderId="18" xfId="0" applyFont="1" applyFill="1" applyBorder="1" applyAlignment="1">
      <alignment horizontal="left" vertical="center" wrapText="1"/>
    </xf>
    <xf numFmtId="0" fontId="11" fillId="3" borderId="40" xfId="0" applyFont="1" applyFill="1" applyBorder="1" applyAlignment="1">
      <alignment horizontal="left" vertical="center"/>
    </xf>
    <xf numFmtId="0" fontId="11" fillId="3" borderId="41" xfId="0" applyFont="1" applyFill="1" applyBorder="1" applyAlignment="1">
      <alignment horizontal="left" vertical="center"/>
    </xf>
    <xf numFmtId="0" fontId="11" fillId="3" borderId="42" xfId="0" applyFont="1" applyFill="1" applyBorder="1" applyAlignment="1">
      <alignment horizontal="left" vertical="center"/>
    </xf>
    <xf numFmtId="0" fontId="11" fillId="3" borderId="44" xfId="0" applyFont="1" applyFill="1" applyBorder="1" applyAlignment="1">
      <alignment vertical="center" wrapText="1"/>
    </xf>
    <xf numFmtId="0" fontId="11" fillId="3" borderId="41" xfId="0" applyFont="1" applyFill="1" applyBorder="1" applyAlignment="1">
      <alignment vertical="center" wrapText="1"/>
    </xf>
    <xf numFmtId="0" fontId="11" fillId="3" borderId="45" xfId="0" applyFont="1" applyFill="1" applyBorder="1" applyAlignment="1">
      <alignment vertical="center" wrapText="1"/>
    </xf>
    <xf numFmtId="0" fontId="11" fillId="0" borderId="40" xfId="0" applyFont="1" applyBorder="1" applyAlignment="1">
      <alignment horizontal="left" vertical="center"/>
    </xf>
    <xf numFmtId="0" fontId="11" fillId="0" borderId="41" xfId="0" applyFont="1" applyBorder="1" applyAlignment="1">
      <alignment horizontal="left" vertical="center"/>
    </xf>
    <xf numFmtId="0" fontId="11" fillId="0" borderId="42" xfId="0" applyFont="1" applyBorder="1" applyAlignment="1">
      <alignment horizontal="left" vertical="center"/>
    </xf>
    <xf numFmtId="0" fontId="11" fillId="0" borderId="19" xfId="0" applyFont="1" applyBorder="1" applyAlignment="1"/>
    <xf numFmtId="0" fontId="19" fillId="0" borderId="20" xfId="0" applyFont="1" applyBorder="1" applyAlignment="1">
      <alignment horizontal="left"/>
    </xf>
    <xf numFmtId="0" fontId="11" fillId="0" borderId="21" xfId="0" applyFont="1" applyBorder="1" applyAlignment="1">
      <alignment horizontal="left"/>
    </xf>
    <xf numFmtId="49" fontId="11" fillId="0" borderId="22" xfId="0" applyNumberFormat="1" applyFont="1" applyBorder="1" applyAlignment="1">
      <alignment horizontal="justify" vertical="center" wrapText="1"/>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24" xfId="0" applyFont="1" applyBorder="1" applyAlignment="1">
      <alignment horizontal="center" vertical="center" wrapText="1"/>
    </xf>
    <xf numFmtId="0" fontId="20" fillId="0" borderId="25" xfId="0" applyFont="1" applyBorder="1" applyAlignment="1">
      <alignment horizontal="center" vertical="center"/>
    </xf>
    <xf numFmtId="0" fontId="20" fillId="0" borderId="36" xfId="0" applyFont="1" applyBorder="1" applyAlignment="1">
      <alignment horizontal="left" vertical="center" wrapText="1"/>
    </xf>
    <xf numFmtId="0" fontId="5" fillId="0" borderId="21" xfId="0" applyFont="1" applyBorder="1"/>
    <xf numFmtId="0" fontId="20" fillId="0" borderId="15" xfId="0" applyFont="1" applyBorder="1" applyAlignment="1">
      <alignment vertical="center" wrapText="1"/>
    </xf>
    <xf numFmtId="0" fontId="5" fillId="0" borderId="25" xfId="0" applyFont="1" applyBorder="1" applyAlignment="1">
      <alignment vertical="center" wrapText="1"/>
    </xf>
    <xf numFmtId="0" fontId="5" fillId="0" borderId="38" xfId="0" applyFont="1" applyBorder="1" applyAlignment="1">
      <alignment horizontal="left" vertical="center" wrapText="1" indent="1"/>
    </xf>
    <xf numFmtId="0" fontId="0" fillId="0" borderId="3" xfId="0" applyBorder="1" applyAlignment="1">
      <alignment horizontal="left" vertical="center" wrapText="1"/>
    </xf>
    <xf numFmtId="0" fontId="0" fillId="0" borderId="3" xfId="0" applyFont="1" applyBorder="1" applyAlignment="1">
      <alignment horizontal="left" vertical="center" wrapText="1"/>
    </xf>
    <xf numFmtId="0" fontId="0" fillId="0" borderId="3" xfId="0" applyFont="1" applyBorder="1" applyAlignment="1">
      <alignment horizontal="left" vertical="center"/>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election activeCell="D15" sqref="D15"/>
    </sheetView>
  </sheetViews>
  <sheetFormatPr baseColWidth="10" defaultRowHeight="15" x14ac:dyDescent="0.25"/>
  <cols>
    <col min="1" max="1" width="4.5703125" customWidth="1"/>
    <col min="2" max="2" width="15.28515625" customWidth="1"/>
    <col min="3" max="3" width="19.42578125" customWidth="1"/>
    <col min="4" max="4" width="20.85546875" customWidth="1"/>
    <col min="5" max="5" width="34.5703125" customWidth="1"/>
    <col min="6" max="6" width="7.28515625" customWidth="1"/>
    <col min="7" max="7" width="6.7109375" customWidth="1"/>
    <col min="8" max="8" width="11.42578125" customWidth="1"/>
    <col min="9" max="9" width="15.7109375" customWidth="1"/>
    <col min="10" max="10" width="12" bestFit="1" customWidth="1"/>
    <col min="11" max="12" width="14.5703125" bestFit="1" customWidth="1"/>
  </cols>
  <sheetData>
    <row r="1" spans="1:12" ht="27" x14ac:dyDescent="0.35">
      <c r="A1" s="1"/>
      <c r="B1" s="120" t="s">
        <v>5</v>
      </c>
      <c r="C1" s="120"/>
      <c r="D1" s="120"/>
      <c r="E1" s="120"/>
      <c r="F1" s="120"/>
      <c r="G1" s="120"/>
      <c r="H1" s="120"/>
      <c r="I1" s="1"/>
    </row>
    <row r="2" spans="1:12" ht="15.75" x14ac:dyDescent="0.25">
      <c r="A2" s="117" t="s">
        <v>0</v>
      </c>
      <c r="B2" s="117"/>
      <c r="C2" s="121" t="s">
        <v>11</v>
      </c>
      <c r="D2" s="121"/>
      <c r="E2" s="121"/>
      <c r="F2" s="4"/>
      <c r="G2" s="10"/>
      <c r="H2" s="4"/>
      <c r="I2" s="1"/>
    </row>
    <row r="3" spans="1:12" ht="15.75" x14ac:dyDescent="0.25">
      <c r="A3" s="117" t="s">
        <v>1</v>
      </c>
      <c r="B3" s="117"/>
      <c r="C3" s="121" t="s">
        <v>12</v>
      </c>
      <c r="D3" s="121"/>
      <c r="E3" s="121"/>
      <c r="F3" s="4"/>
      <c r="G3" s="10"/>
      <c r="H3" s="4"/>
      <c r="I3" s="1"/>
    </row>
    <row r="4" spans="1:12" ht="15.75" x14ac:dyDescent="0.25">
      <c r="A4" s="117" t="s">
        <v>2</v>
      </c>
      <c r="B4" s="117"/>
      <c r="C4" s="9">
        <v>2022</v>
      </c>
      <c r="D4" s="14"/>
      <c r="E4" s="14"/>
      <c r="F4" s="4"/>
      <c r="G4" s="10"/>
      <c r="H4" s="4"/>
      <c r="I4" s="1"/>
    </row>
    <row r="5" spans="1:12" ht="16.5" thickBot="1" x14ac:dyDescent="0.3">
      <c r="A5" s="117" t="s">
        <v>3</v>
      </c>
      <c r="B5" s="117"/>
      <c r="C5" s="9">
        <v>3</v>
      </c>
      <c r="D5" s="14"/>
      <c r="E5" s="14"/>
      <c r="F5" s="4"/>
      <c r="G5" s="10"/>
      <c r="H5" s="4"/>
      <c r="I5" s="1"/>
    </row>
    <row r="6" spans="1:12" ht="41.25" customHeight="1" thickBot="1" x14ac:dyDescent="0.3">
      <c r="A6" s="112" t="s">
        <v>4</v>
      </c>
      <c r="B6" s="113" t="s">
        <v>6</v>
      </c>
      <c r="C6" s="113" t="s">
        <v>13</v>
      </c>
      <c r="D6" s="113" t="s">
        <v>14</v>
      </c>
      <c r="E6" s="113" t="s">
        <v>15</v>
      </c>
      <c r="F6" s="113" t="s">
        <v>16</v>
      </c>
      <c r="G6" s="113" t="s">
        <v>18</v>
      </c>
      <c r="H6" s="113" t="s">
        <v>19</v>
      </c>
      <c r="I6" s="114" t="s">
        <v>20</v>
      </c>
      <c r="K6" s="79"/>
    </row>
    <row r="7" spans="1:12" ht="48" customHeight="1" x14ac:dyDescent="0.25">
      <c r="A7" s="107">
        <v>1</v>
      </c>
      <c r="B7" s="75" t="s">
        <v>58</v>
      </c>
      <c r="C7" s="70" t="s">
        <v>55</v>
      </c>
      <c r="D7" s="108" t="s">
        <v>89</v>
      </c>
      <c r="E7" s="70" t="s">
        <v>57</v>
      </c>
      <c r="F7" s="109" t="s">
        <v>17</v>
      </c>
      <c r="G7" s="110">
        <v>250</v>
      </c>
      <c r="H7" s="111">
        <v>1699</v>
      </c>
      <c r="I7" s="111">
        <f>+G7*H7</f>
        <v>424750</v>
      </c>
      <c r="K7" s="79"/>
      <c r="L7" s="106"/>
    </row>
    <row r="8" spans="1:12" ht="56.25" customHeight="1" x14ac:dyDescent="0.25">
      <c r="A8" s="48">
        <v>2</v>
      </c>
      <c r="B8" s="72" t="s">
        <v>72</v>
      </c>
      <c r="C8" s="72" t="s">
        <v>55</v>
      </c>
      <c r="D8" s="54" t="s">
        <v>89</v>
      </c>
      <c r="E8" s="72" t="s">
        <v>80</v>
      </c>
      <c r="F8" s="67" t="s">
        <v>17</v>
      </c>
      <c r="G8" s="65">
        <v>250</v>
      </c>
      <c r="H8" s="66">
        <v>850</v>
      </c>
      <c r="I8" s="66">
        <f t="shared" ref="I8:I15" si="0">G8*H8</f>
        <v>212500</v>
      </c>
      <c r="J8" s="80"/>
      <c r="K8" s="79"/>
      <c r="L8" s="106"/>
    </row>
    <row r="9" spans="1:12" ht="65.25" customHeight="1" x14ac:dyDescent="0.25">
      <c r="A9" s="48">
        <v>3</v>
      </c>
      <c r="B9" s="71" t="s">
        <v>73</v>
      </c>
      <c r="C9" s="73" t="s">
        <v>55</v>
      </c>
      <c r="D9" s="54" t="s">
        <v>90</v>
      </c>
      <c r="E9" s="72" t="s">
        <v>81</v>
      </c>
      <c r="F9" s="67" t="s">
        <v>17</v>
      </c>
      <c r="G9" s="65">
        <v>70</v>
      </c>
      <c r="H9" s="66">
        <v>16500</v>
      </c>
      <c r="I9" s="66">
        <f t="shared" si="0"/>
        <v>1155000</v>
      </c>
      <c r="K9" s="79"/>
      <c r="L9" s="106"/>
    </row>
    <row r="10" spans="1:12" ht="51.75" customHeight="1" x14ac:dyDescent="0.25">
      <c r="A10" s="48">
        <v>4</v>
      </c>
      <c r="B10" s="72" t="s">
        <v>74</v>
      </c>
      <c r="C10" s="72" t="s">
        <v>55</v>
      </c>
      <c r="D10" s="54" t="s">
        <v>90</v>
      </c>
      <c r="E10" s="72" t="s">
        <v>82</v>
      </c>
      <c r="F10" s="67" t="s">
        <v>17</v>
      </c>
      <c r="G10" s="65">
        <v>80</v>
      </c>
      <c r="H10" s="66">
        <v>22262</v>
      </c>
      <c r="I10" s="66">
        <f t="shared" si="0"/>
        <v>1780960</v>
      </c>
      <c r="K10" s="79"/>
      <c r="L10" s="106"/>
    </row>
    <row r="11" spans="1:12" ht="53.25" customHeight="1" x14ac:dyDescent="0.25">
      <c r="A11" s="48">
        <v>5</v>
      </c>
      <c r="B11" s="74" t="s">
        <v>75</v>
      </c>
      <c r="C11" s="72" t="s">
        <v>56</v>
      </c>
      <c r="D11" s="54" t="s">
        <v>91</v>
      </c>
      <c r="E11" s="72" t="s">
        <v>83</v>
      </c>
      <c r="F11" s="67" t="s">
        <v>17</v>
      </c>
      <c r="G11" s="65">
        <v>100</v>
      </c>
      <c r="H11" s="66">
        <v>3300</v>
      </c>
      <c r="I11" s="66">
        <f t="shared" si="0"/>
        <v>330000</v>
      </c>
      <c r="K11" s="79"/>
      <c r="L11" s="106"/>
    </row>
    <row r="12" spans="1:12" ht="80.099999999999994" customHeight="1" x14ac:dyDescent="0.25">
      <c r="A12" s="48">
        <v>6</v>
      </c>
      <c r="B12" s="74" t="s">
        <v>77</v>
      </c>
      <c r="C12" s="72" t="s">
        <v>55</v>
      </c>
      <c r="D12" s="54" t="s">
        <v>89</v>
      </c>
      <c r="E12" s="72" t="s">
        <v>84</v>
      </c>
      <c r="F12" s="67" t="s">
        <v>17</v>
      </c>
      <c r="G12" s="65">
        <v>300</v>
      </c>
      <c r="H12" s="66">
        <v>3150</v>
      </c>
      <c r="I12" s="66">
        <f t="shared" si="0"/>
        <v>945000</v>
      </c>
      <c r="J12" s="106"/>
      <c r="K12" s="106"/>
      <c r="L12" s="106"/>
    </row>
    <row r="13" spans="1:12" ht="80.099999999999994" customHeight="1" x14ac:dyDescent="0.25">
      <c r="A13" s="48">
        <v>7</v>
      </c>
      <c r="B13" s="74" t="s">
        <v>76</v>
      </c>
      <c r="C13" s="166" t="s">
        <v>55</v>
      </c>
      <c r="D13" s="54" t="s">
        <v>89</v>
      </c>
      <c r="E13" s="72" t="s">
        <v>85</v>
      </c>
      <c r="F13" s="67" t="s">
        <v>17</v>
      </c>
      <c r="G13" s="65">
        <v>300</v>
      </c>
      <c r="H13" s="66">
        <v>4800</v>
      </c>
      <c r="I13" s="66">
        <f t="shared" si="0"/>
        <v>1440000</v>
      </c>
      <c r="J13" s="106"/>
      <c r="K13" s="79"/>
      <c r="L13" s="106">
        <f>SUM(L9:L12)</f>
        <v>0</v>
      </c>
    </row>
    <row r="14" spans="1:12" ht="69" customHeight="1" x14ac:dyDescent="0.25">
      <c r="A14" s="48">
        <v>8</v>
      </c>
      <c r="B14" s="76" t="s">
        <v>78</v>
      </c>
      <c r="C14" s="167" t="s">
        <v>55</v>
      </c>
      <c r="D14" s="54" t="s">
        <v>89</v>
      </c>
      <c r="E14" s="77" t="s">
        <v>86</v>
      </c>
      <c r="F14" s="67" t="s">
        <v>17</v>
      </c>
      <c r="G14" s="65">
        <v>150</v>
      </c>
      <c r="H14" s="66">
        <v>2900</v>
      </c>
      <c r="I14" s="66">
        <f t="shared" si="0"/>
        <v>435000</v>
      </c>
      <c r="K14" s="79"/>
    </row>
    <row r="15" spans="1:12" ht="78.75" customHeight="1" x14ac:dyDescent="0.25">
      <c r="A15" s="48">
        <v>9</v>
      </c>
      <c r="B15" s="76" t="s">
        <v>79</v>
      </c>
      <c r="C15" s="168" t="s">
        <v>56</v>
      </c>
      <c r="D15" s="54" t="s">
        <v>92</v>
      </c>
      <c r="E15" s="77" t="s">
        <v>87</v>
      </c>
      <c r="F15" s="67" t="s">
        <v>17</v>
      </c>
      <c r="G15" s="65">
        <v>150</v>
      </c>
      <c r="H15" s="66">
        <v>1500</v>
      </c>
      <c r="I15" s="66">
        <f t="shared" si="0"/>
        <v>225000</v>
      </c>
      <c r="K15" s="79"/>
    </row>
    <row r="16" spans="1:12" ht="26.25" customHeight="1" x14ac:dyDescent="0.25">
      <c r="A16" s="122" t="s">
        <v>93</v>
      </c>
      <c r="B16" s="123"/>
      <c r="C16" s="123"/>
      <c r="D16" s="123"/>
      <c r="E16" s="123"/>
      <c r="F16" s="123"/>
      <c r="G16" s="123"/>
      <c r="H16" s="124"/>
      <c r="I16" s="103">
        <f>SUM(I7:I15)</f>
        <v>6948210</v>
      </c>
      <c r="J16" s="106"/>
    </row>
    <row r="17" spans="1:13" ht="28.5" customHeight="1" thickBot="1" x14ac:dyDescent="0.3">
      <c r="A17" s="3"/>
      <c r="B17" s="24"/>
      <c r="C17" s="11"/>
      <c r="D17" s="23"/>
      <c r="E17" s="50"/>
      <c r="F17" s="50"/>
      <c r="G17" s="50"/>
      <c r="H17" s="51"/>
      <c r="I17" s="50"/>
      <c r="J17" s="79"/>
    </row>
    <row r="18" spans="1:13" x14ac:dyDescent="0.25">
      <c r="A18" s="1"/>
      <c r="B18" s="6" t="s">
        <v>69</v>
      </c>
      <c r="C18" s="12"/>
      <c r="D18" s="12"/>
      <c r="E18" s="16"/>
      <c r="F18" s="1"/>
      <c r="G18" s="1"/>
      <c r="H18" s="1"/>
      <c r="I18" s="1"/>
    </row>
    <row r="19" spans="1:13" x14ac:dyDescent="0.25">
      <c r="A19" s="1"/>
      <c r="B19" s="7" t="s">
        <v>7</v>
      </c>
      <c r="C19" s="62"/>
      <c r="D19" s="62"/>
      <c r="E19" s="17"/>
      <c r="F19" s="1"/>
      <c r="G19" s="1"/>
      <c r="H19" s="1"/>
      <c r="I19" s="1"/>
      <c r="K19" s="79"/>
    </row>
    <row r="20" spans="1:13" ht="20.25" customHeight="1" x14ac:dyDescent="0.25">
      <c r="A20" s="1"/>
      <c r="B20" s="7" t="s">
        <v>8</v>
      </c>
      <c r="C20" s="62"/>
      <c r="D20" s="62"/>
      <c r="E20" s="17"/>
      <c r="F20" s="1"/>
      <c r="G20" s="1"/>
      <c r="H20" s="1"/>
      <c r="I20" s="1"/>
    </row>
    <row r="21" spans="1:13" ht="31.5" customHeight="1" x14ac:dyDescent="0.25">
      <c r="A21" s="1"/>
      <c r="B21" s="8"/>
      <c r="C21" s="118" t="s">
        <v>94</v>
      </c>
      <c r="D21" s="118"/>
      <c r="E21" s="119"/>
      <c r="F21" s="1"/>
      <c r="G21" s="1"/>
      <c r="H21" s="1"/>
      <c r="I21" s="1"/>
    </row>
    <row r="22" spans="1:13" ht="77.25" customHeight="1" x14ac:dyDescent="0.25">
      <c r="A22" s="1"/>
      <c r="B22" s="8"/>
      <c r="C22" s="118"/>
      <c r="D22" s="118"/>
      <c r="E22" s="119"/>
      <c r="F22" s="1"/>
      <c r="G22" s="1"/>
      <c r="H22" s="1"/>
      <c r="I22" s="1"/>
      <c r="J22" s="1"/>
      <c r="K22" s="1"/>
      <c r="L22" s="1"/>
      <c r="M22" s="1"/>
    </row>
    <row r="23" spans="1:13" ht="15" customHeight="1" x14ac:dyDescent="0.25">
      <c r="A23" s="1"/>
      <c r="B23" s="7" t="s">
        <v>9</v>
      </c>
      <c r="C23" s="62"/>
      <c r="D23" s="62"/>
      <c r="E23" s="17"/>
      <c r="F23" s="1"/>
      <c r="G23" s="1"/>
      <c r="H23" s="1"/>
      <c r="I23" s="1"/>
      <c r="J23" s="1"/>
      <c r="K23" s="1"/>
      <c r="L23" s="1"/>
      <c r="M23" s="1"/>
    </row>
    <row r="24" spans="1:13" ht="15" customHeight="1" x14ac:dyDescent="0.25">
      <c r="A24" s="1"/>
      <c r="B24" s="7" t="s">
        <v>59</v>
      </c>
      <c r="C24" s="63"/>
      <c r="D24" s="63"/>
      <c r="E24" s="18"/>
      <c r="F24" s="1"/>
      <c r="G24" s="1"/>
      <c r="H24" s="1"/>
      <c r="I24" s="1"/>
      <c r="J24" s="1"/>
      <c r="K24" s="1"/>
      <c r="L24" s="1"/>
      <c r="M24" s="1"/>
    </row>
    <row r="25" spans="1:13" ht="15" customHeight="1" thickBot="1" x14ac:dyDescent="0.3">
      <c r="A25" s="1"/>
      <c r="B25" s="64" t="s">
        <v>10</v>
      </c>
      <c r="C25" s="13"/>
      <c r="D25" s="13"/>
      <c r="E25" s="19"/>
      <c r="F25" s="1"/>
      <c r="G25" s="1"/>
      <c r="H25" s="1"/>
      <c r="I25" s="1"/>
      <c r="J25" s="1"/>
      <c r="K25" s="1"/>
      <c r="L25" s="1"/>
      <c r="M25" s="1"/>
    </row>
    <row r="26" spans="1:13" x14ac:dyDescent="0.25">
      <c r="A26" s="3"/>
      <c r="B26" s="24"/>
      <c r="C26" s="11"/>
      <c r="D26" s="22"/>
      <c r="E26" s="15"/>
      <c r="F26" s="5"/>
      <c r="G26" s="5"/>
      <c r="H26" s="21"/>
      <c r="I26" s="21"/>
    </row>
  </sheetData>
  <mergeCells count="9">
    <mergeCell ref="A4:B4"/>
    <mergeCell ref="A5:B5"/>
    <mergeCell ref="C21:E22"/>
    <mergeCell ref="B1:H1"/>
    <mergeCell ref="A2:B2"/>
    <mergeCell ref="C2:E2"/>
    <mergeCell ref="A3:B3"/>
    <mergeCell ref="C3:E3"/>
    <mergeCell ref="A16:H16"/>
  </mergeCells>
  <pageMargins left="0.7" right="0.7" top="0.75" bottom="0.75" header="0.3" footer="0.3"/>
  <pageSetup paperSize="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
  <sheetViews>
    <sheetView workbookViewId="0">
      <selection activeCell="B11" sqref="B11"/>
    </sheetView>
  </sheetViews>
  <sheetFormatPr baseColWidth="10" defaultRowHeight="15" x14ac:dyDescent="0.25"/>
  <sheetData>
    <row r="1" spans="2:12" ht="15.75" thickBot="1" x14ac:dyDescent="0.3"/>
    <row r="2" spans="2:12" ht="15.75" thickBot="1" x14ac:dyDescent="0.3">
      <c r="B2" s="43">
        <v>2</v>
      </c>
      <c r="C2" s="43">
        <v>2</v>
      </c>
      <c r="D2" s="43">
        <v>2</v>
      </c>
      <c r="E2" s="43">
        <v>2</v>
      </c>
      <c r="F2" s="43">
        <v>2</v>
      </c>
      <c r="G2" s="43">
        <v>2</v>
      </c>
      <c r="H2" s="43">
        <v>2</v>
      </c>
      <c r="I2" s="43">
        <v>2</v>
      </c>
      <c r="J2" s="43">
        <v>2</v>
      </c>
      <c r="K2" s="43">
        <v>2</v>
      </c>
      <c r="L2" s="43">
        <v>2</v>
      </c>
    </row>
    <row r="3" spans="2:12" ht="15.75" thickBot="1" x14ac:dyDescent="0.3">
      <c r="B3" s="43">
        <v>5</v>
      </c>
      <c r="C3" s="43">
        <v>6</v>
      </c>
      <c r="D3" s="43">
        <v>6</v>
      </c>
      <c r="E3" s="43">
        <v>7</v>
      </c>
      <c r="F3" s="43">
        <v>7</v>
      </c>
      <c r="G3" s="43">
        <v>7</v>
      </c>
      <c r="H3" s="43">
        <v>7</v>
      </c>
      <c r="I3" s="43">
        <v>9</v>
      </c>
      <c r="J3" s="43">
        <v>9</v>
      </c>
      <c r="K3" s="43">
        <v>9</v>
      </c>
      <c r="L3" s="43">
        <v>9</v>
      </c>
    </row>
    <row r="4" spans="2:12" x14ac:dyDescent="0.25">
      <c r="B4" s="43">
        <v>8</v>
      </c>
      <c r="C4" s="43">
        <v>3</v>
      </c>
      <c r="D4" s="43">
        <v>5</v>
      </c>
      <c r="E4" s="43">
        <v>1</v>
      </c>
      <c r="F4" s="43">
        <v>2</v>
      </c>
      <c r="G4" s="43">
        <v>5</v>
      </c>
      <c r="H4" s="43">
        <v>9</v>
      </c>
      <c r="I4" s="43">
        <v>2</v>
      </c>
      <c r="J4" s="43">
        <v>3</v>
      </c>
      <c r="K4" s="43">
        <v>6</v>
      </c>
      <c r="L4" s="43">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7"/>
  <sheetViews>
    <sheetView topLeftCell="A16" workbookViewId="0">
      <selection activeCell="D19" sqref="D19"/>
    </sheetView>
  </sheetViews>
  <sheetFormatPr baseColWidth="10" defaultRowHeight="15" x14ac:dyDescent="0.25"/>
  <cols>
    <col min="1" max="1" width="4.5703125" customWidth="1"/>
    <col min="2" max="2" width="19.42578125" style="59" customWidth="1"/>
    <col min="3" max="3" width="48" customWidth="1"/>
    <col min="4" max="4" width="15.5703125" customWidth="1"/>
    <col min="5" max="5" width="14.42578125" customWidth="1"/>
    <col min="6" max="6" width="13.85546875" customWidth="1"/>
    <col min="7" max="7" width="13.5703125" customWidth="1"/>
    <col min="8" max="8" width="18.7109375" style="69" customWidth="1"/>
    <col min="9" max="9" width="9.140625" customWidth="1"/>
    <col min="10" max="11" width="14.5703125" bestFit="1" customWidth="1"/>
  </cols>
  <sheetData>
    <row r="1" spans="1:1024" ht="16.5" customHeight="1" x14ac:dyDescent="0.25">
      <c r="A1" s="125" t="s">
        <v>21</v>
      </c>
      <c r="B1" s="126"/>
      <c r="C1" s="126"/>
      <c r="D1" s="126"/>
      <c r="E1" s="126"/>
      <c r="F1" s="126"/>
      <c r="G1" s="127"/>
      <c r="H1" s="88" t="s">
        <v>71</v>
      </c>
    </row>
    <row r="2" spans="1:1024" x14ac:dyDescent="0.25">
      <c r="A2" s="91"/>
      <c r="B2" s="92"/>
      <c r="C2" s="91"/>
      <c r="D2" s="91"/>
      <c r="E2" s="91"/>
      <c r="F2" s="91"/>
      <c r="G2" s="93"/>
      <c r="H2" s="94"/>
    </row>
    <row r="3" spans="1:1024" ht="15.75" customHeight="1" thickBot="1" x14ac:dyDescent="0.3">
      <c r="A3" s="132" t="s">
        <v>22</v>
      </c>
      <c r="B3" s="133"/>
      <c r="C3" s="89" t="s">
        <v>11</v>
      </c>
      <c r="D3" s="89"/>
      <c r="E3" s="89"/>
      <c r="F3" s="89"/>
      <c r="G3" s="89"/>
      <c r="H3" s="90"/>
    </row>
    <row r="4" spans="1:1024" ht="15.75" customHeight="1" thickBot="1" x14ac:dyDescent="0.3">
      <c r="A4" s="134" t="s">
        <v>24</v>
      </c>
      <c r="B4" s="135"/>
      <c r="C4" s="84" t="s">
        <v>12</v>
      </c>
      <c r="D4" s="84"/>
      <c r="E4" s="84"/>
      <c r="F4" s="84"/>
      <c r="G4" s="84"/>
      <c r="H4" s="85"/>
    </row>
    <row r="5" spans="1:1024" ht="18" customHeight="1" thickBot="1" x14ac:dyDescent="0.3">
      <c r="A5" s="134" t="s">
        <v>25</v>
      </c>
      <c r="B5" s="135"/>
      <c r="C5" s="86" t="s">
        <v>23</v>
      </c>
      <c r="D5" s="86"/>
      <c r="E5" s="86"/>
      <c r="F5" s="86"/>
      <c r="G5" s="86"/>
      <c r="H5" s="85"/>
    </row>
    <row r="6" spans="1:1024" ht="15.75" customHeight="1" thickBot="1" x14ac:dyDescent="0.3">
      <c r="A6" s="134" t="s">
        <v>26</v>
      </c>
      <c r="B6" s="135"/>
      <c r="C6" s="87" t="s">
        <v>68</v>
      </c>
      <c r="D6" s="87"/>
      <c r="E6" s="87"/>
      <c r="F6" s="87"/>
      <c r="G6" s="87"/>
      <c r="H6" s="85"/>
    </row>
    <row r="7" spans="1:1024" ht="15.75" customHeight="1" thickBot="1" x14ac:dyDescent="0.3">
      <c r="A7" s="134" t="s">
        <v>27</v>
      </c>
      <c r="B7" s="135"/>
      <c r="C7" s="87" t="s">
        <v>54</v>
      </c>
      <c r="D7" s="87"/>
      <c r="E7" s="87"/>
      <c r="F7" s="87"/>
      <c r="G7" s="87"/>
      <c r="H7" s="85"/>
    </row>
    <row r="8" spans="1:1024" ht="15.75" customHeight="1" thickBot="1" x14ac:dyDescent="0.3">
      <c r="A8" s="134" t="s">
        <v>28</v>
      </c>
      <c r="B8" s="135"/>
      <c r="C8" s="87" t="s">
        <v>67</v>
      </c>
      <c r="D8" s="87"/>
      <c r="E8" s="87"/>
      <c r="F8" s="87"/>
      <c r="G8" s="87"/>
      <c r="H8" s="85"/>
    </row>
    <row r="9" spans="1:1024" ht="15.75" thickBot="1" x14ac:dyDescent="0.3">
      <c r="A9" s="128"/>
      <c r="B9" s="129"/>
      <c r="C9" s="130"/>
      <c r="D9" s="130"/>
      <c r="E9" s="130"/>
      <c r="F9" s="130"/>
      <c r="G9" s="131"/>
    </row>
    <row r="10" spans="1:1024" ht="55.5" customHeight="1" x14ac:dyDescent="0.25">
      <c r="A10" s="97" t="s">
        <v>4</v>
      </c>
      <c r="B10" s="98" t="s">
        <v>6</v>
      </c>
      <c r="C10" s="97" t="s">
        <v>15</v>
      </c>
      <c r="D10" s="99" t="s">
        <v>29</v>
      </c>
      <c r="E10" s="97" t="s">
        <v>16</v>
      </c>
      <c r="F10" s="97" t="s">
        <v>18</v>
      </c>
      <c r="G10" s="100" t="s">
        <v>19</v>
      </c>
      <c r="H10" s="99" t="s">
        <v>60</v>
      </c>
    </row>
    <row r="11" spans="1:1024" ht="29.25" customHeight="1" x14ac:dyDescent="0.25">
      <c r="A11" s="61">
        <v>1</v>
      </c>
      <c r="B11" s="72" t="s">
        <v>58</v>
      </c>
      <c r="C11" s="72" t="s">
        <v>57</v>
      </c>
      <c r="D11" s="55" t="s">
        <v>53</v>
      </c>
      <c r="E11" s="49" t="s">
        <v>17</v>
      </c>
      <c r="F11" s="48">
        <v>250</v>
      </c>
      <c r="G11" s="66">
        <f>+'Necesidades Trimestrales'!H7</f>
        <v>1699</v>
      </c>
      <c r="H11" s="115">
        <f>+F11*G11</f>
        <v>424750</v>
      </c>
      <c r="I11" s="79"/>
      <c r="J11" s="79"/>
      <c r="K11" s="79"/>
    </row>
    <row r="12" spans="1:1024" ht="33.75" customHeight="1" x14ac:dyDescent="0.25">
      <c r="A12" s="2">
        <v>2</v>
      </c>
      <c r="B12" s="72" t="s">
        <v>72</v>
      </c>
      <c r="C12" s="78" t="s">
        <v>80</v>
      </c>
      <c r="D12" s="47" t="s">
        <v>53</v>
      </c>
      <c r="E12" s="20" t="s">
        <v>17</v>
      </c>
      <c r="F12" s="48">
        <v>250</v>
      </c>
      <c r="G12" s="66">
        <f>+'Necesidades Trimestrales'!H8</f>
        <v>850</v>
      </c>
      <c r="H12" s="66">
        <f>+F12*G12</f>
        <v>212500</v>
      </c>
      <c r="K12" s="79"/>
      <c r="M12" s="52"/>
      <c r="N12" s="52"/>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c r="ABX12" s="52"/>
      <c r="ABY12" s="52"/>
      <c r="ABZ12" s="52"/>
      <c r="ACA12" s="52"/>
      <c r="ACB12" s="52"/>
      <c r="ACC12" s="52"/>
      <c r="ACD12" s="52"/>
      <c r="ACE12" s="52"/>
      <c r="ACF12" s="52"/>
      <c r="ACG12" s="52"/>
      <c r="ACH12" s="52"/>
      <c r="ACI12" s="52"/>
      <c r="ACJ12" s="52"/>
      <c r="ACK12" s="52"/>
      <c r="ACL12" s="52"/>
      <c r="ACM12" s="52"/>
      <c r="ACN12" s="52"/>
      <c r="ACO12" s="52"/>
      <c r="ACP12" s="52"/>
      <c r="ACQ12" s="52"/>
      <c r="ACR12" s="52"/>
      <c r="ACS12" s="52"/>
      <c r="ACT12" s="52"/>
      <c r="ACU12" s="52"/>
      <c r="ACV12" s="52"/>
      <c r="ACW12" s="52"/>
      <c r="ACX12" s="52"/>
      <c r="ACY12" s="52"/>
      <c r="ACZ12" s="52"/>
      <c r="ADA12" s="52"/>
      <c r="ADB12" s="52"/>
      <c r="ADC12" s="52"/>
      <c r="ADD12" s="52"/>
      <c r="ADE12" s="52"/>
      <c r="ADF12" s="52"/>
      <c r="ADG12" s="52"/>
      <c r="ADH12" s="52"/>
      <c r="ADI12" s="52"/>
      <c r="ADJ12" s="52"/>
      <c r="ADK12" s="52"/>
      <c r="ADL12" s="52"/>
      <c r="ADM12" s="52"/>
      <c r="ADN12" s="52"/>
      <c r="ADO12" s="52"/>
      <c r="ADP12" s="52"/>
      <c r="ADQ12" s="52"/>
      <c r="ADR12" s="52"/>
      <c r="ADS12" s="52"/>
      <c r="ADT12" s="52"/>
      <c r="ADU12" s="52"/>
      <c r="ADV12" s="52"/>
      <c r="ADW12" s="52"/>
      <c r="ADX12" s="52"/>
      <c r="ADY12" s="52"/>
      <c r="ADZ12" s="52"/>
      <c r="AEA12" s="52"/>
      <c r="AEB12" s="52"/>
      <c r="AEC12" s="52"/>
      <c r="AED12" s="52"/>
      <c r="AEE12" s="52"/>
      <c r="AEF12" s="52"/>
      <c r="AEG12" s="52"/>
      <c r="AEH12" s="52"/>
      <c r="AEI12" s="52"/>
      <c r="AEJ12" s="52"/>
      <c r="AEK12" s="52"/>
      <c r="AEL12" s="52"/>
      <c r="AEM12" s="52"/>
      <c r="AEN12" s="52"/>
      <c r="AEO12" s="52"/>
      <c r="AEP12" s="52"/>
      <c r="AEQ12" s="52"/>
      <c r="AER12" s="52"/>
      <c r="AES12" s="52"/>
      <c r="AET12" s="52"/>
      <c r="AEU12" s="52"/>
      <c r="AEV12" s="52"/>
      <c r="AEW12" s="52"/>
      <c r="AEX12" s="52"/>
      <c r="AEY12" s="52"/>
      <c r="AEZ12" s="52"/>
      <c r="AFA12" s="52"/>
      <c r="AFB12" s="52"/>
      <c r="AFC12" s="52"/>
      <c r="AFD12" s="52"/>
      <c r="AFE12" s="52"/>
      <c r="AFF12" s="52"/>
      <c r="AFG12" s="52"/>
      <c r="AFH12" s="52"/>
      <c r="AFI12" s="52"/>
      <c r="AFJ12" s="52"/>
      <c r="AFK12" s="52"/>
      <c r="AFL12" s="52"/>
      <c r="AFM12" s="52"/>
      <c r="AFN12" s="52"/>
      <c r="AFO12" s="52"/>
      <c r="AFP12" s="52"/>
      <c r="AFQ12" s="52"/>
      <c r="AFR12" s="52"/>
      <c r="AFS12" s="52"/>
      <c r="AFT12" s="52"/>
      <c r="AFU12" s="52"/>
      <c r="AFV12" s="52"/>
      <c r="AFW12" s="52"/>
      <c r="AFX12" s="52"/>
      <c r="AFY12" s="52"/>
      <c r="AFZ12" s="52"/>
      <c r="AGA12" s="52"/>
      <c r="AGB12" s="52"/>
      <c r="AGC12" s="52"/>
      <c r="AGD12" s="52"/>
      <c r="AGE12" s="52"/>
      <c r="AGF12" s="52"/>
      <c r="AGG12" s="52"/>
      <c r="AGH12" s="52"/>
      <c r="AGI12" s="52"/>
      <c r="AGJ12" s="52"/>
      <c r="AGK12" s="52"/>
      <c r="AGL12" s="52"/>
      <c r="AGM12" s="52"/>
      <c r="AGN12" s="52"/>
      <c r="AGO12" s="52"/>
      <c r="AGP12" s="52"/>
      <c r="AGQ12" s="52"/>
      <c r="AGR12" s="52"/>
      <c r="AGS12" s="52"/>
      <c r="AGT12" s="52"/>
      <c r="AGU12" s="52"/>
      <c r="AGV12" s="52"/>
      <c r="AGW12" s="52"/>
      <c r="AGX12" s="52"/>
      <c r="AGY12" s="52"/>
      <c r="AGZ12" s="52"/>
      <c r="AHA12" s="52"/>
      <c r="AHB12" s="52"/>
      <c r="AHC12" s="52"/>
      <c r="AHD12" s="52"/>
      <c r="AHE12" s="52"/>
      <c r="AHF12" s="52"/>
      <c r="AHG12" s="52"/>
      <c r="AHH12" s="52"/>
      <c r="AHI12" s="52"/>
      <c r="AHJ12" s="52"/>
      <c r="AHK12" s="52"/>
      <c r="AHL12" s="52"/>
      <c r="AHM12" s="52"/>
      <c r="AHN12" s="52"/>
      <c r="AHO12" s="52"/>
      <c r="AHP12" s="52"/>
      <c r="AHQ12" s="52"/>
      <c r="AHR12" s="52"/>
      <c r="AHS12" s="52"/>
      <c r="AHT12" s="52"/>
      <c r="AHU12" s="52"/>
      <c r="AHV12" s="52"/>
      <c r="AHW12" s="52"/>
      <c r="AHX12" s="52"/>
      <c r="AHY12" s="52"/>
      <c r="AHZ12" s="52"/>
      <c r="AIA12" s="52"/>
      <c r="AIB12" s="52"/>
      <c r="AIC12" s="52"/>
      <c r="AID12" s="52"/>
      <c r="AIE12" s="52"/>
      <c r="AIF12" s="52"/>
      <c r="AIG12" s="52"/>
      <c r="AIH12" s="52"/>
      <c r="AII12" s="52"/>
      <c r="AIJ12" s="52"/>
      <c r="AIK12" s="52"/>
      <c r="AIL12" s="52"/>
      <c r="AIM12" s="52"/>
      <c r="AIN12" s="52"/>
      <c r="AIO12" s="52"/>
      <c r="AIP12" s="52"/>
      <c r="AIQ12" s="52"/>
      <c r="AIR12" s="52"/>
      <c r="AIS12" s="52"/>
      <c r="AIT12" s="52"/>
      <c r="AIU12" s="52"/>
      <c r="AIV12" s="52"/>
      <c r="AIW12" s="52"/>
      <c r="AIX12" s="52"/>
      <c r="AIY12" s="52"/>
      <c r="AIZ12" s="52"/>
      <c r="AJA12" s="52"/>
      <c r="AJB12" s="52"/>
      <c r="AJC12" s="52"/>
      <c r="AJD12" s="52"/>
      <c r="AJE12" s="52"/>
      <c r="AJF12" s="52"/>
      <c r="AJG12" s="52"/>
      <c r="AJH12" s="52"/>
      <c r="AJI12" s="52"/>
      <c r="AJJ12" s="52"/>
      <c r="AJK12" s="52"/>
      <c r="AJL12" s="52"/>
      <c r="AJM12" s="52"/>
      <c r="AJN12" s="52"/>
      <c r="AJO12" s="52"/>
      <c r="AJP12" s="52"/>
      <c r="AJQ12" s="52"/>
      <c r="AJR12" s="52"/>
      <c r="AJS12" s="52"/>
      <c r="AJT12" s="52"/>
      <c r="AJU12" s="52"/>
      <c r="AJV12" s="52"/>
      <c r="AJW12" s="52"/>
      <c r="AJX12" s="52"/>
      <c r="AJY12" s="52"/>
      <c r="AJZ12" s="52"/>
      <c r="AKA12" s="52"/>
      <c r="AKB12" s="52"/>
      <c r="AKC12" s="52"/>
      <c r="AKD12" s="52"/>
      <c r="AKE12" s="52"/>
      <c r="AKF12" s="52"/>
      <c r="AKG12" s="52"/>
      <c r="AKH12" s="52"/>
      <c r="AKI12" s="52"/>
      <c r="AKJ12" s="52"/>
      <c r="AKK12" s="52"/>
      <c r="AKL12" s="52"/>
      <c r="AKM12" s="52"/>
      <c r="AKN12" s="52"/>
      <c r="AKO12" s="52"/>
      <c r="AKP12" s="52"/>
      <c r="AKQ12" s="52"/>
      <c r="AKR12" s="52"/>
      <c r="AKS12" s="52"/>
      <c r="AKT12" s="52"/>
      <c r="AKU12" s="52"/>
      <c r="AKV12" s="52"/>
      <c r="AKW12" s="52"/>
      <c r="AKX12" s="52"/>
      <c r="AKY12" s="52"/>
      <c r="AKZ12" s="52"/>
      <c r="ALA12" s="52"/>
      <c r="ALB12" s="52"/>
      <c r="ALC12" s="52"/>
      <c r="ALD12" s="52"/>
      <c r="ALE12" s="52"/>
      <c r="ALF12" s="52"/>
      <c r="ALG12" s="52"/>
      <c r="ALH12" s="52"/>
      <c r="ALI12" s="52"/>
      <c r="ALJ12" s="52"/>
      <c r="ALK12" s="52"/>
      <c r="ALL12" s="52"/>
      <c r="ALM12" s="52"/>
      <c r="ALN12" s="52"/>
      <c r="ALO12" s="52"/>
      <c r="ALP12" s="52"/>
      <c r="ALQ12" s="52"/>
      <c r="ALR12" s="52"/>
      <c r="ALS12" s="52"/>
      <c r="ALT12" s="52"/>
      <c r="ALU12" s="52"/>
      <c r="ALV12" s="52"/>
      <c r="ALW12" s="52"/>
      <c r="ALX12" s="52"/>
      <c r="ALY12" s="52"/>
      <c r="ALZ12" s="52"/>
      <c r="AMA12" s="52"/>
      <c r="AMB12" s="52"/>
      <c r="AMC12" s="52"/>
      <c r="AMD12" s="52"/>
      <c r="AME12" s="52"/>
      <c r="AMF12" s="52"/>
      <c r="AMG12" s="52"/>
      <c r="AMH12" s="52"/>
      <c r="AMI12" s="52"/>
      <c r="AMJ12" s="52"/>
    </row>
    <row r="13" spans="1:1024" ht="31.5" customHeight="1" x14ac:dyDescent="0.25">
      <c r="A13" s="2">
        <v>3</v>
      </c>
      <c r="B13" s="71" t="s">
        <v>73</v>
      </c>
      <c r="C13" s="81" t="s">
        <v>81</v>
      </c>
      <c r="D13" s="47" t="s">
        <v>53</v>
      </c>
      <c r="E13" s="49" t="s">
        <v>17</v>
      </c>
      <c r="F13" s="48">
        <v>70</v>
      </c>
      <c r="G13" s="66">
        <f>+'Necesidades Trimestrales'!H9</f>
        <v>16500</v>
      </c>
      <c r="H13" s="66">
        <f>+F13*G13</f>
        <v>1155000</v>
      </c>
      <c r="K13" s="79"/>
      <c r="M13" s="52"/>
      <c r="N13" s="52"/>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c r="YZ13" s="52"/>
      <c r="ZA13" s="52"/>
      <c r="ZB13" s="52"/>
      <c r="ZC13" s="52"/>
      <c r="ZD13" s="52"/>
      <c r="ZE13" s="52"/>
      <c r="ZF13" s="52"/>
      <c r="ZG13" s="52"/>
      <c r="ZH13" s="52"/>
      <c r="ZI13" s="52"/>
      <c r="ZJ13" s="52"/>
      <c r="ZK13" s="52"/>
      <c r="ZL13" s="52"/>
      <c r="ZM13" s="52"/>
      <c r="ZN13" s="52"/>
      <c r="ZO13" s="52"/>
      <c r="ZP13" s="52"/>
      <c r="ZQ13" s="52"/>
      <c r="ZR13" s="52"/>
      <c r="ZS13" s="52"/>
      <c r="ZT13" s="52"/>
      <c r="ZU13" s="52"/>
      <c r="ZV13" s="52"/>
      <c r="ZW13" s="52"/>
      <c r="ZX13" s="52"/>
      <c r="ZY13" s="52"/>
      <c r="ZZ13" s="52"/>
      <c r="AAA13" s="52"/>
      <c r="AAB13" s="52"/>
      <c r="AAC13" s="52"/>
      <c r="AAD13" s="52"/>
      <c r="AAE13" s="52"/>
      <c r="AAF13" s="52"/>
      <c r="AAG13" s="52"/>
      <c r="AAH13" s="52"/>
      <c r="AAI13" s="52"/>
      <c r="AAJ13" s="52"/>
      <c r="AAK13" s="52"/>
      <c r="AAL13" s="52"/>
      <c r="AAM13" s="52"/>
      <c r="AAN13" s="52"/>
      <c r="AAO13" s="52"/>
      <c r="AAP13" s="52"/>
      <c r="AAQ13" s="52"/>
      <c r="AAR13" s="52"/>
      <c r="AAS13" s="52"/>
      <c r="AAT13" s="52"/>
      <c r="AAU13" s="52"/>
      <c r="AAV13" s="52"/>
      <c r="AAW13" s="52"/>
      <c r="AAX13" s="52"/>
      <c r="AAY13" s="52"/>
      <c r="AAZ13" s="52"/>
      <c r="ABA13" s="52"/>
      <c r="ABB13" s="52"/>
      <c r="ABC13" s="52"/>
      <c r="ABD13" s="52"/>
      <c r="ABE13" s="52"/>
      <c r="ABF13" s="52"/>
      <c r="ABG13" s="52"/>
      <c r="ABH13" s="52"/>
      <c r="ABI13" s="52"/>
      <c r="ABJ13" s="52"/>
      <c r="ABK13" s="52"/>
      <c r="ABL13" s="52"/>
      <c r="ABM13" s="52"/>
      <c r="ABN13" s="52"/>
      <c r="ABO13" s="52"/>
      <c r="ABP13" s="52"/>
      <c r="ABQ13" s="52"/>
      <c r="ABR13" s="52"/>
      <c r="ABS13" s="52"/>
      <c r="ABT13" s="52"/>
      <c r="ABU13" s="52"/>
      <c r="ABV13" s="52"/>
      <c r="ABW13" s="52"/>
      <c r="ABX13" s="52"/>
      <c r="ABY13" s="52"/>
      <c r="ABZ13" s="52"/>
      <c r="ACA13" s="52"/>
      <c r="ACB13" s="52"/>
      <c r="ACC13" s="52"/>
      <c r="ACD13" s="52"/>
      <c r="ACE13" s="52"/>
      <c r="ACF13" s="52"/>
      <c r="ACG13" s="52"/>
      <c r="ACH13" s="52"/>
      <c r="ACI13" s="52"/>
      <c r="ACJ13" s="52"/>
      <c r="ACK13" s="52"/>
      <c r="ACL13" s="52"/>
      <c r="ACM13" s="52"/>
      <c r="ACN13" s="52"/>
      <c r="ACO13" s="52"/>
      <c r="ACP13" s="52"/>
      <c r="ACQ13" s="52"/>
      <c r="ACR13" s="52"/>
      <c r="ACS13" s="52"/>
      <c r="ACT13" s="52"/>
      <c r="ACU13" s="52"/>
      <c r="ACV13" s="52"/>
      <c r="ACW13" s="52"/>
      <c r="ACX13" s="52"/>
      <c r="ACY13" s="52"/>
      <c r="ACZ13" s="52"/>
      <c r="ADA13" s="52"/>
      <c r="ADB13" s="52"/>
      <c r="ADC13" s="52"/>
      <c r="ADD13" s="52"/>
      <c r="ADE13" s="52"/>
      <c r="ADF13" s="52"/>
      <c r="ADG13" s="52"/>
      <c r="ADH13" s="52"/>
      <c r="ADI13" s="52"/>
      <c r="ADJ13" s="52"/>
      <c r="ADK13" s="52"/>
      <c r="ADL13" s="52"/>
      <c r="ADM13" s="52"/>
      <c r="ADN13" s="52"/>
      <c r="ADO13" s="52"/>
      <c r="ADP13" s="52"/>
      <c r="ADQ13" s="52"/>
      <c r="ADR13" s="52"/>
      <c r="ADS13" s="52"/>
      <c r="ADT13" s="52"/>
      <c r="ADU13" s="52"/>
      <c r="ADV13" s="52"/>
      <c r="ADW13" s="52"/>
      <c r="ADX13" s="52"/>
      <c r="ADY13" s="52"/>
      <c r="ADZ13" s="52"/>
      <c r="AEA13" s="52"/>
      <c r="AEB13" s="52"/>
      <c r="AEC13" s="52"/>
      <c r="AED13" s="52"/>
      <c r="AEE13" s="52"/>
      <c r="AEF13" s="52"/>
      <c r="AEG13" s="52"/>
      <c r="AEH13" s="52"/>
      <c r="AEI13" s="52"/>
      <c r="AEJ13" s="52"/>
      <c r="AEK13" s="52"/>
      <c r="AEL13" s="52"/>
      <c r="AEM13" s="52"/>
      <c r="AEN13" s="52"/>
      <c r="AEO13" s="52"/>
      <c r="AEP13" s="52"/>
      <c r="AEQ13" s="52"/>
      <c r="AER13" s="52"/>
      <c r="AES13" s="52"/>
      <c r="AET13" s="52"/>
      <c r="AEU13" s="52"/>
      <c r="AEV13" s="52"/>
      <c r="AEW13" s="52"/>
      <c r="AEX13" s="52"/>
      <c r="AEY13" s="52"/>
      <c r="AEZ13" s="52"/>
      <c r="AFA13" s="52"/>
      <c r="AFB13" s="52"/>
      <c r="AFC13" s="52"/>
      <c r="AFD13" s="52"/>
      <c r="AFE13" s="52"/>
      <c r="AFF13" s="52"/>
      <c r="AFG13" s="52"/>
      <c r="AFH13" s="52"/>
      <c r="AFI13" s="52"/>
      <c r="AFJ13" s="52"/>
      <c r="AFK13" s="52"/>
      <c r="AFL13" s="52"/>
      <c r="AFM13" s="52"/>
      <c r="AFN13" s="52"/>
      <c r="AFO13" s="52"/>
      <c r="AFP13" s="52"/>
      <c r="AFQ13" s="52"/>
      <c r="AFR13" s="52"/>
      <c r="AFS13" s="52"/>
      <c r="AFT13" s="52"/>
      <c r="AFU13" s="52"/>
      <c r="AFV13" s="52"/>
      <c r="AFW13" s="52"/>
      <c r="AFX13" s="52"/>
      <c r="AFY13" s="52"/>
      <c r="AFZ13" s="52"/>
      <c r="AGA13" s="52"/>
      <c r="AGB13" s="52"/>
      <c r="AGC13" s="52"/>
      <c r="AGD13" s="52"/>
      <c r="AGE13" s="52"/>
      <c r="AGF13" s="52"/>
      <c r="AGG13" s="52"/>
      <c r="AGH13" s="52"/>
      <c r="AGI13" s="52"/>
      <c r="AGJ13" s="52"/>
      <c r="AGK13" s="52"/>
      <c r="AGL13" s="52"/>
      <c r="AGM13" s="52"/>
      <c r="AGN13" s="52"/>
      <c r="AGO13" s="52"/>
      <c r="AGP13" s="52"/>
      <c r="AGQ13" s="52"/>
      <c r="AGR13" s="52"/>
      <c r="AGS13" s="52"/>
      <c r="AGT13" s="52"/>
      <c r="AGU13" s="52"/>
      <c r="AGV13" s="52"/>
      <c r="AGW13" s="52"/>
      <c r="AGX13" s="52"/>
      <c r="AGY13" s="52"/>
      <c r="AGZ13" s="52"/>
      <c r="AHA13" s="52"/>
      <c r="AHB13" s="52"/>
      <c r="AHC13" s="52"/>
      <c r="AHD13" s="52"/>
      <c r="AHE13" s="52"/>
      <c r="AHF13" s="52"/>
      <c r="AHG13" s="52"/>
      <c r="AHH13" s="52"/>
      <c r="AHI13" s="52"/>
      <c r="AHJ13" s="52"/>
      <c r="AHK13" s="52"/>
      <c r="AHL13" s="52"/>
      <c r="AHM13" s="52"/>
      <c r="AHN13" s="52"/>
      <c r="AHO13" s="52"/>
      <c r="AHP13" s="52"/>
      <c r="AHQ13" s="52"/>
      <c r="AHR13" s="52"/>
      <c r="AHS13" s="52"/>
      <c r="AHT13" s="52"/>
      <c r="AHU13" s="52"/>
      <c r="AHV13" s="52"/>
      <c r="AHW13" s="52"/>
      <c r="AHX13" s="52"/>
      <c r="AHY13" s="52"/>
      <c r="AHZ13" s="52"/>
      <c r="AIA13" s="52"/>
      <c r="AIB13" s="52"/>
      <c r="AIC13" s="52"/>
      <c r="AID13" s="52"/>
      <c r="AIE13" s="52"/>
      <c r="AIF13" s="52"/>
      <c r="AIG13" s="52"/>
      <c r="AIH13" s="52"/>
      <c r="AII13" s="52"/>
      <c r="AIJ13" s="52"/>
      <c r="AIK13" s="52"/>
      <c r="AIL13" s="52"/>
      <c r="AIM13" s="52"/>
      <c r="AIN13" s="52"/>
      <c r="AIO13" s="52"/>
      <c r="AIP13" s="52"/>
      <c r="AIQ13" s="52"/>
      <c r="AIR13" s="52"/>
      <c r="AIS13" s="52"/>
      <c r="AIT13" s="52"/>
      <c r="AIU13" s="52"/>
      <c r="AIV13" s="52"/>
      <c r="AIW13" s="52"/>
      <c r="AIX13" s="52"/>
      <c r="AIY13" s="52"/>
      <c r="AIZ13" s="52"/>
      <c r="AJA13" s="52"/>
      <c r="AJB13" s="52"/>
      <c r="AJC13" s="52"/>
      <c r="AJD13" s="52"/>
      <c r="AJE13" s="52"/>
      <c r="AJF13" s="52"/>
      <c r="AJG13" s="52"/>
      <c r="AJH13" s="52"/>
      <c r="AJI13" s="52"/>
      <c r="AJJ13" s="52"/>
      <c r="AJK13" s="52"/>
      <c r="AJL13" s="52"/>
      <c r="AJM13" s="52"/>
      <c r="AJN13" s="52"/>
      <c r="AJO13" s="52"/>
      <c r="AJP13" s="52"/>
      <c r="AJQ13" s="52"/>
      <c r="AJR13" s="52"/>
      <c r="AJS13" s="52"/>
      <c r="AJT13" s="52"/>
      <c r="AJU13" s="52"/>
      <c r="AJV13" s="52"/>
      <c r="AJW13" s="52"/>
      <c r="AJX13" s="52"/>
      <c r="AJY13" s="52"/>
      <c r="AJZ13" s="52"/>
      <c r="AKA13" s="52"/>
      <c r="AKB13" s="52"/>
      <c r="AKC13" s="52"/>
      <c r="AKD13" s="52"/>
      <c r="AKE13" s="52"/>
      <c r="AKF13" s="52"/>
      <c r="AKG13" s="52"/>
      <c r="AKH13" s="52"/>
      <c r="AKI13" s="52"/>
      <c r="AKJ13" s="52"/>
      <c r="AKK13" s="52"/>
      <c r="AKL13" s="52"/>
      <c r="AKM13" s="52"/>
      <c r="AKN13" s="52"/>
      <c r="AKO13" s="52"/>
      <c r="AKP13" s="52"/>
      <c r="AKQ13" s="52"/>
      <c r="AKR13" s="52"/>
      <c r="AKS13" s="52"/>
      <c r="AKT13" s="52"/>
      <c r="AKU13" s="52"/>
      <c r="AKV13" s="52"/>
      <c r="AKW13" s="52"/>
      <c r="AKX13" s="52"/>
      <c r="AKY13" s="52"/>
      <c r="AKZ13" s="52"/>
      <c r="ALA13" s="52"/>
      <c r="ALB13" s="52"/>
      <c r="ALC13" s="52"/>
      <c r="ALD13" s="52"/>
      <c r="ALE13" s="52"/>
      <c r="ALF13" s="52"/>
      <c r="ALG13" s="52"/>
      <c r="ALH13" s="52"/>
      <c r="ALI13" s="52"/>
      <c r="ALJ13" s="52"/>
      <c r="ALK13" s="52"/>
      <c r="ALL13" s="52"/>
      <c r="ALM13" s="52"/>
      <c r="ALN13" s="52"/>
      <c r="ALO13" s="52"/>
      <c r="ALP13" s="52"/>
      <c r="ALQ13" s="52"/>
      <c r="ALR13" s="52"/>
      <c r="ALS13" s="52"/>
      <c r="ALT13" s="52"/>
      <c r="ALU13" s="52"/>
      <c r="ALV13" s="52"/>
      <c r="ALW13" s="52"/>
      <c r="ALX13" s="52"/>
      <c r="ALY13" s="52"/>
      <c r="ALZ13" s="52"/>
      <c r="AMA13" s="52"/>
      <c r="AMB13" s="52"/>
      <c r="AMC13" s="52"/>
      <c r="AMD13" s="52"/>
      <c r="AME13" s="52"/>
      <c r="AMF13" s="52"/>
      <c r="AMG13" s="52"/>
      <c r="AMH13" s="52"/>
      <c r="AMI13" s="52"/>
      <c r="AMJ13" s="52"/>
    </row>
    <row r="14" spans="1:1024" ht="30.75" customHeight="1" x14ac:dyDescent="0.25">
      <c r="A14" s="61">
        <v>4</v>
      </c>
      <c r="B14" s="72" t="s">
        <v>74</v>
      </c>
      <c r="C14" s="82" t="s">
        <v>82</v>
      </c>
      <c r="D14" s="47" t="s">
        <v>53</v>
      </c>
      <c r="E14" s="20" t="s">
        <v>17</v>
      </c>
      <c r="F14" s="48">
        <v>80</v>
      </c>
      <c r="G14" s="66">
        <f>+'Necesidades Trimestrales'!H10</f>
        <v>22262</v>
      </c>
      <c r="H14" s="66">
        <f>+G14*F14</f>
        <v>1780960</v>
      </c>
      <c r="M14" s="52"/>
      <c r="N14" s="52"/>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c r="YZ14" s="52"/>
      <c r="ZA14" s="52"/>
      <c r="ZB14" s="52"/>
      <c r="ZC14" s="52"/>
      <c r="ZD14" s="52"/>
      <c r="ZE14" s="52"/>
      <c r="ZF14" s="52"/>
      <c r="ZG14" s="52"/>
      <c r="ZH14" s="52"/>
      <c r="ZI14" s="52"/>
      <c r="ZJ14" s="52"/>
      <c r="ZK14" s="52"/>
      <c r="ZL14" s="52"/>
      <c r="ZM14" s="52"/>
      <c r="ZN14" s="52"/>
      <c r="ZO14" s="52"/>
      <c r="ZP14" s="52"/>
      <c r="ZQ14" s="52"/>
      <c r="ZR14" s="52"/>
      <c r="ZS14" s="52"/>
      <c r="ZT14" s="52"/>
      <c r="ZU14" s="52"/>
      <c r="ZV14" s="52"/>
      <c r="ZW14" s="52"/>
      <c r="ZX14" s="52"/>
      <c r="ZY14" s="52"/>
      <c r="ZZ14" s="52"/>
      <c r="AAA14" s="52"/>
      <c r="AAB14" s="52"/>
      <c r="AAC14" s="52"/>
      <c r="AAD14" s="52"/>
      <c r="AAE14" s="52"/>
      <c r="AAF14" s="52"/>
      <c r="AAG14" s="52"/>
      <c r="AAH14" s="52"/>
      <c r="AAI14" s="52"/>
      <c r="AAJ14" s="52"/>
      <c r="AAK14" s="52"/>
      <c r="AAL14" s="52"/>
      <c r="AAM14" s="52"/>
      <c r="AAN14" s="52"/>
      <c r="AAO14" s="52"/>
      <c r="AAP14" s="52"/>
      <c r="AAQ14" s="52"/>
      <c r="AAR14" s="52"/>
      <c r="AAS14" s="52"/>
      <c r="AAT14" s="52"/>
      <c r="AAU14" s="52"/>
      <c r="AAV14" s="52"/>
      <c r="AAW14" s="52"/>
      <c r="AAX14" s="52"/>
      <c r="AAY14" s="52"/>
      <c r="AAZ14" s="52"/>
      <c r="ABA14" s="52"/>
      <c r="ABB14" s="52"/>
      <c r="ABC14" s="52"/>
      <c r="ABD14" s="52"/>
      <c r="ABE14" s="52"/>
      <c r="ABF14" s="52"/>
      <c r="ABG14" s="52"/>
      <c r="ABH14" s="52"/>
      <c r="ABI14" s="52"/>
      <c r="ABJ14" s="52"/>
      <c r="ABK14" s="52"/>
      <c r="ABL14" s="52"/>
      <c r="ABM14" s="52"/>
      <c r="ABN14" s="52"/>
      <c r="ABO14" s="52"/>
      <c r="ABP14" s="52"/>
      <c r="ABQ14" s="52"/>
      <c r="ABR14" s="52"/>
      <c r="ABS14" s="52"/>
      <c r="ABT14" s="52"/>
      <c r="ABU14" s="52"/>
      <c r="ABV14" s="52"/>
      <c r="ABW14" s="52"/>
      <c r="ABX14" s="52"/>
      <c r="ABY14" s="52"/>
      <c r="ABZ14" s="52"/>
      <c r="ACA14" s="52"/>
      <c r="ACB14" s="52"/>
      <c r="ACC14" s="52"/>
      <c r="ACD14" s="52"/>
      <c r="ACE14" s="52"/>
      <c r="ACF14" s="52"/>
      <c r="ACG14" s="52"/>
      <c r="ACH14" s="52"/>
      <c r="ACI14" s="52"/>
      <c r="ACJ14" s="52"/>
      <c r="ACK14" s="52"/>
      <c r="ACL14" s="52"/>
      <c r="ACM14" s="52"/>
      <c r="ACN14" s="52"/>
      <c r="ACO14" s="52"/>
      <c r="ACP14" s="52"/>
      <c r="ACQ14" s="52"/>
      <c r="ACR14" s="52"/>
      <c r="ACS14" s="52"/>
      <c r="ACT14" s="52"/>
      <c r="ACU14" s="52"/>
      <c r="ACV14" s="52"/>
      <c r="ACW14" s="52"/>
      <c r="ACX14" s="52"/>
      <c r="ACY14" s="52"/>
      <c r="ACZ14" s="52"/>
      <c r="ADA14" s="52"/>
      <c r="ADB14" s="52"/>
      <c r="ADC14" s="52"/>
      <c r="ADD14" s="52"/>
      <c r="ADE14" s="52"/>
      <c r="ADF14" s="52"/>
      <c r="ADG14" s="52"/>
      <c r="ADH14" s="52"/>
      <c r="ADI14" s="52"/>
      <c r="ADJ14" s="52"/>
      <c r="ADK14" s="52"/>
      <c r="ADL14" s="52"/>
      <c r="ADM14" s="52"/>
      <c r="ADN14" s="52"/>
      <c r="ADO14" s="52"/>
      <c r="ADP14" s="52"/>
      <c r="ADQ14" s="52"/>
      <c r="ADR14" s="52"/>
      <c r="ADS14" s="52"/>
      <c r="ADT14" s="52"/>
      <c r="ADU14" s="52"/>
      <c r="ADV14" s="52"/>
      <c r="ADW14" s="52"/>
      <c r="ADX14" s="52"/>
      <c r="ADY14" s="52"/>
      <c r="ADZ14" s="52"/>
      <c r="AEA14" s="52"/>
      <c r="AEB14" s="52"/>
      <c r="AEC14" s="52"/>
      <c r="AED14" s="52"/>
      <c r="AEE14" s="52"/>
      <c r="AEF14" s="52"/>
      <c r="AEG14" s="52"/>
      <c r="AEH14" s="52"/>
      <c r="AEI14" s="52"/>
      <c r="AEJ14" s="52"/>
      <c r="AEK14" s="52"/>
      <c r="AEL14" s="52"/>
      <c r="AEM14" s="52"/>
      <c r="AEN14" s="52"/>
      <c r="AEO14" s="52"/>
      <c r="AEP14" s="52"/>
      <c r="AEQ14" s="52"/>
      <c r="AER14" s="52"/>
      <c r="AES14" s="52"/>
      <c r="AET14" s="52"/>
      <c r="AEU14" s="52"/>
      <c r="AEV14" s="52"/>
      <c r="AEW14" s="52"/>
      <c r="AEX14" s="52"/>
      <c r="AEY14" s="52"/>
      <c r="AEZ14" s="52"/>
      <c r="AFA14" s="52"/>
      <c r="AFB14" s="52"/>
      <c r="AFC14" s="52"/>
      <c r="AFD14" s="52"/>
      <c r="AFE14" s="52"/>
      <c r="AFF14" s="52"/>
      <c r="AFG14" s="52"/>
      <c r="AFH14" s="52"/>
      <c r="AFI14" s="52"/>
      <c r="AFJ14" s="52"/>
      <c r="AFK14" s="52"/>
      <c r="AFL14" s="52"/>
      <c r="AFM14" s="52"/>
      <c r="AFN14" s="52"/>
      <c r="AFO14" s="52"/>
      <c r="AFP14" s="52"/>
      <c r="AFQ14" s="52"/>
      <c r="AFR14" s="52"/>
      <c r="AFS14" s="52"/>
      <c r="AFT14" s="52"/>
      <c r="AFU14" s="52"/>
      <c r="AFV14" s="52"/>
      <c r="AFW14" s="52"/>
      <c r="AFX14" s="52"/>
      <c r="AFY14" s="52"/>
      <c r="AFZ14" s="52"/>
      <c r="AGA14" s="52"/>
      <c r="AGB14" s="52"/>
      <c r="AGC14" s="52"/>
      <c r="AGD14" s="52"/>
      <c r="AGE14" s="52"/>
      <c r="AGF14" s="52"/>
      <c r="AGG14" s="52"/>
      <c r="AGH14" s="52"/>
      <c r="AGI14" s="52"/>
      <c r="AGJ14" s="52"/>
      <c r="AGK14" s="52"/>
      <c r="AGL14" s="52"/>
      <c r="AGM14" s="52"/>
      <c r="AGN14" s="52"/>
      <c r="AGO14" s="52"/>
      <c r="AGP14" s="52"/>
      <c r="AGQ14" s="52"/>
      <c r="AGR14" s="52"/>
      <c r="AGS14" s="52"/>
      <c r="AGT14" s="52"/>
      <c r="AGU14" s="52"/>
      <c r="AGV14" s="52"/>
      <c r="AGW14" s="52"/>
      <c r="AGX14" s="52"/>
      <c r="AGY14" s="52"/>
      <c r="AGZ14" s="52"/>
      <c r="AHA14" s="52"/>
      <c r="AHB14" s="52"/>
      <c r="AHC14" s="52"/>
      <c r="AHD14" s="52"/>
      <c r="AHE14" s="52"/>
      <c r="AHF14" s="52"/>
      <c r="AHG14" s="52"/>
      <c r="AHH14" s="52"/>
      <c r="AHI14" s="52"/>
      <c r="AHJ14" s="52"/>
      <c r="AHK14" s="52"/>
      <c r="AHL14" s="52"/>
      <c r="AHM14" s="52"/>
      <c r="AHN14" s="52"/>
      <c r="AHO14" s="52"/>
      <c r="AHP14" s="52"/>
      <c r="AHQ14" s="52"/>
      <c r="AHR14" s="52"/>
      <c r="AHS14" s="52"/>
      <c r="AHT14" s="52"/>
      <c r="AHU14" s="52"/>
      <c r="AHV14" s="52"/>
      <c r="AHW14" s="52"/>
      <c r="AHX14" s="52"/>
      <c r="AHY14" s="52"/>
      <c r="AHZ14" s="52"/>
      <c r="AIA14" s="52"/>
      <c r="AIB14" s="52"/>
      <c r="AIC14" s="52"/>
      <c r="AID14" s="52"/>
      <c r="AIE14" s="52"/>
      <c r="AIF14" s="52"/>
      <c r="AIG14" s="52"/>
      <c r="AIH14" s="52"/>
      <c r="AII14" s="52"/>
      <c r="AIJ14" s="52"/>
      <c r="AIK14" s="52"/>
      <c r="AIL14" s="52"/>
      <c r="AIM14" s="52"/>
      <c r="AIN14" s="52"/>
      <c r="AIO14" s="52"/>
      <c r="AIP14" s="52"/>
      <c r="AIQ14" s="52"/>
      <c r="AIR14" s="52"/>
      <c r="AIS14" s="52"/>
      <c r="AIT14" s="52"/>
      <c r="AIU14" s="52"/>
      <c r="AIV14" s="52"/>
      <c r="AIW14" s="52"/>
      <c r="AIX14" s="52"/>
      <c r="AIY14" s="52"/>
      <c r="AIZ14" s="52"/>
      <c r="AJA14" s="52"/>
      <c r="AJB14" s="52"/>
      <c r="AJC14" s="52"/>
      <c r="AJD14" s="52"/>
      <c r="AJE14" s="52"/>
      <c r="AJF14" s="52"/>
      <c r="AJG14" s="52"/>
      <c r="AJH14" s="52"/>
      <c r="AJI14" s="52"/>
      <c r="AJJ14" s="52"/>
      <c r="AJK14" s="52"/>
      <c r="AJL14" s="52"/>
      <c r="AJM14" s="52"/>
      <c r="AJN14" s="52"/>
      <c r="AJO14" s="52"/>
      <c r="AJP14" s="52"/>
      <c r="AJQ14" s="52"/>
      <c r="AJR14" s="52"/>
      <c r="AJS14" s="52"/>
      <c r="AJT14" s="52"/>
      <c r="AJU14" s="52"/>
      <c r="AJV14" s="52"/>
      <c r="AJW14" s="52"/>
      <c r="AJX14" s="52"/>
      <c r="AJY14" s="52"/>
      <c r="AJZ14" s="52"/>
      <c r="AKA14" s="52"/>
      <c r="AKB14" s="52"/>
      <c r="AKC14" s="52"/>
      <c r="AKD14" s="52"/>
      <c r="AKE14" s="52"/>
      <c r="AKF14" s="52"/>
      <c r="AKG14" s="52"/>
      <c r="AKH14" s="52"/>
      <c r="AKI14" s="52"/>
      <c r="AKJ14" s="52"/>
      <c r="AKK14" s="52"/>
      <c r="AKL14" s="52"/>
      <c r="AKM14" s="52"/>
      <c r="AKN14" s="52"/>
      <c r="AKO14" s="52"/>
      <c r="AKP14" s="52"/>
      <c r="AKQ14" s="52"/>
      <c r="AKR14" s="52"/>
      <c r="AKS14" s="52"/>
      <c r="AKT14" s="52"/>
      <c r="AKU14" s="52"/>
      <c r="AKV14" s="52"/>
      <c r="AKW14" s="52"/>
      <c r="AKX14" s="52"/>
      <c r="AKY14" s="52"/>
      <c r="AKZ14" s="52"/>
      <c r="ALA14" s="52"/>
      <c r="ALB14" s="52"/>
      <c r="ALC14" s="52"/>
      <c r="ALD14" s="52"/>
      <c r="ALE14" s="52"/>
      <c r="ALF14" s="52"/>
      <c r="ALG14" s="52"/>
      <c r="ALH14" s="52"/>
      <c r="ALI14" s="52"/>
      <c r="ALJ14" s="52"/>
      <c r="ALK14" s="52"/>
      <c r="ALL14" s="52"/>
      <c r="ALM14" s="52"/>
      <c r="ALN14" s="52"/>
      <c r="ALO14" s="52"/>
      <c r="ALP14" s="52"/>
      <c r="ALQ14" s="52"/>
      <c r="ALR14" s="52"/>
      <c r="ALS14" s="52"/>
      <c r="ALT14" s="52"/>
      <c r="ALU14" s="52"/>
      <c r="ALV14" s="52"/>
      <c r="ALW14" s="52"/>
      <c r="ALX14" s="52"/>
      <c r="ALY14" s="52"/>
      <c r="ALZ14" s="52"/>
      <c r="AMA14" s="52"/>
      <c r="AMB14" s="52"/>
      <c r="AMC14" s="52"/>
      <c r="AMD14" s="52"/>
      <c r="AME14" s="52"/>
      <c r="AMF14" s="52"/>
      <c r="AMG14" s="52"/>
      <c r="AMH14" s="52"/>
      <c r="AMI14" s="52"/>
      <c r="AMJ14" s="52"/>
    </row>
    <row r="15" spans="1:1024" ht="38.25" customHeight="1" x14ac:dyDescent="0.25">
      <c r="A15" s="2">
        <v>5</v>
      </c>
      <c r="B15" s="74" t="s">
        <v>75</v>
      </c>
      <c r="C15" s="78" t="s">
        <v>83</v>
      </c>
      <c r="D15" s="47" t="s">
        <v>53</v>
      </c>
      <c r="E15" s="49" t="s">
        <v>17</v>
      </c>
      <c r="F15" s="48">
        <v>100</v>
      </c>
      <c r="G15" s="66">
        <f>+'Necesidades Trimestrales'!H11</f>
        <v>3300</v>
      </c>
      <c r="H15" s="66">
        <f>+G15*F15</f>
        <v>330000</v>
      </c>
      <c r="K15" s="79"/>
      <c r="M15" s="52"/>
      <c r="N15" s="52"/>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c r="YZ15" s="52"/>
      <c r="ZA15" s="52"/>
      <c r="ZB15" s="52"/>
      <c r="ZC15" s="52"/>
      <c r="ZD15" s="52"/>
      <c r="ZE15" s="52"/>
      <c r="ZF15" s="52"/>
      <c r="ZG15" s="52"/>
      <c r="ZH15" s="52"/>
      <c r="ZI15" s="52"/>
      <c r="ZJ15" s="52"/>
      <c r="ZK15" s="52"/>
      <c r="ZL15" s="52"/>
      <c r="ZM15" s="52"/>
      <c r="ZN15" s="52"/>
      <c r="ZO15" s="52"/>
      <c r="ZP15" s="52"/>
      <c r="ZQ15" s="52"/>
      <c r="ZR15" s="52"/>
      <c r="ZS15" s="52"/>
      <c r="ZT15" s="52"/>
      <c r="ZU15" s="52"/>
      <c r="ZV15" s="52"/>
      <c r="ZW15" s="52"/>
      <c r="ZX15" s="52"/>
      <c r="ZY15" s="52"/>
      <c r="ZZ15" s="52"/>
      <c r="AAA15" s="52"/>
      <c r="AAB15" s="52"/>
      <c r="AAC15" s="52"/>
      <c r="AAD15" s="52"/>
      <c r="AAE15" s="52"/>
      <c r="AAF15" s="52"/>
      <c r="AAG15" s="52"/>
      <c r="AAH15" s="52"/>
      <c r="AAI15" s="52"/>
      <c r="AAJ15" s="52"/>
      <c r="AAK15" s="52"/>
      <c r="AAL15" s="52"/>
      <c r="AAM15" s="52"/>
      <c r="AAN15" s="52"/>
      <c r="AAO15" s="52"/>
      <c r="AAP15" s="52"/>
      <c r="AAQ15" s="52"/>
      <c r="AAR15" s="52"/>
      <c r="AAS15" s="52"/>
      <c r="AAT15" s="52"/>
      <c r="AAU15" s="52"/>
      <c r="AAV15" s="52"/>
      <c r="AAW15" s="52"/>
      <c r="AAX15" s="52"/>
      <c r="AAY15" s="52"/>
      <c r="AAZ15" s="52"/>
      <c r="ABA15" s="52"/>
      <c r="ABB15" s="52"/>
      <c r="ABC15" s="52"/>
      <c r="ABD15" s="52"/>
      <c r="ABE15" s="52"/>
      <c r="ABF15" s="52"/>
      <c r="ABG15" s="52"/>
      <c r="ABH15" s="52"/>
      <c r="ABI15" s="52"/>
      <c r="ABJ15" s="52"/>
      <c r="ABK15" s="52"/>
      <c r="ABL15" s="52"/>
      <c r="ABM15" s="52"/>
      <c r="ABN15" s="52"/>
      <c r="ABO15" s="52"/>
      <c r="ABP15" s="52"/>
      <c r="ABQ15" s="52"/>
      <c r="ABR15" s="52"/>
      <c r="ABS15" s="52"/>
      <c r="ABT15" s="52"/>
      <c r="ABU15" s="52"/>
      <c r="ABV15" s="52"/>
      <c r="ABW15" s="52"/>
      <c r="ABX15" s="52"/>
      <c r="ABY15" s="52"/>
      <c r="ABZ15" s="52"/>
      <c r="ACA15" s="52"/>
      <c r="ACB15" s="52"/>
      <c r="ACC15" s="52"/>
      <c r="ACD15" s="52"/>
      <c r="ACE15" s="52"/>
      <c r="ACF15" s="52"/>
      <c r="ACG15" s="52"/>
      <c r="ACH15" s="52"/>
      <c r="ACI15" s="52"/>
      <c r="ACJ15" s="52"/>
      <c r="ACK15" s="52"/>
      <c r="ACL15" s="52"/>
      <c r="ACM15" s="52"/>
      <c r="ACN15" s="52"/>
      <c r="ACO15" s="52"/>
      <c r="ACP15" s="52"/>
      <c r="ACQ15" s="52"/>
      <c r="ACR15" s="52"/>
      <c r="ACS15" s="52"/>
      <c r="ACT15" s="52"/>
      <c r="ACU15" s="52"/>
      <c r="ACV15" s="52"/>
      <c r="ACW15" s="52"/>
      <c r="ACX15" s="52"/>
      <c r="ACY15" s="52"/>
      <c r="ACZ15" s="52"/>
      <c r="ADA15" s="52"/>
      <c r="ADB15" s="52"/>
      <c r="ADC15" s="52"/>
      <c r="ADD15" s="52"/>
      <c r="ADE15" s="52"/>
      <c r="ADF15" s="52"/>
      <c r="ADG15" s="52"/>
      <c r="ADH15" s="52"/>
      <c r="ADI15" s="52"/>
      <c r="ADJ15" s="52"/>
      <c r="ADK15" s="52"/>
      <c r="ADL15" s="52"/>
      <c r="ADM15" s="52"/>
      <c r="ADN15" s="52"/>
      <c r="ADO15" s="52"/>
      <c r="ADP15" s="52"/>
      <c r="ADQ15" s="52"/>
      <c r="ADR15" s="52"/>
      <c r="ADS15" s="52"/>
      <c r="ADT15" s="52"/>
      <c r="ADU15" s="52"/>
      <c r="ADV15" s="52"/>
      <c r="ADW15" s="52"/>
      <c r="ADX15" s="52"/>
      <c r="ADY15" s="52"/>
      <c r="ADZ15" s="52"/>
      <c r="AEA15" s="52"/>
      <c r="AEB15" s="52"/>
      <c r="AEC15" s="52"/>
      <c r="AED15" s="52"/>
      <c r="AEE15" s="52"/>
      <c r="AEF15" s="52"/>
      <c r="AEG15" s="52"/>
      <c r="AEH15" s="52"/>
      <c r="AEI15" s="52"/>
      <c r="AEJ15" s="52"/>
      <c r="AEK15" s="52"/>
      <c r="AEL15" s="52"/>
      <c r="AEM15" s="52"/>
      <c r="AEN15" s="52"/>
      <c r="AEO15" s="52"/>
      <c r="AEP15" s="52"/>
      <c r="AEQ15" s="52"/>
      <c r="AER15" s="52"/>
      <c r="AES15" s="52"/>
      <c r="AET15" s="52"/>
      <c r="AEU15" s="52"/>
      <c r="AEV15" s="52"/>
      <c r="AEW15" s="52"/>
      <c r="AEX15" s="52"/>
      <c r="AEY15" s="52"/>
      <c r="AEZ15" s="52"/>
      <c r="AFA15" s="52"/>
      <c r="AFB15" s="52"/>
      <c r="AFC15" s="52"/>
      <c r="AFD15" s="52"/>
      <c r="AFE15" s="52"/>
      <c r="AFF15" s="52"/>
      <c r="AFG15" s="52"/>
      <c r="AFH15" s="52"/>
      <c r="AFI15" s="52"/>
      <c r="AFJ15" s="52"/>
      <c r="AFK15" s="52"/>
      <c r="AFL15" s="52"/>
      <c r="AFM15" s="52"/>
      <c r="AFN15" s="52"/>
      <c r="AFO15" s="52"/>
      <c r="AFP15" s="52"/>
      <c r="AFQ15" s="52"/>
      <c r="AFR15" s="52"/>
      <c r="AFS15" s="52"/>
      <c r="AFT15" s="52"/>
      <c r="AFU15" s="52"/>
      <c r="AFV15" s="52"/>
      <c r="AFW15" s="52"/>
      <c r="AFX15" s="52"/>
      <c r="AFY15" s="52"/>
      <c r="AFZ15" s="52"/>
      <c r="AGA15" s="52"/>
      <c r="AGB15" s="52"/>
      <c r="AGC15" s="52"/>
      <c r="AGD15" s="52"/>
      <c r="AGE15" s="52"/>
      <c r="AGF15" s="52"/>
      <c r="AGG15" s="52"/>
      <c r="AGH15" s="52"/>
      <c r="AGI15" s="52"/>
      <c r="AGJ15" s="52"/>
      <c r="AGK15" s="52"/>
      <c r="AGL15" s="52"/>
      <c r="AGM15" s="52"/>
      <c r="AGN15" s="52"/>
      <c r="AGO15" s="52"/>
      <c r="AGP15" s="52"/>
      <c r="AGQ15" s="52"/>
      <c r="AGR15" s="52"/>
      <c r="AGS15" s="52"/>
      <c r="AGT15" s="52"/>
      <c r="AGU15" s="52"/>
      <c r="AGV15" s="52"/>
      <c r="AGW15" s="52"/>
      <c r="AGX15" s="52"/>
      <c r="AGY15" s="52"/>
      <c r="AGZ15" s="52"/>
      <c r="AHA15" s="52"/>
      <c r="AHB15" s="52"/>
      <c r="AHC15" s="52"/>
      <c r="AHD15" s="52"/>
      <c r="AHE15" s="52"/>
      <c r="AHF15" s="52"/>
      <c r="AHG15" s="52"/>
      <c r="AHH15" s="52"/>
      <c r="AHI15" s="52"/>
      <c r="AHJ15" s="52"/>
      <c r="AHK15" s="52"/>
      <c r="AHL15" s="52"/>
      <c r="AHM15" s="52"/>
      <c r="AHN15" s="52"/>
      <c r="AHO15" s="52"/>
      <c r="AHP15" s="52"/>
      <c r="AHQ15" s="52"/>
      <c r="AHR15" s="52"/>
      <c r="AHS15" s="52"/>
      <c r="AHT15" s="52"/>
      <c r="AHU15" s="52"/>
      <c r="AHV15" s="52"/>
      <c r="AHW15" s="52"/>
      <c r="AHX15" s="52"/>
      <c r="AHY15" s="52"/>
      <c r="AHZ15" s="52"/>
      <c r="AIA15" s="52"/>
      <c r="AIB15" s="52"/>
      <c r="AIC15" s="52"/>
      <c r="AID15" s="52"/>
      <c r="AIE15" s="52"/>
      <c r="AIF15" s="52"/>
      <c r="AIG15" s="52"/>
      <c r="AIH15" s="52"/>
      <c r="AII15" s="52"/>
      <c r="AIJ15" s="52"/>
      <c r="AIK15" s="52"/>
      <c r="AIL15" s="52"/>
      <c r="AIM15" s="52"/>
      <c r="AIN15" s="52"/>
      <c r="AIO15" s="52"/>
      <c r="AIP15" s="52"/>
      <c r="AIQ15" s="52"/>
      <c r="AIR15" s="52"/>
      <c r="AIS15" s="52"/>
      <c r="AIT15" s="52"/>
      <c r="AIU15" s="52"/>
      <c r="AIV15" s="52"/>
      <c r="AIW15" s="52"/>
      <c r="AIX15" s="52"/>
      <c r="AIY15" s="52"/>
      <c r="AIZ15" s="52"/>
      <c r="AJA15" s="52"/>
      <c r="AJB15" s="52"/>
      <c r="AJC15" s="52"/>
      <c r="AJD15" s="52"/>
      <c r="AJE15" s="52"/>
      <c r="AJF15" s="52"/>
      <c r="AJG15" s="52"/>
      <c r="AJH15" s="52"/>
      <c r="AJI15" s="52"/>
      <c r="AJJ15" s="52"/>
      <c r="AJK15" s="52"/>
      <c r="AJL15" s="52"/>
      <c r="AJM15" s="52"/>
      <c r="AJN15" s="52"/>
      <c r="AJO15" s="52"/>
      <c r="AJP15" s="52"/>
      <c r="AJQ15" s="52"/>
      <c r="AJR15" s="52"/>
      <c r="AJS15" s="52"/>
      <c r="AJT15" s="52"/>
      <c r="AJU15" s="52"/>
      <c r="AJV15" s="52"/>
      <c r="AJW15" s="52"/>
      <c r="AJX15" s="52"/>
      <c r="AJY15" s="52"/>
      <c r="AJZ15" s="52"/>
      <c r="AKA15" s="52"/>
      <c r="AKB15" s="52"/>
      <c r="AKC15" s="52"/>
      <c r="AKD15" s="52"/>
      <c r="AKE15" s="52"/>
      <c r="AKF15" s="52"/>
      <c r="AKG15" s="52"/>
      <c r="AKH15" s="52"/>
      <c r="AKI15" s="52"/>
      <c r="AKJ15" s="52"/>
      <c r="AKK15" s="52"/>
      <c r="AKL15" s="52"/>
      <c r="AKM15" s="52"/>
      <c r="AKN15" s="52"/>
      <c r="AKO15" s="52"/>
      <c r="AKP15" s="52"/>
      <c r="AKQ15" s="52"/>
      <c r="AKR15" s="52"/>
      <c r="AKS15" s="52"/>
      <c r="AKT15" s="52"/>
      <c r="AKU15" s="52"/>
      <c r="AKV15" s="52"/>
      <c r="AKW15" s="52"/>
      <c r="AKX15" s="52"/>
      <c r="AKY15" s="52"/>
      <c r="AKZ15" s="52"/>
      <c r="ALA15" s="52"/>
      <c r="ALB15" s="52"/>
      <c r="ALC15" s="52"/>
      <c r="ALD15" s="52"/>
      <c r="ALE15" s="52"/>
      <c r="ALF15" s="52"/>
      <c r="ALG15" s="52"/>
      <c r="ALH15" s="52"/>
      <c r="ALI15" s="52"/>
      <c r="ALJ15" s="52"/>
      <c r="ALK15" s="52"/>
      <c r="ALL15" s="52"/>
      <c r="ALM15" s="52"/>
      <c r="ALN15" s="52"/>
      <c r="ALO15" s="52"/>
      <c r="ALP15" s="52"/>
      <c r="ALQ15" s="52"/>
      <c r="ALR15" s="52"/>
      <c r="ALS15" s="52"/>
      <c r="ALT15" s="52"/>
      <c r="ALU15" s="52"/>
      <c r="ALV15" s="52"/>
      <c r="ALW15" s="52"/>
      <c r="ALX15" s="52"/>
      <c r="ALY15" s="52"/>
      <c r="ALZ15" s="52"/>
      <c r="AMA15" s="52"/>
      <c r="AMB15" s="52"/>
      <c r="AMC15" s="52"/>
      <c r="AMD15" s="52"/>
      <c r="AME15" s="52"/>
      <c r="AMF15" s="52"/>
      <c r="AMG15" s="52"/>
      <c r="AMH15" s="52"/>
      <c r="AMI15" s="52"/>
      <c r="AMJ15" s="52"/>
    </row>
    <row r="16" spans="1:1024" ht="33" customHeight="1" x14ac:dyDescent="0.25">
      <c r="A16" s="2">
        <v>6</v>
      </c>
      <c r="B16" s="74" t="s">
        <v>77</v>
      </c>
      <c r="C16" s="81" t="s">
        <v>84</v>
      </c>
      <c r="D16" s="47" t="s">
        <v>53</v>
      </c>
      <c r="E16" s="20" t="s">
        <v>17</v>
      </c>
      <c r="F16" s="48">
        <v>300</v>
      </c>
      <c r="G16" s="66">
        <f>+'Necesidades Trimestrales'!H12</f>
        <v>3150</v>
      </c>
      <c r="H16" s="66">
        <f t="shared" ref="H16:H19" si="0">+F16*G16</f>
        <v>945000</v>
      </c>
      <c r="M16" s="52"/>
      <c r="N16" s="52"/>
      <c r="O16" s="53"/>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c r="YV16" s="52"/>
      <c r="YW16" s="52"/>
      <c r="YX16" s="52"/>
      <c r="YY16" s="52"/>
      <c r="YZ16" s="52"/>
      <c r="ZA16" s="52"/>
      <c r="ZB16" s="52"/>
      <c r="ZC16" s="52"/>
      <c r="ZD16" s="52"/>
      <c r="ZE16" s="52"/>
      <c r="ZF16" s="52"/>
      <c r="ZG16" s="52"/>
      <c r="ZH16" s="52"/>
      <c r="ZI16" s="52"/>
      <c r="ZJ16" s="52"/>
      <c r="ZK16" s="52"/>
      <c r="ZL16" s="52"/>
      <c r="ZM16" s="52"/>
      <c r="ZN16" s="52"/>
      <c r="ZO16" s="52"/>
      <c r="ZP16" s="52"/>
      <c r="ZQ16" s="52"/>
      <c r="ZR16" s="52"/>
      <c r="ZS16" s="52"/>
      <c r="ZT16" s="52"/>
      <c r="ZU16" s="52"/>
      <c r="ZV16" s="52"/>
      <c r="ZW16" s="52"/>
      <c r="ZX16" s="52"/>
      <c r="ZY16" s="52"/>
      <c r="ZZ16" s="52"/>
      <c r="AAA16" s="52"/>
      <c r="AAB16" s="52"/>
      <c r="AAC16" s="52"/>
      <c r="AAD16" s="52"/>
      <c r="AAE16" s="52"/>
      <c r="AAF16" s="52"/>
      <c r="AAG16" s="52"/>
      <c r="AAH16" s="52"/>
      <c r="AAI16" s="52"/>
      <c r="AAJ16" s="52"/>
      <c r="AAK16" s="52"/>
      <c r="AAL16" s="52"/>
      <c r="AAM16" s="52"/>
      <c r="AAN16" s="52"/>
      <c r="AAO16" s="52"/>
      <c r="AAP16" s="52"/>
      <c r="AAQ16" s="52"/>
      <c r="AAR16" s="52"/>
      <c r="AAS16" s="52"/>
      <c r="AAT16" s="52"/>
      <c r="AAU16" s="52"/>
      <c r="AAV16" s="52"/>
      <c r="AAW16" s="52"/>
      <c r="AAX16" s="52"/>
      <c r="AAY16" s="52"/>
      <c r="AAZ16" s="52"/>
      <c r="ABA16" s="52"/>
      <c r="ABB16" s="52"/>
      <c r="ABC16" s="52"/>
      <c r="ABD16" s="52"/>
      <c r="ABE16" s="52"/>
      <c r="ABF16" s="52"/>
      <c r="ABG16" s="52"/>
      <c r="ABH16" s="52"/>
      <c r="ABI16" s="52"/>
      <c r="ABJ16" s="52"/>
      <c r="ABK16" s="52"/>
      <c r="ABL16" s="52"/>
      <c r="ABM16" s="52"/>
      <c r="ABN16" s="52"/>
      <c r="ABO16" s="52"/>
      <c r="ABP16" s="52"/>
      <c r="ABQ16" s="52"/>
      <c r="ABR16" s="52"/>
      <c r="ABS16" s="52"/>
      <c r="ABT16" s="52"/>
      <c r="ABU16" s="52"/>
      <c r="ABV16" s="52"/>
      <c r="ABW16" s="52"/>
      <c r="ABX16" s="52"/>
      <c r="ABY16" s="52"/>
      <c r="ABZ16" s="52"/>
      <c r="ACA16" s="52"/>
      <c r="ACB16" s="52"/>
      <c r="ACC16" s="52"/>
      <c r="ACD16" s="52"/>
      <c r="ACE16" s="52"/>
      <c r="ACF16" s="52"/>
      <c r="ACG16" s="52"/>
      <c r="ACH16" s="52"/>
      <c r="ACI16" s="52"/>
      <c r="ACJ16" s="52"/>
      <c r="ACK16" s="52"/>
      <c r="ACL16" s="52"/>
      <c r="ACM16" s="52"/>
      <c r="ACN16" s="52"/>
      <c r="ACO16" s="52"/>
      <c r="ACP16" s="52"/>
      <c r="ACQ16" s="52"/>
      <c r="ACR16" s="52"/>
      <c r="ACS16" s="52"/>
      <c r="ACT16" s="52"/>
      <c r="ACU16" s="52"/>
      <c r="ACV16" s="52"/>
      <c r="ACW16" s="52"/>
      <c r="ACX16" s="52"/>
      <c r="ACY16" s="52"/>
      <c r="ACZ16" s="52"/>
      <c r="ADA16" s="52"/>
      <c r="ADB16" s="52"/>
      <c r="ADC16" s="52"/>
      <c r="ADD16" s="52"/>
      <c r="ADE16" s="52"/>
      <c r="ADF16" s="52"/>
      <c r="ADG16" s="52"/>
      <c r="ADH16" s="52"/>
      <c r="ADI16" s="52"/>
      <c r="ADJ16" s="52"/>
      <c r="ADK16" s="52"/>
      <c r="ADL16" s="52"/>
      <c r="ADM16" s="52"/>
      <c r="ADN16" s="52"/>
      <c r="ADO16" s="52"/>
      <c r="ADP16" s="52"/>
      <c r="ADQ16" s="52"/>
      <c r="ADR16" s="52"/>
      <c r="ADS16" s="52"/>
      <c r="ADT16" s="52"/>
      <c r="ADU16" s="52"/>
      <c r="ADV16" s="52"/>
      <c r="ADW16" s="52"/>
      <c r="ADX16" s="52"/>
      <c r="ADY16" s="52"/>
      <c r="ADZ16" s="52"/>
      <c r="AEA16" s="52"/>
      <c r="AEB16" s="52"/>
      <c r="AEC16" s="52"/>
      <c r="AED16" s="52"/>
      <c r="AEE16" s="52"/>
      <c r="AEF16" s="52"/>
      <c r="AEG16" s="52"/>
      <c r="AEH16" s="52"/>
      <c r="AEI16" s="52"/>
      <c r="AEJ16" s="52"/>
      <c r="AEK16" s="52"/>
      <c r="AEL16" s="52"/>
      <c r="AEM16" s="52"/>
      <c r="AEN16" s="52"/>
      <c r="AEO16" s="52"/>
      <c r="AEP16" s="52"/>
      <c r="AEQ16" s="52"/>
      <c r="AER16" s="52"/>
      <c r="AES16" s="52"/>
      <c r="AET16" s="52"/>
      <c r="AEU16" s="52"/>
      <c r="AEV16" s="52"/>
      <c r="AEW16" s="52"/>
      <c r="AEX16" s="52"/>
      <c r="AEY16" s="52"/>
      <c r="AEZ16" s="52"/>
      <c r="AFA16" s="52"/>
      <c r="AFB16" s="52"/>
      <c r="AFC16" s="52"/>
      <c r="AFD16" s="52"/>
      <c r="AFE16" s="52"/>
      <c r="AFF16" s="52"/>
      <c r="AFG16" s="52"/>
      <c r="AFH16" s="52"/>
      <c r="AFI16" s="52"/>
      <c r="AFJ16" s="52"/>
      <c r="AFK16" s="52"/>
      <c r="AFL16" s="52"/>
      <c r="AFM16" s="52"/>
      <c r="AFN16" s="52"/>
      <c r="AFO16" s="52"/>
      <c r="AFP16" s="52"/>
      <c r="AFQ16" s="52"/>
      <c r="AFR16" s="52"/>
      <c r="AFS16" s="52"/>
      <c r="AFT16" s="52"/>
      <c r="AFU16" s="52"/>
      <c r="AFV16" s="52"/>
      <c r="AFW16" s="52"/>
      <c r="AFX16" s="52"/>
      <c r="AFY16" s="52"/>
      <c r="AFZ16" s="52"/>
      <c r="AGA16" s="52"/>
      <c r="AGB16" s="52"/>
      <c r="AGC16" s="52"/>
      <c r="AGD16" s="52"/>
      <c r="AGE16" s="52"/>
      <c r="AGF16" s="52"/>
      <c r="AGG16" s="52"/>
      <c r="AGH16" s="52"/>
      <c r="AGI16" s="52"/>
      <c r="AGJ16" s="52"/>
      <c r="AGK16" s="52"/>
      <c r="AGL16" s="52"/>
      <c r="AGM16" s="52"/>
      <c r="AGN16" s="52"/>
      <c r="AGO16" s="52"/>
      <c r="AGP16" s="52"/>
      <c r="AGQ16" s="52"/>
      <c r="AGR16" s="52"/>
      <c r="AGS16" s="52"/>
      <c r="AGT16" s="52"/>
      <c r="AGU16" s="52"/>
      <c r="AGV16" s="52"/>
      <c r="AGW16" s="52"/>
      <c r="AGX16" s="52"/>
      <c r="AGY16" s="52"/>
      <c r="AGZ16" s="52"/>
      <c r="AHA16" s="52"/>
      <c r="AHB16" s="52"/>
      <c r="AHC16" s="52"/>
      <c r="AHD16" s="52"/>
      <c r="AHE16" s="52"/>
      <c r="AHF16" s="52"/>
      <c r="AHG16" s="52"/>
      <c r="AHH16" s="52"/>
      <c r="AHI16" s="52"/>
      <c r="AHJ16" s="52"/>
      <c r="AHK16" s="52"/>
      <c r="AHL16" s="52"/>
      <c r="AHM16" s="52"/>
      <c r="AHN16" s="52"/>
      <c r="AHO16" s="52"/>
      <c r="AHP16" s="52"/>
      <c r="AHQ16" s="52"/>
      <c r="AHR16" s="52"/>
      <c r="AHS16" s="52"/>
      <c r="AHT16" s="52"/>
      <c r="AHU16" s="52"/>
      <c r="AHV16" s="52"/>
      <c r="AHW16" s="52"/>
      <c r="AHX16" s="52"/>
      <c r="AHY16" s="52"/>
      <c r="AHZ16" s="52"/>
      <c r="AIA16" s="52"/>
      <c r="AIB16" s="52"/>
      <c r="AIC16" s="52"/>
      <c r="AID16" s="52"/>
      <c r="AIE16" s="52"/>
      <c r="AIF16" s="52"/>
      <c r="AIG16" s="52"/>
      <c r="AIH16" s="52"/>
      <c r="AII16" s="52"/>
      <c r="AIJ16" s="52"/>
      <c r="AIK16" s="52"/>
      <c r="AIL16" s="52"/>
      <c r="AIM16" s="52"/>
      <c r="AIN16" s="52"/>
      <c r="AIO16" s="52"/>
      <c r="AIP16" s="52"/>
      <c r="AIQ16" s="52"/>
      <c r="AIR16" s="52"/>
      <c r="AIS16" s="52"/>
      <c r="AIT16" s="52"/>
      <c r="AIU16" s="52"/>
      <c r="AIV16" s="52"/>
      <c r="AIW16" s="52"/>
      <c r="AIX16" s="52"/>
      <c r="AIY16" s="52"/>
      <c r="AIZ16" s="52"/>
      <c r="AJA16" s="52"/>
      <c r="AJB16" s="52"/>
      <c r="AJC16" s="52"/>
      <c r="AJD16" s="52"/>
      <c r="AJE16" s="52"/>
      <c r="AJF16" s="52"/>
      <c r="AJG16" s="52"/>
      <c r="AJH16" s="52"/>
      <c r="AJI16" s="52"/>
      <c r="AJJ16" s="52"/>
      <c r="AJK16" s="52"/>
      <c r="AJL16" s="52"/>
      <c r="AJM16" s="52"/>
      <c r="AJN16" s="52"/>
      <c r="AJO16" s="52"/>
      <c r="AJP16" s="52"/>
      <c r="AJQ16" s="52"/>
      <c r="AJR16" s="52"/>
      <c r="AJS16" s="52"/>
      <c r="AJT16" s="52"/>
      <c r="AJU16" s="52"/>
      <c r="AJV16" s="52"/>
      <c r="AJW16" s="52"/>
      <c r="AJX16" s="52"/>
      <c r="AJY16" s="52"/>
      <c r="AJZ16" s="52"/>
      <c r="AKA16" s="52"/>
      <c r="AKB16" s="52"/>
      <c r="AKC16" s="52"/>
      <c r="AKD16" s="52"/>
      <c r="AKE16" s="52"/>
      <c r="AKF16" s="52"/>
      <c r="AKG16" s="52"/>
      <c r="AKH16" s="52"/>
      <c r="AKI16" s="52"/>
      <c r="AKJ16" s="52"/>
      <c r="AKK16" s="52"/>
      <c r="AKL16" s="52"/>
      <c r="AKM16" s="52"/>
      <c r="AKN16" s="52"/>
      <c r="AKO16" s="52"/>
      <c r="AKP16" s="52"/>
      <c r="AKQ16" s="52"/>
      <c r="AKR16" s="52"/>
      <c r="AKS16" s="52"/>
      <c r="AKT16" s="52"/>
      <c r="AKU16" s="52"/>
      <c r="AKV16" s="52"/>
      <c r="AKW16" s="52"/>
      <c r="AKX16" s="52"/>
      <c r="AKY16" s="52"/>
      <c r="AKZ16" s="52"/>
      <c r="ALA16" s="52"/>
      <c r="ALB16" s="52"/>
      <c r="ALC16" s="52"/>
      <c r="ALD16" s="52"/>
      <c r="ALE16" s="52"/>
      <c r="ALF16" s="52"/>
      <c r="ALG16" s="52"/>
      <c r="ALH16" s="52"/>
      <c r="ALI16" s="52"/>
      <c r="ALJ16" s="52"/>
      <c r="ALK16" s="52"/>
      <c r="ALL16" s="52"/>
      <c r="ALM16" s="52"/>
      <c r="ALN16" s="52"/>
      <c r="ALO16" s="52"/>
      <c r="ALP16" s="52"/>
      <c r="ALQ16" s="52"/>
      <c r="ALR16" s="52"/>
      <c r="ALS16" s="52"/>
      <c r="ALT16" s="52"/>
      <c r="ALU16" s="52"/>
      <c r="ALV16" s="52"/>
      <c r="ALW16" s="52"/>
      <c r="ALX16" s="52"/>
      <c r="ALY16" s="52"/>
      <c r="ALZ16" s="52"/>
      <c r="AMA16" s="52"/>
      <c r="AMB16" s="52"/>
      <c r="AMC16" s="52"/>
      <c r="AMD16" s="52"/>
      <c r="AME16" s="52"/>
      <c r="AMF16" s="52"/>
      <c r="AMG16" s="52"/>
      <c r="AMH16" s="52"/>
      <c r="AMI16" s="52"/>
      <c r="AMJ16" s="52"/>
    </row>
    <row r="17" spans="1:1024" ht="32.25" customHeight="1" x14ac:dyDescent="0.25">
      <c r="A17" s="61">
        <v>7</v>
      </c>
      <c r="B17" s="74" t="s">
        <v>76</v>
      </c>
      <c r="C17" s="81" t="s">
        <v>85</v>
      </c>
      <c r="D17" s="47" t="s">
        <v>53</v>
      </c>
      <c r="E17" s="49" t="s">
        <v>17</v>
      </c>
      <c r="F17" s="48">
        <v>300</v>
      </c>
      <c r="G17" s="66">
        <f>+'Necesidades Trimestrales'!H13</f>
        <v>4800</v>
      </c>
      <c r="H17" s="66">
        <f t="shared" si="0"/>
        <v>1440000</v>
      </c>
      <c r="K17" s="79"/>
      <c r="M17" s="52"/>
      <c r="N17" s="52"/>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c r="YZ17" s="52"/>
      <c r="ZA17" s="52"/>
      <c r="ZB17" s="52"/>
      <c r="ZC17" s="52"/>
      <c r="ZD17" s="52"/>
      <c r="ZE17" s="52"/>
      <c r="ZF17" s="52"/>
      <c r="ZG17" s="52"/>
      <c r="ZH17" s="52"/>
      <c r="ZI17" s="52"/>
      <c r="ZJ17" s="52"/>
      <c r="ZK17" s="52"/>
      <c r="ZL17" s="52"/>
      <c r="ZM17" s="52"/>
      <c r="ZN17" s="52"/>
      <c r="ZO17" s="52"/>
      <c r="ZP17" s="52"/>
      <c r="ZQ17" s="52"/>
      <c r="ZR17" s="52"/>
      <c r="ZS17" s="52"/>
      <c r="ZT17" s="52"/>
      <c r="ZU17" s="52"/>
      <c r="ZV17" s="52"/>
      <c r="ZW17" s="52"/>
      <c r="ZX17" s="52"/>
      <c r="ZY17" s="52"/>
      <c r="ZZ17" s="52"/>
      <c r="AAA17" s="52"/>
      <c r="AAB17" s="52"/>
      <c r="AAC17" s="52"/>
      <c r="AAD17" s="52"/>
      <c r="AAE17" s="52"/>
      <c r="AAF17" s="52"/>
      <c r="AAG17" s="52"/>
      <c r="AAH17" s="52"/>
      <c r="AAI17" s="52"/>
      <c r="AAJ17" s="52"/>
      <c r="AAK17" s="52"/>
      <c r="AAL17" s="52"/>
      <c r="AAM17" s="52"/>
      <c r="AAN17" s="52"/>
      <c r="AAO17" s="52"/>
      <c r="AAP17" s="52"/>
      <c r="AAQ17" s="52"/>
      <c r="AAR17" s="52"/>
      <c r="AAS17" s="52"/>
      <c r="AAT17" s="52"/>
      <c r="AAU17" s="52"/>
      <c r="AAV17" s="52"/>
      <c r="AAW17" s="52"/>
      <c r="AAX17" s="52"/>
      <c r="AAY17" s="52"/>
      <c r="AAZ17" s="52"/>
      <c r="ABA17" s="52"/>
      <c r="ABB17" s="52"/>
      <c r="ABC17" s="52"/>
      <c r="ABD17" s="52"/>
      <c r="ABE17" s="52"/>
      <c r="ABF17" s="52"/>
      <c r="ABG17" s="52"/>
      <c r="ABH17" s="52"/>
      <c r="ABI17" s="52"/>
      <c r="ABJ17" s="52"/>
      <c r="ABK17" s="52"/>
      <c r="ABL17" s="52"/>
      <c r="ABM17" s="52"/>
      <c r="ABN17" s="52"/>
      <c r="ABO17" s="52"/>
      <c r="ABP17" s="52"/>
      <c r="ABQ17" s="52"/>
      <c r="ABR17" s="52"/>
      <c r="ABS17" s="52"/>
      <c r="ABT17" s="52"/>
      <c r="ABU17" s="52"/>
      <c r="ABV17" s="52"/>
      <c r="ABW17" s="52"/>
      <c r="ABX17" s="52"/>
      <c r="ABY17" s="52"/>
      <c r="ABZ17" s="52"/>
      <c r="ACA17" s="52"/>
      <c r="ACB17" s="52"/>
      <c r="ACC17" s="52"/>
      <c r="ACD17" s="52"/>
      <c r="ACE17" s="52"/>
      <c r="ACF17" s="52"/>
      <c r="ACG17" s="52"/>
      <c r="ACH17" s="52"/>
      <c r="ACI17" s="52"/>
      <c r="ACJ17" s="52"/>
      <c r="ACK17" s="52"/>
      <c r="ACL17" s="52"/>
      <c r="ACM17" s="52"/>
      <c r="ACN17" s="52"/>
      <c r="ACO17" s="52"/>
      <c r="ACP17" s="52"/>
      <c r="ACQ17" s="52"/>
      <c r="ACR17" s="52"/>
      <c r="ACS17" s="52"/>
      <c r="ACT17" s="52"/>
      <c r="ACU17" s="52"/>
      <c r="ACV17" s="52"/>
      <c r="ACW17" s="52"/>
      <c r="ACX17" s="52"/>
      <c r="ACY17" s="52"/>
      <c r="ACZ17" s="52"/>
      <c r="ADA17" s="52"/>
      <c r="ADB17" s="52"/>
      <c r="ADC17" s="52"/>
      <c r="ADD17" s="52"/>
      <c r="ADE17" s="52"/>
      <c r="ADF17" s="52"/>
      <c r="ADG17" s="52"/>
      <c r="ADH17" s="52"/>
      <c r="ADI17" s="52"/>
      <c r="ADJ17" s="52"/>
      <c r="ADK17" s="52"/>
      <c r="ADL17" s="52"/>
      <c r="ADM17" s="52"/>
      <c r="ADN17" s="52"/>
      <c r="ADO17" s="52"/>
      <c r="ADP17" s="52"/>
      <c r="ADQ17" s="52"/>
      <c r="ADR17" s="52"/>
      <c r="ADS17" s="52"/>
      <c r="ADT17" s="52"/>
      <c r="ADU17" s="52"/>
      <c r="ADV17" s="52"/>
      <c r="ADW17" s="52"/>
      <c r="ADX17" s="52"/>
      <c r="ADY17" s="52"/>
      <c r="ADZ17" s="52"/>
      <c r="AEA17" s="52"/>
      <c r="AEB17" s="52"/>
      <c r="AEC17" s="52"/>
      <c r="AED17" s="52"/>
      <c r="AEE17" s="52"/>
      <c r="AEF17" s="52"/>
      <c r="AEG17" s="52"/>
      <c r="AEH17" s="52"/>
      <c r="AEI17" s="52"/>
      <c r="AEJ17" s="52"/>
      <c r="AEK17" s="52"/>
      <c r="AEL17" s="52"/>
      <c r="AEM17" s="52"/>
      <c r="AEN17" s="52"/>
      <c r="AEO17" s="52"/>
      <c r="AEP17" s="52"/>
      <c r="AEQ17" s="52"/>
      <c r="AER17" s="52"/>
      <c r="AES17" s="52"/>
      <c r="AET17" s="52"/>
      <c r="AEU17" s="52"/>
      <c r="AEV17" s="52"/>
      <c r="AEW17" s="52"/>
      <c r="AEX17" s="52"/>
      <c r="AEY17" s="52"/>
      <c r="AEZ17" s="52"/>
      <c r="AFA17" s="52"/>
      <c r="AFB17" s="52"/>
      <c r="AFC17" s="52"/>
      <c r="AFD17" s="52"/>
      <c r="AFE17" s="52"/>
      <c r="AFF17" s="52"/>
      <c r="AFG17" s="52"/>
      <c r="AFH17" s="52"/>
      <c r="AFI17" s="52"/>
      <c r="AFJ17" s="52"/>
      <c r="AFK17" s="52"/>
      <c r="AFL17" s="52"/>
      <c r="AFM17" s="52"/>
      <c r="AFN17" s="52"/>
      <c r="AFO17" s="52"/>
      <c r="AFP17" s="52"/>
      <c r="AFQ17" s="52"/>
      <c r="AFR17" s="52"/>
      <c r="AFS17" s="52"/>
      <c r="AFT17" s="52"/>
      <c r="AFU17" s="52"/>
      <c r="AFV17" s="52"/>
      <c r="AFW17" s="52"/>
      <c r="AFX17" s="52"/>
      <c r="AFY17" s="52"/>
      <c r="AFZ17" s="52"/>
      <c r="AGA17" s="52"/>
      <c r="AGB17" s="52"/>
      <c r="AGC17" s="52"/>
      <c r="AGD17" s="52"/>
      <c r="AGE17" s="52"/>
      <c r="AGF17" s="52"/>
      <c r="AGG17" s="52"/>
      <c r="AGH17" s="52"/>
      <c r="AGI17" s="52"/>
      <c r="AGJ17" s="52"/>
      <c r="AGK17" s="52"/>
      <c r="AGL17" s="52"/>
      <c r="AGM17" s="52"/>
      <c r="AGN17" s="52"/>
      <c r="AGO17" s="52"/>
      <c r="AGP17" s="52"/>
      <c r="AGQ17" s="52"/>
      <c r="AGR17" s="52"/>
      <c r="AGS17" s="52"/>
      <c r="AGT17" s="52"/>
      <c r="AGU17" s="52"/>
      <c r="AGV17" s="52"/>
      <c r="AGW17" s="52"/>
      <c r="AGX17" s="52"/>
      <c r="AGY17" s="52"/>
      <c r="AGZ17" s="52"/>
      <c r="AHA17" s="52"/>
      <c r="AHB17" s="52"/>
      <c r="AHC17" s="52"/>
      <c r="AHD17" s="52"/>
      <c r="AHE17" s="52"/>
      <c r="AHF17" s="52"/>
      <c r="AHG17" s="52"/>
      <c r="AHH17" s="52"/>
      <c r="AHI17" s="52"/>
      <c r="AHJ17" s="52"/>
      <c r="AHK17" s="52"/>
      <c r="AHL17" s="52"/>
      <c r="AHM17" s="52"/>
      <c r="AHN17" s="52"/>
      <c r="AHO17" s="52"/>
      <c r="AHP17" s="52"/>
      <c r="AHQ17" s="52"/>
      <c r="AHR17" s="52"/>
      <c r="AHS17" s="52"/>
      <c r="AHT17" s="52"/>
      <c r="AHU17" s="52"/>
      <c r="AHV17" s="52"/>
      <c r="AHW17" s="52"/>
      <c r="AHX17" s="52"/>
      <c r="AHY17" s="52"/>
      <c r="AHZ17" s="52"/>
      <c r="AIA17" s="52"/>
      <c r="AIB17" s="52"/>
      <c r="AIC17" s="52"/>
      <c r="AID17" s="52"/>
      <c r="AIE17" s="52"/>
      <c r="AIF17" s="52"/>
      <c r="AIG17" s="52"/>
      <c r="AIH17" s="52"/>
      <c r="AII17" s="52"/>
      <c r="AIJ17" s="52"/>
      <c r="AIK17" s="52"/>
      <c r="AIL17" s="52"/>
      <c r="AIM17" s="52"/>
      <c r="AIN17" s="52"/>
      <c r="AIO17" s="52"/>
      <c r="AIP17" s="52"/>
      <c r="AIQ17" s="52"/>
      <c r="AIR17" s="52"/>
      <c r="AIS17" s="52"/>
      <c r="AIT17" s="52"/>
      <c r="AIU17" s="52"/>
      <c r="AIV17" s="52"/>
      <c r="AIW17" s="52"/>
      <c r="AIX17" s="52"/>
      <c r="AIY17" s="52"/>
      <c r="AIZ17" s="52"/>
      <c r="AJA17" s="52"/>
      <c r="AJB17" s="52"/>
      <c r="AJC17" s="52"/>
      <c r="AJD17" s="52"/>
      <c r="AJE17" s="52"/>
      <c r="AJF17" s="52"/>
      <c r="AJG17" s="52"/>
      <c r="AJH17" s="52"/>
      <c r="AJI17" s="52"/>
      <c r="AJJ17" s="52"/>
      <c r="AJK17" s="52"/>
      <c r="AJL17" s="52"/>
      <c r="AJM17" s="52"/>
      <c r="AJN17" s="52"/>
      <c r="AJO17" s="52"/>
      <c r="AJP17" s="52"/>
      <c r="AJQ17" s="52"/>
      <c r="AJR17" s="52"/>
      <c r="AJS17" s="52"/>
      <c r="AJT17" s="52"/>
      <c r="AJU17" s="52"/>
      <c r="AJV17" s="52"/>
      <c r="AJW17" s="52"/>
      <c r="AJX17" s="52"/>
      <c r="AJY17" s="52"/>
      <c r="AJZ17" s="52"/>
      <c r="AKA17" s="52"/>
      <c r="AKB17" s="52"/>
      <c r="AKC17" s="52"/>
      <c r="AKD17" s="52"/>
      <c r="AKE17" s="52"/>
      <c r="AKF17" s="52"/>
      <c r="AKG17" s="52"/>
      <c r="AKH17" s="52"/>
      <c r="AKI17" s="52"/>
      <c r="AKJ17" s="52"/>
      <c r="AKK17" s="52"/>
      <c r="AKL17" s="52"/>
      <c r="AKM17" s="52"/>
      <c r="AKN17" s="52"/>
      <c r="AKO17" s="52"/>
      <c r="AKP17" s="52"/>
      <c r="AKQ17" s="52"/>
      <c r="AKR17" s="52"/>
      <c r="AKS17" s="52"/>
      <c r="AKT17" s="52"/>
      <c r="AKU17" s="52"/>
      <c r="AKV17" s="52"/>
      <c r="AKW17" s="52"/>
      <c r="AKX17" s="52"/>
      <c r="AKY17" s="52"/>
      <c r="AKZ17" s="52"/>
      <c r="ALA17" s="52"/>
      <c r="ALB17" s="52"/>
      <c r="ALC17" s="52"/>
      <c r="ALD17" s="52"/>
      <c r="ALE17" s="52"/>
      <c r="ALF17" s="52"/>
      <c r="ALG17" s="52"/>
      <c r="ALH17" s="52"/>
      <c r="ALI17" s="52"/>
      <c r="ALJ17" s="52"/>
      <c r="ALK17" s="52"/>
      <c r="ALL17" s="52"/>
      <c r="ALM17" s="52"/>
      <c r="ALN17" s="52"/>
      <c r="ALO17" s="52"/>
      <c r="ALP17" s="52"/>
      <c r="ALQ17" s="52"/>
      <c r="ALR17" s="52"/>
      <c r="ALS17" s="52"/>
      <c r="ALT17" s="52"/>
      <c r="ALU17" s="52"/>
      <c r="ALV17" s="52"/>
      <c r="ALW17" s="52"/>
      <c r="ALX17" s="52"/>
      <c r="ALY17" s="52"/>
      <c r="ALZ17" s="52"/>
      <c r="AMA17" s="52"/>
      <c r="AMB17" s="52"/>
      <c r="AMC17" s="52"/>
      <c r="AMD17" s="52"/>
      <c r="AME17" s="52"/>
      <c r="AMF17" s="52"/>
      <c r="AMG17" s="52"/>
      <c r="AMH17" s="52"/>
      <c r="AMI17" s="52"/>
      <c r="AMJ17" s="52"/>
    </row>
    <row r="18" spans="1:1024" ht="42" customHeight="1" x14ac:dyDescent="0.25">
      <c r="A18" s="2">
        <v>8</v>
      </c>
      <c r="B18" s="76" t="s">
        <v>78</v>
      </c>
      <c r="C18" s="78" t="s">
        <v>86</v>
      </c>
      <c r="D18" s="47" t="s">
        <v>53</v>
      </c>
      <c r="E18" s="20" t="s">
        <v>17</v>
      </c>
      <c r="F18" s="48">
        <v>150</v>
      </c>
      <c r="G18" s="66">
        <f>+'Necesidades Trimestrales'!H14</f>
        <v>2900</v>
      </c>
      <c r="H18" s="66">
        <f t="shared" si="0"/>
        <v>435000</v>
      </c>
      <c r="J18" s="79"/>
      <c r="K18" s="105"/>
      <c r="M18" s="52"/>
      <c r="N18" s="52"/>
      <c r="O18" s="53"/>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c r="YV18" s="52"/>
      <c r="YW18" s="52"/>
      <c r="YX18" s="52"/>
      <c r="YY18" s="52"/>
      <c r="YZ18" s="52"/>
      <c r="ZA18" s="52"/>
      <c r="ZB18" s="52"/>
      <c r="ZC18" s="52"/>
      <c r="ZD18" s="52"/>
      <c r="ZE18" s="52"/>
      <c r="ZF18" s="52"/>
      <c r="ZG18" s="52"/>
      <c r="ZH18" s="52"/>
      <c r="ZI18" s="52"/>
      <c r="ZJ18" s="52"/>
      <c r="ZK18" s="52"/>
      <c r="ZL18" s="52"/>
      <c r="ZM18" s="52"/>
      <c r="ZN18" s="52"/>
      <c r="ZO18" s="52"/>
      <c r="ZP18" s="52"/>
      <c r="ZQ18" s="52"/>
      <c r="ZR18" s="52"/>
      <c r="ZS18" s="52"/>
      <c r="ZT18" s="52"/>
      <c r="ZU18" s="52"/>
      <c r="ZV18" s="52"/>
      <c r="ZW18" s="52"/>
      <c r="ZX18" s="52"/>
      <c r="ZY18" s="52"/>
      <c r="ZZ18" s="52"/>
      <c r="AAA18" s="52"/>
      <c r="AAB18" s="52"/>
      <c r="AAC18" s="52"/>
      <c r="AAD18" s="52"/>
      <c r="AAE18" s="52"/>
      <c r="AAF18" s="52"/>
      <c r="AAG18" s="52"/>
      <c r="AAH18" s="52"/>
      <c r="AAI18" s="52"/>
      <c r="AAJ18" s="52"/>
      <c r="AAK18" s="52"/>
      <c r="AAL18" s="52"/>
      <c r="AAM18" s="52"/>
      <c r="AAN18" s="52"/>
      <c r="AAO18" s="52"/>
      <c r="AAP18" s="52"/>
      <c r="AAQ18" s="52"/>
      <c r="AAR18" s="52"/>
      <c r="AAS18" s="52"/>
      <c r="AAT18" s="52"/>
      <c r="AAU18" s="52"/>
      <c r="AAV18" s="52"/>
      <c r="AAW18" s="52"/>
      <c r="AAX18" s="52"/>
      <c r="AAY18" s="52"/>
      <c r="AAZ18" s="52"/>
      <c r="ABA18" s="52"/>
      <c r="ABB18" s="52"/>
      <c r="ABC18" s="52"/>
      <c r="ABD18" s="52"/>
      <c r="ABE18" s="52"/>
      <c r="ABF18" s="52"/>
      <c r="ABG18" s="52"/>
      <c r="ABH18" s="52"/>
      <c r="ABI18" s="52"/>
      <c r="ABJ18" s="52"/>
      <c r="ABK18" s="52"/>
      <c r="ABL18" s="52"/>
      <c r="ABM18" s="52"/>
      <c r="ABN18" s="52"/>
      <c r="ABO18" s="52"/>
      <c r="ABP18" s="52"/>
      <c r="ABQ18" s="52"/>
      <c r="ABR18" s="52"/>
      <c r="ABS18" s="52"/>
      <c r="ABT18" s="52"/>
      <c r="ABU18" s="52"/>
      <c r="ABV18" s="52"/>
      <c r="ABW18" s="52"/>
      <c r="ABX18" s="52"/>
      <c r="ABY18" s="52"/>
      <c r="ABZ18" s="52"/>
      <c r="ACA18" s="52"/>
      <c r="ACB18" s="52"/>
      <c r="ACC18" s="52"/>
      <c r="ACD18" s="52"/>
      <c r="ACE18" s="52"/>
      <c r="ACF18" s="52"/>
      <c r="ACG18" s="52"/>
      <c r="ACH18" s="52"/>
      <c r="ACI18" s="52"/>
      <c r="ACJ18" s="52"/>
      <c r="ACK18" s="52"/>
      <c r="ACL18" s="52"/>
      <c r="ACM18" s="52"/>
      <c r="ACN18" s="52"/>
      <c r="ACO18" s="52"/>
      <c r="ACP18" s="52"/>
      <c r="ACQ18" s="52"/>
      <c r="ACR18" s="52"/>
      <c r="ACS18" s="52"/>
      <c r="ACT18" s="52"/>
      <c r="ACU18" s="52"/>
      <c r="ACV18" s="52"/>
      <c r="ACW18" s="52"/>
      <c r="ACX18" s="52"/>
      <c r="ACY18" s="52"/>
      <c r="ACZ18" s="52"/>
      <c r="ADA18" s="52"/>
      <c r="ADB18" s="52"/>
      <c r="ADC18" s="52"/>
      <c r="ADD18" s="52"/>
      <c r="ADE18" s="52"/>
      <c r="ADF18" s="52"/>
      <c r="ADG18" s="52"/>
      <c r="ADH18" s="52"/>
      <c r="ADI18" s="52"/>
      <c r="ADJ18" s="52"/>
      <c r="ADK18" s="52"/>
      <c r="ADL18" s="52"/>
      <c r="ADM18" s="52"/>
      <c r="ADN18" s="52"/>
      <c r="ADO18" s="52"/>
      <c r="ADP18" s="52"/>
      <c r="ADQ18" s="52"/>
      <c r="ADR18" s="52"/>
      <c r="ADS18" s="52"/>
      <c r="ADT18" s="52"/>
      <c r="ADU18" s="52"/>
      <c r="ADV18" s="52"/>
      <c r="ADW18" s="52"/>
      <c r="ADX18" s="52"/>
      <c r="ADY18" s="52"/>
      <c r="ADZ18" s="52"/>
      <c r="AEA18" s="52"/>
      <c r="AEB18" s="52"/>
      <c r="AEC18" s="52"/>
      <c r="AED18" s="52"/>
      <c r="AEE18" s="52"/>
      <c r="AEF18" s="52"/>
      <c r="AEG18" s="52"/>
      <c r="AEH18" s="52"/>
      <c r="AEI18" s="52"/>
      <c r="AEJ18" s="52"/>
      <c r="AEK18" s="52"/>
      <c r="AEL18" s="52"/>
      <c r="AEM18" s="52"/>
      <c r="AEN18" s="52"/>
      <c r="AEO18" s="52"/>
      <c r="AEP18" s="52"/>
      <c r="AEQ18" s="52"/>
      <c r="AER18" s="52"/>
      <c r="AES18" s="52"/>
      <c r="AET18" s="52"/>
      <c r="AEU18" s="52"/>
      <c r="AEV18" s="52"/>
      <c r="AEW18" s="52"/>
      <c r="AEX18" s="52"/>
      <c r="AEY18" s="52"/>
      <c r="AEZ18" s="52"/>
      <c r="AFA18" s="52"/>
      <c r="AFB18" s="52"/>
      <c r="AFC18" s="52"/>
      <c r="AFD18" s="52"/>
      <c r="AFE18" s="52"/>
      <c r="AFF18" s="52"/>
      <c r="AFG18" s="52"/>
      <c r="AFH18" s="52"/>
      <c r="AFI18" s="52"/>
      <c r="AFJ18" s="52"/>
      <c r="AFK18" s="52"/>
      <c r="AFL18" s="52"/>
      <c r="AFM18" s="52"/>
      <c r="AFN18" s="52"/>
      <c r="AFO18" s="52"/>
      <c r="AFP18" s="52"/>
      <c r="AFQ18" s="52"/>
      <c r="AFR18" s="52"/>
      <c r="AFS18" s="52"/>
      <c r="AFT18" s="52"/>
      <c r="AFU18" s="52"/>
      <c r="AFV18" s="52"/>
      <c r="AFW18" s="52"/>
      <c r="AFX18" s="52"/>
      <c r="AFY18" s="52"/>
      <c r="AFZ18" s="52"/>
      <c r="AGA18" s="52"/>
      <c r="AGB18" s="52"/>
      <c r="AGC18" s="52"/>
      <c r="AGD18" s="52"/>
      <c r="AGE18" s="52"/>
      <c r="AGF18" s="52"/>
      <c r="AGG18" s="52"/>
      <c r="AGH18" s="52"/>
      <c r="AGI18" s="52"/>
      <c r="AGJ18" s="52"/>
      <c r="AGK18" s="52"/>
      <c r="AGL18" s="52"/>
      <c r="AGM18" s="52"/>
      <c r="AGN18" s="52"/>
      <c r="AGO18" s="52"/>
      <c r="AGP18" s="52"/>
      <c r="AGQ18" s="52"/>
      <c r="AGR18" s="52"/>
      <c r="AGS18" s="52"/>
      <c r="AGT18" s="52"/>
      <c r="AGU18" s="52"/>
      <c r="AGV18" s="52"/>
      <c r="AGW18" s="52"/>
      <c r="AGX18" s="52"/>
      <c r="AGY18" s="52"/>
      <c r="AGZ18" s="52"/>
      <c r="AHA18" s="52"/>
      <c r="AHB18" s="52"/>
      <c r="AHC18" s="52"/>
      <c r="AHD18" s="52"/>
      <c r="AHE18" s="52"/>
      <c r="AHF18" s="52"/>
      <c r="AHG18" s="52"/>
      <c r="AHH18" s="52"/>
      <c r="AHI18" s="52"/>
      <c r="AHJ18" s="52"/>
      <c r="AHK18" s="52"/>
      <c r="AHL18" s="52"/>
      <c r="AHM18" s="52"/>
      <c r="AHN18" s="52"/>
      <c r="AHO18" s="52"/>
      <c r="AHP18" s="52"/>
      <c r="AHQ18" s="52"/>
      <c r="AHR18" s="52"/>
      <c r="AHS18" s="52"/>
      <c r="AHT18" s="52"/>
      <c r="AHU18" s="52"/>
      <c r="AHV18" s="52"/>
      <c r="AHW18" s="52"/>
      <c r="AHX18" s="52"/>
      <c r="AHY18" s="52"/>
      <c r="AHZ18" s="52"/>
      <c r="AIA18" s="52"/>
      <c r="AIB18" s="52"/>
      <c r="AIC18" s="52"/>
      <c r="AID18" s="52"/>
      <c r="AIE18" s="52"/>
      <c r="AIF18" s="52"/>
      <c r="AIG18" s="52"/>
      <c r="AIH18" s="52"/>
      <c r="AII18" s="52"/>
      <c r="AIJ18" s="52"/>
      <c r="AIK18" s="52"/>
      <c r="AIL18" s="52"/>
      <c r="AIM18" s="52"/>
      <c r="AIN18" s="52"/>
      <c r="AIO18" s="52"/>
      <c r="AIP18" s="52"/>
      <c r="AIQ18" s="52"/>
      <c r="AIR18" s="52"/>
      <c r="AIS18" s="52"/>
      <c r="AIT18" s="52"/>
      <c r="AIU18" s="52"/>
      <c r="AIV18" s="52"/>
      <c r="AIW18" s="52"/>
      <c r="AIX18" s="52"/>
      <c r="AIY18" s="52"/>
      <c r="AIZ18" s="52"/>
      <c r="AJA18" s="52"/>
      <c r="AJB18" s="52"/>
      <c r="AJC18" s="52"/>
      <c r="AJD18" s="52"/>
      <c r="AJE18" s="52"/>
      <c r="AJF18" s="52"/>
      <c r="AJG18" s="52"/>
      <c r="AJH18" s="52"/>
      <c r="AJI18" s="52"/>
      <c r="AJJ18" s="52"/>
      <c r="AJK18" s="52"/>
      <c r="AJL18" s="52"/>
      <c r="AJM18" s="52"/>
      <c r="AJN18" s="52"/>
      <c r="AJO18" s="52"/>
      <c r="AJP18" s="52"/>
      <c r="AJQ18" s="52"/>
      <c r="AJR18" s="52"/>
      <c r="AJS18" s="52"/>
      <c r="AJT18" s="52"/>
      <c r="AJU18" s="52"/>
      <c r="AJV18" s="52"/>
      <c r="AJW18" s="52"/>
      <c r="AJX18" s="52"/>
      <c r="AJY18" s="52"/>
      <c r="AJZ18" s="52"/>
      <c r="AKA18" s="52"/>
      <c r="AKB18" s="52"/>
      <c r="AKC18" s="52"/>
      <c r="AKD18" s="52"/>
      <c r="AKE18" s="52"/>
      <c r="AKF18" s="52"/>
      <c r="AKG18" s="52"/>
      <c r="AKH18" s="52"/>
      <c r="AKI18" s="52"/>
      <c r="AKJ18" s="52"/>
      <c r="AKK18" s="52"/>
      <c r="AKL18" s="52"/>
      <c r="AKM18" s="52"/>
      <c r="AKN18" s="52"/>
      <c r="AKO18" s="52"/>
      <c r="AKP18" s="52"/>
      <c r="AKQ18" s="52"/>
      <c r="AKR18" s="52"/>
      <c r="AKS18" s="52"/>
      <c r="AKT18" s="52"/>
      <c r="AKU18" s="52"/>
      <c r="AKV18" s="52"/>
      <c r="AKW18" s="52"/>
      <c r="AKX18" s="52"/>
      <c r="AKY18" s="52"/>
      <c r="AKZ18" s="52"/>
      <c r="ALA18" s="52"/>
      <c r="ALB18" s="52"/>
      <c r="ALC18" s="52"/>
      <c r="ALD18" s="52"/>
      <c r="ALE18" s="52"/>
      <c r="ALF18" s="52"/>
      <c r="ALG18" s="52"/>
      <c r="ALH18" s="52"/>
      <c r="ALI18" s="52"/>
      <c r="ALJ18" s="52"/>
      <c r="ALK18" s="52"/>
      <c r="ALL18" s="52"/>
      <c r="ALM18" s="52"/>
      <c r="ALN18" s="52"/>
      <c r="ALO18" s="52"/>
      <c r="ALP18" s="52"/>
      <c r="ALQ18" s="52"/>
      <c r="ALR18" s="52"/>
      <c r="ALS18" s="52"/>
      <c r="ALT18" s="52"/>
      <c r="ALU18" s="52"/>
      <c r="ALV18" s="52"/>
      <c r="ALW18" s="52"/>
      <c r="ALX18" s="52"/>
      <c r="ALY18" s="52"/>
      <c r="ALZ18" s="52"/>
      <c r="AMA18" s="52"/>
      <c r="AMB18" s="52"/>
      <c r="AMC18" s="52"/>
      <c r="AMD18" s="52"/>
      <c r="AME18" s="52"/>
      <c r="AMF18" s="52"/>
      <c r="AMG18" s="52"/>
      <c r="AMH18" s="52"/>
      <c r="AMI18" s="52"/>
      <c r="AMJ18" s="52"/>
    </row>
    <row r="19" spans="1:1024" ht="54" customHeight="1" x14ac:dyDescent="0.25">
      <c r="A19" s="2">
        <v>9</v>
      </c>
      <c r="B19" s="76" t="s">
        <v>79</v>
      </c>
      <c r="C19" s="83" t="s">
        <v>87</v>
      </c>
      <c r="D19" s="47" t="s">
        <v>53</v>
      </c>
      <c r="E19" s="49" t="s">
        <v>17</v>
      </c>
      <c r="F19" s="48">
        <v>150</v>
      </c>
      <c r="G19" s="66">
        <f>+'Necesidades Trimestrales'!H15</f>
        <v>1500</v>
      </c>
      <c r="H19" s="66">
        <f t="shared" si="0"/>
        <v>225000</v>
      </c>
      <c r="M19" s="52"/>
      <c r="N19" s="52"/>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c r="ABX19" s="52"/>
      <c r="ABY19" s="52"/>
      <c r="ABZ19" s="52"/>
      <c r="ACA19" s="52"/>
      <c r="ACB19" s="52"/>
      <c r="ACC19" s="52"/>
      <c r="ACD19" s="52"/>
      <c r="ACE19" s="52"/>
      <c r="ACF19" s="52"/>
      <c r="ACG19" s="52"/>
      <c r="ACH19" s="52"/>
      <c r="ACI19" s="52"/>
      <c r="ACJ19" s="52"/>
      <c r="ACK19" s="52"/>
      <c r="ACL19" s="52"/>
      <c r="ACM19" s="52"/>
      <c r="ACN19" s="52"/>
      <c r="ACO19" s="52"/>
      <c r="ACP19" s="52"/>
      <c r="ACQ19" s="52"/>
      <c r="ACR19" s="52"/>
      <c r="ACS19" s="52"/>
      <c r="ACT19" s="52"/>
      <c r="ACU19" s="52"/>
      <c r="ACV19" s="52"/>
      <c r="ACW19" s="52"/>
      <c r="ACX19" s="52"/>
      <c r="ACY19" s="52"/>
      <c r="ACZ19" s="52"/>
      <c r="ADA19" s="52"/>
      <c r="ADB19" s="52"/>
      <c r="ADC19" s="52"/>
      <c r="ADD19" s="52"/>
      <c r="ADE19" s="52"/>
      <c r="ADF19" s="52"/>
      <c r="ADG19" s="52"/>
      <c r="ADH19" s="52"/>
      <c r="ADI19" s="52"/>
      <c r="ADJ19" s="52"/>
      <c r="ADK19" s="52"/>
      <c r="ADL19" s="52"/>
      <c r="ADM19" s="52"/>
      <c r="ADN19" s="52"/>
      <c r="ADO19" s="52"/>
      <c r="ADP19" s="52"/>
      <c r="ADQ19" s="52"/>
      <c r="ADR19" s="52"/>
      <c r="ADS19" s="52"/>
      <c r="ADT19" s="52"/>
      <c r="ADU19" s="52"/>
      <c r="ADV19" s="52"/>
      <c r="ADW19" s="52"/>
      <c r="ADX19" s="52"/>
      <c r="ADY19" s="52"/>
      <c r="ADZ19" s="52"/>
      <c r="AEA19" s="52"/>
      <c r="AEB19" s="52"/>
      <c r="AEC19" s="52"/>
      <c r="AED19" s="52"/>
      <c r="AEE19" s="52"/>
      <c r="AEF19" s="52"/>
      <c r="AEG19" s="52"/>
      <c r="AEH19" s="52"/>
      <c r="AEI19" s="52"/>
      <c r="AEJ19" s="52"/>
      <c r="AEK19" s="52"/>
      <c r="AEL19" s="52"/>
      <c r="AEM19" s="52"/>
      <c r="AEN19" s="52"/>
      <c r="AEO19" s="52"/>
      <c r="AEP19" s="52"/>
      <c r="AEQ19" s="52"/>
      <c r="AER19" s="52"/>
      <c r="AES19" s="52"/>
      <c r="AET19" s="52"/>
      <c r="AEU19" s="52"/>
      <c r="AEV19" s="52"/>
      <c r="AEW19" s="52"/>
      <c r="AEX19" s="52"/>
      <c r="AEY19" s="52"/>
      <c r="AEZ19" s="52"/>
      <c r="AFA19" s="52"/>
      <c r="AFB19" s="52"/>
      <c r="AFC19" s="52"/>
      <c r="AFD19" s="52"/>
      <c r="AFE19" s="52"/>
      <c r="AFF19" s="52"/>
      <c r="AFG19" s="52"/>
      <c r="AFH19" s="52"/>
      <c r="AFI19" s="52"/>
      <c r="AFJ19" s="52"/>
      <c r="AFK19" s="52"/>
      <c r="AFL19" s="52"/>
      <c r="AFM19" s="52"/>
      <c r="AFN19" s="52"/>
      <c r="AFO19" s="52"/>
      <c r="AFP19" s="52"/>
      <c r="AFQ19" s="52"/>
      <c r="AFR19" s="52"/>
      <c r="AFS19" s="52"/>
      <c r="AFT19" s="52"/>
      <c r="AFU19" s="52"/>
      <c r="AFV19" s="52"/>
      <c r="AFW19" s="52"/>
      <c r="AFX19" s="52"/>
      <c r="AFY19" s="52"/>
      <c r="AFZ19" s="52"/>
      <c r="AGA19" s="52"/>
      <c r="AGB19" s="52"/>
      <c r="AGC19" s="52"/>
      <c r="AGD19" s="52"/>
      <c r="AGE19" s="52"/>
      <c r="AGF19" s="52"/>
      <c r="AGG19" s="52"/>
      <c r="AGH19" s="52"/>
      <c r="AGI19" s="52"/>
      <c r="AGJ19" s="52"/>
      <c r="AGK19" s="52"/>
      <c r="AGL19" s="52"/>
      <c r="AGM19" s="52"/>
      <c r="AGN19" s="52"/>
      <c r="AGO19" s="52"/>
      <c r="AGP19" s="52"/>
      <c r="AGQ19" s="52"/>
      <c r="AGR19" s="52"/>
      <c r="AGS19" s="52"/>
      <c r="AGT19" s="52"/>
      <c r="AGU19" s="52"/>
      <c r="AGV19" s="52"/>
      <c r="AGW19" s="52"/>
      <c r="AGX19" s="52"/>
      <c r="AGY19" s="52"/>
      <c r="AGZ19" s="52"/>
      <c r="AHA19" s="52"/>
      <c r="AHB19" s="52"/>
      <c r="AHC19" s="52"/>
      <c r="AHD19" s="52"/>
      <c r="AHE19" s="52"/>
      <c r="AHF19" s="52"/>
      <c r="AHG19" s="52"/>
      <c r="AHH19" s="52"/>
      <c r="AHI19" s="52"/>
      <c r="AHJ19" s="52"/>
      <c r="AHK19" s="52"/>
      <c r="AHL19" s="52"/>
      <c r="AHM19" s="52"/>
      <c r="AHN19" s="52"/>
      <c r="AHO19" s="52"/>
      <c r="AHP19" s="52"/>
      <c r="AHQ19" s="52"/>
      <c r="AHR19" s="52"/>
      <c r="AHS19" s="52"/>
      <c r="AHT19" s="52"/>
      <c r="AHU19" s="52"/>
      <c r="AHV19" s="52"/>
      <c r="AHW19" s="52"/>
      <c r="AHX19" s="52"/>
      <c r="AHY19" s="52"/>
      <c r="AHZ19" s="52"/>
      <c r="AIA19" s="52"/>
      <c r="AIB19" s="52"/>
      <c r="AIC19" s="52"/>
      <c r="AID19" s="52"/>
      <c r="AIE19" s="52"/>
      <c r="AIF19" s="52"/>
      <c r="AIG19" s="52"/>
      <c r="AIH19" s="52"/>
      <c r="AII19" s="52"/>
      <c r="AIJ19" s="52"/>
      <c r="AIK19" s="52"/>
      <c r="AIL19" s="52"/>
      <c r="AIM19" s="52"/>
      <c r="AIN19" s="52"/>
      <c r="AIO19" s="52"/>
      <c r="AIP19" s="52"/>
      <c r="AIQ19" s="52"/>
      <c r="AIR19" s="52"/>
      <c r="AIS19" s="52"/>
      <c r="AIT19" s="52"/>
      <c r="AIU19" s="52"/>
      <c r="AIV19" s="52"/>
      <c r="AIW19" s="52"/>
      <c r="AIX19" s="52"/>
      <c r="AIY19" s="52"/>
      <c r="AIZ19" s="52"/>
      <c r="AJA19" s="52"/>
      <c r="AJB19" s="52"/>
      <c r="AJC19" s="52"/>
      <c r="AJD19" s="52"/>
      <c r="AJE19" s="52"/>
      <c r="AJF19" s="52"/>
      <c r="AJG19" s="52"/>
      <c r="AJH19" s="52"/>
      <c r="AJI19" s="52"/>
      <c r="AJJ19" s="52"/>
      <c r="AJK19" s="52"/>
      <c r="AJL19" s="52"/>
      <c r="AJM19" s="52"/>
      <c r="AJN19" s="52"/>
      <c r="AJO19" s="52"/>
      <c r="AJP19" s="52"/>
      <c r="AJQ19" s="52"/>
      <c r="AJR19" s="52"/>
      <c r="AJS19" s="52"/>
      <c r="AJT19" s="52"/>
      <c r="AJU19" s="52"/>
      <c r="AJV19" s="52"/>
      <c r="AJW19" s="52"/>
      <c r="AJX19" s="52"/>
      <c r="AJY19" s="52"/>
      <c r="AJZ19" s="52"/>
      <c r="AKA19" s="52"/>
      <c r="AKB19" s="52"/>
      <c r="AKC19" s="52"/>
      <c r="AKD19" s="52"/>
      <c r="AKE19" s="52"/>
      <c r="AKF19" s="52"/>
      <c r="AKG19" s="52"/>
      <c r="AKH19" s="52"/>
      <c r="AKI19" s="52"/>
      <c r="AKJ19" s="52"/>
      <c r="AKK19" s="52"/>
      <c r="AKL19" s="52"/>
      <c r="AKM19" s="52"/>
      <c r="AKN19" s="52"/>
      <c r="AKO19" s="52"/>
      <c r="AKP19" s="52"/>
      <c r="AKQ19" s="52"/>
      <c r="AKR19" s="52"/>
      <c r="AKS19" s="52"/>
      <c r="AKT19" s="52"/>
      <c r="AKU19" s="52"/>
      <c r="AKV19" s="52"/>
      <c r="AKW19" s="52"/>
      <c r="AKX19" s="52"/>
      <c r="AKY19" s="52"/>
      <c r="AKZ19" s="52"/>
      <c r="ALA19" s="52"/>
      <c r="ALB19" s="52"/>
      <c r="ALC19" s="52"/>
      <c r="ALD19" s="52"/>
      <c r="ALE19" s="52"/>
      <c r="ALF19" s="52"/>
      <c r="ALG19" s="52"/>
      <c r="ALH19" s="52"/>
      <c r="ALI19" s="52"/>
      <c r="ALJ19" s="52"/>
      <c r="ALK19" s="52"/>
      <c r="ALL19" s="52"/>
      <c r="ALM19" s="52"/>
      <c r="ALN19" s="52"/>
      <c r="ALO19" s="52"/>
      <c r="ALP19" s="52"/>
      <c r="ALQ19" s="52"/>
      <c r="ALR19" s="52"/>
      <c r="ALS19" s="52"/>
      <c r="ALT19" s="52"/>
      <c r="ALU19" s="52"/>
      <c r="ALV19" s="52"/>
      <c r="ALW19" s="52"/>
      <c r="ALX19" s="52"/>
      <c r="ALY19" s="52"/>
      <c r="ALZ19" s="52"/>
      <c r="AMA19" s="52"/>
      <c r="AMB19" s="52"/>
      <c r="AMC19" s="52"/>
      <c r="AMD19" s="52"/>
      <c r="AME19" s="52"/>
      <c r="AMF19" s="52"/>
      <c r="AMG19" s="52"/>
      <c r="AMH19" s="52"/>
      <c r="AMI19" s="52"/>
      <c r="AMJ19" s="52"/>
    </row>
    <row r="20" spans="1:1024" ht="15.75" customHeight="1" thickBot="1" x14ac:dyDescent="0.3">
      <c r="A20" s="95" t="s">
        <v>97</v>
      </c>
      <c r="B20" s="96"/>
      <c r="C20" s="96"/>
      <c r="D20" s="96"/>
      <c r="E20" s="96"/>
      <c r="F20" s="96"/>
      <c r="G20" s="102"/>
      <c r="H20" s="101">
        <f>SUM(H11:H19)</f>
        <v>6948210</v>
      </c>
    </row>
    <row r="22" spans="1:1024" ht="15.75" thickBot="1" x14ac:dyDescent="0.3"/>
    <row r="23" spans="1:1024" ht="15.75" thickBot="1" x14ac:dyDescent="0.3">
      <c r="B23"/>
      <c r="C23" s="56"/>
      <c r="D23" s="56"/>
      <c r="E23" s="56"/>
      <c r="F23" s="57"/>
    </row>
    <row r="24" spans="1:1024" ht="15.75" thickBot="1" x14ac:dyDescent="0.3">
      <c r="B24" s="68"/>
      <c r="C24" s="58"/>
      <c r="D24" s="58"/>
      <c r="E24" s="58"/>
      <c r="F24" s="58"/>
    </row>
    <row r="25" spans="1:1024" x14ac:dyDescent="0.25">
      <c r="B25" s="60"/>
      <c r="C25" s="56"/>
      <c r="D25" s="56"/>
      <c r="E25" s="56"/>
      <c r="F25" s="57"/>
    </row>
    <row r="26" spans="1:1024" x14ac:dyDescent="0.25">
      <c r="G26" s="79"/>
    </row>
    <row r="27" spans="1:1024" x14ac:dyDescent="0.25">
      <c r="F27" s="79"/>
    </row>
  </sheetData>
  <mergeCells count="8">
    <mergeCell ref="A1:G1"/>
    <mergeCell ref="A9:G9"/>
    <mergeCell ref="A3:B3"/>
    <mergeCell ref="A4:B4"/>
    <mergeCell ref="A5:B5"/>
    <mergeCell ref="A6:B6"/>
    <mergeCell ref="A7:B7"/>
    <mergeCell ref="A8:B8"/>
  </mergeCells>
  <pageMargins left="0.25" right="0.25" top="0.75" bottom="0.75" header="0.3" footer="0.3"/>
  <pageSetup paperSize="5" scale="90"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tabSelected="1" topLeftCell="A16" workbookViewId="0">
      <selection activeCell="A22" sqref="A22:Q23"/>
    </sheetView>
  </sheetViews>
  <sheetFormatPr baseColWidth="10" defaultRowHeight="15" x14ac:dyDescent="0.25"/>
  <cols>
    <col min="1" max="1" width="3.140625" customWidth="1"/>
    <col min="2" max="2" width="3.42578125" customWidth="1"/>
    <col min="3" max="4" width="3.5703125" customWidth="1"/>
    <col min="5" max="5" width="3.42578125" customWidth="1"/>
    <col min="6" max="6" width="15.140625" customWidth="1"/>
    <col min="7" max="7" width="4.140625" customWidth="1"/>
    <col min="8" max="8" width="4.28515625" customWidth="1"/>
    <col min="9" max="9" width="2.85546875" customWidth="1"/>
    <col min="10" max="10" width="3" customWidth="1"/>
    <col min="11" max="11" width="2.7109375" customWidth="1"/>
    <col min="12" max="12" width="4.85546875" customWidth="1"/>
    <col min="13" max="13" width="4.28515625" customWidth="1"/>
    <col min="14" max="14" width="5.42578125" customWidth="1"/>
    <col min="15" max="15" width="14.42578125" customWidth="1"/>
    <col min="16" max="16" width="7.85546875" customWidth="1"/>
    <col min="17" max="17" width="13.28515625" customWidth="1"/>
    <col min="20" max="20" width="13.140625" bestFit="1" customWidth="1"/>
  </cols>
  <sheetData>
    <row r="1" spans="1:17" ht="15.75" thickBot="1" x14ac:dyDescent="0.3">
      <c r="A1" s="138" t="s">
        <v>2</v>
      </c>
      <c r="B1" s="138"/>
      <c r="C1" s="138"/>
      <c r="D1" s="139">
        <v>2022</v>
      </c>
      <c r="E1" s="139"/>
      <c r="F1" s="25"/>
      <c r="G1" s="25"/>
      <c r="H1" s="26"/>
      <c r="I1" s="26"/>
      <c r="J1" s="26"/>
      <c r="K1" s="26"/>
      <c r="L1" s="26"/>
      <c r="M1" s="26"/>
      <c r="N1" s="26"/>
      <c r="O1" s="27"/>
      <c r="P1" s="140" t="s">
        <v>30</v>
      </c>
      <c r="Q1" s="140"/>
    </row>
    <row r="2" spans="1:17" ht="15.75" thickBot="1" x14ac:dyDescent="0.3">
      <c r="A2" s="28"/>
      <c r="B2" s="29"/>
      <c r="C2" s="29"/>
      <c r="D2" s="29"/>
      <c r="E2" s="29"/>
      <c r="F2" s="29"/>
      <c r="G2" s="30"/>
      <c r="H2" s="31"/>
      <c r="I2" s="31"/>
      <c r="J2" s="31"/>
      <c r="K2" s="31"/>
      <c r="L2" s="31"/>
      <c r="M2" s="31"/>
      <c r="N2" s="31"/>
      <c r="O2" s="29"/>
      <c r="P2" s="140"/>
      <c r="Q2" s="140"/>
    </row>
    <row r="3" spans="1:17" ht="15.75" thickBot="1" x14ac:dyDescent="0.3">
      <c r="A3" s="28"/>
      <c r="B3" s="29"/>
      <c r="C3" s="29"/>
      <c r="D3" s="29"/>
      <c r="E3" s="29"/>
      <c r="F3" s="29"/>
      <c r="G3" s="30"/>
      <c r="H3" s="29"/>
      <c r="I3" s="29"/>
      <c r="J3" s="29"/>
      <c r="K3" s="29"/>
      <c r="L3" s="29"/>
      <c r="M3" s="29"/>
      <c r="N3" s="29"/>
      <c r="O3" s="29"/>
      <c r="P3" s="29"/>
      <c r="Q3" s="32"/>
    </row>
    <row r="4" spans="1:17" ht="15.75" thickBot="1" x14ac:dyDescent="0.3">
      <c r="A4" s="141" t="s">
        <v>31</v>
      </c>
      <c r="B4" s="141"/>
      <c r="C4" s="141"/>
      <c r="D4" s="141"/>
      <c r="E4" s="141"/>
      <c r="F4" s="141"/>
      <c r="G4" s="142" t="s">
        <v>66</v>
      </c>
      <c r="H4" s="142"/>
      <c r="I4" s="142"/>
      <c r="J4" s="142"/>
      <c r="K4" s="142"/>
      <c r="L4" s="142"/>
      <c r="M4" s="142"/>
      <c r="N4" s="142"/>
      <c r="O4" s="142"/>
      <c r="P4" s="142"/>
      <c r="Q4" s="142"/>
    </row>
    <row r="5" spans="1:17" ht="15.75" thickBot="1" x14ac:dyDescent="0.3">
      <c r="A5" s="143" t="s">
        <v>24</v>
      </c>
      <c r="B5" s="143"/>
      <c r="C5" s="143"/>
      <c r="D5" s="143"/>
      <c r="E5" s="143"/>
      <c r="F5" s="143"/>
      <c r="G5" s="142" t="s">
        <v>61</v>
      </c>
      <c r="H5" s="142"/>
      <c r="I5" s="142"/>
      <c r="J5" s="142"/>
      <c r="K5" s="142"/>
      <c r="L5" s="142"/>
      <c r="M5" s="142"/>
      <c r="N5" s="142"/>
      <c r="O5" s="142"/>
      <c r="P5" s="142"/>
      <c r="Q5" s="142"/>
    </row>
    <row r="6" spans="1:17" ht="16.5" customHeight="1" thickBot="1" x14ac:dyDescent="0.3">
      <c r="A6" s="144" t="s">
        <v>25</v>
      </c>
      <c r="B6" s="145"/>
      <c r="C6" s="145"/>
      <c r="D6" s="145"/>
      <c r="E6" s="145"/>
      <c r="F6" s="146"/>
      <c r="G6" s="147" t="s">
        <v>23</v>
      </c>
      <c r="H6" s="148"/>
      <c r="I6" s="148"/>
      <c r="J6" s="148"/>
      <c r="K6" s="148"/>
      <c r="L6" s="148"/>
      <c r="M6" s="148"/>
      <c r="N6" s="148"/>
      <c r="O6" s="148"/>
      <c r="P6" s="148"/>
      <c r="Q6" s="149"/>
    </row>
    <row r="7" spans="1:17" ht="15.75" thickBot="1" x14ac:dyDescent="0.3">
      <c r="A7" s="150" t="s">
        <v>26</v>
      </c>
      <c r="B7" s="151"/>
      <c r="C7" s="151"/>
      <c r="D7" s="151"/>
      <c r="E7" s="151"/>
      <c r="F7" s="152"/>
      <c r="G7" s="153" t="s">
        <v>62</v>
      </c>
      <c r="H7" s="153"/>
      <c r="I7" s="153"/>
      <c r="J7" s="153"/>
      <c r="K7" s="153"/>
      <c r="L7" s="153"/>
      <c r="M7" s="153"/>
      <c r="N7" s="153"/>
      <c r="O7" s="153"/>
      <c r="P7" s="153"/>
      <c r="Q7" s="153"/>
    </row>
    <row r="8" spans="1:17" ht="15.75" thickBot="1" x14ac:dyDescent="0.3">
      <c r="A8" s="154" t="s">
        <v>32</v>
      </c>
      <c r="B8" s="154"/>
      <c r="C8" s="154"/>
      <c r="D8" s="154"/>
      <c r="E8" s="154"/>
      <c r="F8" s="154"/>
      <c r="G8" s="154"/>
      <c r="H8" s="154"/>
      <c r="I8" s="154"/>
      <c r="J8" s="154"/>
      <c r="K8" s="154"/>
      <c r="L8" s="154"/>
      <c r="M8" s="154"/>
      <c r="N8" s="154"/>
      <c r="O8" s="154"/>
      <c r="P8" s="154"/>
      <c r="Q8" s="154"/>
    </row>
    <row r="9" spans="1:17" ht="27.75" customHeight="1" x14ac:dyDescent="0.25">
      <c r="A9" s="155" t="s">
        <v>33</v>
      </c>
      <c r="B9" s="155"/>
      <c r="C9" s="155"/>
      <c r="D9" s="155"/>
      <c r="E9" s="155"/>
      <c r="F9" s="155"/>
      <c r="G9" s="155"/>
      <c r="H9" s="155"/>
      <c r="I9" s="155"/>
      <c r="J9" s="155"/>
      <c r="K9" s="155"/>
      <c r="L9" s="155"/>
      <c r="M9" s="155"/>
      <c r="N9" s="155"/>
      <c r="O9" s="155"/>
      <c r="P9" s="155"/>
      <c r="Q9" s="155"/>
    </row>
    <row r="10" spans="1:17" ht="73.5" customHeight="1" x14ac:dyDescent="0.25">
      <c r="A10" s="156" t="s">
        <v>88</v>
      </c>
      <c r="B10" s="156"/>
      <c r="C10" s="156"/>
      <c r="D10" s="156"/>
      <c r="E10" s="156"/>
      <c r="F10" s="156"/>
      <c r="G10" s="156"/>
      <c r="H10" s="156"/>
      <c r="I10" s="156"/>
      <c r="J10" s="156"/>
      <c r="K10" s="156"/>
      <c r="L10" s="156"/>
      <c r="M10" s="156"/>
      <c r="N10" s="156"/>
      <c r="O10" s="156"/>
      <c r="P10" s="156"/>
      <c r="Q10" s="156"/>
    </row>
    <row r="11" spans="1:17" ht="5.25" customHeight="1" thickBot="1" x14ac:dyDescent="0.3">
      <c r="A11" s="33"/>
      <c r="B11" s="34"/>
      <c r="C11" s="34"/>
      <c r="D11" s="34"/>
      <c r="E11" s="34"/>
      <c r="F11" s="34"/>
      <c r="G11" s="35"/>
      <c r="H11" s="34"/>
      <c r="I11" s="34"/>
      <c r="J11" s="34"/>
      <c r="K11" s="34"/>
      <c r="L11" s="34"/>
      <c r="M11" s="34"/>
      <c r="N11" s="34"/>
      <c r="O11" s="34"/>
      <c r="P11" s="34"/>
      <c r="Q11" s="36"/>
    </row>
    <row r="12" spans="1:17" ht="15.75" thickBot="1" x14ac:dyDescent="0.3">
      <c r="A12" s="157" t="s">
        <v>34</v>
      </c>
      <c r="B12" s="157"/>
      <c r="C12" s="157"/>
      <c r="D12" s="157"/>
      <c r="E12" s="157"/>
      <c r="F12" s="157"/>
      <c r="G12" s="157"/>
      <c r="H12" s="157"/>
      <c r="I12" s="157"/>
      <c r="J12" s="157"/>
      <c r="K12" s="157"/>
      <c r="L12" s="157"/>
      <c r="M12" s="157"/>
      <c r="N12" s="157"/>
      <c r="O12" s="157"/>
      <c r="P12" s="157"/>
      <c r="Q12" s="157"/>
    </row>
    <row r="13" spans="1:17" ht="15.75" thickBot="1" x14ac:dyDescent="0.3">
      <c r="A13" s="158" t="s">
        <v>35</v>
      </c>
      <c r="B13" s="158"/>
      <c r="C13" s="158"/>
      <c r="D13" s="158"/>
      <c r="E13" s="158"/>
      <c r="F13" s="158"/>
      <c r="G13" s="158"/>
      <c r="H13" s="158"/>
      <c r="I13" s="158"/>
      <c r="J13" s="158"/>
      <c r="K13" s="158"/>
      <c r="L13" s="158"/>
      <c r="M13" s="158"/>
      <c r="N13" s="158"/>
      <c r="O13" s="159" t="s">
        <v>36</v>
      </c>
      <c r="P13" s="159"/>
      <c r="Q13" s="160" t="s">
        <v>37</v>
      </c>
    </row>
    <row r="14" spans="1:17" ht="26.25" customHeight="1" thickBot="1" x14ac:dyDescent="0.3">
      <c r="A14" s="37" t="s">
        <v>38</v>
      </c>
      <c r="B14" s="38" t="s">
        <v>39</v>
      </c>
      <c r="C14" s="38" t="s">
        <v>40</v>
      </c>
      <c r="D14" s="38" t="s">
        <v>41</v>
      </c>
      <c r="E14" s="38" t="s">
        <v>42</v>
      </c>
      <c r="F14" s="38" t="s">
        <v>43</v>
      </c>
      <c r="G14" s="39" t="s">
        <v>44</v>
      </c>
      <c r="H14" s="38" t="s">
        <v>45</v>
      </c>
      <c r="I14" s="38" t="s">
        <v>46</v>
      </c>
      <c r="J14" s="38" t="s">
        <v>47</v>
      </c>
      <c r="K14" s="38" t="s">
        <v>47</v>
      </c>
      <c r="L14" s="38" t="s">
        <v>48</v>
      </c>
      <c r="M14" s="40" t="s">
        <v>49</v>
      </c>
      <c r="N14" s="41" t="s">
        <v>50</v>
      </c>
      <c r="O14" s="159"/>
      <c r="P14" s="159"/>
      <c r="Q14" s="160"/>
    </row>
    <row r="15" spans="1:17" ht="29.25" customHeight="1" thickBot="1" x14ac:dyDescent="0.3">
      <c r="A15" s="42">
        <v>35</v>
      </c>
      <c r="B15" s="43">
        <v>0</v>
      </c>
      <c r="C15" s="43">
        <v>0</v>
      </c>
      <c r="D15" s="43">
        <v>5</v>
      </c>
      <c r="E15" s="43">
        <v>0</v>
      </c>
      <c r="F15" s="43">
        <v>4901</v>
      </c>
      <c r="G15" s="43">
        <v>1</v>
      </c>
      <c r="H15" s="43">
        <v>3</v>
      </c>
      <c r="I15" s="116">
        <v>2</v>
      </c>
      <c r="J15" s="116">
        <v>6</v>
      </c>
      <c r="K15" s="116">
        <v>5</v>
      </c>
      <c r="L15" s="43">
        <v>0</v>
      </c>
      <c r="M15" s="44">
        <v>1</v>
      </c>
      <c r="N15" s="43" t="s">
        <v>51</v>
      </c>
      <c r="O15" s="136" t="s">
        <v>63</v>
      </c>
      <c r="P15" s="137"/>
      <c r="Q15" s="45">
        <v>3457250</v>
      </c>
    </row>
    <row r="16" spans="1:17" ht="28.5" customHeight="1" thickBot="1" x14ac:dyDescent="0.3">
      <c r="A16" s="42">
        <v>35</v>
      </c>
      <c r="B16" s="43">
        <v>0</v>
      </c>
      <c r="C16" s="43">
        <v>0</v>
      </c>
      <c r="D16" s="43">
        <v>5</v>
      </c>
      <c r="E16" s="43">
        <v>0</v>
      </c>
      <c r="F16" s="43">
        <v>4901</v>
      </c>
      <c r="G16" s="43">
        <v>1</v>
      </c>
      <c r="H16" s="43">
        <v>3</v>
      </c>
      <c r="I16" s="116">
        <v>2</v>
      </c>
      <c r="J16" s="116">
        <v>7</v>
      </c>
      <c r="K16" s="116">
        <v>1</v>
      </c>
      <c r="L16" s="43">
        <v>0</v>
      </c>
      <c r="M16" s="44">
        <v>1</v>
      </c>
      <c r="N16" s="43" t="s">
        <v>51</v>
      </c>
      <c r="O16" s="136" t="s">
        <v>64</v>
      </c>
      <c r="P16" s="137"/>
      <c r="Q16" s="45">
        <v>2935960</v>
      </c>
    </row>
    <row r="17" spans="1:20" ht="37.5" customHeight="1" thickBot="1" x14ac:dyDescent="0.3">
      <c r="A17" s="42">
        <v>35</v>
      </c>
      <c r="B17" s="43">
        <v>0</v>
      </c>
      <c r="C17" s="43">
        <v>0</v>
      </c>
      <c r="D17" s="43">
        <v>5</v>
      </c>
      <c r="E17" s="43">
        <v>0</v>
      </c>
      <c r="F17" s="43">
        <v>4901</v>
      </c>
      <c r="G17" s="43">
        <v>1</v>
      </c>
      <c r="H17" s="43">
        <v>3</v>
      </c>
      <c r="I17" s="43">
        <v>2</v>
      </c>
      <c r="J17" s="43">
        <v>5</v>
      </c>
      <c r="K17" s="43">
        <v>5</v>
      </c>
      <c r="L17" s="43">
        <v>0</v>
      </c>
      <c r="M17" s="44">
        <v>1</v>
      </c>
      <c r="N17" s="43" t="s">
        <v>51</v>
      </c>
      <c r="O17" s="136" t="s">
        <v>95</v>
      </c>
      <c r="P17" s="137"/>
      <c r="Q17" s="45">
        <v>225000</v>
      </c>
    </row>
    <row r="18" spans="1:20" ht="38.25" customHeight="1" x14ac:dyDescent="0.25">
      <c r="A18" s="42">
        <v>35</v>
      </c>
      <c r="B18" s="43">
        <v>0</v>
      </c>
      <c r="C18" s="43">
        <v>0</v>
      </c>
      <c r="D18" s="43">
        <v>5</v>
      </c>
      <c r="E18" s="43">
        <v>0</v>
      </c>
      <c r="F18" s="43">
        <v>4901</v>
      </c>
      <c r="G18" s="43">
        <v>1</v>
      </c>
      <c r="H18" s="43">
        <v>3</v>
      </c>
      <c r="I18" s="116">
        <v>2</v>
      </c>
      <c r="J18" s="116">
        <v>7</v>
      </c>
      <c r="K18" s="116">
        <v>5</v>
      </c>
      <c r="L18" s="43">
        <v>0</v>
      </c>
      <c r="M18" s="44">
        <v>1</v>
      </c>
      <c r="N18" s="43" t="s">
        <v>51</v>
      </c>
      <c r="O18" s="136" t="s">
        <v>65</v>
      </c>
      <c r="P18" s="137"/>
      <c r="Q18" s="45">
        <v>330000</v>
      </c>
    </row>
    <row r="19" spans="1:20" ht="44.25" customHeight="1" thickBot="1" x14ac:dyDescent="0.3">
      <c r="A19" s="161" t="s">
        <v>96</v>
      </c>
      <c r="B19" s="161"/>
      <c r="C19" s="161"/>
      <c r="D19" s="161"/>
      <c r="E19" s="161"/>
      <c r="F19" s="161"/>
      <c r="G19" s="161"/>
      <c r="H19" s="161"/>
      <c r="I19" s="161"/>
      <c r="J19" s="161"/>
      <c r="K19" s="161"/>
      <c r="L19" s="161"/>
      <c r="M19" s="161"/>
      <c r="N19" s="161"/>
      <c r="O19" s="161"/>
      <c r="P19" s="161"/>
      <c r="Q19" s="46">
        <f>SUM(Q15:Q18)</f>
        <v>6948210</v>
      </c>
    </row>
    <row r="20" spans="1:20" ht="35.25" customHeight="1" thickBot="1" x14ac:dyDescent="0.3">
      <c r="A20" s="162"/>
      <c r="B20" s="162"/>
      <c r="C20" s="162"/>
      <c r="D20" s="162"/>
      <c r="E20" s="162"/>
      <c r="F20" s="162"/>
      <c r="G20" s="162"/>
      <c r="H20" s="162"/>
      <c r="I20" s="162"/>
      <c r="J20" s="162"/>
      <c r="K20" s="162"/>
      <c r="L20" s="162"/>
      <c r="M20" s="162"/>
      <c r="N20" s="162"/>
      <c r="O20" s="162"/>
      <c r="P20" s="162"/>
      <c r="Q20" s="162"/>
    </row>
    <row r="21" spans="1:20" ht="15.75" thickBot="1" x14ac:dyDescent="0.3">
      <c r="A21" s="163" t="s">
        <v>52</v>
      </c>
      <c r="B21" s="163"/>
      <c r="C21" s="163"/>
      <c r="D21" s="163"/>
      <c r="E21" s="163"/>
      <c r="F21" s="163"/>
      <c r="G21" s="164"/>
      <c r="H21" s="164"/>
      <c r="I21" s="164"/>
      <c r="J21" s="164"/>
      <c r="K21" s="164"/>
      <c r="L21" s="164"/>
      <c r="M21" s="164"/>
      <c r="N21" s="164"/>
      <c r="O21" s="164"/>
      <c r="P21" s="164"/>
      <c r="Q21" s="164"/>
    </row>
    <row r="22" spans="1:20" ht="15.75" thickBot="1" x14ac:dyDescent="0.3">
      <c r="A22" s="165" t="s">
        <v>70</v>
      </c>
      <c r="B22" s="165"/>
      <c r="C22" s="165"/>
      <c r="D22" s="165"/>
      <c r="E22" s="165"/>
      <c r="F22" s="165"/>
      <c r="G22" s="165"/>
      <c r="H22" s="165"/>
      <c r="I22" s="165"/>
      <c r="J22" s="165"/>
      <c r="K22" s="165"/>
      <c r="L22" s="165"/>
      <c r="M22" s="165"/>
      <c r="N22" s="165"/>
      <c r="O22" s="165"/>
      <c r="P22" s="165"/>
      <c r="Q22" s="165"/>
      <c r="T22" s="104"/>
    </row>
    <row r="23" spans="1:20" ht="18" customHeight="1" thickBot="1" x14ac:dyDescent="0.3">
      <c r="A23" s="165"/>
      <c r="B23" s="165"/>
      <c r="C23" s="165"/>
      <c r="D23" s="165"/>
      <c r="E23" s="165"/>
      <c r="F23" s="165"/>
      <c r="G23" s="165"/>
      <c r="H23" s="165"/>
      <c r="I23" s="165"/>
      <c r="J23" s="165"/>
      <c r="K23" s="165"/>
      <c r="L23" s="165"/>
      <c r="M23" s="165"/>
      <c r="N23" s="165"/>
      <c r="O23" s="165"/>
      <c r="P23" s="165"/>
      <c r="Q23" s="165"/>
      <c r="T23" s="79"/>
    </row>
  </sheetData>
  <mergeCells count="27">
    <mergeCell ref="A19:P19"/>
    <mergeCell ref="A20:Q20"/>
    <mergeCell ref="A21:F21"/>
    <mergeCell ref="G21:Q21"/>
    <mergeCell ref="A22:Q23"/>
    <mergeCell ref="A9:Q9"/>
    <mergeCell ref="A10:Q10"/>
    <mergeCell ref="A12:Q12"/>
    <mergeCell ref="A13:N13"/>
    <mergeCell ref="O13:P14"/>
    <mergeCell ref="Q13:Q14"/>
    <mergeCell ref="O18:P18"/>
    <mergeCell ref="O15:P15"/>
    <mergeCell ref="O16:P16"/>
    <mergeCell ref="O17:P17"/>
    <mergeCell ref="A1:C1"/>
    <mergeCell ref="D1:E1"/>
    <mergeCell ref="P1:Q2"/>
    <mergeCell ref="A4:F4"/>
    <mergeCell ref="G4:Q4"/>
    <mergeCell ref="A5:F5"/>
    <mergeCell ref="G5:Q5"/>
    <mergeCell ref="A6:F6"/>
    <mergeCell ref="G6:Q6"/>
    <mergeCell ref="A7:F7"/>
    <mergeCell ref="G7:Q7"/>
    <mergeCell ref="A8:Q8"/>
  </mergeCells>
  <pageMargins left="0.25" right="0.25" top="0.75" bottom="0.75" header="0.3" footer="0.3"/>
  <pageSetup paperSize="5"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Necesidades Trimestrales</vt:lpstr>
      <vt:lpstr>Partidas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 PC 2</cp:lastModifiedBy>
  <cp:lastPrinted>2022-03-29T12:52:34Z</cp:lastPrinted>
  <dcterms:created xsi:type="dcterms:W3CDTF">2021-02-08T12:06:32Z</dcterms:created>
  <dcterms:modified xsi:type="dcterms:W3CDTF">2022-06-22T15:47:02Z</dcterms:modified>
</cp:coreProperties>
</file>