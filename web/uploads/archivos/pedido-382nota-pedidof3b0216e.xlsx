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1° Trimestre 2021\enviado SCA 1º trim 2021\Elementos de limpieza\Observaciones de la SCA\"/>
    </mc:Choice>
  </mc:AlternateContent>
  <bookViews>
    <workbookView xWindow="-120" yWindow="-120" windowWidth="20730" windowHeight="1116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NotaPedido!$A$1:$K$39</definedName>
  </definedNames>
  <calcPr calcId="152511"/>
</workbook>
</file>

<file path=xl/calcChain.xml><?xml version="1.0" encoding="utf-8"?>
<calcChain xmlns="http://schemas.openxmlformats.org/spreadsheetml/2006/main">
  <c r="B37" i="2" l="1"/>
  <c r="C37" i="2"/>
  <c r="I37" i="2"/>
  <c r="J37" i="2"/>
  <c r="K37" i="2"/>
  <c r="K19" i="2"/>
  <c r="J19" i="2"/>
  <c r="I19" i="2"/>
  <c r="C19" i="2"/>
  <c r="B19" i="2"/>
  <c r="K18" i="2"/>
  <c r="J18" i="2"/>
  <c r="I18" i="2"/>
  <c r="C18" i="2"/>
  <c r="B18" i="2"/>
  <c r="K17" i="2"/>
  <c r="J17" i="2"/>
  <c r="I17" i="2"/>
  <c r="C17" i="2"/>
  <c r="B17" i="2"/>
  <c r="K16" i="2"/>
  <c r="J16" i="2"/>
  <c r="I16" i="2"/>
  <c r="C16" i="2"/>
  <c r="B16" i="2"/>
  <c r="K15" i="2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K26" i="2"/>
  <c r="J26" i="2"/>
  <c r="I26" i="2"/>
  <c r="C26" i="2"/>
  <c r="B26" i="2"/>
  <c r="K25" i="2"/>
  <c r="J25" i="2"/>
  <c r="I25" i="2"/>
  <c r="C25" i="2"/>
  <c r="B25" i="2"/>
  <c r="K24" i="2"/>
  <c r="J24" i="2"/>
  <c r="I24" i="2"/>
  <c r="C24" i="2"/>
  <c r="B24" i="2"/>
  <c r="K23" i="2"/>
  <c r="J23" i="2"/>
  <c r="I23" i="2"/>
  <c r="C23" i="2"/>
  <c r="B23" i="2"/>
  <c r="K22" i="2"/>
  <c r="J22" i="2"/>
  <c r="I22" i="2"/>
  <c r="C22" i="2"/>
  <c r="B22" i="2"/>
  <c r="K21" i="2"/>
  <c r="J21" i="2"/>
  <c r="I21" i="2"/>
  <c r="C21" i="2"/>
  <c r="B21" i="2"/>
  <c r="K20" i="2"/>
  <c r="J20" i="2"/>
  <c r="I20" i="2"/>
  <c r="C20" i="2"/>
  <c r="B20" i="2"/>
  <c r="K33" i="2"/>
  <c r="J33" i="2"/>
  <c r="I33" i="2"/>
  <c r="C33" i="2"/>
  <c r="B33" i="2"/>
  <c r="K32" i="2"/>
  <c r="J32" i="2"/>
  <c r="I32" i="2"/>
  <c r="C32" i="2"/>
  <c r="B32" i="2"/>
  <c r="K31" i="2"/>
  <c r="J31" i="2"/>
  <c r="I31" i="2"/>
  <c r="C31" i="2"/>
  <c r="B31" i="2"/>
  <c r="K30" i="2"/>
  <c r="J30" i="2"/>
  <c r="I30" i="2"/>
  <c r="C30" i="2"/>
  <c r="B30" i="2"/>
  <c r="K29" i="2"/>
  <c r="J29" i="2"/>
  <c r="I29" i="2"/>
  <c r="C29" i="2"/>
  <c r="B29" i="2"/>
  <c r="K28" i="2"/>
  <c r="J28" i="2"/>
  <c r="I28" i="2"/>
  <c r="C28" i="2"/>
  <c r="B28" i="2"/>
  <c r="K27" i="2"/>
  <c r="J27" i="2"/>
  <c r="I27" i="2"/>
  <c r="C27" i="2"/>
  <c r="B27" i="2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D34" i="1" l="1"/>
  <c r="D33" i="1"/>
  <c r="D32" i="1"/>
  <c r="D31" i="1"/>
  <c r="I36" i="2" l="1"/>
  <c r="A26" i="3" l="1"/>
  <c r="C36" i="2"/>
  <c r="C35" i="2"/>
  <c r="C34" i="2"/>
  <c r="A10" i="3"/>
  <c r="K36" i="2"/>
  <c r="J36" i="2"/>
  <c r="B36" i="2"/>
  <c r="K35" i="2"/>
  <c r="J35" i="2"/>
  <c r="I35" i="2"/>
  <c r="B35" i="2"/>
  <c r="K34" i="2"/>
  <c r="J34" i="2"/>
  <c r="I34" i="2"/>
  <c r="B34" i="2"/>
  <c r="I34" i="1"/>
  <c r="I33" i="1"/>
  <c r="I32" i="1"/>
  <c r="I31" i="1"/>
  <c r="J39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<sst xmlns="http://schemas.openxmlformats.org/spreadsheetml/2006/main" count="201" uniqueCount="128">
  <si>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</si>
  <si>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</si>
  <si>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</si>
  <si>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</si>
  <si>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</si>
  <si>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</si>
  <si>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</si>
  <si>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</si>
  <si>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</si>
  <si>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</si>
  <si>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</si>
  <si>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</si>
  <si>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</si>
  <si>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</si>
  <si>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</si>
  <si>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</si>
  <si>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</si>
  <si>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</si>
  <si>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</si>
  <si>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</si>
  <si>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</si>
  <si>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</si>
  <si>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</si>
  <si>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</si>
  <si>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</si>
  <si>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</si>
  <si>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</si>
  <si>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</si>
  <si>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</si>
  <si>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</si>
  <si>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</si>
  <si>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</si>
  <si>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</si>
  <si>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</si>
  <si>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</si>
  <si>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</si>
  <si>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</si>
  <si>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</si>
  <si>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</si>
  <si>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</si>
  <si>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</si>
  <si>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</si>
  <si>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</si>
  <si>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</si>
  <si>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</si>
  <si>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</si>
  <si>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</si>
  <si>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</si>
  <si>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</si>
  <si>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</si>
  <si>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</si>
  <si>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</si>
  <si>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</si>
  <si>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</si>
  <si>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</si>
  <si>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UNIDAD</t>
  </si>
  <si>
    <t xml:space="preserve">1er.  </t>
  </si>
  <si>
    <t xml:space="preserve">Plazo de entrega:  10 dias habiles </t>
  </si>
  <si>
    <t>Horario de entrega: de 8 a 12 hs</t>
  </si>
  <si>
    <t>Productos de Papel y Cartón</t>
  </si>
  <si>
    <t>2.9.1-6952.19</t>
  </si>
  <si>
    <t>2.9.1-6952.20</t>
  </si>
  <si>
    <t>2.5.4-505.90</t>
  </si>
  <si>
    <t>2.9.1-544.3</t>
  </si>
  <si>
    <t>2.9.1-544.4</t>
  </si>
  <si>
    <t>2.9.1-544.7</t>
  </si>
  <si>
    <t>2.9.1-544.66</t>
  </si>
  <si>
    <t>2.9.1-6960.27</t>
  </si>
  <si>
    <t>2.9.1-6960.51</t>
  </si>
  <si>
    <t>2.9.1-6961.23</t>
  </si>
  <si>
    <t>2.9.1-1083.8</t>
  </si>
  <si>
    <t>2.9.1-1164.1</t>
  </si>
  <si>
    <t>2.5.4-506.50</t>
  </si>
  <si>
    <t>2.9.1-6951.60</t>
  </si>
  <si>
    <t>2.9.1-6951.197</t>
  </si>
  <si>
    <t>2.9.1-4784.55</t>
  </si>
  <si>
    <t>2.3.4-786.34</t>
  </si>
  <si>
    <t>2.9.1-2661.20</t>
  </si>
  <si>
    <t>2.3.4-783.54</t>
  </si>
  <si>
    <t>2.3.4-783.84</t>
  </si>
  <si>
    <t>2.9.1-713.6</t>
  </si>
  <si>
    <t>2.9.1-2029.14</t>
  </si>
  <si>
    <t>2.9.1-6960.50</t>
  </si>
  <si>
    <t>2.9.1-6951.290</t>
  </si>
  <si>
    <t>ELEMENTOS DE LIMPIEZA</t>
  </si>
  <si>
    <t>CEPILLOS; TIPO: DE ROPA, MATERIAL: CERDA</t>
  </si>
  <si>
    <t>CEPILLOS; TIPO: DE MANO Y UÑA, MATERIAL: CERDA</t>
  </si>
  <si>
    <t>DESINFECTANTES; PRINCIPIO ACTIVO: ANTIBACTERIANO, CONTROL: BACTERIAS Y HONGOS, PRESENTACION: ENVASE X 390 CM3</t>
  </si>
  <si>
    <t>DESODORANTES DE AMBIENTE; PRESENTACION: UNIDAD, FRAGANCIA: VISTA AL MAR, CONTENIDO: 440 CM3, FORMATO: AEROSOL, LIBRE DE CFC: SI</t>
  </si>
  <si>
    <t>DESODORANTES DE AMBIENTE; FRAGANCIA: CASA DE CAMPO, PRESENTACION: UNIDAD, FORMATO: AEROSOL, CONTENIDO: 440 CM3, LIBRE DE CFC: SI</t>
  </si>
  <si>
    <t>DESODORANTES DE AMBIENTE; PRESENTACION: UNIDAD, CONTENIDO: 440 CM3, FORMATO: AEROSOL, FRAGANCIA: FLORECER SILVESTRE, LIBRE DE CFC: SI</t>
  </si>
  <si>
    <t>DESODORANTES DE AMBIENTE; FORMATO: AEROSOL, FRAGANCIA: JAZMIN, PRESENTACION: ENVASE X 185 GR, LIBRE DE CFC: NO CORRESPONDE</t>
  </si>
  <si>
    <t>ELEM. LIMPIEZA P/INDUMENTARIA; TIPO: JABON EN PAN, PRESENTACION: 200 GR</t>
  </si>
  <si>
    <t>ELEM. LIMPIEZA P/INDUMENTARIA; TIPO: JABON EN POLVO BAJA ESPUMA, PRESENTACION: ENVASE X 6 Kg</t>
  </si>
  <si>
    <t>ELEM. P/LIMPIEZA SANITARIOS; TIPO: SODA CAUSTICA, PRESENTACION: ENVASE X 1 Kg</t>
  </si>
  <si>
    <t>ESPONJA DE ACERO; PESO: 25 GR, MATERIAL: ACERO</t>
  </si>
  <si>
    <t>ESPONJAS; MATERIAL: POLIURETANO POLIETER, USO: P/COCINA, ADITAMENTO: FIBRA POLIESTER SUAVE, FORMA: PRISMATICA, LARGO X ANCHO X ESP: 10 X 6 X 3,5 Cm, COLOR: AMARILLO</t>
  </si>
  <si>
    <t>INSECTICIDAS; PRINCIPIO ACTIVO: BETA CYFLUTRINA, USO P/CONTROL: MOSCAS Y MOSQUITOS, ACCION: RESIDUAL, PRESENTACION: AEROSOL X 440 CM3, CONTROL: MOSCAS Y MOSQUITOS, CAPACIDAD: 440 CM3</t>
  </si>
  <si>
    <t>LIMPIADORES; TIPO: DESENGRASANTE, PRESENTACION: ENVASE X 5 L</t>
  </si>
  <si>
    <t>LIMPIADORES; TIPO: CREMOSO, PRESENTACION: ENVASE X 750 CM3</t>
  </si>
  <si>
    <t>LIMPIADORES MULTIUSO; COMPUESTOS BIODEGRADABLES: SI, PRESENTACION: ENVASE X 5 L, TIPO: JABON LIQUIDO TOCADOR</t>
  </si>
  <si>
    <t>PAPEL HIGIENICO; PRESENTACION: PAQUETE X 4 UN, TIPO: ROLLO PRECORTADO, HOJA: DOBLE, ANCHO: 10 Cm, LARGO: 30 M, TIPO DE HOJA: DOBLE, MATERIAL HOJA: DOBLE</t>
  </si>
  <si>
    <t>TACHOS DE RESIDUOS; MATERIAL: PLASTICO, SECCION: CIRCULAR, DIMENSION: 12 L, TAPA: CON</t>
  </si>
  <si>
    <t>TOALLAS DE PAPEL; MATERIAL: PAPEL ECOLOGICO, GRAMAJE: 30 GR/CM2, DIMENSION: 18,4 X 24 Cm, PRESENTACION: X 10</t>
  </si>
  <si>
    <t>TOALLAS DE PAPEL; MATERIAL: FIBRA CELULOSICA, GRAMAJE: 20 GR/M2, DIMENSION: 25 Cm, PRESENTACION: 2 X BOBINA X 400 M</t>
  </si>
  <si>
    <t>TRAPOS DE PISO; DIMENSION: 48 X 60 Cm, COLOR: GRIS</t>
  </si>
  <si>
    <t>TRAPOS REPASADORES; MATERIAL: ALGODON, DIMENSION: 60 X 60 Cm</t>
  </si>
  <si>
    <t>ELEM. LIMPIEZA P/INDUMENTARIA; TIPO: DETERGENTE, PRESENTACION: ENVASE X 5 L</t>
  </si>
  <si>
    <t>LIMPIADORES; TIPO: LAVANDINA, PRESENTACION: ENVASE X 5 L</t>
  </si>
  <si>
    <t>LIMPIADORES; TIPO: DETERGENTE ENZIMATICO, PRESENTACION: ENVASE X 5 L, BIODEGRADABLE: SI</t>
  </si>
  <si>
    <t xml:space="preserve">unidad </t>
  </si>
  <si>
    <t>unidad</t>
  </si>
  <si>
    <t xml:space="preserve">bolsa </t>
  </si>
  <si>
    <t>bidon</t>
  </si>
  <si>
    <t>paquete</t>
  </si>
  <si>
    <t>caja</t>
  </si>
  <si>
    <t xml:space="preserve">bidon </t>
  </si>
  <si>
    <t>Costo total estimado:  DOS MILLONES CINCUENTA Y SIETE MIL NUEVE CON 00/100 CENTAVOS.</t>
  </si>
  <si>
    <t xml:space="preserve">269-Direccion de Admisnitracion </t>
  </si>
  <si>
    <t xml:space="preserve">Servicio de Economato </t>
  </si>
  <si>
    <t xml:space="preserve">Adquisición de elementos de limpieza </t>
  </si>
  <si>
    <t>09/21</t>
  </si>
  <si>
    <t>Lugar de entrega: Servicio de economato de Maternidad Provincial 25 de Mayo- Hernando de Pedraza Nº 1.550</t>
  </si>
  <si>
    <t>TOTAL DE PESOS: DOS MILLONES CINCUENTA Y SIETE MIL NUEVE CON 00/100 CENTAVOS.</t>
  </si>
  <si>
    <t>Insecticidas, Fumigantes y Otros</t>
  </si>
  <si>
    <t>Elementos de Limpieza</t>
  </si>
  <si>
    <t xml:space="preserve">Plazo de mantenimiento de oferta: 30 dias habiles </t>
  </si>
  <si>
    <t>2.9.1-6951.30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</si>
</sst>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132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0" xfId="0" applyFont="1" applyBorder="1"/>
    <xf numFmtId="0" fontId="21" fillId="0" borderId="9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3" fontId="6" fillId="4" borderId="14" xfId="0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66" fontId="0" fillId="0" borderId="0" xfId="0" applyNumberFormat="1"/>
    <xf numFmtId="166" fontId="0" fillId="0" borderId="30" xfId="3" applyNumberFormat="1" applyFont="1" applyBorder="1" applyAlignment="1" applyProtection="1">
      <alignment horizontal="right" vertical="center"/>
    </xf>
    <xf numFmtId="166" fontId="15" fillId="0" borderId="35" xfId="0" applyNumberFormat="1" applyFont="1" applyBorder="1" applyAlignment="1">
      <alignment horizontal="right" vertical="center"/>
    </xf>
    <xf numFmtId="0" fontId="21" fillId="0" borderId="40" xfId="0" applyFont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/>
    </xf>
    <xf numFmtId="166" fontId="22" fillId="3" borderId="44" xfId="1" applyNumberFormat="1" applyFont="1" applyFill="1" applyBorder="1" applyAlignment="1" applyProtection="1">
      <alignment horizontal="center" vertical="center" wrapText="1"/>
    </xf>
    <xf numFmtId="166" fontId="22" fillId="3" borderId="47" xfId="1" applyNumberFormat="1" applyFont="1" applyFill="1" applyBorder="1" applyAlignment="1" applyProtection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166" fontId="6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166" fontId="29" fillId="3" borderId="14" xfId="1" applyNumberFormat="1" applyFont="1" applyFill="1" applyBorder="1" applyAlignment="1" applyProtection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166" fontId="29" fillId="3" borderId="46" xfId="1" applyNumberFormat="1" applyFont="1" applyFill="1" applyBorder="1" applyAlignment="1" applyProtection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17" fillId="0" borderId="0" xfId="0" applyFont="1" applyBorder="1" applyAlignment="1">
      <alignment horizontal="left" indent="3"/>
    </xf>
    <xf numFmtId="0" fontId="24" fillId="3" borderId="0" xfId="0" applyFont="1" applyFill="1" applyAlignment="1">
      <alignment horizontal="left" wrapText="1" indent="1"/>
    </xf>
    <xf numFmtId="0" fontId="21" fillId="4" borderId="0" xfId="0" applyFont="1" applyFill="1" applyAlignment="1">
      <alignment horizontal="left" wrapText="1"/>
    </xf>
    <xf numFmtId="167" fontId="0" fillId="0" borderId="0" xfId="0" applyNumberFormat="1"/>
    <xf numFmtId="0" fontId="17" fillId="4" borderId="0" xfId="0" applyFont="1" applyFill="1" applyBorder="1"/>
    <xf numFmtId="0" fontId="0" fillId="0" borderId="39" xfId="0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0" fontId="2" fillId="4" borderId="39" xfId="6" applyFill="1" applyBorder="1" applyAlignment="1">
      <alignment horizontal="center" vertical="center" wrapText="1"/>
    </xf>
    <xf numFmtId="0" fontId="2" fillId="4" borderId="39" xfId="6" applyFill="1" applyBorder="1" applyAlignment="1">
      <alignment horizontal="center" vertical="center"/>
    </xf>
    <xf numFmtId="0" fontId="2" fillId="4" borderId="54" xfId="5" applyFill="1" applyBorder="1" applyAlignment="1">
      <alignment horizontal="center" vertical="center" wrapText="1"/>
    </xf>
    <xf numFmtId="169" fontId="17" fillId="0" borderId="39" xfId="0" applyNumberFormat="1" applyFont="1" applyBorder="1"/>
    <xf numFmtId="169" fontId="17" fillId="4" borderId="54" xfId="0" applyNumberFormat="1" applyFont="1" applyFill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49" fontId="0" fillId="0" borderId="0" xfId="0" applyNumberFormat="1"/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4" borderId="14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 indent="1"/>
    </xf>
    <xf numFmtId="167" fontId="27" fillId="4" borderId="9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 wrapText="1"/>
    </xf>
    <xf numFmtId="0" fontId="6" fillId="4" borderId="51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 indent="1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 wrapText="1"/>
    </xf>
    <xf numFmtId="0" fontId="11" fillId="0" borderId="3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3" borderId="35" xfId="0" applyFont="1" applyFill="1" applyBorder="1" applyAlignment="1">
      <alignment horizontal="left" vertical="center" wrapText="1" indent="1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5" fillId="0" borderId="35" xfId="0" applyFont="1" applyBorder="1" applyAlignment="1">
      <alignment horizontal="left" vertical="center" wrapText="1"/>
    </xf>
    <xf numFmtId="0" fontId="0" fillId="0" borderId="17" xfId="0" applyBorder="1"/>
    <xf numFmtId="0" fontId="16" fillId="0" borderId="29" xfId="0" applyFont="1" applyBorder="1" applyAlignment="1">
      <alignment horizontal="left" vertical="center"/>
    </xf>
    <xf numFmtId="0" fontId="13" fillId="0" borderId="18" xfId="0" applyFont="1" applyBorder="1"/>
    <xf numFmtId="0" fontId="13" fillId="0" borderId="19" xfId="0" applyFont="1" applyBorder="1" applyAlignment="1">
      <alignment horizontal="left" vertical="center" wrapText="1" indent="1"/>
    </xf>
    <xf numFmtId="0" fontId="15" fillId="0" borderId="1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1" fillId="4" borderId="39" xfId="6" applyFont="1" applyFill="1" applyBorder="1" applyAlignment="1">
      <alignment horizontal="center" vertical="center"/>
    </xf>
  </cellXfs>
  <cellStyles count="7">
    <cellStyle name="20% - Énfasis2" xfId="5" builtinId="34"/>
    <cellStyle name="20% - Énfasis4" xfId="6" builtinId="42"/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topLeftCell="A25" zoomScale="90" zoomScaleNormal="90" workbookViewId="0">
      <selection activeCell="E42" sqref="E42"/>
    </sheetView>
  </sheetViews>
  <sheetFormatPr baseColWidth="10" defaultColWidth="11" defaultRowHeight="12.75" x14ac:dyDescent="0.2"/>
  <cols>
    <col min="1" max="1" width="4.5703125" style="37" customWidth="1"/>
    <col min="2" max="2" width="14" style="37" customWidth="1"/>
    <col min="3" max="3" width="21.710937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89" t="s">
        <v>0</v>
      </c>
      <c r="C2" s="89"/>
      <c r="D2" s="89"/>
      <c r="E2" s="89"/>
      <c r="F2" s="89"/>
      <c r="G2" s="89"/>
      <c r="H2" s="89"/>
    </row>
    <row r="4" spans="1:9" ht="18" customHeight="1" x14ac:dyDescent="0.25">
      <c r="A4" s="88" t="s">
        <v>1</v>
      </c>
      <c r="B4" s="88"/>
      <c r="C4" s="90" t="s">
        <v>52</v>
      </c>
      <c r="D4" s="90"/>
      <c r="E4" s="90"/>
      <c r="F4" s="38"/>
      <c r="G4" s="39"/>
      <c r="H4" s="38"/>
    </row>
    <row r="5" spans="1:9" ht="18" customHeight="1" x14ac:dyDescent="0.25">
      <c r="A5" s="88" t="s">
        <v>2</v>
      </c>
      <c r="B5" s="88"/>
      <c r="C5" s="90" t="s">
        <v>54</v>
      </c>
      <c r="D5" s="90"/>
      <c r="E5" s="90"/>
      <c r="F5" s="38"/>
      <c r="G5" s="39"/>
      <c r="H5" s="38"/>
    </row>
    <row r="6" spans="1:9" ht="16.5" customHeight="1" x14ac:dyDescent="0.25">
      <c r="A6" s="88" t="s">
        <v>3</v>
      </c>
      <c r="B6" s="88"/>
      <c r="C6" s="75">
        <v>2021</v>
      </c>
      <c r="D6" s="76"/>
      <c r="E6" s="76"/>
      <c r="F6" s="38"/>
      <c r="G6" s="39"/>
      <c r="H6" s="38"/>
    </row>
    <row r="7" spans="1:9" ht="16.5" customHeight="1" x14ac:dyDescent="0.25">
      <c r="A7" s="88" t="s">
        <v>4</v>
      </c>
      <c r="B7" s="88"/>
      <c r="C7" s="75" t="s">
        <v>56</v>
      </c>
      <c r="D7" s="76"/>
      <c r="E7" s="76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1" t="s">
        <v>5</v>
      </c>
      <c r="B9" s="70" t="s">
        <v>6</v>
      </c>
      <c r="C9" s="41" t="s">
        <v>7</v>
      </c>
      <c r="D9" s="56" t="s">
        <v>8</v>
      </c>
      <c r="E9" s="50" t="s">
        <v>9</v>
      </c>
      <c r="F9" s="53" t="s">
        <v>10</v>
      </c>
      <c r="G9" s="50" t="s">
        <v>11</v>
      </c>
      <c r="H9" s="52" t="s">
        <v>12</v>
      </c>
      <c r="I9" s="50" t="s">
        <v>13</v>
      </c>
    </row>
    <row r="10" spans="1:9" ht="45.75" customHeight="1" x14ac:dyDescent="0.2">
      <c r="A10" s="65">
        <v>1</v>
      </c>
      <c r="B10" s="71" t="s">
        <v>60</v>
      </c>
      <c r="C10" s="65" t="s">
        <v>84</v>
      </c>
      <c r="D10" s="66" t="str">
        <f t="shared" ref="D10:D16" si="0">LEFT(B10,5)</f>
        <v>2.9.1</v>
      </c>
      <c r="E10" s="81" t="s">
        <v>85</v>
      </c>
      <c r="F10" s="81" t="s">
        <v>110</v>
      </c>
      <c r="G10" s="81">
        <v>15</v>
      </c>
      <c r="H10" s="84">
        <v>132</v>
      </c>
      <c r="I10" s="67">
        <f t="shared" ref="I10:I16" si="1">G10*H10</f>
        <v>1980</v>
      </c>
    </row>
    <row r="11" spans="1:9" ht="31.9" customHeight="1" x14ac:dyDescent="0.2">
      <c r="A11" s="68">
        <v>2</v>
      </c>
      <c r="B11" s="66" t="s">
        <v>61</v>
      </c>
      <c r="C11" s="65" t="s">
        <v>84</v>
      </c>
      <c r="D11" s="66" t="str">
        <f t="shared" si="0"/>
        <v>2.9.1</v>
      </c>
      <c r="E11" s="81" t="s">
        <v>86</v>
      </c>
      <c r="F11" s="81" t="s">
        <v>111</v>
      </c>
      <c r="G11" s="81">
        <v>15</v>
      </c>
      <c r="H11" s="84">
        <v>132</v>
      </c>
      <c r="I11" s="69">
        <f t="shared" si="1"/>
        <v>1980</v>
      </c>
    </row>
    <row r="12" spans="1:9" ht="31.9" customHeight="1" x14ac:dyDescent="0.2">
      <c r="A12" s="68">
        <v>3</v>
      </c>
      <c r="B12" s="66" t="s">
        <v>62</v>
      </c>
      <c r="C12" s="65" t="s">
        <v>84</v>
      </c>
      <c r="D12" s="66" t="str">
        <f t="shared" si="0"/>
        <v>2.5.4</v>
      </c>
      <c r="E12" s="81" t="s">
        <v>87</v>
      </c>
      <c r="F12" s="82" t="s">
        <v>110</v>
      </c>
      <c r="G12" s="82">
        <v>100</v>
      </c>
      <c r="H12" s="84">
        <v>253.00000000000003</v>
      </c>
      <c r="I12" s="69">
        <f t="shared" si="1"/>
        <v>25300.000000000004</v>
      </c>
    </row>
    <row r="13" spans="1:9" ht="31.9" customHeight="1" x14ac:dyDescent="0.2">
      <c r="A13" s="68">
        <v>4</v>
      </c>
      <c r="B13" s="66" t="s">
        <v>63</v>
      </c>
      <c r="C13" s="65" t="s">
        <v>84</v>
      </c>
      <c r="D13" s="66" t="str">
        <f t="shared" si="0"/>
        <v>2.9.1</v>
      </c>
      <c r="E13" s="81" t="s">
        <v>88</v>
      </c>
      <c r="F13" s="81" t="s">
        <v>110</v>
      </c>
      <c r="G13" s="81">
        <v>20</v>
      </c>
      <c r="H13" s="84">
        <v>143</v>
      </c>
      <c r="I13" s="69">
        <f t="shared" si="1"/>
        <v>2860</v>
      </c>
    </row>
    <row r="14" spans="1:9" ht="31.9" customHeight="1" x14ac:dyDescent="0.2">
      <c r="A14" s="65">
        <v>5</v>
      </c>
      <c r="B14" s="66" t="s">
        <v>64</v>
      </c>
      <c r="C14" s="65" t="s">
        <v>84</v>
      </c>
      <c r="D14" s="66" t="str">
        <f t="shared" si="0"/>
        <v>2.9.1</v>
      </c>
      <c r="E14" s="81" t="s">
        <v>89</v>
      </c>
      <c r="F14" s="81" t="s">
        <v>111</v>
      </c>
      <c r="G14" s="81">
        <v>20</v>
      </c>
      <c r="H14" s="84">
        <v>143</v>
      </c>
      <c r="I14" s="69">
        <f t="shared" si="1"/>
        <v>2860</v>
      </c>
    </row>
    <row r="15" spans="1:9" ht="31.9" customHeight="1" x14ac:dyDescent="0.2">
      <c r="A15" s="65">
        <v>6</v>
      </c>
      <c r="B15" s="66" t="s">
        <v>65</v>
      </c>
      <c r="C15" s="65" t="s">
        <v>84</v>
      </c>
      <c r="D15" s="66" t="str">
        <f t="shared" si="0"/>
        <v>2.9.1</v>
      </c>
      <c r="E15" s="81" t="s">
        <v>90</v>
      </c>
      <c r="F15" s="81" t="s">
        <v>111</v>
      </c>
      <c r="G15" s="81">
        <v>20</v>
      </c>
      <c r="H15" s="84">
        <v>143</v>
      </c>
      <c r="I15" s="69">
        <f t="shared" si="1"/>
        <v>2860</v>
      </c>
    </row>
    <row r="16" spans="1:9" ht="31.9" customHeight="1" thickBot="1" x14ac:dyDescent="0.25">
      <c r="A16" s="68">
        <v>7</v>
      </c>
      <c r="B16" s="66" t="s">
        <v>66</v>
      </c>
      <c r="C16" s="65" t="s">
        <v>84</v>
      </c>
      <c r="D16" s="66" t="str">
        <f t="shared" si="0"/>
        <v>2.9.1</v>
      </c>
      <c r="E16" s="81" t="s">
        <v>91</v>
      </c>
      <c r="F16" s="81" t="s">
        <v>111</v>
      </c>
      <c r="G16" s="81">
        <v>20</v>
      </c>
      <c r="H16" s="84">
        <v>143</v>
      </c>
      <c r="I16" s="69">
        <f t="shared" si="1"/>
        <v>2860</v>
      </c>
    </row>
    <row r="17" spans="1:9" ht="45.75" customHeight="1" x14ac:dyDescent="0.2">
      <c r="A17" s="65">
        <v>8</v>
      </c>
      <c r="B17" s="71" t="s">
        <v>67</v>
      </c>
      <c r="C17" s="65" t="s">
        <v>84</v>
      </c>
      <c r="D17" s="66" t="str">
        <f t="shared" ref="D17:D23" si="2">LEFT(B17,5)</f>
        <v>2.9.1</v>
      </c>
      <c r="E17" s="81" t="s">
        <v>92</v>
      </c>
      <c r="F17" s="81" t="s">
        <v>111</v>
      </c>
      <c r="G17" s="81">
        <v>30</v>
      </c>
      <c r="H17" s="84">
        <v>66</v>
      </c>
      <c r="I17" s="67">
        <f t="shared" ref="I17:I23" si="3">G17*H17</f>
        <v>1980</v>
      </c>
    </row>
    <row r="18" spans="1:9" ht="31.9" customHeight="1" x14ac:dyDescent="0.2">
      <c r="A18" s="68">
        <v>9</v>
      </c>
      <c r="B18" s="66" t="s">
        <v>68</v>
      </c>
      <c r="C18" s="65" t="s">
        <v>84</v>
      </c>
      <c r="D18" s="66" t="str">
        <f t="shared" si="2"/>
        <v>2.9.1</v>
      </c>
      <c r="E18" s="81" t="s">
        <v>93</v>
      </c>
      <c r="F18" s="81" t="s">
        <v>112</v>
      </c>
      <c r="G18" s="81">
        <v>80</v>
      </c>
      <c r="H18" s="84">
        <v>858.00000000000011</v>
      </c>
      <c r="I18" s="69">
        <f t="shared" si="3"/>
        <v>68640.000000000015</v>
      </c>
    </row>
    <row r="19" spans="1:9" ht="31.9" customHeight="1" x14ac:dyDescent="0.2">
      <c r="A19" s="68">
        <v>10</v>
      </c>
      <c r="B19" s="66" t="s">
        <v>69</v>
      </c>
      <c r="C19" s="65" t="s">
        <v>84</v>
      </c>
      <c r="D19" s="66" t="str">
        <f t="shared" si="2"/>
        <v>2.9.1</v>
      </c>
      <c r="E19" s="81" t="s">
        <v>94</v>
      </c>
      <c r="F19" s="81" t="s">
        <v>112</v>
      </c>
      <c r="G19" s="81">
        <v>30</v>
      </c>
      <c r="H19" s="84">
        <v>360</v>
      </c>
      <c r="I19" s="69">
        <f t="shared" si="3"/>
        <v>10800</v>
      </c>
    </row>
    <row r="20" spans="1:9" ht="31.9" customHeight="1" x14ac:dyDescent="0.2">
      <c r="A20" s="68">
        <v>11</v>
      </c>
      <c r="B20" s="66" t="s">
        <v>70</v>
      </c>
      <c r="C20" s="65" t="s">
        <v>84</v>
      </c>
      <c r="D20" s="66" t="str">
        <f t="shared" si="2"/>
        <v>2.9.1</v>
      </c>
      <c r="E20" s="81" t="s">
        <v>95</v>
      </c>
      <c r="F20" s="81" t="s">
        <v>111</v>
      </c>
      <c r="G20" s="81">
        <v>30</v>
      </c>
      <c r="H20" s="84">
        <v>88</v>
      </c>
      <c r="I20" s="69">
        <f t="shared" si="3"/>
        <v>2640</v>
      </c>
    </row>
    <row r="21" spans="1:9" ht="31.9" customHeight="1" x14ac:dyDescent="0.2">
      <c r="A21" s="65">
        <v>12</v>
      </c>
      <c r="B21" s="66" t="s">
        <v>71</v>
      </c>
      <c r="C21" s="65" t="s">
        <v>84</v>
      </c>
      <c r="D21" s="66" t="str">
        <f t="shared" si="2"/>
        <v>2.9.1</v>
      </c>
      <c r="E21" s="81" t="s">
        <v>96</v>
      </c>
      <c r="F21" s="81" t="s">
        <v>111</v>
      </c>
      <c r="G21" s="81">
        <v>50</v>
      </c>
      <c r="H21" s="84">
        <v>66</v>
      </c>
      <c r="I21" s="69">
        <f t="shared" si="3"/>
        <v>3300</v>
      </c>
    </row>
    <row r="22" spans="1:9" ht="31.9" customHeight="1" x14ac:dyDescent="0.2">
      <c r="A22" s="65">
        <v>13</v>
      </c>
      <c r="B22" s="66" t="s">
        <v>72</v>
      </c>
      <c r="C22" s="65" t="s">
        <v>84</v>
      </c>
      <c r="D22" s="66" t="str">
        <f t="shared" si="2"/>
        <v>2.5.4</v>
      </c>
      <c r="E22" s="81" t="s">
        <v>97</v>
      </c>
      <c r="F22" s="81" t="s">
        <v>111</v>
      </c>
      <c r="G22" s="81">
        <v>100</v>
      </c>
      <c r="H22" s="84">
        <v>187.00000000000003</v>
      </c>
      <c r="I22" s="69">
        <f t="shared" si="3"/>
        <v>18700.000000000004</v>
      </c>
    </row>
    <row r="23" spans="1:9" ht="31.9" customHeight="1" thickBot="1" x14ac:dyDescent="0.25">
      <c r="A23" s="68">
        <v>14</v>
      </c>
      <c r="B23" s="66" t="s">
        <v>73</v>
      </c>
      <c r="C23" s="65" t="s">
        <v>84</v>
      </c>
      <c r="D23" s="66" t="str">
        <f t="shared" si="2"/>
        <v>2.9.1</v>
      </c>
      <c r="E23" s="81" t="s">
        <v>98</v>
      </c>
      <c r="F23" s="81" t="s">
        <v>113</v>
      </c>
      <c r="G23" s="81">
        <v>50</v>
      </c>
      <c r="H23" s="84">
        <v>770.00000000000011</v>
      </c>
      <c r="I23" s="69">
        <f t="shared" si="3"/>
        <v>38500.000000000007</v>
      </c>
    </row>
    <row r="24" spans="1:9" ht="45.75" customHeight="1" x14ac:dyDescent="0.2">
      <c r="A24" s="65">
        <v>15</v>
      </c>
      <c r="B24" s="71" t="s">
        <v>74</v>
      </c>
      <c r="C24" s="65" t="s">
        <v>84</v>
      </c>
      <c r="D24" s="66" t="str">
        <f t="shared" ref="D24:D30" si="4">LEFT(B24,5)</f>
        <v>2.9.1</v>
      </c>
      <c r="E24" s="81" t="s">
        <v>99</v>
      </c>
      <c r="F24" s="81" t="s">
        <v>111</v>
      </c>
      <c r="G24" s="81">
        <v>30</v>
      </c>
      <c r="H24" s="84">
        <v>209.00000000000003</v>
      </c>
      <c r="I24" s="67">
        <f t="shared" ref="I24:I30" si="5">G24*H24</f>
        <v>6270.0000000000009</v>
      </c>
    </row>
    <row r="25" spans="1:9" ht="31.9" customHeight="1" x14ac:dyDescent="0.2">
      <c r="A25" s="68">
        <v>16</v>
      </c>
      <c r="B25" s="66" t="s">
        <v>75</v>
      </c>
      <c r="C25" s="65" t="s">
        <v>84</v>
      </c>
      <c r="D25" s="66" t="str">
        <f t="shared" si="4"/>
        <v>2.9.1</v>
      </c>
      <c r="E25" s="81" t="s">
        <v>100</v>
      </c>
      <c r="F25" s="81" t="s">
        <v>113</v>
      </c>
      <c r="G25" s="81">
        <v>80</v>
      </c>
      <c r="H25" s="84">
        <v>770.00000000000011</v>
      </c>
      <c r="I25" s="69">
        <f t="shared" si="5"/>
        <v>61600.000000000007</v>
      </c>
    </row>
    <row r="26" spans="1:9" ht="31.9" customHeight="1" x14ac:dyDescent="0.2">
      <c r="A26" s="68">
        <v>17</v>
      </c>
      <c r="B26" s="66" t="s">
        <v>76</v>
      </c>
      <c r="C26" s="65" t="s">
        <v>84</v>
      </c>
      <c r="D26" s="66" t="str">
        <f t="shared" si="4"/>
        <v>2.3.4</v>
      </c>
      <c r="E26" s="81" t="s">
        <v>101</v>
      </c>
      <c r="F26" s="81" t="s">
        <v>114</v>
      </c>
      <c r="G26" s="81">
        <v>50</v>
      </c>
      <c r="H26" s="84">
        <v>176</v>
      </c>
      <c r="I26" s="69">
        <f t="shared" si="5"/>
        <v>8800</v>
      </c>
    </row>
    <row r="27" spans="1:9" ht="31.9" customHeight="1" x14ac:dyDescent="0.2">
      <c r="A27" s="68">
        <v>18</v>
      </c>
      <c r="B27" s="66" t="s">
        <v>77</v>
      </c>
      <c r="C27" s="65" t="s">
        <v>84</v>
      </c>
      <c r="D27" s="66" t="str">
        <f t="shared" si="4"/>
        <v>2.9.1</v>
      </c>
      <c r="E27" s="81" t="s">
        <v>102</v>
      </c>
      <c r="F27" s="81" t="s">
        <v>111</v>
      </c>
      <c r="G27" s="81">
        <v>10</v>
      </c>
      <c r="H27" s="84">
        <v>1100</v>
      </c>
      <c r="I27" s="69">
        <f t="shared" si="5"/>
        <v>11000</v>
      </c>
    </row>
    <row r="28" spans="1:9" ht="31.9" customHeight="1" x14ac:dyDescent="0.2">
      <c r="A28" s="65">
        <v>19</v>
      </c>
      <c r="B28" s="66" t="s">
        <v>78</v>
      </c>
      <c r="C28" s="65" t="s">
        <v>84</v>
      </c>
      <c r="D28" s="66" t="str">
        <f t="shared" si="4"/>
        <v>2.3.4</v>
      </c>
      <c r="E28" s="81" t="s">
        <v>103</v>
      </c>
      <c r="F28" s="81" t="s">
        <v>115</v>
      </c>
      <c r="G28" s="81">
        <v>450</v>
      </c>
      <c r="H28" s="84">
        <v>1760.0000000000002</v>
      </c>
      <c r="I28" s="69">
        <f t="shared" si="5"/>
        <v>792000.00000000012</v>
      </c>
    </row>
    <row r="29" spans="1:9" ht="31.9" customHeight="1" x14ac:dyDescent="0.2">
      <c r="A29" s="65">
        <v>20</v>
      </c>
      <c r="B29" s="66" t="s">
        <v>79</v>
      </c>
      <c r="C29" s="65" t="s">
        <v>84</v>
      </c>
      <c r="D29" s="66" t="str">
        <f t="shared" si="4"/>
        <v>2.3.4</v>
      </c>
      <c r="E29" s="81" t="s">
        <v>104</v>
      </c>
      <c r="F29" s="81" t="s">
        <v>111</v>
      </c>
      <c r="G29" s="81">
        <v>250</v>
      </c>
      <c r="H29" s="84">
        <v>2750</v>
      </c>
      <c r="I29" s="69">
        <f t="shared" si="5"/>
        <v>687500</v>
      </c>
    </row>
    <row r="30" spans="1:9" ht="31.9" customHeight="1" thickBot="1" x14ac:dyDescent="0.25">
      <c r="A30" s="68">
        <v>21</v>
      </c>
      <c r="B30" s="66" t="s">
        <v>80</v>
      </c>
      <c r="C30" s="65" t="s">
        <v>84</v>
      </c>
      <c r="D30" s="66" t="str">
        <f t="shared" si="4"/>
        <v>2.9.1</v>
      </c>
      <c r="E30" s="81" t="s">
        <v>105</v>
      </c>
      <c r="F30" s="81" t="s">
        <v>111</v>
      </c>
      <c r="G30" s="81">
        <v>50</v>
      </c>
      <c r="H30" s="84">
        <v>88</v>
      </c>
      <c r="I30" s="69">
        <f t="shared" si="5"/>
        <v>4400</v>
      </c>
    </row>
    <row r="31" spans="1:9" ht="31.9" customHeight="1" x14ac:dyDescent="0.2">
      <c r="A31" s="65">
        <v>22</v>
      </c>
      <c r="B31" s="71" t="s">
        <v>81</v>
      </c>
      <c r="C31" s="65" t="s">
        <v>84</v>
      </c>
      <c r="D31" s="66" t="str">
        <f t="shared" ref="D31:D34" si="6">LEFT(B31,5)</f>
        <v>2.9.1</v>
      </c>
      <c r="E31" s="81" t="s">
        <v>106</v>
      </c>
      <c r="F31" s="81" t="s">
        <v>111</v>
      </c>
      <c r="G31" s="81">
        <v>50</v>
      </c>
      <c r="H31" s="84">
        <v>198.00000000000003</v>
      </c>
      <c r="I31" s="67">
        <f t="shared" ref="I31:I34" si="7">G31*H31</f>
        <v>9900.0000000000018</v>
      </c>
    </row>
    <row r="32" spans="1:9" ht="30" x14ac:dyDescent="0.2">
      <c r="A32" s="68">
        <v>23</v>
      </c>
      <c r="B32" s="66" t="s">
        <v>82</v>
      </c>
      <c r="C32" s="65" t="s">
        <v>84</v>
      </c>
      <c r="D32" s="66" t="str">
        <f t="shared" si="6"/>
        <v>2.9.1</v>
      </c>
      <c r="E32" s="82" t="s">
        <v>107</v>
      </c>
      <c r="F32" s="82" t="s">
        <v>113</v>
      </c>
      <c r="G32" s="82">
        <v>100</v>
      </c>
      <c r="H32" s="84">
        <v>440.00000000000006</v>
      </c>
      <c r="I32" s="69">
        <f t="shared" si="7"/>
        <v>44000.000000000007</v>
      </c>
    </row>
    <row r="33" spans="1:9" ht="30" x14ac:dyDescent="0.2">
      <c r="A33" s="68">
        <v>24</v>
      </c>
      <c r="B33" s="87" t="s">
        <v>127</v>
      </c>
      <c r="C33" s="65" t="s">
        <v>84</v>
      </c>
      <c r="D33" s="66" t="str">
        <f t="shared" si="6"/>
        <v>2.9.1</v>
      </c>
      <c r="E33" s="131" t="s">
        <v>108</v>
      </c>
      <c r="F33" s="82" t="s">
        <v>116</v>
      </c>
      <c r="G33" s="82">
        <v>300</v>
      </c>
      <c r="H33" s="84">
        <v>418.00000000000006</v>
      </c>
      <c r="I33" s="69">
        <f t="shared" si="7"/>
        <v>125400.00000000001</v>
      </c>
    </row>
    <row r="34" spans="1:9" ht="30" x14ac:dyDescent="0.2">
      <c r="A34" s="68">
        <v>25</v>
      </c>
      <c r="B34" s="66" t="s">
        <v>83</v>
      </c>
      <c r="C34" s="65" t="s">
        <v>84</v>
      </c>
      <c r="D34" s="66" t="str">
        <f t="shared" si="6"/>
        <v>2.9.1</v>
      </c>
      <c r="E34" s="83" t="s">
        <v>109</v>
      </c>
      <c r="F34" s="83" t="s">
        <v>55</v>
      </c>
      <c r="G34" s="83">
        <v>30</v>
      </c>
      <c r="H34" s="85">
        <v>4029.3</v>
      </c>
      <c r="I34" s="69">
        <f t="shared" si="7"/>
        <v>120879</v>
      </c>
    </row>
    <row r="35" spans="1:9" ht="15" thickBot="1" x14ac:dyDescent="0.25">
      <c r="A35" s="73"/>
      <c r="B35" s="72"/>
      <c r="C35" s="58"/>
      <c r="D35" s="57"/>
      <c r="E35" s="55"/>
      <c r="F35" s="54"/>
      <c r="G35" s="51"/>
      <c r="H35" s="59"/>
      <c r="I35" s="60"/>
    </row>
    <row r="36" spans="1:9" x14ac:dyDescent="0.2">
      <c r="B36" s="74"/>
      <c r="C36" s="40"/>
      <c r="D36" s="40"/>
      <c r="E36" s="40"/>
    </row>
    <row r="38" spans="1:9" x14ac:dyDescent="0.2">
      <c r="B38" s="78" t="s">
        <v>57</v>
      </c>
    </row>
    <row r="39" spans="1:9" x14ac:dyDescent="0.2">
      <c r="B39" s="78"/>
    </row>
    <row r="40" spans="1:9" x14ac:dyDescent="0.2">
      <c r="B40" s="78" t="s">
        <v>122</v>
      </c>
    </row>
    <row r="41" spans="1:9" x14ac:dyDescent="0.2">
      <c r="B41" s="78"/>
    </row>
    <row r="42" spans="1:9" x14ac:dyDescent="0.2">
      <c r="B42" s="78" t="s">
        <v>58</v>
      </c>
    </row>
    <row r="44" spans="1:9" x14ac:dyDescent="0.2">
      <c r="B44" s="37" t="s">
        <v>126</v>
      </c>
    </row>
  </sheetData>
  <mergeCells count="7"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9"/>
  <sheetViews>
    <sheetView topLeftCell="A24" zoomScale="90" zoomScaleNormal="90" workbookViewId="0">
      <selection activeCell="C36" sqref="C36:G3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2" t="s">
        <v>14</v>
      </c>
      <c r="B1" s="102"/>
      <c r="C1" s="102"/>
      <c r="D1" s="102"/>
      <c r="E1" s="102"/>
      <c r="F1" s="102"/>
      <c r="G1" s="102"/>
      <c r="H1" s="102"/>
      <c r="I1" s="102"/>
      <c r="J1" s="3" t="s">
        <v>15</v>
      </c>
      <c r="K1" s="80" t="s">
        <v>121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3" t="s">
        <v>48</v>
      </c>
      <c r="B3" s="103"/>
      <c r="C3" s="103"/>
      <c r="D3" s="92" t="str">
        <f>'Necesidades Trimestrales'!C4</f>
        <v>40 - Ministerio de Salud</v>
      </c>
      <c r="E3" s="92"/>
      <c r="F3" s="92"/>
      <c r="G3" s="92"/>
      <c r="H3" s="92"/>
      <c r="I3" s="92"/>
      <c r="J3" s="92"/>
      <c r="K3" s="92"/>
    </row>
    <row r="4" spans="1:11" ht="18.75" customHeight="1" thickBot="1" x14ac:dyDescent="0.25">
      <c r="A4" s="104" t="s">
        <v>49</v>
      </c>
      <c r="B4" s="104"/>
      <c r="C4" s="104"/>
      <c r="D4" s="92" t="str">
        <f>'Necesidades Trimestrales'!C5</f>
        <v>28 - MATERNIDAD PROVINCIAL 25 DE MAYO</v>
      </c>
      <c r="E4" s="92"/>
      <c r="F4" s="92"/>
      <c r="G4" s="92"/>
      <c r="H4" s="92"/>
      <c r="I4" s="92"/>
      <c r="J4" s="92"/>
      <c r="K4" s="92"/>
    </row>
    <row r="5" spans="1:11" ht="18.75" customHeight="1" thickBot="1" x14ac:dyDescent="0.25">
      <c r="A5" s="104" t="s">
        <v>27</v>
      </c>
      <c r="B5" s="104"/>
      <c r="C5" s="104"/>
      <c r="D5" s="92" t="s">
        <v>118</v>
      </c>
      <c r="E5" s="92"/>
      <c r="F5" s="92"/>
      <c r="G5" s="92"/>
      <c r="H5" s="92"/>
      <c r="I5" s="92"/>
      <c r="J5" s="92"/>
      <c r="K5" s="92"/>
    </row>
    <row r="6" spans="1:11" ht="16.5" customHeight="1" thickBot="1" x14ac:dyDescent="0.25">
      <c r="A6" s="103" t="s">
        <v>50</v>
      </c>
      <c r="B6" s="103"/>
      <c r="C6" s="103"/>
      <c r="D6" s="92" t="s">
        <v>119</v>
      </c>
      <c r="E6" s="92"/>
      <c r="F6" s="92"/>
      <c r="G6" s="92"/>
      <c r="H6" s="92"/>
      <c r="I6" s="92"/>
      <c r="J6" s="92"/>
      <c r="K6" s="92"/>
    </row>
    <row r="7" spans="1:11" ht="16.5" customHeight="1" x14ac:dyDescent="0.2">
      <c r="A7" s="104" t="s">
        <v>16</v>
      </c>
      <c r="B7" s="104"/>
      <c r="C7" s="104"/>
      <c r="D7" s="92" t="str">
        <f>'Necesidades Trimestrales'!C7 &amp; "° Trimestre - Año " &amp; 'Necesidades Trimestrales'!C6</f>
        <v>1er.  ° Trimestre - Año 2021</v>
      </c>
      <c r="E7" s="92"/>
      <c r="F7" s="92"/>
      <c r="G7" s="92"/>
      <c r="H7" s="92"/>
      <c r="I7" s="92"/>
      <c r="J7" s="92"/>
      <c r="K7" s="92"/>
    </row>
    <row r="8" spans="1:11" ht="16.5" customHeight="1" x14ac:dyDescent="0.2">
      <c r="A8" s="97" t="s">
        <v>17</v>
      </c>
      <c r="B8" s="97"/>
      <c r="C8" s="97"/>
      <c r="D8" s="98" t="s">
        <v>120</v>
      </c>
      <c r="E8" s="98"/>
      <c r="F8" s="98"/>
      <c r="G8" s="98"/>
      <c r="H8" s="98"/>
      <c r="I8" s="98"/>
      <c r="J8" s="98"/>
      <c r="K8" s="9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9" t="s">
        <v>18</v>
      </c>
      <c r="B10" s="100" t="s">
        <v>19</v>
      </c>
      <c r="C10" s="100" t="s">
        <v>20</v>
      </c>
      <c r="D10" s="100"/>
      <c r="E10" s="100"/>
      <c r="F10" s="100"/>
      <c r="G10" s="100"/>
      <c r="H10" s="100" t="s">
        <v>21</v>
      </c>
      <c r="I10" s="100" t="s">
        <v>22</v>
      </c>
      <c r="J10" s="100" t="s">
        <v>23</v>
      </c>
      <c r="K10" s="101" t="s">
        <v>24</v>
      </c>
    </row>
    <row r="11" spans="1:11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1" ht="30" customHeight="1" thickBot="1" x14ac:dyDescent="0.25">
      <c r="A12" s="8"/>
      <c r="B12" s="61" t="str">
        <f>'Necesidades Trimestrales'!B9</f>
        <v>CODIGO ITEM</v>
      </c>
      <c r="C12" s="91" t="str">
        <f>'Necesidades Trimestrales'!E9</f>
        <v>DESCRIPCION</v>
      </c>
      <c r="D12" s="91"/>
      <c r="E12" s="91"/>
      <c r="F12" s="91"/>
      <c r="G12" s="91"/>
      <c r="H12" s="42" t="s">
        <v>51</v>
      </c>
      <c r="I12" s="43" t="str">
        <f>'Necesidades Trimestrales'!F9</f>
        <v>UNIDAD DE MEDIDA</v>
      </c>
      <c r="J12" s="62" t="str">
        <f>'Necesidades Trimestrales'!H9</f>
        <v>PRECIO UNITARIO ESTIMADO</v>
      </c>
      <c r="K12" s="44" t="str">
        <f>'Necesidades Trimestrales'!G9</f>
        <v>CANTIDAD</v>
      </c>
    </row>
    <row r="13" spans="1:11" ht="30" customHeight="1" thickBot="1" x14ac:dyDescent="0.25">
      <c r="A13" s="8">
        <v>1</v>
      </c>
      <c r="B13" s="61" t="str">
        <f>'Necesidades Trimestrales'!B10</f>
        <v>2.9.1-6952.19</v>
      </c>
      <c r="C13" s="91" t="str">
        <f>'Necesidades Trimestrales'!E10</f>
        <v>CEPILLOS; TIPO: DE ROPA, MATERIAL: CERDA</v>
      </c>
      <c r="D13" s="91"/>
      <c r="E13" s="91"/>
      <c r="F13" s="91"/>
      <c r="G13" s="91"/>
      <c r="H13" s="42" t="s">
        <v>51</v>
      </c>
      <c r="I13" s="43" t="str">
        <f>'Necesidades Trimestrales'!F10</f>
        <v xml:space="preserve">unidad </v>
      </c>
      <c r="J13" s="62">
        <f>'Necesidades Trimestrales'!H10</f>
        <v>132</v>
      </c>
      <c r="K13" s="44">
        <f>'Necesidades Trimestrales'!G10</f>
        <v>15</v>
      </c>
    </row>
    <row r="14" spans="1:11" ht="30" customHeight="1" thickBot="1" x14ac:dyDescent="0.25">
      <c r="A14" s="8">
        <v>2</v>
      </c>
      <c r="B14" s="61" t="str">
        <f>'Necesidades Trimestrales'!B11</f>
        <v>2.9.1-6952.20</v>
      </c>
      <c r="C14" s="91" t="str">
        <f>'Necesidades Trimestrales'!E11</f>
        <v>CEPILLOS; TIPO: DE MANO Y UÑA, MATERIAL: CERDA</v>
      </c>
      <c r="D14" s="91"/>
      <c r="E14" s="91"/>
      <c r="F14" s="91"/>
      <c r="G14" s="91"/>
      <c r="H14" s="42" t="s">
        <v>51</v>
      </c>
      <c r="I14" s="43" t="str">
        <f>'Necesidades Trimestrales'!F11</f>
        <v>unidad</v>
      </c>
      <c r="J14" s="62">
        <f>'Necesidades Trimestrales'!H11</f>
        <v>132</v>
      </c>
      <c r="K14" s="44">
        <f>'Necesidades Trimestrales'!G11</f>
        <v>15</v>
      </c>
    </row>
    <row r="15" spans="1:11" ht="30" customHeight="1" thickBot="1" x14ac:dyDescent="0.25">
      <c r="A15" s="8">
        <v>3</v>
      </c>
      <c r="B15" s="61" t="str">
        <f>'Necesidades Trimestrales'!B12</f>
        <v>2.5.4-505.90</v>
      </c>
      <c r="C15" s="91" t="str">
        <f>'Necesidades Trimestrales'!E12</f>
        <v>DESINFECTANTES; PRINCIPIO ACTIVO: ANTIBACTERIANO, CONTROL: BACTERIAS Y HONGOS, PRESENTACION: ENVASE X 390 CM3</v>
      </c>
      <c r="D15" s="91"/>
      <c r="E15" s="91"/>
      <c r="F15" s="91"/>
      <c r="G15" s="91"/>
      <c r="H15" s="42" t="s">
        <v>51</v>
      </c>
      <c r="I15" s="43" t="str">
        <f>'Necesidades Trimestrales'!F12</f>
        <v xml:space="preserve">unidad </v>
      </c>
      <c r="J15" s="62">
        <f>'Necesidades Trimestrales'!H12</f>
        <v>253.00000000000003</v>
      </c>
      <c r="K15" s="44">
        <f>'Necesidades Trimestrales'!G12</f>
        <v>100</v>
      </c>
    </row>
    <row r="16" spans="1:11" ht="30" customHeight="1" thickBot="1" x14ac:dyDescent="0.25">
      <c r="A16" s="8">
        <v>4</v>
      </c>
      <c r="B16" s="61" t="str">
        <f>'Necesidades Trimestrales'!B13</f>
        <v>2.9.1-544.3</v>
      </c>
      <c r="C16" s="91" t="str">
        <f>'Necesidades Trimestrales'!E13</f>
        <v>DESODORANTES DE AMBIENTE; PRESENTACION: UNIDAD, FRAGANCIA: VISTA AL MAR, CONTENIDO: 440 CM3, FORMATO: AEROSOL, LIBRE DE CFC: SI</v>
      </c>
      <c r="D16" s="91"/>
      <c r="E16" s="91"/>
      <c r="F16" s="91"/>
      <c r="G16" s="91"/>
      <c r="H16" s="42" t="s">
        <v>51</v>
      </c>
      <c r="I16" s="43" t="str">
        <f>'Necesidades Trimestrales'!F13</f>
        <v xml:space="preserve">unidad </v>
      </c>
      <c r="J16" s="62">
        <f>'Necesidades Trimestrales'!H13</f>
        <v>143</v>
      </c>
      <c r="K16" s="44">
        <f>'Necesidades Trimestrales'!G13</f>
        <v>20</v>
      </c>
    </row>
    <row r="17" spans="1:1024" ht="30" customHeight="1" thickBot="1" x14ac:dyDescent="0.25">
      <c r="A17" s="8">
        <v>5</v>
      </c>
      <c r="B17" s="61" t="str">
        <f>'Necesidades Trimestrales'!B14</f>
        <v>2.9.1-544.4</v>
      </c>
      <c r="C17" s="91" t="str">
        <f>'Necesidades Trimestrales'!E14</f>
        <v>DESODORANTES DE AMBIENTE; FRAGANCIA: CASA DE CAMPO, PRESENTACION: UNIDAD, FORMATO: AEROSOL, CONTENIDO: 440 CM3, LIBRE DE CFC: SI</v>
      </c>
      <c r="D17" s="91"/>
      <c r="E17" s="91"/>
      <c r="F17" s="91"/>
      <c r="G17" s="91"/>
      <c r="H17" s="42" t="s">
        <v>51</v>
      </c>
      <c r="I17" s="43" t="str">
        <f>'Necesidades Trimestrales'!F14</f>
        <v>unidad</v>
      </c>
      <c r="J17" s="62">
        <f>'Necesidades Trimestrales'!H14</f>
        <v>143</v>
      </c>
      <c r="K17" s="44">
        <f>'Necesidades Trimestrales'!G14</f>
        <v>20</v>
      </c>
    </row>
    <row r="18" spans="1:1024" ht="30" customHeight="1" thickBot="1" x14ac:dyDescent="0.25">
      <c r="A18" s="8">
        <v>6</v>
      </c>
      <c r="B18" s="61" t="str">
        <f>'Necesidades Trimestrales'!B15</f>
        <v>2.9.1-544.7</v>
      </c>
      <c r="C18" s="91" t="str">
        <f>'Necesidades Trimestrales'!E15</f>
        <v>DESODORANTES DE AMBIENTE; PRESENTACION: UNIDAD, CONTENIDO: 440 CM3, FORMATO: AEROSOL, FRAGANCIA: FLORECER SILVESTRE, LIBRE DE CFC: SI</v>
      </c>
      <c r="D18" s="91"/>
      <c r="E18" s="91"/>
      <c r="F18" s="91"/>
      <c r="G18" s="91"/>
      <c r="H18" s="42" t="s">
        <v>51</v>
      </c>
      <c r="I18" s="43" t="str">
        <f>'Necesidades Trimestrales'!F15</f>
        <v>unidad</v>
      </c>
      <c r="J18" s="62">
        <f>'Necesidades Trimestrales'!H15</f>
        <v>143</v>
      </c>
      <c r="K18" s="44">
        <f>'Necesidades Trimestrales'!G15</f>
        <v>20</v>
      </c>
    </row>
    <row r="19" spans="1:1024" ht="30" customHeight="1" thickBot="1" x14ac:dyDescent="0.25">
      <c r="A19" s="8">
        <v>7</v>
      </c>
      <c r="B19" s="61" t="str">
        <f>'Necesidades Trimestrales'!B16</f>
        <v>2.9.1-544.66</v>
      </c>
      <c r="C19" s="91" t="str">
        <f>'Necesidades Trimestrales'!E16</f>
        <v>DESODORANTES DE AMBIENTE; FORMATO: AEROSOL, FRAGANCIA: JAZMIN, PRESENTACION: ENVASE X 185 GR, LIBRE DE CFC: NO CORRESPONDE</v>
      </c>
      <c r="D19" s="91"/>
      <c r="E19" s="91"/>
      <c r="F19" s="91"/>
      <c r="G19" s="91"/>
      <c r="H19" s="42" t="s">
        <v>51</v>
      </c>
      <c r="I19" s="43" t="str">
        <f>'Necesidades Trimestrales'!F16</f>
        <v>unidad</v>
      </c>
      <c r="J19" s="62">
        <f>'Necesidades Trimestrales'!H16</f>
        <v>143</v>
      </c>
      <c r="K19" s="44">
        <f>'Necesidades Trimestrales'!G16</f>
        <v>20</v>
      </c>
    </row>
    <row r="20" spans="1:1024" ht="30" customHeight="1" thickBot="1" x14ac:dyDescent="0.25">
      <c r="A20" s="8">
        <v>8</v>
      </c>
      <c r="B20" s="61" t="str">
        <f>'Necesidades Trimestrales'!B17</f>
        <v>2.9.1-6960.27</v>
      </c>
      <c r="C20" s="91" t="str">
        <f>'Necesidades Trimestrales'!E17</f>
        <v>ELEM. LIMPIEZA P/INDUMENTARIA; TIPO: JABON EN PAN, PRESENTACION: 200 GR</v>
      </c>
      <c r="D20" s="91"/>
      <c r="E20" s="91"/>
      <c r="F20" s="91"/>
      <c r="G20" s="91"/>
      <c r="H20" s="42" t="s">
        <v>51</v>
      </c>
      <c r="I20" s="43" t="str">
        <f>'Necesidades Trimestrales'!F17</f>
        <v>unidad</v>
      </c>
      <c r="J20" s="62">
        <f>'Necesidades Trimestrales'!H17</f>
        <v>66</v>
      </c>
      <c r="K20" s="44">
        <f>'Necesidades Trimestrales'!G17</f>
        <v>30</v>
      </c>
      <c r="L20"/>
      <c r="M20"/>
      <c r="N20"/>
      <c r="P20"/>
      <c r="Q20"/>
      <c r="R20"/>
      <c r="S20"/>
      <c r="T20" s="77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30" customHeight="1" thickBot="1" x14ac:dyDescent="0.25">
      <c r="A21" s="8">
        <v>9</v>
      </c>
      <c r="B21" s="61" t="str">
        <f>'Necesidades Trimestrales'!B18</f>
        <v>2.9.1-6960.51</v>
      </c>
      <c r="C21" s="91" t="str">
        <f>'Necesidades Trimestrales'!E18</f>
        <v>ELEM. LIMPIEZA P/INDUMENTARIA; TIPO: JABON EN POLVO BAJA ESPUMA, PRESENTACION: ENVASE X 6 Kg</v>
      </c>
      <c r="D21" s="91"/>
      <c r="E21" s="91"/>
      <c r="F21" s="91"/>
      <c r="G21" s="91"/>
      <c r="H21" s="42" t="s">
        <v>51</v>
      </c>
      <c r="I21" s="43" t="str">
        <f>'Necesidades Trimestrales'!F18</f>
        <v xml:space="preserve">bolsa </v>
      </c>
      <c r="J21" s="62">
        <f>'Necesidades Trimestrales'!H18</f>
        <v>858.00000000000011</v>
      </c>
      <c r="K21" s="44">
        <f>'Necesidades Trimestrales'!G18</f>
        <v>80</v>
      </c>
    </row>
    <row r="22" spans="1:1024" ht="30" customHeight="1" thickBot="1" x14ac:dyDescent="0.25">
      <c r="A22" s="8">
        <v>10</v>
      </c>
      <c r="B22" s="61" t="str">
        <f>'Necesidades Trimestrales'!B19</f>
        <v>2.9.1-6961.23</v>
      </c>
      <c r="C22" s="91" t="str">
        <f>'Necesidades Trimestrales'!E19</f>
        <v>ELEM. P/LIMPIEZA SANITARIOS; TIPO: SODA CAUSTICA, PRESENTACION: ENVASE X 1 Kg</v>
      </c>
      <c r="D22" s="91"/>
      <c r="E22" s="91"/>
      <c r="F22" s="91"/>
      <c r="G22" s="91"/>
      <c r="H22" s="42" t="s">
        <v>51</v>
      </c>
      <c r="I22" s="43" t="str">
        <f>'Necesidades Trimestrales'!F19</f>
        <v xml:space="preserve">bolsa </v>
      </c>
      <c r="J22" s="62">
        <f>'Necesidades Trimestrales'!H19</f>
        <v>360</v>
      </c>
      <c r="K22" s="44">
        <f>'Necesidades Trimestrales'!G19</f>
        <v>30</v>
      </c>
    </row>
    <row r="23" spans="1:1024" ht="30" customHeight="1" thickBot="1" x14ac:dyDescent="0.25">
      <c r="A23" s="8">
        <v>11</v>
      </c>
      <c r="B23" s="61" t="str">
        <f>'Necesidades Trimestrales'!B20</f>
        <v>2.9.1-1083.8</v>
      </c>
      <c r="C23" s="91" t="str">
        <f>'Necesidades Trimestrales'!E20</f>
        <v>ESPONJA DE ACERO; PESO: 25 GR, MATERIAL: ACERO</v>
      </c>
      <c r="D23" s="91"/>
      <c r="E23" s="91"/>
      <c r="F23" s="91"/>
      <c r="G23" s="91"/>
      <c r="H23" s="42" t="s">
        <v>51</v>
      </c>
      <c r="I23" s="43" t="str">
        <f>'Necesidades Trimestrales'!F20</f>
        <v>unidad</v>
      </c>
      <c r="J23" s="62">
        <f>'Necesidades Trimestrales'!H20</f>
        <v>88</v>
      </c>
      <c r="K23" s="44">
        <f>'Necesidades Trimestrales'!G20</f>
        <v>30</v>
      </c>
    </row>
    <row r="24" spans="1:1024" ht="30" customHeight="1" thickBot="1" x14ac:dyDescent="0.25">
      <c r="A24" s="8">
        <v>12</v>
      </c>
      <c r="B24" s="61" t="str">
        <f>'Necesidades Trimestrales'!B21</f>
        <v>2.9.1-1164.1</v>
      </c>
      <c r="C24" s="91" t="str">
        <f>'Necesidades Trimestrales'!E21</f>
        <v>ESPONJAS; MATERIAL: POLIURETANO POLIETER, USO: P/COCINA, ADITAMENTO: FIBRA POLIESTER SUAVE, FORMA: PRISMATICA, LARGO X ANCHO X ESP: 10 X 6 X 3,5 Cm, COLOR: AMARILLO</v>
      </c>
      <c r="D24" s="91"/>
      <c r="E24" s="91"/>
      <c r="F24" s="91"/>
      <c r="G24" s="91"/>
      <c r="H24" s="42" t="s">
        <v>51</v>
      </c>
      <c r="I24" s="43" t="str">
        <f>'Necesidades Trimestrales'!F21</f>
        <v>unidad</v>
      </c>
      <c r="J24" s="62">
        <f>'Necesidades Trimestrales'!H21</f>
        <v>66</v>
      </c>
      <c r="K24" s="44">
        <f>'Necesidades Trimestrales'!G21</f>
        <v>50</v>
      </c>
    </row>
    <row r="25" spans="1:1024" ht="30" customHeight="1" thickBot="1" x14ac:dyDescent="0.25">
      <c r="A25" s="8">
        <v>13</v>
      </c>
      <c r="B25" s="61" t="str">
        <f>'Necesidades Trimestrales'!B22</f>
        <v>2.5.4-506.50</v>
      </c>
      <c r="C25" s="91" t="str">
        <f>'Necesidades Trimestrales'!E22</f>
        <v>INSECTICIDAS; PRINCIPIO ACTIVO: BETA CYFLUTRINA, USO P/CONTROL: MOSCAS Y MOSQUITOS, ACCION: RESIDUAL, PRESENTACION: AEROSOL X 440 CM3, CONTROL: MOSCAS Y MOSQUITOS, CAPACIDAD: 440 CM3</v>
      </c>
      <c r="D25" s="91"/>
      <c r="E25" s="91"/>
      <c r="F25" s="91"/>
      <c r="G25" s="91"/>
      <c r="H25" s="42" t="s">
        <v>51</v>
      </c>
      <c r="I25" s="43" t="str">
        <f>'Necesidades Trimestrales'!F22</f>
        <v>unidad</v>
      </c>
      <c r="J25" s="62">
        <f>'Necesidades Trimestrales'!H22</f>
        <v>187.00000000000003</v>
      </c>
      <c r="K25" s="44">
        <f>'Necesidades Trimestrales'!G22</f>
        <v>100</v>
      </c>
    </row>
    <row r="26" spans="1:1024" ht="30" customHeight="1" thickBot="1" x14ac:dyDescent="0.25">
      <c r="A26" s="8">
        <v>14</v>
      </c>
      <c r="B26" s="61" t="str">
        <f>'Necesidades Trimestrales'!B23</f>
        <v>2.9.1-6951.60</v>
      </c>
      <c r="C26" s="91" t="str">
        <f>'Necesidades Trimestrales'!E23</f>
        <v>LIMPIADORES; TIPO: DESENGRASANTE, PRESENTACION: ENVASE X 5 L</v>
      </c>
      <c r="D26" s="91"/>
      <c r="E26" s="91"/>
      <c r="F26" s="91"/>
      <c r="G26" s="91"/>
      <c r="H26" s="42" t="s">
        <v>51</v>
      </c>
      <c r="I26" s="43" t="str">
        <f>'Necesidades Trimestrales'!F23</f>
        <v>bidon</v>
      </c>
      <c r="J26" s="62">
        <f>'Necesidades Trimestrales'!H23</f>
        <v>770.00000000000011</v>
      </c>
      <c r="K26" s="44">
        <f>'Necesidades Trimestrales'!G23</f>
        <v>50</v>
      </c>
    </row>
    <row r="27" spans="1:1024" ht="30" customHeight="1" thickBot="1" x14ac:dyDescent="0.25">
      <c r="A27" s="8">
        <v>15</v>
      </c>
      <c r="B27" s="61" t="str">
        <f>'Necesidades Trimestrales'!B24</f>
        <v>2.9.1-6951.197</v>
      </c>
      <c r="C27" s="91" t="str">
        <f>'Necesidades Trimestrales'!E24</f>
        <v>LIMPIADORES; TIPO: CREMOSO, PRESENTACION: ENVASE X 750 CM3</v>
      </c>
      <c r="D27" s="91"/>
      <c r="E27" s="91"/>
      <c r="F27" s="91"/>
      <c r="G27" s="91"/>
      <c r="H27" s="42" t="s">
        <v>51</v>
      </c>
      <c r="I27" s="43" t="str">
        <f>'Necesidades Trimestrales'!F24</f>
        <v>unidad</v>
      </c>
      <c r="J27" s="62">
        <f>'Necesidades Trimestrales'!H24</f>
        <v>209.00000000000003</v>
      </c>
      <c r="K27" s="44">
        <f>'Necesidades Trimestrales'!G24</f>
        <v>30</v>
      </c>
    </row>
    <row r="28" spans="1:1024" ht="30" customHeight="1" thickBot="1" x14ac:dyDescent="0.25">
      <c r="A28" s="8">
        <v>16</v>
      </c>
      <c r="B28" s="61" t="str">
        <f>'Necesidades Trimestrales'!B25</f>
        <v>2.9.1-4784.55</v>
      </c>
      <c r="C28" s="91" t="str">
        <f>'Necesidades Trimestrales'!E25</f>
        <v>LIMPIADORES MULTIUSO; COMPUESTOS BIODEGRADABLES: SI, PRESENTACION: ENVASE X 5 L, TIPO: JABON LIQUIDO TOCADOR</v>
      </c>
      <c r="D28" s="91"/>
      <c r="E28" s="91"/>
      <c r="F28" s="91"/>
      <c r="G28" s="91"/>
      <c r="H28" s="42" t="s">
        <v>51</v>
      </c>
      <c r="I28" s="43" t="str">
        <f>'Necesidades Trimestrales'!F25</f>
        <v>bidon</v>
      </c>
      <c r="J28" s="62">
        <f>'Necesidades Trimestrales'!H25</f>
        <v>770.00000000000011</v>
      </c>
      <c r="K28" s="44">
        <f>'Necesidades Trimestrales'!G25</f>
        <v>80</v>
      </c>
    </row>
    <row r="29" spans="1:1024" ht="30" customHeight="1" thickBot="1" x14ac:dyDescent="0.25">
      <c r="A29" s="8">
        <v>17</v>
      </c>
      <c r="B29" s="61" t="str">
        <f>'Necesidades Trimestrales'!B26</f>
        <v>2.3.4-786.34</v>
      </c>
      <c r="C29" s="91" t="str">
        <f>'Necesidades Trimestrales'!E26</f>
        <v>PAPEL HIGIENICO; PRESENTACION: PAQUETE X 4 UN, TIPO: ROLLO PRECORTADO, HOJA: DOBLE, ANCHO: 10 Cm, LARGO: 30 M, TIPO DE HOJA: DOBLE, MATERIAL HOJA: DOBLE</v>
      </c>
      <c r="D29" s="91"/>
      <c r="E29" s="91"/>
      <c r="F29" s="91"/>
      <c r="G29" s="91"/>
      <c r="H29" s="42" t="s">
        <v>51</v>
      </c>
      <c r="I29" s="43" t="str">
        <f>'Necesidades Trimestrales'!F26</f>
        <v>paquete</v>
      </c>
      <c r="J29" s="62">
        <f>'Necesidades Trimestrales'!H26</f>
        <v>176</v>
      </c>
      <c r="K29" s="44">
        <f>'Necesidades Trimestrales'!G26</f>
        <v>50</v>
      </c>
    </row>
    <row r="30" spans="1:1024" ht="30" customHeight="1" thickBot="1" x14ac:dyDescent="0.25">
      <c r="A30" s="8">
        <v>18</v>
      </c>
      <c r="B30" s="61" t="str">
        <f>'Necesidades Trimestrales'!B27</f>
        <v>2.9.1-2661.20</v>
      </c>
      <c r="C30" s="91" t="str">
        <f>'Necesidades Trimestrales'!E27</f>
        <v>TACHOS DE RESIDUOS; MATERIAL: PLASTICO, SECCION: CIRCULAR, DIMENSION: 12 L, TAPA: CON</v>
      </c>
      <c r="D30" s="91"/>
      <c r="E30" s="91"/>
      <c r="F30" s="91"/>
      <c r="G30" s="91"/>
      <c r="H30" s="42" t="s">
        <v>51</v>
      </c>
      <c r="I30" s="43" t="str">
        <f>'Necesidades Trimestrales'!F27</f>
        <v>unidad</v>
      </c>
      <c r="J30" s="62">
        <f>'Necesidades Trimestrales'!H27</f>
        <v>1100</v>
      </c>
      <c r="K30" s="44">
        <f>'Necesidades Trimestrales'!G27</f>
        <v>10</v>
      </c>
    </row>
    <row r="31" spans="1:1024" ht="30" customHeight="1" thickBot="1" x14ac:dyDescent="0.25">
      <c r="A31" s="8">
        <v>19</v>
      </c>
      <c r="B31" s="61" t="str">
        <f>'Necesidades Trimestrales'!B28</f>
        <v>2.3.4-783.54</v>
      </c>
      <c r="C31" s="91" t="str">
        <f>'Necesidades Trimestrales'!E28</f>
        <v>TOALLAS DE PAPEL; MATERIAL: PAPEL ECOLOGICO, GRAMAJE: 30 GR/CM2, DIMENSION: 18,4 X 24 Cm, PRESENTACION: X 10</v>
      </c>
      <c r="D31" s="91"/>
      <c r="E31" s="91"/>
      <c r="F31" s="91"/>
      <c r="G31" s="91"/>
      <c r="H31" s="42" t="s">
        <v>51</v>
      </c>
      <c r="I31" s="43" t="str">
        <f>'Necesidades Trimestrales'!F28</f>
        <v>caja</v>
      </c>
      <c r="J31" s="62">
        <f>'Necesidades Trimestrales'!H28</f>
        <v>1760.0000000000002</v>
      </c>
      <c r="K31" s="44">
        <f>'Necesidades Trimestrales'!G28</f>
        <v>450</v>
      </c>
    </row>
    <row r="32" spans="1:1024" ht="30" customHeight="1" thickBot="1" x14ac:dyDescent="0.25">
      <c r="A32" s="8">
        <v>20</v>
      </c>
      <c r="B32" s="61" t="str">
        <f>'Necesidades Trimestrales'!B29</f>
        <v>2.3.4-783.84</v>
      </c>
      <c r="C32" s="91" t="str">
        <f>'Necesidades Trimestrales'!E29</f>
        <v>TOALLAS DE PAPEL; MATERIAL: FIBRA CELULOSICA, GRAMAJE: 20 GR/M2, DIMENSION: 25 Cm, PRESENTACION: 2 X BOBINA X 400 M</v>
      </c>
      <c r="D32" s="91"/>
      <c r="E32" s="91"/>
      <c r="F32" s="91"/>
      <c r="G32" s="91"/>
      <c r="H32" s="42" t="s">
        <v>51</v>
      </c>
      <c r="I32" s="43" t="str">
        <f>'Necesidades Trimestrales'!F29</f>
        <v>unidad</v>
      </c>
      <c r="J32" s="62">
        <f>'Necesidades Trimestrales'!H29</f>
        <v>2750</v>
      </c>
      <c r="K32" s="44">
        <f>'Necesidades Trimestrales'!G29</f>
        <v>250</v>
      </c>
    </row>
    <row r="33" spans="1:11" ht="30" customHeight="1" thickBot="1" x14ac:dyDescent="0.25">
      <c r="A33" s="8">
        <v>21</v>
      </c>
      <c r="B33" s="61" t="str">
        <f>'Necesidades Trimestrales'!B30</f>
        <v>2.9.1-713.6</v>
      </c>
      <c r="C33" s="91" t="str">
        <f>'Necesidades Trimestrales'!E30</f>
        <v>TRAPOS DE PISO; DIMENSION: 48 X 60 Cm, COLOR: GRIS</v>
      </c>
      <c r="D33" s="91"/>
      <c r="E33" s="91"/>
      <c r="F33" s="91"/>
      <c r="G33" s="91"/>
      <c r="H33" s="42" t="s">
        <v>51</v>
      </c>
      <c r="I33" s="43" t="str">
        <f>'Necesidades Trimestrales'!F30</f>
        <v>unidad</v>
      </c>
      <c r="J33" s="62">
        <f>'Necesidades Trimestrales'!H30</f>
        <v>88</v>
      </c>
      <c r="K33" s="44">
        <f>'Necesidades Trimestrales'!G30</f>
        <v>50</v>
      </c>
    </row>
    <row r="34" spans="1:11" ht="30" customHeight="1" thickBot="1" x14ac:dyDescent="0.25">
      <c r="A34" s="8">
        <v>22</v>
      </c>
      <c r="B34" s="61" t="str">
        <f>'Necesidades Trimestrales'!B31</f>
        <v>2.9.1-2029.14</v>
      </c>
      <c r="C34" s="91" t="str">
        <f>'Necesidades Trimestrales'!E31</f>
        <v>TRAPOS REPASADORES; MATERIAL: ALGODON, DIMENSION: 60 X 60 Cm</v>
      </c>
      <c r="D34" s="91"/>
      <c r="E34" s="91"/>
      <c r="F34" s="91"/>
      <c r="G34" s="91"/>
      <c r="H34" s="42" t="s">
        <v>51</v>
      </c>
      <c r="I34" s="43" t="str">
        <f>'Necesidades Trimestrales'!F31</f>
        <v>unidad</v>
      </c>
      <c r="J34" s="62">
        <f>'Necesidades Trimestrales'!H31</f>
        <v>198.00000000000003</v>
      </c>
      <c r="K34" s="44">
        <f>'Necesidades Trimestrales'!G31</f>
        <v>50</v>
      </c>
    </row>
    <row r="35" spans="1:11" ht="30" customHeight="1" thickBot="1" x14ac:dyDescent="0.25">
      <c r="A35" s="8">
        <v>23</v>
      </c>
      <c r="B35" s="61" t="str">
        <f>'Necesidades Trimestrales'!B32</f>
        <v>2.9.1-6960.50</v>
      </c>
      <c r="C35" s="91" t="str">
        <f>'Necesidades Trimestrales'!E32</f>
        <v>ELEM. LIMPIEZA P/INDUMENTARIA; TIPO: DETERGENTE, PRESENTACION: ENVASE X 5 L</v>
      </c>
      <c r="D35" s="91"/>
      <c r="E35" s="91"/>
      <c r="F35" s="91"/>
      <c r="G35" s="91"/>
      <c r="H35" s="42" t="s">
        <v>51</v>
      </c>
      <c r="I35" s="43" t="str">
        <f>'Necesidades Trimestrales'!F32</f>
        <v>bidon</v>
      </c>
      <c r="J35" s="62">
        <f>'Necesidades Trimestrales'!H32</f>
        <v>440.00000000000006</v>
      </c>
      <c r="K35" s="44">
        <f>'Necesidades Trimestrales'!G32</f>
        <v>100</v>
      </c>
    </row>
    <row r="36" spans="1:11" ht="30" customHeight="1" thickBot="1" x14ac:dyDescent="0.25">
      <c r="A36" s="8">
        <v>24</v>
      </c>
      <c r="B36" s="61" t="str">
        <f>'Necesidades Trimestrales'!B33</f>
        <v>2.9.1-6951.30</v>
      </c>
      <c r="C36" s="91" t="str">
        <f>'Necesidades Trimestrales'!E33</f>
        <v>LIMPIADORES; TIPO: LAVANDINA, PRESENTACION: ENVASE X 5 L</v>
      </c>
      <c r="D36" s="91"/>
      <c r="E36" s="91"/>
      <c r="F36" s="91"/>
      <c r="G36" s="91"/>
      <c r="H36" s="42" t="s">
        <v>51</v>
      </c>
      <c r="I36" s="43" t="str">
        <f>'Necesidades Trimestrales'!F33</f>
        <v xml:space="preserve">bidon </v>
      </c>
      <c r="J36" s="62">
        <f>'Necesidades Trimestrales'!H33</f>
        <v>418.00000000000006</v>
      </c>
      <c r="K36" s="44">
        <f>'Necesidades Trimestrales'!G33</f>
        <v>300</v>
      </c>
    </row>
    <row r="37" spans="1:11" ht="30" customHeight="1" thickBot="1" x14ac:dyDescent="0.25">
      <c r="A37" s="8">
        <v>25</v>
      </c>
      <c r="B37" s="61" t="str">
        <f>'Necesidades Trimestrales'!B34</f>
        <v>2.9.1-6951.290</v>
      </c>
      <c r="C37" s="94" t="str">
        <f>'Necesidades Trimestrales'!E34</f>
        <v>LIMPIADORES; TIPO: DETERGENTE ENZIMATICO, PRESENTACION: ENVASE X 5 L, BIODEGRADABLE: SI</v>
      </c>
      <c r="D37" s="95"/>
      <c r="E37" s="95"/>
      <c r="F37" s="95"/>
      <c r="G37" s="96"/>
      <c r="H37" s="42" t="s">
        <v>51</v>
      </c>
      <c r="I37" s="43" t="str">
        <f>'Necesidades Trimestrales'!F34</f>
        <v>UNIDAD</v>
      </c>
      <c r="J37" s="62">
        <f>'Necesidades Trimestrales'!H34</f>
        <v>4029.3</v>
      </c>
      <c r="K37" s="44">
        <f>'Necesidades Trimestrales'!G34</f>
        <v>30</v>
      </c>
    </row>
    <row r="38" spans="1:11" ht="13.5" thickBot="1" x14ac:dyDescent="0.25">
      <c r="A38" s="8"/>
      <c r="B38" s="61"/>
      <c r="C38" s="91"/>
      <c r="D38" s="91"/>
      <c r="E38" s="91"/>
      <c r="F38" s="91"/>
      <c r="G38" s="91"/>
      <c r="H38" s="42"/>
      <c r="I38" s="43"/>
      <c r="J38" s="62"/>
      <c r="K38" s="44"/>
    </row>
    <row r="39" spans="1:11" ht="16.5" thickBot="1" x14ac:dyDescent="0.25">
      <c r="A39" s="92" t="s">
        <v>117</v>
      </c>
      <c r="B39" s="92"/>
      <c r="C39" s="92"/>
      <c r="D39" s="92"/>
      <c r="E39" s="92"/>
      <c r="F39" s="92"/>
      <c r="G39" s="92"/>
      <c r="H39" s="92"/>
      <c r="I39" s="92"/>
      <c r="J39" s="93">
        <f>SUMPRODUCT(J13:J38,K13:K38)</f>
        <v>2057009</v>
      </c>
      <c r="K39" s="93"/>
    </row>
  </sheetData>
  <mergeCells count="4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9:I39"/>
    <mergeCell ref="J39:K39"/>
    <mergeCell ref="C34:G34"/>
    <mergeCell ref="C35:G35"/>
    <mergeCell ref="C36:G36"/>
    <mergeCell ref="C37:G37"/>
    <mergeCell ref="C38:G38"/>
    <mergeCell ref="C32:G32"/>
    <mergeCell ref="C33:G33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17:G17"/>
    <mergeCell ref="C18:G18"/>
    <mergeCell ref="C19:G19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20" zoomScaleNormal="120" workbookViewId="0">
      <selection activeCell="D18" sqref="D1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7" t="s">
        <v>3</v>
      </c>
      <c r="B1" s="127"/>
      <c r="C1" s="127"/>
      <c r="D1" s="128">
        <f>'Necesidades Trimestrales'!C6</f>
        <v>2021</v>
      </c>
      <c r="E1" s="128"/>
      <c r="F1" s="10"/>
      <c r="G1" s="10"/>
      <c r="H1" s="11"/>
      <c r="I1" s="11"/>
      <c r="J1" s="11"/>
      <c r="K1" s="11"/>
      <c r="L1" s="11"/>
      <c r="M1" s="11"/>
      <c r="N1" s="11"/>
      <c r="P1" s="129" t="s">
        <v>25</v>
      </c>
      <c r="Q1" s="12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9"/>
      <c r="Q2" s="129"/>
    </row>
    <row r="4" spans="1:17" s="12" customFormat="1" ht="18" customHeight="1" thickBot="1" x14ac:dyDescent="0.25">
      <c r="A4" s="130" t="s">
        <v>26</v>
      </c>
      <c r="B4" s="130"/>
      <c r="C4" s="130"/>
      <c r="D4" s="130"/>
      <c r="E4" s="130"/>
      <c r="F4" s="130"/>
      <c r="G4" s="125" t="str">
        <f>NotaPedido!D3</f>
        <v>40 - 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12" customFormat="1" ht="18" customHeight="1" thickBot="1" x14ac:dyDescent="0.25">
      <c r="A5" s="122" t="s">
        <v>49</v>
      </c>
      <c r="B5" s="123"/>
      <c r="C5" s="123"/>
      <c r="D5" s="123"/>
      <c r="E5" s="123"/>
      <c r="F5" s="124"/>
      <c r="G5" s="125" t="str">
        <f>NotaPedido!D4</f>
        <v>28 - MATERNIDAD PROVINCIAL 25 DE MAYO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12" customFormat="1" ht="18" customHeight="1" thickBot="1" x14ac:dyDescent="0.25">
      <c r="A6" s="122" t="s">
        <v>27</v>
      </c>
      <c r="B6" s="123"/>
      <c r="C6" s="123"/>
      <c r="D6" s="123"/>
      <c r="E6" s="123"/>
      <c r="F6" s="124"/>
      <c r="G6" s="125" t="str">
        <f>NotaPedido!D5</f>
        <v xml:space="preserve">269-Direccion de Admisnitracion 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12" customFormat="1" ht="18" customHeight="1" thickBot="1" x14ac:dyDescent="0.25">
      <c r="A7" s="122" t="s">
        <v>50</v>
      </c>
      <c r="B7" s="123"/>
      <c r="C7" s="123"/>
      <c r="D7" s="123"/>
      <c r="E7" s="123"/>
      <c r="F7" s="124"/>
      <c r="G7" s="125" t="str">
        <f>NotaPedido!D6</f>
        <v xml:space="preserve">Servicio de Economato 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6" t="s">
        <v>28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2">
      <c r="A9" s="116" t="s">
        <v>29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"/>
      <c r="P9" s="1"/>
      <c r="Q9" s="13"/>
    </row>
    <row r="10" spans="1:17" ht="54.75" customHeight="1" x14ac:dyDescent="0.2">
      <c r="A10" s="11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09/21,  afectando la erogación resultante a los créditos presupuestarios aprobados a favor de esta Unidad Ejecutora, conforme al siguiente detalle: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8" t="s">
        <v>30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x14ac:dyDescent="0.2">
      <c r="A13" s="119" t="s">
        <v>31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20" t="s">
        <v>32</v>
      </c>
      <c r="P13" s="120"/>
      <c r="Q13" s="121" t="s">
        <v>33</v>
      </c>
    </row>
    <row r="14" spans="1:17" ht="15.75" customHeight="1" thickBot="1" x14ac:dyDescent="0.25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20"/>
      <c r="P14" s="120"/>
      <c r="Q14" s="121"/>
    </row>
    <row r="15" spans="1:17" ht="17.25" customHeight="1" thickBot="1" x14ac:dyDescent="0.25">
      <c r="A15" s="63">
        <v>42</v>
      </c>
      <c r="B15" s="64"/>
      <c r="C15" s="64"/>
      <c r="D15" s="64">
        <v>3</v>
      </c>
      <c r="E15" s="64"/>
      <c r="F15" s="64">
        <v>4901</v>
      </c>
      <c r="G15" s="64">
        <v>3</v>
      </c>
      <c r="H15" s="64">
        <v>1</v>
      </c>
      <c r="I15" s="24">
        <v>2</v>
      </c>
      <c r="J15" s="24">
        <v>3</v>
      </c>
      <c r="K15" s="24">
        <v>4</v>
      </c>
      <c r="L15" s="25"/>
      <c r="M15" s="79">
        <v>1</v>
      </c>
      <c r="N15" s="86" t="s">
        <v>53</v>
      </c>
      <c r="O15" s="110" t="s">
        <v>59</v>
      </c>
      <c r="P15" s="110"/>
      <c r="Q15" s="27">
        <v>1488300</v>
      </c>
    </row>
    <row r="16" spans="1:17" ht="17.25" customHeight="1" thickBot="1" x14ac:dyDescent="0.25">
      <c r="A16" s="63">
        <v>42</v>
      </c>
      <c r="B16" s="64"/>
      <c r="C16" s="64"/>
      <c r="D16" s="64">
        <v>3</v>
      </c>
      <c r="E16" s="64"/>
      <c r="F16" s="64">
        <v>4901</v>
      </c>
      <c r="G16" s="64">
        <v>3</v>
      </c>
      <c r="H16" s="64">
        <v>1</v>
      </c>
      <c r="I16" s="24">
        <v>2</v>
      </c>
      <c r="J16" s="24">
        <v>5</v>
      </c>
      <c r="K16" s="24">
        <v>4</v>
      </c>
      <c r="L16" s="25"/>
      <c r="M16" s="79">
        <v>1</v>
      </c>
      <c r="N16" s="86" t="s">
        <v>53</v>
      </c>
      <c r="O16" s="110" t="s">
        <v>124</v>
      </c>
      <c r="P16" s="110"/>
      <c r="Q16" s="27">
        <v>44000</v>
      </c>
    </row>
    <row r="17" spans="1:19" ht="17.25" customHeight="1" x14ac:dyDescent="0.2">
      <c r="A17" s="63">
        <v>42</v>
      </c>
      <c r="B17" s="64"/>
      <c r="C17" s="64"/>
      <c r="D17" s="64">
        <v>3</v>
      </c>
      <c r="E17" s="64"/>
      <c r="F17" s="64">
        <v>4901</v>
      </c>
      <c r="G17" s="64">
        <v>3</v>
      </c>
      <c r="H17" s="64">
        <v>1</v>
      </c>
      <c r="I17" s="29">
        <v>2</v>
      </c>
      <c r="J17" s="29">
        <v>9</v>
      </c>
      <c r="K17" s="29">
        <v>1</v>
      </c>
      <c r="L17" s="29"/>
      <c r="M17" s="31">
        <v>1</v>
      </c>
      <c r="N17" s="32" t="s">
        <v>53</v>
      </c>
      <c r="O17" s="111" t="s">
        <v>125</v>
      </c>
      <c r="P17" s="111"/>
      <c r="Q17" s="27">
        <v>524709</v>
      </c>
      <c r="S17" s="47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45"/>
      <c r="I18" s="24"/>
      <c r="J18" s="24"/>
      <c r="K18" s="24"/>
      <c r="L18" s="24"/>
      <c r="M18" s="25"/>
      <c r="N18" s="46"/>
      <c r="O18" s="115"/>
      <c r="P18" s="110"/>
      <c r="Q18" s="48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0"/>
      <c r="P19" s="110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0"/>
      <c r="P20" s="110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1"/>
      <c r="P21" s="111"/>
      <c r="Q21" s="27"/>
      <c r="R21" s="1"/>
    </row>
    <row r="22" spans="1:19" ht="17.25" customHeight="1" thickBot="1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12"/>
      <c r="P22" s="112"/>
      <c r="Q22" s="36"/>
    </row>
    <row r="23" spans="1:19" ht="34.5" customHeight="1" thickBot="1" x14ac:dyDescent="0.25">
      <c r="A23" s="113" t="s">
        <v>123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49">
        <f>SUM(Q15:Q22)</f>
        <v>2057009</v>
      </c>
    </row>
    <row r="24" spans="1:19" ht="18" customHeight="1" thickBot="1" x14ac:dyDescent="0.2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</row>
    <row r="25" spans="1:19" ht="17.25" customHeight="1" thickBot="1" x14ac:dyDescent="0.25">
      <c r="A25" s="105" t="s">
        <v>47</v>
      </c>
      <c r="B25" s="106"/>
      <c r="C25" s="106"/>
      <c r="D25" s="106"/>
      <c r="E25" s="106"/>
      <c r="F25" s="107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</row>
    <row r="26" spans="1:19" ht="18" customHeight="1" thickBot="1" x14ac:dyDescent="0.25">
      <c r="A26" s="109" t="str">
        <f>"Para la "&amp; NotaPedido!D8 &amp;" para ser destinados a " &amp; NotaPedido!D6 &amp;"  de la Maternidad Provincial 25 de Mayo del Ministerio de Salud."</f>
        <v>Para la Adquisición de elementos de limpieza  para ser destinados a Servicio de Economato   de la Maternidad Provincial 25 de Mayo del Ministerio de Salud.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</row>
    <row r="27" spans="1:19" ht="15" customHeight="1" x14ac:dyDescent="0.2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ARIEL</cp:lastModifiedBy>
  <cp:revision>2</cp:revision>
  <cp:lastPrinted>2021-02-02T14:15:18Z</cp:lastPrinted>
  <dcterms:created xsi:type="dcterms:W3CDTF">2020-07-17T23:44:49Z</dcterms:created>
  <dcterms:modified xsi:type="dcterms:W3CDTF">2021-02-08T13:35:53Z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