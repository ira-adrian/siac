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23DFD5FE-F67E-4FCF-AAAB-29C39DEC93C9}" xr6:coauthVersionLast="46" xr6:coauthVersionMax="46" xr10:uidLastSave="{00000000-0000-0000-0000-000000000000}"/>
  <bookViews>
    <workbookView xWindow="-120" yWindow="-120" windowWidth="29040" windowHeight="15840" xr2:uid="{BC3644BB-92C2-480B-B615-41F8DF0D9075}"/>
  </bookViews>
  <sheets>
    <sheet name="HNE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12" i="1"/>
  <c r="I89" i="1" s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</calcChain>
</file>

<file path=xl/sharedStrings.xml><?xml version="1.0" encoding="utf-8"?>
<sst xmlns="http://schemas.openxmlformats.org/spreadsheetml/2006/main" count="261" uniqueCount="107">
  <si>
    <t>EX2021-00539841- -CAT-DA#HNEP -SMP N° 37</t>
  </si>
  <si>
    <t>TIPO "ELEFIX", PASTA PARA EEG CONDUCTORA Y ADHESIVA DE ELECTRODOS.</t>
  </si>
  <si>
    <t>Descripción técnica</t>
  </si>
  <si>
    <t>Especificidades Item N° 48 Y 49:</t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</si>
  <si>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</si>
  <si>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</si>
  <si>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</si>
  <si>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Plazos y lugares de entrega</t>
  </si>
  <si>
    <t>UNIDAD</t>
  </si>
  <si>
    <t>VENDA ENYESADA X 20 CM X 20 METROS DE FRAGUADO RAPIDO</t>
  </si>
  <si>
    <t>PROD. MEDICO/FARMACEUTICOS/LAB</t>
  </si>
  <si>
    <t>VENDA ENYESADA X 15 CM X 20 METROS DE FRAGUADO RAPIDO</t>
  </si>
  <si>
    <t>VENDA ENYESADA X 10 CM X 20 METROS DE FRAGUADO RAPIDO</t>
  </si>
  <si>
    <t>VENDA ELASTICA 10 CM.ROLLO X 25MTS.</t>
  </si>
  <si>
    <t>VENDA CAMBRIC 10 CM</t>
  </si>
  <si>
    <t>VENDA CAMBRIC  7 CM</t>
  </si>
  <si>
    <t>VENDA CAMBRIC  5 CM</t>
  </si>
  <si>
    <t>TUBO ENDOTRAQ.S/B Nº5-1/2</t>
  </si>
  <si>
    <t>TUBO ENDOTRAQ.S/B Nº5-0</t>
  </si>
  <si>
    <t>TUBO ENDOTRAQ.S/B Nº4-1/2</t>
  </si>
  <si>
    <t>TUBO ENDOTRAQ.S/B Nº4-0</t>
  </si>
  <si>
    <t>TUBO ENDOTRAQ.S/B Nº2-5</t>
  </si>
  <si>
    <t>TUBO ENDOTRAQ.S/B N°6-5</t>
  </si>
  <si>
    <t>TUBO ENDOTRAQ.S/B N°6-0</t>
  </si>
  <si>
    <t>TUBO ENDOTRAQ.C/B Nº2-5</t>
  </si>
  <si>
    <t>TUBO DE LATEX  3 X 5 X METRO</t>
  </si>
  <si>
    <t>TELA ADHESIVA HIPOALERGENICA TRANSPORE 5 CM</t>
  </si>
  <si>
    <t xml:space="preserve">TELA ADHESIVA 5 MM X 9.00 MTS </t>
  </si>
  <si>
    <t>SONDA NELATON DE GOMA Nº 18</t>
  </si>
  <si>
    <t>SONDA NELATON DE GOMA Nº 16</t>
  </si>
  <si>
    <t>SONDA NELATON DE GOMA Nº 14</t>
  </si>
  <si>
    <t>SONDA NELATON DE GOMA Nº 10</t>
  </si>
  <si>
    <t>SONDA NELATON DE GOMA Nº  8</t>
  </si>
  <si>
    <t>SONDA FOLEY 2V SILICONA EST.Nº12</t>
  </si>
  <si>
    <t>SONDA FOLEY 2V SILICONA EST.Nº10</t>
  </si>
  <si>
    <t>SONDA FOLEY 2V SILICONA EST.Nº 8</t>
  </si>
  <si>
    <t>SONDA FOLEY 2V SILICONA EST. Nº6</t>
  </si>
  <si>
    <t>PROLONGADOR 50 CM DE LARGO PVC PT-2605 T/KOLER</t>
  </si>
  <si>
    <t>PROLONGADOR 30 CM.T/PT 2603 T/KOLER</t>
  </si>
  <si>
    <t>PASTA CONDUCTORA PARA ELECTRODOS X 400 GRS</t>
  </si>
  <si>
    <t>PASTA CONDUCTORA PARA ELECTRODOS X 250 GRS</t>
  </si>
  <si>
    <t>PAPEL PARA ELECTROCARDIOGRAMA 50 X 30</t>
  </si>
  <si>
    <t>PAPEL PARA ECOGRAFIA TIPO UPP 110 S SONY</t>
  </si>
  <si>
    <t>PAPEL PARA ARCO EN C TIPO SONY UPP 210</t>
  </si>
  <si>
    <t>PAPEL ECG ESAOTE RESMA 80X70 MM</t>
  </si>
  <si>
    <t>PAÑAL DESCARTABLE NINOS TAMANO PEQUENO</t>
  </si>
  <si>
    <t>PAÑAL DESCARTABLE NINOS TAMANO MEDIANO</t>
  </si>
  <si>
    <t>PAÑAL DESCARTABLE NINOS TAMANO GRANDE</t>
  </si>
  <si>
    <t>PAÑAL DESCARTABLE NIÑOS TAMAÑO EXT GRANDE</t>
  </si>
  <si>
    <t>PAÑAL DESCARTABLE ADULTO XG</t>
  </si>
  <si>
    <t>MANOPLAS DE POLIETILENO X 100</t>
  </si>
  <si>
    <t>MAMADERA DE VIDRIO X 250 ML.X 1 FLAVIA</t>
  </si>
  <si>
    <t>JERINGA DESCARTABLES DE  2.5 CC S/AGUJA</t>
  </si>
  <si>
    <t>JERINGA DESCARTABLE PARA TUBERCULINA 1 CC S/ AGUJA</t>
  </si>
  <si>
    <t xml:space="preserve">JERINGA DESCARTABLE PARA INSULINA 100 UI CON AGUJA </t>
  </si>
  <si>
    <t>JERINGA DESCARTABLE DE 60 CC S/ AGUJA</t>
  </si>
  <si>
    <t>JERINGA DESCARTABLE DE 5 CC S/AGUJA</t>
  </si>
  <si>
    <t>JERINGA DESCARTABLE DE 20CC  S/AGUJA</t>
  </si>
  <si>
    <t>JERINGA DESCARTABLE DE 10 CC S/AGUJA</t>
  </si>
  <si>
    <t>JERINGA DESCARTABLE 60 CC PICO THOMEY</t>
  </si>
  <si>
    <t xml:space="preserve">HOJA DE BISTURI Nº22 </t>
  </si>
  <si>
    <t xml:space="preserve">HOJA DE BISTURI Nº10 </t>
  </si>
  <si>
    <t>HOJA DE BISTURI Nº 24</t>
  </si>
  <si>
    <t>HOJA DE BISTURI Nº 23</t>
  </si>
  <si>
    <t>HOJA DE BISTURI Nº 15</t>
  </si>
  <si>
    <t>HOJA DE BISTURI Nº 11</t>
  </si>
  <si>
    <t>GUIA PARA BOMBA TIPO SET PRIMARIO PLUM HOSPIRA</t>
  </si>
  <si>
    <t>GUIA ALIMENTACION BIOM-14E X 1</t>
  </si>
  <si>
    <t>GUANTES DE NITRILO TAMAÑO M X 100</t>
  </si>
  <si>
    <t>GUANTES DE NITRILO TAMAÑO L X 100</t>
  </si>
  <si>
    <t>GUANTES DE NITRILO TALLE S X 100 UNID.</t>
  </si>
  <si>
    <t>GEL BASE PARA ECOGRAFIA X 1 KG</t>
  </si>
  <si>
    <t>FORMOL 40% ENVASE X 1 LITRO</t>
  </si>
  <si>
    <t>ENVASE COLECTOR DE ORINA X 125 ML</t>
  </si>
  <si>
    <t xml:space="preserve">ELECTRODO DESCARTABLE ADULTO </t>
  </si>
  <si>
    <t>DESCARTADOR DE AGUJAS X 2 LITRO</t>
  </si>
  <si>
    <t>CONTENEDOR ALIMENTACION 250CC T/DEALER (BIOM) X 1</t>
  </si>
  <si>
    <t>COLECTORES DE ORINA PEDIATRICO BOLSA X 1</t>
  </si>
  <si>
    <t>CAMISOLIN DESCARTABLE DE TELA SMS 30 GRAMOS CON MANGA Y PUÑOS DE 1,4 M DE LARGO</t>
  </si>
  <si>
    <t>CAL SODADA X KG</t>
  </si>
  <si>
    <t>ALGODON X 500 GR</t>
  </si>
  <si>
    <t>AGUJA HIPODERMICA DESCARTABLE 50/8</t>
  </si>
  <si>
    <t>AGUJA HIPODERMICA DESCARTABLE 40/8</t>
  </si>
  <si>
    <t>AGUJA HIPODERMICA DESCARTABLE 40/12</t>
  </si>
  <si>
    <t>AGUJA HIPODERMICA DESCARTABLE 25/8</t>
  </si>
  <si>
    <t>AGUJA HIPODERMICA DESCARTABLE 16/5</t>
  </si>
  <si>
    <t xml:space="preserve">AGUJA DESC.25G X 5/8. 0,5 X16MM </t>
  </si>
  <si>
    <t>AGUJA DESC.21G X 1/0,8 X 25MM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</si>
  <si>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</si>
  <si>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</si>
  <si>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</si>
  <si>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</si>
  <si>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</si>
  <si>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</si>
  <si>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</si>
  <si>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</si>
  <si>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</si>
  <si>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</si>
  <si>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terumo</t>
  </si>
  <si>
    <t>EJERCICIO:</t>
  </si>
  <si>
    <t xml:space="preserve"> </t>
  </si>
  <si>
    <t>024 - Hospital Interzonal de Niños</t>
  </si>
  <si>
    <t xml:space="preserve">SAF N°: </t>
  </si>
  <si>
    <t>040 - Ministerio de Salud</t>
  </si>
  <si>
    <t>JURISDICCION:</t>
  </si>
  <si>
    <t>Pedido de Necesidades Trimestrales</t>
  </si>
  <si>
    <t>NO-2021-00674192-CAT-HNEP#MS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</si>
</sst>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[$$-2C0A]\ #,##0.00;[$$-2C0A]&quot; -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NewRomanPSMT"/>
    </font>
    <font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6" fillId="0" borderId="0"/>
    <xf numFmtId="0" fontId="6" fillId="0" borderId="0"/>
  </cellStyleXfs>
  <cellXfs count="59">
    <xf numFmtId="0" fontId="0" fillId="0" borderId="0" xfId="0"/>
    <xf numFmtId="0" fontId="0" fillId="3" borderId="0" xfId="0" applyFill="1"/>
    <xf numFmtId="0" fontId="2" fillId="3" borderId="0" xfId="0" applyFont="1" applyFill="1"/>
    <xf numFmtId="0" fontId="3" fillId="0" borderId="0" xfId="0" applyFont="1"/>
    <xf numFmtId="164" fontId="4" fillId="0" borderId="0" xfId="0" applyNumberFormat="1" applyFont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/>
    <xf numFmtId="0" fontId="5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5" fillId="0" borderId="8" xfId="0" applyFont="1" applyBorder="1"/>
    <xf numFmtId="0" fontId="3" fillId="0" borderId="5" xfId="0" applyFont="1" applyBorder="1"/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4" borderId="4" xfId="3" applyFont="1" applyFill="1" applyBorder="1" applyAlignment="1">
      <alignment horizontal="left" wrapText="1"/>
    </xf>
    <xf numFmtId="0" fontId="3" fillId="4" borderId="0" xfId="3" applyFont="1" applyFill="1" applyAlignment="1">
      <alignment horizontal="left" wrapText="1"/>
    </xf>
    <xf numFmtId="0" fontId="3" fillId="4" borderId="5" xfId="3" applyFont="1" applyFill="1" applyBorder="1" applyAlignment="1">
      <alignment horizontal="left" wrapText="1"/>
    </xf>
    <xf numFmtId="165" fontId="3" fillId="0" borderId="0" xfId="0" applyNumberFormat="1" applyFont="1"/>
    <xf numFmtId="0" fontId="5" fillId="0" borderId="8" xfId="0" applyFont="1" applyBorder="1" applyAlignment="1">
      <alignment horizontal="left" indent="3"/>
    </xf>
    <xf numFmtId="165" fontId="4" fillId="4" borderId="9" xfId="1" applyNumberFormat="1" applyFont="1" applyFill="1" applyBorder="1" applyAlignment="1" applyProtection="1">
      <alignment horizontal="right" vertical="center" wrapText="1"/>
    </xf>
    <xf numFmtId="164" fontId="7" fillId="5" borderId="10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left" vertical="top" wrapText="1"/>
    </xf>
    <xf numFmtId="0" fontId="0" fillId="0" borderId="10" xfId="0" applyBorder="1"/>
    <xf numFmtId="0" fontId="4" fillId="0" borderId="12" xfId="0" applyFont="1" applyBorder="1" applyAlignment="1">
      <alignment horizontal="center" vertical="center"/>
    </xf>
    <xf numFmtId="0" fontId="8" fillId="5" borderId="10" xfId="0" applyFont="1" applyFill="1" applyBorder="1" applyAlignment="1">
      <alignment horizontal="left" vertical="center" wrapText="1"/>
    </xf>
    <xf numFmtId="0" fontId="3" fillId="0" borderId="10" xfId="4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/>
    </xf>
    <xf numFmtId="164" fontId="9" fillId="5" borderId="10" xfId="2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left" vertical="center" wrapText="1"/>
    </xf>
    <xf numFmtId="0" fontId="8" fillId="5" borderId="13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left" vertical="center" wrapText="1"/>
    </xf>
    <xf numFmtId="0" fontId="8" fillId="5" borderId="10" xfId="0" applyFont="1" applyFill="1" applyBorder="1" applyAlignment="1">
      <alignment horizontal="left" vertical="center"/>
    </xf>
    <xf numFmtId="164" fontId="10" fillId="4" borderId="10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 wrapText="1"/>
    </xf>
    <xf numFmtId="164" fontId="10" fillId="5" borderId="10" xfId="0" applyNumberFormat="1" applyFont="1" applyFill="1" applyBorder="1" applyAlignment="1">
      <alignment horizontal="center" vertical="center" wrapText="1"/>
    </xf>
    <xf numFmtId="165" fontId="4" fillId="4" borderId="14" xfId="1" applyNumberFormat="1" applyFont="1" applyFill="1" applyBorder="1" applyAlignment="1" applyProtection="1">
      <alignment horizontal="right" vertical="center" wrapText="1"/>
    </xf>
    <xf numFmtId="0" fontId="0" fillId="0" borderId="15" xfId="0" applyBorder="1"/>
    <xf numFmtId="0" fontId="4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164" fontId="12" fillId="0" borderId="17" xfId="0" applyNumberFormat="1" applyFont="1" applyBorder="1" applyAlignment="1">
      <alignment horizontal="center" vertical="center" wrapText="1"/>
    </xf>
    <xf numFmtId="164" fontId="13" fillId="0" borderId="0" xfId="0" applyNumberFormat="1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11" fillId="5" borderId="0" xfId="0" applyFont="1" applyFill="1" applyAlignment="1">
      <alignment horizontal="left" wrapText="1"/>
    </xf>
    <xf numFmtId="0" fontId="14" fillId="4" borderId="0" xfId="0" applyFont="1" applyFill="1" applyAlignment="1">
      <alignment horizontal="left" wrapText="1" indent="1"/>
    </xf>
    <xf numFmtId="0" fontId="15" fillId="0" borderId="0" xfId="0" applyFont="1" applyAlignment="1">
      <alignment horizontal="left" vertical="center" wrapText="1"/>
    </xf>
    <xf numFmtId="0" fontId="14" fillId="4" borderId="0" xfId="0" applyFont="1" applyFill="1" applyAlignment="1">
      <alignment horizontal="left" wrapText="1" indent="1"/>
    </xf>
    <xf numFmtId="0" fontId="16" fillId="0" borderId="0" xfId="0" applyFont="1" applyAlignment="1">
      <alignment horizontal="center"/>
    </xf>
    <xf numFmtId="0" fontId="17" fillId="0" borderId="0" xfId="0" applyFont="1"/>
  </cellXfs>
  <cellStyles count="5">
    <cellStyle name="20% - Énfasis2" xfId="2" builtinId="34"/>
    <cellStyle name="Moneda" xfId="1" builtinId="4"/>
    <cellStyle name="Normal" xfId="0" builtinId="0"/>
    <cellStyle name="Normal 2 2" xfId="4" xr:uid="{DC83BDAB-A3E8-4D6B-8E4E-F64F025196E2}"/>
    <cellStyle name="Normal 2 3" xfId="3" xr:uid="{75B045C1-8A6B-48E3-8FFE-8C6BEA75B5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796B-04F1-418E-9051-CEE6BDC1E89C}">
  <dimension ref="A1:I102"/>
  <sheetViews>
    <sheetView tabSelected="1" workbookViewId="0"/>
  </sheetViews>
  <sheetFormatPr baseColWidth="10" defaultRowHeight="15"/>
  <cols>
    <col min="1" max="1" width="6.42578125" customWidth="1"/>
    <col min="2" max="2" width="11.140625" customWidth="1"/>
    <col min="3" max="3" width="28.42578125" customWidth="1"/>
    <col min="4" max="4" width="8.42578125" customWidth="1"/>
    <col min="5" max="5" width="57.7109375" customWidth="1"/>
    <col min="7" max="7" width="10.42578125" bestFit="1" customWidth="1"/>
    <col min="8" max="8" width="13.85546875" customWidth="1"/>
    <col min="9" max="9" width="18.5703125" customWidth="1"/>
  </cols>
  <sheetData>
    <row r="1" spans="1:9" ht="21">
      <c r="A1" s="58" t="s">
        <v>106</v>
      </c>
    </row>
    <row r="3" spans="1:9" ht="27">
      <c r="A3" s="3"/>
      <c r="B3" s="57" t="s">
        <v>105</v>
      </c>
      <c r="C3" s="57"/>
      <c r="D3" s="57"/>
      <c r="E3" s="57"/>
      <c r="F3" s="57"/>
      <c r="G3" s="57"/>
      <c r="H3" s="57"/>
      <c r="I3" s="3"/>
    </row>
    <row r="4" spans="1:9">
      <c r="A4" s="3"/>
      <c r="B4" s="3"/>
      <c r="C4" s="3"/>
      <c r="D4" s="3"/>
      <c r="E4" s="3"/>
      <c r="F4" s="3"/>
      <c r="G4" s="3"/>
      <c r="H4" s="4"/>
      <c r="I4" s="3"/>
    </row>
    <row r="5" spans="1:9" ht="15.75">
      <c r="A5" s="55" t="s">
        <v>104</v>
      </c>
      <c r="B5" s="55"/>
      <c r="C5" s="56" t="s">
        <v>103</v>
      </c>
      <c r="D5" s="56"/>
      <c r="E5" s="56"/>
      <c r="F5" s="52"/>
      <c r="G5" s="51"/>
      <c r="H5" s="50"/>
      <c r="I5" s="3"/>
    </row>
    <row r="6" spans="1:9" ht="15.75">
      <c r="A6" s="55" t="s">
        <v>102</v>
      </c>
      <c r="B6" s="55"/>
      <c r="C6" s="56" t="s">
        <v>101</v>
      </c>
      <c r="D6" s="56"/>
      <c r="E6" s="56"/>
      <c r="F6" s="52"/>
      <c r="G6" s="51" t="s">
        <v>100</v>
      </c>
      <c r="H6" s="50"/>
      <c r="I6" s="3"/>
    </row>
    <row r="7" spans="1:9" ht="15.75">
      <c r="A7" s="55" t="s">
        <v>99</v>
      </c>
      <c r="B7" s="55"/>
      <c r="C7" s="54">
        <v>2021</v>
      </c>
      <c r="D7" s="53"/>
      <c r="E7" s="53"/>
      <c r="F7" s="52"/>
      <c r="G7" s="51" t="s">
        <v>98</v>
      </c>
      <c r="H7" s="50"/>
      <c r="I7" s="3"/>
    </row>
    <row r="8" spans="1:9" ht="15.75">
      <c r="A8" s="55" t="s">
        <v>97</v>
      </c>
      <c r="B8" s="55"/>
      <c r="C8" s="54">
        <v>3</v>
      </c>
      <c r="D8" s="53"/>
      <c r="E8" s="53"/>
      <c r="F8" s="52"/>
      <c r="G8" s="51"/>
      <c r="H8" s="50"/>
      <c r="I8" s="3"/>
    </row>
    <row r="9" spans="1:9" ht="15.75" thickBot="1">
      <c r="A9" s="3"/>
      <c r="B9" s="52"/>
      <c r="C9" s="51"/>
      <c r="D9" s="52"/>
      <c r="E9" s="52"/>
      <c r="F9" s="52"/>
      <c r="G9" s="51"/>
      <c r="H9" s="50"/>
      <c r="I9" s="3"/>
    </row>
    <row r="10" spans="1:9" ht="36.75" thickBot="1">
      <c r="A10" s="48" t="s">
        <v>96</v>
      </c>
      <c r="B10" s="48" t="s">
        <v>95</v>
      </c>
      <c r="C10" s="48" t="s">
        <v>94</v>
      </c>
      <c r="D10" s="48" t="s">
        <v>93</v>
      </c>
      <c r="E10" s="48" t="s">
        <v>92</v>
      </c>
      <c r="F10" s="48" t="s">
        <v>91</v>
      </c>
      <c r="G10" s="48" t="s">
        <v>90</v>
      </c>
      <c r="H10" s="49" t="s">
        <v>89</v>
      </c>
      <c r="I10" s="48" t="s">
        <v>88</v>
      </c>
    </row>
    <row r="11" spans="1:9" ht="25.5">
      <c r="A11" s="47">
        <v>1</v>
      </c>
      <c r="B11" s="46"/>
      <c r="C11" s="27" t="s">
        <v>10</v>
      </c>
      <c r="D11" s="26">
        <v>295</v>
      </c>
      <c r="E11" s="39" t="s">
        <v>87</v>
      </c>
      <c r="F11" s="24" t="s">
        <v>8</v>
      </c>
      <c r="G11" s="36">
        <v>30000</v>
      </c>
      <c r="H11" s="44">
        <v>1.82</v>
      </c>
      <c r="I11" s="45">
        <f>+G11*H11</f>
        <v>54600</v>
      </c>
    </row>
    <row r="12" spans="1:9" ht="25.5">
      <c r="A12" s="29">
        <v>2</v>
      </c>
      <c r="B12" s="28"/>
      <c r="C12" s="27" t="s">
        <v>10</v>
      </c>
      <c r="D12" s="26">
        <v>295</v>
      </c>
      <c r="E12" s="35" t="s">
        <v>86</v>
      </c>
      <c r="F12" s="24" t="s">
        <v>8</v>
      </c>
      <c r="G12" s="23">
        <v>2500</v>
      </c>
      <c r="H12" s="44">
        <v>1.82</v>
      </c>
      <c r="I12" s="21">
        <f>+G12*H12</f>
        <v>4550</v>
      </c>
    </row>
    <row r="13" spans="1:9" ht="25.5">
      <c r="A13" s="29">
        <v>3</v>
      </c>
      <c r="B13" s="28"/>
      <c r="C13" s="27" t="s">
        <v>10</v>
      </c>
      <c r="D13" s="26">
        <v>295</v>
      </c>
      <c r="E13" s="25" t="s">
        <v>85</v>
      </c>
      <c r="F13" s="24" t="s">
        <v>8</v>
      </c>
      <c r="G13" s="33">
        <v>40000</v>
      </c>
      <c r="H13" s="34">
        <v>1.82</v>
      </c>
      <c r="I13" s="21">
        <f>+G13*H13</f>
        <v>72800</v>
      </c>
    </row>
    <row r="14" spans="1:9" ht="25.5">
      <c r="A14" s="29">
        <v>4</v>
      </c>
      <c r="B14" s="28"/>
      <c r="C14" s="27" t="s">
        <v>10</v>
      </c>
      <c r="D14" s="26">
        <v>295</v>
      </c>
      <c r="E14" s="32" t="s">
        <v>84</v>
      </c>
      <c r="F14" s="24" t="s">
        <v>8</v>
      </c>
      <c r="G14" s="31">
        <v>50000</v>
      </c>
      <c r="H14" s="34">
        <v>1.82</v>
      </c>
      <c r="I14" s="21">
        <f>+G14*H14</f>
        <v>91000</v>
      </c>
    </row>
    <row r="15" spans="1:9" ht="25.5">
      <c r="A15" s="29">
        <v>5</v>
      </c>
      <c r="B15" s="28"/>
      <c r="C15" s="27" t="s">
        <v>10</v>
      </c>
      <c r="D15" s="26">
        <v>295</v>
      </c>
      <c r="E15" s="30" t="s">
        <v>83</v>
      </c>
      <c r="F15" s="24" t="s">
        <v>8</v>
      </c>
      <c r="G15" s="23">
        <v>500</v>
      </c>
      <c r="H15" s="34">
        <v>1.82</v>
      </c>
      <c r="I15" s="21">
        <f>+G15*H15</f>
        <v>910</v>
      </c>
    </row>
    <row r="16" spans="1:9" ht="25.5">
      <c r="A16" s="29">
        <v>6</v>
      </c>
      <c r="B16" s="28"/>
      <c r="C16" s="27" t="s">
        <v>10</v>
      </c>
      <c r="D16" s="26">
        <v>295</v>
      </c>
      <c r="E16" s="25" t="s">
        <v>82</v>
      </c>
      <c r="F16" s="24" t="s">
        <v>8</v>
      </c>
      <c r="G16" s="23">
        <v>30000</v>
      </c>
      <c r="H16" s="34">
        <v>1.82</v>
      </c>
      <c r="I16" s="21">
        <f>+G16*H16</f>
        <v>54600</v>
      </c>
    </row>
    <row r="17" spans="1:9" ht="25.5">
      <c r="A17" s="29">
        <v>7</v>
      </c>
      <c r="B17" s="28"/>
      <c r="C17" s="27" t="s">
        <v>10</v>
      </c>
      <c r="D17" s="26">
        <v>295</v>
      </c>
      <c r="E17" s="40" t="s">
        <v>81</v>
      </c>
      <c r="F17" s="24" t="s">
        <v>8</v>
      </c>
      <c r="G17" s="23">
        <v>500</v>
      </c>
      <c r="H17" s="34">
        <v>2.64</v>
      </c>
      <c r="I17" s="21">
        <f>+G17*H17</f>
        <v>1320</v>
      </c>
    </row>
    <row r="18" spans="1:9" ht="25.5">
      <c r="A18" s="29">
        <v>8</v>
      </c>
      <c r="B18" s="28"/>
      <c r="C18" s="27" t="s">
        <v>10</v>
      </c>
      <c r="D18" s="26">
        <v>295</v>
      </c>
      <c r="E18" s="39" t="s">
        <v>80</v>
      </c>
      <c r="F18" s="24" t="s">
        <v>8</v>
      </c>
      <c r="G18" s="36">
        <v>800</v>
      </c>
      <c r="H18" s="34">
        <v>280</v>
      </c>
      <c r="I18" s="21">
        <f>+G18*H18</f>
        <v>224000</v>
      </c>
    </row>
    <row r="19" spans="1:9" ht="25.5">
      <c r="A19" s="29">
        <v>9</v>
      </c>
      <c r="B19" s="28"/>
      <c r="C19" s="27" t="s">
        <v>10</v>
      </c>
      <c r="D19" s="26">
        <v>251</v>
      </c>
      <c r="E19" s="35" t="s">
        <v>79</v>
      </c>
      <c r="F19" s="24" t="s">
        <v>8</v>
      </c>
      <c r="G19" s="23">
        <v>20</v>
      </c>
      <c r="H19" s="34">
        <v>230</v>
      </c>
      <c r="I19" s="21">
        <f>+G19*H19</f>
        <v>4600</v>
      </c>
    </row>
    <row r="20" spans="1:9" ht="25.5">
      <c r="A20" s="29">
        <v>10</v>
      </c>
      <c r="B20" s="28"/>
      <c r="C20" s="27" t="s">
        <v>10</v>
      </c>
      <c r="D20" s="26">
        <v>295</v>
      </c>
      <c r="E20" s="30" t="s">
        <v>78</v>
      </c>
      <c r="F20" s="24" t="s">
        <v>8</v>
      </c>
      <c r="G20" s="23">
        <v>5000</v>
      </c>
      <c r="H20" s="41">
        <v>85</v>
      </c>
      <c r="I20" s="21">
        <f>+G20*H20</f>
        <v>425000</v>
      </c>
    </row>
    <row r="21" spans="1:9" ht="25.5">
      <c r="A21" s="29">
        <v>11</v>
      </c>
      <c r="B21" s="28"/>
      <c r="C21" s="27" t="s">
        <v>10</v>
      </c>
      <c r="D21" s="26">
        <v>295</v>
      </c>
      <c r="E21" s="25" t="s">
        <v>77</v>
      </c>
      <c r="F21" s="24" t="s">
        <v>8</v>
      </c>
      <c r="G21" s="33">
        <v>2000</v>
      </c>
      <c r="H21" s="22">
        <v>29</v>
      </c>
      <c r="I21" s="21">
        <f>+G21*H21</f>
        <v>58000</v>
      </c>
    </row>
    <row r="22" spans="1:9" ht="25.5">
      <c r="A22" s="29">
        <v>12</v>
      </c>
      <c r="B22" s="28"/>
      <c r="C22" s="27" t="s">
        <v>10</v>
      </c>
      <c r="D22" s="26">
        <v>295</v>
      </c>
      <c r="E22" s="32" t="s">
        <v>76</v>
      </c>
      <c r="F22" s="24" t="s">
        <v>8</v>
      </c>
      <c r="G22" s="31">
        <v>100</v>
      </c>
      <c r="H22" s="22">
        <v>125</v>
      </c>
      <c r="I22" s="21">
        <f>+G22*H22</f>
        <v>12500</v>
      </c>
    </row>
    <row r="23" spans="1:9" ht="25.5">
      <c r="A23" s="29">
        <v>13</v>
      </c>
      <c r="B23" s="28"/>
      <c r="C23" s="27" t="s">
        <v>10</v>
      </c>
      <c r="D23" s="26">
        <v>295</v>
      </c>
      <c r="E23" s="30" t="s">
        <v>75</v>
      </c>
      <c r="F23" s="24" t="s">
        <v>8</v>
      </c>
      <c r="G23" s="23">
        <v>1000</v>
      </c>
      <c r="H23" s="34">
        <v>190</v>
      </c>
      <c r="I23" s="21">
        <f>+G23*H23</f>
        <v>190000</v>
      </c>
    </row>
    <row r="24" spans="1:9" ht="25.5">
      <c r="A24" s="29">
        <v>14</v>
      </c>
      <c r="B24" s="28"/>
      <c r="C24" s="27" t="s">
        <v>10</v>
      </c>
      <c r="D24" s="26">
        <v>295</v>
      </c>
      <c r="E24" s="25" t="s">
        <v>74</v>
      </c>
      <c r="F24" s="24" t="s">
        <v>8</v>
      </c>
      <c r="G24" s="23">
        <v>5000</v>
      </c>
      <c r="H24" s="34">
        <v>9.4</v>
      </c>
      <c r="I24" s="21">
        <f>+G24*H24</f>
        <v>47000</v>
      </c>
    </row>
    <row r="25" spans="1:9" ht="25.5">
      <c r="A25" s="29">
        <v>15</v>
      </c>
      <c r="B25" s="28"/>
      <c r="C25" s="27" t="s">
        <v>10</v>
      </c>
      <c r="D25" s="26">
        <v>295</v>
      </c>
      <c r="E25" s="40" t="s">
        <v>73</v>
      </c>
      <c r="F25" s="24" t="s">
        <v>8</v>
      </c>
      <c r="G25" s="23">
        <v>3000</v>
      </c>
      <c r="H25" s="34">
        <v>40</v>
      </c>
      <c r="I25" s="21">
        <f>+G25*H25</f>
        <v>120000</v>
      </c>
    </row>
    <row r="26" spans="1:9" ht="25.5">
      <c r="A26" s="29">
        <v>16</v>
      </c>
      <c r="B26" s="28"/>
      <c r="C26" s="27" t="s">
        <v>10</v>
      </c>
      <c r="D26" s="26">
        <v>295</v>
      </c>
      <c r="E26" s="39" t="s">
        <v>72</v>
      </c>
      <c r="F26" s="24" t="s">
        <v>8</v>
      </c>
      <c r="G26" s="36">
        <v>15</v>
      </c>
      <c r="H26" s="22">
        <v>420</v>
      </c>
      <c r="I26" s="21">
        <f>+G26*H26</f>
        <v>6300</v>
      </c>
    </row>
    <row r="27" spans="1:9" ht="25.5">
      <c r="A27" s="29">
        <v>17</v>
      </c>
      <c r="B27" s="28"/>
      <c r="C27" s="27" t="s">
        <v>10</v>
      </c>
      <c r="D27" s="26">
        <v>252</v>
      </c>
      <c r="E27" s="35" t="s">
        <v>71</v>
      </c>
      <c r="F27" s="24" t="s">
        <v>8</v>
      </c>
      <c r="G27" s="23">
        <v>20</v>
      </c>
      <c r="H27" s="34">
        <v>295</v>
      </c>
      <c r="I27" s="21">
        <f>+G27*H27</f>
        <v>5900</v>
      </c>
    </row>
    <row r="28" spans="1:9" ht="25.5">
      <c r="A28" s="29">
        <v>18</v>
      </c>
      <c r="B28" s="28"/>
      <c r="C28" s="27" t="s">
        <v>10</v>
      </c>
      <c r="D28" s="26">
        <v>295</v>
      </c>
      <c r="E28" s="30" t="s">
        <v>70</v>
      </c>
      <c r="F28" s="24" t="s">
        <v>8</v>
      </c>
      <c r="G28" s="23">
        <v>100</v>
      </c>
      <c r="H28" s="22">
        <v>2455</v>
      </c>
      <c r="I28" s="21">
        <f>+G28*H28</f>
        <v>245500</v>
      </c>
    </row>
    <row r="29" spans="1:9" ht="25.5">
      <c r="A29" s="29">
        <v>19</v>
      </c>
      <c r="B29" s="28"/>
      <c r="C29" s="27" t="s">
        <v>10</v>
      </c>
      <c r="D29" s="26">
        <v>295</v>
      </c>
      <c r="E29" s="25" t="s">
        <v>69</v>
      </c>
      <c r="F29" s="24" t="s">
        <v>8</v>
      </c>
      <c r="G29" s="23">
        <v>100</v>
      </c>
      <c r="H29" s="22">
        <v>2455</v>
      </c>
      <c r="I29" s="21">
        <f>+G29*H29</f>
        <v>245500</v>
      </c>
    </row>
    <row r="30" spans="1:9" ht="25.5">
      <c r="A30" s="29">
        <v>20</v>
      </c>
      <c r="B30" s="28"/>
      <c r="C30" s="27" t="s">
        <v>10</v>
      </c>
      <c r="D30" s="26">
        <v>295</v>
      </c>
      <c r="E30" s="35" t="s">
        <v>68</v>
      </c>
      <c r="F30" s="24" t="s">
        <v>8</v>
      </c>
      <c r="G30" s="23">
        <v>100</v>
      </c>
      <c r="H30" s="22">
        <v>2455</v>
      </c>
      <c r="I30" s="21">
        <f>+G30*H30</f>
        <v>245500</v>
      </c>
    </row>
    <row r="31" spans="1:9" ht="25.5">
      <c r="A31" s="29">
        <v>21</v>
      </c>
      <c r="B31" s="28"/>
      <c r="C31" s="27" t="s">
        <v>10</v>
      </c>
      <c r="D31" s="26">
        <v>295</v>
      </c>
      <c r="E31" s="25" t="s">
        <v>67</v>
      </c>
      <c r="F31" s="24" t="s">
        <v>8</v>
      </c>
      <c r="G31" s="33">
        <v>100</v>
      </c>
      <c r="H31" s="22">
        <v>250</v>
      </c>
      <c r="I31" s="21">
        <f>+G31*H31</f>
        <v>25000</v>
      </c>
    </row>
    <row r="32" spans="1:9" ht="25.5">
      <c r="A32" s="29">
        <v>22</v>
      </c>
      <c r="B32" s="28"/>
      <c r="C32" s="27" t="s">
        <v>10</v>
      </c>
      <c r="D32" s="26">
        <v>295</v>
      </c>
      <c r="E32" s="32" t="s">
        <v>66</v>
      </c>
      <c r="F32" s="24" t="s">
        <v>8</v>
      </c>
      <c r="G32" s="31">
        <v>1200</v>
      </c>
      <c r="H32" s="34">
        <v>650</v>
      </c>
      <c r="I32" s="21">
        <f>+G32*H32</f>
        <v>780000</v>
      </c>
    </row>
    <row r="33" spans="1:9" ht="25.5">
      <c r="A33" s="29">
        <v>23</v>
      </c>
      <c r="B33" s="28"/>
      <c r="C33" s="27" t="s">
        <v>10</v>
      </c>
      <c r="D33" s="26">
        <v>295</v>
      </c>
      <c r="E33" s="30" t="s">
        <v>65</v>
      </c>
      <c r="F33" s="24" t="s">
        <v>8</v>
      </c>
      <c r="G33" s="23">
        <v>1000</v>
      </c>
      <c r="H33" s="34">
        <v>5.8</v>
      </c>
      <c r="I33" s="21">
        <f>+G33*H33</f>
        <v>5800</v>
      </c>
    </row>
    <row r="34" spans="1:9" ht="25.5">
      <c r="A34" s="29">
        <v>24</v>
      </c>
      <c r="B34" s="28"/>
      <c r="C34" s="27" t="s">
        <v>10</v>
      </c>
      <c r="D34" s="26">
        <v>295</v>
      </c>
      <c r="E34" s="30" t="s">
        <v>64</v>
      </c>
      <c r="F34" s="24" t="s">
        <v>8</v>
      </c>
      <c r="G34" s="23">
        <v>1000</v>
      </c>
      <c r="H34" s="34">
        <v>5.8</v>
      </c>
      <c r="I34" s="21">
        <f>+G34*H34</f>
        <v>5800</v>
      </c>
    </row>
    <row r="35" spans="1:9" ht="25.5">
      <c r="A35" s="29">
        <v>25</v>
      </c>
      <c r="B35" s="28"/>
      <c r="C35" s="27" t="s">
        <v>10</v>
      </c>
      <c r="D35" s="26">
        <v>295</v>
      </c>
      <c r="E35" s="35" t="s">
        <v>63</v>
      </c>
      <c r="F35" s="24" t="s">
        <v>8</v>
      </c>
      <c r="G35" s="23">
        <v>1500</v>
      </c>
      <c r="H35" s="34">
        <v>5.8</v>
      </c>
      <c r="I35" s="21">
        <f>+G35*H35</f>
        <v>8700</v>
      </c>
    </row>
    <row r="36" spans="1:9" ht="25.5">
      <c r="A36" s="29">
        <v>26</v>
      </c>
      <c r="B36" s="28"/>
      <c r="C36" s="27" t="s">
        <v>10</v>
      </c>
      <c r="D36" s="26">
        <v>295</v>
      </c>
      <c r="E36" s="25" t="s">
        <v>62</v>
      </c>
      <c r="F36" s="24" t="s">
        <v>8</v>
      </c>
      <c r="G36" s="33">
        <v>1500</v>
      </c>
      <c r="H36" s="34">
        <v>5.8</v>
      </c>
      <c r="I36" s="21">
        <f>+G36*H36</f>
        <v>8700</v>
      </c>
    </row>
    <row r="37" spans="1:9" ht="25.5">
      <c r="A37" s="29">
        <v>27</v>
      </c>
      <c r="B37" s="28"/>
      <c r="C37" s="27" t="s">
        <v>10</v>
      </c>
      <c r="D37" s="26">
        <v>295</v>
      </c>
      <c r="E37" s="32" t="s">
        <v>61</v>
      </c>
      <c r="F37" s="24" t="s">
        <v>8</v>
      </c>
      <c r="G37" s="31">
        <v>1000</v>
      </c>
      <c r="H37" s="34">
        <v>5.8</v>
      </c>
      <c r="I37" s="21">
        <f>+G37*H37</f>
        <v>5800</v>
      </c>
    </row>
    <row r="38" spans="1:9" ht="25.5">
      <c r="A38" s="29">
        <v>28</v>
      </c>
      <c r="B38" s="28"/>
      <c r="C38" s="27" t="s">
        <v>10</v>
      </c>
      <c r="D38" s="26">
        <v>295</v>
      </c>
      <c r="E38" s="30" t="s">
        <v>60</v>
      </c>
      <c r="F38" s="24" t="s">
        <v>8</v>
      </c>
      <c r="G38" s="23">
        <v>2000</v>
      </c>
      <c r="H38" s="22">
        <v>5.8</v>
      </c>
      <c r="I38" s="21">
        <f>+G38*H38</f>
        <v>11600</v>
      </c>
    </row>
    <row r="39" spans="1:9" ht="25.5">
      <c r="A39" s="29">
        <v>29</v>
      </c>
      <c r="B39" s="28"/>
      <c r="C39" s="27" t="s">
        <v>10</v>
      </c>
      <c r="D39" s="26">
        <v>295</v>
      </c>
      <c r="E39" s="25" t="s">
        <v>59</v>
      </c>
      <c r="F39" s="24" t="s">
        <v>8</v>
      </c>
      <c r="G39" s="23">
        <v>1000</v>
      </c>
      <c r="H39" s="41">
        <v>32</v>
      </c>
      <c r="I39" s="21">
        <f>+G39*H39</f>
        <v>32000</v>
      </c>
    </row>
    <row r="40" spans="1:9" ht="25.5">
      <c r="A40" s="29">
        <v>30</v>
      </c>
      <c r="B40" s="28"/>
      <c r="C40" s="27" t="s">
        <v>10</v>
      </c>
      <c r="D40" s="26">
        <v>295</v>
      </c>
      <c r="E40" s="40" t="s">
        <v>58</v>
      </c>
      <c r="F40" s="24" t="s">
        <v>8</v>
      </c>
      <c r="G40" s="23">
        <v>35000</v>
      </c>
      <c r="H40" s="34">
        <v>5.3</v>
      </c>
      <c r="I40" s="21">
        <f>+G40*H40</f>
        <v>185500</v>
      </c>
    </row>
    <row r="41" spans="1:9" ht="25.5">
      <c r="A41" s="29">
        <v>31</v>
      </c>
      <c r="B41" s="28"/>
      <c r="C41" s="27" t="s">
        <v>10</v>
      </c>
      <c r="D41" s="26">
        <v>295</v>
      </c>
      <c r="E41" s="39" t="s">
        <v>57</v>
      </c>
      <c r="F41" s="24" t="s">
        <v>8</v>
      </c>
      <c r="G41" s="36">
        <v>10000</v>
      </c>
      <c r="H41" s="34">
        <v>9.1999999999999993</v>
      </c>
      <c r="I41" s="21">
        <f>+G41*H41</f>
        <v>92000</v>
      </c>
    </row>
    <row r="42" spans="1:9" ht="25.5">
      <c r="A42" s="29">
        <v>32</v>
      </c>
      <c r="B42" s="28"/>
      <c r="C42" s="27" t="s">
        <v>10</v>
      </c>
      <c r="D42" s="26">
        <v>295</v>
      </c>
      <c r="E42" s="35" t="s">
        <v>56</v>
      </c>
      <c r="F42" s="24" t="s">
        <v>8</v>
      </c>
      <c r="G42" s="23">
        <v>40000</v>
      </c>
      <c r="H42" s="34">
        <v>3.8</v>
      </c>
      <c r="I42" s="21">
        <f>+G42*H42</f>
        <v>152000</v>
      </c>
    </row>
    <row r="43" spans="1:9" ht="25.5">
      <c r="A43" s="29">
        <v>33</v>
      </c>
      <c r="B43" s="28"/>
      <c r="C43" s="27" t="s">
        <v>10</v>
      </c>
      <c r="D43" s="26">
        <v>295</v>
      </c>
      <c r="E43" s="30" t="s">
        <v>55</v>
      </c>
      <c r="F43" s="24" t="s">
        <v>8</v>
      </c>
      <c r="G43" s="23">
        <v>10000</v>
      </c>
      <c r="H43" s="41">
        <v>21.8</v>
      </c>
      <c r="I43" s="21">
        <f>+G43*H43</f>
        <v>218000</v>
      </c>
    </row>
    <row r="44" spans="1:9" ht="25.5">
      <c r="A44" s="29">
        <v>34</v>
      </c>
      <c r="B44" s="28"/>
      <c r="C44" s="27" t="s">
        <v>10</v>
      </c>
      <c r="D44" s="26">
        <v>295</v>
      </c>
      <c r="E44" s="25" t="s">
        <v>54</v>
      </c>
      <c r="F44" s="24" t="s">
        <v>8</v>
      </c>
      <c r="G44" s="23">
        <v>300</v>
      </c>
      <c r="H44" s="34">
        <v>3.9</v>
      </c>
      <c r="I44" s="21">
        <f>+G44*H44</f>
        <v>1170</v>
      </c>
    </row>
    <row r="45" spans="1:9" ht="25.5">
      <c r="A45" s="29">
        <v>35</v>
      </c>
      <c r="B45" s="28"/>
      <c r="C45" s="27" t="s">
        <v>10</v>
      </c>
      <c r="D45" s="26">
        <v>295</v>
      </c>
      <c r="E45" s="35" t="s">
        <v>53</v>
      </c>
      <c r="F45" s="24" t="s">
        <v>8</v>
      </c>
      <c r="G45" s="23">
        <v>25000</v>
      </c>
      <c r="H45" s="34">
        <v>3.5</v>
      </c>
      <c r="I45" s="21">
        <f>+G45*H45</f>
        <v>87500</v>
      </c>
    </row>
    <row r="46" spans="1:9" ht="25.5">
      <c r="A46" s="29">
        <v>36</v>
      </c>
      <c r="B46" s="28"/>
      <c r="C46" s="27" t="s">
        <v>10</v>
      </c>
      <c r="D46" s="26">
        <v>295</v>
      </c>
      <c r="E46" s="25" t="s">
        <v>52</v>
      </c>
      <c r="F46" s="24" t="s">
        <v>8</v>
      </c>
      <c r="G46" s="33">
        <v>40000</v>
      </c>
      <c r="H46" s="22">
        <v>3.5</v>
      </c>
      <c r="I46" s="21">
        <f>+G46*H46</f>
        <v>140000</v>
      </c>
    </row>
    <row r="47" spans="1:9" ht="25.5">
      <c r="A47" s="29">
        <v>37</v>
      </c>
      <c r="B47" s="28"/>
      <c r="C47" s="27" t="s">
        <v>10</v>
      </c>
      <c r="D47" s="26">
        <v>299</v>
      </c>
      <c r="E47" s="32" t="s">
        <v>51</v>
      </c>
      <c r="F47" s="24" t="s">
        <v>8</v>
      </c>
      <c r="G47" s="31">
        <v>500</v>
      </c>
      <c r="H47" s="22">
        <v>260</v>
      </c>
      <c r="I47" s="21">
        <f>+G47*H47</f>
        <v>130000</v>
      </c>
    </row>
    <row r="48" spans="1:9" ht="25.5">
      <c r="A48" s="29">
        <v>38</v>
      </c>
      <c r="B48" s="28"/>
      <c r="C48" s="27" t="s">
        <v>10</v>
      </c>
      <c r="D48" s="26">
        <v>295</v>
      </c>
      <c r="E48" s="30" t="s">
        <v>50</v>
      </c>
      <c r="F48" s="24" t="s">
        <v>8</v>
      </c>
      <c r="G48" s="23">
        <v>1000</v>
      </c>
      <c r="H48" s="34">
        <v>79.900000000000006</v>
      </c>
      <c r="I48" s="21">
        <f>+G48*H48</f>
        <v>79900</v>
      </c>
    </row>
    <row r="49" spans="1:9" ht="25.5">
      <c r="A49" s="29">
        <v>39</v>
      </c>
      <c r="B49" s="28"/>
      <c r="C49" s="27" t="s">
        <v>10</v>
      </c>
      <c r="D49" s="26">
        <v>299</v>
      </c>
      <c r="E49" s="30" t="s">
        <v>49</v>
      </c>
      <c r="F49" s="24" t="s">
        <v>8</v>
      </c>
      <c r="G49" s="23">
        <v>1000</v>
      </c>
      <c r="H49" s="34">
        <v>22.7</v>
      </c>
      <c r="I49" s="21">
        <f>+G49*H49</f>
        <v>22700</v>
      </c>
    </row>
    <row r="50" spans="1:9" ht="25.5">
      <c r="A50" s="29">
        <v>40</v>
      </c>
      <c r="B50" s="28"/>
      <c r="C50" s="27" t="s">
        <v>10</v>
      </c>
      <c r="D50" s="26">
        <v>299</v>
      </c>
      <c r="E50" s="35" t="s">
        <v>48</v>
      </c>
      <c r="F50" s="24" t="s">
        <v>8</v>
      </c>
      <c r="G50" s="23">
        <v>1500</v>
      </c>
      <c r="H50" s="43">
        <v>19.43</v>
      </c>
      <c r="I50" s="21">
        <f>+G50*H50</f>
        <v>29145</v>
      </c>
    </row>
    <row r="51" spans="1:9" ht="25.5">
      <c r="A51" s="29">
        <v>41</v>
      </c>
      <c r="B51" s="28"/>
      <c r="C51" s="27" t="s">
        <v>10</v>
      </c>
      <c r="D51" s="26">
        <v>299</v>
      </c>
      <c r="E51" s="25" t="s">
        <v>47</v>
      </c>
      <c r="F51" s="24" t="s">
        <v>8</v>
      </c>
      <c r="G51" s="33">
        <v>1500</v>
      </c>
      <c r="H51" s="43">
        <v>17.420000000000002</v>
      </c>
      <c r="I51" s="21">
        <f>+G51*H51</f>
        <v>26130.000000000004</v>
      </c>
    </row>
    <row r="52" spans="1:9" ht="25.5">
      <c r="A52" s="29">
        <v>42</v>
      </c>
      <c r="B52" s="28"/>
      <c r="C52" s="27" t="s">
        <v>10</v>
      </c>
      <c r="D52" s="26">
        <v>299</v>
      </c>
      <c r="E52" s="32" t="s">
        <v>46</v>
      </c>
      <c r="F52" s="24" t="s">
        <v>8</v>
      </c>
      <c r="G52" s="31">
        <v>2000</v>
      </c>
      <c r="H52" s="43">
        <v>15.37</v>
      </c>
      <c r="I52" s="21">
        <f>+G52*H52</f>
        <v>30740</v>
      </c>
    </row>
    <row r="53" spans="1:9" ht="25.5">
      <c r="A53" s="29">
        <v>43</v>
      </c>
      <c r="B53" s="28"/>
      <c r="C53" s="27" t="s">
        <v>10</v>
      </c>
      <c r="D53" s="26">
        <v>299</v>
      </c>
      <c r="E53" s="30" t="s">
        <v>45</v>
      </c>
      <c r="F53" s="24" t="s">
        <v>8</v>
      </c>
      <c r="G53" s="23">
        <v>1000</v>
      </c>
      <c r="H53" s="34">
        <v>15</v>
      </c>
      <c r="I53" s="21">
        <f>+G53*H53</f>
        <v>15000</v>
      </c>
    </row>
    <row r="54" spans="1:9" ht="25.5">
      <c r="A54" s="29">
        <v>44</v>
      </c>
      <c r="B54" s="28"/>
      <c r="C54" s="27" t="s">
        <v>10</v>
      </c>
      <c r="D54" s="26">
        <v>234</v>
      </c>
      <c r="E54" s="25" t="s">
        <v>44</v>
      </c>
      <c r="F54" s="24" t="s">
        <v>8</v>
      </c>
      <c r="G54" s="23">
        <v>150</v>
      </c>
      <c r="H54" s="22">
        <v>209</v>
      </c>
      <c r="I54" s="21">
        <f>+G54*H54</f>
        <v>31350</v>
      </c>
    </row>
    <row r="55" spans="1:9" ht="25.5">
      <c r="A55" s="29">
        <v>45</v>
      </c>
      <c r="B55" s="28"/>
      <c r="C55" s="27" t="s">
        <v>10</v>
      </c>
      <c r="D55" s="26">
        <v>234</v>
      </c>
      <c r="E55" s="40" t="s">
        <v>43</v>
      </c>
      <c r="F55" s="24" t="s">
        <v>8</v>
      </c>
      <c r="G55" s="23">
        <v>1</v>
      </c>
      <c r="H55" s="22">
        <v>12600</v>
      </c>
      <c r="I55" s="21">
        <f>+G55*H55</f>
        <v>12600</v>
      </c>
    </row>
    <row r="56" spans="1:9" ht="25.5">
      <c r="A56" s="29">
        <v>46</v>
      </c>
      <c r="B56" s="28"/>
      <c r="C56" s="27" t="s">
        <v>10</v>
      </c>
      <c r="D56" s="26">
        <v>234</v>
      </c>
      <c r="E56" s="39" t="s">
        <v>42</v>
      </c>
      <c r="F56" s="24" t="s">
        <v>8</v>
      </c>
      <c r="G56" s="36">
        <v>150</v>
      </c>
      <c r="H56" s="34">
        <v>1860</v>
      </c>
      <c r="I56" s="21">
        <f>+G56*H56</f>
        <v>279000</v>
      </c>
    </row>
    <row r="57" spans="1:9" ht="25.5">
      <c r="A57" s="29">
        <v>47</v>
      </c>
      <c r="B57" s="28"/>
      <c r="C57" s="27" t="s">
        <v>10</v>
      </c>
      <c r="D57" s="26">
        <v>234</v>
      </c>
      <c r="E57" s="35" t="s">
        <v>41</v>
      </c>
      <c r="F57" s="24" t="s">
        <v>8</v>
      </c>
      <c r="G57" s="23">
        <v>100</v>
      </c>
      <c r="H57" s="41">
        <v>189</v>
      </c>
      <c r="I57" s="21">
        <f>+G57*H57</f>
        <v>18900</v>
      </c>
    </row>
    <row r="58" spans="1:9" ht="25.5">
      <c r="A58" s="29">
        <v>48</v>
      </c>
      <c r="B58" s="28"/>
      <c r="C58" s="27" t="s">
        <v>10</v>
      </c>
      <c r="D58" s="26">
        <v>295</v>
      </c>
      <c r="E58" s="30" t="s">
        <v>40</v>
      </c>
      <c r="F58" s="24" t="s">
        <v>8</v>
      </c>
      <c r="G58" s="23">
        <v>20</v>
      </c>
      <c r="H58" s="22">
        <v>4100</v>
      </c>
      <c r="I58" s="21">
        <f>+G58*H58</f>
        <v>82000</v>
      </c>
    </row>
    <row r="59" spans="1:9" ht="25.5">
      <c r="A59" s="29">
        <v>49</v>
      </c>
      <c r="B59" s="28"/>
      <c r="C59" s="27" t="s">
        <v>10</v>
      </c>
      <c r="D59" s="26">
        <v>295</v>
      </c>
      <c r="E59" s="25" t="s">
        <v>39</v>
      </c>
      <c r="F59" s="24" t="s">
        <v>8</v>
      </c>
      <c r="G59" s="23">
        <v>5</v>
      </c>
      <c r="H59" s="22">
        <v>6000</v>
      </c>
      <c r="I59" s="21">
        <f>+G59*H59</f>
        <v>30000</v>
      </c>
    </row>
    <row r="60" spans="1:9" ht="25.5">
      <c r="A60" s="29">
        <v>50</v>
      </c>
      <c r="B60" s="28"/>
      <c r="C60" s="27" t="s">
        <v>10</v>
      </c>
      <c r="D60" s="26">
        <v>295</v>
      </c>
      <c r="E60" s="35" t="s">
        <v>38</v>
      </c>
      <c r="F60" s="24" t="s">
        <v>8</v>
      </c>
      <c r="G60" s="23">
        <v>5000</v>
      </c>
      <c r="H60" s="22">
        <v>23</v>
      </c>
      <c r="I60" s="21">
        <f>+G60*H60</f>
        <v>115000</v>
      </c>
    </row>
    <row r="61" spans="1:9" ht="25.5">
      <c r="A61" s="29">
        <v>51</v>
      </c>
      <c r="B61" s="28"/>
      <c r="C61" s="27" t="s">
        <v>10</v>
      </c>
      <c r="D61" s="26">
        <v>295</v>
      </c>
      <c r="E61" s="25" t="s">
        <v>37</v>
      </c>
      <c r="F61" s="24" t="s">
        <v>8</v>
      </c>
      <c r="G61" s="33">
        <v>5000</v>
      </c>
      <c r="H61" s="22">
        <v>32</v>
      </c>
      <c r="I61" s="21">
        <f>+G61*H61</f>
        <v>160000</v>
      </c>
    </row>
    <row r="62" spans="1:9" ht="25.5">
      <c r="A62" s="29">
        <v>52</v>
      </c>
      <c r="B62" s="28"/>
      <c r="C62" s="27" t="s">
        <v>10</v>
      </c>
      <c r="D62" s="26">
        <v>295</v>
      </c>
      <c r="E62" s="32" t="s">
        <v>36</v>
      </c>
      <c r="F62" s="24" t="s">
        <v>8</v>
      </c>
      <c r="G62" s="31">
        <v>40</v>
      </c>
      <c r="H62" s="22">
        <v>255</v>
      </c>
      <c r="I62" s="21">
        <f>+G62*H62</f>
        <v>10200</v>
      </c>
    </row>
    <row r="63" spans="1:9" ht="25.5">
      <c r="A63" s="29">
        <v>53</v>
      </c>
      <c r="B63" s="28"/>
      <c r="C63" s="27" t="s">
        <v>10</v>
      </c>
      <c r="D63" s="26">
        <v>295</v>
      </c>
      <c r="E63" s="30" t="s">
        <v>35</v>
      </c>
      <c r="F63" s="24" t="s">
        <v>8</v>
      </c>
      <c r="G63" s="23">
        <v>40</v>
      </c>
      <c r="H63" s="22">
        <v>255</v>
      </c>
      <c r="I63" s="21">
        <f>+G63*H63</f>
        <v>10200</v>
      </c>
    </row>
    <row r="64" spans="1:9" ht="25.5">
      <c r="A64" s="29">
        <v>54</v>
      </c>
      <c r="B64" s="28"/>
      <c r="C64" s="27" t="s">
        <v>10</v>
      </c>
      <c r="D64" s="26">
        <v>295</v>
      </c>
      <c r="E64" s="25" t="s">
        <v>34</v>
      </c>
      <c r="F64" s="24" t="s">
        <v>8</v>
      </c>
      <c r="G64" s="23">
        <v>40</v>
      </c>
      <c r="H64" s="22">
        <v>255</v>
      </c>
      <c r="I64" s="21">
        <f>+G64*H64</f>
        <v>10200</v>
      </c>
    </row>
    <row r="65" spans="1:9" ht="25.5">
      <c r="A65" s="29">
        <v>55</v>
      </c>
      <c r="B65" s="28"/>
      <c r="C65" s="27" t="s">
        <v>10</v>
      </c>
      <c r="D65" s="26">
        <v>295</v>
      </c>
      <c r="E65" s="40" t="s">
        <v>33</v>
      </c>
      <c r="F65" s="24" t="s">
        <v>8</v>
      </c>
      <c r="G65" s="23">
        <v>40</v>
      </c>
      <c r="H65" s="22">
        <v>255</v>
      </c>
      <c r="I65" s="21">
        <f>+G65*H65</f>
        <v>10200</v>
      </c>
    </row>
    <row r="66" spans="1:9" ht="25.5">
      <c r="A66" s="29">
        <v>56</v>
      </c>
      <c r="B66" s="28"/>
      <c r="C66" s="27" t="s">
        <v>10</v>
      </c>
      <c r="D66" s="26">
        <v>295</v>
      </c>
      <c r="E66" s="39" t="s">
        <v>32</v>
      </c>
      <c r="F66" s="24" t="s">
        <v>8</v>
      </c>
      <c r="G66" s="36">
        <v>50</v>
      </c>
      <c r="H66" s="22">
        <v>348</v>
      </c>
      <c r="I66" s="21">
        <f>+G66*H66</f>
        <v>17400</v>
      </c>
    </row>
    <row r="67" spans="1:9" ht="25.5">
      <c r="A67" s="29">
        <v>57</v>
      </c>
      <c r="B67" s="28"/>
      <c r="C67" s="27" t="s">
        <v>10</v>
      </c>
      <c r="D67" s="26">
        <v>295</v>
      </c>
      <c r="E67" s="35" t="s">
        <v>31</v>
      </c>
      <c r="F67" s="24" t="s">
        <v>8</v>
      </c>
      <c r="G67" s="23">
        <v>50</v>
      </c>
      <c r="H67" s="22">
        <v>348</v>
      </c>
      <c r="I67" s="21">
        <f>+G67*H67</f>
        <v>17400</v>
      </c>
    </row>
    <row r="68" spans="1:9" ht="25.5">
      <c r="A68" s="29">
        <v>58</v>
      </c>
      <c r="B68" s="28"/>
      <c r="C68" s="27" t="s">
        <v>10</v>
      </c>
      <c r="D68" s="26">
        <v>295</v>
      </c>
      <c r="E68" s="30" t="s">
        <v>30</v>
      </c>
      <c r="F68" s="24" t="s">
        <v>8</v>
      </c>
      <c r="G68" s="23">
        <v>50</v>
      </c>
      <c r="H68" s="22">
        <v>348</v>
      </c>
      <c r="I68" s="21">
        <f>+G68*H68</f>
        <v>17400</v>
      </c>
    </row>
    <row r="69" spans="1:9" ht="25.5">
      <c r="A69" s="29">
        <v>59</v>
      </c>
      <c r="B69" s="28"/>
      <c r="C69" s="27" t="s">
        <v>10</v>
      </c>
      <c r="D69" s="26">
        <v>295</v>
      </c>
      <c r="E69" s="25" t="s">
        <v>29</v>
      </c>
      <c r="F69" s="24" t="s">
        <v>8</v>
      </c>
      <c r="G69" s="23">
        <v>50</v>
      </c>
      <c r="H69" s="22">
        <v>348</v>
      </c>
      <c r="I69" s="21">
        <f>+G69*H69</f>
        <v>17400</v>
      </c>
    </row>
    <row r="70" spans="1:9" ht="25.5">
      <c r="A70" s="29">
        <v>60</v>
      </c>
      <c r="B70" s="28"/>
      <c r="C70" s="27" t="s">
        <v>10</v>
      </c>
      <c r="D70" s="26">
        <v>295</v>
      </c>
      <c r="E70" s="38" t="s">
        <v>28</v>
      </c>
      <c r="F70" s="24" t="s">
        <v>8</v>
      </c>
      <c r="G70" s="42">
        <v>50</v>
      </c>
      <c r="H70" s="22">
        <v>348</v>
      </c>
      <c r="I70" s="21">
        <f>+G70*H70</f>
        <v>17400</v>
      </c>
    </row>
    <row r="71" spans="1:9" ht="25.5">
      <c r="A71" s="29">
        <v>61</v>
      </c>
      <c r="B71" s="28"/>
      <c r="C71" s="27" t="s">
        <v>10</v>
      </c>
      <c r="D71" s="26">
        <v>295</v>
      </c>
      <c r="E71" s="25" t="s">
        <v>27</v>
      </c>
      <c r="F71" s="24" t="s">
        <v>8</v>
      </c>
      <c r="G71" s="23">
        <v>2000</v>
      </c>
      <c r="H71" s="34">
        <v>320</v>
      </c>
      <c r="I71" s="21">
        <f>+G71*H71</f>
        <v>640000</v>
      </c>
    </row>
    <row r="72" spans="1:9" ht="25.5">
      <c r="A72" s="29">
        <v>62</v>
      </c>
      <c r="B72" s="28"/>
      <c r="C72" s="27" t="s">
        <v>10</v>
      </c>
      <c r="D72" s="26">
        <v>295</v>
      </c>
      <c r="E72" s="35" t="s">
        <v>26</v>
      </c>
      <c r="F72" s="24" t="s">
        <v>8</v>
      </c>
      <c r="G72" s="23">
        <v>2000</v>
      </c>
      <c r="H72" s="22">
        <v>306</v>
      </c>
      <c r="I72" s="21">
        <f>+G72*H72</f>
        <v>612000</v>
      </c>
    </row>
    <row r="73" spans="1:9" ht="25.5">
      <c r="A73" s="29">
        <v>63</v>
      </c>
      <c r="B73" s="28"/>
      <c r="C73" s="27" t="s">
        <v>10</v>
      </c>
      <c r="D73" s="26">
        <v>295</v>
      </c>
      <c r="E73" s="25" t="s">
        <v>25</v>
      </c>
      <c r="F73" s="24" t="s">
        <v>8</v>
      </c>
      <c r="G73" s="33">
        <v>100</v>
      </c>
      <c r="H73" s="41">
        <v>1200</v>
      </c>
      <c r="I73" s="21">
        <f>+G73*H73</f>
        <v>120000</v>
      </c>
    </row>
    <row r="74" spans="1:9" ht="25.5">
      <c r="A74" s="29">
        <v>64</v>
      </c>
      <c r="B74" s="28"/>
      <c r="C74" s="27" t="s">
        <v>10</v>
      </c>
      <c r="D74" s="26">
        <v>295</v>
      </c>
      <c r="E74" s="32" t="s">
        <v>24</v>
      </c>
      <c r="F74" s="24" t="s">
        <v>8</v>
      </c>
      <c r="G74" s="31">
        <v>50</v>
      </c>
      <c r="H74" s="41">
        <v>1300</v>
      </c>
      <c r="I74" s="21">
        <f>+G74*H74</f>
        <v>65000</v>
      </c>
    </row>
    <row r="75" spans="1:9" ht="25.5">
      <c r="A75" s="29">
        <v>65</v>
      </c>
      <c r="B75" s="28"/>
      <c r="C75" s="27" t="s">
        <v>10</v>
      </c>
      <c r="D75" s="26">
        <v>295</v>
      </c>
      <c r="E75" s="30" t="s">
        <v>23</v>
      </c>
      <c r="F75" s="24" t="s">
        <v>8</v>
      </c>
      <c r="G75" s="23">
        <v>30</v>
      </c>
      <c r="H75" s="22">
        <v>85</v>
      </c>
      <c r="I75" s="21">
        <f>+G75*H75</f>
        <v>2550</v>
      </c>
    </row>
    <row r="76" spans="1:9" ht="25.5">
      <c r="A76" s="29">
        <v>66</v>
      </c>
      <c r="B76" s="28"/>
      <c r="C76" s="27" t="s">
        <v>10</v>
      </c>
      <c r="D76" s="26">
        <v>295</v>
      </c>
      <c r="E76" s="25" t="s">
        <v>22</v>
      </c>
      <c r="F76" s="24" t="s">
        <v>8</v>
      </c>
      <c r="G76" s="23">
        <v>30</v>
      </c>
      <c r="H76" s="22">
        <v>85</v>
      </c>
      <c r="I76" s="21">
        <f>+G76*H76</f>
        <v>2550</v>
      </c>
    </row>
    <row r="77" spans="1:9" ht="25.5">
      <c r="A77" s="29">
        <v>67</v>
      </c>
      <c r="B77" s="28"/>
      <c r="C77" s="27" t="s">
        <v>10</v>
      </c>
      <c r="D77" s="26">
        <v>295</v>
      </c>
      <c r="E77" s="40" t="s">
        <v>21</v>
      </c>
      <c r="F77" s="24" t="s">
        <v>8</v>
      </c>
      <c r="G77" s="23">
        <v>50</v>
      </c>
      <c r="H77" s="22">
        <v>85</v>
      </c>
      <c r="I77" s="21">
        <f>+G77*H77</f>
        <v>4250</v>
      </c>
    </row>
    <row r="78" spans="1:9" ht="25.5">
      <c r="A78" s="29">
        <v>68</v>
      </c>
      <c r="B78" s="28"/>
      <c r="C78" s="27" t="s">
        <v>10</v>
      </c>
      <c r="D78" s="26">
        <v>295</v>
      </c>
      <c r="E78" s="39" t="s">
        <v>20</v>
      </c>
      <c r="F78" s="24" t="s">
        <v>8</v>
      </c>
      <c r="G78" s="36">
        <v>50</v>
      </c>
      <c r="H78" s="22">
        <v>85</v>
      </c>
      <c r="I78" s="21">
        <f>+G78*H78</f>
        <v>4250</v>
      </c>
    </row>
    <row r="79" spans="1:9" ht="25.5">
      <c r="A79" s="29">
        <v>69</v>
      </c>
      <c r="B79" s="28"/>
      <c r="C79" s="27" t="s">
        <v>10</v>
      </c>
      <c r="D79" s="26">
        <v>295</v>
      </c>
      <c r="E79" s="35" t="s">
        <v>19</v>
      </c>
      <c r="F79" s="24" t="s">
        <v>8</v>
      </c>
      <c r="G79" s="23">
        <v>50</v>
      </c>
      <c r="H79" s="22">
        <v>85</v>
      </c>
      <c r="I79" s="21">
        <f>+G79*H79</f>
        <v>4250</v>
      </c>
    </row>
    <row r="80" spans="1:9" ht="25.5">
      <c r="A80" s="29">
        <v>70</v>
      </c>
      <c r="B80" s="28"/>
      <c r="C80" s="27" t="s">
        <v>10</v>
      </c>
      <c r="D80" s="26">
        <v>295</v>
      </c>
      <c r="E80" s="30" t="s">
        <v>18</v>
      </c>
      <c r="F80" s="24" t="s">
        <v>8</v>
      </c>
      <c r="G80" s="23">
        <v>50</v>
      </c>
      <c r="H80" s="22">
        <v>85</v>
      </c>
      <c r="I80" s="21">
        <f>+G80*H80</f>
        <v>4250</v>
      </c>
    </row>
    <row r="81" spans="1:9" ht="25.5">
      <c r="A81" s="29">
        <v>71</v>
      </c>
      <c r="B81" s="28"/>
      <c r="C81" s="27" t="s">
        <v>10</v>
      </c>
      <c r="D81" s="26">
        <v>295</v>
      </c>
      <c r="E81" s="25" t="s">
        <v>17</v>
      </c>
      <c r="F81" s="24" t="s">
        <v>8</v>
      </c>
      <c r="G81" s="23">
        <v>50</v>
      </c>
      <c r="H81" s="22">
        <v>85</v>
      </c>
      <c r="I81" s="21">
        <f>+G81*H81</f>
        <v>4250</v>
      </c>
    </row>
    <row r="82" spans="1:9" ht="25.5">
      <c r="A82" s="29">
        <v>72</v>
      </c>
      <c r="B82" s="28"/>
      <c r="C82" s="27" t="s">
        <v>10</v>
      </c>
      <c r="D82" s="26">
        <v>295</v>
      </c>
      <c r="E82" s="38" t="s">
        <v>16</v>
      </c>
      <c r="F82" s="24" t="s">
        <v>8</v>
      </c>
      <c r="G82" s="23">
        <v>1000</v>
      </c>
      <c r="H82" s="34">
        <v>18</v>
      </c>
      <c r="I82" s="21">
        <f>+G82*H82</f>
        <v>18000</v>
      </c>
    </row>
    <row r="83" spans="1:9" ht="25.5">
      <c r="A83" s="29">
        <v>73</v>
      </c>
      <c r="B83" s="28"/>
      <c r="C83" s="27" t="s">
        <v>10</v>
      </c>
      <c r="D83" s="26">
        <v>295</v>
      </c>
      <c r="E83" s="37" t="s">
        <v>15</v>
      </c>
      <c r="F83" s="24" t="s">
        <v>8</v>
      </c>
      <c r="G83" s="36">
        <v>1000</v>
      </c>
      <c r="H83" s="22">
        <v>22</v>
      </c>
      <c r="I83" s="21">
        <f>+G83*H83</f>
        <v>22000</v>
      </c>
    </row>
    <row r="84" spans="1:9" ht="25.5">
      <c r="A84" s="29">
        <v>74</v>
      </c>
      <c r="B84" s="28"/>
      <c r="C84" s="27" t="s">
        <v>10</v>
      </c>
      <c r="D84" s="26">
        <v>295</v>
      </c>
      <c r="E84" s="35" t="s">
        <v>14</v>
      </c>
      <c r="F84" s="24" t="s">
        <v>8</v>
      </c>
      <c r="G84" s="23">
        <v>1000</v>
      </c>
      <c r="H84" s="34">
        <v>29</v>
      </c>
      <c r="I84" s="21">
        <f>+G84*H84</f>
        <v>29000</v>
      </c>
    </row>
    <row r="85" spans="1:9" ht="25.5">
      <c r="A85" s="29">
        <v>75</v>
      </c>
      <c r="B85" s="28"/>
      <c r="C85" s="27" t="s">
        <v>10</v>
      </c>
      <c r="D85" s="26">
        <v>295</v>
      </c>
      <c r="E85" s="25" t="s">
        <v>13</v>
      </c>
      <c r="F85" s="24" t="s">
        <v>8</v>
      </c>
      <c r="G85" s="33">
        <v>5</v>
      </c>
      <c r="H85" s="22">
        <v>1500</v>
      </c>
      <c r="I85" s="21">
        <f>+G85*H85</f>
        <v>7500</v>
      </c>
    </row>
    <row r="86" spans="1:9" ht="25.5">
      <c r="A86" s="29">
        <v>76</v>
      </c>
      <c r="B86" s="28"/>
      <c r="C86" s="27" t="s">
        <v>10</v>
      </c>
      <c r="D86" s="26">
        <v>295</v>
      </c>
      <c r="E86" s="32" t="s">
        <v>12</v>
      </c>
      <c r="F86" s="24" t="s">
        <v>8</v>
      </c>
      <c r="G86" s="31">
        <v>2000</v>
      </c>
      <c r="H86" s="22">
        <v>155</v>
      </c>
      <c r="I86" s="21">
        <f>+G86*H86</f>
        <v>310000</v>
      </c>
    </row>
    <row r="87" spans="1:9" ht="25.5">
      <c r="A87" s="29">
        <v>77</v>
      </c>
      <c r="B87" s="28"/>
      <c r="C87" s="27" t="s">
        <v>10</v>
      </c>
      <c r="D87" s="26">
        <v>295</v>
      </c>
      <c r="E87" s="30" t="s">
        <v>11</v>
      </c>
      <c r="F87" s="24" t="s">
        <v>8</v>
      </c>
      <c r="G87" s="23">
        <v>1000</v>
      </c>
      <c r="H87" s="22">
        <v>172</v>
      </c>
      <c r="I87" s="21">
        <f>+G87*H87</f>
        <v>172000</v>
      </c>
    </row>
    <row r="88" spans="1:9" ht="25.5">
      <c r="A88" s="29">
        <v>78</v>
      </c>
      <c r="B88" s="28"/>
      <c r="C88" s="27" t="s">
        <v>10</v>
      </c>
      <c r="D88" s="26">
        <v>295</v>
      </c>
      <c r="E88" s="25" t="s">
        <v>9</v>
      </c>
      <c r="F88" s="24" t="s">
        <v>8</v>
      </c>
      <c r="G88" s="23">
        <v>100</v>
      </c>
      <c r="H88" s="22">
        <v>220</v>
      </c>
      <c r="I88" s="21">
        <f>+G88*H88</f>
        <v>22000</v>
      </c>
    </row>
    <row r="89" spans="1:9" ht="15.75" thickBot="1">
      <c r="A89" s="3"/>
      <c r="B89" s="3"/>
      <c r="C89" s="3"/>
      <c r="D89" s="3"/>
      <c r="E89" s="3"/>
      <c r="F89" s="3"/>
      <c r="G89" s="3"/>
      <c r="H89" s="4"/>
      <c r="I89" s="19">
        <f>SUM(I11:I88)</f>
        <v>7103265</v>
      </c>
    </row>
    <row r="90" spans="1:9" ht="42.75" customHeight="1">
      <c r="A90" s="3"/>
      <c r="B90" s="20" t="s">
        <v>7</v>
      </c>
      <c r="C90" s="11"/>
      <c r="D90" s="11"/>
      <c r="E90" s="10"/>
      <c r="F90" s="3"/>
      <c r="G90" s="3"/>
      <c r="H90" s="4"/>
      <c r="I90" s="19"/>
    </row>
    <row r="91" spans="1:9">
      <c r="A91" s="3"/>
      <c r="B91" s="18" t="s">
        <v>6</v>
      </c>
      <c r="C91" s="17"/>
      <c r="D91" s="17"/>
      <c r="E91" s="16"/>
      <c r="F91" s="3"/>
      <c r="G91" s="3"/>
      <c r="H91" s="4"/>
      <c r="I91" s="3"/>
    </row>
    <row r="92" spans="1:9" ht="49.5" customHeight="1">
      <c r="A92" s="3"/>
      <c r="B92" s="18"/>
      <c r="C92" s="17"/>
      <c r="D92" s="17"/>
      <c r="E92" s="16"/>
      <c r="F92" s="13"/>
      <c r="G92" s="3"/>
      <c r="H92" s="4"/>
      <c r="I92" s="3"/>
    </row>
    <row r="93" spans="1:9">
      <c r="A93" s="3"/>
      <c r="B93" s="18" t="s">
        <v>5</v>
      </c>
      <c r="C93" s="17"/>
      <c r="D93" s="17"/>
      <c r="E93" s="16"/>
      <c r="F93" s="13"/>
      <c r="G93" s="3"/>
      <c r="H93" s="4"/>
      <c r="I93" s="3"/>
    </row>
    <row r="94" spans="1:9">
      <c r="A94" s="3"/>
      <c r="B94" s="9" t="s">
        <v>4</v>
      </c>
      <c r="C94" s="15"/>
      <c r="D94" s="15"/>
      <c r="E94" s="14"/>
      <c r="F94" s="13"/>
      <c r="G94" s="3"/>
      <c r="H94" s="4"/>
      <c r="I94" s="3"/>
    </row>
    <row r="95" spans="1:9">
      <c r="A95" s="3"/>
      <c r="B95" s="3"/>
      <c r="C95" s="3"/>
      <c r="D95" s="3"/>
      <c r="E95" s="3"/>
      <c r="F95" s="3"/>
      <c r="G95" s="3"/>
      <c r="H95" s="4"/>
      <c r="I95" s="3"/>
    </row>
    <row r="96" spans="1:9" ht="15.75" thickBot="1">
      <c r="A96" s="3"/>
      <c r="B96" s="3"/>
      <c r="C96" s="3"/>
      <c r="D96" s="3"/>
      <c r="E96" s="3"/>
      <c r="F96" s="3"/>
      <c r="G96" s="3"/>
      <c r="H96" s="4"/>
      <c r="I96" s="3"/>
    </row>
    <row r="97" spans="1:9">
      <c r="A97" s="3"/>
      <c r="B97" s="12" t="s">
        <v>3</v>
      </c>
      <c r="C97" s="11"/>
      <c r="D97" s="11"/>
      <c r="E97" s="10"/>
      <c r="F97" s="3"/>
      <c r="G97" s="3"/>
      <c r="H97" s="4"/>
      <c r="I97" s="3"/>
    </row>
    <row r="98" spans="1:9">
      <c r="A98" s="3"/>
      <c r="B98" s="9" t="s">
        <v>2</v>
      </c>
      <c r="C98" s="3"/>
      <c r="D98" s="3"/>
      <c r="E98" s="8"/>
      <c r="F98" s="3"/>
      <c r="G98" s="3"/>
      <c r="H98" s="4"/>
      <c r="I98" s="3"/>
    </row>
    <row r="99" spans="1:9" ht="15.75" thickBot="1">
      <c r="A99" s="3"/>
      <c r="B99" s="7" t="s">
        <v>1</v>
      </c>
      <c r="C99" s="6"/>
      <c r="D99" s="6"/>
      <c r="E99" s="5"/>
      <c r="F99" s="3"/>
      <c r="G99" s="3"/>
      <c r="H99" s="4"/>
      <c r="I99" s="3"/>
    </row>
    <row r="100" spans="1:9">
      <c r="A100" s="3"/>
      <c r="B100" s="3"/>
      <c r="C100" s="3"/>
      <c r="D100" s="3"/>
      <c r="E100" s="3"/>
      <c r="F100" s="3"/>
      <c r="G100" s="3"/>
      <c r="H100" s="4"/>
      <c r="I100" s="3"/>
    </row>
    <row r="102" spans="1:9" ht="15.75">
      <c r="B102" s="2" t="s">
        <v>0</v>
      </c>
      <c r="C102" s="1"/>
      <c r="D102" s="1"/>
    </row>
  </sheetData>
  <mergeCells count="10">
    <mergeCell ref="A8:B8"/>
    <mergeCell ref="B91:E92"/>
    <mergeCell ref="B93:E93"/>
    <mergeCell ref="B99:E99"/>
    <mergeCell ref="B3:H3"/>
    <mergeCell ref="A5:B5"/>
    <mergeCell ref="C5:E5"/>
    <mergeCell ref="A6:B6"/>
    <mergeCell ref="C6:E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2021-08-12T11:45:52Z</dcterms:created>
  <dcterms:modified xsi:type="dcterms:W3CDTF">2021-08-12T11:47:57Z</dcterms:modified>
</cp:coreProperties>
</file>