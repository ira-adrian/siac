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Gastar'!$A$1:$Q$25</definedName>
    <definedName name="_xlnm.Print_Area" localSheetId="1">NotaPedido!$A$1:$K$16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0" i="1"/>
  <c r="B14" i="2"/>
  <c r="B15" i="2"/>
  <c r="C15" i="2"/>
  <c r="A24" i="3"/>
  <c r="A10" i="3"/>
  <c r="K15" i="2"/>
  <c r="J15" i="2"/>
  <c r="I15" i="2"/>
  <c r="K14" i="2"/>
  <c r="J14" i="2"/>
  <c r="I14" i="2"/>
  <c r="C14" i="2"/>
  <c r="K13" i="2"/>
  <c r="J13" i="2"/>
  <c r="I13" i="2"/>
  <c r="C13" i="2"/>
  <c r="B13" i="2"/>
  <c r="K12" i="2"/>
  <c r="J12" i="2"/>
  <c r="I12" i="2"/>
  <c r="C12" i="2"/>
  <c r="B12" i="2"/>
  <c r="I13" i="1"/>
  <c r="I12" i="1"/>
  <c r="I11" i="1"/>
  <c r="I10" i="1"/>
  <c r="J16" i="2" l="1"/>
  <c r="G6" i="3" l="1"/>
  <c r="G7" i="3"/>
  <c r="D7" i="2"/>
  <c r="D3" i="2"/>
  <c r="G4" i="3" s="1"/>
  <c r="D4" i="2"/>
  <c r="G5" i="3" s="1"/>
  <c r="D1" i="3" l="1"/>
  <c r="Q21" i="3"/>
</calcChain>
</file>

<file path=xl/sharedStrings.xml><?xml version="1.0" encoding="utf-8"?>
<sst xmlns="http://schemas.openxmlformats.org/spreadsheetml/2006/main" count="122" uniqueCount="83">
  <si>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</si>
  <si>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</si>
  <si>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</si>
  <si>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</si>
  <si>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</si>
  <si>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</si>
  <si>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</si>
  <si>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</si>
  <si>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</si>
  <si>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</si>
  <si>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</si>
  <si>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</si>
  <si>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</si>
  <si>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</si>
  <si>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</si>
  <si>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</si>
  <si>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</si>
  <si>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</si>
  <si>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</si>
  <si>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</si>
  <si>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</si>
  <si>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</si>
  <si>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</si>
  <si>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</si>
  <si>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</si>
  <si>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</si>
  <si>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</si>
  <si>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</si>
  <si>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</si>
  <si>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</si>
  <si>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</si>
  <si>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</si>
  <si>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</si>
  <si>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</si>
  <si>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</si>
  <si>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</si>
  <si>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</si>
  <si>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</si>
  <si>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</si>
  <si>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</si>
  <si>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</si>
  <si>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</si>
  <si>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</si>
  <si>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</si>
  <si>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</si>
  <si>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</si>
  <si>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</si>
  <si>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</si>
  <si>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</si>
  <si>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</si>
  <si>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</si>
  <si>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</si>
  <si>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</si>
  <si>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</si>
  <si>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</si>
  <si>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</si>
  <si>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</si>
  <si>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</si>
  <si>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</si>
  <si>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168 - Direccion Asistencial</t>
  </si>
  <si>
    <t xml:space="preserve">45 dias habiles </t>
  </si>
  <si>
    <t>3.1</t>
  </si>
  <si>
    <t>1.1</t>
  </si>
  <si>
    <t>3.2.2-8698.1</t>
  </si>
  <si>
    <t>ALQ. EQ. DE LABORATORIO; DESCRIPCION: ALQUILER EQUIPO DE LABORATORIO</t>
  </si>
  <si>
    <t xml:space="preserve">MESES </t>
  </si>
  <si>
    <t xml:space="preserve">Servicio de Laboratorio Central </t>
  </si>
  <si>
    <t xml:space="preserve">Adquisición de Alquiler de Equipos para Laboratorio Central </t>
  </si>
  <si>
    <t xml:space="preserve">10 dias - Servicio de Laboratorio Central del HISJB - Avda. Illia y Mariano Moreno </t>
  </si>
  <si>
    <t>Especificidades Item N° 3:</t>
  </si>
  <si>
    <t>Especificidades Item N° 4:</t>
  </si>
  <si>
    <t xml:space="preserve">ALQUILER </t>
  </si>
  <si>
    <t>ALQUILER</t>
  </si>
  <si>
    <t>ALQUILER DE 2 EQUIPOS COBAS C 311 -incluye servicio tecnico por el periodo de contratación las 24 horas-. CONTRATACION POR 3 MESES CON OPCION A PRORROGA POR IGUAL PERIODO DE TIEMPO.</t>
  </si>
  <si>
    <t>ALQUILER EQUIPO COBAS E 411 -incluye servicio tecnico por el periodo de contratación las 24 horas-. CONTRATACION POR 3 MESES CON OPCION A PRORROGA POR IGUAL PERIODO DE TIEMPO.</t>
  </si>
  <si>
    <t>ALQUILER EQUIPO COBAS B 221 S6 -incluye servicio tecnico por el periodo de contratación las 24 horas-. CONTRATACION POR 3 MESES CON OPCION A PRORROGA POR IGUAL PERIODO DE TIEMPO.</t>
  </si>
  <si>
    <t>Alq. De Maq, Equipo y Med. De Transp.</t>
  </si>
  <si>
    <t>Costo total estimado: DOS MILLONES NOVECIENTOS CUARENTA Y SIETE MIL TRESCIENTOS OCHENTA Y SEIS CON 00/100.------</t>
  </si>
  <si>
    <t>NOTA DE PEDIDO 78</t>
  </si>
  <si>
    <t>SI</t>
  </si>
  <si>
    <t xml:space="preserve">SI </t>
  </si>
  <si>
    <t>TOTAL DE PESOS: DOS MILLONES NOVECIENTOS CUARENTA Y SIETE MIL TRESCIENTOS OCHENTA Y SEIS CON 00/100.-</t>
  </si>
  <si>
    <t>ALQUILER EQUIPO DE LABORATORIO EQUIPO SYSMEX XNL550-incluye servicio tecnico por el periodo de contratación las 24 horas-. CONTRATACION POR 3 MESES CON OPCION A PRORROGA POR IGUAL PERIODO DE TIEMPO.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</si>
</sst>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left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 indent="1"/>
    </xf>
    <xf numFmtId="0" fontId="6" fillId="0" borderId="48" xfId="0" applyFont="1" applyBorder="1" applyAlignment="1">
      <alignment horizontal="left" vertical="center" wrapText="1" indent="1"/>
    </xf>
    <xf numFmtId="0" fontId="6" fillId="0" borderId="21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6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0" borderId="44" xfId="0" applyFont="1" applyBorder="1" applyAlignment="1">
      <alignment horizontal="left" vertical="center" wrapText="1"/>
    </xf>
    <xf numFmtId="0" fontId="0" fillId="0" borderId="22" xfId="0" applyBorder="1"/>
    <xf numFmtId="0" fontId="15" fillId="3" borderId="0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9"/>
  <sheetViews>
    <sheetView tabSelected="1" topLeftCell="A4" zoomScale="85" zoomScaleNormal="85" workbookViewId="0">
      <selection activeCell="H78" sqref="H78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9" t="s">
        <v>0</v>
      </c>
      <c r="C2" s="79"/>
      <c r="D2" s="79"/>
      <c r="E2" s="79"/>
      <c r="F2" s="79"/>
      <c r="G2" s="79"/>
      <c r="H2" s="79"/>
    </row>
    <row r="4" spans="1:9" ht="18" customHeight="1" x14ac:dyDescent="0.25">
      <c r="A4" s="80" t="s">
        <v>1</v>
      </c>
      <c r="B4" s="80"/>
      <c r="C4" s="81" t="s">
        <v>57</v>
      </c>
      <c r="D4" s="81"/>
      <c r="E4" s="81"/>
      <c r="F4" s="40"/>
      <c r="G4" s="41"/>
      <c r="H4" s="40"/>
    </row>
    <row r="5" spans="1:9" ht="18" customHeight="1" x14ac:dyDescent="0.25">
      <c r="A5" s="80" t="s">
        <v>2</v>
      </c>
      <c r="B5" s="80"/>
      <c r="C5" s="81" t="s">
        <v>58</v>
      </c>
      <c r="D5" s="81"/>
      <c r="E5" s="81"/>
      <c r="F5" s="40"/>
      <c r="G5" s="41"/>
      <c r="H5" s="40"/>
    </row>
    <row r="6" spans="1:9" ht="16.5" customHeight="1" x14ac:dyDescent="0.25">
      <c r="A6" s="80" t="s">
        <v>3</v>
      </c>
      <c r="B6" s="80"/>
      <c r="C6" s="63">
        <v>2022</v>
      </c>
      <c r="D6" s="64"/>
      <c r="E6" s="64"/>
      <c r="F6" s="40"/>
      <c r="G6" s="41"/>
      <c r="H6" s="40"/>
    </row>
    <row r="7" spans="1:9" ht="16.5" customHeight="1" x14ac:dyDescent="0.25">
      <c r="A7" s="80" t="s">
        <v>4</v>
      </c>
      <c r="B7" s="80"/>
      <c r="C7" s="63">
        <v>3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60" t="s">
        <v>63</v>
      </c>
      <c r="C10" s="57" t="s">
        <v>71</v>
      </c>
      <c r="D10" s="58" t="str">
        <f>LEFT(B10,5)</f>
        <v>3.2.2</v>
      </c>
      <c r="E10" s="59" t="s">
        <v>64</v>
      </c>
      <c r="F10" s="60" t="s">
        <v>65</v>
      </c>
      <c r="G10" s="60">
        <v>3</v>
      </c>
      <c r="H10" s="61">
        <v>394590</v>
      </c>
      <c r="I10" s="62">
        <f t="shared" ref="I10:I13" si="0">G10*H10</f>
        <v>1183770</v>
      </c>
    </row>
    <row r="11" spans="1:9" ht="31.9" customHeight="1" thickBot="1" x14ac:dyDescent="0.25">
      <c r="A11" s="56">
        <v>2</v>
      </c>
      <c r="B11" s="60" t="s">
        <v>63</v>
      </c>
      <c r="C11" s="57" t="s">
        <v>72</v>
      </c>
      <c r="D11" s="58" t="str">
        <f t="shared" ref="D11:D13" si="1">LEFT(B11,5)</f>
        <v>3.2.2</v>
      </c>
      <c r="E11" s="59" t="s">
        <v>64</v>
      </c>
      <c r="F11" s="60" t="s">
        <v>65</v>
      </c>
      <c r="G11" s="60">
        <v>3</v>
      </c>
      <c r="H11" s="61">
        <v>160952</v>
      </c>
      <c r="I11" s="62">
        <f t="shared" si="0"/>
        <v>482856</v>
      </c>
    </row>
    <row r="12" spans="1:9" ht="31.9" customHeight="1" thickBot="1" x14ac:dyDescent="0.25">
      <c r="A12" s="56">
        <v>3</v>
      </c>
      <c r="B12" s="60" t="s">
        <v>63</v>
      </c>
      <c r="C12" s="57" t="s">
        <v>71</v>
      </c>
      <c r="D12" s="58" t="str">
        <f t="shared" si="1"/>
        <v>3.2.2</v>
      </c>
      <c r="E12" s="59" t="s">
        <v>64</v>
      </c>
      <c r="F12" s="60" t="s">
        <v>65</v>
      </c>
      <c r="G12" s="60">
        <v>3</v>
      </c>
      <c r="H12" s="61">
        <v>148750</v>
      </c>
      <c r="I12" s="62">
        <f t="shared" si="0"/>
        <v>446250</v>
      </c>
    </row>
    <row r="13" spans="1:9" ht="31.9" customHeight="1" thickBot="1" x14ac:dyDescent="0.25">
      <c r="A13" s="56">
        <v>4</v>
      </c>
      <c r="B13" s="60" t="s">
        <v>63</v>
      </c>
      <c r="C13" s="57" t="s">
        <v>71</v>
      </c>
      <c r="D13" s="58" t="str">
        <f t="shared" si="1"/>
        <v>3.2.2</v>
      </c>
      <c r="E13" s="59" t="s">
        <v>64</v>
      </c>
      <c r="F13" s="60" t="s">
        <v>65</v>
      </c>
      <c r="G13" s="60">
        <v>3</v>
      </c>
      <c r="H13" s="61">
        <v>278170</v>
      </c>
      <c r="I13" s="62">
        <f t="shared" si="0"/>
        <v>834510</v>
      </c>
    </row>
    <row r="16" spans="1:9" x14ac:dyDescent="0.2">
      <c r="B16" s="42" t="s">
        <v>14</v>
      </c>
      <c r="C16" s="43"/>
      <c r="D16" s="43"/>
      <c r="E16" s="44"/>
    </row>
    <row r="17" spans="2:5" ht="5.25" customHeight="1" x14ac:dyDescent="0.2">
      <c r="B17" s="45"/>
      <c r="C17" s="46"/>
      <c r="D17" s="46"/>
      <c r="E17" s="47"/>
    </row>
    <row r="18" spans="2:5" x14ac:dyDescent="0.2">
      <c r="B18" s="48" t="s">
        <v>15</v>
      </c>
      <c r="C18" s="46"/>
      <c r="D18" s="46"/>
      <c r="E18" s="47"/>
    </row>
    <row r="19" spans="2:5" ht="41.25" customHeight="1" x14ac:dyDescent="0.2">
      <c r="B19" s="48"/>
      <c r="C19" s="82" t="s">
        <v>73</v>
      </c>
      <c r="D19" s="82"/>
      <c r="E19" s="82"/>
    </row>
    <row r="20" spans="2:5" x14ac:dyDescent="0.2">
      <c r="B20" s="48" t="s">
        <v>16</v>
      </c>
      <c r="C20" s="46"/>
      <c r="D20" s="46"/>
      <c r="E20" s="47"/>
    </row>
    <row r="21" spans="2:5" ht="21.75" customHeight="1" x14ac:dyDescent="0.2">
      <c r="B21" s="49"/>
      <c r="C21" s="83" t="s">
        <v>68</v>
      </c>
      <c r="D21" s="83"/>
      <c r="E21" s="84"/>
    </row>
    <row r="22" spans="2:5" x14ac:dyDescent="0.2">
      <c r="B22" s="49"/>
      <c r="C22" s="85"/>
      <c r="D22" s="85"/>
      <c r="E22" s="85"/>
    </row>
    <row r="23" spans="2:5" x14ac:dyDescent="0.2">
      <c r="B23" s="48" t="s">
        <v>17</v>
      </c>
      <c r="C23" s="46"/>
      <c r="D23" s="46"/>
      <c r="E23" s="47"/>
    </row>
    <row r="24" spans="2:5" ht="26.25" customHeight="1" x14ac:dyDescent="0.2">
      <c r="B24" s="49"/>
      <c r="C24" s="82"/>
      <c r="D24" s="82"/>
      <c r="E24" s="82"/>
    </row>
    <row r="25" spans="2:5" x14ac:dyDescent="0.2">
      <c r="B25" s="48" t="s">
        <v>18</v>
      </c>
      <c r="C25" s="50"/>
      <c r="D25" s="50"/>
      <c r="E25" s="51"/>
    </row>
    <row r="26" spans="2:5" ht="26.25" customHeight="1" x14ac:dyDescent="0.2">
      <c r="B26" s="49"/>
      <c r="C26" s="88" t="s">
        <v>60</v>
      </c>
      <c r="D26" s="88"/>
      <c r="E26" s="89"/>
    </row>
    <row r="27" spans="2:5" x14ac:dyDescent="0.2">
      <c r="B27" s="48" t="s">
        <v>19</v>
      </c>
      <c r="C27" s="46"/>
      <c r="D27" s="46"/>
      <c r="E27" s="47"/>
    </row>
    <row r="28" spans="2:5" ht="23.25" customHeight="1" x14ac:dyDescent="0.2">
      <c r="B28" s="48"/>
      <c r="C28" s="86"/>
      <c r="D28" s="86"/>
      <c r="E28" s="86"/>
    </row>
    <row r="29" spans="2:5" x14ac:dyDescent="0.2">
      <c r="B29" s="52"/>
      <c r="C29" s="53"/>
      <c r="D29" s="53"/>
      <c r="E29" s="54"/>
    </row>
    <row r="31" spans="2:5" x14ac:dyDescent="0.2">
      <c r="B31" s="42" t="s">
        <v>20</v>
      </c>
      <c r="C31" s="43"/>
      <c r="D31" s="43"/>
      <c r="E31" s="44"/>
    </row>
    <row r="32" spans="2:5" ht="7.5" customHeight="1" x14ac:dyDescent="0.2">
      <c r="B32" s="45"/>
      <c r="C32" s="46"/>
      <c r="D32" s="46"/>
      <c r="E32" s="47"/>
    </row>
    <row r="33" spans="2:5" x14ac:dyDescent="0.2">
      <c r="B33" s="48" t="s">
        <v>15</v>
      </c>
      <c r="C33" s="46"/>
      <c r="D33" s="46"/>
      <c r="E33" s="47"/>
    </row>
    <row r="34" spans="2:5" ht="39" customHeight="1" x14ac:dyDescent="0.2">
      <c r="B34" s="48"/>
      <c r="C34" s="82" t="s">
        <v>74</v>
      </c>
      <c r="D34" s="82"/>
      <c r="E34" s="82"/>
    </row>
    <row r="35" spans="2:5" x14ac:dyDescent="0.2">
      <c r="B35" s="48" t="s">
        <v>16</v>
      </c>
      <c r="C35" s="46"/>
      <c r="D35" s="46"/>
      <c r="E35" s="47"/>
    </row>
    <row r="36" spans="2:5" ht="23.25" customHeight="1" x14ac:dyDescent="0.2">
      <c r="B36" s="49"/>
      <c r="C36" s="83" t="s">
        <v>68</v>
      </c>
      <c r="D36" s="83"/>
      <c r="E36" s="84"/>
    </row>
    <row r="37" spans="2:5" x14ac:dyDescent="0.2">
      <c r="B37" s="49"/>
      <c r="C37" s="86"/>
      <c r="D37" s="86"/>
      <c r="E37" s="86"/>
    </row>
    <row r="38" spans="2:5" x14ac:dyDescent="0.2">
      <c r="B38" s="48" t="s">
        <v>17</v>
      </c>
      <c r="C38" s="46"/>
      <c r="D38" s="46"/>
      <c r="E38" s="47"/>
    </row>
    <row r="39" spans="2:5" x14ac:dyDescent="0.2">
      <c r="B39" s="49"/>
      <c r="C39" s="82"/>
      <c r="D39" s="82"/>
      <c r="E39" s="82"/>
    </row>
    <row r="40" spans="2:5" x14ac:dyDescent="0.2">
      <c r="B40" s="48" t="s">
        <v>18</v>
      </c>
      <c r="C40" s="50"/>
      <c r="D40" s="50"/>
      <c r="E40" s="51"/>
    </row>
    <row r="41" spans="2:5" ht="18" customHeight="1" x14ac:dyDescent="0.2">
      <c r="B41" s="49"/>
      <c r="C41" s="87" t="s">
        <v>60</v>
      </c>
      <c r="D41" s="87"/>
      <c r="E41" s="87"/>
    </row>
    <row r="42" spans="2:5" x14ac:dyDescent="0.2">
      <c r="B42" s="48" t="s">
        <v>19</v>
      </c>
      <c r="C42" s="46"/>
      <c r="D42" s="46"/>
      <c r="E42" s="47"/>
    </row>
    <row r="43" spans="2:5" x14ac:dyDescent="0.2">
      <c r="B43" s="48"/>
      <c r="C43" s="86"/>
      <c r="D43" s="86"/>
      <c r="E43" s="86"/>
    </row>
    <row r="44" spans="2:5" x14ac:dyDescent="0.2">
      <c r="B44" s="52"/>
      <c r="C44" s="53"/>
      <c r="D44" s="53"/>
      <c r="E44" s="54"/>
    </row>
    <row r="48" spans="2:5" ht="13.5" thickBot="1" x14ac:dyDescent="0.25"/>
    <row r="49" spans="2:5" x14ac:dyDescent="0.2">
      <c r="B49" s="42" t="s">
        <v>69</v>
      </c>
      <c r="C49" s="43"/>
      <c r="D49" s="43"/>
      <c r="E49" s="44"/>
    </row>
    <row r="50" spans="2:5" x14ac:dyDescent="0.2">
      <c r="B50" s="45"/>
      <c r="C50" s="46"/>
      <c r="D50" s="46"/>
      <c r="E50" s="47"/>
    </row>
    <row r="51" spans="2:5" x14ac:dyDescent="0.2">
      <c r="B51" s="48" t="s">
        <v>15</v>
      </c>
      <c r="C51" s="46"/>
      <c r="D51" s="46"/>
      <c r="E51" s="47"/>
    </row>
    <row r="52" spans="2:5" ht="36" customHeight="1" x14ac:dyDescent="0.2">
      <c r="B52" s="48"/>
      <c r="C52" s="82" t="s">
        <v>75</v>
      </c>
      <c r="D52" s="82"/>
      <c r="E52" s="82"/>
    </row>
    <row r="53" spans="2:5" x14ac:dyDescent="0.2">
      <c r="B53" s="48" t="s">
        <v>16</v>
      </c>
      <c r="C53" s="46"/>
      <c r="D53" s="46"/>
      <c r="E53" s="47"/>
    </row>
    <row r="54" spans="2:5" ht="22.5" customHeight="1" x14ac:dyDescent="0.2">
      <c r="B54" s="49"/>
      <c r="C54" s="83" t="s">
        <v>68</v>
      </c>
      <c r="D54" s="83"/>
      <c r="E54" s="84"/>
    </row>
    <row r="55" spans="2:5" x14ac:dyDescent="0.2">
      <c r="B55" s="49"/>
      <c r="C55" s="86"/>
      <c r="D55" s="86"/>
      <c r="E55" s="86"/>
    </row>
    <row r="56" spans="2:5" x14ac:dyDescent="0.2">
      <c r="B56" s="48" t="s">
        <v>17</v>
      </c>
      <c r="C56" s="46"/>
      <c r="D56" s="46"/>
      <c r="E56" s="47"/>
    </row>
    <row r="57" spans="2:5" x14ac:dyDescent="0.2">
      <c r="B57" s="49"/>
      <c r="C57" s="82"/>
      <c r="D57" s="82"/>
      <c r="E57" s="82"/>
    </row>
    <row r="58" spans="2:5" x14ac:dyDescent="0.2">
      <c r="B58" s="48" t="s">
        <v>18</v>
      </c>
      <c r="C58" s="50"/>
      <c r="D58" s="50"/>
      <c r="E58" s="51"/>
    </row>
    <row r="59" spans="2:5" ht="27" customHeight="1" x14ac:dyDescent="0.2">
      <c r="B59" s="49"/>
      <c r="C59" s="87" t="s">
        <v>60</v>
      </c>
      <c r="D59" s="87"/>
      <c r="E59" s="87"/>
    </row>
    <row r="60" spans="2:5" x14ac:dyDescent="0.2">
      <c r="B60" s="48" t="s">
        <v>19</v>
      </c>
      <c r="C60" s="46"/>
      <c r="D60" s="46"/>
      <c r="E60" s="47"/>
    </row>
    <row r="61" spans="2:5" x14ac:dyDescent="0.2">
      <c r="B61" s="48"/>
      <c r="C61" s="86"/>
      <c r="D61" s="86"/>
      <c r="E61" s="86"/>
    </row>
    <row r="62" spans="2:5" ht="13.5" thickBot="1" x14ac:dyDescent="0.25">
      <c r="B62" s="52"/>
      <c r="C62" s="53"/>
      <c r="D62" s="53"/>
      <c r="E62" s="54"/>
    </row>
    <row r="65" spans="2:5" ht="13.5" thickBot="1" x14ac:dyDescent="0.25"/>
    <row r="66" spans="2:5" x14ac:dyDescent="0.2">
      <c r="B66" s="42" t="s">
        <v>70</v>
      </c>
      <c r="C66" s="43"/>
      <c r="D66" s="43"/>
      <c r="E66" s="44"/>
    </row>
    <row r="67" spans="2:5" x14ac:dyDescent="0.2">
      <c r="B67" s="45"/>
      <c r="C67" s="46"/>
      <c r="D67" s="46"/>
      <c r="E67" s="47"/>
    </row>
    <row r="68" spans="2:5" x14ac:dyDescent="0.2">
      <c r="B68" s="48" t="s">
        <v>15</v>
      </c>
      <c r="C68" s="46"/>
      <c r="D68" s="46"/>
      <c r="E68" s="47"/>
    </row>
    <row r="69" spans="2:5" ht="69" customHeight="1" x14ac:dyDescent="0.2">
      <c r="B69" s="48"/>
      <c r="C69" s="131" t="s">
        <v>82</v>
      </c>
      <c r="D69" s="131"/>
      <c r="E69" s="132"/>
    </row>
    <row r="70" spans="2:5" x14ac:dyDescent="0.2">
      <c r="B70" s="48" t="s">
        <v>16</v>
      </c>
      <c r="C70" s="46"/>
      <c r="D70" s="46"/>
      <c r="E70" s="47"/>
    </row>
    <row r="71" spans="2:5" ht="24.75" customHeight="1" x14ac:dyDescent="0.2">
      <c r="B71" s="49"/>
      <c r="C71" s="83" t="s">
        <v>68</v>
      </c>
      <c r="D71" s="83"/>
      <c r="E71" s="84"/>
    </row>
    <row r="72" spans="2:5" x14ac:dyDescent="0.2">
      <c r="B72" s="49"/>
      <c r="C72" s="86"/>
      <c r="D72" s="86"/>
      <c r="E72" s="86"/>
    </row>
    <row r="73" spans="2:5" x14ac:dyDescent="0.2">
      <c r="B73" s="48" t="s">
        <v>17</v>
      </c>
      <c r="C73" s="46"/>
      <c r="D73" s="46"/>
      <c r="E73" s="47"/>
    </row>
    <row r="74" spans="2:5" x14ac:dyDescent="0.2">
      <c r="B74" s="49"/>
      <c r="C74" s="82"/>
      <c r="D74" s="82"/>
      <c r="E74" s="82"/>
    </row>
    <row r="75" spans="2:5" x14ac:dyDescent="0.2">
      <c r="B75" s="48" t="s">
        <v>18</v>
      </c>
      <c r="C75" s="50"/>
      <c r="D75" s="50"/>
      <c r="E75" s="51"/>
    </row>
    <row r="76" spans="2:5" ht="29.25" customHeight="1" x14ac:dyDescent="0.2">
      <c r="B76" s="49"/>
      <c r="C76" s="88" t="s">
        <v>60</v>
      </c>
      <c r="D76" s="88"/>
      <c r="E76" s="89"/>
    </row>
    <row r="77" spans="2:5" x14ac:dyDescent="0.2">
      <c r="B77" s="48" t="s">
        <v>19</v>
      </c>
      <c r="C77" s="46"/>
      <c r="D77" s="46"/>
      <c r="E77" s="47"/>
    </row>
    <row r="78" spans="2:5" x14ac:dyDescent="0.2">
      <c r="B78" s="48"/>
      <c r="C78" s="86"/>
      <c r="D78" s="86"/>
      <c r="E78" s="86"/>
    </row>
    <row r="79" spans="2:5" ht="13.5" thickBot="1" x14ac:dyDescent="0.25">
      <c r="B79" s="52"/>
      <c r="C79" s="53"/>
      <c r="D79" s="53"/>
      <c r="E79" s="54"/>
    </row>
  </sheetData>
  <mergeCells count="31">
    <mergeCell ref="C76:E76"/>
    <mergeCell ref="C78:E78"/>
    <mergeCell ref="C59:E59"/>
    <mergeCell ref="C61:E61"/>
    <mergeCell ref="C69:E69"/>
    <mergeCell ref="C71:E71"/>
    <mergeCell ref="C72:E72"/>
    <mergeCell ref="C52:E52"/>
    <mergeCell ref="C54:E54"/>
    <mergeCell ref="C55:E55"/>
    <mergeCell ref="C57:E57"/>
    <mergeCell ref="C74:E74"/>
    <mergeCell ref="C37:E37"/>
    <mergeCell ref="C39:E39"/>
    <mergeCell ref="C41:E41"/>
    <mergeCell ref="C43:E43"/>
    <mergeCell ref="C24:E24"/>
    <mergeCell ref="C26:E26"/>
    <mergeCell ref="C28:E28"/>
    <mergeCell ref="C34:E34"/>
    <mergeCell ref="C36:E36"/>
    <mergeCell ref="A6:B6"/>
    <mergeCell ref="A7:B7"/>
    <mergeCell ref="C19:E19"/>
    <mergeCell ref="C21:E21"/>
    <mergeCell ref="C22:E22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zoomScale="70" zoomScaleNormal="70" workbookViewId="0">
      <selection activeCell="D6" sqref="D6:K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8.85546875" style="2" customWidth="1"/>
    <col min="10" max="10" width="17.7109375" style="2" customWidth="1"/>
    <col min="11" max="11" width="24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90" t="s">
        <v>78</v>
      </c>
      <c r="B1" s="90"/>
      <c r="C1" s="90"/>
      <c r="D1" s="90"/>
      <c r="E1" s="90"/>
      <c r="F1" s="90"/>
      <c r="G1" s="90"/>
      <c r="H1" s="90"/>
      <c r="I1" s="90"/>
      <c r="J1" s="3" t="s">
        <v>21</v>
      </c>
      <c r="K1" s="65"/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91" t="s">
        <v>54</v>
      </c>
      <c r="B3" s="91"/>
      <c r="C3" s="91"/>
      <c r="D3" s="92" t="str">
        <f>'Necesidades Trimestrales'!C4</f>
        <v>40 - Ministerio de Salud</v>
      </c>
      <c r="E3" s="92"/>
      <c r="F3" s="92"/>
      <c r="G3" s="92"/>
      <c r="H3" s="92"/>
      <c r="I3" s="92"/>
      <c r="J3" s="92"/>
      <c r="K3" s="92"/>
    </row>
    <row r="4" spans="1:1024" ht="18.75" customHeight="1" thickBot="1" x14ac:dyDescent="0.25">
      <c r="A4" s="93" t="s">
        <v>55</v>
      </c>
      <c r="B4" s="93"/>
      <c r="C4" s="93"/>
      <c r="D4" s="92" t="str">
        <f>'Necesidades Trimestrales'!C5</f>
        <v>23 - Hospital Interzonal San Juan Bautista</v>
      </c>
      <c r="E4" s="92"/>
      <c r="F4" s="92"/>
      <c r="G4" s="92"/>
      <c r="H4" s="92"/>
      <c r="I4" s="92"/>
      <c r="J4" s="92"/>
      <c r="K4" s="92"/>
    </row>
    <row r="5" spans="1:1024" ht="18.75" customHeight="1" thickBot="1" x14ac:dyDescent="0.25">
      <c r="A5" s="93" t="s">
        <v>33</v>
      </c>
      <c r="B5" s="93"/>
      <c r="C5" s="93"/>
      <c r="D5" s="92" t="s">
        <v>59</v>
      </c>
      <c r="E5" s="92"/>
      <c r="F5" s="92"/>
      <c r="G5" s="92"/>
      <c r="H5" s="92"/>
      <c r="I5" s="92"/>
      <c r="J5" s="92"/>
      <c r="K5" s="92"/>
    </row>
    <row r="6" spans="1:1024" ht="16.5" customHeight="1" thickBot="1" x14ac:dyDescent="0.25">
      <c r="A6" s="91" t="s">
        <v>56</v>
      </c>
      <c r="B6" s="91"/>
      <c r="C6" s="91"/>
      <c r="D6" s="92" t="s">
        <v>66</v>
      </c>
      <c r="E6" s="92"/>
      <c r="F6" s="92"/>
      <c r="G6" s="92"/>
      <c r="H6" s="92"/>
      <c r="I6" s="92"/>
      <c r="J6" s="92"/>
      <c r="K6" s="92"/>
    </row>
    <row r="7" spans="1:1024" ht="16.5" customHeight="1" x14ac:dyDescent="0.2">
      <c r="A7" s="93" t="s">
        <v>22</v>
      </c>
      <c r="B7" s="93"/>
      <c r="C7" s="93"/>
      <c r="D7" s="92" t="str">
        <f>'Necesidades Trimestrales'!C7 &amp; "° Trimestre - Año " &amp; 'Necesidades Trimestrales'!C6</f>
        <v>3° Trimestre - Año 2022</v>
      </c>
      <c r="E7" s="92"/>
      <c r="F7" s="92"/>
      <c r="G7" s="92"/>
      <c r="H7" s="92"/>
      <c r="I7" s="92"/>
      <c r="J7" s="92"/>
      <c r="K7" s="92"/>
    </row>
    <row r="8" spans="1:1024" ht="16.5" customHeight="1" x14ac:dyDescent="0.2">
      <c r="A8" s="98" t="s">
        <v>23</v>
      </c>
      <c r="B8" s="98"/>
      <c r="C8" s="98"/>
      <c r="D8" s="99" t="s">
        <v>67</v>
      </c>
      <c r="E8" s="99"/>
      <c r="F8" s="99"/>
      <c r="G8" s="99"/>
      <c r="H8" s="99"/>
      <c r="I8" s="99"/>
      <c r="J8" s="99"/>
      <c r="K8" s="99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100" t="s">
        <v>24</v>
      </c>
      <c r="B10" s="101" t="s">
        <v>25</v>
      </c>
      <c r="C10" s="101" t="s">
        <v>26</v>
      </c>
      <c r="D10" s="101"/>
      <c r="E10" s="101"/>
      <c r="F10" s="101"/>
      <c r="G10" s="101"/>
      <c r="H10" s="101" t="s">
        <v>27</v>
      </c>
      <c r="I10" s="101" t="s">
        <v>28</v>
      </c>
      <c r="J10" s="101" t="s">
        <v>29</v>
      </c>
      <c r="K10" s="102" t="s">
        <v>30</v>
      </c>
    </row>
    <row r="11" spans="1:1024" ht="24" customHeight="1" thickBot="1" x14ac:dyDescent="0.25">
      <c r="A11" s="100"/>
      <c r="B11" s="101"/>
      <c r="C11" s="101"/>
      <c r="D11" s="101"/>
      <c r="E11" s="101"/>
      <c r="F11" s="101"/>
      <c r="G11" s="101"/>
      <c r="H11" s="101"/>
      <c r="I11" s="101"/>
      <c r="J11" s="101"/>
      <c r="K11" s="102"/>
    </row>
    <row r="12" spans="1:1024" ht="20.25" customHeight="1" thickBot="1" x14ac:dyDescent="0.25">
      <c r="A12" s="8">
        <v>1</v>
      </c>
      <c r="B12" s="66" t="str">
        <f>'Necesidades Trimestrales'!B10</f>
        <v>3.2.2-8698.1</v>
      </c>
      <c r="C12" s="103" t="str">
        <f>'Necesidades Trimestrales'!E10</f>
        <v>ALQ. EQ. DE LABORATORIO; DESCRIPCION: ALQUILER EQUIPO DE LABORATORIO</v>
      </c>
      <c r="D12" s="103"/>
      <c r="E12" s="103"/>
      <c r="F12" s="103"/>
      <c r="G12" s="103"/>
      <c r="H12" s="67" t="s">
        <v>79</v>
      </c>
      <c r="I12" s="68" t="str">
        <f>'Necesidades Trimestrales'!F10</f>
        <v xml:space="preserve">MESES </v>
      </c>
      <c r="J12" s="69">
        <f>'Necesidades Trimestrales'!H10</f>
        <v>394590</v>
      </c>
      <c r="K12" s="70">
        <f>'Necesidades Trimestrales'!G10</f>
        <v>3</v>
      </c>
    </row>
    <row r="13" spans="1:1024" ht="20.25" customHeight="1" thickBot="1" x14ac:dyDescent="0.25">
      <c r="A13" s="8">
        <v>2</v>
      </c>
      <c r="B13" s="66" t="str">
        <f>'Necesidades Trimestrales'!B11</f>
        <v>3.2.2-8698.1</v>
      </c>
      <c r="C13" s="103" t="str">
        <f>'Necesidades Trimestrales'!E11</f>
        <v>ALQ. EQ. DE LABORATORIO; DESCRIPCION: ALQUILER EQUIPO DE LABORATORIO</v>
      </c>
      <c r="D13" s="103"/>
      <c r="E13" s="103"/>
      <c r="F13" s="103"/>
      <c r="G13" s="103"/>
      <c r="H13" s="67" t="s">
        <v>80</v>
      </c>
      <c r="I13" s="68" t="str">
        <f>'Necesidades Trimestrales'!F11</f>
        <v xml:space="preserve">MESES </v>
      </c>
      <c r="J13" s="69">
        <f>'Necesidades Trimestrales'!H11</f>
        <v>160952</v>
      </c>
      <c r="K13" s="70">
        <f>'Necesidades Trimestrales'!G11</f>
        <v>3</v>
      </c>
    </row>
    <row r="14" spans="1:1024" ht="20.25" customHeight="1" thickBot="1" x14ac:dyDescent="0.25">
      <c r="A14" s="8">
        <v>3</v>
      </c>
      <c r="B14" s="66" t="str">
        <f>'Necesidades Trimestrales'!B12</f>
        <v>3.2.2-8698.1</v>
      </c>
      <c r="C14" s="103" t="str">
        <f>'Necesidades Trimestrales'!E12</f>
        <v>ALQ. EQ. DE LABORATORIO; DESCRIPCION: ALQUILER EQUIPO DE LABORATORIO</v>
      </c>
      <c r="D14" s="103"/>
      <c r="E14" s="103"/>
      <c r="F14" s="103"/>
      <c r="G14" s="103"/>
      <c r="H14" s="67" t="s">
        <v>80</v>
      </c>
      <c r="I14" s="68" t="str">
        <f>'Necesidades Trimestrales'!F12</f>
        <v xml:space="preserve">MESES </v>
      </c>
      <c r="J14" s="69">
        <f>'Necesidades Trimestrales'!H12</f>
        <v>148750</v>
      </c>
      <c r="K14" s="70">
        <f>'Necesidades Trimestrales'!G12</f>
        <v>3</v>
      </c>
    </row>
    <row r="15" spans="1:1024" ht="20.25" customHeight="1" thickBot="1" x14ac:dyDescent="0.25">
      <c r="A15" s="8">
        <v>4</v>
      </c>
      <c r="B15" s="66" t="str">
        <f>'Necesidades Trimestrales'!B13</f>
        <v>3.2.2-8698.1</v>
      </c>
      <c r="C15" s="103" t="str">
        <f>'Necesidades Trimestrales'!E13</f>
        <v>ALQ. EQ. DE LABORATORIO; DESCRIPCION: ALQUILER EQUIPO DE LABORATORIO</v>
      </c>
      <c r="D15" s="103"/>
      <c r="E15" s="103"/>
      <c r="F15" s="103"/>
      <c r="G15" s="103"/>
      <c r="H15" s="67" t="s">
        <v>79</v>
      </c>
      <c r="I15" s="68" t="str">
        <f>'Necesidades Trimestrales'!F13</f>
        <v xml:space="preserve">MESES </v>
      </c>
      <c r="J15" s="69">
        <f>'Necesidades Trimestrales'!H13</f>
        <v>278170</v>
      </c>
      <c r="K15" s="70">
        <f>'Necesidades Trimestrales'!G13</f>
        <v>3</v>
      </c>
    </row>
    <row r="16" spans="1:1024" ht="28.5" customHeight="1" thickBot="1" x14ac:dyDescent="0.25">
      <c r="A16" s="94" t="s">
        <v>77</v>
      </c>
      <c r="B16" s="95"/>
      <c r="C16" s="95"/>
      <c r="D16" s="95"/>
      <c r="E16" s="95"/>
      <c r="F16" s="95"/>
      <c r="G16" s="95"/>
      <c r="H16" s="95"/>
      <c r="I16" s="96"/>
      <c r="J16" s="97">
        <f>SUMPRODUCT(J12:J15,K12:K15)</f>
        <v>2947386</v>
      </c>
      <c r="K16" s="97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</sheetData>
  <mergeCells count="26">
    <mergeCell ref="A16:I16"/>
    <mergeCell ref="J16:K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opLeftCell="A13" zoomScale="130" zoomScaleNormal="130" workbookViewId="0">
      <selection activeCell="O15" sqref="O15:P15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4" t="s">
        <v>3</v>
      </c>
      <c r="B1" s="104"/>
      <c r="C1" s="104"/>
      <c r="D1" s="105">
        <f>'Necesidades Trimestrales'!C6</f>
        <v>2022</v>
      </c>
      <c r="E1" s="105"/>
      <c r="F1" s="10"/>
      <c r="G1" s="10"/>
      <c r="H1" s="11"/>
      <c r="I1" s="11"/>
      <c r="J1" s="11"/>
      <c r="K1" s="11"/>
      <c r="L1" s="11"/>
      <c r="M1" s="11"/>
      <c r="N1" s="11"/>
      <c r="P1" s="106" t="s">
        <v>31</v>
      </c>
      <c r="Q1" s="106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6"/>
      <c r="Q2" s="106"/>
    </row>
    <row r="4" spans="1:17" s="12" customFormat="1" ht="18" customHeight="1" thickBot="1" x14ac:dyDescent="0.25">
      <c r="A4" s="107" t="s">
        <v>32</v>
      </c>
      <c r="B4" s="107"/>
      <c r="C4" s="107"/>
      <c r="D4" s="107"/>
      <c r="E4" s="107"/>
      <c r="F4" s="107"/>
      <c r="G4" s="108" t="str">
        <f>NotaPedido!D3</f>
        <v>40 - Ministerio de Salud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</row>
    <row r="5" spans="1:17" s="12" customFormat="1" ht="18" customHeight="1" thickBot="1" x14ac:dyDescent="0.25">
      <c r="A5" s="109" t="s">
        <v>55</v>
      </c>
      <c r="B5" s="110"/>
      <c r="C5" s="110"/>
      <c r="D5" s="110"/>
      <c r="E5" s="110"/>
      <c r="F5" s="111"/>
      <c r="G5" s="108" t="str">
        <f>NotaPedido!D4</f>
        <v>23 - Hospital Interzonal San Juan Bautista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</row>
    <row r="6" spans="1:17" s="12" customFormat="1" ht="18" customHeight="1" thickBot="1" x14ac:dyDescent="0.25">
      <c r="A6" s="109" t="s">
        <v>33</v>
      </c>
      <c r="B6" s="110"/>
      <c r="C6" s="110"/>
      <c r="D6" s="110"/>
      <c r="E6" s="110"/>
      <c r="F6" s="111"/>
      <c r="G6" s="108" t="str">
        <f>NotaPedido!D5</f>
        <v>168 - Direccion Asistencial</v>
      </c>
      <c r="H6" s="108"/>
      <c r="I6" s="108"/>
      <c r="J6" s="108"/>
      <c r="K6" s="108"/>
      <c r="L6" s="108"/>
      <c r="M6" s="108"/>
      <c r="N6" s="108"/>
      <c r="O6" s="108"/>
      <c r="P6" s="108"/>
      <c r="Q6" s="108"/>
    </row>
    <row r="7" spans="1:17" s="12" customFormat="1" ht="18" customHeight="1" thickBot="1" x14ac:dyDescent="0.25">
      <c r="A7" s="109" t="s">
        <v>56</v>
      </c>
      <c r="B7" s="110"/>
      <c r="C7" s="110"/>
      <c r="D7" s="110"/>
      <c r="E7" s="110"/>
      <c r="F7" s="111"/>
      <c r="G7" s="108" t="str">
        <f>NotaPedido!D6</f>
        <v xml:space="preserve">Servicio de Laboratorio Central 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</row>
    <row r="8" spans="1:17" ht="18" customHeight="1" thickBot="1" x14ac:dyDescent="0.25">
      <c r="A8" s="112" t="s">
        <v>34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</row>
    <row r="9" spans="1:17" ht="18" customHeight="1" x14ac:dyDescent="0.2">
      <c r="A9" s="113" t="s">
        <v>35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"/>
      <c r="P9" s="1"/>
      <c r="Q9" s="13"/>
    </row>
    <row r="10" spans="1:17" ht="54.75" customHeight="1" x14ac:dyDescent="0.2">
      <c r="A10" s="11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,  afectando la erogación resultante a los créditos presupuestarios aprobados a favor de esta Unidad Ejecutora, conforme al siguiente detalle: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5" t="s">
        <v>36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</row>
    <row r="13" spans="1:17" ht="15.75" customHeight="1" x14ac:dyDescent="0.2">
      <c r="A13" s="116" t="s">
        <v>37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7" t="s">
        <v>38</v>
      </c>
      <c r="P13" s="117"/>
      <c r="Q13" s="118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7"/>
      <c r="P14" s="117"/>
      <c r="Q14" s="118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61</v>
      </c>
      <c r="I15" s="76">
        <v>3</v>
      </c>
      <c r="J15" s="76">
        <v>2</v>
      </c>
      <c r="K15" s="76">
        <v>2</v>
      </c>
      <c r="L15" s="74"/>
      <c r="M15" s="77">
        <v>1</v>
      </c>
      <c r="N15" s="75" t="s">
        <v>62</v>
      </c>
      <c r="O15" s="119" t="s">
        <v>76</v>
      </c>
      <c r="P15" s="119"/>
      <c r="Q15" s="23">
        <v>2947386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20"/>
      <c r="P16" s="120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20"/>
      <c r="P17" s="120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26"/>
      <c r="P18" s="126"/>
      <c r="Q18" s="28"/>
    </row>
    <row r="19" spans="1:19" ht="17.25" customHeight="1" x14ac:dyDescent="0.2">
      <c r="A19" s="29"/>
      <c r="B19" s="30"/>
      <c r="C19" s="30"/>
      <c r="D19" s="30"/>
      <c r="E19" s="30"/>
      <c r="F19" s="31"/>
      <c r="G19" s="30"/>
      <c r="H19" s="30"/>
      <c r="I19" s="30"/>
      <c r="J19" s="30"/>
      <c r="K19" s="30"/>
      <c r="L19" s="30"/>
      <c r="M19" s="32"/>
      <c r="N19" s="33"/>
      <c r="O19" s="127"/>
      <c r="P19" s="127"/>
      <c r="Q19" s="28"/>
      <c r="R19" s="1"/>
    </row>
    <row r="20" spans="1:19" ht="17.25" customHeight="1" x14ac:dyDescent="0.2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35"/>
      <c r="O20" s="128"/>
      <c r="P20" s="128"/>
      <c r="Q20" s="37"/>
    </row>
    <row r="21" spans="1:19" ht="20.25" customHeight="1" x14ac:dyDescent="0.2">
      <c r="A21" s="129" t="s">
        <v>81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38">
        <f>SUM(Q15:Q20)</f>
        <v>2947386</v>
      </c>
    </row>
    <row r="22" spans="1:19" ht="18" customHeight="1" thickBot="1" x14ac:dyDescent="0.25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</row>
    <row r="23" spans="1:19" ht="17.25" customHeight="1" thickBot="1" x14ac:dyDescent="0.25">
      <c r="A23" s="121" t="s">
        <v>53</v>
      </c>
      <c r="B23" s="122"/>
      <c r="C23" s="122"/>
      <c r="D23" s="122"/>
      <c r="E23" s="122"/>
      <c r="F23" s="123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</row>
    <row r="24" spans="1:19" ht="18" customHeight="1" thickBot="1" x14ac:dyDescent="0.25">
      <c r="A24" s="125" t="str">
        <f>"Para la "&amp; NotaPedido!D8 &amp;" para ser destinados al " &amp; NotaPedido!D6 &amp;"  del HISJB del Ministerio de Salud."</f>
        <v>Para la Adquisición de Alquiler de Equipos para Laboratorio Central  para ser destinados al Servicio de Laboratorio Central   del HISJB del Ministerio de Salud.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</row>
    <row r="25" spans="1:19" ht="15" customHeight="1" x14ac:dyDescent="0.2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2022-06-30T15:01:57Z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