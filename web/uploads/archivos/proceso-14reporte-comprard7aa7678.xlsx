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01. Videolaparoscopia\4. Analisis\"/>
    </mc:Choice>
  </mc:AlternateContent>
  <xr:revisionPtr revIDLastSave="0" documentId="13_ncr:1_{43767CA5-83D7-4A08-86D3-197DB5C0BC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29" i="2" l="1"/>
  <c r="M29" i="2"/>
  <c r="Q29" i="2"/>
</calcChain>
</file>

<file path=xl/sharedStrings.xml><?xml version="1.0" encoding="utf-8"?>
<sst xmlns="http://schemas.openxmlformats.org/spreadsheetml/2006/main" count="173" uniqueCount="93">
  <si>
    <t>Número expediente:</t>
  </si>
  <si>
    <t>EX-2022-00035468-   -CAT-SCA#MEC</t>
  </si>
  <si>
    <t>Número proceso de compra:</t>
  </si>
  <si>
    <t>100-0001-CDI22</t>
  </si>
  <si>
    <t>Nombre descriptivo proceso de compra:</t>
  </si>
  <si>
    <t>Adquisición de Instrumental para Videolaparoscopia destinados al HSJB</t>
  </si>
  <si>
    <t>Unidad Operativa de Compras:</t>
  </si>
  <si>
    <t>Secretaria de Compras y Abastecimiento</t>
  </si>
  <si>
    <t>Fecha de Apertura:</t>
  </si>
  <si>
    <t>21/01/2022</t>
  </si>
  <si>
    <t>Renglón</t>
  </si>
  <si>
    <t>MEDIGRUP ARGENTINA S.A.</t>
  </si>
  <si>
    <t>KARL STORZ ENDOSCOPIA ARGENTINA S.A.</t>
  </si>
  <si>
    <t>DROGUERIA PHARMA CENTER S.R.L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</si>
  <si>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</si>
  <si>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</si>
  <si>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</si>
  <si>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</si>
  <si>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</si>
  <si>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</si>
  <si>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</si>
  <si>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</si>
  <si>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</si>
  <si>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</si>
  <si>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2.9.5-459.172 </t>
  </si>
  <si>
    <t xml:space="preserve">TIJERAS P/MEDICINA; TIPO: METZEMBAUNG CURVA , MEDIDA: 36 CM, USO: 
LAPAROSCOPIA </t>
  </si>
  <si>
    <t xml:space="preserve">UNIDAD </t>
  </si>
  <si>
    <t xml:space="preserve">SEGUN PLIEGO. </t>
  </si>
  <si>
    <t xml:space="preserve">Tijera KARL STORZ </t>
  </si>
  <si>
    <t xml:space="preserve">DE ACUERDO A PLIEGO </t>
  </si>
  <si>
    <t xml:space="preserve">2 </t>
  </si>
  <si>
    <t xml:space="preserve">2.9.5-8874.146 </t>
  </si>
  <si>
    <t xml:space="preserve">INSTRUMENTAL MEDICO; DESCARTABLE: NO, MATERIAL: ACERO INOXIDABLE, ELEMENTO: INSERTO PARA 
TIJERA METZEMBAUNG CURVA DE 36 CM </t>
  </si>
  <si>
    <t xml:space="preserve">SEGUN PLIEGO   </t>
  </si>
  <si>
    <t xml:space="preserve">Insert de tijera marca KARL STORZ </t>
  </si>
  <si>
    <t xml:space="preserve">3 </t>
  </si>
  <si>
    <t xml:space="preserve">2.9.5-472.407 </t>
  </si>
  <si>
    <t xml:space="preserve">PINZAS DE CIRUGIA; TIPO: MANDIBULAS COCODRILO, MEDIDA: 36 CM </t>
  </si>
  <si>
    <t xml:space="preserve">SEGUN PLIEGO </t>
  </si>
  <si>
    <t xml:space="preserve">Pinza marca KARL STORZ </t>
  </si>
  <si>
    <t xml:space="preserve">4 </t>
  </si>
  <si>
    <t xml:space="preserve">2.9.5-5769.111 </t>
  </si>
  <si>
    <t xml:space="preserve">PINZAS P/MEDICINA; USO: QUIRURGICO, TIPO: GRASPER, MEDIDA: 36 CM </t>
  </si>
  <si>
    <t xml:space="preserve">5 </t>
  </si>
  <si>
    <t xml:space="preserve">2.9.5-8874.147 </t>
  </si>
  <si>
    <t xml:space="preserve">INSTRUMENTAL MEDICO; DESCARTABLE: NO, MATERIAL: ACERO INOXIDABLE, ELEMENTO: INSERTO PARA 
PINZA GRASPER DE 36 CM </t>
  </si>
  <si>
    <t xml:space="preserve">Insert marca KARL STORZ </t>
  </si>
  <si>
    <t xml:space="preserve">6 </t>
  </si>
  <si>
    <t xml:space="preserve">2.9.5-8874.148 </t>
  </si>
  <si>
    <t xml:space="preserve">INSTRUMENTAL MEDICO; DESCARTABLE: NO, MATERIAL: ACERO INOXIDABLE, ELEMENTO: INSERTO  
PARA PINZA MARYLAND DE 36 CM </t>
  </si>
  <si>
    <t xml:space="preserve">7 </t>
  </si>
  <si>
    <t xml:space="preserve">2.9.5-5769.112 </t>
  </si>
  <si>
    <t xml:space="preserve">PINZAS P/MEDICINA; USO: LAPAROSCOPIA, TIPO: MARYLAND, MEDIDA: 36 CM </t>
  </si>
  <si>
    <t xml:space="preserve">SEGUN PLEGO </t>
  </si>
  <si>
    <t xml:space="preserve">8 </t>
  </si>
  <si>
    <t xml:space="preserve">2.9.5-5567.186 </t>
  </si>
  <si>
    <t xml:space="preserve">CANULAS; TIPO: CANULA DE VERES, MATERIAL: ACERO INOXIDABLE, DIAMETRO: 2 
MM, LONG.DE CUERPO: 15 CM </t>
  </si>
  <si>
    <t xml:space="preserve">Canula de VERESS marca KARL STORZ </t>
  </si>
  <si>
    <t xml:space="preserve">DE ACUERDO AL PLIEGO </t>
  </si>
  <si>
    <t xml:space="preserve">9 </t>
  </si>
  <si>
    <t xml:space="preserve">2.9.5-5567.187 </t>
  </si>
  <si>
    <t xml:space="preserve">CANULAS; TIPO: CANULA DE VERES, MATERIAL: ACERO INOXIDABLE, DIAMETRO: 2 
MM, LONG.DE CUERPO: 18 CM </t>
  </si>
  <si>
    <t xml:space="preserve">CANULAS; TIPO: CANULA DE VERES, MATERIAL: ACERO INOXIDABLE, DIAMETRO: 2 
MM, LONG.DE CUERPO: 12 CM </t>
  </si>
  <si>
    <t xml:space="preserve">Canula de Veress marca KARL STORZ </t>
  </si>
  <si>
    <t xml:space="preserve">10 </t>
  </si>
  <si>
    <t xml:space="preserve">2.9.5-6700.13 </t>
  </si>
  <si>
    <t xml:space="preserve">TROCAR DE PUNCION; USO: QUIRURGICO, TIPO: P/LAPAROSCOPIA, CAMISA: CON </t>
  </si>
  <si>
    <t xml:space="preserve">11 </t>
  </si>
  <si>
    <t xml:space="preserve">12 </t>
  </si>
  <si>
    <t xml:space="preserve">2.9.5-8874.145 </t>
  </si>
  <si>
    <t xml:space="preserve">INSTRUMENTAL MEDICO; DESCARTABLE: NO, MATERIAL: ACERO INOXIDABLE, ELEMENTO: REDUCTOR DE 
11/5 MM PARA TROCAR DE VALVULA AUTOMATICA </t>
  </si>
  <si>
    <t xml:space="preserve">Reductores marca KARL STORZ </t>
  </si>
  <si>
    <t xml:space="preserve">13 </t>
  </si>
  <si>
    <t xml:space="preserve">2.9.5-5567.190 </t>
  </si>
  <si>
    <t xml:space="preserve">CANULAS; TIPO: ASPIRACION DE CAMPO QUIRURGICO, MATERIAL: ACERO INOXIDABLE, DIAMETRO: 
5 MM, LONG. DE CUERPO: 36 CM </t>
  </si>
  <si>
    <t xml:space="preserve">SEGUN PLI </t>
  </si>
  <si>
    <t xml:space="preserve">ASPIRADOR CON 2 CANULAS 1 DE 5MM Y OTRA DE 
10MM </t>
  </si>
  <si>
    <t xml:space="preserve">14 </t>
  </si>
  <si>
    <t xml:space="preserve">2.9.5-5567.191 </t>
  </si>
  <si>
    <t xml:space="preserve">CANULAS; TIPO: ASPIRACION DE CAMPO QUIRURGICO, MATERIAL: ACERO INOXIDABLE, DIAMETRO: 
10 MM, LONG. DE CUERPO: 36 CM </t>
  </si>
  <si>
    <t xml:space="preserve">ALTERNATIVA ASPIRADOR CON 2 CANULAS 1 5MM Y OTRA 10MM 
AMBAS 420CM LARGO USO BARIATRICO </t>
  </si>
  <si>
    <t xml:space="preserve">15 </t>
  </si>
  <si>
    <t xml:space="preserve">2.9.5-8874.128 </t>
  </si>
  <si>
    <t xml:space="preserve">INSTRUMENTAL MEDICO; DESCARTABLE: NO, MATERIAL: ACERO INOXIDABLE, ELEMENTO: CLIPADORA </t>
  </si>
  <si>
    <t xml:space="preserve">Clipadora marca KARL STORZ </t>
  </si>
  <si>
    <t xml:space="preserve">16 </t>
  </si>
  <si>
    <t xml:space="preserve">2.9.5-8874.24 </t>
  </si>
  <si>
    <t xml:space="preserve">INSTRUMENTAL MEDICO; DESCARTABLE: NO, MATERIAL: ACERO INOXIDABLE, ELEMENTO: PINZA </t>
  </si>
  <si>
    <t xml:space="preserve">17 </t>
  </si>
  <si>
    <t xml:space="preserve">4.3.3-6718.4 </t>
  </si>
  <si>
    <t xml:space="preserve">ENDOCAMARAS; TIPO: VISION FOROBLICUA PANORAMICA 30°, DIGITAL: SI, LONGITUD: 31 
CM CON CONDUCTOR DE LUZ DE FIBRA OPTICA INCORPORADO, USO: 
CIRUGIA LAPAROSCOPICA, RESOLUCION: HIGH DEFINITION </t>
  </si>
  <si>
    <t xml:space="preserve">Optica HOPKINS MARCA KARL STORZ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</si>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</sst>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29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29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29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29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1.5703125" customWidth="1"/>
    <col min="5" max="5" width="64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1.85546875" customWidth="1"/>
    <col min="11" max="11" width="14.28515625" customWidth="1"/>
    <col min="12" max="12" width="17.28515625" customWidth="1"/>
    <col min="13" max="13" width="16.5703125" customWidth="1"/>
    <col min="14" max="14" width="33.5703125" customWidth="1"/>
    <col min="15" max="15" width="14.28515625" customWidth="1"/>
    <col min="16" max="16" width="17.28515625" customWidth="1"/>
    <col min="17" max="17" width="16.5703125" customWidth="1"/>
    <col min="18" max="18" width="21.5703125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30" x14ac:dyDescent="0.25">
      <c r="A10" t="s">
        <v>23</v>
      </c>
      <c r="B10" t="s">
        <v>23</v>
      </c>
      <c r="C10" t="s">
        <v>24</v>
      </c>
      <c r="D10" s="4" t="s">
        <v>25</v>
      </c>
      <c r="E10">
        <v>3</v>
      </c>
      <c r="F10" t="s">
        <v>26</v>
      </c>
      <c r="G10" s="3">
        <v>98885</v>
      </c>
      <c r="H10" s="3">
        <v>3</v>
      </c>
      <c r="I10" s="5">
        <v>296655</v>
      </c>
      <c r="J10" t="s">
        <v>27</v>
      </c>
      <c r="K10" s="3">
        <v>73107</v>
      </c>
      <c r="L10" s="3">
        <v>1</v>
      </c>
      <c r="M10" s="5">
        <v>73107</v>
      </c>
      <c r="N10" t="s">
        <v>28</v>
      </c>
      <c r="O10" s="3">
        <v>69575</v>
      </c>
      <c r="P10" s="3">
        <v>3</v>
      </c>
      <c r="Q10" s="5">
        <v>208725</v>
      </c>
      <c r="R10" t="s">
        <v>29</v>
      </c>
    </row>
    <row r="11" spans="1:18" ht="45" x14ac:dyDescent="0.25">
      <c r="A11" t="s">
        <v>30</v>
      </c>
      <c r="B11" t="s">
        <v>23</v>
      </c>
      <c r="C11" t="s">
        <v>31</v>
      </c>
      <c r="D11" s="4" t="s">
        <v>32</v>
      </c>
      <c r="E11">
        <v>2</v>
      </c>
      <c r="F11" t="s">
        <v>26</v>
      </c>
      <c r="G11" s="3">
        <v>40920</v>
      </c>
      <c r="H11" s="3">
        <v>2</v>
      </c>
      <c r="I11" s="5">
        <v>81840</v>
      </c>
      <c r="J11" t="s">
        <v>33</v>
      </c>
      <c r="K11" s="3">
        <v>33164</v>
      </c>
      <c r="L11" s="3">
        <v>2</v>
      </c>
      <c r="M11" s="5">
        <v>66328</v>
      </c>
      <c r="N11" t="s">
        <v>34</v>
      </c>
      <c r="O11" s="3">
        <v>38836.160000000003</v>
      </c>
      <c r="P11" s="3">
        <v>2</v>
      </c>
      <c r="Q11" s="5">
        <v>77672.320000000007</v>
      </c>
      <c r="R11" t="s">
        <v>29</v>
      </c>
    </row>
    <row r="12" spans="1:18" x14ac:dyDescent="0.25">
      <c r="A12" t="s">
        <v>35</v>
      </c>
      <c r="B12" t="s">
        <v>23</v>
      </c>
      <c r="C12" t="s">
        <v>36</v>
      </c>
      <c r="D12" t="s">
        <v>37</v>
      </c>
      <c r="E12">
        <v>2</v>
      </c>
      <c r="F12" t="s">
        <v>26</v>
      </c>
      <c r="G12" s="3">
        <v>100700</v>
      </c>
      <c r="H12" s="3">
        <v>2</v>
      </c>
      <c r="I12" s="5">
        <v>201400</v>
      </c>
      <c r="J12" t="s">
        <v>38</v>
      </c>
      <c r="K12" s="3">
        <v>72960</v>
      </c>
      <c r="L12" s="3">
        <v>2</v>
      </c>
      <c r="M12" s="5">
        <v>145920</v>
      </c>
      <c r="N12" t="s">
        <v>39</v>
      </c>
      <c r="O12" s="3">
        <v>84700</v>
      </c>
      <c r="P12" s="3">
        <v>2</v>
      </c>
      <c r="Q12" s="5">
        <v>169400</v>
      </c>
      <c r="R12" t="s">
        <v>29</v>
      </c>
    </row>
    <row r="13" spans="1:18" x14ac:dyDescent="0.25">
      <c r="A13" t="s">
        <v>40</v>
      </c>
      <c r="B13" t="s">
        <v>23</v>
      </c>
      <c r="C13" t="s">
        <v>41</v>
      </c>
      <c r="D13" t="s">
        <v>42</v>
      </c>
      <c r="E13">
        <v>6</v>
      </c>
      <c r="F13" t="s">
        <v>26</v>
      </c>
      <c r="G13" s="3">
        <v>99890</v>
      </c>
      <c r="H13" s="3">
        <v>4</v>
      </c>
      <c r="I13" s="5">
        <v>399560</v>
      </c>
      <c r="J13" t="s">
        <v>38</v>
      </c>
      <c r="K13" s="3">
        <v>69129</v>
      </c>
      <c r="L13" s="3">
        <v>6</v>
      </c>
      <c r="M13" s="5">
        <v>414774</v>
      </c>
      <c r="N13" t="s">
        <v>39</v>
      </c>
      <c r="O13" s="3">
        <v>47432</v>
      </c>
      <c r="P13" s="3">
        <v>6</v>
      </c>
      <c r="Q13" s="5">
        <v>284592</v>
      </c>
      <c r="R13" t="s">
        <v>29</v>
      </c>
    </row>
    <row r="14" spans="1:18" ht="45" x14ac:dyDescent="0.25">
      <c r="A14" t="s">
        <v>43</v>
      </c>
      <c r="B14" t="s">
        <v>23</v>
      </c>
      <c r="C14" t="s">
        <v>44</v>
      </c>
      <c r="D14" s="4" t="s">
        <v>45</v>
      </c>
      <c r="E14">
        <v>2</v>
      </c>
      <c r="F14" t="s">
        <v>26</v>
      </c>
      <c r="G14" s="3">
        <v>40920</v>
      </c>
      <c r="H14" s="3">
        <v>2</v>
      </c>
      <c r="I14" s="5">
        <v>81840</v>
      </c>
      <c r="J14" t="s">
        <v>38</v>
      </c>
      <c r="K14" s="3">
        <v>29184</v>
      </c>
      <c r="L14" s="3">
        <v>2</v>
      </c>
      <c r="M14" s="5">
        <v>58368</v>
      </c>
      <c r="N14" t="s">
        <v>46</v>
      </c>
      <c r="O14" s="3"/>
      <c r="P14" s="3"/>
      <c r="Q14" s="5"/>
    </row>
    <row r="15" spans="1:18" ht="30" x14ac:dyDescent="0.25">
      <c r="A15" t="s">
        <v>47</v>
      </c>
      <c r="B15" t="s">
        <v>23</v>
      </c>
      <c r="C15" t="s">
        <v>48</v>
      </c>
      <c r="D15" s="4" t="s">
        <v>49</v>
      </c>
      <c r="E15">
        <v>2</v>
      </c>
      <c r="F15" t="s">
        <v>26</v>
      </c>
      <c r="G15" s="3">
        <v>37200</v>
      </c>
      <c r="H15" s="3">
        <v>2</v>
      </c>
      <c r="I15" s="5">
        <v>74400</v>
      </c>
      <c r="J15" t="s">
        <v>38</v>
      </c>
      <c r="K15" s="3">
        <v>29184</v>
      </c>
      <c r="L15" s="3">
        <v>2</v>
      </c>
      <c r="M15" s="5">
        <v>58368</v>
      </c>
      <c r="N15" t="s">
        <v>46</v>
      </c>
      <c r="O15" s="3">
        <v>23232</v>
      </c>
      <c r="P15" s="3">
        <v>2</v>
      </c>
      <c r="Q15" s="5">
        <v>46464</v>
      </c>
      <c r="R15" t="s">
        <v>29</v>
      </c>
    </row>
    <row r="16" spans="1:18" x14ac:dyDescent="0.25">
      <c r="A16" t="s">
        <v>50</v>
      </c>
      <c r="B16" t="s">
        <v>23</v>
      </c>
      <c r="C16" t="s">
        <v>51</v>
      </c>
      <c r="D16" t="s">
        <v>52</v>
      </c>
      <c r="E16">
        <v>4</v>
      </c>
      <c r="F16" t="s">
        <v>26</v>
      </c>
      <c r="G16" s="3">
        <v>90640</v>
      </c>
      <c r="H16" s="3">
        <v>4</v>
      </c>
      <c r="I16" s="5">
        <v>362560</v>
      </c>
      <c r="J16" t="s">
        <v>53</v>
      </c>
      <c r="K16" s="3">
        <v>69129</v>
      </c>
      <c r="L16" s="3">
        <v>4</v>
      </c>
      <c r="M16" s="5">
        <v>276516</v>
      </c>
      <c r="N16" t="s">
        <v>39</v>
      </c>
      <c r="O16" s="3">
        <v>69696</v>
      </c>
      <c r="P16" s="3">
        <v>4</v>
      </c>
      <c r="Q16" s="5">
        <v>278784</v>
      </c>
      <c r="R16" t="s">
        <v>29</v>
      </c>
    </row>
    <row r="17" spans="1:18" ht="30" x14ac:dyDescent="0.25">
      <c r="A17" t="s">
        <v>54</v>
      </c>
      <c r="B17" t="s">
        <v>23</v>
      </c>
      <c r="C17" t="s">
        <v>55</v>
      </c>
      <c r="D17" s="4" t="s">
        <v>56</v>
      </c>
      <c r="E17">
        <v>5</v>
      </c>
      <c r="F17" t="s">
        <v>26</v>
      </c>
      <c r="G17" s="3">
        <v>50200</v>
      </c>
      <c r="H17" s="3">
        <v>5</v>
      </c>
      <c r="I17" s="5">
        <v>251000</v>
      </c>
      <c r="J17" t="s">
        <v>53</v>
      </c>
      <c r="K17" s="3">
        <v>12896</v>
      </c>
      <c r="L17" s="3">
        <v>5</v>
      </c>
      <c r="M17" s="5">
        <v>64480</v>
      </c>
      <c r="N17" t="s">
        <v>57</v>
      </c>
      <c r="O17" s="3">
        <v>13552</v>
      </c>
      <c r="P17" s="3">
        <v>5</v>
      </c>
      <c r="Q17" s="5">
        <v>67760</v>
      </c>
      <c r="R17" t="s">
        <v>58</v>
      </c>
    </row>
    <row r="18" spans="1:18" ht="45" x14ac:dyDescent="0.25">
      <c r="A18" t="s">
        <v>59</v>
      </c>
      <c r="B18" t="s">
        <v>23</v>
      </c>
      <c r="C18" t="s">
        <v>60</v>
      </c>
      <c r="D18" s="4" t="s">
        <v>61</v>
      </c>
      <c r="E18">
        <v>5</v>
      </c>
      <c r="F18" t="s">
        <v>26</v>
      </c>
      <c r="G18" s="3">
        <v>50200</v>
      </c>
      <c r="H18" s="3">
        <v>5</v>
      </c>
      <c r="I18" s="5">
        <v>251000</v>
      </c>
      <c r="J18" s="4" t="s">
        <v>62</v>
      </c>
      <c r="K18" s="3">
        <v>19881</v>
      </c>
      <c r="L18" s="3">
        <v>5</v>
      </c>
      <c r="M18" s="5">
        <v>99405</v>
      </c>
      <c r="N18" t="s">
        <v>63</v>
      </c>
      <c r="O18" s="3">
        <v>13552</v>
      </c>
      <c r="P18" s="3">
        <v>5</v>
      </c>
      <c r="Q18" s="5">
        <v>67760</v>
      </c>
      <c r="R18" t="s">
        <v>58</v>
      </c>
    </row>
    <row r="19" spans="1:18" x14ac:dyDescent="0.25">
      <c r="A19" t="s">
        <v>64</v>
      </c>
      <c r="B19" t="s">
        <v>23</v>
      </c>
      <c r="C19" t="s">
        <v>65</v>
      </c>
      <c r="D19" t="s">
        <v>66</v>
      </c>
      <c r="E19">
        <v>8</v>
      </c>
      <c r="F19" t="s">
        <v>26</v>
      </c>
      <c r="G19" s="3">
        <v>82700</v>
      </c>
      <c r="H19" s="3">
        <v>8</v>
      </c>
      <c r="I19" s="5">
        <v>661600</v>
      </c>
      <c r="J19" t="s">
        <v>38</v>
      </c>
      <c r="K19" s="3"/>
      <c r="L19" s="3"/>
      <c r="M19" s="5"/>
      <c r="O19" s="3">
        <v>38720</v>
      </c>
      <c r="P19" s="3">
        <v>8</v>
      </c>
      <c r="Q19" s="5">
        <v>309760</v>
      </c>
      <c r="R19" t="s">
        <v>58</v>
      </c>
    </row>
    <row r="20" spans="1:18" x14ac:dyDescent="0.25">
      <c r="A20" t="s">
        <v>67</v>
      </c>
      <c r="B20" t="s">
        <v>23</v>
      </c>
      <c r="C20" t="s">
        <v>65</v>
      </c>
      <c r="D20" t="s">
        <v>66</v>
      </c>
      <c r="E20">
        <v>8</v>
      </c>
      <c r="F20" t="s">
        <v>26</v>
      </c>
      <c r="G20" s="3">
        <v>82700</v>
      </c>
      <c r="H20" s="3">
        <v>8</v>
      </c>
      <c r="I20" s="5">
        <v>661600</v>
      </c>
      <c r="J20" t="s">
        <v>38</v>
      </c>
      <c r="K20" s="3"/>
      <c r="L20" s="3"/>
      <c r="M20" s="5"/>
      <c r="O20" s="3">
        <v>38720</v>
      </c>
      <c r="P20" s="3">
        <v>8</v>
      </c>
      <c r="Q20" s="5">
        <v>309760</v>
      </c>
      <c r="R20" t="s">
        <v>58</v>
      </c>
    </row>
    <row r="21" spans="1:18" ht="45" x14ac:dyDescent="0.25">
      <c r="A21" t="s">
        <v>68</v>
      </c>
      <c r="B21" t="s">
        <v>23</v>
      </c>
      <c r="C21" t="s">
        <v>69</v>
      </c>
      <c r="D21" s="4" t="s">
        <v>70</v>
      </c>
      <c r="E21">
        <v>5</v>
      </c>
      <c r="F21" t="s">
        <v>26</v>
      </c>
      <c r="G21" s="3">
        <v>20660</v>
      </c>
      <c r="H21" s="3">
        <v>5</v>
      </c>
      <c r="I21" s="5">
        <v>103300</v>
      </c>
      <c r="J21" t="s">
        <v>38</v>
      </c>
      <c r="K21" s="3">
        <v>13577</v>
      </c>
      <c r="L21" s="3">
        <v>5</v>
      </c>
      <c r="M21" s="5">
        <v>67885</v>
      </c>
      <c r="N21" t="s">
        <v>71</v>
      </c>
      <c r="O21" s="3"/>
      <c r="P21" s="3"/>
      <c r="Q21" s="5"/>
    </row>
    <row r="22" spans="1:18" ht="30" x14ac:dyDescent="0.25">
      <c r="A22" t="s">
        <v>72</v>
      </c>
      <c r="B22" t="s">
        <v>23</v>
      </c>
      <c r="C22" t="s">
        <v>73</v>
      </c>
      <c r="D22" s="4" t="s">
        <v>74</v>
      </c>
      <c r="E22">
        <v>2</v>
      </c>
      <c r="F22" t="s">
        <v>26</v>
      </c>
      <c r="G22" s="3">
        <v>100390</v>
      </c>
      <c r="H22" s="3">
        <v>2</v>
      </c>
      <c r="I22" s="5">
        <v>200780</v>
      </c>
      <c r="J22" t="s">
        <v>75</v>
      </c>
      <c r="K22" s="3"/>
      <c r="L22" s="3"/>
      <c r="M22" s="5"/>
      <c r="O22" s="3"/>
      <c r="P22" s="3"/>
      <c r="Q22" s="5"/>
    </row>
    <row r="23" spans="1:18" ht="30" x14ac:dyDescent="0.25">
      <c r="A23" t="s">
        <v>72</v>
      </c>
      <c r="B23" t="s">
        <v>30</v>
      </c>
      <c r="C23" t="s">
        <v>73</v>
      </c>
      <c r="D23" s="4" t="s">
        <v>74</v>
      </c>
      <c r="E23">
        <v>2</v>
      </c>
      <c r="F23" t="s">
        <v>26</v>
      </c>
      <c r="G23" s="3">
        <v>106300</v>
      </c>
      <c r="H23" s="3">
        <v>2</v>
      </c>
      <c r="I23" s="5">
        <v>212600</v>
      </c>
      <c r="J23" s="4" t="s">
        <v>76</v>
      </c>
      <c r="K23" s="3"/>
      <c r="L23" s="3"/>
      <c r="M23" s="5"/>
      <c r="O23" s="3"/>
      <c r="P23" s="3"/>
      <c r="Q23" s="5"/>
    </row>
    <row r="24" spans="1:18" ht="30" x14ac:dyDescent="0.25">
      <c r="A24" t="s">
        <v>77</v>
      </c>
      <c r="B24" t="s">
        <v>23</v>
      </c>
      <c r="C24" t="s">
        <v>78</v>
      </c>
      <c r="D24" s="4" t="s">
        <v>79</v>
      </c>
      <c r="E24">
        <v>2</v>
      </c>
      <c r="F24" t="s">
        <v>26</v>
      </c>
      <c r="G24" s="3">
        <v>106300</v>
      </c>
      <c r="H24" s="3">
        <v>2</v>
      </c>
      <c r="I24" s="5">
        <v>212600</v>
      </c>
      <c r="J24" t="s">
        <v>38</v>
      </c>
      <c r="K24" s="3"/>
      <c r="L24" s="3"/>
      <c r="M24" s="5"/>
      <c r="O24" s="3"/>
      <c r="P24" s="3"/>
      <c r="Q24" s="5"/>
    </row>
    <row r="25" spans="1:18" ht="30" x14ac:dyDescent="0.25">
      <c r="A25" t="s">
        <v>77</v>
      </c>
      <c r="B25" t="s">
        <v>30</v>
      </c>
      <c r="C25" t="s">
        <v>78</v>
      </c>
      <c r="D25" s="4" t="s">
        <v>79</v>
      </c>
      <c r="E25">
        <v>2</v>
      </c>
      <c r="F25" t="s">
        <v>26</v>
      </c>
      <c r="G25" s="3">
        <v>112200</v>
      </c>
      <c r="H25" s="3">
        <v>2</v>
      </c>
      <c r="I25" s="5">
        <v>224400</v>
      </c>
      <c r="J25" s="4" t="s">
        <v>80</v>
      </c>
      <c r="K25" s="3"/>
      <c r="L25" s="3"/>
      <c r="M25" s="5"/>
      <c r="O25" s="3"/>
      <c r="P25" s="3"/>
      <c r="Q25" s="5"/>
    </row>
    <row r="26" spans="1:18" x14ac:dyDescent="0.25">
      <c r="A26" t="s">
        <v>81</v>
      </c>
      <c r="B26" t="s">
        <v>23</v>
      </c>
      <c r="C26" t="s">
        <v>82</v>
      </c>
      <c r="D26" t="s">
        <v>83</v>
      </c>
      <c r="E26">
        <v>4</v>
      </c>
      <c r="F26" t="s">
        <v>26</v>
      </c>
      <c r="G26" s="3">
        <v>126963</v>
      </c>
      <c r="H26" s="3">
        <v>4</v>
      </c>
      <c r="I26" s="5">
        <v>507852</v>
      </c>
      <c r="J26" t="s">
        <v>38</v>
      </c>
      <c r="K26" s="3">
        <v>113749</v>
      </c>
      <c r="L26" s="3">
        <v>4</v>
      </c>
      <c r="M26" s="5">
        <v>454996</v>
      </c>
      <c r="N26" t="s">
        <v>84</v>
      </c>
      <c r="O26" s="3">
        <v>145200</v>
      </c>
      <c r="P26" s="3">
        <v>4</v>
      </c>
      <c r="Q26" s="5">
        <v>580800</v>
      </c>
      <c r="R26" t="s">
        <v>29</v>
      </c>
    </row>
    <row r="27" spans="1:18" x14ac:dyDescent="0.25">
      <c r="A27" t="s">
        <v>85</v>
      </c>
      <c r="B27" t="s">
        <v>23</v>
      </c>
      <c r="C27" t="s">
        <v>86</v>
      </c>
      <c r="D27" t="s">
        <v>87</v>
      </c>
      <c r="E27">
        <v>4</v>
      </c>
      <c r="F27" t="s">
        <v>26</v>
      </c>
      <c r="G27" s="3">
        <v>91524</v>
      </c>
      <c r="H27" s="3">
        <v>4</v>
      </c>
      <c r="I27" s="5">
        <v>366096</v>
      </c>
      <c r="J27" t="s">
        <v>38</v>
      </c>
      <c r="K27" s="3">
        <v>69129</v>
      </c>
      <c r="L27" s="3">
        <v>4</v>
      </c>
      <c r="M27" s="5">
        <v>276516</v>
      </c>
      <c r="N27" t="s">
        <v>39</v>
      </c>
      <c r="O27" s="3">
        <v>93170</v>
      </c>
      <c r="P27" s="3">
        <v>4</v>
      </c>
      <c r="Q27" s="5">
        <v>372680</v>
      </c>
      <c r="R27" t="s">
        <v>58</v>
      </c>
    </row>
    <row r="28" spans="1:18" ht="45" x14ac:dyDescent="0.25">
      <c r="A28" t="s">
        <v>88</v>
      </c>
      <c r="B28" t="s">
        <v>23</v>
      </c>
      <c r="C28" t="s">
        <v>89</v>
      </c>
      <c r="D28" s="4" t="s">
        <v>90</v>
      </c>
      <c r="E28">
        <v>2</v>
      </c>
      <c r="F28" t="s">
        <v>26</v>
      </c>
      <c r="G28" s="3">
        <v>593800</v>
      </c>
      <c r="H28" s="3">
        <v>2</v>
      </c>
      <c r="I28" s="5">
        <v>1187600</v>
      </c>
      <c r="J28" t="s">
        <v>38</v>
      </c>
      <c r="K28" s="3">
        <v>376020</v>
      </c>
      <c r="L28" s="3">
        <v>2</v>
      </c>
      <c r="M28" s="5">
        <v>752040</v>
      </c>
      <c r="N28" t="s">
        <v>91</v>
      </c>
      <c r="O28" s="3">
        <v>362637</v>
      </c>
      <c r="P28" s="3">
        <v>2</v>
      </c>
      <c r="Q28" s="5">
        <v>725274</v>
      </c>
      <c r="R28" t="s">
        <v>58</v>
      </c>
    </row>
    <row r="29" spans="1:18" x14ac:dyDescent="0.25">
      <c r="C29" t="s">
        <v>92</v>
      </c>
      <c r="D29" s="4"/>
      <c r="G29" s="3"/>
      <c r="H29" s="3"/>
      <c r="I29" s="5">
        <f>SUBTOTAL(109,Table2[Total por renglón])</f>
        <v>6338683</v>
      </c>
      <c r="K29" s="3"/>
      <c r="L29" s="3"/>
      <c r="M29" s="5">
        <f>SUBTOTAL(109,Table3[Total por renglón])</f>
        <v>2808703</v>
      </c>
      <c r="O29" s="3"/>
      <c r="P29" s="3"/>
      <c r="Q29" s="5">
        <f>SUBTOTAL(109,Table4[Total por renglón])</f>
        <v>3499431.3200000003</v>
      </c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COMPRAR</cp:lastModifiedBy>
  <dcterms:created xsi:type="dcterms:W3CDTF">2022-01-21T20:59:38Z</dcterms:created>
  <dcterms:modified xsi:type="dcterms:W3CDTF">2022-04-04T15:20:09Z</dcterms:modified>
</cp:coreProperties>
</file>