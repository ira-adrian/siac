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VU\Chapas - Prog.Emerg.Habitacional\"/>
    </mc:Choice>
  </mc:AlternateContent>
  <xr:revisionPtr revIDLastSave="0" documentId="8_{6DFC7800-3DA8-41D0-9043-62EEBC6D6046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M12" i="2" l="1"/>
  <c r="K10" i="1"/>
  <c r="B12" i="2"/>
  <c r="G6" i="3" l="1"/>
  <c r="G7" i="3"/>
  <c r="D7" i="2"/>
  <c r="D3" i="2"/>
  <c r="G4" i="3" s="1"/>
  <c r="D4" i="2"/>
  <c r="G5" i="3" s="1"/>
  <c r="A10" i="3" l="1"/>
  <c r="D1" i="3"/>
  <c r="K12" i="2"/>
  <c r="J12" i="2"/>
  <c r="J17" i="2" s="1"/>
  <c r="I12" i="2"/>
  <c r="C12" i="2"/>
  <c r="I10" i="1"/>
  <c r="Q15" i="3" s="1"/>
  <c r="Q23" i="3" s="1"/>
  <c r="D10" i="1"/>
</calcChain>
</file>

<file path=xl/sharedStrings.xml><?xml version="1.0" encoding="utf-8"?>
<sst xmlns="http://schemas.openxmlformats.org/spreadsheetml/2006/main" count="98" uniqueCount="78">
  <si>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</si>
  <si>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</si>
  <si>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</si>
  <si>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</si>
  <si>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</si>
  <si>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</si>
  <si>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</si>
  <si>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</si>
  <si>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</si>
  <si>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</si>
  <si>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</si>
  <si>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</si>
  <si>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</si>
  <si>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</si>
  <si>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</si>
  <si>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</si>
  <si>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</si>
  <si>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</si>
  <si>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</si>
  <si>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</si>
  <si>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</si>
  <si>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</si>
  <si>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</si>
  <si>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</si>
  <si>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</si>
  <si>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</si>
  <si>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</si>
  <si>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</si>
  <si>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</si>
  <si>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</si>
  <si>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</si>
  <si>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</si>
  <si>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</si>
  <si>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</si>
  <si>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</si>
  <si>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</si>
  <si>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</si>
  <si>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</si>
  <si>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</si>
  <si>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</si>
  <si>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</si>
  <si>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</si>
  <si>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</si>
  <si>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</si>
  <si>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</si>
  <si>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</si>
  <si>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</si>
  <si>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</si>
  <si>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</si>
  <si>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</si>
  <si>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</si>
  <si>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</si>
  <si>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</si>
  <si>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</si>
  <si>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</si>
  <si>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</si>
  <si>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</si>
  <si>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</si>
  <si>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</si>
  <si>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DENTRO DE LOS 15 DIAS CORRIDOS, A PARTIR DEL PERFECCIONAMIENTO DEL DOCUMENTO CONTRACTUAL.</t>
  </si>
  <si>
    <t>MINISTERIO DE VIVIENDA - AV. VENEZUELA S/Nº - CAPE - PABELLON Nº7</t>
  </si>
  <si>
    <t>NUEVO</t>
  </si>
  <si>
    <t>35 - Ministerio de Vivienda y Urbanizacion</t>
  </si>
  <si>
    <t>48 - Direccion Provincial de Gestion de Administracion y Recursos Humanos</t>
  </si>
  <si>
    <t>Ministerio de Vivienda y Urbanizacion</t>
  </si>
  <si>
    <t>Secretaria de Administracion y Finanzas</t>
  </si>
  <si>
    <t>1.1</t>
  </si>
  <si>
    <t>ADQUISICION DE CHAPAS PARA TECHO PARA SER ENTRAGADAS A BENEFICIARIOS DEL PROGRAMA DE EMERGENCIA HABITACIONAL</t>
  </si>
  <si>
    <t>30 Dias.-</t>
  </si>
  <si>
    <t>Costo total estimado: Un Millon Novecientos Noventa y Nueve Mil Ochenta con 00/100</t>
  </si>
  <si>
    <t>PRODUCTOS NO FERROSOS</t>
  </si>
  <si>
    <t>TOTAL DE PESOS: Un Millon Novecientos Noventa y Nueve Mil Ochenta con 00/100</t>
  </si>
  <si>
    <t>2.7.2-2722.29</t>
  </si>
  <si>
    <t>MATERIALES DE CONSTRUCCION</t>
  </si>
  <si>
    <t>CHAPAS DE ZINC; LARGO: 4,35 M, ANCHO: 1,10 M, ESPESOR: CALIBRE 25 BWG</t>
  </si>
  <si>
    <t>CHAPA DE ZINC ACANALADA DE 1.10MTS DE ANCHO POR 4,35 MTS DE LARGO</t>
  </si>
  <si>
    <t>685/2021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</si>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</sst>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0" xfId="0" applyFont="1" applyBorder="1" applyAlignment="1">
      <alignment horizontal="right" vertical="center"/>
    </xf>
    <xf numFmtId="0" fontId="6" fillId="3" borderId="21" xfId="0" applyFont="1" applyFill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3" fontId="4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3" fontId="4" fillId="0" borderId="3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0" xfId="0" applyBorder="1"/>
    <xf numFmtId="0" fontId="0" fillId="0" borderId="3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38" xfId="0" applyBorder="1"/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1" xfId="0" applyFont="1" applyBorder="1" applyAlignment="1">
      <alignment horizontal="left" vertical="center"/>
    </xf>
    <xf numFmtId="0" fontId="14" fillId="0" borderId="42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0" fillId="3" borderId="43" xfId="0" applyFont="1" applyFill="1" applyBorder="1" applyAlignment="1">
      <alignment horizontal="center" vertical="center"/>
    </xf>
    <xf numFmtId="0" fontId="0" fillId="3" borderId="44" xfId="0" applyFont="1" applyFill="1" applyBorder="1" applyAlignment="1">
      <alignment horizontal="center" vertical="center"/>
    </xf>
    <xf numFmtId="0" fontId="0" fillId="3" borderId="45" xfId="0" applyFont="1" applyFill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166" fontId="0" fillId="0" borderId="51" xfId="3" applyNumberFormat="1" applyFont="1" applyBorder="1" applyAlignment="1" applyProtection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6" fontId="0" fillId="0" borderId="55" xfId="3" applyNumberFormat="1" applyFont="1" applyBorder="1" applyAlignment="1" applyProtection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center" wrapText="1"/>
    </xf>
    <xf numFmtId="0" fontId="19" fillId="0" borderId="8" xfId="0" applyFont="1" applyBorder="1" applyAlignment="1">
      <alignment horizontal="right" wrapText="1"/>
    </xf>
    <xf numFmtId="0" fontId="21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wrapText="1"/>
    </xf>
    <xf numFmtId="0" fontId="19" fillId="0" borderId="11" xfId="0" applyFont="1" applyBorder="1" applyAlignment="1">
      <alignment horizontal="right" wrapText="1"/>
    </xf>
    <xf numFmtId="0" fontId="23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0" xfId="0" applyFont="1" applyBorder="1"/>
    <xf numFmtId="0" fontId="16" fillId="0" borderId="16" xfId="0" applyFont="1" applyBorder="1"/>
    <xf numFmtId="0" fontId="23" fillId="0" borderId="15" xfId="0" applyFont="1" applyBorder="1" applyAlignment="1">
      <alignment horizontal="left" indent="3"/>
    </xf>
    <xf numFmtId="0" fontId="16" fillId="0" borderId="15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left" indent="3"/>
    </xf>
    <xf numFmtId="0" fontId="16" fillId="0" borderId="18" xfId="0" applyFont="1" applyBorder="1"/>
    <xf numFmtId="0" fontId="16" fillId="0" borderId="19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4" fillId="4" borderId="29" xfId="0" applyFont="1" applyFill="1" applyBorder="1" applyAlignment="1">
      <alignment horizontal="left" vertical="center"/>
    </xf>
    <xf numFmtId="0" fontId="4" fillId="4" borderId="29" xfId="0" applyFont="1" applyFill="1" applyBorder="1" applyAlignment="1">
      <alignment horizontal="center" vertical="center" wrapText="1"/>
    </xf>
    <xf numFmtId="166" fontId="4" fillId="4" borderId="29" xfId="1" applyNumberFormat="1" applyFont="1" applyFill="1" applyBorder="1" applyAlignment="1" applyProtection="1">
      <alignment horizontal="right" vertical="center" wrapText="1"/>
    </xf>
    <xf numFmtId="3" fontId="4" fillId="4" borderId="29" xfId="0" applyNumberFormat="1" applyFont="1" applyFill="1" applyBorder="1" applyAlignment="1">
      <alignment horizontal="center" vertical="center"/>
    </xf>
    <xf numFmtId="0" fontId="22" fillId="0" borderId="60" xfId="0" applyFont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4" fillId="4" borderId="29" xfId="0" applyFont="1" applyFill="1" applyBorder="1" applyAlignment="1">
      <alignment horizontal="left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center"/>
    </xf>
    <xf numFmtId="0" fontId="25" fillId="3" borderId="27" xfId="0" applyFont="1" applyFill="1" applyBorder="1" applyAlignment="1">
      <alignment horizontal="left" vertical="center" wrapText="1" indent="1"/>
    </xf>
    <xf numFmtId="0" fontId="8" fillId="0" borderId="26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 wrapText="1" indent="1"/>
    </xf>
    <xf numFmtId="0" fontId="7" fillId="0" borderId="25" xfId="0" applyFont="1" applyBorder="1" applyAlignment="1">
      <alignment horizontal="left" vertical="center" wrapText="1"/>
    </xf>
    <xf numFmtId="0" fontId="10" fillId="0" borderId="32" xfId="0" applyFont="1" applyBorder="1" applyAlignment="1">
      <alignment vertical="center" wrapText="1"/>
    </xf>
    <xf numFmtId="0" fontId="10" fillId="0" borderId="57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3" borderId="56" xfId="0" applyFont="1" applyFill="1" applyBorder="1" applyAlignment="1">
      <alignment horizontal="left" vertical="center" wrapText="1" indent="1"/>
    </xf>
    <xf numFmtId="0" fontId="0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34" xfId="0" applyBorder="1"/>
    <xf numFmtId="0" fontId="12" fillId="0" borderId="35" xfId="0" applyFont="1" applyBorder="1"/>
    <xf numFmtId="0" fontId="12" fillId="0" borderId="36" xfId="0" applyFont="1" applyBorder="1" applyAlignment="1">
      <alignment horizontal="left" vertical="center" wrapText="1" indent="1"/>
    </xf>
    <xf numFmtId="0" fontId="14" fillId="0" borderId="3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58" xfId="0" applyFont="1" applyBorder="1" applyAlignment="1">
      <alignment horizontal="left" vertical="center" wrapText="1"/>
    </xf>
    <xf numFmtId="0" fontId="4" fillId="0" borderId="5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indent="1"/>
    </xf>
    <xf numFmtId="0" fontId="13" fillId="0" borderId="21" xfId="0" applyFont="1" applyBorder="1" applyAlignment="1">
      <alignment horizontal="left"/>
    </xf>
    <xf numFmtId="0" fontId="0" fillId="0" borderId="32" xfId="0" applyFont="1" applyBorder="1" applyAlignment="1">
      <alignment horizontal="center"/>
    </xf>
    <xf numFmtId="3" fontId="10" fillId="0" borderId="33" xfId="0" applyNumberFormat="1" applyFont="1" applyBorder="1" applyAlignment="1">
      <alignment horizontal="center"/>
    </xf>
    <xf numFmtId="0" fontId="11" fillId="0" borderId="21" xfId="0" applyFont="1" applyBorder="1" applyAlignment="1">
      <alignment horizontal="center" vertical="center" wrapText="1"/>
    </xf>
    <xf numFmtId="0" fontId="2" fillId="0" borderId="21" xfId="0" applyFont="1" applyBorder="1"/>
    <xf numFmtId="0" fontId="4" fillId="0" borderId="29" xfId="0" applyFont="1" applyFill="1" applyBorder="1" applyAlignment="1">
      <alignment horizontal="left" vertical="center"/>
    </xf>
    <xf numFmtId="0" fontId="4" fillId="0" borderId="29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 wrapText="1"/>
    </xf>
    <xf numFmtId="166" fontId="4" fillId="0" borderId="29" xfId="1" applyNumberFormat="1" applyFont="1" applyFill="1" applyBorder="1" applyAlignment="1" applyProtection="1">
      <alignment horizontal="right" vertical="center" wrapText="1"/>
    </xf>
    <xf numFmtId="3" fontId="4" fillId="0" borderId="29" xfId="0" applyNumberFormat="1" applyFont="1" applyFill="1" applyBorder="1" applyAlignment="1">
      <alignment horizontal="center" vertical="center"/>
    </xf>
    <xf numFmtId="0" fontId="0" fillId="4" borderId="44" xfId="0" applyFont="1" applyFill="1" applyBorder="1" applyAlignment="1">
      <alignment horizontal="center" vertical="center"/>
    </xf>
    <xf numFmtId="0" fontId="26" fillId="4" borderId="44" xfId="0" applyFont="1" applyFill="1" applyBorder="1" applyAlignment="1">
      <alignment horizontal="left" vertical="center" wrapText="1"/>
    </xf>
    <xf numFmtId="0" fontId="0" fillId="4" borderId="44" xfId="0" applyFont="1" applyFill="1" applyBorder="1" applyAlignment="1">
      <alignment horizontal="left" vertical="center" wrapText="1"/>
    </xf>
    <xf numFmtId="166" fontId="0" fillId="4" borderId="46" xfId="3" applyNumberFormat="1" applyFont="1" applyFill="1" applyBorder="1" applyAlignment="1" applyProtection="1">
      <alignment horizontal="center" vertical="center"/>
    </xf>
    <xf numFmtId="0" fontId="10" fillId="4" borderId="56" xfId="0" applyFont="1" applyFill="1" applyBorder="1" applyAlignment="1">
      <alignment horizontal="left" vertical="center" wrapText="1"/>
    </xf>
    <xf numFmtId="166" fontId="14" fillId="4" borderId="56" xfId="0" applyNumberFormat="1" applyFont="1" applyFill="1" applyBorder="1" applyAlignment="1">
      <alignment horizontal="center" vertical="center"/>
    </xf>
    <xf numFmtId="167" fontId="7" fillId="4" borderId="24" xfId="0" applyNumberFormat="1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wrapText="1"/>
    </xf>
    <xf numFmtId="0" fontId="16" fillId="0" borderId="0" xfId="0" applyFont="1" applyFill="1" applyBorder="1"/>
    <xf numFmtId="0" fontId="16" fillId="0" borderId="16" xfId="0" applyFont="1" applyFill="1" applyBorder="1"/>
    <xf numFmtId="0" fontId="16" fillId="0" borderId="16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wrapText="1"/>
    </xf>
    <xf numFmtId="0" fontId="16" fillId="0" borderId="16" xfId="0" applyFont="1" applyFill="1" applyBorder="1" applyAlignment="1">
      <alignment horizontal="center" wrapText="1"/>
    </xf>
    <xf numFmtId="0" fontId="22" fillId="0" borderId="4" xfId="0" applyFont="1" applyFill="1" applyBorder="1" applyAlignment="1">
      <alignment horizontal="center" vertical="center" wrapText="1"/>
    </xf>
    <xf numFmtId="166" fontId="21" fillId="0" borderId="4" xfId="1" applyNumberFormat="1" applyFont="1" applyFill="1" applyBorder="1" applyAlignment="1" applyProtection="1">
      <alignment horizontal="right" vertical="center" wrapText="1"/>
    </xf>
    <xf numFmtId="166" fontId="21" fillId="0" borderId="5" xfId="1" applyNumberFormat="1" applyFont="1" applyFill="1" applyBorder="1" applyAlignment="1" applyProtection="1">
      <alignment horizontal="right" vertical="center" wrapText="1"/>
    </xf>
    <xf numFmtId="0" fontId="15" fillId="0" borderId="0" xfId="0" applyFont="1"/>
    <xf numFmtId="0" fontId="0" fillId="4" borderId="7" xfId="0" applyFill="1" applyBorder="1"/>
    <xf numFmtId="0" fontId="22" fillId="4" borderId="7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166" fontId="21" fillId="4" borderId="4" xfId="1" applyNumberFormat="1" applyFont="1" applyFill="1" applyBorder="1" applyAlignment="1" applyProtection="1">
      <alignment horizontal="right" vertical="center" wrapText="1"/>
    </xf>
    <xf numFmtId="166" fontId="21" fillId="4" borderId="5" xfId="1" applyNumberFormat="1" applyFont="1" applyFill="1" applyBorder="1" applyAlignment="1" applyProtection="1">
      <alignment horizontal="right" vertical="center" wrapText="1"/>
    </xf>
    <xf numFmtId="0" fontId="4" fillId="4" borderId="29" xfId="0" applyFont="1" applyFill="1" applyBorder="1" applyAlignment="1">
      <alignment horizontal="center"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0"/>
  <sheetViews>
    <sheetView tabSelected="1" zoomScale="85" zoomScaleNormal="85" workbookViewId="0">
      <selection activeCell="J10" sqref="J10"/>
    </sheetView>
  </sheetViews>
  <sheetFormatPr baseColWidth="10" defaultColWidth="11" defaultRowHeight="12.75" x14ac:dyDescent="0.2"/>
  <cols>
    <col min="1" max="1" width="4.5703125" style="51" customWidth="1"/>
    <col min="2" max="2" width="12.85546875" style="51" customWidth="1"/>
    <col min="3" max="3" width="32.42578125" style="51" customWidth="1"/>
    <col min="4" max="4" width="8.42578125" style="51" customWidth="1"/>
    <col min="5" max="5" width="79" style="51" customWidth="1"/>
    <col min="6" max="6" width="11" style="51"/>
    <col min="7" max="7" width="12.7109375" style="51" customWidth="1"/>
    <col min="8" max="8" width="13.85546875" style="51" customWidth="1"/>
    <col min="9" max="9" width="18.5703125" style="51" customWidth="1"/>
    <col min="10" max="10" width="23.28515625" style="51" customWidth="1"/>
    <col min="11" max="11" width="12.42578125" style="51" bestFit="1" customWidth="1"/>
    <col min="12" max="12" width="51.7109375" style="51" customWidth="1"/>
    <col min="13" max="13" width="11" style="51" customWidth="1"/>
    <col min="14" max="16384" width="11" style="51"/>
  </cols>
  <sheetData>
    <row r="2" spans="1:14" ht="27" x14ac:dyDescent="0.35">
      <c r="B2" s="90" t="s">
        <v>0</v>
      </c>
      <c r="C2" s="90"/>
      <c r="D2" s="90"/>
      <c r="E2" s="90"/>
      <c r="F2" s="90"/>
      <c r="G2" s="90"/>
      <c r="H2" s="90"/>
    </row>
    <row r="4" spans="1:14" ht="18" customHeight="1" x14ac:dyDescent="0.25">
      <c r="A4" s="89" t="s">
        <v>1</v>
      </c>
      <c r="B4" s="89"/>
      <c r="C4" s="91" t="s">
        <v>62</v>
      </c>
      <c r="D4" s="91"/>
      <c r="E4" s="91"/>
      <c r="F4" s="52"/>
      <c r="G4" s="53"/>
      <c r="H4" s="52"/>
    </row>
    <row r="5" spans="1:14" ht="18" customHeight="1" x14ac:dyDescent="0.25">
      <c r="A5" s="89" t="s">
        <v>2</v>
      </c>
      <c r="B5" s="89"/>
      <c r="C5" s="91" t="s">
        <v>63</v>
      </c>
      <c r="D5" s="91"/>
      <c r="E5" s="91"/>
      <c r="F5" s="52"/>
      <c r="G5" s="53"/>
      <c r="H5" s="52"/>
    </row>
    <row r="6" spans="1:14" ht="16.5" customHeight="1" x14ac:dyDescent="0.25">
      <c r="A6" s="89" t="s">
        <v>3</v>
      </c>
      <c r="B6" s="89"/>
      <c r="C6" s="80">
        <v>2021</v>
      </c>
      <c r="D6" s="81"/>
      <c r="E6" s="81"/>
      <c r="F6" s="52"/>
      <c r="G6" s="53"/>
      <c r="H6" s="52"/>
    </row>
    <row r="7" spans="1:14" ht="16.5" customHeight="1" x14ac:dyDescent="0.25">
      <c r="A7" s="89" t="s">
        <v>4</v>
      </c>
      <c r="B7" s="89"/>
      <c r="C7" s="80">
        <v>3</v>
      </c>
      <c r="D7" s="81"/>
      <c r="E7" s="81"/>
      <c r="F7" s="52"/>
      <c r="G7" s="53"/>
      <c r="H7" s="52"/>
    </row>
    <row r="8" spans="1:14" x14ac:dyDescent="0.2">
      <c r="B8" s="52"/>
      <c r="C8" s="53"/>
      <c r="D8" s="52"/>
      <c r="E8" s="52"/>
      <c r="F8" s="52"/>
      <c r="G8" s="53"/>
      <c r="H8" s="52"/>
    </row>
    <row r="9" spans="1:14" ht="39.75" thickTop="1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9</v>
      </c>
      <c r="F9" s="54" t="s">
        <v>10</v>
      </c>
      <c r="G9" s="54" t="s">
        <v>11</v>
      </c>
      <c r="H9" s="54" t="s">
        <v>12</v>
      </c>
      <c r="I9" s="54" t="s">
        <v>13</v>
      </c>
    </row>
    <row r="10" spans="1:14" ht="13.5" thickBot="1" x14ac:dyDescent="0.25">
      <c r="A10" s="55">
        <v>1</v>
      </c>
      <c r="B10" s="151" t="s">
        <v>72</v>
      </c>
      <c r="C10" s="151" t="s">
        <v>73</v>
      </c>
      <c r="D10" s="152" t="str">
        <f>LEFT(B10,5)</f>
        <v>2.7.2</v>
      </c>
      <c r="E10" s="151" t="s">
        <v>74</v>
      </c>
      <c r="F10" s="147" t="s">
        <v>14</v>
      </c>
      <c r="G10" s="153">
        <v>216</v>
      </c>
      <c r="H10" s="154">
        <v>9255</v>
      </c>
      <c r="I10" s="155">
        <f>H10*G10</f>
        <v>1999080</v>
      </c>
      <c r="J10" s="150" t="s">
        <v>74</v>
      </c>
      <c r="K10" s="51" t="b">
        <f>E10=J10</f>
        <v>1</v>
      </c>
      <c r="L10" s="144" t="s">
        <v>75</v>
      </c>
      <c r="M10" s="144"/>
      <c r="N10" s="144"/>
    </row>
    <row r="11" spans="1:14" ht="13.5" thickBot="1" x14ac:dyDescent="0.25">
      <c r="A11" s="57"/>
      <c r="B11"/>
      <c r="C11"/>
      <c r="D11" s="86"/>
      <c r="E11"/>
      <c r="F11" s="147"/>
      <c r="G11" s="147"/>
      <c r="H11" s="148"/>
      <c r="I11" s="149"/>
    </row>
    <row r="12" spans="1:14" x14ac:dyDescent="0.2">
      <c r="A12" s="57"/>
      <c r="B12"/>
      <c r="C12"/>
      <c r="D12" s="56"/>
      <c r="E12"/>
      <c r="F12" s="147"/>
      <c r="G12" s="147"/>
      <c r="H12" s="148"/>
      <c r="I12" s="149"/>
    </row>
    <row r="13" spans="1:14" x14ac:dyDescent="0.2">
      <c r="A13" s="57"/>
      <c r="B13" s="58"/>
      <c r="C13" s="59"/>
      <c r="D13" s="58"/>
      <c r="E13" s="59"/>
      <c r="F13" s="60"/>
      <c r="G13" s="60"/>
      <c r="H13" s="60"/>
      <c r="I13" s="61"/>
    </row>
    <row r="14" spans="1:14" x14ac:dyDescent="0.2">
      <c r="A14" s="62"/>
      <c r="B14" s="63"/>
      <c r="C14" s="64"/>
      <c r="D14" s="63"/>
      <c r="E14" s="64"/>
      <c r="F14" s="65"/>
      <c r="G14" s="65"/>
      <c r="H14" s="65"/>
      <c r="I14" s="66"/>
    </row>
    <row r="17" spans="2:5" x14ac:dyDescent="0.2">
      <c r="B17" s="67" t="s">
        <v>15</v>
      </c>
      <c r="C17" s="68"/>
      <c r="D17" s="68"/>
      <c r="E17" s="69"/>
    </row>
    <row r="18" spans="2:5" ht="5.25" customHeight="1" x14ac:dyDescent="0.2">
      <c r="B18" s="70"/>
      <c r="C18" s="71"/>
      <c r="D18" s="71"/>
      <c r="E18" s="72"/>
    </row>
    <row r="19" spans="2:5" x14ac:dyDescent="0.2">
      <c r="B19" s="73" t="s">
        <v>16</v>
      </c>
      <c r="C19" s="71"/>
      <c r="D19" s="71"/>
      <c r="E19" s="72"/>
    </row>
    <row r="20" spans="2:5" ht="41.25" customHeight="1" x14ac:dyDescent="0.2">
      <c r="B20" s="73"/>
      <c r="C20" s="141" t="s">
        <v>75</v>
      </c>
      <c r="D20" s="141"/>
      <c r="E20" s="141"/>
    </row>
    <row r="21" spans="2:5" x14ac:dyDescent="0.2">
      <c r="B21" s="73" t="s">
        <v>17</v>
      </c>
      <c r="C21" s="142"/>
      <c r="D21" s="142"/>
      <c r="E21" s="143"/>
    </row>
    <row r="22" spans="2:5" x14ac:dyDescent="0.2">
      <c r="B22" s="74"/>
      <c r="C22" s="144" t="s">
        <v>59</v>
      </c>
      <c r="D22" s="144"/>
      <c r="E22" s="144"/>
    </row>
    <row r="23" spans="2:5" x14ac:dyDescent="0.2">
      <c r="B23" s="74"/>
      <c r="C23" s="144" t="s">
        <v>60</v>
      </c>
      <c r="D23" s="144"/>
      <c r="E23" s="144"/>
    </row>
    <row r="24" spans="2:5" x14ac:dyDescent="0.2">
      <c r="B24" s="73" t="s">
        <v>18</v>
      </c>
      <c r="C24" s="142"/>
      <c r="D24" s="142"/>
      <c r="E24" s="143"/>
    </row>
    <row r="25" spans="2:5" ht="26.25" customHeight="1" x14ac:dyDescent="0.2">
      <c r="B25" s="74"/>
      <c r="C25" s="141" t="s">
        <v>61</v>
      </c>
      <c r="D25" s="141"/>
      <c r="E25" s="141"/>
    </row>
    <row r="26" spans="2:5" x14ac:dyDescent="0.2">
      <c r="B26" s="73" t="s">
        <v>19</v>
      </c>
      <c r="C26" s="145"/>
      <c r="D26" s="145"/>
      <c r="E26" s="146"/>
    </row>
    <row r="27" spans="2:5" ht="26.25" customHeight="1" x14ac:dyDescent="0.2">
      <c r="B27" s="74"/>
      <c r="C27" s="141" t="s">
        <v>68</v>
      </c>
      <c r="D27" s="141"/>
      <c r="E27" s="141"/>
    </row>
    <row r="28" spans="2:5" x14ac:dyDescent="0.2">
      <c r="B28" s="73" t="s">
        <v>20</v>
      </c>
      <c r="C28" s="142"/>
      <c r="D28" s="142"/>
      <c r="E28" s="143"/>
    </row>
    <row r="29" spans="2:5" ht="23.25" customHeight="1" x14ac:dyDescent="0.2">
      <c r="B29" s="73"/>
      <c r="C29" s="144"/>
      <c r="D29" s="144"/>
      <c r="E29" s="144"/>
    </row>
    <row r="30" spans="2:5" x14ac:dyDescent="0.2">
      <c r="B30" s="77"/>
      <c r="C30" s="78"/>
      <c r="D30" s="78"/>
      <c r="E30" s="79"/>
    </row>
    <row r="32" spans="2:5" x14ac:dyDescent="0.2">
      <c r="B32" s="67" t="s">
        <v>21</v>
      </c>
      <c r="C32" s="68"/>
      <c r="D32" s="68"/>
      <c r="E32" s="69"/>
    </row>
    <row r="33" spans="2:5" ht="7.5" customHeight="1" x14ac:dyDescent="0.2">
      <c r="B33" s="70"/>
      <c r="C33" s="71"/>
      <c r="D33" s="71"/>
      <c r="E33" s="72"/>
    </row>
    <row r="34" spans="2:5" x14ac:dyDescent="0.2">
      <c r="B34" s="73" t="s">
        <v>16</v>
      </c>
      <c r="C34" s="71"/>
      <c r="D34" s="71"/>
      <c r="E34" s="72"/>
    </row>
    <row r="35" spans="2:5" ht="39" customHeight="1" x14ac:dyDescent="0.2">
      <c r="B35" s="73"/>
      <c r="C35" s="88"/>
      <c r="D35" s="88"/>
      <c r="E35" s="88"/>
    </row>
    <row r="36" spans="2:5" x14ac:dyDescent="0.2">
      <c r="B36" s="73" t="s">
        <v>17</v>
      </c>
      <c r="C36" s="71"/>
      <c r="D36" s="71"/>
      <c r="E36" s="72"/>
    </row>
    <row r="37" spans="2:5" x14ac:dyDescent="0.2">
      <c r="B37" s="74"/>
      <c r="C37" s="87"/>
      <c r="D37" s="87"/>
      <c r="E37" s="87"/>
    </row>
    <row r="38" spans="2:5" x14ac:dyDescent="0.2">
      <c r="B38" s="74"/>
      <c r="C38" s="87"/>
      <c r="D38" s="87"/>
      <c r="E38" s="87"/>
    </row>
    <row r="39" spans="2:5" x14ac:dyDescent="0.2">
      <c r="B39" s="73" t="s">
        <v>18</v>
      </c>
      <c r="C39" s="71"/>
      <c r="D39" s="71"/>
      <c r="E39" s="72"/>
    </row>
    <row r="40" spans="2:5" x14ac:dyDescent="0.2">
      <c r="B40" s="74"/>
      <c r="C40" s="88"/>
      <c r="D40" s="88"/>
      <c r="E40" s="88"/>
    </row>
    <row r="41" spans="2:5" x14ac:dyDescent="0.2">
      <c r="B41" s="73" t="s">
        <v>19</v>
      </c>
      <c r="C41" s="75"/>
      <c r="D41" s="75"/>
      <c r="E41" s="76"/>
    </row>
    <row r="42" spans="2:5" x14ac:dyDescent="0.2">
      <c r="B42" s="74"/>
      <c r="C42" s="88"/>
      <c r="D42" s="88"/>
      <c r="E42" s="88"/>
    </row>
    <row r="43" spans="2:5" x14ac:dyDescent="0.2">
      <c r="B43" s="73" t="s">
        <v>20</v>
      </c>
      <c r="C43" s="71"/>
      <c r="D43" s="71"/>
      <c r="E43" s="72"/>
    </row>
    <row r="44" spans="2:5" x14ac:dyDescent="0.2">
      <c r="B44" s="73"/>
      <c r="C44" s="87"/>
      <c r="D44" s="87"/>
      <c r="E44" s="87"/>
    </row>
    <row r="45" spans="2:5" x14ac:dyDescent="0.2">
      <c r="B45" s="77"/>
      <c r="C45" s="78"/>
      <c r="D45" s="78"/>
      <c r="E45" s="79"/>
    </row>
    <row r="46" spans="2:5" ht="13.5" thickBot="1" x14ac:dyDescent="0.25"/>
    <row r="47" spans="2:5" x14ac:dyDescent="0.2">
      <c r="B47" s="67" t="s">
        <v>21</v>
      </c>
      <c r="C47" s="68"/>
      <c r="D47" s="68"/>
      <c r="E47" s="69"/>
    </row>
    <row r="48" spans="2:5" x14ac:dyDescent="0.2">
      <c r="B48" s="70"/>
      <c r="C48" s="71"/>
      <c r="D48" s="71"/>
      <c r="E48" s="72"/>
    </row>
    <row r="49" spans="2:5" x14ac:dyDescent="0.2">
      <c r="B49" s="73" t="s">
        <v>16</v>
      </c>
      <c r="C49" s="71"/>
      <c r="D49" s="71"/>
      <c r="E49" s="72"/>
    </row>
    <row r="50" spans="2:5" x14ac:dyDescent="0.2">
      <c r="B50" s="73"/>
      <c r="C50" s="88"/>
      <c r="D50" s="88"/>
      <c r="E50" s="88"/>
    </row>
    <row r="51" spans="2:5" x14ac:dyDescent="0.2">
      <c r="B51" s="73" t="s">
        <v>17</v>
      </c>
      <c r="C51" s="71"/>
      <c r="D51" s="71"/>
      <c r="E51" s="72"/>
    </row>
    <row r="52" spans="2:5" x14ac:dyDescent="0.2">
      <c r="B52" s="74"/>
      <c r="C52" s="87"/>
      <c r="D52" s="87"/>
      <c r="E52" s="87"/>
    </row>
    <row r="53" spans="2:5" x14ac:dyDescent="0.2">
      <c r="B53" s="74"/>
      <c r="C53" s="87"/>
      <c r="D53" s="87"/>
      <c r="E53" s="87"/>
    </row>
    <row r="54" spans="2:5" x14ac:dyDescent="0.2">
      <c r="B54" s="73" t="s">
        <v>18</v>
      </c>
      <c r="C54" s="71"/>
      <c r="D54" s="71"/>
      <c r="E54" s="72"/>
    </row>
    <row r="55" spans="2:5" x14ac:dyDescent="0.2">
      <c r="B55" s="74"/>
      <c r="C55" s="88"/>
      <c r="D55" s="88"/>
      <c r="E55" s="88"/>
    </row>
    <row r="56" spans="2:5" x14ac:dyDescent="0.2">
      <c r="B56" s="73" t="s">
        <v>19</v>
      </c>
      <c r="C56" s="75"/>
      <c r="D56" s="75"/>
      <c r="E56" s="76"/>
    </row>
    <row r="57" spans="2:5" x14ac:dyDescent="0.2">
      <c r="B57" s="74"/>
      <c r="C57" s="88"/>
      <c r="D57" s="88"/>
      <c r="E57" s="88"/>
    </row>
    <row r="58" spans="2:5" x14ac:dyDescent="0.2">
      <c r="B58" s="73" t="s">
        <v>20</v>
      </c>
      <c r="C58" s="71"/>
      <c r="D58" s="71"/>
      <c r="E58" s="72"/>
    </row>
    <row r="59" spans="2:5" x14ac:dyDescent="0.2">
      <c r="B59" s="73"/>
      <c r="C59" s="87"/>
      <c r="D59" s="87"/>
      <c r="E59" s="87"/>
    </row>
    <row r="60" spans="2:5" ht="13.5" thickBot="1" x14ac:dyDescent="0.25">
      <c r="B60" s="77"/>
      <c r="C60" s="78"/>
      <c r="D60" s="78"/>
      <c r="E60" s="79"/>
    </row>
  </sheetData>
  <mergeCells count="26">
    <mergeCell ref="L10:N10"/>
    <mergeCell ref="B2:H2"/>
    <mergeCell ref="A4:B4"/>
    <mergeCell ref="C4:E4"/>
    <mergeCell ref="A5:B5"/>
    <mergeCell ref="C5:E5"/>
    <mergeCell ref="A6:B6"/>
    <mergeCell ref="A7:B7"/>
    <mergeCell ref="C20:E20"/>
    <mergeCell ref="C22:E22"/>
    <mergeCell ref="C23:E23"/>
    <mergeCell ref="C38:E38"/>
    <mergeCell ref="C40:E40"/>
    <mergeCell ref="C42:E42"/>
    <mergeCell ref="C44:E44"/>
    <mergeCell ref="C25:E25"/>
    <mergeCell ref="C27:E27"/>
    <mergeCell ref="C29:E29"/>
    <mergeCell ref="C35:E35"/>
    <mergeCell ref="C37:E37"/>
    <mergeCell ref="C59:E59"/>
    <mergeCell ref="C50:E50"/>
    <mergeCell ref="C52:E52"/>
    <mergeCell ref="C53:E53"/>
    <mergeCell ref="C55:E55"/>
    <mergeCell ref="C57:E57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zoomScaleNormal="100" workbookViewId="0">
      <selection activeCell="B12" sqref="B12:K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2" width="5.85546875" style="2" customWidth="1"/>
    <col min="13" max="13" width="12.7109375" style="2" bestFit="1" customWidth="1"/>
    <col min="14" max="14" width="5.85546875" style="2" customWidth="1"/>
    <col min="15" max="15" width="12.5703125" style="2" customWidth="1"/>
    <col min="16" max="1024" width="9.140625" style="2"/>
  </cols>
  <sheetData>
    <row r="1" spans="1:13" ht="18" customHeight="1" x14ac:dyDescent="0.2">
      <c r="A1" s="100" t="s">
        <v>22</v>
      </c>
      <c r="B1" s="100"/>
      <c r="C1" s="100"/>
      <c r="D1" s="100"/>
      <c r="E1" s="100"/>
      <c r="F1" s="100"/>
      <c r="G1" s="100"/>
      <c r="H1" s="100"/>
      <c r="I1" s="100"/>
      <c r="J1" s="3" t="s">
        <v>23</v>
      </c>
      <c r="K1" s="4" t="s">
        <v>76</v>
      </c>
    </row>
    <row r="2" spans="1:13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3" ht="18.75" customHeight="1" thickBot="1" x14ac:dyDescent="0.25">
      <c r="A3" s="101" t="s">
        <v>56</v>
      </c>
      <c r="B3" s="101"/>
      <c r="C3" s="101"/>
      <c r="D3" s="102" t="str">
        <f>'Necesidades Trimestrales'!C4</f>
        <v>35 - Ministerio de Vivienda y Urbanizacion</v>
      </c>
      <c r="E3" s="102"/>
      <c r="F3" s="102"/>
      <c r="G3" s="102"/>
      <c r="H3" s="102"/>
      <c r="I3" s="102"/>
      <c r="J3" s="102"/>
      <c r="K3" s="102"/>
    </row>
    <row r="4" spans="1:13" ht="18.75" customHeight="1" thickBot="1" x14ac:dyDescent="0.25">
      <c r="A4" s="103" t="s">
        <v>57</v>
      </c>
      <c r="B4" s="103"/>
      <c r="C4" s="103"/>
      <c r="D4" s="102" t="str">
        <f>'Necesidades Trimestrales'!C5</f>
        <v>48 - Direccion Provincial de Gestion de Administracion y Recursos Humanos</v>
      </c>
      <c r="E4" s="102"/>
      <c r="F4" s="102"/>
      <c r="G4" s="102"/>
      <c r="H4" s="102"/>
      <c r="I4" s="102"/>
      <c r="J4" s="102"/>
      <c r="K4" s="102"/>
    </row>
    <row r="5" spans="1:13" ht="18.75" customHeight="1" thickBot="1" x14ac:dyDescent="0.25">
      <c r="A5" s="103" t="s">
        <v>35</v>
      </c>
      <c r="B5" s="103"/>
      <c r="C5" s="103"/>
      <c r="D5" s="102" t="s">
        <v>64</v>
      </c>
      <c r="E5" s="102"/>
      <c r="F5" s="102"/>
      <c r="G5" s="102"/>
      <c r="H5" s="102"/>
      <c r="I5" s="102"/>
      <c r="J5" s="102"/>
      <c r="K5" s="102"/>
    </row>
    <row r="6" spans="1:13" ht="16.5" customHeight="1" thickBot="1" x14ac:dyDescent="0.25">
      <c r="A6" s="101" t="s">
        <v>58</v>
      </c>
      <c r="B6" s="101"/>
      <c r="C6" s="101"/>
      <c r="D6" s="102" t="s">
        <v>65</v>
      </c>
      <c r="E6" s="102"/>
      <c r="F6" s="102"/>
      <c r="G6" s="102"/>
      <c r="H6" s="102"/>
      <c r="I6" s="102"/>
      <c r="J6" s="102"/>
      <c r="K6" s="102"/>
    </row>
    <row r="7" spans="1:13" ht="16.5" customHeight="1" thickBot="1" x14ac:dyDescent="0.25">
      <c r="A7" s="103" t="s">
        <v>24</v>
      </c>
      <c r="B7" s="103"/>
      <c r="C7" s="103"/>
      <c r="D7" s="102" t="str">
        <f>'Necesidades Trimestrales'!C7 &amp; "° Trimestre - Año " &amp; 'Necesidades Trimestrales'!C6</f>
        <v>3° Trimestre - Año 2021</v>
      </c>
      <c r="E7" s="102"/>
      <c r="F7" s="102"/>
      <c r="G7" s="102"/>
      <c r="H7" s="102"/>
      <c r="I7" s="102"/>
      <c r="J7" s="102"/>
      <c r="K7" s="102"/>
    </row>
    <row r="8" spans="1:13" ht="16.5" customHeight="1" x14ac:dyDescent="0.2">
      <c r="A8" s="95" t="s">
        <v>25</v>
      </c>
      <c r="B8" s="95"/>
      <c r="C8" s="95"/>
      <c r="D8" s="96" t="s">
        <v>67</v>
      </c>
      <c r="E8" s="96"/>
      <c r="F8" s="96"/>
      <c r="G8" s="96"/>
      <c r="H8" s="96"/>
      <c r="I8" s="96"/>
      <c r="J8" s="96"/>
      <c r="K8" s="96"/>
    </row>
    <row r="9" spans="1:13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3" ht="18.75" customHeight="1" x14ac:dyDescent="0.2">
      <c r="A10" s="97" t="s">
        <v>26</v>
      </c>
      <c r="B10" s="98" t="s">
        <v>27</v>
      </c>
      <c r="C10" s="98" t="s">
        <v>28</v>
      </c>
      <c r="D10" s="98"/>
      <c r="E10" s="98"/>
      <c r="F10" s="98"/>
      <c r="G10" s="98"/>
      <c r="H10" s="98" t="s">
        <v>29</v>
      </c>
      <c r="I10" s="98" t="s">
        <v>30</v>
      </c>
      <c r="J10" s="98" t="s">
        <v>31</v>
      </c>
      <c r="K10" s="99" t="s">
        <v>32</v>
      </c>
    </row>
    <row r="11" spans="1:13" ht="24" customHeight="1" thickBot="1" x14ac:dyDescent="0.25">
      <c r="A11" s="97"/>
      <c r="B11" s="98"/>
      <c r="C11" s="98"/>
      <c r="D11" s="98"/>
      <c r="E11" s="98"/>
      <c r="F11" s="98"/>
      <c r="G11" s="98"/>
      <c r="H11" s="98"/>
      <c r="I11" s="98"/>
      <c r="J11" s="98"/>
      <c r="K11" s="99"/>
    </row>
    <row r="12" spans="1:13" ht="20.25" customHeight="1" thickBot="1" x14ac:dyDescent="0.25">
      <c r="A12" s="9">
        <v>1</v>
      </c>
      <c r="B12" s="82" t="str">
        <f>'Necesidades Trimestrales'!B10</f>
        <v>2.7.2-2722.29</v>
      </c>
      <c r="C12" s="92" t="str">
        <f>'Necesidades Trimestrales'!E10</f>
        <v>CHAPAS DE ZINC; LARGO: 4,35 M, ANCHO: 1,10 M, ESPESOR: CALIBRE 25 BWG</v>
      </c>
      <c r="D12" s="92"/>
      <c r="E12" s="92"/>
      <c r="F12" s="92"/>
      <c r="G12" s="92"/>
      <c r="H12" s="156" t="s">
        <v>77</v>
      </c>
      <c r="I12" s="83" t="str">
        <f>'Necesidades Trimestrales'!F10</f>
        <v>UNIDAD</v>
      </c>
      <c r="J12" s="84">
        <f>'Necesidades Trimestrales'!H10</f>
        <v>9255</v>
      </c>
      <c r="K12" s="85">
        <f>'Necesidades Trimestrales'!G10</f>
        <v>216</v>
      </c>
      <c r="L12" s="150" t="s">
        <v>74</v>
      </c>
      <c r="M12" s="2" t="b">
        <f>C12=L12</f>
        <v>1</v>
      </c>
    </row>
    <row r="13" spans="1:13" ht="20.25" customHeight="1" thickBot="1" x14ac:dyDescent="0.25">
      <c r="A13" s="10">
        <v>2</v>
      </c>
      <c r="B13" s="128"/>
      <c r="C13" s="129"/>
      <c r="D13" s="129"/>
      <c r="E13" s="129"/>
      <c r="F13" s="129"/>
      <c r="G13" s="129"/>
      <c r="H13" s="130"/>
      <c r="I13" s="131"/>
      <c r="J13" s="132"/>
      <c r="K13" s="133"/>
    </row>
    <row r="14" spans="1:13" ht="20.25" customHeight="1" x14ac:dyDescent="0.2">
      <c r="A14" s="10">
        <v>3</v>
      </c>
      <c r="B14" s="128"/>
      <c r="C14" s="129"/>
      <c r="D14" s="129"/>
      <c r="E14" s="129"/>
      <c r="F14" s="129"/>
      <c r="G14" s="129"/>
      <c r="H14" s="130"/>
      <c r="I14" s="131"/>
      <c r="J14" s="132"/>
      <c r="K14" s="133"/>
    </row>
    <row r="15" spans="1:13" ht="20.25" customHeight="1" x14ac:dyDescent="0.2">
      <c r="A15" s="10">
        <v>4</v>
      </c>
      <c r="B15" s="11"/>
      <c r="C15" s="93"/>
      <c r="D15" s="93"/>
      <c r="E15" s="93"/>
      <c r="F15" s="93"/>
      <c r="G15" s="93"/>
      <c r="H15" s="12"/>
      <c r="I15" s="13"/>
      <c r="J15" s="13"/>
      <c r="K15" s="14"/>
    </row>
    <row r="16" spans="1:13" ht="20.25" customHeight="1" x14ac:dyDescent="0.2">
      <c r="A16" s="15">
        <v>5</v>
      </c>
      <c r="B16" s="16"/>
      <c r="C16" s="94"/>
      <c r="D16" s="94"/>
      <c r="E16" s="94"/>
      <c r="F16" s="94"/>
      <c r="G16" s="94"/>
      <c r="H16" s="17"/>
      <c r="I16" s="18"/>
      <c r="J16" s="18"/>
      <c r="K16" s="19"/>
    </row>
    <row r="17" spans="1:11" ht="20.25" customHeight="1" x14ac:dyDescent="0.2">
      <c r="A17" s="102" t="s">
        <v>69</v>
      </c>
      <c r="B17" s="102"/>
      <c r="C17" s="102"/>
      <c r="D17" s="102"/>
      <c r="E17" s="102"/>
      <c r="F17" s="102"/>
      <c r="G17" s="102"/>
      <c r="H17" s="102"/>
      <c r="I17" s="102"/>
      <c r="J17" s="140">
        <f>SUMPRODUCT(J12:J16,K12:K16)</f>
        <v>1999080</v>
      </c>
      <c r="K17" s="140"/>
    </row>
  </sheetData>
  <mergeCells count="2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7:I17"/>
    <mergeCell ref="J17:K17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7"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0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4" t="s">
        <v>3</v>
      </c>
      <c r="B1" s="124"/>
      <c r="C1" s="124"/>
      <c r="D1" s="125">
        <f>'Necesidades Trimestrales'!C6</f>
        <v>2021</v>
      </c>
      <c r="E1" s="125"/>
      <c r="F1" s="21"/>
      <c r="G1" s="21"/>
      <c r="H1" s="22"/>
      <c r="I1" s="22"/>
      <c r="J1" s="22"/>
      <c r="K1" s="22"/>
      <c r="L1" s="22"/>
      <c r="M1" s="22"/>
      <c r="N1" s="22"/>
      <c r="P1" s="126" t="s">
        <v>33</v>
      </c>
      <c r="Q1" s="126"/>
    </row>
    <row r="2" spans="1:17" ht="15.75" customHeight="1" x14ac:dyDescent="0.2">
      <c r="H2" s="22"/>
      <c r="I2" s="22"/>
      <c r="J2" s="22"/>
      <c r="K2" s="22"/>
      <c r="L2" s="22"/>
      <c r="M2" s="22"/>
      <c r="N2" s="22"/>
      <c r="P2" s="126"/>
      <c r="Q2" s="126"/>
    </row>
    <row r="4" spans="1:17" s="23" customFormat="1" ht="18" customHeight="1" thickBot="1" x14ac:dyDescent="0.25">
      <c r="A4" s="127" t="s">
        <v>34</v>
      </c>
      <c r="B4" s="127"/>
      <c r="C4" s="127"/>
      <c r="D4" s="127"/>
      <c r="E4" s="127"/>
      <c r="F4" s="127"/>
      <c r="G4" s="122" t="str">
        <f>' NotaPedido'!D3</f>
        <v>35 - Ministerio de Vivienda y Urbanizacion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7" s="23" customFormat="1" ht="18" customHeight="1" thickBot="1" x14ac:dyDescent="0.25">
      <c r="A5" s="119" t="s">
        <v>57</v>
      </c>
      <c r="B5" s="120"/>
      <c r="C5" s="120"/>
      <c r="D5" s="120"/>
      <c r="E5" s="120"/>
      <c r="F5" s="121"/>
      <c r="G5" s="122" t="str">
        <f>' NotaPedido'!D4</f>
        <v>48 - Direccion Provincial de Gestion de Administracion y Recursos Humanos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s="23" customFormat="1" ht="18" customHeight="1" thickBot="1" x14ac:dyDescent="0.25">
      <c r="A6" s="119" t="s">
        <v>35</v>
      </c>
      <c r="B6" s="120"/>
      <c r="C6" s="120"/>
      <c r="D6" s="120"/>
      <c r="E6" s="120"/>
      <c r="F6" s="121"/>
      <c r="G6" s="122" t="str">
        <f>' NotaPedido'!D5</f>
        <v>Ministerio de Vivienda y Urbanizacion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7" s="23" customFormat="1" ht="18" customHeight="1" thickBot="1" x14ac:dyDescent="0.25">
      <c r="A7" s="119" t="s">
        <v>58</v>
      </c>
      <c r="B7" s="120"/>
      <c r="C7" s="120"/>
      <c r="D7" s="120"/>
      <c r="E7" s="120"/>
      <c r="F7" s="121"/>
      <c r="G7" s="122" t="str">
        <f>' NotaPedido'!D6</f>
        <v>Secretaria de Administracion y Finanzas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7" ht="18" customHeight="1" thickBot="1" x14ac:dyDescent="0.25">
      <c r="A8" s="123" t="s">
        <v>36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</row>
    <row r="9" spans="1:17" ht="18" customHeight="1" x14ac:dyDescent="0.2">
      <c r="A9" s="113" t="s">
        <v>37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"/>
      <c r="P9" s="1"/>
      <c r="Q9" s="24"/>
    </row>
    <row r="10" spans="1:17" ht="54.75" customHeight="1" x14ac:dyDescent="0.2">
      <c r="A10" s="11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685/2021,  afectando la erogación resultante a los créditos presupuestarios aprobados a favor de esta Unidad Ejecutora, conforme al siguiente detalle: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7" ht="9" customHeight="1" x14ac:dyDescent="0.2">
      <c r="A11" s="25"/>
      <c r="B11" s="26"/>
      <c r="C11" s="26"/>
      <c r="D11" s="26"/>
      <c r="E11" s="26"/>
      <c r="F11" s="26"/>
      <c r="G11" s="27"/>
      <c r="H11" s="26"/>
      <c r="I11" s="26"/>
      <c r="J11" s="26"/>
      <c r="K11" s="26"/>
      <c r="L11" s="26"/>
      <c r="M11" s="26"/>
      <c r="N11" s="26"/>
      <c r="O11" s="26"/>
      <c r="P11" s="26"/>
      <c r="Q11" s="28"/>
    </row>
    <row r="12" spans="1:17" ht="15.75" customHeight="1" x14ac:dyDescent="0.2">
      <c r="A12" s="115" t="s">
        <v>38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 x14ac:dyDescent="0.2">
      <c r="A13" s="116" t="s">
        <v>39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40</v>
      </c>
      <c r="P13" s="117"/>
      <c r="Q13" s="118" t="s">
        <v>41</v>
      </c>
    </row>
    <row r="14" spans="1:17" ht="15.75" customHeight="1" x14ac:dyDescent="0.2">
      <c r="A14" s="29" t="s">
        <v>42</v>
      </c>
      <c r="B14" s="30" t="s">
        <v>43</v>
      </c>
      <c r="C14" s="30" t="s">
        <v>44</v>
      </c>
      <c r="D14" s="30" t="s">
        <v>45</v>
      </c>
      <c r="E14" s="30" t="s">
        <v>46</v>
      </c>
      <c r="F14" s="30" t="s">
        <v>47</v>
      </c>
      <c r="G14" s="31" t="s">
        <v>48</v>
      </c>
      <c r="H14" s="30" t="s">
        <v>49</v>
      </c>
      <c r="I14" s="30" t="s">
        <v>50</v>
      </c>
      <c r="J14" s="30" t="s">
        <v>51</v>
      </c>
      <c r="K14" s="30" t="s">
        <v>51</v>
      </c>
      <c r="L14" s="30" t="s">
        <v>52</v>
      </c>
      <c r="M14" s="32" t="s">
        <v>53</v>
      </c>
      <c r="N14" s="33" t="s">
        <v>54</v>
      </c>
      <c r="O14" s="117"/>
      <c r="P14" s="117"/>
      <c r="Q14" s="118"/>
    </row>
    <row r="15" spans="1:17" ht="17.25" customHeight="1" x14ac:dyDescent="0.2">
      <c r="A15" s="34">
        <v>21</v>
      </c>
      <c r="B15" s="35">
        <v>0</v>
      </c>
      <c r="C15" s="35">
        <v>0</v>
      </c>
      <c r="D15" s="35">
        <v>1</v>
      </c>
      <c r="E15" s="35">
        <v>0</v>
      </c>
      <c r="F15" s="35">
        <v>4901</v>
      </c>
      <c r="G15" s="35">
        <v>3</v>
      </c>
      <c r="H15" s="35">
        <v>370</v>
      </c>
      <c r="I15" s="134">
        <v>2</v>
      </c>
      <c r="J15" s="134">
        <v>7</v>
      </c>
      <c r="K15" s="134">
        <v>2</v>
      </c>
      <c r="L15" s="35">
        <v>0</v>
      </c>
      <c r="M15" s="36">
        <v>1</v>
      </c>
      <c r="N15" s="35" t="s">
        <v>66</v>
      </c>
      <c r="O15" s="135" t="s">
        <v>70</v>
      </c>
      <c r="P15" s="136"/>
      <c r="Q15" s="137">
        <f>'Necesidades Trimestrales'!I10</f>
        <v>1999080</v>
      </c>
    </row>
    <row r="16" spans="1:17" ht="17.25" customHeight="1" x14ac:dyDescent="0.2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9"/>
      <c r="N16" s="40"/>
      <c r="O16" s="109"/>
      <c r="P16" s="109"/>
      <c r="Q16" s="41"/>
    </row>
    <row r="17" spans="1:18" ht="17.25" customHeight="1" x14ac:dyDescent="0.2">
      <c r="A17" s="37"/>
      <c r="B17" s="38"/>
      <c r="C17" s="38"/>
      <c r="D17" s="38"/>
      <c r="E17" s="38"/>
      <c r="F17" s="40"/>
      <c r="G17" s="38"/>
      <c r="H17" s="38"/>
      <c r="I17" s="38"/>
      <c r="J17" s="38"/>
      <c r="K17" s="38"/>
      <c r="L17" s="38"/>
      <c r="M17" s="39"/>
      <c r="N17" s="40"/>
      <c r="O17" s="109"/>
      <c r="P17" s="109"/>
      <c r="Q17" s="41"/>
    </row>
    <row r="18" spans="1:18" ht="17.25" customHeight="1" x14ac:dyDescent="0.2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9"/>
      <c r="N18" s="40"/>
      <c r="O18" s="109"/>
      <c r="P18" s="109"/>
      <c r="Q18" s="41"/>
    </row>
    <row r="19" spans="1:18" ht="17.25" customHeight="1" x14ac:dyDescent="0.2">
      <c r="A19" s="37"/>
      <c r="B19" s="38"/>
      <c r="C19" s="38"/>
      <c r="D19" s="38"/>
      <c r="E19" s="38"/>
      <c r="F19" s="40"/>
      <c r="G19" s="38"/>
      <c r="H19" s="38"/>
      <c r="I19" s="38"/>
      <c r="J19" s="38"/>
      <c r="K19" s="38"/>
      <c r="L19" s="38"/>
      <c r="M19" s="39"/>
      <c r="N19" s="40"/>
      <c r="O19" s="109"/>
      <c r="P19" s="109"/>
      <c r="Q19" s="41"/>
    </row>
    <row r="20" spans="1:18" ht="17.25" customHeight="1" x14ac:dyDescent="0.2">
      <c r="A20" s="37"/>
      <c r="B20" s="38"/>
      <c r="C20" s="38"/>
      <c r="D20" s="38"/>
      <c r="E20" s="38"/>
      <c r="F20" s="40"/>
      <c r="G20" s="38"/>
      <c r="H20" s="38"/>
      <c r="I20" s="38"/>
      <c r="J20" s="38"/>
      <c r="K20" s="38"/>
      <c r="L20" s="38"/>
      <c r="M20" s="39"/>
      <c r="N20" s="40"/>
      <c r="O20" s="109"/>
      <c r="P20" s="109"/>
      <c r="Q20" s="41"/>
    </row>
    <row r="21" spans="1:18" ht="17.25" customHeight="1" x14ac:dyDescent="0.2">
      <c r="A21" s="42"/>
      <c r="B21" s="43"/>
      <c r="C21" s="43"/>
      <c r="D21" s="43"/>
      <c r="E21" s="43"/>
      <c r="F21" s="44"/>
      <c r="G21" s="43"/>
      <c r="H21" s="43"/>
      <c r="I21" s="43"/>
      <c r="J21" s="43"/>
      <c r="K21" s="43"/>
      <c r="L21" s="43"/>
      <c r="M21" s="45"/>
      <c r="N21" s="46"/>
      <c r="O21" s="110"/>
      <c r="P21" s="110"/>
      <c r="Q21" s="41"/>
      <c r="R21" s="1"/>
    </row>
    <row r="22" spans="1:18" ht="17.25" customHeight="1" x14ac:dyDescent="0.2">
      <c r="A22" s="47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9"/>
      <c r="N22" s="48"/>
      <c r="O22" s="111"/>
      <c r="P22" s="111"/>
      <c r="Q22" s="50"/>
    </row>
    <row r="23" spans="1:18" ht="20.25" customHeight="1" x14ac:dyDescent="0.2">
      <c r="A23" s="138" t="s">
        <v>71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>
        <f>SUM(Q15:Q22)</f>
        <v>1999080</v>
      </c>
    </row>
    <row r="24" spans="1:18" ht="18" customHeight="1" thickBot="1" x14ac:dyDescent="0.25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</row>
    <row r="25" spans="1:18" ht="17.25" customHeight="1" thickBot="1" x14ac:dyDescent="0.25">
      <c r="A25" s="104" t="s">
        <v>55</v>
      </c>
      <c r="B25" s="105"/>
      <c r="C25" s="105"/>
      <c r="D25" s="105"/>
      <c r="E25" s="105"/>
      <c r="F25" s="106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</row>
    <row r="26" spans="1:18" ht="18" customHeight="1" thickBot="1" x14ac:dyDescent="0.25">
      <c r="A26" s="108" t="s">
        <v>67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</row>
    <row r="27" spans="1:18" ht="15" customHeight="1" x14ac:dyDescent="0.2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2021-08-13T12:44:52Z</cp:lastPrinted>
  <dcterms:created xsi:type="dcterms:W3CDTF">2020-07-17T23:44:49Z</dcterms:created>
  <dcterms:modified xsi:type="dcterms:W3CDTF">2021-08-31T15:43:38Z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