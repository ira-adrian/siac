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785DF89-8F8A-4AED-90D1-5FAEEC1AB18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Trimestrales'!$A$9:$I$76</definedName>
    <definedName name="_xlnm.Print_Area" localSheetId="1">' NotaPedido'!$A$1:$K$78</definedName>
    <definedName name="_xlnm.Print_Area" localSheetId="2">'Autor Gastar'!$A$1:$Q$29</definedName>
  </definedNames>
  <calcPr calcId="181029"/>
</workbook>
</file>

<file path=xl/calcChain.xml><?xml version="1.0" encoding="utf-8"?>
<calcChain xmlns="http://schemas.openxmlformats.org/spreadsheetml/2006/main">
  <c r="A25" i="3" l="1"/>
  <c r="Q25" i="3"/>
  <c r="A78" i="2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12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13" i="2"/>
  <c r="C14" i="2"/>
  <c r="C15" i="2"/>
  <c r="C16" i="2"/>
  <c r="C17" i="2"/>
  <c r="C18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12" i="2"/>
  <c r="A73" i="2"/>
  <c r="A74" i="2"/>
  <c r="A75" i="2"/>
  <c r="A76" i="2"/>
  <c r="A77" i="2"/>
  <c r="A7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12" i="2"/>
  <c r="I75" i="1" l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G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28" i="1" l="1"/>
  <c r="I76" i="1" s="1"/>
  <c r="K30" i="2"/>
  <c r="J78" i="2" s="1"/>
  <c r="A28" i="3"/>
  <c r="A10" i="3"/>
  <c r="G7" i="3" l="1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<sst xmlns="http://schemas.openxmlformats.org/spreadsheetml/2006/main" count="424" uniqueCount="212">
  <si>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</si>
  <si>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</si>
  <si>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</si>
  <si>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</si>
  <si>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</si>
  <si>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</si>
  <si>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</si>
  <si>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</si>
  <si>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</si>
  <si>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</si>
  <si>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</si>
  <si>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</si>
  <si>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</si>
  <si>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</si>
  <si>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</si>
  <si>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</si>
  <si>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</si>
  <si>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</si>
  <si>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</si>
  <si>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</si>
  <si>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</si>
  <si>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</si>
  <si>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</si>
  <si>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</si>
  <si>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</si>
  <si>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</si>
  <si>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</si>
  <si>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</si>
  <si>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</si>
  <si>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</si>
  <si>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</si>
  <si>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</si>
  <si>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</si>
  <si>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</si>
  <si>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</si>
  <si>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</si>
  <si>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</si>
  <si>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</si>
  <si>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</si>
  <si>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</si>
  <si>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</si>
  <si>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</si>
  <si>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</si>
  <si>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</si>
  <si>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</si>
  <si>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</si>
  <si>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</si>
  <si>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</si>
  <si>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</si>
  <si>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</si>
  <si>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</si>
  <si>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</si>
  <si>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</si>
  <si>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</si>
  <si>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</si>
  <si>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</si>
  <si>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 xml:space="preserve">Secretaria de Administracion </t>
  </si>
  <si>
    <t>Ministerio de Trabajo y Reursos Humanos</t>
  </si>
  <si>
    <t>UNIDAD</t>
  </si>
  <si>
    <t>Descripción técnica</t>
  </si>
  <si>
    <t>2.2.1-1053.108</t>
  </si>
  <si>
    <t>INDUMENT TEXTIL Y CONFECCIONES</t>
  </si>
  <si>
    <r>
      <rPr>
        <b/>
        <sz val="10"/>
        <rFont val="Times New Roman"/>
        <family val="1"/>
      </rPr>
      <t>HILO DE ALGODON</t>
    </r>
    <r>
      <rPr>
        <sz val="10"/>
        <rFont val="Times New Roman"/>
        <family val="1"/>
      </rPr>
      <t>; PRESENTACION: OVILLO, USO: P/ATAR, NUMERO: 4 HEBRAS, LARGO: 800 M, TONALIDAD: BLANCO</t>
    </r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</si>
  <si>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</si>
  <si>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</si>
  <si>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</si>
  <si>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2.3.1-6563.846</t>
  </si>
  <si>
    <r>
      <t xml:space="preserve">PAPELES EN HOJA; TIPO DE PAPEL: </t>
    </r>
    <r>
      <rPr>
        <b/>
        <sz val="10"/>
        <rFont val="Times New Roman"/>
        <family val="1"/>
      </rPr>
      <t xml:space="preserve">CARTULINA, DIMENSION: 76 X 112 </t>
    </r>
    <r>
      <rPr>
        <sz val="10"/>
        <rFont val="Times New Roman"/>
        <family val="1"/>
      </rPr>
      <t>Cm, GRAMAJE: 176 GR/M2, PRESENTACION: UNIDAD, CERTIFICADO FORESTAL (GFS): SIN, PORC. FIBRAS RECICLADAS: 0 %</t>
    </r>
  </si>
  <si>
    <t>2.3.1-6563.868</t>
  </si>
  <si>
    <r>
      <t xml:space="preserve">PAPELES EN HOJA; TIPO DE PAPEL: </t>
    </r>
    <r>
      <rPr>
        <b/>
        <sz val="10"/>
        <rFont val="Times New Roman"/>
        <family val="1"/>
      </rPr>
      <t>AFICHE, DIMENSION: 70 X 100</t>
    </r>
    <r>
      <rPr>
        <sz val="10"/>
        <rFont val="Times New Roman"/>
        <family val="1"/>
      </rPr>
      <t xml:space="preserve"> Cm, GRAMAJE: 65 GR/M2, PRESENTACION: UNIDAD, CERTIFICADO FORESTAL (GFS): CON, PORC. FIBRAS RECICLADAS: 40 %</t>
    </r>
  </si>
  <si>
    <t>2.3.1-6563.938</t>
  </si>
  <si>
    <r>
      <t>PAPELES EN HOJA; TIPO DE PAPEL:</t>
    </r>
    <r>
      <rPr>
        <b/>
        <sz val="10"/>
        <rFont val="Times New Roman"/>
        <family val="1"/>
      </rPr>
      <t xml:space="preserve"> P/FORRAR, DIMENSION: 48 X 80</t>
    </r>
    <r>
      <rPr>
        <sz val="10"/>
        <rFont val="Times New Roman"/>
        <family val="1"/>
      </rPr>
      <t xml:space="preserve"> Cm, GRAMAJE: NO CORRESPONDE, PRESENTACION: UNIDAD, CERTIFICADO FORESTAL (GFS): SIN, PORC. FIBRAS RECICLADAS: 0 %, CERT. FIBRA ALTERNATIVA (FCA): SIN</t>
    </r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</si>
  <si>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</si>
  <si>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</si>
  <si>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2.3.1-6587.159</t>
  </si>
  <si>
    <r>
      <t xml:space="preserve">PAPELES ENCUADERNADOS; CANT. DE HOJAS: 200, TAMAÑO: OFICIO, TIPO: </t>
    </r>
    <r>
      <rPr>
        <b/>
        <sz val="10"/>
        <rFont val="Times New Roman"/>
        <family val="1"/>
      </rPr>
      <t>LIBRO DE ACTAS,</t>
    </r>
    <r>
      <rPr>
        <sz val="10"/>
        <rFont val="Times New Roman"/>
        <family val="1"/>
      </rPr>
      <t xml:space="preserve"> CERTIFICADO FORESTAL (GFS): SIN, PORC. FIBRAS RECICLADAS: 0 %, CERT. FIBRA ALTERNATIVA (FCA): SIN</t>
    </r>
  </si>
  <si>
    <t>2.3.1-6587.317</t>
  </si>
  <si>
    <r>
      <t>PAPELES ENCUADERNADOS; CANT. DE</t>
    </r>
    <r>
      <rPr>
        <b/>
        <sz val="10"/>
        <rFont val="Times New Roman"/>
        <family val="1"/>
      </rPr>
      <t xml:space="preserve"> HOJAS: 48, TAMAÑO: 21 X 16 Cm, TIPO: CUADERNO</t>
    </r>
    <r>
      <rPr>
        <sz val="10"/>
        <rFont val="Times New Roman"/>
        <family val="1"/>
      </rPr>
      <t>, CERTIFICADO FORESTAL (GFS): CON, PORC. FIBRAS RECICLADAS: 0 %, CERT. FIBRA ALTERNATIVA (FCA): SIN</t>
    </r>
  </si>
  <si>
    <t>2.3.1-6587.333</t>
  </si>
  <si>
    <r>
      <t xml:space="preserve">PAPELES ENCUADERNADOS;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</si>
  <si>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</si>
  <si>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</si>
  <si>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</si>
  <si>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</si>
  <si>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</si>
  <si>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</si>
  <si>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</si>
  <si>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</si>
  <si>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</si>
  <si>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</si>
  <si>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</si>
  <si>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</si>
  <si>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</si>
  <si>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</si>
  <si>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</si>
  <si>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COLOR: VERDE,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</si>
  <si>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</si>
  <si>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>, ACCESORIO: SIN, COLOR: AZUL,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</si>
  <si>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</si>
  <si>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AMARILLO,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</si>
  <si>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</si>
  <si>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VERDE, TIPO PUNTA: FINA</t>
    </r>
  </si>
  <si>
    <t>2.9.2-1358.34</t>
  </si>
  <si>
    <t>CARPETAS; MATERIAL PVC - TAMAÑO OFICIO</t>
  </si>
  <si>
    <t>2.9.2-1358.35</t>
  </si>
  <si>
    <t>CARPETAS; MATERIAL PVC - TAMAÑO A4</t>
  </si>
  <si>
    <t>2.9.2-1428.23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</si>
  <si>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12 Cm, PRESENTACION: 500 GR, ESPESOR: 5 mm</t>
    </r>
  </si>
  <si>
    <t>2.9.2-1428.38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</si>
  <si>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10 Cm, PRESENTACION: BOLSA DE 500 GR, ESPESOR: 1 mm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</si>
  <si>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</si>
  <si>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</si>
  <si>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</si>
  <si>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</si>
  <si>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COLOR: NEGRO, PRESENTACION: ENVASE X 50 CM3</t>
    </r>
  </si>
  <si>
    <t>2.9.2-1611.1</t>
  </si>
  <si>
    <r>
      <rPr>
        <b/>
        <sz val="10"/>
        <rFont val="Times New Roman"/>
        <family val="1"/>
      </rPr>
      <t>FOLIOS TRANSPARENTES</t>
    </r>
    <r>
      <rPr>
        <sz val="10"/>
        <rFont val="Times New Roman"/>
        <family val="1"/>
      </rPr>
      <t xml:space="preserve">; MATERIAL: PLASTICO (POLIETILENO),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PERFORACIONES: 5 UNIVERSALES</t>
    </r>
  </si>
  <si>
    <t>2.9.2-1611.21</t>
  </si>
  <si>
    <r>
      <rPr>
        <b/>
        <sz val="10"/>
        <rFont val="Times New Roman"/>
        <family val="1"/>
      </rPr>
      <t>FOLIOS TRANSPARENTES</t>
    </r>
    <r>
      <rPr>
        <sz val="10"/>
        <rFont val="Times New Roman"/>
        <family val="1"/>
      </rPr>
      <t xml:space="preserve">; TAMAÑO: </t>
    </r>
    <r>
      <rPr>
        <b/>
        <sz val="10"/>
        <rFont val="Times New Roman"/>
        <family val="1"/>
      </rPr>
      <t>A4,</t>
    </r>
    <r>
      <rPr>
        <sz val="10"/>
        <rFont val="Times New Roman"/>
        <family val="1"/>
      </rPr>
      <t xml:space="preserve"> PERFORACIONES: SIN, MATERIAL: POLIETILENO</t>
    </r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</si>
  <si>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</si>
  <si>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</si>
  <si>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</si>
  <si>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 COLOR: VERDE,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</si>
  <si>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</si>
  <si>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>; TIPO: AL SOLVENTE, TRAZO: FINO, PUNTA: REDONDA, COLOR: NEGRO, RECARGABLE: NO</t>
    </r>
  </si>
  <si>
    <t>2.9.2-1954.5</t>
  </si>
  <si>
    <r>
      <rPr>
        <b/>
        <sz val="10"/>
        <rFont val="Times New Roman"/>
        <family val="1"/>
      </rPr>
      <t>BORRADORES</t>
    </r>
    <r>
      <rPr>
        <sz val="10"/>
        <rFont val="Times New Roman"/>
        <family val="1"/>
      </rPr>
      <t>; MATERIAL: PLASTICO-FELPA, TIPO: PARA MARCADOR</t>
    </r>
  </si>
  <si>
    <t>2.9.2-261.11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</si>
  <si>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MATERIAL: METALICA, TIPO: DE ESCRITORIO, MEDIDA: 23, P/BROCHES: 23</t>
    </r>
  </si>
  <si>
    <t>2.9.2-261.14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</si>
  <si>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</si>
  <si>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2.9.2-262.4</t>
  </si>
  <si>
    <r>
      <t xml:space="preserve">ADHESIVOS P/PAPEL;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</si>
  <si>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</si>
  <si>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</si>
  <si>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</si>
  <si>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COLOR: GRIS,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</si>
  <si>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</si>
  <si>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</si>
  <si>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2.9.2-291.3</t>
  </si>
  <si>
    <r>
      <rPr>
        <b/>
        <sz val="10"/>
        <rFont val="Times New Roman"/>
        <family val="1"/>
      </rPr>
      <t>ALMOHADILLAS P/SELLOS</t>
    </r>
    <r>
      <rPr>
        <sz val="10"/>
        <rFont val="Times New Roman"/>
        <family val="1"/>
      </rPr>
      <t>; MEDIDA: 8 X 12 Cm, MATERIAL: PLASTICO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</si>
  <si>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</si>
  <si>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</si>
  <si>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</si>
  <si>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</si>
  <si>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</si>
  <si>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</si>
  <si>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2.9.2-323.4</t>
  </si>
  <si>
    <t>CORRECTORES DE ESCRITURA; CAPACIDAD: 7 mL, ENVASE: LAPIZ (PUNTA METAL), PRESENTACION: LAPIZ (PUNTA METAL) X 7 mL</t>
  </si>
  <si>
    <t>2.9.2-4984.5</t>
  </si>
  <si>
    <r>
      <rPr>
        <b/>
        <sz val="10"/>
        <rFont val="Times New Roman"/>
        <family val="1"/>
      </rPr>
      <t>LAPICERAS ESTILOGRAFICAS</t>
    </r>
    <r>
      <rPr>
        <sz val="10"/>
        <rFont val="Times New Roman"/>
        <family val="1"/>
      </rPr>
      <t>; TIPO: TRAZO FINO, MATERIAL: PLASTICO Y METAL  , RECARGABLE: NO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</si>
  <si>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</si>
  <si>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>; CANT. X CAJA: 50, NUMERO: 6, MATERIAL: METAL, PRESENTACION: CAJA X 50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</si>
  <si>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</si>
  <si>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</si>
  <si>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2.9.2-700.2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</si>
  <si>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21/6, PRESENTACION: CAJA X 1000 UNIDADES</t>
    </r>
  </si>
  <si>
    <t>2.9.2-700.28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</si>
  <si>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10/50, PRESENTACION: CAJA X 1000 UNIDADES</t>
    </r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</si>
  <si>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</si>
  <si>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</si>
  <si>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</si>
  <si>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t>PORTA SELLOS; CANT. DE SELLOS: 12, MATERIAL: METAL</t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</si>
  <si>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</si>
  <si>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</si>
  <si>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</si>
  <si>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</si>
  <si>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</si>
  <si>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</si>
  <si>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2.9.2-844.13</t>
  </si>
  <si>
    <r>
      <rPr>
        <b/>
        <sz val="10"/>
        <rFont val="Times New Roman"/>
        <family val="1"/>
      </rPr>
      <t>PORTA CINTA ADHESIVA</t>
    </r>
    <r>
      <rPr>
        <sz val="10"/>
        <rFont val="Times New Roman"/>
        <family val="1"/>
      </rPr>
      <t>; MATERIAL: PLASTICO, ROLLO: 50 M, MEDIDA: 50 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</si>
  <si>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</si>
  <si>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</si>
  <si>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</si>
  <si>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</si>
  <si>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</si>
  <si>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</si>
  <si>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2.9.2-850.1</t>
  </si>
  <si>
    <r>
      <rPr>
        <b/>
        <sz val="10"/>
        <rFont val="Times New Roman"/>
        <family val="1"/>
      </rPr>
      <t>CAJAS DE ARCHIVO</t>
    </r>
    <r>
      <rPr>
        <sz val="10"/>
        <rFont val="Times New Roman"/>
        <family val="1"/>
      </rPr>
      <t>; DIMENSION: 26.5 X 38 X 9 Cm, COLOR: AZUL, MATERIAL: PLASTICO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</si>
  <si>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</si>
  <si>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</si>
  <si>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</si>
  <si>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</si>
  <si>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</si>
  <si>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</si>
  <si>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2.9.2-858.7</t>
  </si>
  <si>
    <r>
      <rPr>
        <b/>
        <sz val="10"/>
        <rFont val="Times New Roman"/>
        <family val="1"/>
      </rPr>
      <t>PERFORADORAS</t>
    </r>
    <r>
      <rPr>
        <sz val="10"/>
        <rFont val="Times New Roman"/>
        <family val="1"/>
      </rPr>
      <t>; DIST. ENTRE AGUJ.: FIJO, N° PERFORACIONES: 2, MATERIAL ESTRUCTURA: FUNDICION HIERRO BASE MADERA, GUIA POSICION PAPEL: CON, TAMAÑO: GRANDE, MATERIAL: FUNDICION HIERRO BASE MADERA</t>
    </r>
  </si>
  <si>
    <t>2.9.2-866.4</t>
  </si>
  <si>
    <r>
      <rPr>
        <b/>
        <sz val="10"/>
        <rFont val="Times New Roman"/>
        <family val="1"/>
      </rPr>
      <t>MAQUINAS SACABROCHE</t>
    </r>
    <r>
      <rPr>
        <sz val="10"/>
        <rFont val="Times New Roman"/>
        <family val="1"/>
      </rPr>
      <t>S; EXTRACTOR: ACERO INOXIDABLE, MATERIAL: PLASTICO</t>
    </r>
  </si>
  <si>
    <t>2.3.3-4360.2</t>
  </si>
  <si>
    <t>IMPRENTA Y EDITORIALES</t>
  </si>
  <si>
    <r>
      <rPr>
        <b/>
        <sz val="10"/>
        <rFont val="Times New Roman"/>
        <family val="1"/>
      </rPr>
      <t>LIBROS NOVEDADES DE GUARDIA</t>
    </r>
    <r>
      <rPr>
        <sz val="10"/>
        <rFont val="Times New Roman"/>
        <family val="1"/>
      </rPr>
      <t>; TAPA: CARTON, COLOR: NEGRO, NUMERO DE HOJAS: 200, CANT. DE HOJAS: 200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</si>
  <si>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</si>
  <si>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</si>
  <si>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</si>
  <si>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</si>
  <si>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LIBRO DE RECIBO TAPA DURA X 200 HOJAS RAYADAS DOBLE FAZ - MEDIDAS: SIN</t>
  </si>
  <si>
    <t>NO</t>
  </si>
  <si>
    <t>006/2021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</si>
  <si>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 xml:space="preserve">: El Oferente deberá establecer plazo de entrega de los elementos cotizados, debiendo ser expresado en días hábiles; que no podrá ser superior a </t>
    </r>
    <r>
      <rPr>
        <b/>
        <sz val="10"/>
        <rFont val="Times New Roman"/>
        <family val="1"/>
      </rPr>
      <t>cinco (5) días hábiles</t>
    </r>
    <r>
      <rPr>
        <sz val="10"/>
        <rFont val="Times New Roman"/>
        <family val="1"/>
      </rPr>
      <t>, contados a partir de la recepción de la comunicación prevista en el Artículo en el Reglamento Parcial N° 2 de la ley 4938.</t>
    </r>
  </si>
  <si>
    <t>Especificidades Ítem N° 64:</t>
  </si>
  <si>
    <t>Calidad Mínima esperada</t>
  </si>
  <si>
    <t>30 (treinta)  días hábiles</t>
  </si>
  <si>
    <t>Garantía</t>
  </si>
  <si>
    <t>22 - Secretaria de Administración del Ministerio de Trabajo y Recursos Humanos</t>
  </si>
  <si>
    <t>Adquisición de Utiles de Escritorio para las distintas dependencias de este Ministerio.</t>
  </si>
  <si>
    <t>HILADOS Y TELAS</t>
  </si>
  <si>
    <t>PAPEL DE ESCRITORIO Y CARTON</t>
  </si>
  <si>
    <t>PRODUCTOS DE ARTES GRAFICOS</t>
  </si>
  <si>
    <t>UTILES DE ESCRITORIO, OFICINA Y ENSEÑANZA</t>
  </si>
  <si>
    <t>COSTO TOTAL ESTIMADO: SON PESOS UN MILLON CUARENTA Y SEIS MIL SEISCIENTOS NOVENTA Y CUATRO CON 16/100</t>
  </si>
  <si>
    <t>CODIGO 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</si>
</sst>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202">
    <xf numFmtId="0" fontId="0" fillId="0" borderId="0" xfId="0"/>
    <xf numFmtId="0" fontId="6" fillId="0" borderId="0" xfId="0" applyFont="1"/>
    <xf numFmtId="0" fontId="6" fillId="0" borderId="0" xfId="0" applyFont="1" applyBorder="1"/>
    <xf numFmtId="3" fontId="15" fillId="0" borderId="0" xfId="0" applyNumberFormat="1" applyFont="1" applyBorder="1" applyAlignment="1"/>
    <xf numFmtId="16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0" xfId="0" applyFont="1" applyBorder="1"/>
    <xf numFmtId="0" fontId="6" fillId="0" borderId="22" xfId="0" applyFont="1" applyBorder="1"/>
    <xf numFmtId="0" fontId="6" fillId="0" borderId="12" xfId="0" applyFont="1" applyBorder="1"/>
    <xf numFmtId="0" fontId="6" fillId="0" borderId="12" xfId="0" applyFont="1" applyBorder="1" applyAlignment="1">
      <alignment horizontal="left"/>
    </xf>
    <xf numFmtId="0" fontId="6" fillId="0" borderId="23" xfId="0" applyFont="1" applyBorder="1"/>
    <xf numFmtId="167" fontId="11" fillId="0" borderId="25" xfId="0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/>
    <xf numFmtId="0" fontId="10" fillId="3" borderId="12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 wrapText="1" indent="1"/>
    </xf>
    <xf numFmtId="0" fontId="11" fillId="3" borderId="28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164" fontId="11" fillId="3" borderId="28" xfId="0" applyNumberFormat="1" applyFont="1" applyFill="1" applyBorder="1" applyAlignment="1">
      <alignment horizontal="center" vertical="center" wrapText="1"/>
    </xf>
    <xf numFmtId="3" fontId="11" fillId="3" borderId="28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 wrapText="1" indent="1"/>
    </xf>
    <xf numFmtId="0" fontId="18" fillId="0" borderId="0" xfId="0" applyFont="1" applyFill="1" applyAlignment="1">
      <alignment horizontal="left" vertical="center" wrapText="1"/>
    </xf>
    <xf numFmtId="17" fontId="8" fillId="3" borderId="11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 applyAlignment="1">
      <alignment horizontal="center" vertical="center"/>
    </xf>
    <xf numFmtId="0" fontId="19" fillId="0" borderId="0" xfId="0" applyFont="1" applyBorder="1"/>
    <xf numFmtId="0" fontId="19" fillId="0" borderId="6" xfId="0" applyFont="1" applyBorder="1"/>
    <xf numFmtId="0" fontId="19" fillId="0" borderId="0" xfId="0" applyFont="1" applyAlignment="1"/>
    <xf numFmtId="0" fontId="22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19" fillId="0" borderId="0" xfId="0" applyFont="1" applyFill="1" applyBorder="1"/>
    <xf numFmtId="0" fontId="19" fillId="0" borderId="6" xfId="0" applyFont="1" applyFill="1" applyBorder="1" applyAlignment="1">
      <alignment horizontal="left"/>
    </xf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5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9" fillId="0" borderId="5" xfId="0" applyFont="1" applyBorder="1" applyAlignment="1">
      <alignment horizontal="left" indent="3"/>
    </xf>
    <xf numFmtId="0" fontId="5" fillId="0" borderId="5" xfId="0" applyFont="1" applyBorder="1" applyAlignment="1"/>
    <xf numFmtId="0" fontId="20" fillId="0" borderId="5" xfId="0" applyFont="1" applyBorder="1" applyAlignment="1">
      <alignment horizontal="left" indent="3"/>
    </xf>
    <xf numFmtId="0" fontId="19" fillId="0" borderId="7" xfId="0" applyFont="1" applyBorder="1" applyAlignment="1">
      <alignment horizontal="left" indent="3"/>
    </xf>
    <xf numFmtId="0" fontId="18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wrapText="1"/>
    </xf>
    <xf numFmtId="0" fontId="18" fillId="0" borderId="31" xfId="0" applyFont="1" applyBorder="1" applyAlignment="1">
      <alignment horizontal="center" vertical="center" wrapText="1"/>
    </xf>
    <xf numFmtId="170" fontId="18" fillId="0" borderId="32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19" fillId="0" borderId="34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4" xfId="0" applyFont="1" applyFill="1" applyBorder="1" applyAlignment="1">
      <alignment horizontal="center" vertical="center" wrapText="1"/>
    </xf>
    <xf numFmtId="3" fontId="25" fillId="0" borderId="34" xfId="0" applyNumberFormat="1" applyFont="1" applyFill="1" applyBorder="1" applyAlignment="1">
      <alignment horizontal="center" vertical="center"/>
    </xf>
    <xf numFmtId="170" fontId="4" fillId="0" borderId="34" xfId="1" applyNumberFormat="1" applyBorder="1" applyAlignment="1">
      <alignment horizontal="center" vertical="center"/>
    </xf>
    <xf numFmtId="170" fontId="19" fillId="0" borderId="35" xfId="1" applyNumberFormat="1" applyFont="1" applyFill="1" applyBorder="1" applyAlignment="1" applyProtection="1">
      <alignment horizontal="right" vertical="center" wrapText="1"/>
    </xf>
    <xf numFmtId="0" fontId="19" fillId="0" borderId="34" xfId="0" applyFont="1" applyBorder="1" applyAlignment="1">
      <alignment vertical="center" wrapText="1"/>
    </xf>
    <xf numFmtId="0" fontId="19" fillId="0" borderId="34" xfId="0" applyFont="1" applyFill="1" applyBorder="1" applyAlignment="1">
      <alignment horizontal="center" vertical="center" wrapText="1"/>
    </xf>
    <xf numFmtId="3" fontId="19" fillId="0" borderId="34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3" fontId="19" fillId="0" borderId="34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34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9" fillId="0" borderId="34" xfId="0" applyFont="1" applyFill="1" applyBorder="1" applyAlignment="1">
      <alignment vertical="center" wrapText="1"/>
    </xf>
    <xf numFmtId="0" fontId="19" fillId="0" borderId="34" xfId="0" applyFont="1" applyFill="1" applyBorder="1" applyAlignment="1">
      <alignment vertical="center"/>
    </xf>
    <xf numFmtId="170" fontId="4" fillId="0" borderId="34" xfId="1" applyNumberFormat="1" applyFill="1" applyBorder="1" applyAlignment="1">
      <alignment horizontal="center" vertical="center"/>
    </xf>
    <xf numFmtId="0" fontId="19" fillId="0" borderId="0" xfId="0" applyFont="1" applyFill="1"/>
    <xf numFmtId="0" fontId="19" fillId="0" borderId="0" xfId="0" applyFont="1" applyBorder="1" applyAlignment="1">
      <alignment vertical="center" wrapText="1"/>
    </xf>
    <xf numFmtId="0" fontId="19" fillId="0" borderId="36" xfId="0" applyFont="1" applyBorder="1"/>
    <xf numFmtId="0" fontId="19" fillId="0" borderId="36" xfId="0" applyFont="1" applyBorder="1" applyAlignment="1">
      <alignment horizontal="center"/>
    </xf>
    <xf numFmtId="170" fontId="4" fillId="0" borderId="36" xfId="1" applyNumberFormat="1" applyBorder="1" applyAlignment="1">
      <alignment horizontal="center" vertical="center"/>
    </xf>
    <xf numFmtId="170" fontId="23" fillId="0" borderId="37" xfId="0" applyNumberFormat="1" applyFont="1" applyBorder="1"/>
    <xf numFmtId="0" fontId="19" fillId="0" borderId="0" xfId="0" applyFont="1" applyAlignment="1">
      <alignment horizontal="center" wrapText="1"/>
    </xf>
    <xf numFmtId="170" fontId="4" fillId="0" borderId="0" xfId="1" applyNumberFormat="1" applyAlignment="1">
      <alignment horizontal="center" vertical="center"/>
    </xf>
    <xf numFmtId="170" fontId="19" fillId="0" borderId="0" xfId="0" applyNumberFormat="1" applyFont="1"/>
    <xf numFmtId="0" fontId="20" fillId="0" borderId="2" xfId="0" applyFont="1" applyBorder="1" applyAlignment="1"/>
    <xf numFmtId="0" fontId="19" fillId="0" borderId="5" xfId="0" applyFont="1" applyBorder="1" applyAlignment="1"/>
    <xf numFmtId="0" fontId="19" fillId="0" borderId="0" xfId="0" applyFont="1" applyBorder="1" applyAlignment="1">
      <alignment horizontal="center" wrapText="1"/>
    </xf>
    <xf numFmtId="0" fontId="20" fillId="0" borderId="5" xfId="0" applyFont="1" applyBorder="1" applyAlignment="1"/>
    <xf numFmtId="0" fontId="19" fillId="0" borderId="7" xfId="0" applyFont="1" applyBorder="1" applyAlignment="1"/>
    <xf numFmtId="0" fontId="19" fillId="0" borderId="8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70" fontId="23" fillId="0" borderId="31" xfId="1" applyNumberFormat="1" applyFont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0" fontId="23" fillId="0" borderId="14" xfId="0" applyNumberFormat="1" applyFont="1" applyBorder="1"/>
    <xf numFmtId="168" fontId="6" fillId="0" borderId="0" xfId="0" applyNumberFormat="1" applyFont="1"/>
    <xf numFmtId="0" fontId="6" fillId="0" borderId="34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167" fontId="6" fillId="0" borderId="32" xfId="3" applyNumberFormat="1" applyFont="1" applyFill="1" applyBorder="1" applyAlignment="1" applyProtection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167" fontId="6" fillId="0" borderId="35" xfId="3" applyNumberFormat="1" applyFont="1" applyFill="1" applyBorder="1" applyAlignment="1" applyProtection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167" fontId="6" fillId="0" borderId="37" xfId="3" applyNumberFormat="1" applyFont="1" applyFill="1" applyBorder="1" applyAlignment="1" applyProtection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67" fontId="6" fillId="0" borderId="0" xfId="0" applyNumberFormat="1" applyFont="1"/>
    <xf numFmtId="170" fontId="4" fillId="0" borderId="34" xfId="1" applyNumberFormat="1" applyFont="1" applyBorder="1" applyAlignment="1">
      <alignment horizontal="center" vertical="center"/>
    </xf>
    <xf numFmtId="0" fontId="12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 indent="1"/>
    </xf>
    <xf numFmtId="0" fontId="19" fillId="0" borderId="6" xfId="0" applyFont="1" applyFill="1" applyBorder="1" applyAlignment="1">
      <alignment horizontal="center"/>
    </xf>
    <xf numFmtId="0" fontId="23" fillId="0" borderId="38" xfId="0" applyFont="1" applyBorder="1" applyAlignment="1">
      <alignment horizontal="left" wrapText="1"/>
    </xf>
    <xf numFmtId="0" fontId="23" fillId="0" borderId="39" xfId="0" applyFont="1" applyBorder="1" applyAlignment="1">
      <alignment horizontal="left" wrapText="1"/>
    </xf>
    <xf numFmtId="0" fontId="23" fillId="0" borderId="40" xfId="0" applyFont="1" applyBorder="1" applyAlignment="1">
      <alignment horizontal="left" wrapText="1"/>
    </xf>
    <xf numFmtId="0" fontId="19" fillId="0" borderId="0" xfId="0" applyFont="1" applyFill="1" applyBorder="1" applyAlignment="1">
      <alignment horizontal="left" wrapText="1"/>
    </xf>
    <xf numFmtId="0" fontId="19" fillId="0" borderId="6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center" vertical="center" wrapText="1"/>
    </xf>
    <xf numFmtId="168" fontId="11" fillId="3" borderId="14" xfId="0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left" vertical="center" wrapText="1" indent="1"/>
    </xf>
    <xf numFmtId="0" fontId="11" fillId="3" borderId="29" xfId="0" applyFont="1" applyFill="1" applyBorder="1" applyAlignment="1">
      <alignment horizontal="left" vertical="center" wrapText="1" indent="1"/>
    </xf>
    <xf numFmtId="0" fontId="11" fillId="3" borderId="20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 wrapText="1"/>
    </xf>
    <xf numFmtId="0" fontId="14" fillId="0" borderId="15" xfId="0" applyFont="1" applyBorder="1"/>
    <xf numFmtId="0" fontId="14" fillId="0" borderId="41" xfId="0" applyFont="1" applyBorder="1"/>
    <xf numFmtId="0" fontId="14" fillId="0" borderId="21" xfId="0" applyFont="1" applyBorder="1" applyAlignment="1">
      <alignment horizontal="left" vertical="center" wrapText="1" indent="1"/>
    </xf>
    <xf numFmtId="0" fontId="14" fillId="0" borderId="0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4" fillId="0" borderId="26" xfId="0" applyFont="1" applyBorder="1" applyAlignment="1">
      <alignment horizontal="left" indent="1"/>
    </xf>
    <xf numFmtId="0" fontId="14" fillId="0" borderId="27" xfId="0" applyFont="1" applyBorder="1" applyAlignment="1">
      <alignment horizontal="left" indent="1"/>
    </xf>
    <xf numFmtId="0" fontId="10" fillId="0" borderId="13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3" fontId="15" fillId="0" borderId="29" xfId="0" applyNumberFormat="1" applyFont="1" applyBorder="1" applyAlignment="1">
      <alignment horizontal="center"/>
    </xf>
    <xf numFmtId="3" fontId="15" fillId="0" borderId="20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26" xfId="0" applyFont="1" applyBorder="1"/>
    <xf numFmtId="0" fontId="6" fillId="0" borderId="27" xfId="0" applyFont="1" applyBorder="1"/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4" fillId="0" borderId="41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left" vertical="center" wrapText="1" indent="1"/>
    </xf>
    <xf numFmtId="0" fontId="14" fillId="0" borderId="0" xfId="0" applyFont="1" applyFill="1" applyBorder="1" applyAlignment="1">
      <alignment horizontal="left" vertical="center" wrapText="1" indent="1"/>
    </xf>
    <xf numFmtId="0" fontId="14" fillId="0" borderId="10" xfId="0" applyFont="1" applyFill="1" applyBorder="1" applyAlignment="1">
      <alignment horizontal="left" vertical="center" wrapText="1" indent="1"/>
    </xf>
    <xf numFmtId="0" fontId="14" fillId="0" borderId="22" xfId="0" applyFont="1" applyFill="1" applyBorder="1" applyAlignment="1">
      <alignment horizontal="left" vertical="center" wrapText="1" indent="1"/>
    </xf>
    <xf numFmtId="0" fontId="14" fillId="0" borderId="12" xfId="0" applyFont="1" applyFill="1" applyBorder="1" applyAlignment="1">
      <alignment horizontal="left" vertical="center" wrapText="1" indent="1"/>
    </xf>
    <xf numFmtId="0" fontId="14" fillId="0" borderId="23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6" fillId="0" borderId="15" xfId="0" applyFont="1" applyBorder="1"/>
    <xf numFmtId="0" fontId="6" fillId="0" borderId="41" xfId="0" applyFont="1" applyBorder="1"/>
    <xf numFmtId="0" fontId="6" fillId="0" borderId="24" xfId="0" applyFont="1" applyBorder="1"/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left" vertical="center" wrapText="1"/>
    </xf>
    <xf numFmtId="0" fontId="6" fillId="0" borderId="36" xfId="0" applyFont="1" applyFill="1" applyBorder="1" applyAlignment="1">
      <alignment horizontal="center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1"/>
  <sheetViews>
    <sheetView tabSelected="1" topLeftCell="A16" zoomScale="80" zoomScaleNormal="80" workbookViewId="0">
      <selection activeCell="B9" sqref="B9"/>
    </sheetView>
  </sheetViews>
  <sheetFormatPr baseColWidth="10" defaultColWidth="11" defaultRowHeight="13.5" x14ac:dyDescent="0.25"/>
  <cols>
    <col min="1" max="1" width="4.5703125" style="14" customWidth="1"/>
    <col min="2" max="2" width="17.28515625" style="26" customWidth="1"/>
    <col min="3" max="3" width="15.85546875" style="26" customWidth="1"/>
    <col min="4" max="4" width="8.42578125" style="14" customWidth="1"/>
    <col min="5" max="5" width="77.7109375" style="14" customWidth="1"/>
    <col min="6" max="6" width="11" style="14"/>
    <col min="7" max="7" width="10.7109375" style="14" customWidth="1"/>
    <col min="8" max="8" width="13.85546875" style="14" customWidth="1"/>
    <col min="9" max="9" width="17.42578125" style="14" customWidth="1"/>
    <col min="10" max="16384" width="11" style="14"/>
  </cols>
  <sheetData>
    <row r="2" spans="1:9" ht="28.5" x14ac:dyDescent="0.4">
      <c r="B2" s="118" t="s">
        <v>0</v>
      </c>
      <c r="C2" s="118"/>
      <c r="D2" s="118"/>
      <c r="E2" s="118"/>
      <c r="F2" s="118"/>
      <c r="G2" s="118"/>
      <c r="H2" s="118"/>
    </row>
    <row r="4" spans="1:9" ht="18" customHeight="1" x14ac:dyDescent="0.25">
      <c r="A4" s="119" t="s">
        <v>1</v>
      </c>
      <c r="B4" s="119"/>
      <c r="C4" s="120" t="s">
        <v>55</v>
      </c>
      <c r="D4" s="120"/>
      <c r="E4" s="120"/>
      <c r="F4" s="23"/>
      <c r="G4" s="24"/>
      <c r="H4" s="23"/>
    </row>
    <row r="5" spans="1:9" ht="27" customHeight="1" x14ac:dyDescent="0.25">
      <c r="A5" s="119" t="s">
        <v>2</v>
      </c>
      <c r="B5" s="119"/>
      <c r="C5" s="120" t="s">
        <v>204</v>
      </c>
      <c r="D5" s="120"/>
      <c r="E5" s="120"/>
      <c r="F5" s="23"/>
      <c r="G5" s="24"/>
      <c r="H5" s="23"/>
    </row>
    <row r="6" spans="1:9" ht="16.5" customHeight="1" x14ac:dyDescent="0.25">
      <c r="A6" s="119" t="s">
        <v>3</v>
      </c>
      <c r="B6" s="119"/>
      <c r="C6" s="27">
        <v>2021</v>
      </c>
      <c r="D6" s="28"/>
      <c r="E6" s="28"/>
      <c r="F6" s="23"/>
      <c r="G6" s="24"/>
      <c r="H6" s="23"/>
    </row>
    <row r="7" spans="1:9" ht="16.5" customHeight="1" x14ac:dyDescent="0.25">
      <c r="A7" s="119" t="s">
        <v>4</v>
      </c>
      <c r="B7" s="119"/>
      <c r="C7" s="27">
        <v>2</v>
      </c>
      <c r="D7" s="28"/>
      <c r="E7" s="28"/>
      <c r="F7" s="23"/>
      <c r="G7" s="24"/>
      <c r="H7" s="23"/>
    </row>
    <row r="8" spans="1:9" ht="14.25" thickBot="1" x14ac:dyDescent="0.3">
      <c r="B8" s="25"/>
      <c r="C8" s="25"/>
      <c r="D8" s="23"/>
      <c r="E8" s="23"/>
      <c r="F8" s="23"/>
      <c r="G8" s="24"/>
      <c r="H8" s="23"/>
    </row>
    <row r="9" spans="1:9" s="30" customFormat="1" ht="35.25" customHeight="1" x14ac:dyDescent="0.2">
      <c r="A9" s="54" t="s">
        <v>5</v>
      </c>
      <c r="B9" s="55" t="s">
        <v>211</v>
      </c>
      <c r="C9" s="56" t="s">
        <v>6</v>
      </c>
      <c r="D9" s="56" t="s">
        <v>7</v>
      </c>
      <c r="E9" s="56" t="s">
        <v>8</v>
      </c>
      <c r="F9" s="56" t="s">
        <v>9</v>
      </c>
      <c r="G9" s="56" t="s">
        <v>10</v>
      </c>
      <c r="H9" s="97" t="s">
        <v>11</v>
      </c>
      <c r="I9" s="57" t="s">
        <v>12</v>
      </c>
    </row>
    <row r="10" spans="1:9" s="30" customFormat="1" ht="40.5" customHeight="1" x14ac:dyDescent="0.2">
      <c r="A10" s="58">
        <v>1</v>
      </c>
      <c r="B10" s="59" t="s">
        <v>60</v>
      </c>
      <c r="C10" s="60" t="s">
        <v>61</v>
      </c>
      <c r="D10" s="61" t="str">
        <f>+LEFT(B10,5)</f>
        <v>2.2.1</v>
      </c>
      <c r="E10" s="66" t="s">
        <v>62</v>
      </c>
      <c r="F10" s="62" t="s">
        <v>58</v>
      </c>
      <c r="G10" s="63">
        <v>6</v>
      </c>
      <c r="H10" s="64">
        <v>248</v>
      </c>
      <c r="I10" s="65">
        <f>+H10*G10</f>
        <v>1488</v>
      </c>
    </row>
    <row r="11" spans="1:9" s="30" customFormat="1" ht="49.5" customHeight="1" x14ac:dyDescent="0.2">
      <c r="A11" s="58">
        <v>2</v>
      </c>
      <c r="B11" s="59" t="s">
        <v>63</v>
      </c>
      <c r="C11" s="60" t="s">
        <v>64</v>
      </c>
      <c r="D11" s="60" t="str">
        <f t="shared" ref="D11:D74" si="0">+LEFT(B11,5)</f>
        <v>2.3.1</v>
      </c>
      <c r="E11" s="66" t="s">
        <v>65</v>
      </c>
      <c r="F11" s="67" t="s">
        <v>58</v>
      </c>
      <c r="G11" s="68">
        <v>300</v>
      </c>
      <c r="H11" s="64">
        <v>504.84</v>
      </c>
      <c r="I11" s="65">
        <f t="shared" ref="I11:I74" si="1">+H11*G11</f>
        <v>151452</v>
      </c>
    </row>
    <row r="12" spans="1:9" s="30" customFormat="1" ht="49.5" customHeight="1" x14ac:dyDescent="0.2">
      <c r="A12" s="58">
        <v>3</v>
      </c>
      <c r="B12" s="59" t="s">
        <v>66</v>
      </c>
      <c r="C12" s="60" t="s">
        <v>64</v>
      </c>
      <c r="D12" s="61" t="str">
        <f t="shared" si="0"/>
        <v>2.3.1</v>
      </c>
      <c r="E12" s="66" t="s">
        <v>67</v>
      </c>
      <c r="F12" s="62" t="s">
        <v>58</v>
      </c>
      <c r="G12" s="69">
        <v>10</v>
      </c>
      <c r="H12" s="64">
        <v>28</v>
      </c>
      <c r="I12" s="65">
        <f t="shared" si="1"/>
        <v>280</v>
      </c>
    </row>
    <row r="13" spans="1:9" s="30" customFormat="1" ht="49.5" customHeight="1" x14ac:dyDescent="0.2">
      <c r="A13" s="58">
        <v>4</v>
      </c>
      <c r="B13" s="59" t="s">
        <v>68</v>
      </c>
      <c r="C13" s="60" t="s">
        <v>64</v>
      </c>
      <c r="D13" s="61" t="str">
        <f t="shared" si="0"/>
        <v>2.3.1</v>
      </c>
      <c r="E13" s="66" t="s">
        <v>69</v>
      </c>
      <c r="F13" s="62" t="s">
        <v>58</v>
      </c>
      <c r="G13" s="69">
        <v>10</v>
      </c>
      <c r="H13" s="64">
        <v>41.3</v>
      </c>
      <c r="I13" s="65">
        <f t="shared" si="1"/>
        <v>413</v>
      </c>
    </row>
    <row r="14" spans="1:9" s="30" customFormat="1" ht="49.5" customHeight="1" x14ac:dyDescent="0.2">
      <c r="A14" s="58">
        <v>5</v>
      </c>
      <c r="B14" s="59" t="s">
        <v>70</v>
      </c>
      <c r="C14" s="60" t="s">
        <v>64</v>
      </c>
      <c r="D14" s="61" t="str">
        <f t="shared" si="0"/>
        <v>2.3.1</v>
      </c>
      <c r="E14" s="66" t="s">
        <v>71</v>
      </c>
      <c r="F14" s="62" t="s">
        <v>58</v>
      </c>
      <c r="G14" s="69">
        <v>10</v>
      </c>
      <c r="H14" s="64">
        <v>85</v>
      </c>
      <c r="I14" s="65">
        <f t="shared" si="1"/>
        <v>850</v>
      </c>
    </row>
    <row r="15" spans="1:9" s="30" customFormat="1" ht="40.5" customHeight="1" x14ac:dyDescent="0.2">
      <c r="A15" s="58">
        <v>6</v>
      </c>
      <c r="B15" s="59" t="s">
        <v>72</v>
      </c>
      <c r="C15" s="60" t="s">
        <v>64</v>
      </c>
      <c r="D15" s="60" t="str">
        <f t="shared" si="0"/>
        <v>2.3.1</v>
      </c>
      <c r="E15" s="66" t="s">
        <v>73</v>
      </c>
      <c r="F15" s="67" t="s">
        <v>58</v>
      </c>
      <c r="G15" s="70">
        <v>400</v>
      </c>
      <c r="H15" s="64">
        <v>410.11</v>
      </c>
      <c r="I15" s="65">
        <f t="shared" si="1"/>
        <v>164044</v>
      </c>
    </row>
    <row r="16" spans="1:9" s="30" customFormat="1" ht="49.5" customHeight="1" x14ac:dyDescent="0.2">
      <c r="A16" s="58">
        <v>7</v>
      </c>
      <c r="B16" s="59" t="s">
        <v>74</v>
      </c>
      <c r="C16" s="60" t="s">
        <v>64</v>
      </c>
      <c r="D16" s="61" t="str">
        <f t="shared" si="0"/>
        <v>2.3.1</v>
      </c>
      <c r="E16" s="66" t="s">
        <v>75</v>
      </c>
      <c r="F16" s="62" t="s">
        <v>58</v>
      </c>
      <c r="G16" s="68">
        <v>100</v>
      </c>
      <c r="H16" s="64">
        <v>387.9</v>
      </c>
      <c r="I16" s="65">
        <f t="shared" si="1"/>
        <v>38790</v>
      </c>
    </row>
    <row r="17" spans="1:9" s="30" customFormat="1" ht="49.5" customHeight="1" x14ac:dyDescent="0.2">
      <c r="A17" s="58">
        <v>8</v>
      </c>
      <c r="B17" s="59" t="s">
        <v>76</v>
      </c>
      <c r="C17" s="60" t="s">
        <v>64</v>
      </c>
      <c r="D17" s="61" t="str">
        <f t="shared" si="0"/>
        <v>2.3.1</v>
      </c>
      <c r="E17" s="66" t="s">
        <v>77</v>
      </c>
      <c r="F17" s="62" t="s">
        <v>58</v>
      </c>
      <c r="G17" s="69">
        <v>10</v>
      </c>
      <c r="H17" s="64">
        <v>64</v>
      </c>
      <c r="I17" s="65">
        <f t="shared" si="1"/>
        <v>640</v>
      </c>
    </row>
    <row r="18" spans="1:9" s="30" customFormat="1" ht="49.5" customHeight="1" x14ac:dyDescent="0.2">
      <c r="A18" s="58">
        <v>9</v>
      </c>
      <c r="B18" s="59" t="s">
        <v>78</v>
      </c>
      <c r="C18" s="60" t="s">
        <v>64</v>
      </c>
      <c r="D18" s="61" t="str">
        <f t="shared" si="0"/>
        <v>2.3.1</v>
      </c>
      <c r="E18" s="66" t="s">
        <v>79</v>
      </c>
      <c r="F18" s="62" t="s">
        <v>58</v>
      </c>
      <c r="G18" s="69">
        <v>20</v>
      </c>
      <c r="H18" s="64">
        <v>199</v>
      </c>
      <c r="I18" s="65">
        <f t="shared" si="1"/>
        <v>3980</v>
      </c>
    </row>
    <row r="19" spans="1:9" s="30" customFormat="1" ht="49.5" customHeight="1" x14ac:dyDescent="0.2">
      <c r="A19" s="58">
        <v>10</v>
      </c>
      <c r="B19" s="59" t="s">
        <v>80</v>
      </c>
      <c r="C19" s="60" t="s">
        <v>64</v>
      </c>
      <c r="D19" s="61" t="str">
        <f t="shared" si="0"/>
        <v>2.3.1</v>
      </c>
      <c r="E19" s="66" t="s">
        <v>81</v>
      </c>
      <c r="F19" s="62" t="s">
        <v>58</v>
      </c>
      <c r="G19" s="69">
        <v>6</v>
      </c>
      <c r="H19" s="64">
        <v>324</v>
      </c>
      <c r="I19" s="65">
        <f t="shared" si="1"/>
        <v>1944</v>
      </c>
    </row>
    <row r="20" spans="1:9" s="30" customFormat="1" ht="49.5" customHeight="1" x14ac:dyDescent="0.2">
      <c r="A20" s="58">
        <v>11</v>
      </c>
      <c r="B20" s="59" t="s">
        <v>82</v>
      </c>
      <c r="C20" s="60" t="s">
        <v>64</v>
      </c>
      <c r="D20" s="61" t="str">
        <f t="shared" si="0"/>
        <v>2.3.1</v>
      </c>
      <c r="E20" s="66" t="s">
        <v>83</v>
      </c>
      <c r="F20" s="62" t="s">
        <v>58</v>
      </c>
      <c r="G20" s="69">
        <v>50</v>
      </c>
      <c r="H20" s="64">
        <v>17.03</v>
      </c>
      <c r="I20" s="65">
        <f t="shared" si="1"/>
        <v>851.5</v>
      </c>
    </row>
    <row r="21" spans="1:9" s="30" customFormat="1" ht="49.5" customHeight="1" x14ac:dyDescent="0.2">
      <c r="A21" s="58">
        <v>12</v>
      </c>
      <c r="B21" s="59" t="s">
        <v>84</v>
      </c>
      <c r="C21" s="60" t="s">
        <v>64</v>
      </c>
      <c r="D21" s="61" t="str">
        <f t="shared" si="0"/>
        <v>2.3.1</v>
      </c>
      <c r="E21" s="66" t="s">
        <v>85</v>
      </c>
      <c r="F21" s="62" t="s">
        <v>58</v>
      </c>
      <c r="G21" s="69">
        <v>50</v>
      </c>
      <c r="H21" s="64">
        <v>17.91</v>
      </c>
      <c r="I21" s="65">
        <f t="shared" si="1"/>
        <v>895.5</v>
      </c>
    </row>
    <row r="22" spans="1:9" s="30" customFormat="1" ht="49.5" customHeight="1" x14ac:dyDescent="0.2">
      <c r="A22" s="58">
        <v>13</v>
      </c>
      <c r="B22" s="59" t="s">
        <v>86</v>
      </c>
      <c r="C22" s="60" t="s">
        <v>64</v>
      </c>
      <c r="D22" s="61" t="str">
        <f t="shared" si="0"/>
        <v>2.9.2</v>
      </c>
      <c r="E22" s="66" t="s">
        <v>87</v>
      </c>
      <c r="F22" s="62" t="s">
        <v>58</v>
      </c>
      <c r="G22" s="68">
        <v>50</v>
      </c>
      <c r="H22" s="64">
        <v>97.65</v>
      </c>
      <c r="I22" s="65">
        <f t="shared" si="1"/>
        <v>4882.5</v>
      </c>
    </row>
    <row r="23" spans="1:9" s="30" customFormat="1" ht="49.5" customHeight="1" x14ac:dyDescent="0.2">
      <c r="A23" s="58">
        <v>14</v>
      </c>
      <c r="B23" s="59" t="s">
        <v>88</v>
      </c>
      <c r="C23" s="60" t="s">
        <v>64</v>
      </c>
      <c r="D23" s="61" t="str">
        <f t="shared" si="0"/>
        <v>2.9.2</v>
      </c>
      <c r="E23" s="66" t="s">
        <v>89</v>
      </c>
      <c r="F23" s="62" t="s">
        <v>58</v>
      </c>
      <c r="G23" s="69">
        <v>10</v>
      </c>
      <c r="H23" s="64">
        <v>102.37</v>
      </c>
      <c r="I23" s="65">
        <f t="shared" si="1"/>
        <v>1023.7</v>
      </c>
    </row>
    <row r="24" spans="1:9" s="30" customFormat="1" ht="49.5" customHeight="1" x14ac:dyDescent="0.2">
      <c r="A24" s="58">
        <v>15</v>
      </c>
      <c r="B24" s="59" t="s">
        <v>90</v>
      </c>
      <c r="C24" s="60" t="s">
        <v>64</v>
      </c>
      <c r="D24" s="61" t="str">
        <f t="shared" si="0"/>
        <v>2.9.2</v>
      </c>
      <c r="E24" s="66" t="s">
        <v>91</v>
      </c>
      <c r="F24" s="62" t="s">
        <v>58</v>
      </c>
      <c r="G24" s="69">
        <v>25</v>
      </c>
      <c r="H24" s="64">
        <v>96</v>
      </c>
      <c r="I24" s="65">
        <f t="shared" si="1"/>
        <v>2400</v>
      </c>
    </row>
    <row r="25" spans="1:9" s="30" customFormat="1" ht="49.5" customHeight="1" x14ac:dyDescent="0.2">
      <c r="A25" s="58">
        <v>16</v>
      </c>
      <c r="B25" s="59" t="s">
        <v>92</v>
      </c>
      <c r="C25" s="60" t="s">
        <v>64</v>
      </c>
      <c r="D25" s="61" t="str">
        <f t="shared" si="0"/>
        <v>2.9.2</v>
      </c>
      <c r="E25" s="66" t="s">
        <v>93</v>
      </c>
      <c r="F25" s="62" t="s">
        <v>58</v>
      </c>
      <c r="G25" s="68">
        <v>4</v>
      </c>
      <c r="H25" s="64">
        <v>171</v>
      </c>
      <c r="I25" s="65">
        <f t="shared" si="1"/>
        <v>684</v>
      </c>
    </row>
    <row r="26" spans="1:9" s="30" customFormat="1" ht="49.5" customHeight="1" x14ac:dyDescent="0.2">
      <c r="A26" s="58">
        <v>17</v>
      </c>
      <c r="B26" s="59" t="s">
        <v>94</v>
      </c>
      <c r="C26" s="60" t="s">
        <v>64</v>
      </c>
      <c r="D26" s="61" t="str">
        <f t="shared" si="0"/>
        <v>2.9.2</v>
      </c>
      <c r="E26" s="66" t="s">
        <v>95</v>
      </c>
      <c r="F26" s="62" t="s">
        <v>58</v>
      </c>
      <c r="G26" s="68">
        <v>50</v>
      </c>
      <c r="H26" s="64">
        <v>79.19</v>
      </c>
      <c r="I26" s="65">
        <f t="shared" si="1"/>
        <v>3959.5</v>
      </c>
    </row>
    <row r="27" spans="1:9" s="30" customFormat="1" ht="49.5" customHeight="1" x14ac:dyDescent="0.2">
      <c r="A27" s="58">
        <v>18</v>
      </c>
      <c r="B27" s="59" t="s">
        <v>96</v>
      </c>
      <c r="C27" s="60" t="s">
        <v>64</v>
      </c>
      <c r="D27" s="61" t="str">
        <f t="shared" si="0"/>
        <v>2.9.2</v>
      </c>
      <c r="E27" s="66" t="s">
        <v>97</v>
      </c>
      <c r="F27" s="62" t="s">
        <v>58</v>
      </c>
      <c r="G27" s="68">
        <v>50</v>
      </c>
      <c r="H27" s="64">
        <v>69.900000000000006</v>
      </c>
      <c r="I27" s="65">
        <f t="shared" si="1"/>
        <v>3495.0000000000005</v>
      </c>
    </row>
    <row r="28" spans="1:9" s="30" customFormat="1" ht="49.5" customHeight="1" x14ac:dyDescent="0.2">
      <c r="A28" s="58">
        <v>19</v>
      </c>
      <c r="B28" s="59" t="s">
        <v>98</v>
      </c>
      <c r="C28" s="60" t="s">
        <v>64</v>
      </c>
      <c r="D28" s="60" t="str">
        <f t="shared" si="0"/>
        <v>2.9.2</v>
      </c>
      <c r="E28" s="66" t="s">
        <v>99</v>
      </c>
      <c r="F28" s="67" t="s">
        <v>58</v>
      </c>
      <c r="G28" s="68">
        <f>156+50</f>
        <v>206</v>
      </c>
      <c r="H28" s="64">
        <v>38.22</v>
      </c>
      <c r="I28" s="65">
        <f t="shared" si="1"/>
        <v>7873.32</v>
      </c>
    </row>
    <row r="29" spans="1:9" s="30" customFormat="1" ht="49.5" customHeight="1" x14ac:dyDescent="0.2">
      <c r="A29" s="58">
        <v>20</v>
      </c>
      <c r="B29" s="59" t="s">
        <v>100</v>
      </c>
      <c r="C29" s="60" t="s">
        <v>64</v>
      </c>
      <c r="D29" s="60" t="str">
        <f t="shared" si="0"/>
        <v>2.9.2</v>
      </c>
      <c r="E29" s="66" t="s">
        <v>101</v>
      </c>
      <c r="F29" s="67" t="s">
        <v>58</v>
      </c>
      <c r="G29" s="68">
        <v>96</v>
      </c>
      <c r="H29" s="64">
        <v>98.9</v>
      </c>
      <c r="I29" s="65">
        <f t="shared" si="1"/>
        <v>9494.4000000000015</v>
      </c>
    </row>
    <row r="30" spans="1:9" s="30" customFormat="1" ht="45" customHeight="1" x14ac:dyDescent="0.2">
      <c r="A30" s="58">
        <v>21</v>
      </c>
      <c r="B30" s="71" t="s">
        <v>102</v>
      </c>
      <c r="C30" s="60" t="s">
        <v>64</v>
      </c>
      <c r="D30" s="61" t="str">
        <f t="shared" si="0"/>
        <v>2.9.2</v>
      </c>
      <c r="E30" s="66" t="s">
        <v>103</v>
      </c>
      <c r="F30" s="62" t="s">
        <v>58</v>
      </c>
      <c r="G30" s="68">
        <v>1200</v>
      </c>
      <c r="H30" s="64">
        <v>39.9</v>
      </c>
      <c r="I30" s="65">
        <f t="shared" si="1"/>
        <v>47880</v>
      </c>
    </row>
    <row r="31" spans="1:9" s="30" customFormat="1" ht="49.5" customHeight="1" x14ac:dyDescent="0.2">
      <c r="A31" s="58">
        <v>22</v>
      </c>
      <c r="B31" s="59" t="s">
        <v>104</v>
      </c>
      <c r="C31" s="60" t="s">
        <v>64</v>
      </c>
      <c r="D31" s="61" t="str">
        <f t="shared" si="0"/>
        <v>2.9.2</v>
      </c>
      <c r="E31" s="66" t="s">
        <v>105</v>
      </c>
      <c r="F31" s="62" t="s">
        <v>58</v>
      </c>
      <c r="G31" s="68">
        <v>1200</v>
      </c>
      <c r="H31" s="64">
        <v>39.9</v>
      </c>
      <c r="I31" s="65">
        <f t="shared" si="1"/>
        <v>47880</v>
      </c>
    </row>
    <row r="32" spans="1:9" s="30" customFormat="1" ht="49.5" customHeight="1" x14ac:dyDescent="0.2">
      <c r="A32" s="58">
        <v>23</v>
      </c>
      <c r="B32" s="59" t="s">
        <v>106</v>
      </c>
      <c r="C32" s="60" t="s">
        <v>64</v>
      </c>
      <c r="D32" s="61" t="str">
        <f t="shared" si="0"/>
        <v>2.9.2</v>
      </c>
      <c r="E32" s="66" t="s">
        <v>107</v>
      </c>
      <c r="F32" s="62" t="s">
        <v>58</v>
      </c>
      <c r="G32" s="68">
        <v>8</v>
      </c>
      <c r="H32" s="64">
        <v>607.65</v>
      </c>
      <c r="I32" s="65">
        <f t="shared" si="1"/>
        <v>4861.2</v>
      </c>
    </row>
    <row r="33" spans="1:9" s="30" customFormat="1" ht="49.5" customHeight="1" x14ac:dyDescent="0.2">
      <c r="A33" s="58">
        <v>24</v>
      </c>
      <c r="B33" s="59" t="s">
        <v>108</v>
      </c>
      <c r="C33" s="60" t="s">
        <v>64</v>
      </c>
      <c r="D33" s="61" t="str">
        <f t="shared" si="0"/>
        <v>2.9.2</v>
      </c>
      <c r="E33" s="66" t="s">
        <v>109</v>
      </c>
      <c r="F33" s="62" t="s">
        <v>58</v>
      </c>
      <c r="G33" s="68">
        <v>8</v>
      </c>
      <c r="H33" s="64">
        <v>607.65</v>
      </c>
      <c r="I33" s="65">
        <f t="shared" si="1"/>
        <v>4861.2</v>
      </c>
    </row>
    <row r="34" spans="1:9" s="30" customFormat="1" ht="49.5" customHeight="1" x14ac:dyDescent="0.2">
      <c r="A34" s="58">
        <v>25</v>
      </c>
      <c r="B34" s="59" t="s">
        <v>110</v>
      </c>
      <c r="C34" s="60" t="s">
        <v>64</v>
      </c>
      <c r="D34" s="61" t="str">
        <f t="shared" si="0"/>
        <v>2.9.2</v>
      </c>
      <c r="E34" s="66" t="s">
        <v>111</v>
      </c>
      <c r="F34" s="62" t="s">
        <v>112</v>
      </c>
      <c r="G34" s="68">
        <v>50</v>
      </c>
      <c r="H34" s="64">
        <v>157</v>
      </c>
      <c r="I34" s="65">
        <f t="shared" si="1"/>
        <v>7850</v>
      </c>
    </row>
    <row r="35" spans="1:9" s="30" customFormat="1" ht="49.5" customHeight="1" x14ac:dyDescent="0.2">
      <c r="A35" s="58">
        <v>26</v>
      </c>
      <c r="B35" s="59" t="s">
        <v>113</v>
      </c>
      <c r="C35" s="60" t="s">
        <v>64</v>
      </c>
      <c r="D35" s="61" t="str">
        <f t="shared" si="0"/>
        <v>2.9.2</v>
      </c>
      <c r="E35" s="66" t="s">
        <v>114</v>
      </c>
      <c r="F35" s="62" t="s">
        <v>58</v>
      </c>
      <c r="G35" s="68">
        <v>50</v>
      </c>
      <c r="H35" s="64">
        <v>157</v>
      </c>
      <c r="I35" s="65">
        <f t="shared" si="1"/>
        <v>7850</v>
      </c>
    </row>
    <row r="36" spans="1:9" s="30" customFormat="1" ht="49.5" customHeight="1" x14ac:dyDescent="0.2">
      <c r="A36" s="58">
        <v>27</v>
      </c>
      <c r="B36" s="59" t="s">
        <v>115</v>
      </c>
      <c r="C36" s="60" t="s">
        <v>64</v>
      </c>
      <c r="D36" s="60" t="str">
        <f t="shared" si="0"/>
        <v>2.9.2</v>
      </c>
      <c r="E36" s="66" t="s">
        <v>116</v>
      </c>
      <c r="F36" s="67" t="s">
        <v>58</v>
      </c>
      <c r="G36" s="68">
        <v>6500</v>
      </c>
      <c r="H36" s="117">
        <v>6.55</v>
      </c>
      <c r="I36" s="65">
        <f t="shared" si="1"/>
        <v>42575</v>
      </c>
    </row>
    <row r="37" spans="1:9" s="30" customFormat="1" ht="49.5" customHeight="1" x14ac:dyDescent="0.2">
      <c r="A37" s="58">
        <v>28</v>
      </c>
      <c r="B37" s="59" t="s">
        <v>117</v>
      </c>
      <c r="C37" s="60" t="s">
        <v>64</v>
      </c>
      <c r="D37" s="61" t="str">
        <f t="shared" si="0"/>
        <v>2.9.2</v>
      </c>
      <c r="E37" s="66" t="s">
        <v>118</v>
      </c>
      <c r="F37" s="62" t="s">
        <v>58</v>
      </c>
      <c r="G37" s="68">
        <v>6500</v>
      </c>
      <c r="H37" s="64">
        <v>5.86</v>
      </c>
      <c r="I37" s="65">
        <f t="shared" si="1"/>
        <v>38090</v>
      </c>
    </row>
    <row r="38" spans="1:9" s="30" customFormat="1" ht="49.5" customHeight="1" x14ac:dyDescent="0.2">
      <c r="A38" s="58">
        <v>29</v>
      </c>
      <c r="B38" s="59" t="s">
        <v>119</v>
      </c>
      <c r="C38" s="60" t="s">
        <v>64</v>
      </c>
      <c r="D38" s="61" t="str">
        <f t="shared" si="0"/>
        <v>2.9.2</v>
      </c>
      <c r="E38" s="66" t="s">
        <v>120</v>
      </c>
      <c r="F38" s="62" t="s">
        <v>58</v>
      </c>
      <c r="G38" s="68">
        <v>36</v>
      </c>
      <c r="H38" s="64">
        <v>142</v>
      </c>
      <c r="I38" s="65">
        <f t="shared" si="1"/>
        <v>5112</v>
      </c>
    </row>
    <row r="39" spans="1:9" s="30" customFormat="1" ht="42.75" customHeight="1" x14ac:dyDescent="0.2">
      <c r="A39" s="58">
        <v>30</v>
      </c>
      <c r="B39" s="59" t="s">
        <v>121</v>
      </c>
      <c r="C39" s="60" t="s">
        <v>64</v>
      </c>
      <c r="D39" s="61" t="str">
        <f t="shared" si="0"/>
        <v>2.9.2</v>
      </c>
      <c r="E39" s="66" t="s">
        <v>122</v>
      </c>
      <c r="F39" s="62" t="s">
        <v>58</v>
      </c>
      <c r="G39" s="68">
        <v>50</v>
      </c>
      <c r="H39" s="64">
        <v>592</v>
      </c>
      <c r="I39" s="65">
        <f t="shared" si="1"/>
        <v>29600</v>
      </c>
    </row>
    <row r="40" spans="1:9" s="30" customFormat="1" ht="45" customHeight="1" x14ac:dyDescent="0.2">
      <c r="A40" s="58">
        <v>31</v>
      </c>
      <c r="B40" s="72" t="s">
        <v>123</v>
      </c>
      <c r="C40" s="73" t="s">
        <v>64</v>
      </c>
      <c r="D40" s="61" t="str">
        <f t="shared" si="0"/>
        <v>2.9.2</v>
      </c>
      <c r="E40" s="74" t="s">
        <v>124</v>
      </c>
      <c r="F40" s="75" t="s">
        <v>58</v>
      </c>
      <c r="G40" s="76">
        <v>100</v>
      </c>
      <c r="H40" s="64">
        <v>111</v>
      </c>
      <c r="I40" s="65">
        <f t="shared" si="1"/>
        <v>11100</v>
      </c>
    </row>
    <row r="41" spans="1:9" s="30" customFormat="1" ht="38.25" customHeight="1" x14ac:dyDescent="0.2">
      <c r="A41" s="58">
        <v>32</v>
      </c>
      <c r="B41" s="59" t="s">
        <v>125</v>
      </c>
      <c r="C41" s="60" t="s">
        <v>64</v>
      </c>
      <c r="D41" s="61" t="str">
        <f t="shared" si="0"/>
        <v>2.9.2</v>
      </c>
      <c r="E41" s="66" t="s">
        <v>126</v>
      </c>
      <c r="F41" s="62" t="s">
        <v>58</v>
      </c>
      <c r="G41" s="68">
        <v>10</v>
      </c>
      <c r="H41" s="64">
        <v>231.66</v>
      </c>
      <c r="I41" s="65">
        <f t="shared" si="1"/>
        <v>2316.6</v>
      </c>
    </row>
    <row r="42" spans="1:9" s="30" customFormat="1" ht="45" customHeight="1" x14ac:dyDescent="0.2">
      <c r="A42" s="58">
        <v>33</v>
      </c>
      <c r="B42" s="59" t="s">
        <v>127</v>
      </c>
      <c r="C42" s="60" t="s">
        <v>64</v>
      </c>
      <c r="D42" s="61" t="str">
        <f t="shared" si="0"/>
        <v>2.9.2</v>
      </c>
      <c r="E42" s="66" t="s">
        <v>128</v>
      </c>
      <c r="F42" s="62" t="s">
        <v>58</v>
      </c>
      <c r="G42" s="68">
        <v>2</v>
      </c>
      <c r="H42" s="64">
        <v>4996</v>
      </c>
      <c r="I42" s="65">
        <f t="shared" si="1"/>
        <v>9992</v>
      </c>
    </row>
    <row r="43" spans="1:9" s="30" customFormat="1" ht="45" customHeight="1" x14ac:dyDescent="0.2">
      <c r="A43" s="58">
        <v>34</v>
      </c>
      <c r="B43" s="59" t="s">
        <v>129</v>
      </c>
      <c r="C43" s="60" t="s">
        <v>64</v>
      </c>
      <c r="D43" s="61" t="str">
        <f t="shared" si="0"/>
        <v>2.9.2</v>
      </c>
      <c r="E43" s="66" t="s">
        <v>130</v>
      </c>
      <c r="F43" s="62" t="s">
        <v>58</v>
      </c>
      <c r="G43" s="68">
        <v>52</v>
      </c>
      <c r="H43" s="64">
        <v>841.52</v>
      </c>
      <c r="I43" s="65">
        <f t="shared" si="1"/>
        <v>43759.040000000001</v>
      </c>
    </row>
    <row r="44" spans="1:9" s="30" customFormat="1" ht="45" customHeight="1" x14ac:dyDescent="0.2">
      <c r="A44" s="58">
        <v>35</v>
      </c>
      <c r="B44" s="59" t="s">
        <v>131</v>
      </c>
      <c r="C44" s="60" t="s">
        <v>64</v>
      </c>
      <c r="D44" s="61" t="str">
        <f t="shared" si="0"/>
        <v>2.9.2</v>
      </c>
      <c r="E44" s="66" t="s">
        <v>132</v>
      </c>
      <c r="F44" s="62" t="s">
        <v>58</v>
      </c>
      <c r="G44" s="68">
        <v>30</v>
      </c>
      <c r="H44" s="64">
        <v>73.349999999999994</v>
      </c>
      <c r="I44" s="65">
        <f t="shared" si="1"/>
        <v>2200.5</v>
      </c>
    </row>
    <row r="45" spans="1:9" s="30" customFormat="1" ht="49.5" customHeight="1" x14ac:dyDescent="0.2">
      <c r="A45" s="58">
        <v>36</v>
      </c>
      <c r="B45" s="59" t="s">
        <v>133</v>
      </c>
      <c r="C45" s="60" t="s">
        <v>64</v>
      </c>
      <c r="D45" s="61" t="str">
        <f t="shared" si="0"/>
        <v>2.9.2</v>
      </c>
      <c r="E45" s="66" t="s">
        <v>134</v>
      </c>
      <c r="F45" s="62" t="s">
        <v>58</v>
      </c>
      <c r="G45" s="68">
        <v>60</v>
      </c>
      <c r="H45" s="64">
        <v>70</v>
      </c>
      <c r="I45" s="65">
        <f t="shared" si="1"/>
        <v>4200</v>
      </c>
    </row>
    <row r="46" spans="1:9" s="30" customFormat="1" ht="49.5" customHeight="1" x14ac:dyDescent="0.2">
      <c r="A46" s="58">
        <v>37</v>
      </c>
      <c r="B46" s="59" t="s">
        <v>135</v>
      </c>
      <c r="C46" s="60" t="s">
        <v>64</v>
      </c>
      <c r="D46" s="61" t="str">
        <f t="shared" si="0"/>
        <v>2.9.2</v>
      </c>
      <c r="E46" s="66" t="s">
        <v>136</v>
      </c>
      <c r="F46" s="62" t="s">
        <v>58</v>
      </c>
      <c r="G46" s="68">
        <v>100</v>
      </c>
      <c r="H46" s="64">
        <v>182</v>
      </c>
      <c r="I46" s="65">
        <f t="shared" si="1"/>
        <v>18200</v>
      </c>
    </row>
    <row r="47" spans="1:9" s="30" customFormat="1" ht="49.5" customHeight="1" x14ac:dyDescent="0.2">
      <c r="A47" s="58">
        <v>38</v>
      </c>
      <c r="B47" s="59" t="s">
        <v>137</v>
      </c>
      <c r="C47" s="60" t="s">
        <v>64</v>
      </c>
      <c r="D47" s="61" t="str">
        <f t="shared" si="0"/>
        <v>2.9.2</v>
      </c>
      <c r="E47" s="66" t="s">
        <v>138</v>
      </c>
      <c r="F47" s="62" t="s">
        <v>58</v>
      </c>
      <c r="G47" s="68">
        <v>100</v>
      </c>
      <c r="H47" s="64">
        <v>182</v>
      </c>
      <c r="I47" s="65">
        <f t="shared" si="1"/>
        <v>18200</v>
      </c>
    </row>
    <row r="48" spans="1:9" s="30" customFormat="1" ht="49.5" customHeight="1" x14ac:dyDescent="0.2">
      <c r="A48" s="58">
        <v>39</v>
      </c>
      <c r="B48" s="59" t="s">
        <v>139</v>
      </c>
      <c r="C48" s="60" t="s">
        <v>64</v>
      </c>
      <c r="D48" s="61" t="str">
        <f t="shared" si="0"/>
        <v>2.9.2</v>
      </c>
      <c r="E48" s="66" t="s">
        <v>140</v>
      </c>
      <c r="F48" s="62" t="s">
        <v>58</v>
      </c>
      <c r="G48" s="68">
        <v>50</v>
      </c>
      <c r="H48" s="64">
        <v>236.5</v>
      </c>
      <c r="I48" s="65">
        <f t="shared" si="1"/>
        <v>11825</v>
      </c>
    </row>
    <row r="49" spans="1:9" s="30" customFormat="1" ht="49.5" customHeight="1" x14ac:dyDescent="0.2">
      <c r="A49" s="58">
        <v>40</v>
      </c>
      <c r="B49" s="59" t="s">
        <v>141</v>
      </c>
      <c r="C49" s="60" t="s">
        <v>64</v>
      </c>
      <c r="D49" s="61" t="str">
        <f>+LEFT(B49,5)</f>
        <v>2.9.2</v>
      </c>
      <c r="E49" s="77" t="s">
        <v>142</v>
      </c>
      <c r="F49" s="62" t="s">
        <v>58</v>
      </c>
      <c r="G49" s="68">
        <v>400</v>
      </c>
      <c r="H49" s="64">
        <v>27.74</v>
      </c>
      <c r="I49" s="65">
        <f t="shared" si="1"/>
        <v>11096</v>
      </c>
    </row>
    <row r="50" spans="1:9" s="30" customFormat="1" ht="49.5" customHeight="1" x14ac:dyDescent="0.2">
      <c r="A50" s="58">
        <v>41</v>
      </c>
      <c r="B50" s="59" t="s">
        <v>143</v>
      </c>
      <c r="C50" s="60" t="s">
        <v>64</v>
      </c>
      <c r="D50" s="61" t="str">
        <f>+LEFT(B50,5)</f>
        <v>2.9.2</v>
      </c>
      <c r="E50" s="77" t="s">
        <v>144</v>
      </c>
      <c r="F50" s="62" t="s">
        <v>58</v>
      </c>
      <c r="G50" s="68">
        <v>400</v>
      </c>
      <c r="H50" s="64">
        <v>65.06</v>
      </c>
      <c r="I50" s="65">
        <f t="shared" si="1"/>
        <v>26024</v>
      </c>
    </row>
    <row r="51" spans="1:9" s="30" customFormat="1" ht="49.5" customHeight="1" x14ac:dyDescent="0.2">
      <c r="A51" s="58">
        <v>42</v>
      </c>
      <c r="B51" s="59" t="s">
        <v>145</v>
      </c>
      <c r="C51" s="60" t="s">
        <v>64</v>
      </c>
      <c r="D51" s="61" t="str">
        <f t="shared" si="0"/>
        <v>2.9.2</v>
      </c>
      <c r="E51" s="77" t="s">
        <v>146</v>
      </c>
      <c r="F51" s="62" t="s">
        <v>58</v>
      </c>
      <c r="G51" s="68">
        <v>740</v>
      </c>
      <c r="H51" s="64">
        <v>27.74</v>
      </c>
      <c r="I51" s="65">
        <f t="shared" si="1"/>
        <v>20527.599999999999</v>
      </c>
    </row>
    <row r="52" spans="1:9" s="30" customFormat="1" ht="49.5" customHeight="1" x14ac:dyDescent="0.2">
      <c r="A52" s="58">
        <v>43</v>
      </c>
      <c r="B52" s="59" t="s">
        <v>147</v>
      </c>
      <c r="C52" s="60" t="s">
        <v>64</v>
      </c>
      <c r="D52" s="61" t="str">
        <f t="shared" si="0"/>
        <v>2.9.2</v>
      </c>
      <c r="E52" s="66" t="s">
        <v>148</v>
      </c>
      <c r="F52" s="62" t="s">
        <v>58</v>
      </c>
      <c r="G52" s="68">
        <v>190</v>
      </c>
      <c r="H52" s="64">
        <v>80</v>
      </c>
      <c r="I52" s="65">
        <f t="shared" si="1"/>
        <v>15200</v>
      </c>
    </row>
    <row r="53" spans="1:9" s="30" customFormat="1" ht="49.5" customHeight="1" x14ac:dyDescent="0.2">
      <c r="A53" s="58">
        <v>44</v>
      </c>
      <c r="B53" s="59" t="s">
        <v>149</v>
      </c>
      <c r="C53" s="60" t="s">
        <v>64</v>
      </c>
      <c r="D53" s="61" t="str">
        <f t="shared" si="0"/>
        <v>2.9.2</v>
      </c>
      <c r="E53" s="66" t="s">
        <v>150</v>
      </c>
      <c r="F53" s="62" t="s">
        <v>58</v>
      </c>
      <c r="G53" s="68">
        <v>50</v>
      </c>
      <c r="H53" s="64">
        <v>375</v>
      </c>
      <c r="I53" s="65">
        <f t="shared" si="1"/>
        <v>18750</v>
      </c>
    </row>
    <row r="54" spans="1:9" s="30" customFormat="1" ht="49.5" customHeight="1" x14ac:dyDescent="0.2">
      <c r="A54" s="58">
        <v>45</v>
      </c>
      <c r="B54" s="59" t="s">
        <v>151</v>
      </c>
      <c r="C54" s="60" t="s">
        <v>64</v>
      </c>
      <c r="D54" s="61" t="str">
        <f t="shared" si="0"/>
        <v>2.9.2</v>
      </c>
      <c r="E54" s="66" t="s">
        <v>152</v>
      </c>
      <c r="F54" s="62" t="s">
        <v>58</v>
      </c>
      <c r="G54" s="68">
        <v>30</v>
      </c>
      <c r="H54" s="64">
        <v>105</v>
      </c>
      <c r="I54" s="65">
        <f t="shared" si="1"/>
        <v>3150</v>
      </c>
    </row>
    <row r="55" spans="1:9" s="30" customFormat="1" ht="49.5" customHeight="1" x14ac:dyDescent="0.2">
      <c r="A55" s="58">
        <v>46</v>
      </c>
      <c r="B55" s="59" t="s">
        <v>153</v>
      </c>
      <c r="C55" s="60" t="s">
        <v>64</v>
      </c>
      <c r="D55" s="61" t="str">
        <f t="shared" si="0"/>
        <v>2.9.2</v>
      </c>
      <c r="E55" s="66" t="s">
        <v>154</v>
      </c>
      <c r="F55" s="62" t="s">
        <v>58</v>
      </c>
      <c r="G55" s="68">
        <v>60</v>
      </c>
      <c r="H55" s="64">
        <v>34.369999999999997</v>
      </c>
      <c r="I55" s="65">
        <f t="shared" si="1"/>
        <v>2062.1999999999998</v>
      </c>
    </row>
    <row r="56" spans="1:9" s="30" customFormat="1" ht="49.5" customHeight="1" x14ac:dyDescent="0.2">
      <c r="A56" s="58">
        <v>47</v>
      </c>
      <c r="B56" s="59" t="s">
        <v>155</v>
      </c>
      <c r="C56" s="60" t="s">
        <v>64</v>
      </c>
      <c r="D56" s="61" t="str">
        <f t="shared" si="0"/>
        <v>2.9.2</v>
      </c>
      <c r="E56" s="66" t="s">
        <v>156</v>
      </c>
      <c r="F56" s="62" t="s">
        <v>58</v>
      </c>
      <c r="G56" s="68">
        <v>20</v>
      </c>
      <c r="H56" s="64">
        <v>45.94</v>
      </c>
      <c r="I56" s="65">
        <f t="shared" si="1"/>
        <v>918.8</v>
      </c>
    </row>
    <row r="57" spans="1:9" s="30" customFormat="1" ht="49.5" customHeight="1" x14ac:dyDescent="0.2">
      <c r="A57" s="58">
        <v>48</v>
      </c>
      <c r="B57" s="59" t="s">
        <v>157</v>
      </c>
      <c r="C57" s="60" t="s">
        <v>64</v>
      </c>
      <c r="D57" s="60" t="str">
        <f t="shared" si="0"/>
        <v>2.9.2</v>
      </c>
      <c r="E57" s="66" t="s">
        <v>158</v>
      </c>
      <c r="F57" s="67" t="s">
        <v>58</v>
      </c>
      <c r="G57" s="68">
        <v>250</v>
      </c>
      <c r="H57" s="64">
        <v>45.94</v>
      </c>
      <c r="I57" s="65">
        <f t="shared" si="1"/>
        <v>11485</v>
      </c>
    </row>
    <row r="58" spans="1:9" s="30" customFormat="1" ht="49.5" customHeight="1" x14ac:dyDescent="0.2">
      <c r="A58" s="58">
        <v>49</v>
      </c>
      <c r="B58" s="59" t="s">
        <v>159</v>
      </c>
      <c r="C58" s="60" t="s">
        <v>64</v>
      </c>
      <c r="D58" s="60" t="str">
        <f t="shared" si="0"/>
        <v>2.9.2</v>
      </c>
      <c r="E58" s="66" t="s">
        <v>160</v>
      </c>
      <c r="F58" s="67" t="s">
        <v>58</v>
      </c>
      <c r="G58" s="68">
        <v>5</v>
      </c>
      <c r="H58" s="64">
        <v>165</v>
      </c>
      <c r="I58" s="65">
        <f t="shared" si="1"/>
        <v>825</v>
      </c>
    </row>
    <row r="59" spans="1:9" s="80" customFormat="1" ht="49.5" customHeight="1" x14ac:dyDescent="0.2">
      <c r="A59" s="58">
        <v>50</v>
      </c>
      <c r="B59" s="78" t="s">
        <v>161</v>
      </c>
      <c r="C59" s="67" t="s">
        <v>64</v>
      </c>
      <c r="D59" s="67" t="str">
        <f t="shared" si="0"/>
        <v>2.9.2</v>
      </c>
      <c r="E59" s="77" t="s">
        <v>162</v>
      </c>
      <c r="F59" s="62" t="s">
        <v>58</v>
      </c>
      <c r="G59" s="70">
        <v>5</v>
      </c>
      <c r="H59" s="79">
        <v>290</v>
      </c>
      <c r="I59" s="65">
        <f t="shared" si="1"/>
        <v>1450</v>
      </c>
    </row>
    <row r="60" spans="1:9" s="30" customFormat="1" ht="49.5" customHeight="1" x14ac:dyDescent="0.2">
      <c r="A60" s="58">
        <v>51</v>
      </c>
      <c r="B60" s="59" t="s">
        <v>163</v>
      </c>
      <c r="C60" s="60" t="s">
        <v>64</v>
      </c>
      <c r="D60" s="60" t="str">
        <f t="shared" si="0"/>
        <v>2.9.2</v>
      </c>
      <c r="E60" s="66" t="s">
        <v>164</v>
      </c>
      <c r="F60" s="67" t="s">
        <v>58</v>
      </c>
      <c r="G60" s="68">
        <v>40</v>
      </c>
      <c r="H60" s="64">
        <v>140</v>
      </c>
      <c r="I60" s="65">
        <f t="shared" si="1"/>
        <v>5600</v>
      </c>
    </row>
    <row r="61" spans="1:9" s="30" customFormat="1" ht="49.5" customHeight="1" x14ac:dyDescent="0.2">
      <c r="A61" s="58">
        <v>52</v>
      </c>
      <c r="B61" s="59" t="s">
        <v>165</v>
      </c>
      <c r="C61" s="60" t="s">
        <v>64</v>
      </c>
      <c r="D61" s="61" t="str">
        <f t="shared" si="0"/>
        <v>2.9.2</v>
      </c>
      <c r="E61" s="66" t="s">
        <v>166</v>
      </c>
      <c r="F61" s="62" t="s">
        <v>58</v>
      </c>
      <c r="G61" s="68">
        <v>40</v>
      </c>
      <c r="H61" s="64">
        <v>75</v>
      </c>
      <c r="I61" s="65">
        <f t="shared" si="1"/>
        <v>3000</v>
      </c>
    </row>
    <row r="62" spans="1:9" s="30" customFormat="1" ht="49.5" customHeight="1" x14ac:dyDescent="0.2">
      <c r="A62" s="58">
        <v>53</v>
      </c>
      <c r="B62" s="59" t="s">
        <v>167</v>
      </c>
      <c r="C62" s="60" t="s">
        <v>64</v>
      </c>
      <c r="D62" s="61" t="str">
        <f t="shared" si="0"/>
        <v>2.9.2</v>
      </c>
      <c r="E62" s="66" t="s">
        <v>168</v>
      </c>
      <c r="F62" s="62" t="s">
        <v>58</v>
      </c>
      <c r="G62" s="68">
        <v>150</v>
      </c>
      <c r="H62" s="64">
        <v>179</v>
      </c>
      <c r="I62" s="65">
        <f t="shared" si="1"/>
        <v>26850</v>
      </c>
    </row>
    <row r="63" spans="1:9" s="30" customFormat="1" ht="49.5" customHeight="1" x14ac:dyDescent="0.2">
      <c r="A63" s="58">
        <v>54</v>
      </c>
      <c r="B63" s="59" t="s">
        <v>169</v>
      </c>
      <c r="C63" s="60" t="s">
        <v>64</v>
      </c>
      <c r="D63" s="61" t="str">
        <f t="shared" si="0"/>
        <v>2.9.2</v>
      </c>
      <c r="E63" s="66" t="s">
        <v>170</v>
      </c>
      <c r="F63" s="62" t="s">
        <v>58</v>
      </c>
      <c r="G63" s="68">
        <v>20</v>
      </c>
      <c r="H63" s="64">
        <v>439</v>
      </c>
      <c r="I63" s="65">
        <f t="shared" si="1"/>
        <v>8780</v>
      </c>
    </row>
    <row r="64" spans="1:9" s="30" customFormat="1" ht="49.5" customHeight="1" x14ac:dyDescent="0.2">
      <c r="A64" s="58">
        <v>55</v>
      </c>
      <c r="B64" s="59" t="s">
        <v>171</v>
      </c>
      <c r="C64" s="60" t="s">
        <v>64</v>
      </c>
      <c r="D64" s="61" t="str">
        <f t="shared" si="0"/>
        <v>2.9.2</v>
      </c>
      <c r="E64" s="77" t="s">
        <v>172</v>
      </c>
      <c r="F64" s="62" t="s">
        <v>58</v>
      </c>
      <c r="G64" s="68">
        <v>120</v>
      </c>
      <c r="H64" s="64">
        <v>42</v>
      </c>
      <c r="I64" s="65">
        <f t="shared" si="1"/>
        <v>5040</v>
      </c>
    </row>
    <row r="65" spans="1:10" s="30" customFormat="1" ht="49.5" customHeight="1" x14ac:dyDescent="0.2">
      <c r="A65" s="58">
        <v>56</v>
      </c>
      <c r="B65" s="59" t="s">
        <v>173</v>
      </c>
      <c r="C65" s="60" t="s">
        <v>64</v>
      </c>
      <c r="D65" s="61" t="str">
        <f>+LEFT(B65,5)</f>
        <v>2.9.2</v>
      </c>
      <c r="E65" s="77" t="s">
        <v>174</v>
      </c>
      <c r="F65" s="62" t="s">
        <v>58</v>
      </c>
      <c r="G65" s="68">
        <v>50</v>
      </c>
      <c r="H65" s="64">
        <v>130</v>
      </c>
      <c r="I65" s="65">
        <f t="shared" si="1"/>
        <v>6500</v>
      </c>
    </row>
    <row r="66" spans="1:10" s="30" customFormat="1" ht="49.5" customHeight="1" x14ac:dyDescent="0.2">
      <c r="A66" s="58">
        <v>57</v>
      </c>
      <c r="B66" s="59" t="s">
        <v>175</v>
      </c>
      <c r="C66" s="60" t="s">
        <v>64</v>
      </c>
      <c r="D66" s="61" t="str">
        <f>+LEFT(B66,5)</f>
        <v>2.9.2</v>
      </c>
      <c r="E66" s="77" t="s">
        <v>176</v>
      </c>
      <c r="F66" s="62" t="s">
        <v>58</v>
      </c>
      <c r="G66" s="68">
        <v>5</v>
      </c>
      <c r="H66" s="64">
        <v>964</v>
      </c>
      <c r="I66" s="65">
        <f t="shared" si="1"/>
        <v>4820</v>
      </c>
    </row>
    <row r="67" spans="1:10" s="30" customFormat="1" ht="49.5" customHeight="1" x14ac:dyDescent="0.2">
      <c r="A67" s="58">
        <v>58</v>
      </c>
      <c r="B67" s="59" t="s">
        <v>177</v>
      </c>
      <c r="C67" s="60" t="s">
        <v>64</v>
      </c>
      <c r="D67" s="61" t="str">
        <f t="shared" si="0"/>
        <v>2.9.2</v>
      </c>
      <c r="E67" s="66" t="s">
        <v>178</v>
      </c>
      <c r="F67" s="62" t="s">
        <v>58</v>
      </c>
      <c r="G67" s="68">
        <v>100</v>
      </c>
      <c r="H67" s="64">
        <v>279</v>
      </c>
      <c r="I67" s="65">
        <f t="shared" si="1"/>
        <v>27900</v>
      </c>
    </row>
    <row r="68" spans="1:10" s="30" customFormat="1" ht="49.5" customHeight="1" x14ac:dyDescent="0.2">
      <c r="A68" s="58">
        <v>59</v>
      </c>
      <c r="B68" s="59" t="s">
        <v>179</v>
      </c>
      <c r="C68" s="60" t="s">
        <v>64</v>
      </c>
      <c r="D68" s="61" t="str">
        <f t="shared" si="0"/>
        <v>2.9.2</v>
      </c>
      <c r="E68" s="66" t="s">
        <v>180</v>
      </c>
      <c r="F68" s="62" t="s">
        <v>58</v>
      </c>
      <c r="G68" s="68">
        <v>20</v>
      </c>
      <c r="H68" s="64">
        <v>300</v>
      </c>
      <c r="I68" s="65">
        <f t="shared" si="1"/>
        <v>6000</v>
      </c>
    </row>
    <row r="69" spans="1:10" s="30" customFormat="1" ht="49.5" customHeight="1" x14ac:dyDescent="0.2">
      <c r="A69" s="58">
        <v>60</v>
      </c>
      <c r="B69" s="59" t="s">
        <v>181</v>
      </c>
      <c r="C69" s="60" t="s">
        <v>64</v>
      </c>
      <c r="D69" s="61" t="str">
        <f t="shared" si="0"/>
        <v>2.9.2</v>
      </c>
      <c r="E69" s="66" t="s">
        <v>182</v>
      </c>
      <c r="F69" s="62" t="s">
        <v>58</v>
      </c>
      <c r="G69" s="68">
        <v>20</v>
      </c>
      <c r="H69" s="64">
        <v>70</v>
      </c>
      <c r="I69" s="65">
        <f t="shared" si="1"/>
        <v>1400</v>
      </c>
    </row>
    <row r="70" spans="1:10" s="30" customFormat="1" ht="49.5" customHeight="1" x14ac:dyDescent="0.2">
      <c r="A70" s="58">
        <v>61</v>
      </c>
      <c r="B70" s="59" t="s">
        <v>183</v>
      </c>
      <c r="C70" s="60" t="s">
        <v>64</v>
      </c>
      <c r="D70" s="61" t="str">
        <f t="shared" si="0"/>
        <v>2.9.2</v>
      </c>
      <c r="E70" s="66" t="s">
        <v>184</v>
      </c>
      <c r="F70" s="62" t="s">
        <v>58</v>
      </c>
      <c r="G70" s="68">
        <v>20</v>
      </c>
      <c r="H70" s="64">
        <v>385</v>
      </c>
      <c r="I70" s="65">
        <f t="shared" si="1"/>
        <v>7700</v>
      </c>
    </row>
    <row r="71" spans="1:10" s="30" customFormat="1" ht="49.5" customHeight="1" x14ac:dyDescent="0.2">
      <c r="A71" s="58">
        <v>62</v>
      </c>
      <c r="B71" s="59" t="s">
        <v>185</v>
      </c>
      <c r="C71" s="60" t="s">
        <v>64</v>
      </c>
      <c r="D71" s="61" t="str">
        <f t="shared" si="0"/>
        <v>2.9.2</v>
      </c>
      <c r="E71" s="66" t="s">
        <v>186</v>
      </c>
      <c r="F71" s="62" t="s">
        <v>58</v>
      </c>
      <c r="G71" s="68">
        <v>30</v>
      </c>
      <c r="H71" s="64">
        <v>1720</v>
      </c>
      <c r="I71" s="65">
        <f t="shared" si="1"/>
        <v>51600</v>
      </c>
    </row>
    <row r="72" spans="1:10" s="36" customFormat="1" ht="49.5" customHeight="1" x14ac:dyDescent="0.2">
      <c r="A72" s="58">
        <v>63</v>
      </c>
      <c r="B72" s="66" t="s">
        <v>187</v>
      </c>
      <c r="C72" s="66" t="s">
        <v>64</v>
      </c>
      <c r="D72" s="61" t="str">
        <f t="shared" si="0"/>
        <v>2.9.2</v>
      </c>
      <c r="E72" s="66" t="s">
        <v>188</v>
      </c>
      <c r="F72" s="66" t="s">
        <v>58</v>
      </c>
      <c r="G72" s="60">
        <v>40</v>
      </c>
      <c r="H72" s="64">
        <v>135</v>
      </c>
      <c r="I72" s="65">
        <f t="shared" si="1"/>
        <v>5400</v>
      </c>
      <c r="J72" s="81"/>
    </row>
    <row r="73" spans="1:10" s="30" customFormat="1" ht="49.5" customHeight="1" x14ac:dyDescent="0.2">
      <c r="A73" s="58">
        <v>64</v>
      </c>
      <c r="B73" s="66" t="s">
        <v>189</v>
      </c>
      <c r="C73" s="66" t="s">
        <v>190</v>
      </c>
      <c r="D73" s="61" t="str">
        <f t="shared" si="0"/>
        <v>2.3.3</v>
      </c>
      <c r="E73" s="66" t="s">
        <v>191</v>
      </c>
      <c r="F73" s="66" t="s">
        <v>58</v>
      </c>
      <c r="G73" s="60">
        <v>40</v>
      </c>
      <c r="H73" s="64">
        <v>267.60000000000002</v>
      </c>
      <c r="I73" s="65">
        <f t="shared" si="1"/>
        <v>10704</v>
      </c>
      <c r="J73" s="81"/>
    </row>
    <row r="74" spans="1:10" s="30" customFormat="1" ht="49.5" customHeight="1" x14ac:dyDescent="0.2">
      <c r="A74" s="58">
        <v>65</v>
      </c>
      <c r="B74" s="66" t="s">
        <v>192</v>
      </c>
      <c r="C74" s="66" t="s">
        <v>64</v>
      </c>
      <c r="D74" s="61" t="str">
        <f t="shared" si="0"/>
        <v>2.3.1</v>
      </c>
      <c r="E74" s="66" t="s">
        <v>193</v>
      </c>
      <c r="F74" s="66" t="s">
        <v>58</v>
      </c>
      <c r="G74" s="60">
        <v>10</v>
      </c>
      <c r="H74" s="64">
        <v>371.86</v>
      </c>
      <c r="I74" s="65">
        <f t="shared" si="1"/>
        <v>3718.6000000000004</v>
      </c>
      <c r="J74" s="81"/>
    </row>
    <row r="75" spans="1:10" s="30" customFormat="1" ht="49.5" customHeight="1" x14ac:dyDescent="0.2">
      <c r="A75" s="58">
        <v>66</v>
      </c>
      <c r="B75" s="66" t="s">
        <v>194</v>
      </c>
      <c r="C75" s="66" t="s">
        <v>64</v>
      </c>
      <c r="D75" s="61" t="str">
        <f>+LEFT(B75,5)</f>
        <v>2.9.2</v>
      </c>
      <c r="E75" s="66" t="s">
        <v>195</v>
      </c>
      <c r="F75" s="66" t="s">
        <v>58</v>
      </c>
      <c r="G75" s="60">
        <v>20</v>
      </c>
      <c r="H75" s="64">
        <v>120</v>
      </c>
      <c r="I75" s="65">
        <f t="shared" ref="I75" si="2">+H75*G75</f>
        <v>2400</v>
      </c>
      <c r="J75" s="81"/>
    </row>
    <row r="76" spans="1:10" s="30" customFormat="1" ht="28.5" customHeight="1" thickBot="1" x14ac:dyDescent="0.25">
      <c r="A76" s="122" t="s">
        <v>210</v>
      </c>
      <c r="B76" s="123"/>
      <c r="C76" s="123"/>
      <c r="D76" s="123"/>
      <c r="E76" s="124"/>
      <c r="F76" s="82"/>
      <c r="G76" s="83"/>
      <c r="H76" s="84"/>
      <c r="I76" s="85">
        <f>SUM(I10:I75)</f>
        <v>1046694.16</v>
      </c>
    </row>
    <row r="77" spans="1:10" s="30" customFormat="1" ht="18" customHeight="1" thickBot="1" x14ac:dyDescent="0.25">
      <c r="B77" s="38"/>
      <c r="C77" s="86"/>
      <c r="G77" s="31"/>
      <c r="H77" s="87"/>
      <c r="I77" s="100"/>
    </row>
    <row r="78" spans="1:10" s="30" customFormat="1" ht="12.75" x14ac:dyDescent="0.2">
      <c r="B78" s="38"/>
      <c r="C78" s="86"/>
      <c r="G78" s="31"/>
      <c r="H78" s="87"/>
      <c r="I78" s="88"/>
    </row>
    <row r="79" spans="1:10" s="30" customFormat="1" ht="12.75" x14ac:dyDescent="0.2">
      <c r="B79" s="38"/>
      <c r="C79" s="86"/>
      <c r="G79" s="31"/>
      <c r="H79" s="87"/>
      <c r="I79" s="88"/>
    </row>
    <row r="80" spans="1:10" s="30" customFormat="1" ht="12.75" x14ac:dyDescent="0.2">
      <c r="B80" s="38"/>
      <c r="C80" s="86"/>
      <c r="G80" s="31"/>
      <c r="H80" s="87"/>
      <c r="I80" s="88"/>
    </row>
    <row r="81" spans="1:9" s="30" customFormat="1" thickBot="1" x14ac:dyDescent="0.25">
      <c r="B81" s="38"/>
      <c r="C81" s="86"/>
      <c r="G81" s="31"/>
      <c r="H81" s="87"/>
      <c r="I81" s="88"/>
    </row>
    <row r="82" spans="1:9" s="30" customFormat="1" ht="12.75" x14ac:dyDescent="0.2">
      <c r="B82" s="89" t="s">
        <v>200</v>
      </c>
      <c r="C82" s="48"/>
      <c r="D82" s="33"/>
      <c r="E82" s="34"/>
      <c r="G82" s="31"/>
      <c r="H82" s="87"/>
      <c r="I82" s="88"/>
    </row>
    <row r="83" spans="1:9" s="30" customFormat="1" ht="12.75" x14ac:dyDescent="0.2">
      <c r="B83" s="90"/>
      <c r="C83" s="91"/>
      <c r="D83" s="36"/>
      <c r="E83" s="37"/>
      <c r="G83" s="31"/>
      <c r="H83" s="87"/>
      <c r="I83" s="88"/>
    </row>
    <row r="84" spans="1:9" s="30" customFormat="1" ht="12.75" x14ac:dyDescent="0.2">
      <c r="B84" s="92" t="s">
        <v>59</v>
      </c>
      <c r="C84" s="91"/>
      <c r="D84" s="36"/>
      <c r="E84" s="37"/>
      <c r="G84" s="31"/>
      <c r="H84" s="87"/>
      <c r="I84" s="88"/>
    </row>
    <row r="85" spans="1:9" s="30" customFormat="1" ht="12.75" x14ac:dyDescent="0.2">
      <c r="B85" s="92"/>
      <c r="C85" s="125" t="s">
        <v>196</v>
      </c>
      <c r="D85" s="125"/>
      <c r="E85" s="126"/>
      <c r="G85" s="31"/>
      <c r="H85" s="87"/>
      <c r="I85" s="88"/>
    </row>
    <row r="86" spans="1:9" s="30" customFormat="1" thickBot="1" x14ac:dyDescent="0.25">
      <c r="B86" s="93"/>
      <c r="C86" s="94"/>
      <c r="D86" s="45"/>
      <c r="E86" s="46"/>
      <c r="G86" s="31"/>
      <c r="H86" s="87"/>
      <c r="I86" s="88"/>
    </row>
    <row r="87" spans="1:9" s="30" customFormat="1" ht="12.75" x14ac:dyDescent="0.2">
      <c r="B87" s="38"/>
      <c r="C87" s="86"/>
      <c r="G87" s="31"/>
      <c r="H87" s="87"/>
      <c r="I87" s="88"/>
    </row>
    <row r="88" spans="1:9" s="30" customFormat="1" ht="12.75" x14ac:dyDescent="0.2">
      <c r="B88" s="38"/>
      <c r="C88" s="86"/>
      <c r="G88" s="31"/>
      <c r="H88" s="87"/>
      <c r="I88" s="88"/>
    </row>
    <row r="89" spans="1:9" s="30" customFormat="1" thickBot="1" x14ac:dyDescent="0.25">
      <c r="B89" s="38"/>
      <c r="C89" s="86"/>
      <c r="G89" s="31"/>
      <c r="H89" s="87"/>
      <c r="I89" s="88"/>
    </row>
    <row r="90" spans="1:9" s="30" customFormat="1" ht="39.75" customHeight="1" x14ac:dyDescent="0.2">
      <c r="A90" s="32"/>
      <c r="B90" s="39" t="s">
        <v>13</v>
      </c>
      <c r="C90" s="95"/>
      <c r="D90" s="33"/>
      <c r="E90" s="40"/>
      <c r="G90" s="31"/>
      <c r="H90" s="87"/>
      <c r="I90" s="88"/>
    </row>
    <row r="91" spans="1:9" s="30" customFormat="1" ht="103.5" customHeight="1" x14ac:dyDescent="0.2">
      <c r="A91" s="32"/>
      <c r="B91" s="35"/>
      <c r="C91" s="127" t="s">
        <v>199</v>
      </c>
      <c r="D91" s="127"/>
      <c r="E91" s="128"/>
      <c r="G91" s="31"/>
      <c r="H91" s="87"/>
      <c r="I91" s="88"/>
    </row>
    <row r="92" spans="1:9" s="30" customFormat="1" ht="12.75" x14ac:dyDescent="0.2">
      <c r="A92" s="32"/>
      <c r="B92" s="35"/>
      <c r="C92" s="121"/>
      <c r="D92" s="121"/>
      <c r="E92" s="121"/>
      <c r="G92" s="31"/>
      <c r="H92" s="87"/>
      <c r="I92" s="88"/>
    </row>
    <row r="93" spans="1:9" s="30" customFormat="1" ht="12.75" x14ac:dyDescent="0.2">
      <c r="A93" s="32"/>
      <c r="B93" s="41" t="s">
        <v>201</v>
      </c>
      <c r="C93" s="96"/>
      <c r="D93" s="42"/>
      <c r="E93" s="43"/>
      <c r="G93" s="31"/>
      <c r="H93" s="87"/>
      <c r="I93" s="88"/>
    </row>
    <row r="94" spans="1:9" s="30" customFormat="1" ht="12.75" x14ac:dyDescent="0.2">
      <c r="A94" s="32"/>
      <c r="B94" s="35"/>
      <c r="C94" s="127" t="s">
        <v>52</v>
      </c>
      <c r="D94" s="127"/>
      <c r="E94" s="128"/>
      <c r="G94" s="31"/>
      <c r="H94" s="87"/>
      <c r="I94" s="88"/>
    </row>
    <row r="95" spans="1:9" s="30" customFormat="1" thickBot="1" x14ac:dyDescent="0.25">
      <c r="B95" s="44"/>
      <c r="C95" s="94"/>
      <c r="D95" s="45"/>
      <c r="E95" s="46"/>
      <c r="G95" s="31"/>
      <c r="H95" s="87"/>
      <c r="I95" s="88"/>
    </row>
    <row r="96" spans="1:9" s="30" customFormat="1" thickBot="1" x14ac:dyDescent="0.25">
      <c r="C96" s="86"/>
      <c r="G96" s="31"/>
      <c r="H96" s="87"/>
      <c r="I96" s="88"/>
    </row>
    <row r="97" spans="2:9" s="30" customFormat="1" ht="12.75" x14ac:dyDescent="0.2">
      <c r="B97" s="47" t="s">
        <v>14</v>
      </c>
      <c r="C97" s="48"/>
      <c r="D97" s="48"/>
      <c r="E97" s="49"/>
      <c r="G97" s="31"/>
      <c r="H97" s="87"/>
      <c r="I97" s="88"/>
    </row>
    <row r="98" spans="2:9" s="30" customFormat="1" ht="30" customHeight="1" x14ac:dyDescent="0.2">
      <c r="B98" s="50"/>
      <c r="C98" s="125" t="s">
        <v>202</v>
      </c>
      <c r="D98" s="125"/>
      <c r="E98" s="126"/>
      <c r="G98" s="31"/>
      <c r="H98" s="87"/>
      <c r="I98" s="88"/>
    </row>
    <row r="99" spans="2:9" s="30" customFormat="1" ht="24.75" customHeight="1" x14ac:dyDescent="0.2">
      <c r="B99" s="51" t="s">
        <v>203</v>
      </c>
      <c r="C99" s="91"/>
      <c r="D99" s="36"/>
      <c r="E99" s="37"/>
      <c r="G99" s="31"/>
      <c r="H99" s="87"/>
      <c r="I99" s="88"/>
    </row>
    <row r="100" spans="2:9" s="30" customFormat="1" ht="12.75" x14ac:dyDescent="0.2">
      <c r="B100" s="52"/>
      <c r="C100" s="121"/>
      <c r="D100" s="121"/>
      <c r="E100" s="121"/>
      <c r="G100" s="31"/>
      <c r="H100" s="87"/>
      <c r="I100" s="88"/>
    </row>
    <row r="101" spans="2:9" s="30" customFormat="1" thickBot="1" x14ac:dyDescent="0.25">
      <c r="B101" s="53"/>
      <c r="C101" s="94"/>
      <c r="D101" s="45"/>
      <c r="E101" s="46"/>
      <c r="G101" s="31"/>
      <c r="H101" s="87"/>
      <c r="I101" s="88"/>
    </row>
  </sheetData>
  <mergeCells count="14">
    <mergeCell ref="A6:B6"/>
    <mergeCell ref="A7:B7"/>
    <mergeCell ref="C100:E100"/>
    <mergeCell ref="A76:E76"/>
    <mergeCell ref="C85:E85"/>
    <mergeCell ref="C91:E91"/>
    <mergeCell ref="C92:E92"/>
    <mergeCell ref="C94:E94"/>
    <mergeCell ref="C98:E98"/>
    <mergeCell ref="B2:H2"/>
    <mergeCell ref="A4:B4"/>
    <mergeCell ref="C4:E4"/>
    <mergeCell ref="A5:B5"/>
    <mergeCell ref="C5:E5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8"/>
  <sheetViews>
    <sheetView topLeftCell="A70" zoomScale="85" zoomScaleNormal="85" workbookViewId="0">
      <selection activeCell="G81" sqref="G81"/>
    </sheetView>
  </sheetViews>
  <sheetFormatPr baseColWidth="10" defaultColWidth="9.140625" defaultRowHeight="13.5" x14ac:dyDescent="0.25"/>
  <cols>
    <col min="1" max="1" width="5.5703125" style="13" customWidth="1"/>
    <col min="2" max="2" width="15.140625" style="99" customWidth="1"/>
    <col min="3" max="3" width="14.140625" style="13" customWidth="1"/>
    <col min="4" max="4" width="26" style="13" customWidth="1"/>
    <col min="5" max="5" width="8" style="13" customWidth="1"/>
    <col min="6" max="6" width="7.85546875" style="13" customWidth="1"/>
    <col min="7" max="7" width="42" style="13" customWidth="1"/>
    <col min="8" max="8" width="9.28515625" style="13" customWidth="1"/>
    <col min="9" max="9" width="15.5703125" style="13" customWidth="1"/>
    <col min="10" max="10" width="14.7109375" style="13" customWidth="1"/>
    <col min="11" max="11" width="15.570312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14"/>
  </cols>
  <sheetData>
    <row r="1" spans="1:11" ht="26.25" customHeight="1" x14ac:dyDescent="0.25">
      <c r="A1" s="133" t="s">
        <v>15</v>
      </c>
      <c r="B1" s="133"/>
      <c r="C1" s="133"/>
      <c r="D1" s="133"/>
      <c r="E1" s="133"/>
      <c r="F1" s="133"/>
      <c r="G1" s="133"/>
      <c r="H1" s="133"/>
      <c r="I1" s="133"/>
      <c r="J1" s="12" t="s">
        <v>16</v>
      </c>
      <c r="K1" s="29" t="s">
        <v>198</v>
      </c>
    </row>
    <row r="2" spans="1:11" ht="18.75" customHeight="1" thickBot="1" x14ac:dyDescent="0.3">
      <c r="A2" s="15"/>
      <c r="B2" s="98"/>
      <c r="C2" s="15"/>
      <c r="D2" s="16"/>
      <c r="E2" s="16"/>
      <c r="F2" s="16"/>
      <c r="G2" s="16"/>
      <c r="H2" s="16"/>
      <c r="I2" s="16"/>
      <c r="J2" s="16"/>
      <c r="K2" s="16"/>
    </row>
    <row r="3" spans="1:11" ht="18.75" customHeight="1" thickBot="1" x14ac:dyDescent="0.3">
      <c r="A3" s="134" t="s">
        <v>49</v>
      </c>
      <c r="B3" s="134"/>
      <c r="C3" s="134"/>
      <c r="D3" s="135" t="str">
        <f>'Necesidades Trimestrales'!C4</f>
        <v>12 -Ministerio de Trabajo y Recursos Humanos</v>
      </c>
      <c r="E3" s="135"/>
      <c r="F3" s="135"/>
      <c r="G3" s="135"/>
      <c r="H3" s="135"/>
      <c r="I3" s="135"/>
      <c r="J3" s="135"/>
      <c r="K3" s="135"/>
    </row>
    <row r="4" spans="1:11" ht="18.75" customHeight="1" thickBot="1" x14ac:dyDescent="0.3">
      <c r="A4" s="136" t="s">
        <v>50</v>
      </c>
      <c r="B4" s="136"/>
      <c r="C4" s="136"/>
      <c r="D4" s="135" t="str">
        <f>'Necesidades Trimestrales'!C5</f>
        <v>22 - Secretaria de Administración del Ministerio de Trabajo y Recursos Humanos</v>
      </c>
      <c r="E4" s="135"/>
      <c r="F4" s="135"/>
      <c r="G4" s="135"/>
      <c r="H4" s="135"/>
      <c r="I4" s="135"/>
      <c r="J4" s="135"/>
      <c r="K4" s="135"/>
    </row>
    <row r="5" spans="1:11" ht="18.75" customHeight="1" thickBot="1" x14ac:dyDescent="0.3">
      <c r="A5" s="136" t="s">
        <v>29</v>
      </c>
      <c r="B5" s="136"/>
      <c r="C5" s="136"/>
      <c r="D5" s="135" t="s">
        <v>56</v>
      </c>
      <c r="E5" s="135"/>
      <c r="F5" s="135"/>
      <c r="G5" s="135"/>
      <c r="H5" s="135"/>
      <c r="I5" s="135"/>
      <c r="J5" s="135"/>
      <c r="K5" s="135"/>
    </row>
    <row r="6" spans="1:11" ht="16.5" customHeight="1" thickBot="1" x14ac:dyDescent="0.3">
      <c r="A6" s="134" t="s">
        <v>51</v>
      </c>
      <c r="B6" s="134"/>
      <c r="C6" s="134"/>
      <c r="D6" s="135" t="s">
        <v>56</v>
      </c>
      <c r="E6" s="135"/>
      <c r="F6" s="135"/>
      <c r="G6" s="135"/>
      <c r="H6" s="135"/>
      <c r="I6" s="135"/>
      <c r="J6" s="135"/>
      <c r="K6" s="135"/>
    </row>
    <row r="7" spans="1:11" ht="16.5" customHeight="1" x14ac:dyDescent="0.25">
      <c r="A7" s="136" t="s">
        <v>17</v>
      </c>
      <c r="B7" s="136"/>
      <c r="C7" s="136"/>
      <c r="D7" s="135" t="str">
        <f>'Necesidades Trimestrales'!C7 &amp; "° Trimestre - Año " &amp; 'Necesidades Trimestrales'!C6</f>
        <v>2° Trimestre - Año 2021</v>
      </c>
      <c r="E7" s="135"/>
      <c r="F7" s="135"/>
      <c r="G7" s="135"/>
      <c r="H7" s="135"/>
      <c r="I7" s="135"/>
      <c r="J7" s="135"/>
      <c r="K7" s="135"/>
    </row>
    <row r="8" spans="1:11" ht="16.5" customHeight="1" x14ac:dyDescent="0.25">
      <c r="A8" s="130" t="s">
        <v>18</v>
      </c>
      <c r="B8" s="130"/>
      <c r="C8" s="130"/>
      <c r="D8" s="131" t="s">
        <v>205</v>
      </c>
      <c r="E8" s="131"/>
      <c r="F8" s="131"/>
      <c r="G8" s="131"/>
      <c r="H8" s="131"/>
      <c r="I8" s="131"/>
      <c r="J8" s="131"/>
      <c r="K8" s="131"/>
    </row>
    <row r="9" spans="1:11" ht="14.25" thickBot="1" x14ac:dyDescent="0.3">
      <c r="A9" s="17"/>
      <c r="C9" s="17"/>
      <c r="D9" s="18"/>
      <c r="E9" s="18"/>
      <c r="F9" s="18"/>
      <c r="G9" s="18"/>
      <c r="H9" s="18"/>
      <c r="I9" s="18"/>
      <c r="J9" s="18"/>
      <c r="K9" s="18"/>
    </row>
    <row r="10" spans="1:11" ht="18.75" customHeight="1" thickBot="1" x14ac:dyDescent="0.3">
      <c r="A10" s="132" t="s">
        <v>19</v>
      </c>
      <c r="B10" s="142" t="s">
        <v>20</v>
      </c>
      <c r="C10" s="142" t="s">
        <v>21</v>
      </c>
      <c r="D10" s="142"/>
      <c r="E10" s="142"/>
      <c r="F10" s="142"/>
      <c r="G10" s="142"/>
      <c r="H10" s="142" t="s">
        <v>22</v>
      </c>
      <c r="I10" s="142" t="s">
        <v>23</v>
      </c>
      <c r="J10" s="142" t="s">
        <v>24</v>
      </c>
      <c r="K10" s="137" t="s">
        <v>25</v>
      </c>
    </row>
    <row r="11" spans="1:11" ht="24" customHeight="1" thickBot="1" x14ac:dyDescent="0.3">
      <c r="A11" s="132"/>
      <c r="B11" s="142"/>
      <c r="C11" s="142"/>
      <c r="D11" s="142"/>
      <c r="E11" s="142"/>
      <c r="F11" s="142"/>
      <c r="G11" s="142"/>
      <c r="H11" s="142"/>
      <c r="I11" s="142"/>
      <c r="J11" s="142"/>
      <c r="K11" s="137"/>
    </row>
    <row r="12" spans="1:11" ht="29.25" customHeight="1" x14ac:dyDescent="0.25">
      <c r="A12" s="19">
        <f>+'Necesidades Trimestrales'!A10</f>
        <v>1</v>
      </c>
      <c r="B12" s="20" t="str">
        <f>+'Necesidades Trimestrales'!B10</f>
        <v>2.2.1-1053.108</v>
      </c>
      <c r="C12" s="129" t="str">
        <f>+'Necesidades Trimestrales'!E10</f>
        <v>HILO DE ALGODON; PRESENTACION: OVILLO, USO: P/ATAR, NUMERO: 4 HEBRAS, LARGO: 800 M, TONALIDAD: BLANCO</v>
      </c>
      <c r="D12" s="129"/>
      <c r="E12" s="129"/>
      <c r="F12" s="129"/>
      <c r="G12" s="129"/>
      <c r="H12" s="20" t="s">
        <v>197</v>
      </c>
      <c r="I12" s="20" t="str">
        <f>+'Necesidades Trimestrales'!F10</f>
        <v>UNIDAD</v>
      </c>
      <c r="J12" s="21">
        <f>+'Necesidades Trimestrales'!H10</f>
        <v>248</v>
      </c>
      <c r="K12" s="22">
        <f>+'Necesidades Trimestrales'!G10</f>
        <v>6</v>
      </c>
    </row>
    <row r="13" spans="1:11" ht="40.5" customHeight="1" x14ac:dyDescent="0.25">
      <c r="A13" s="19">
        <f>+'Necesidades Trimestrales'!A11</f>
        <v>2</v>
      </c>
      <c r="B13" s="20" t="str">
        <f>+'Necesidades Trimestrales'!B11</f>
        <v>2.3.1-6563.1009</v>
      </c>
      <c r="C13" s="129" t="str">
        <f>+'Necesidades Trimestrales'!E11</f>
        <v>PAPELES EN HOJA; TIPO DE PAPEL: BLANCO, DIMENSION: OFICIO, GRAMAJE: 80 GR, PRESENTACION: ENVASE X 500 HOJAS, CERTIFICADO FORESTAL (GFS): SIN, PORC. FIBRAS RECICLADAS: 0 %, CERT. FIBRA ALTERNATIVA (FCA): SIN</v>
      </c>
      <c r="D13" s="129"/>
      <c r="E13" s="129"/>
      <c r="F13" s="129"/>
      <c r="G13" s="129"/>
      <c r="H13" s="20" t="s">
        <v>197</v>
      </c>
      <c r="I13" s="20" t="str">
        <f>+'Necesidades Trimestrales'!F11</f>
        <v>UNIDAD</v>
      </c>
      <c r="J13" s="21">
        <f>+'Necesidades Trimestrales'!H11</f>
        <v>504.84</v>
      </c>
      <c r="K13" s="22">
        <f>+'Necesidades Trimestrales'!G11</f>
        <v>300</v>
      </c>
    </row>
    <row r="14" spans="1:11" ht="37.5" customHeight="1" x14ac:dyDescent="0.25">
      <c r="A14" s="19">
        <f>+'Necesidades Trimestrales'!A12</f>
        <v>3</v>
      </c>
      <c r="B14" s="20" t="str">
        <f>+'Necesidades Trimestrales'!B12</f>
        <v>2.3.1-6563.846</v>
      </c>
      <c r="C14" s="129" t="str">
        <f>+'Necesidades Trimestrales'!E12</f>
        <v>PAPELES EN HOJA; TIPO DE PAPEL: CARTULINA, DIMENSION: 76 X 112 Cm, GRAMAJE: 176 GR/M2, PRESENTACION: UNIDAD, CERTIFICADO FORESTAL (GFS): SIN, PORC. FIBRAS RECICLADAS: 0 %</v>
      </c>
      <c r="D14" s="129"/>
      <c r="E14" s="129"/>
      <c r="F14" s="129"/>
      <c r="G14" s="129"/>
      <c r="H14" s="20" t="s">
        <v>197</v>
      </c>
      <c r="I14" s="20" t="str">
        <f>+'Necesidades Trimestrales'!F12</f>
        <v>UNIDAD</v>
      </c>
      <c r="J14" s="21">
        <f>+'Necesidades Trimestrales'!H12</f>
        <v>28</v>
      </c>
      <c r="K14" s="22">
        <f>+'Necesidades Trimestrales'!G12</f>
        <v>10</v>
      </c>
    </row>
    <row r="15" spans="1:11" ht="42.75" customHeight="1" x14ac:dyDescent="0.25">
      <c r="A15" s="19">
        <f>+'Necesidades Trimestrales'!A13</f>
        <v>4</v>
      </c>
      <c r="B15" s="20" t="str">
        <f>+'Necesidades Trimestrales'!B13</f>
        <v>2.3.1-6563.868</v>
      </c>
      <c r="C15" s="129" t="str">
        <f>+'Necesidades Trimestrales'!E13</f>
        <v>PAPELES EN HOJA; TIPO DE PAPEL: AFICHE, DIMENSION: 70 X 100 Cm, GRAMAJE: 65 GR/M2, PRESENTACION: UNIDAD, CERTIFICADO FORESTAL (GFS): CON, PORC. FIBRAS RECICLADAS: 40 %</v>
      </c>
      <c r="D15" s="129"/>
      <c r="E15" s="129"/>
      <c r="F15" s="129"/>
      <c r="G15" s="129"/>
      <c r="H15" s="20" t="s">
        <v>197</v>
      </c>
      <c r="I15" s="20" t="str">
        <f>+'Necesidades Trimestrales'!F13</f>
        <v>UNIDAD</v>
      </c>
      <c r="J15" s="21">
        <f>+'Necesidades Trimestrales'!H13</f>
        <v>41.3</v>
      </c>
      <c r="K15" s="22">
        <f>+'Necesidades Trimestrales'!G13</f>
        <v>10</v>
      </c>
    </row>
    <row r="16" spans="1:11" ht="47.25" customHeight="1" x14ac:dyDescent="0.25">
      <c r="A16" s="19">
        <f>+'Necesidades Trimestrales'!A14</f>
        <v>5</v>
      </c>
      <c r="B16" s="20" t="str">
        <f>+'Necesidades Trimestrales'!B14</f>
        <v>2.3.1-6563.938</v>
      </c>
      <c r="C16" s="129" t="str">
        <f>+'Necesidades Trimestrales'!E14</f>
        <v>PAPELES EN HOJA; TIPO DE PAPEL: P/FORRAR, DIMENSION: 48 X 80 Cm, GRAMAJE: NO CORRESPONDE, PRESENTACION: UNIDAD, CERTIFICADO FORESTAL (GFS): SIN, PORC. FIBRAS RECICLADAS: 0 %, CERT. FIBRA ALTERNATIVA (FCA): SIN</v>
      </c>
      <c r="D16" s="129"/>
      <c r="E16" s="129"/>
      <c r="F16" s="129"/>
      <c r="G16" s="129"/>
      <c r="H16" s="20" t="s">
        <v>197</v>
      </c>
      <c r="I16" s="20" t="str">
        <f>+'Necesidades Trimestrales'!F14</f>
        <v>UNIDAD</v>
      </c>
      <c r="J16" s="21">
        <f>+'Necesidades Trimestrales'!H14</f>
        <v>85</v>
      </c>
      <c r="K16" s="22">
        <f>+'Necesidades Trimestrales'!G14</f>
        <v>10</v>
      </c>
    </row>
    <row r="17" spans="1:11" ht="44.25" customHeight="1" x14ac:dyDescent="0.25">
      <c r="A17" s="19">
        <f>+'Necesidades Trimestrales'!A15</f>
        <v>6</v>
      </c>
      <c r="B17" s="20" t="str">
        <f>+'Necesidades Trimestrales'!B15</f>
        <v>2.3.1-6563.968</v>
      </c>
      <c r="C17" s="129" t="str">
        <f>+'Necesidades Trimestrales'!E15</f>
        <v>PAPELES EN HOJA; TIPO DE PAPEL: EXTRA BLANCO, DIMENSION: A4, GRAMAJE: 80 GR, PRESENTACION: RESMA X 500 HOJAS, CERTIFICADO FORESTAL (GFS): SIN, PORC. FIBRAS RECICLADAS: 0 %, CERT. FIBRA ALTERNATIVA (FCA): CON</v>
      </c>
      <c r="D17" s="129"/>
      <c r="E17" s="129"/>
      <c r="F17" s="129"/>
      <c r="G17" s="129"/>
      <c r="H17" s="20" t="s">
        <v>197</v>
      </c>
      <c r="I17" s="20" t="str">
        <f>+'Necesidades Trimestrales'!F15</f>
        <v>UNIDAD</v>
      </c>
      <c r="J17" s="21">
        <f>+'Necesidades Trimestrales'!H15</f>
        <v>410.11</v>
      </c>
      <c r="K17" s="22">
        <f>+'Necesidades Trimestrales'!G15</f>
        <v>400</v>
      </c>
    </row>
    <row r="18" spans="1:11" ht="29.25" customHeight="1" x14ac:dyDescent="0.25">
      <c r="A18" s="19">
        <f>+'Necesidades Trimestrales'!A16</f>
        <v>7</v>
      </c>
      <c r="B18" s="20" t="str">
        <f>+'Necesidades Trimestrales'!B16</f>
        <v>2.3.1-6587.159</v>
      </c>
      <c r="C18" s="129" t="str">
        <f>+'Necesidades Trimestrales'!E16</f>
        <v>PAPELES ENCUADERNADOS; CANT. DE HOJAS: 200, TAMAÑO: OFICIO, TIPO: LIBRO DE ACTAS, CERTIFICADO FORESTAL (GFS): SIN, PORC. FIBRAS RECICLADAS: 0 %, CERT. FIBRA ALTERNATIVA (FCA): SIN</v>
      </c>
      <c r="D18" s="129"/>
      <c r="E18" s="129"/>
      <c r="F18" s="129"/>
      <c r="G18" s="129"/>
      <c r="H18" s="20" t="s">
        <v>197</v>
      </c>
      <c r="I18" s="20" t="str">
        <f>+'Necesidades Trimestrales'!F16</f>
        <v>UNIDAD</v>
      </c>
      <c r="J18" s="21">
        <f>+'Necesidades Trimestrales'!H16</f>
        <v>387.9</v>
      </c>
      <c r="K18" s="22">
        <f>+'Necesidades Trimestrales'!G16</f>
        <v>100</v>
      </c>
    </row>
    <row r="19" spans="1:11" ht="39.75" customHeight="1" x14ac:dyDescent="0.25">
      <c r="A19" s="19">
        <f>+'Necesidades Trimestrales'!A17</f>
        <v>8</v>
      </c>
      <c r="B19" s="20" t="str">
        <f>+'Necesidades Trimestrales'!B17</f>
        <v>2.3.1-6587.317</v>
      </c>
      <c r="C19" s="129" t="str">
        <f>+'Necesidades Trimestrales'!E17</f>
        <v>PAPELES ENCUADERNADOS; CANT. DE HOJAS: 48, TAMAÑO: 21 X 16 Cm, TIPO: CUADERNO, CERTIFICADO FORESTAL (GFS): CON, PORC. FIBRAS RECICLADAS: 0 %, CERT. FIBRA ALTERNATIVA (FCA): SIN</v>
      </c>
      <c r="D19" s="129"/>
      <c r="E19" s="129"/>
      <c r="F19" s="129"/>
      <c r="G19" s="129"/>
      <c r="H19" s="20" t="s">
        <v>197</v>
      </c>
      <c r="I19" s="20" t="str">
        <f>+'Necesidades Trimestrales'!F17</f>
        <v>UNIDAD</v>
      </c>
      <c r="J19" s="21">
        <f>+'Necesidades Trimestrales'!H17</f>
        <v>64</v>
      </c>
      <c r="K19" s="22">
        <f>+'Necesidades Trimestrales'!G17</f>
        <v>10</v>
      </c>
    </row>
    <row r="20" spans="1:11" ht="39" customHeight="1" x14ac:dyDescent="0.25">
      <c r="A20" s="19">
        <f>+'Necesidades Trimestrales'!A18</f>
        <v>9</v>
      </c>
      <c r="B20" s="20" t="str">
        <f>+'Necesidades Trimestrales'!B18</f>
        <v>2.3.1-6587.333</v>
      </c>
      <c r="C20" s="129" t="str">
        <f>+'Necesidades Trimestrales'!E18</f>
        <v>PAPELES ENCUADERNADOS; CANT. DE HOJAS: 84 HOJAS, TAMAÑO: 21 X 29,7 Cm, TIPO: RAYADO ESPIRALADO, CERTIFICADO FORESTAL (GFS): CON, PORC. FIBRAS RECICLADAS: 0 %, CERT. FIBRA ALTERNATIVA (FCA): SIN</v>
      </c>
      <c r="D20" s="129"/>
      <c r="E20" s="129"/>
      <c r="F20" s="129"/>
      <c r="G20" s="129"/>
      <c r="H20" s="20" t="s">
        <v>197</v>
      </c>
      <c r="I20" s="20" t="str">
        <f>+'Necesidades Trimestrales'!F18</f>
        <v>UNIDAD</v>
      </c>
      <c r="J20" s="21">
        <f>+'Necesidades Trimestrales'!H18</f>
        <v>199</v>
      </c>
      <c r="K20" s="22">
        <f>+'Necesidades Trimestrales'!G18</f>
        <v>20</v>
      </c>
    </row>
    <row r="21" spans="1:11" ht="41.25" customHeight="1" x14ac:dyDescent="0.25">
      <c r="A21" s="19">
        <f>+'Necesidades Trimestrales'!A19</f>
        <v>10</v>
      </c>
      <c r="B21" s="20" t="str">
        <f>+'Necesidades Trimestrales'!B19</f>
        <v>2.3.1-6587.346</v>
      </c>
      <c r="C21" s="129" t="str">
        <f>+'Necesidades Trimestrales'!E19</f>
        <v>PAPELES ENCUADERNADOS; CANT. DE HOJAS: 100, TAMAÑO: A4, TIPO: CUADERNO ESPIRALADO TAPA DURA, CERTIFICADO FORESTAL (GFS): SIN, PORC. FIBRAS RECICLADAS: 0 %, CERT. FIBRA ALTERNATIVA (FCA): SIN</v>
      </c>
      <c r="D21" s="129"/>
      <c r="E21" s="129"/>
      <c r="F21" s="129"/>
      <c r="G21" s="129"/>
      <c r="H21" s="20" t="s">
        <v>197</v>
      </c>
      <c r="I21" s="20" t="str">
        <f>+'Necesidades Trimestrales'!F19</f>
        <v>UNIDAD</v>
      </c>
      <c r="J21" s="21">
        <f>+'Necesidades Trimestrales'!H19</f>
        <v>324</v>
      </c>
      <c r="K21" s="22">
        <f>+'Necesidades Trimestrales'!G19</f>
        <v>6</v>
      </c>
    </row>
    <row r="22" spans="1:11" ht="41.25" customHeight="1" x14ac:dyDescent="0.25">
      <c r="A22" s="19">
        <f>+'Necesidades Trimestrales'!A20</f>
        <v>11</v>
      </c>
      <c r="B22" s="20" t="str">
        <f>+'Necesidades Trimestrales'!B20</f>
        <v>2.3.1-6590.555</v>
      </c>
      <c r="C22" s="129" t="str">
        <f>+'Necesidades Trimestrales'!E20</f>
        <v>SOBRES DE PAPEL; TIPO: MANILA, TAMAÑO: OFICIO, GRAMAJE: 80 GR, PRESENTACION: UNIDAD, CERTIFICADO FORESTAL (GFS): SIN, PORC. FIBRAS RECICLADAS: 0 %, CERT. FIBRA ALTERNATIVA (FCA): SIN</v>
      </c>
      <c r="D22" s="129"/>
      <c r="E22" s="129"/>
      <c r="F22" s="129"/>
      <c r="G22" s="129"/>
      <c r="H22" s="20" t="s">
        <v>197</v>
      </c>
      <c r="I22" s="20" t="str">
        <f>+'Necesidades Trimestrales'!F20</f>
        <v>UNIDAD</v>
      </c>
      <c r="J22" s="21">
        <f>+'Necesidades Trimestrales'!H20</f>
        <v>17.03</v>
      </c>
      <c r="K22" s="22">
        <f>+'Necesidades Trimestrales'!G20</f>
        <v>50</v>
      </c>
    </row>
    <row r="23" spans="1:11" ht="41.25" customHeight="1" x14ac:dyDescent="0.25">
      <c r="A23" s="19">
        <f>+'Necesidades Trimestrales'!A21</f>
        <v>12</v>
      </c>
      <c r="B23" s="20" t="str">
        <f>+'Necesidades Trimestrales'!B21</f>
        <v>2.3.1-6590.556</v>
      </c>
      <c r="C23" s="129" t="str">
        <f>+'Necesidades Trimestrales'!E21</f>
        <v>SOBRES DE PAPEL; TIPO: MANILA, TAMAÑO: A4, GRAMAJE: 80 GR, PRESENTACION: UNIDAD, CERTIFICADO FORESTAL (GFS): SIN, PORC. FIBRAS RECICLADAS: 0 %, CERT. FIBRA ALTERNATIVA (FCA): SIN</v>
      </c>
      <c r="D23" s="129"/>
      <c r="E23" s="129"/>
      <c r="F23" s="129"/>
      <c r="G23" s="129"/>
      <c r="H23" s="20" t="s">
        <v>197</v>
      </c>
      <c r="I23" s="20" t="str">
        <f>+'Necesidades Trimestrales'!F21</f>
        <v>UNIDAD</v>
      </c>
      <c r="J23" s="21">
        <f>+'Necesidades Trimestrales'!H21</f>
        <v>17.91</v>
      </c>
      <c r="K23" s="22">
        <f>+'Necesidades Trimestrales'!G21</f>
        <v>50</v>
      </c>
    </row>
    <row r="24" spans="1:11" ht="29.25" customHeight="1" x14ac:dyDescent="0.25">
      <c r="A24" s="19">
        <f>+'Necesidades Trimestrales'!A22</f>
        <v>13</v>
      </c>
      <c r="B24" s="20" t="str">
        <f>+'Necesidades Trimestrales'!B22</f>
        <v>2.9.2-1062.5</v>
      </c>
      <c r="C24" s="129" t="str">
        <f>+'Necesidades Trimestrales'!E22</f>
        <v>PAPELES ANOTADOR AUTOADHESIVOS; PRESENTACION: 400 HOJAS, LARGO X ANCHO: 9 X 9 Cm, DIMENSION: SIN VALOR, MATERIAL: SIN VALOR</v>
      </c>
      <c r="D24" s="129"/>
      <c r="E24" s="129"/>
      <c r="F24" s="129"/>
      <c r="G24" s="129"/>
      <c r="H24" s="20" t="s">
        <v>197</v>
      </c>
      <c r="I24" s="20" t="str">
        <f>+'Necesidades Trimestrales'!F22</f>
        <v>UNIDAD</v>
      </c>
      <c r="J24" s="21">
        <f>+'Necesidades Trimestrales'!H22</f>
        <v>97.65</v>
      </c>
      <c r="K24" s="22">
        <f>+'Necesidades Trimestrales'!G22</f>
        <v>50</v>
      </c>
    </row>
    <row r="25" spans="1:11" ht="29.25" customHeight="1" x14ac:dyDescent="0.25">
      <c r="A25" s="19">
        <f>+'Necesidades Trimestrales'!A23</f>
        <v>14</v>
      </c>
      <c r="B25" s="20" t="str">
        <f>+'Necesidades Trimestrales'!B23</f>
        <v>2.9.2-1153.35</v>
      </c>
      <c r="C25" s="129" t="str">
        <f>+'Necesidades Trimestrales'!E23</f>
        <v>CINTAS ADHESIVAS; TIPO: EMBALAR, COLOR MARRON, ANCHO: 5 Cm, LARGO ROLLO: 50 M, MATERIAL: CELOFAN, ACCESORIO: SIN, LARGO: 50 M</v>
      </c>
      <c r="D25" s="129"/>
      <c r="E25" s="129"/>
      <c r="F25" s="129"/>
      <c r="G25" s="129"/>
      <c r="H25" s="20" t="s">
        <v>197</v>
      </c>
      <c r="I25" s="20" t="str">
        <f>+'Necesidades Trimestrales'!F23</f>
        <v>UNIDAD</v>
      </c>
      <c r="J25" s="21">
        <f>+'Necesidades Trimestrales'!H23</f>
        <v>102.37</v>
      </c>
      <c r="K25" s="22">
        <f>+'Necesidades Trimestrales'!G23</f>
        <v>10</v>
      </c>
    </row>
    <row r="26" spans="1:11" ht="29.25" customHeight="1" x14ac:dyDescent="0.25">
      <c r="A26" s="19">
        <f>+'Necesidades Trimestrales'!A24</f>
        <v>15</v>
      </c>
      <c r="B26" s="20" t="str">
        <f>+'Necesidades Trimestrales'!B24</f>
        <v>2.9.2-1153.47</v>
      </c>
      <c r="C26" s="129" t="str">
        <f>+'Necesidades Trimestrales'!E24</f>
        <v>CINTAS ADHESIVAS; TIPO: ADHESIVA, ANCHO: 12 Cm, LARGO ROLLO: 50 M, MATERIAL: PLASTICO, ACCESORIO: SIN, LARGO: 50 M</v>
      </c>
      <c r="D26" s="129"/>
      <c r="E26" s="129"/>
      <c r="F26" s="129"/>
      <c r="G26" s="129"/>
      <c r="H26" s="20" t="s">
        <v>197</v>
      </c>
      <c r="I26" s="20" t="str">
        <f>+'Necesidades Trimestrales'!F24</f>
        <v>UNIDAD</v>
      </c>
      <c r="J26" s="21">
        <f>+'Necesidades Trimestrales'!H24</f>
        <v>96</v>
      </c>
      <c r="K26" s="22">
        <f>+'Necesidades Trimestrales'!G24</f>
        <v>25</v>
      </c>
    </row>
    <row r="27" spans="1:11" ht="29.25" customHeight="1" x14ac:dyDescent="0.25">
      <c r="A27" s="19">
        <f>+'Necesidades Trimestrales'!A25</f>
        <v>16</v>
      </c>
      <c r="B27" s="20" t="str">
        <f>+'Necesidades Trimestrales'!B25</f>
        <v>2.9.2-1153.90</v>
      </c>
      <c r="C27" s="129" t="str">
        <f>+'Necesidades Trimestrales'!E25</f>
        <v>CINTAS ADHESIVAS; TIPO: EMBALAR, ANCHO: 48 mm, LARGO ROLLO: 50 M, MATERIAL: PLASTICO, ACCESORIO: SIN, LARGO: 50 M</v>
      </c>
      <c r="D27" s="129"/>
      <c r="E27" s="129"/>
      <c r="F27" s="129"/>
      <c r="G27" s="129"/>
      <c r="H27" s="20" t="s">
        <v>197</v>
      </c>
      <c r="I27" s="20" t="str">
        <f>+'Necesidades Trimestrales'!F25</f>
        <v>UNIDAD</v>
      </c>
      <c r="J27" s="21">
        <f>+'Necesidades Trimestrales'!H25</f>
        <v>171</v>
      </c>
      <c r="K27" s="22">
        <f>+'Necesidades Trimestrales'!G25</f>
        <v>4</v>
      </c>
    </row>
    <row r="28" spans="1:11" ht="29.25" customHeight="1" x14ac:dyDescent="0.25">
      <c r="A28" s="19">
        <f>+'Necesidades Trimestrales'!A26</f>
        <v>17</v>
      </c>
      <c r="B28" s="20" t="str">
        <f>+'Necesidades Trimestrales'!B26</f>
        <v>2.9.2-1354.15</v>
      </c>
      <c r="C28" s="129" t="str">
        <f>+'Necesidades Trimestrales'!E26</f>
        <v>RESALTADORES; PUNTA: 3 PLANA mm, ACCESORIO: SIN, COLOR: VERDE, TIPO PUNTA: 3 PLANA mm</v>
      </c>
      <c r="D28" s="129"/>
      <c r="E28" s="129"/>
      <c r="F28" s="129"/>
      <c r="G28" s="129"/>
      <c r="H28" s="20" t="s">
        <v>197</v>
      </c>
      <c r="I28" s="20" t="str">
        <f>+'Necesidades Trimestrales'!F26</f>
        <v>UNIDAD</v>
      </c>
      <c r="J28" s="21">
        <f>+'Necesidades Trimestrales'!H26</f>
        <v>79.19</v>
      </c>
      <c r="K28" s="22">
        <f>+'Necesidades Trimestrales'!G26</f>
        <v>50</v>
      </c>
    </row>
    <row r="29" spans="1:11" ht="29.25" customHeight="1" x14ac:dyDescent="0.25">
      <c r="A29" s="19">
        <f>+'Necesidades Trimestrales'!A27</f>
        <v>18</v>
      </c>
      <c r="B29" s="20" t="str">
        <f>+'Necesidades Trimestrales'!B27</f>
        <v>2.9.2-1354.17</v>
      </c>
      <c r="C29" s="129" t="str">
        <f>+'Necesidades Trimestrales'!E27</f>
        <v>RESALTADORES; PUNTA: 5 PLANA, ACCESORIO: SIN, COLOR: AZUL, TIPO PUNTA: 5 PLANA</v>
      </c>
      <c r="D29" s="129"/>
      <c r="E29" s="129"/>
      <c r="F29" s="129"/>
      <c r="G29" s="129"/>
      <c r="H29" s="20" t="s">
        <v>197</v>
      </c>
      <c r="I29" s="20" t="str">
        <f>+'Necesidades Trimestrales'!F27</f>
        <v>UNIDAD</v>
      </c>
      <c r="J29" s="21">
        <f>+'Necesidades Trimestrales'!H27</f>
        <v>69.900000000000006</v>
      </c>
      <c r="K29" s="22">
        <f>+'Necesidades Trimestrales'!G27</f>
        <v>50</v>
      </c>
    </row>
    <row r="30" spans="1:11" ht="29.25" customHeight="1" x14ac:dyDescent="0.25">
      <c r="A30" s="19">
        <f>+'Necesidades Trimestrales'!A28</f>
        <v>19</v>
      </c>
      <c r="B30" s="20" t="str">
        <f>+'Necesidades Trimestrales'!B28</f>
        <v>2.9.2-1354.28</v>
      </c>
      <c r="C30" s="129" t="str">
        <f>+'Necesidades Trimestrales'!E28</f>
        <v>RESALTADORES; PUNTA: FINA, ACCESORIO: SIN, COLOR: AMARILLO, TIPO PUNTA: FINA</v>
      </c>
      <c r="D30" s="129"/>
      <c r="E30" s="129"/>
      <c r="F30" s="129"/>
      <c r="G30" s="129"/>
      <c r="H30" s="20" t="s">
        <v>197</v>
      </c>
      <c r="I30" s="20" t="str">
        <f>+'Necesidades Trimestrales'!F28</f>
        <v>UNIDAD</v>
      </c>
      <c r="J30" s="21">
        <f>+'Necesidades Trimestrales'!H28</f>
        <v>38.22</v>
      </c>
      <c r="K30" s="22">
        <f>+'Necesidades Trimestrales'!G28</f>
        <v>206</v>
      </c>
    </row>
    <row r="31" spans="1:11" ht="29.25" customHeight="1" x14ac:dyDescent="0.25">
      <c r="A31" s="19">
        <f>+'Necesidades Trimestrales'!A29</f>
        <v>20</v>
      </c>
      <c r="B31" s="20" t="str">
        <f>+'Necesidades Trimestrales'!B29</f>
        <v>2.9.2-1354.29</v>
      </c>
      <c r="C31" s="129" t="str">
        <f>+'Necesidades Trimestrales'!E29</f>
        <v>RESALTADORES; PUNTA: FINA, ACCESORIO: SIN, COLOR: VERDE, TIPO PUNTA: FINA</v>
      </c>
      <c r="D31" s="129"/>
      <c r="E31" s="129"/>
      <c r="F31" s="129"/>
      <c r="G31" s="129"/>
      <c r="H31" s="20" t="s">
        <v>197</v>
      </c>
      <c r="I31" s="20" t="str">
        <f>+'Necesidades Trimestrales'!F29</f>
        <v>UNIDAD</v>
      </c>
      <c r="J31" s="21">
        <f>+'Necesidades Trimestrales'!H29</f>
        <v>98.9</v>
      </c>
      <c r="K31" s="22">
        <f>+'Necesidades Trimestrales'!G29</f>
        <v>96</v>
      </c>
    </row>
    <row r="32" spans="1:11" ht="29.25" customHeight="1" x14ac:dyDescent="0.25">
      <c r="A32" s="19">
        <f>+'Necesidades Trimestrales'!A30</f>
        <v>21</v>
      </c>
      <c r="B32" s="20" t="str">
        <f>+'Necesidades Trimestrales'!B30</f>
        <v>2.9.2-1358.34</v>
      </c>
      <c r="C32" s="129" t="str">
        <f>+'Necesidades Trimestrales'!E30</f>
        <v>CARPETAS; MATERIAL PVC - TAMAÑO OFICIO</v>
      </c>
      <c r="D32" s="129"/>
      <c r="E32" s="129"/>
      <c r="F32" s="129"/>
      <c r="G32" s="129"/>
      <c r="H32" s="20" t="s">
        <v>26</v>
      </c>
      <c r="I32" s="20" t="str">
        <f>+'Necesidades Trimestrales'!F30</f>
        <v>UNIDAD</v>
      </c>
      <c r="J32" s="21">
        <f>+'Necesidades Trimestrales'!H30</f>
        <v>39.9</v>
      </c>
      <c r="K32" s="22">
        <f>+'Necesidades Trimestrales'!G30</f>
        <v>1200</v>
      </c>
    </row>
    <row r="33" spans="1:11" ht="29.25" customHeight="1" x14ac:dyDescent="0.25">
      <c r="A33" s="19">
        <f>+'Necesidades Trimestrales'!A31</f>
        <v>22</v>
      </c>
      <c r="B33" s="20" t="str">
        <f>+'Necesidades Trimestrales'!B31</f>
        <v>2.9.2-1358.35</v>
      </c>
      <c r="C33" s="129" t="str">
        <f>+'Necesidades Trimestrales'!E31</f>
        <v>CARPETAS; MATERIAL PVC - TAMAÑO A4</v>
      </c>
      <c r="D33" s="129"/>
      <c r="E33" s="129"/>
      <c r="F33" s="129"/>
      <c r="G33" s="129"/>
      <c r="H33" s="20" t="s">
        <v>26</v>
      </c>
      <c r="I33" s="20" t="str">
        <f>+'Necesidades Trimestrales'!F31</f>
        <v>UNIDAD</v>
      </c>
      <c r="J33" s="21">
        <f>+'Necesidades Trimestrales'!H31</f>
        <v>39.9</v>
      </c>
      <c r="K33" s="22">
        <f>+'Necesidades Trimestrales'!G31</f>
        <v>1200</v>
      </c>
    </row>
    <row r="34" spans="1:11" ht="29.25" customHeight="1" x14ac:dyDescent="0.25">
      <c r="A34" s="19">
        <f>+'Necesidades Trimestrales'!A32</f>
        <v>23</v>
      </c>
      <c r="B34" s="20" t="str">
        <f>+'Necesidades Trimestrales'!B32</f>
        <v>2.9.2-1428.23</v>
      </c>
      <c r="C34" s="129" t="str">
        <f>+'Necesidades Trimestrales'!E32</f>
        <v>BANDAS ELASTICAS; DIAMETRO: 12 Cm, PRESENTACION: 500 GR, ESPESOR: 5 mm</v>
      </c>
      <c r="D34" s="129"/>
      <c r="E34" s="129"/>
      <c r="F34" s="129"/>
      <c r="G34" s="129"/>
      <c r="H34" s="20" t="s">
        <v>197</v>
      </c>
      <c r="I34" s="20" t="str">
        <f>+'Necesidades Trimestrales'!F32</f>
        <v>UNIDAD</v>
      </c>
      <c r="J34" s="21">
        <f>+'Necesidades Trimestrales'!H32</f>
        <v>607.65</v>
      </c>
      <c r="K34" s="22">
        <f>+'Necesidades Trimestrales'!G32</f>
        <v>8</v>
      </c>
    </row>
    <row r="35" spans="1:11" ht="29.25" customHeight="1" x14ac:dyDescent="0.25">
      <c r="A35" s="19">
        <f>+'Necesidades Trimestrales'!A33</f>
        <v>24</v>
      </c>
      <c r="B35" s="20" t="str">
        <f>+'Necesidades Trimestrales'!B33</f>
        <v>2.9.2-1428.38</v>
      </c>
      <c r="C35" s="129" t="str">
        <f>+'Necesidades Trimestrales'!E33</f>
        <v>BANDAS ELASTICAS; DIAMETRO: 10 Cm, PRESENTACION: BOLSA DE 500 GR, ESPESOR: 1 mm</v>
      </c>
      <c r="D35" s="129"/>
      <c r="E35" s="129"/>
      <c r="F35" s="129"/>
      <c r="G35" s="129"/>
      <c r="H35" s="20" t="s">
        <v>197</v>
      </c>
      <c r="I35" s="20" t="str">
        <f>+'Necesidades Trimestrales'!F33</f>
        <v>UNIDAD</v>
      </c>
      <c r="J35" s="21">
        <f>+'Necesidades Trimestrales'!H33</f>
        <v>607.65</v>
      </c>
      <c r="K35" s="22">
        <f>+'Necesidades Trimestrales'!G33</f>
        <v>8</v>
      </c>
    </row>
    <row r="36" spans="1:11" ht="29.25" customHeight="1" x14ac:dyDescent="0.25">
      <c r="A36" s="19">
        <f>+'Necesidades Trimestrales'!A34</f>
        <v>25</v>
      </c>
      <c r="B36" s="20" t="str">
        <f>+'Necesidades Trimestrales'!B34</f>
        <v>2.9.2-1450.30</v>
      </c>
      <c r="C36" s="129" t="str">
        <f>+'Necesidades Trimestrales'!E34</f>
        <v>TINTAS P/SELLOS; TIPO DE SELLO: DE GOMA, ENVASE: 60 CM3, COLOR: AZUL, PRESENTACION: ENVASE X 60 CM3</v>
      </c>
      <c r="D36" s="129"/>
      <c r="E36" s="129"/>
      <c r="F36" s="129"/>
      <c r="G36" s="129"/>
      <c r="H36" s="20" t="s">
        <v>197</v>
      </c>
      <c r="I36" s="20" t="str">
        <f>+'Necesidades Trimestrales'!F34</f>
        <v xml:space="preserve">UNIDAD </v>
      </c>
      <c r="J36" s="21">
        <f>+'Necesidades Trimestrales'!H34</f>
        <v>157</v>
      </c>
      <c r="K36" s="22">
        <f>+'Necesidades Trimestrales'!G34</f>
        <v>50</v>
      </c>
    </row>
    <row r="37" spans="1:11" ht="29.25" customHeight="1" x14ac:dyDescent="0.25">
      <c r="A37" s="19">
        <f>+'Necesidades Trimestrales'!A35</f>
        <v>26</v>
      </c>
      <c r="B37" s="20" t="str">
        <f>+'Necesidades Trimestrales'!B35</f>
        <v>2.9.2-1450.4</v>
      </c>
      <c r="C37" s="129" t="str">
        <f>+'Necesidades Trimestrales'!E35</f>
        <v>TINTAS P/SELLOS; TIPO DE SELLO: DE GOMA, COLOR: NEGRO, PRESENTACION: ENVASE X 50 CM3</v>
      </c>
      <c r="D37" s="129"/>
      <c r="E37" s="129"/>
      <c r="F37" s="129"/>
      <c r="G37" s="129"/>
      <c r="H37" s="20" t="s">
        <v>197</v>
      </c>
      <c r="I37" s="20" t="str">
        <f>+'Necesidades Trimestrales'!F35</f>
        <v>UNIDAD</v>
      </c>
      <c r="J37" s="21">
        <f>+'Necesidades Trimestrales'!H35</f>
        <v>157</v>
      </c>
      <c r="K37" s="22">
        <f>+'Necesidades Trimestrales'!G35</f>
        <v>50</v>
      </c>
    </row>
    <row r="38" spans="1:11" ht="29.25" customHeight="1" x14ac:dyDescent="0.25">
      <c r="A38" s="19">
        <f>+'Necesidades Trimestrales'!A36</f>
        <v>27</v>
      </c>
      <c r="B38" s="20" t="str">
        <f>+'Necesidades Trimestrales'!B36</f>
        <v>2.9.2-1611.1</v>
      </c>
      <c r="C38" s="129" t="str">
        <f>+'Necesidades Trimestrales'!E36</f>
        <v>FOLIOS TRANSPARENTES; MATERIAL: PLASTICO (POLIETILENO), TAMAÑO: OFICIO, PERFORACIONES: 5 UNIVERSALES</v>
      </c>
      <c r="D38" s="129"/>
      <c r="E38" s="129"/>
      <c r="F38" s="129"/>
      <c r="G38" s="129"/>
      <c r="H38" s="20" t="s">
        <v>26</v>
      </c>
      <c r="I38" s="20" t="str">
        <f>+'Necesidades Trimestrales'!F36</f>
        <v>UNIDAD</v>
      </c>
      <c r="J38" s="21">
        <f>+'Necesidades Trimestrales'!H36</f>
        <v>6.55</v>
      </c>
      <c r="K38" s="22">
        <f>+'Necesidades Trimestrales'!G36</f>
        <v>6500</v>
      </c>
    </row>
    <row r="39" spans="1:11" ht="29.25" customHeight="1" x14ac:dyDescent="0.25">
      <c r="A39" s="19">
        <f>+'Necesidades Trimestrales'!A37</f>
        <v>28</v>
      </c>
      <c r="B39" s="20" t="str">
        <f>+'Necesidades Trimestrales'!B37</f>
        <v>2.9.2-1611.21</v>
      </c>
      <c r="C39" s="129" t="str">
        <f>+'Necesidades Trimestrales'!E37</f>
        <v>FOLIOS TRANSPARENTES; TAMAÑO: A4, PERFORACIONES: SIN, MATERIAL: POLIETILENO</v>
      </c>
      <c r="D39" s="129"/>
      <c r="E39" s="129"/>
      <c r="F39" s="129"/>
      <c r="G39" s="129"/>
      <c r="H39" s="20" t="s">
        <v>26</v>
      </c>
      <c r="I39" s="20" t="str">
        <f>+'Necesidades Trimestrales'!F37</f>
        <v>UNIDAD</v>
      </c>
      <c r="J39" s="21">
        <f>+'Necesidades Trimestrales'!H37</f>
        <v>5.86</v>
      </c>
      <c r="K39" s="22">
        <f>+'Necesidades Trimestrales'!G37</f>
        <v>6500</v>
      </c>
    </row>
    <row r="40" spans="1:11" ht="29.25" customHeight="1" x14ac:dyDescent="0.25">
      <c r="A40" s="19">
        <f>+'Necesidades Trimestrales'!A38</f>
        <v>29</v>
      </c>
      <c r="B40" s="20" t="str">
        <f>+'Necesidades Trimestrales'!B38</f>
        <v>2.9.2-1616.128</v>
      </c>
      <c r="C40" s="129" t="str">
        <f>+'Necesidades Trimestrales'!E38</f>
        <v>MARCADORES; TIPO PARA PIZARRA - TRAZO GRUESO - PUNTA REDONDA - RECARGABLE NO</v>
      </c>
      <c r="D40" s="129"/>
      <c r="E40" s="129"/>
      <c r="F40" s="129"/>
      <c r="G40" s="129"/>
      <c r="H40" s="20" t="s">
        <v>197</v>
      </c>
      <c r="I40" s="20" t="str">
        <f>+'Necesidades Trimestrales'!F38</f>
        <v>UNIDAD</v>
      </c>
      <c r="J40" s="21">
        <f>+'Necesidades Trimestrales'!H38</f>
        <v>142</v>
      </c>
      <c r="K40" s="22">
        <f>+'Necesidades Trimestrales'!G38</f>
        <v>36</v>
      </c>
    </row>
    <row r="41" spans="1:11" ht="29.25" customHeight="1" x14ac:dyDescent="0.25">
      <c r="A41" s="19">
        <f>+'Necesidades Trimestrales'!A39</f>
        <v>30</v>
      </c>
      <c r="B41" s="20" t="str">
        <f>+'Necesidades Trimestrales'!B39</f>
        <v>2.9.2-1616.134</v>
      </c>
      <c r="C41" s="129" t="str">
        <f>+'Necesidades Trimestrales'!E39</f>
        <v>MARCADORES; TIPO: AL SOLVENTE, TRAZO: GRUESO, PUNTA: CHANFLEADA, COLOR: VERDE, RECARGABLE:NO</v>
      </c>
      <c r="D41" s="129"/>
      <c r="E41" s="129"/>
      <c r="F41" s="129"/>
      <c r="G41" s="129"/>
      <c r="H41" s="20" t="s">
        <v>197</v>
      </c>
      <c r="I41" s="20" t="str">
        <f>+'Necesidades Trimestrales'!F39</f>
        <v>UNIDAD</v>
      </c>
      <c r="J41" s="21">
        <f>+'Necesidades Trimestrales'!H39</f>
        <v>592</v>
      </c>
      <c r="K41" s="22">
        <f>+'Necesidades Trimestrales'!G39</f>
        <v>50</v>
      </c>
    </row>
    <row r="42" spans="1:11" ht="29.25" customHeight="1" x14ac:dyDescent="0.25">
      <c r="A42" s="19">
        <f>+'Necesidades Trimestrales'!A40</f>
        <v>31</v>
      </c>
      <c r="B42" s="20" t="str">
        <f>+'Necesidades Trimestrales'!B40</f>
        <v>2.9.2-1616.79</v>
      </c>
      <c r="C42" s="129" t="str">
        <f>+'Necesidades Trimestrales'!E40</f>
        <v>MARCADORES; TIPO: AL SOLVENTE, TRAZO: FINO, PUNTA: REDONDA, COLOR: NEGRO, RECARGABLE: NO</v>
      </c>
      <c r="D42" s="129"/>
      <c r="E42" s="129"/>
      <c r="F42" s="129"/>
      <c r="G42" s="129"/>
      <c r="H42" s="20" t="s">
        <v>197</v>
      </c>
      <c r="I42" s="20" t="str">
        <f>+'Necesidades Trimestrales'!F40</f>
        <v>UNIDAD</v>
      </c>
      <c r="J42" s="21">
        <f>+'Necesidades Trimestrales'!H40</f>
        <v>111</v>
      </c>
      <c r="K42" s="22">
        <f>+'Necesidades Trimestrales'!G40</f>
        <v>100</v>
      </c>
    </row>
    <row r="43" spans="1:11" ht="29.25" customHeight="1" x14ac:dyDescent="0.25">
      <c r="A43" s="19">
        <f>+'Necesidades Trimestrales'!A41</f>
        <v>32</v>
      </c>
      <c r="B43" s="20" t="str">
        <f>+'Necesidades Trimestrales'!B41</f>
        <v>2.9.2-1954.5</v>
      </c>
      <c r="C43" s="129" t="str">
        <f>+'Necesidades Trimestrales'!E41</f>
        <v>BORRADORES; MATERIAL: PLASTICO-FELPA, TIPO: PARA MARCADOR</v>
      </c>
      <c r="D43" s="129"/>
      <c r="E43" s="129"/>
      <c r="F43" s="129"/>
      <c r="G43" s="129"/>
      <c r="H43" s="20" t="s">
        <v>197</v>
      </c>
      <c r="I43" s="20" t="str">
        <f>+'Necesidades Trimestrales'!F41</f>
        <v>UNIDAD</v>
      </c>
      <c r="J43" s="21">
        <f>+'Necesidades Trimestrales'!H41</f>
        <v>231.66</v>
      </c>
      <c r="K43" s="22">
        <f>+'Necesidades Trimestrales'!G41</f>
        <v>10</v>
      </c>
    </row>
    <row r="44" spans="1:11" ht="29.25" customHeight="1" x14ac:dyDescent="0.25">
      <c r="A44" s="19">
        <f>+'Necesidades Trimestrales'!A42</f>
        <v>33</v>
      </c>
      <c r="B44" s="20" t="str">
        <f>+'Necesidades Trimestrales'!B42</f>
        <v>2.9.2-261.11</v>
      </c>
      <c r="C44" s="129" t="str">
        <f>+'Necesidades Trimestrales'!E42</f>
        <v>ABROCHADORAS DE PAPEL; MATERIAL: METALICA, TIPO: DE ESCRITORIO, MEDIDA: 23, P/BROCHES: 23</v>
      </c>
      <c r="D44" s="129"/>
      <c r="E44" s="129"/>
      <c r="F44" s="129"/>
      <c r="G44" s="129"/>
      <c r="H44" s="20" t="s">
        <v>197</v>
      </c>
      <c r="I44" s="20" t="str">
        <f>+'Necesidades Trimestrales'!F42</f>
        <v>UNIDAD</v>
      </c>
      <c r="J44" s="21">
        <f>+'Necesidades Trimestrales'!H42</f>
        <v>4996</v>
      </c>
      <c r="K44" s="22">
        <f>+'Necesidades Trimestrales'!G42</f>
        <v>2</v>
      </c>
    </row>
    <row r="45" spans="1:11" ht="29.25" customHeight="1" x14ac:dyDescent="0.25">
      <c r="A45" s="19">
        <f>+'Necesidades Trimestrales'!A43</f>
        <v>34</v>
      </c>
      <c r="B45" s="20" t="str">
        <f>+'Necesidades Trimestrales'!B43</f>
        <v>2.9.2-261.14</v>
      </c>
      <c r="C45" s="129" t="str">
        <f>+'Necesidades Trimestrales'!E43</f>
        <v>ABROCHADORAS DE PAPEL; TIPO: PINZA, P/BROCHES: 10/50, MATERIAL: METALICA, MEDIDA: 10/50</v>
      </c>
      <c r="D45" s="129"/>
      <c r="E45" s="129"/>
      <c r="F45" s="129"/>
      <c r="G45" s="129"/>
      <c r="H45" s="20" t="s">
        <v>197</v>
      </c>
      <c r="I45" s="20" t="str">
        <f>+'Necesidades Trimestrales'!F43</f>
        <v>UNIDAD</v>
      </c>
      <c r="J45" s="21">
        <f>+'Necesidades Trimestrales'!H43</f>
        <v>841.52</v>
      </c>
      <c r="K45" s="22">
        <f>+'Necesidades Trimestrales'!G43</f>
        <v>52</v>
      </c>
    </row>
    <row r="46" spans="1:11" ht="29.25" customHeight="1" x14ac:dyDescent="0.25">
      <c r="A46" s="19">
        <f>+'Necesidades Trimestrales'!A44</f>
        <v>35</v>
      </c>
      <c r="B46" s="20" t="str">
        <f>+'Necesidades Trimestrales'!B44</f>
        <v>2.9.2-262.4</v>
      </c>
      <c r="C46" s="129" t="str">
        <f>+'Necesidades Trimestrales'!E44</f>
        <v>ADHESIVOS P/PAPEL; PRESENTACION: 250 GR, TIPO: COLA VINILICA</v>
      </c>
      <c r="D46" s="129"/>
      <c r="E46" s="129"/>
      <c r="F46" s="129"/>
      <c r="G46" s="129"/>
      <c r="H46" s="20" t="s">
        <v>197</v>
      </c>
      <c r="I46" s="20" t="str">
        <f>+'Necesidades Trimestrales'!F44</f>
        <v>UNIDAD</v>
      </c>
      <c r="J46" s="21">
        <f>+'Necesidades Trimestrales'!H44</f>
        <v>73.349999999999994</v>
      </c>
      <c r="K46" s="22">
        <f>+'Necesidades Trimestrales'!G44</f>
        <v>30</v>
      </c>
    </row>
    <row r="47" spans="1:11" ht="29.25" customHeight="1" x14ac:dyDescent="0.25">
      <c r="A47" s="19">
        <f>+'Necesidades Trimestrales'!A45</f>
        <v>36</v>
      </c>
      <c r="B47" s="20" t="str">
        <f>+'Necesidades Trimestrales'!B45</f>
        <v>2.9.2-262.45</v>
      </c>
      <c r="C47" s="129" t="str">
        <f>+'Necesidades Trimestrales'!E45</f>
        <v>ADHESIVOS P/PAPEL; PRESENTACION: 30 CM3, TIPO: TRANSPARENTE</v>
      </c>
      <c r="D47" s="129"/>
      <c r="E47" s="129"/>
      <c r="F47" s="129"/>
      <c r="G47" s="129"/>
      <c r="H47" s="20" t="s">
        <v>197</v>
      </c>
      <c r="I47" s="20" t="str">
        <f>+'Necesidades Trimestrales'!F45</f>
        <v>UNIDAD</v>
      </c>
      <c r="J47" s="21">
        <f>+'Necesidades Trimestrales'!H45</f>
        <v>70</v>
      </c>
      <c r="K47" s="22">
        <f>+'Necesidades Trimestrales'!G45</f>
        <v>60</v>
      </c>
    </row>
    <row r="48" spans="1:11" ht="29.25" customHeight="1" x14ac:dyDescent="0.25">
      <c r="A48" s="19">
        <f>+'Necesidades Trimestrales'!A46</f>
        <v>37</v>
      </c>
      <c r="B48" s="20" t="str">
        <f>+'Necesidades Trimestrales'!B46</f>
        <v>2.9.2-274.49</v>
      </c>
      <c r="C48" s="129" t="str">
        <f>+'Necesidades Trimestrales'!E46</f>
        <v>BIBLIORATOS; COLOR: GRIS, ANCHO: 28 Cm, ANILLO: 2 Y PALANCA, TAMAÑO: OFICIO, TAPAS: CARTON, LOMO: CARTON, MATERIAL: CARTON</v>
      </c>
      <c r="D48" s="129"/>
      <c r="E48" s="129"/>
      <c r="F48" s="129"/>
      <c r="G48" s="129"/>
      <c r="H48" s="20" t="s">
        <v>197</v>
      </c>
      <c r="I48" s="20" t="str">
        <f>+'Necesidades Trimestrales'!F46</f>
        <v>UNIDAD</v>
      </c>
      <c r="J48" s="21">
        <f>+'Necesidades Trimestrales'!H46</f>
        <v>182</v>
      </c>
      <c r="K48" s="22">
        <f>+'Necesidades Trimestrales'!G46</f>
        <v>100</v>
      </c>
    </row>
    <row r="49" spans="1:11" ht="29.25" customHeight="1" x14ac:dyDescent="0.25">
      <c r="A49" s="19">
        <f>+'Necesidades Trimestrales'!A47</f>
        <v>38</v>
      </c>
      <c r="B49" s="20" t="str">
        <f>+'Necesidades Trimestrales'!B47</f>
        <v>2.9.2-274.73</v>
      </c>
      <c r="C49" s="129" t="str">
        <f>+'Necesidades Trimestrales'!E47</f>
        <v>BIBLIORATOS; ANCHO: 80 mm, ANILLO: 2 Y PALANCA, TAMAÑO: A4, MATERIAL: CARTON FORRADO EN PVC</v>
      </c>
      <c r="D49" s="129"/>
      <c r="E49" s="129"/>
      <c r="F49" s="129"/>
      <c r="G49" s="129"/>
      <c r="H49" s="20" t="s">
        <v>197</v>
      </c>
      <c r="I49" s="20" t="str">
        <f>+'Necesidades Trimestrales'!F47</f>
        <v>UNIDAD</v>
      </c>
      <c r="J49" s="21">
        <f>+'Necesidades Trimestrales'!H47</f>
        <v>182</v>
      </c>
      <c r="K49" s="22">
        <f>+'Necesidades Trimestrales'!G47</f>
        <v>100</v>
      </c>
    </row>
    <row r="50" spans="1:11" ht="29.25" customHeight="1" x14ac:dyDescent="0.25">
      <c r="A50" s="19">
        <f>+'Necesidades Trimestrales'!A48</f>
        <v>39</v>
      </c>
      <c r="B50" s="20" t="str">
        <f>+'Necesidades Trimestrales'!B48</f>
        <v>2.9.2-291.3</v>
      </c>
      <c r="C50" s="129" t="str">
        <f>+'Necesidades Trimestrales'!E48</f>
        <v>ALMOHADILLAS P/SELLOS; MEDIDA: 8 X 12 Cm, MATERIAL: PLASTICO</v>
      </c>
      <c r="D50" s="129"/>
      <c r="E50" s="129"/>
      <c r="F50" s="129"/>
      <c r="G50" s="129"/>
      <c r="H50" s="20" t="s">
        <v>197</v>
      </c>
      <c r="I50" s="20" t="str">
        <f>+'Necesidades Trimestrales'!F48</f>
        <v>UNIDAD</v>
      </c>
      <c r="J50" s="21">
        <f>+'Necesidades Trimestrales'!H48</f>
        <v>236.5</v>
      </c>
      <c r="K50" s="22">
        <f>+'Necesidades Trimestrales'!G48</f>
        <v>50</v>
      </c>
    </row>
    <row r="51" spans="1:11" ht="29.25" customHeight="1" x14ac:dyDescent="0.25">
      <c r="A51" s="19">
        <f>+'Necesidades Trimestrales'!A49</f>
        <v>40</v>
      </c>
      <c r="B51" s="20" t="str">
        <f>+'Necesidades Trimestrales'!B49</f>
        <v>2.9.2-317.1</v>
      </c>
      <c r="C51" s="129" t="str">
        <f>+'Necesidades Trimestrales'!E49</f>
        <v>BOLIGRAFOS; COLOR TINTA: AZUL, TRAZO: 0,7 mm</v>
      </c>
      <c r="D51" s="129"/>
      <c r="E51" s="129"/>
      <c r="F51" s="129"/>
      <c r="G51" s="129"/>
      <c r="H51" s="20" t="s">
        <v>197</v>
      </c>
      <c r="I51" s="20" t="str">
        <f>+'Necesidades Trimestrales'!F49</f>
        <v>UNIDAD</v>
      </c>
      <c r="J51" s="21">
        <f>+'Necesidades Trimestrales'!H49</f>
        <v>27.74</v>
      </c>
      <c r="K51" s="22">
        <f>+'Necesidades Trimestrales'!G49</f>
        <v>400</v>
      </c>
    </row>
    <row r="52" spans="1:11" ht="29.25" customHeight="1" x14ac:dyDescent="0.25">
      <c r="A52" s="19">
        <f>+'Necesidades Trimestrales'!A50</f>
        <v>41</v>
      </c>
      <c r="B52" s="20" t="str">
        <f>+'Necesidades Trimestrales'!B50</f>
        <v>2.9.2-317.21</v>
      </c>
      <c r="C52" s="129" t="str">
        <f>+'Necesidades Trimestrales'!E50</f>
        <v>BOLIGRAFOS; TRAZO: 0,1 mm, COLOR TINTA: AZUL</v>
      </c>
      <c r="D52" s="129"/>
      <c r="E52" s="129"/>
      <c r="F52" s="129"/>
      <c r="G52" s="129"/>
      <c r="H52" s="20" t="s">
        <v>197</v>
      </c>
      <c r="I52" s="20" t="str">
        <f>+'Necesidades Trimestrales'!F50</f>
        <v>UNIDAD</v>
      </c>
      <c r="J52" s="21">
        <f>+'Necesidades Trimestrales'!H50</f>
        <v>65.06</v>
      </c>
      <c r="K52" s="22">
        <f>+'Necesidades Trimestrales'!G50</f>
        <v>400</v>
      </c>
    </row>
    <row r="53" spans="1:11" ht="29.25" customHeight="1" x14ac:dyDescent="0.25">
      <c r="A53" s="19">
        <f>+'Necesidades Trimestrales'!A51</f>
        <v>42</v>
      </c>
      <c r="B53" s="20" t="str">
        <f>+'Necesidades Trimestrales'!B51</f>
        <v>2.9.2-317.17</v>
      </c>
      <c r="C53" s="129" t="str">
        <f>+'Necesidades Trimestrales'!E51</f>
        <v>BOLIGRAFOS; TRAZO: GRUESO, COLOR TINTA: NEGRO</v>
      </c>
      <c r="D53" s="129"/>
      <c r="E53" s="129"/>
      <c r="F53" s="129"/>
      <c r="G53" s="129"/>
      <c r="H53" s="20" t="s">
        <v>197</v>
      </c>
      <c r="I53" s="20" t="str">
        <f>+'Necesidades Trimestrales'!F51</f>
        <v>UNIDAD</v>
      </c>
      <c r="J53" s="21">
        <f>+'Necesidades Trimestrales'!H51</f>
        <v>27.74</v>
      </c>
      <c r="K53" s="22">
        <f>+'Necesidades Trimestrales'!G51</f>
        <v>740</v>
      </c>
    </row>
    <row r="54" spans="1:11" ht="29.25" customHeight="1" x14ac:dyDescent="0.25">
      <c r="A54" s="19">
        <f>+'Necesidades Trimestrales'!A52</f>
        <v>43</v>
      </c>
      <c r="B54" s="20" t="str">
        <f>+'Necesidades Trimestrales'!B52</f>
        <v>2.9.2-323.4</v>
      </c>
      <c r="C54" s="129" t="str">
        <f>+'Necesidades Trimestrales'!E52</f>
        <v>CORRECTORES DE ESCRITURA; CAPACIDAD: 7 mL, ENVASE: LAPIZ (PUNTA METAL), PRESENTACION: LAPIZ (PUNTA METAL) X 7 mL</v>
      </c>
      <c r="D54" s="129"/>
      <c r="E54" s="129"/>
      <c r="F54" s="129"/>
      <c r="G54" s="129"/>
      <c r="H54" s="20" t="s">
        <v>197</v>
      </c>
      <c r="I54" s="20" t="str">
        <f>+'Necesidades Trimestrales'!F52</f>
        <v>UNIDAD</v>
      </c>
      <c r="J54" s="21">
        <f>+'Necesidades Trimestrales'!H52</f>
        <v>80</v>
      </c>
      <c r="K54" s="22">
        <f>+'Necesidades Trimestrales'!G52</f>
        <v>190</v>
      </c>
    </row>
    <row r="55" spans="1:11" ht="29.25" customHeight="1" x14ac:dyDescent="0.25">
      <c r="A55" s="19">
        <f>+'Necesidades Trimestrales'!A53</f>
        <v>44</v>
      </c>
      <c r="B55" s="20" t="str">
        <f>+'Necesidades Trimestrales'!B53</f>
        <v>2.9.2-4984.5</v>
      </c>
      <c r="C55" s="129" t="str">
        <f>+'Necesidades Trimestrales'!E53</f>
        <v>LAPICERAS ESTILOGRAFICAS; TIPO: TRAZO FINO, MATERIAL: PLASTICO Y METAL  , RECARGABLE: NO</v>
      </c>
      <c r="D55" s="129"/>
      <c r="E55" s="129"/>
      <c r="F55" s="129"/>
      <c r="G55" s="129"/>
      <c r="H55" s="20" t="s">
        <v>197</v>
      </c>
      <c r="I55" s="20" t="str">
        <f>+'Necesidades Trimestrales'!F53</f>
        <v>UNIDAD</v>
      </c>
      <c r="J55" s="21">
        <f>+'Necesidades Trimestrales'!H53</f>
        <v>375</v>
      </c>
      <c r="K55" s="22">
        <f>+'Necesidades Trimestrales'!G53</f>
        <v>50</v>
      </c>
    </row>
    <row r="56" spans="1:11" ht="29.25" customHeight="1" x14ac:dyDescent="0.25">
      <c r="A56" s="19">
        <f>+'Necesidades Trimestrales'!A54</f>
        <v>45</v>
      </c>
      <c r="B56" s="20" t="str">
        <f>+'Necesidades Trimestrales'!B54</f>
        <v>2.9.2-660.10</v>
      </c>
      <c r="C56" s="129" t="str">
        <f>+'Necesidades Trimestrales'!E54</f>
        <v>CLIPS P/PAPEL; CANT. X CAJA: 50, NUMERO: 6, MATERIAL: METAL, PRESENTACION: CAJA X 50</v>
      </c>
      <c r="D56" s="129"/>
      <c r="E56" s="129"/>
      <c r="F56" s="129"/>
      <c r="G56" s="129"/>
      <c r="H56" s="20" t="s">
        <v>197</v>
      </c>
      <c r="I56" s="20" t="str">
        <f>+'Necesidades Trimestrales'!F54</f>
        <v>UNIDAD</v>
      </c>
      <c r="J56" s="21">
        <f>+'Necesidades Trimestrales'!H54</f>
        <v>105</v>
      </c>
      <c r="K56" s="22">
        <f>+'Necesidades Trimestrales'!G54</f>
        <v>30</v>
      </c>
    </row>
    <row r="57" spans="1:11" ht="29.25" customHeight="1" x14ac:dyDescent="0.25">
      <c r="A57" s="19">
        <f>+'Necesidades Trimestrales'!A55</f>
        <v>46</v>
      </c>
      <c r="B57" s="20" t="str">
        <f>+'Necesidades Trimestrales'!B55</f>
        <v>2.9.2-674.9</v>
      </c>
      <c r="C57" s="129" t="str">
        <f>+'Necesidades Trimestrales'!E55</f>
        <v>REGLAS GRADUADAS; TIPO: PLANA, MATERIAL: PLASTICO, LONG.DE CUERPO: 30 Cm</v>
      </c>
      <c r="D57" s="129"/>
      <c r="E57" s="129"/>
      <c r="F57" s="129"/>
      <c r="G57" s="129"/>
      <c r="H57" s="20" t="s">
        <v>197</v>
      </c>
      <c r="I57" s="20" t="str">
        <f>+'Necesidades Trimestrales'!F55</f>
        <v>UNIDAD</v>
      </c>
      <c r="J57" s="21">
        <f>+'Necesidades Trimestrales'!H55</f>
        <v>34.369999999999997</v>
      </c>
      <c r="K57" s="22">
        <f>+'Necesidades Trimestrales'!G55</f>
        <v>60</v>
      </c>
    </row>
    <row r="58" spans="1:11" ht="29.25" customHeight="1" x14ac:dyDescent="0.25">
      <c r="A58" s="19">
        <f>+'Necesidades Trimestrales'!A56</f>
        <v>47</v>
      </c>
      <c r="B58" s="20" t="str">
        <f>+'Necesidades Trimestrales'!B56</f>
        <v>2.9.2-700.2</v>
      </c>
      <c r="C58" s="129" t="str">
        <f>+'Necesidades Trimestrales'!E56</f>
        <v>BROCHES P/ABROCHADORA; NUMERO: 21/6, PRESENTACION: CAJA X 1000 UNIDADES</v>
      </c>
      <c r="D58" s="129"/>
      <c r="E58" s="129"/>
      <c r="F58" s="129"/>
      <c r="G58" s="129"/>
      <c r="H58" s="20" t="s">
        <v>197</v>
      </c>
      <c r="I58" s="20" t="str">
        <f>+'Necesidades Trimestrales'!F56</f>
        <v>UNIDAD</v>
      </c>
      <c r="J58" s="21">
        <f>+'Necesidades Trimestrales'!H56</f>
        <v>45.94</v>
      </c>
      <c r="K58" s="22">
        <f>+'Necesidades Trimestrales'!G56</f>
        <v>20</v>
      </c>
    </row>
    <row r="59" spans="1:11" ht="29.25" customHeight="1" x14ac:dyDescent="0.25">
      <c r="A59" s="19">
        <f>+'Necesidades Trimestrales'!A57</f>
        <v>48</v>
      </c>
      <c r="B59" s="20" t="str">
        <f>+'Necesidades Trimestrales'!B57</f>
        <v>2.9.2-700.28</v>
      </c>
      <c r="C59" s="129" t="str">
        <f>+'Necesidades Trimestrales'!E57</f>
        <v>BROCHES P/ABROCHADORA; NUMERO: 10/50, PRESENTACION: CAJA X 1000 UNIDADES</v>
      </c>
      <c r="D59" s="129"/>
      <c r="E59" s="129"/>
      <c r="F59" s="129"/>
      <c r="G59" s="129"/>
      <c r="H59" s="20" t="s">
        <v>197</v>
      </c>
      <c r="I59" s="20" t="str">
        <f>+'Necesidades Trimestrales'!F57</f>
        <v>UNIDAD</v>
      </c>
      <c r="J59" s="21">
        <f>+'Necesidades Trimestrales'!H57</f>
        <v>45.94</v>
      </c>
      <c r="K59" s="22">
        <f>+'Necesidades Trimestrales'!G57</f>
        <v>250</v>
      </c>
    </row>
    <row r="60" spans="1:11" ht="29.25" customHeight="1" x14ac:dyDescent="0.25">
      <c r="A60" s="19">
        <f>+'Necesidades Trimestrales'!A58</f>
        <v>49</v>
      </c>
      <c r="B60" s="20" t="str">
        <f>+'Necesidades Trimestrales'!B58</f>
        <v>2.9.2-700.59</v>
      </c>
      <c r="C60" s="129" t="str">
        <f>+'Necesidades Trimestrales'!E58</f>
        <v>BROCHES P/ABROCHADORA; NUMERO: 23, PRESENTACION: CAJA X 1000</v>
      </c>
      <c r="D60" s="129"/>
      <c r="E60" s="129"/>
      <c r="F60" s="129"/>
      <c r="G60" s="129"/>
      <c r="H60" s="20" t="s">
        <v>197</v>
      </c>
      <c r="I60" s="20" t="str">
        <f>+'Necesidades Trimestrales'!F58</f>
        <v>UNIDAD</v>
      </c>
      <c r="J60" s="21">
        <f>+'Necesidades Trimestrales'!H58</f>
        <v>165</v>
      </c>
      <c r="K60" s="22">
        <f>+'Necesidades Trimestrales'!G58</f>
        <v>5</v>
      </c>
    </row>
    <row r="61" spans="1:11" ht="29.25" customHeight="1" x14ac:dyDescent="0.25">
      <c r="A61" s="19">
        <f>+'Necesidades Trimestrales'!A59</f>
        <v>50</v>
      </c>
      <c r="B61" s="20" t="str">
        <f>+'Necesidades Trimestrales'!B59</f>
        <v>2.9.2-753.11</v>
      </c>
      <c r="C61" s="129" t="str">
        <f>+'Necesidades Trimestrales'!E59</f>
        <v>PORTA SELLOS; CANT. DE SELLOS: 12, MATERIAL: METAL</v>
      </c>
      <c r="D61" s="129"/>
      <c r="E61" s="129"/>
      <c r="F61" s="129"/>
      <c r="G61" s="129"/>
      <c r="H61" s="20" t="s">
        <v>197</v>
      </c>
      <c r="I61" s="20" t="str">
        <f>+'Necesidades Trimestrales'!F59</f>
        <v>UNIDAD</v>
      </c>
      <c r="J61" s="21">
        <f>+'Necesidades Trimestrales'!H59</f>
        <v>290</v>
      </c>
      <c r="K61" s="22">
        <f>+'Necesidades Trimestrales'!G59</f>
        <v>5</v>
      </c>
    </row>
    <row r="62" spans="1:11" ht="29.25" customHeight="1" x14ac:dyDescent="0.25">
      <c r="A62" s="19">
        <f>+'Necesidades Trimestrales'!A60</f>
        <v>51</v>
      </c>
      <c r="B62" s="20" t="str">
        <f>+'Necesidades Trimestrales'!B60</f>
        <v>2.9.2-758.8</v>
      </c>
      <c r="C62" s="129" t="str">
        <f>+'Necesidades Trimestrales'!E60</f>
        <v>TIJERAS P/CORTAR PAPELES; CUCHILLA: PUNTIAGUDAS, MATERIAL: ACERO BRUÑIDO, MANGO: PLASTICO, LONG.DE CUERPO: 17 Cm</v>
      </c>
      <c r="D62" s="129"/>
      <c r="E62" s="129"/>
      <c r="F62" s="129"/>
      <c r="G62" s="129"/>
      <c r="H62" s="20" t="s">
        <v>197</v>
      </c>
      <c r="I62" s="20" t="str">
        <f>+'Necesidades Trimestrales'!F60</f>
        <v>UNIDAD</v>
      </c>
      <c r="J62" s="21">
        <f>+'Necesidades Trimestrales'!H60</f>
        <v>140</v>
      </c>
      <c r="K62" s="22">
        <f>+'Necesidades Trimestrales'!G60</f>
        <v>40</v>
      </c>
    </row>
    <row r="63" spans="1:11" ht="29.25" customHeight="1" x14ac:dyDescent="0.25">
      <c r="A63" s="19">
        <f>+'Necesidades Trimestrales'!A61</f>
        <v>52</v>
      </c>
      <c r="B63" s="20" t="str">
        <f>+'Necesidades Trimestrales'!B61</f>
        <v>2.9.2-790.10</v>
      </c>
      <c r="C63" s="129" t="str">
        <f>+'Necesidades Trimestrales'!E61</f>
        <v>CUTER; ANCHO HOJA: 12 mm, MATERIAL MANGO: METAL, TIPO HOJA: MOVIL SECCIONABLE, TIPO DE HOJA: MOVIL SECCIONABLE, ANCHO DE HOJA: 12 mm</v>
      </c>
      <c r="D63" s="129"/>
      <c r="E63" s="129"/>
      <c r="F63" s="129"/>
      <c r="G63" s="129"/>
      <c r="H63" s="20" t="s">
        <v>197</v>
      </c>
      <c r="I63" s="20" t="str">
        <f>+'Necesidades Trimestrales'!F61</f>
        <v>UNIDAD</v>
      </c>
      <c r="J63" s="21">
        <f>+'Necesidades Trimestrales'!H61</f>
        <v>75</v>
      </c>
      <c r="K63" s="22">
        <f>+'Necesidades Trimestrales'!G61</f>
        <v>40</v>
      </c>
    </row>
    <row r="64" spans="1:11" ht="29.25" customHeight="1" x14ac:dyDescent="0.25">
      <c r="A64" s="19">
        <f>+'Necesidades Trimestrales'!A62</f>
        <v>53</v>
      </c>
      <c r="B64" s="20" t="str">
        <f>+'Necesidades Trimestrales'!B62</f>
        <v>2.9.2-791.9</v>
      </c>
      <c r="C64" s="129" t="str">
        <f>+'Necesidades Trimestrales'!E62</f>
        <v>TALONARIOS NOTAS AUTOADHESIVAS; MEDIDA 76 X 76mm</v>
      </c>
      <c r="D64" s="129"/>
      <c r="E64" s="129"/>
      <c r="F64" s="129"/>
      <c r="G64" s="129"/>
      <c r="H64" s="20" t="s">
        <v>197</v>
      </c>
      <c r="I64" s="20" t="str">
        <f>+'Necesidades Trimestrales'!F62</f>
        <v>UNIDAD</v>
      </c>
      <c r="J64" s="21">
        <f>+'Necesidades Trimestrales'!H62</f>
        <v>179</v>
      </c>
      <c r="K64" s="22">
        <f>+'Necesidades Trimestrales'!G62</f>
        <v>150</v>
      </c>
    </row>
    <row r="65" spans="1:11" ht="29.25" customHeight="1" x14ac:dyDescent="0.25">
      <c r="A65" s="19">
        <f>+'Necesidades Trimestrales'!A63</f>
        <v>54</v>
      </c>
      <c r="B65" s="20" t="str">
        <f>+'Necesidades Trimestrales'!B63</f>
        <v>2.9.2-844.13</v>
      </c>
      <c r="C65" s="129" t="str">
        <f>+'Necesidades Trimestrales'!E63</f>
        <v>PORTA CINTA ADHESIVA; MATERIAL: PLASTICO, ROLLO: 50 M, MEDIDA: 50 M</v>
      </c>
      <c r="D65" s="129"/>
      <c r="E65" s="129"/>
      <c r="F65" s="129"/>
      <c r="G65" s="129"/>
      <c r="H65" s="20" t="s">
        <v>197</v>
      </c>
      <c r="I65" s="20" t="str">
        <f>+'Necesidades Trimestrales'!F63</f>
        <v>UNIDAD</v>
      </c>
      <c r="J65" s="21">
        <f>+'Necesidades Trimestrales'!H63</f>
        <v>439</v>
      </c>
      <c r="K65" s="22">
        <f>+'Necesidades Trimestrales'!G63</f>
        <v>20</v>
      </c>
    </row>
    <row r="66" spans="1:11" ht="29.25" customHeight="1" x14ac:dyDescent="0.25">
      <c r="A66" s="19">
        <f>+'Necesidades Trimestrales'!A64</f>
        <v>55</v>
      </c>
      <c r="B66" s="20" t="str">
        <f>+'Necesidades Trimestrales'!B64</f>
        <v>2.9.2-848.20</v>
      </c>
      <c r="C66" s="129" t="str">
        <f>+'Necesidades Trimestrales'!E64</f>
        <v>LAPIZ; TIPO: 2HB, COLOR: NEGRO</v>
      </c>
      <c r="D66" s="129"/>
      <c r="E66" s="129"/>
      <c r="F66" s="129"/>
      <c r="G66" s="129"/>
      <c r="H66" s="20" t="s">
        <v>197</v>
      </c>
      <c r="I66" s="20" t="str">
        <f>+'Necesidades Trimestrales'!F64</f>
        <v>UNIDAD</v>
      </c>
      <c r="J66" s="21">
        <f>+'Necesidades Trimestrales'!H64</f>
        <v>42</v>
      </c>
      <c r="K66" s="22">
        <f>+'Necesidades Trimestrales'!G64</f>
        <v>120</v>
      </c>
    </row>
    <row r="67" spans="1:11" ht="29.25" customHeight="1" x14ac:dyDescent="0.25">
      <c r="A67" s="19">
        <f>+'Necesidades Trimestrales'!A65</f>
        <v>56</v>
      </c>
      <c r="B67" s="20" t="str">
        <f>+'Necesidades Trimestrales'!B65</f>
        <v>2.9.2-848.22</v>
      </c>
      <c r="C67" s="129" t="str">
        <f>+'Necesidades Trimestrales'!E65</f>
        <v>LAPIZ; TIPO: CON GOMA, COLOR: NEGRO</v>
      </c>
      <c r="D67" s="129"/>
      <c r="E67" s="129"/>
      <c r="F67" s="129"/>
      <c r="G67" s="129"/>
      <c r="H67" s="20" t="s">
        <v>197</v>
      </c>
      <c r="I67" s="20" t="str">
        <f>+'Necesidades Trimestrales'!F65</f>
        <v>UNIDAD</v>
      </c>
      <c r="J67" s="21">
        <f>+'Necesidades Trimestrales'!H65</f>
        <v>130</v>
      </c>
      <c r="K67" s="22">
        <f>+'Necesidades Trimestrales'!G65</f>
        <v>50</v>
      </c>
    </row>
    <row r="68" spans="1:11" ht="29.25" customHeight="1" x14ac:dyDescent="0.25">
      <c r="A68" s="19">
        <f>+'Necesidades Trimestrales'!A66</f>
        <v>57</v>
      </c>
      <c r="B68" s="20" t="str">
        <f>+'Necesidades Trimestrales'!B66</f>
        <v>2.9.2-661.11</v>
      </c>
      <c r="C68" s="129" t="str">
        <f>+'Necesidades Trimestrales'!E66</f>
        <v>GOMAS DE BORRAR; USO: LAPIZ Y TINTA, CANT. X CAJA: 36, DIMENSION: 4 X 1 X 1 Cm, MATERIAL: PLASTICO, PRESENTACION: CAJA X 36</v>
      </c>
      <c r="D68" s="129"/>
      <c r="E68" s="129"/>
      <c r="F68" s="129"/>
      <c r="G68" s="129"/>
      <c r="H68" s="20" t="s">
        <v>197</v>
      </c>
      <c r="I68" s="20" t="str">
        <f>+'Necesidades Trimestrales'!F66</f>
        <v>UNIDAD</v>
      </c>
      <c r="J68" s="21">
        <f>+'Necesidades Trimestrales'!H66</f>
        <v>964</v>
      </c>
      <c r="K68" s="22">
        <f>+'Necesidades Trimestrales'!G66</f>
        <v>5</v>
      </c>
    </row>
    <row r="69" spans="1:11" ht="29.25" customHeight="1" x14ac:dyDescent="0.25">
      <c r="A69" s="19">
        <f>+'Necesidades Trimestrales'!A67</f>
        <v>58</v>
      </c>
      <c r="B69" s="20" t="str">
        <f>+'Necesidades Trimestrales'!B67</f>
        <v>2.9.2-850.1</v>
      </c>
      <c r="C69" s="129" t="str">
        <f>+'Necesidades Trimestrales'!E67</f>
        <v>CAJAS DE ARCHIVO; DIMENSION: 26.5 X 38 X 9 Cm, COLOR: AZUL, MATERIAL: PLASTICO</v>
      </c>
      <c r="D69" s="129"/>
      <c r="E69" s="129"/>
      <c r="F69" s="129"/>
      <c r="G69" s="129"/>
      <c r="H69" s="20" t="s">
        <v>197</v>
      </c>
      <c r="I69" s="20" t="str">
        <f>+'Necesidades Trimestrales'!F67</f>
        <v>UNIDAD</v>
      </c>
      <c r="J69" s="21">
        <f>+'Necesidades Trimestrales'!H67</f>
        <v>279</v>
      </c>
      <c r="K69" s="22">
        <f>+'Necesidades Trimestrales'!G67</f>
        <v>100</v>
      </c>
    </row>
    <row r="70" spans="1:11" ht="29.25" customHeight="1" x14ac:dyDescent="0.25">
      <c r="A70" s="19">
        <f>+'Necesidades Trimestrales'!A68</f>
        <v>59</v>
      </c>
      <c r="B70" s="20" t="str">
        <f>+'Necesidades Trimestrales'!B68</f>
        <v>2.9.2-853.17</v>
      </c>
      <c r="C70" s="129" t="str">
        <f>+'Necesidades Trimestrales'!E68</f>
        <v>BROCHES P/EXPEDIENTE; TIPO: MARIPOSA, LONG.DE CUERPO: 65 mm</v>
      </c>
      <c r="D70" s="129"/>
      <c r="E70" s="129"/>
      <c r="F70" s="129"/>
      <c r="G70" s="129"/>
      <c r="H70" s="20" t="s">
        <v>197</v>
      </c>
      <c r="I70" s="20" t="str">
        <f>+'Necesidades Trimestrales'!F68</f>
        <v>UNIDAD</v>
      </c>
      <c r="J70" s="21">
        <f>+'Necesidades Trimestrales'!H68</f>
        <v>300</v>
      </c>
      <c r="K70" s="22">
        <f>+'Necesidades Trimestrales'!G68</f>
        <v>20</v>
      </c>
    </row>
    <row r="71" spans="1:11" ht="29.25" customHeight="1" x14ac:dyDescent="0.25">
      <c r="A71" s="19">
        <f>+'Necesidades Trimestrales'!A69</f>
        <v>60</v>
      </c>
      <c r="B71" s="20" t="str">
        <f>+'Necesidades Trimestrales'!B69</f>
        <v>2.9.2-853.30</v>
      </c>
      <c r="C71" s="129" t="str">
        <f>+'Necesidades Trimestrales'!E69</f>
        <v>BROCHES P/EXPEDIENTE; TIPO: MARIPOSA, LONG.DE CUERPO: 25 mm</v>
      </c>
      <c r="D71" s="129"/>
      <c r="E71" s="129"/>
      <c r="F71" s="129"/>
      <c r="G71" s="129"/>
      <c r="H71" s="20" t="s">
        <v>197</v>
      </c>
      <c r="I71" s="20" t="str">
        <f>+'Necesidades Trimestrales'!F69</f>
        <v>UNIDAD</v>
      </c>
      <c r="J71" s="21">
        <f>+'Necesidades Trimestrales'!H69</f>
        <v>70</v>
      </c>
      <c r="K71" s="22">
        <f>+'Necesidades Trimestrales'!G69</f>
        <v>20</v>
      </c>
    </row>
    <row r="72" spans="1:11" ht="29.25" customHeight="1" x14ac:dyDescent="0.25">
      <c r="A72" s="19">
        <f>+'Necesidades Trimestrales'!A70</f>
        <v>61</v>
      </c>
      <c r="B72" s="20" t="str">
        <f>+'Necesidades Trimestrales'!B70</f>
        <v>2.9.2-853.31</v>
      </c>
      <c r="C72" s="129" t="str">
        <f>+'Necesidades Trimestrales'!E70</f>
        <v>BROCHES P/EXPEDIENTE; TIPO: MARIPOSA, LONG.DE CUERPO: 75 mm</v>
      </c>
      <c r="D72" s="129"/>
      <c r="E72" s="129"/>
      <c r="F72" s="129"/>
      <c r="G72" s="129"/>
      <c r="H72" s="20" t="s">
        <v>197</v>
      </c>
      <c r="I72" s="20" t="str">
        <f>+'Necesidades Trimestrales'!F70</f>
        <v>UNIDAD</v>
      </c>
      <c r="J72" s="21">
        <f>+'Necesidades Trimestrales'!H70</f>
        <v>385</v>
      </c>
      <c r="K72" s="22">
        <f>+'Necesidades Trimestrales'!G70</f>
        <v>20</v>
      </c>
    </row>
    <row r="73" spans="1:11" ht="40.5" customHeight="1" x14ac:dyDescent="0.25">
      <c r="A73" s="19">
        <f>+'Necesidades Trimestrales'!A71</f>
        <v>62</v>
      </c>
      <c r="B73" s="20" t="str">
        <f>+'Necesidades Trimestrales'!B71</f>
        <v>2.9.2-858.7</v>
      </c>
      <c r="C73" s="129" t="str">
        <f>+'Necesidades Trimestrales'!E71</f>
        <v>PERFORADORAS; DIST. ENTRE AGUJ.: FIJO, N° PERFORACIONES: 2, MATERIAL ESTRUCTURA: FUNDICION HIERRO BASE MADERA, GUIA POSICION PAPEL: CON, TAMAÑO: GRANDE, MATERIAL: FUNDICION HIERRO BASE MADERA</v>
      </c>
      <c r="D73" s="129"/>
      <c r="E73" s="129"/>
      <c r="F73" s="129"/>
      <c r="G73" s="129"/>
      <c r="H73" s="20" t="s">
        <v>197</v>
      </c>
      <c r="I73" s="20" t="str">
        <f>+'Necesidades Trimestrales'!F71</f>
        <v>UNIDAD</v>
      </c>
      <c r="J73" s="21">
        <f>+'Necesidades Trimestrales'!H71</f>
        <v>1720</v>
      </c>
      <c r="K73" s="22">
        <f>+'Necesidades Trimestrales'!G71</f>
        <v>30</v>
      </c>
    </row>
    <row r="74" spans="1:11" ht="29.25" customHeight="1" x14ac:dyDescent="0.25">
      <c r="A74" s="19">
        <f>+'Necesidades Trimestrales'!A72</f>
        <v>63</v>
      </c>
      <c r="B74" s="20" t="str">
        <f>+'Necesidades Trimestrales'!B72</f>
        <v>2.9.2-866.4</v>
      </c>
      <c r="C74" s="129" t="str">
        <f>+'Necesidades Trimestrales'!E72</f>
        <v>MAQUINAS SACABROCHES; EXTRACTOR: ACERO INOXIDABLE, MATERIAL: PLASTICO</v>
      </c>
      <c r="D74" s="129"/>
      <c r="E74" s="129"/>
      <c r="F74" s="129"/>
      <c r="G74" s="129"/>
      <c r="H74" s="20" t="s">
        <v>197</v>
      </c>
      <c r="I74" s="20" t="str">
        <f>+'Necesidades Trimestrales'!F72</f>
        <v>UNIDAD</v>
      </c>
      <c r="J74" s="21">
        <f>+'Necesidades Trimestrales'!H72</f>
        <v>135</v>
      </c>
      <c r="K74" s="22">
        <f>+'Necesidades Trimestrales'!G72</f>
        <v>40</v>
      </c>
    </row>
    <row r="75" spans="1:11" ht="29.25" customHeight="1" x14ac:dyDescent="0.25">
      <c r="A75" s="19">
        <f>+'Necesidades Trimestrales'!A73</f>
        <v>64</v>
      </c>
      <c r="B75" s="20" t="str">
        <f>+'Necesidades Trimestrales'!B73</f>
        <v>2.3.3-4360.2</v>
      </c>
      <c r="C75" s="129" t="str">
        <f>+'Necesidades Trimestrales'!E73</f>
        <v>LIBROS NOVEDADES DE GUARDIA; TAPA: CARTON, COLOR: NEGRO, NUMERO DE HOJAS: 200, CANT. DE HOJAS: 200</v>
      </c>
      <c r="D75" s="129"/>
      <c r="E75" s="129"/>
      <c r="F75" s="129"/>
      <c r="G75" s="129"/>
      <c r="H75" s="20" t="s">
        <v>26</v>
      </c>
      <c r="I75" s="20" t="str">
        <f>+'Necesidades Trimestrales'!F73</f>
        <v>UNIDAD</v>
      </c>
      <c r="J75" s="21">
        <f>+'Necesidades Trimestrales'!H73</f>
        <v>267.60000000000002</v>
      </c>
      <c r="K75" s="22">
        <f>+'Necesidades Trimestrales'!G73</f>
        <v>40</v>
      </c>
    </row>
    <row r="76" spans="1:11" ht="29.25" customHeight="1" x14ac:dyDescent="0.25">
      <c r="A76" s="19">
        <f>+'Necesidades Trimestrales'!A74</f>
        <v>65</v>
      </c>
      <c r="B76" s="20" t="str">
        <f>+'Necesidades Trimestrales'!B74</f>
        <v>2.3.1-928.8</v>
      </c>
      <c r="C76" s="129" t="str">
        <f>+'Necesidades Trimestrales'!E74</f>
        <v>ARANDELAS DE CARTON; DIAMETRO: 1 pulg, PRESENTACION: CAJA X 500 UNIDADES</v>
      </c>
      <c r="D76" s="129"/>
      <c r="E76" s="129"/>
      <c r="F76" s="129"/>
      <c r="G76" s="129"/>
      <c r="H76" s="20" t="s">
        <v>197</v>
      </c>
      <c r="I76" s="20" t="str">
        <f>+'Necesidades Trimestrales'!F74</f>
        <v>UNIDAD</v>
      </c>
      <c r="J76" s="21">
        <f>+'Necesidades Trimestrales'!H74</f>
        <v>371.86</v>
      </c>
      <c r="K76" s="22">
        <f>+'Necesidades Trimestrales'!G74</f>
        <v>10</v>
      </c>
    </row>
    <row r="77" spans="1:11" ht="29.25" customHeight="1" thickBot="1" x14ac:dyDescent="0.3">
      <c r="A77" s="19">
        <f>+'Necesidades Trimestrales'!A75</f>
        <v>66</v>
      </c>
      <c r="B77" s="20" t="str">
        <f>+'Necesidades Trimestrales'!B75</f>
        <v>2.9.2-873.1</v>
      </c>
      <c r="C77" s="129" t="str">
        <f>+'Necesidades Trimestrales'!E75</f>
        <v>PINCHES P/PAPELES; ALTURA 125mm - BASE METAL</v>
      </c>
      <c r="D77" s="129"/>
      <c r="E77" s="129"/>
      <c r="F77" s="129"/>
      <c r="G77" s="129"/>
      <c r="H77" s="20" t="s">
        <v>197</v>
      </c>
      <c r="I77" s="20" t="str">
        <f>+'Necesidades Trimestrales'!F75</f>
        <v>UNIDAD</v>
      </c>
      <c r="J77" s="21">
        <f>+'Necesidades Trimestrales'!H75</f>
        <v>120</v>
      </c>
      <c r="K77" s="22">
        <f>+'Necesidades Trimestrales'!G75</f>
        <v>20</v>
      </c>
    </row>
    <row r="78" spans="1:11" ht="30.75" customHeight="1" thickBot="1" x14ac:dyDescent="0.3">
      <c r="A78" s="139" t="str">
        <f>+'Necesidades Trimestrales'!A76:E76</f>
        <v>COSTO TOTAL ESTIMADO: SON PESOS UN MILLON CUARENTA Y SEIS MIL SEISCIENTOS NOVENTA Y CUATRO CON 16/100</v>
      </c>
      <c r="B78" s="140"/>
      <c r="C78" s="140"/>
      <c r="D78" s="140"/>
      <c r="E78" s="140"/>
      <c r="F78" s="140"/>
      <c r="G78" s="140"/>
      <c r="H78" s="140"/>
      <c r="I78" s="141"/>
      <c r="J78" s="138">
        <f>SUMPRODUCT(J12:J77,K12:K77)</f>
        <v>1046694.16</v>
      </c>
      <c r="K78" s="138"/>
    </row>
  </sheetData>
  <mergeCells count="88">
    <mergeCell ref="J78:K78"/>
    <mergeCell ref="A78:I78"/>
    <mergeCell ref="B10:B11"/>
    <mergeCell ref="C10:G11"/>
    <mergeCell ref="H10:H11"/>
    <mergeCell ref="I10:I11"/>
    <mergeCell ref="J10:J11"/>
    <mergeCell ref="C77:G77"/>
    <mergeCell ref="C76:G76"/>
    <mergeCell ref="C72:G72"/>
    <mergeCell ref="C73:G73"/>
    <mergeCell ref="C68:G68"/>
    <mergeCell ref="C69:G69"/>
    <mergeCell ref="C70:G70"/>
    <mergeCell ref="C71:G71"/>
    <mergeCell ref="C60:G60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C61:G61"/>
    <mergeCell ref="C62:G62"/>
    <mergeCell ref="C63:G63"/>
    <mergeCell ref="C64:G64"/>
    <mergeCell ref="C65:G65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22:G22"/>
    <mergeCell ref="C23:G23"/>
    <mergeCell ref="C24:G24"/>
    <mergeCell ref="C25:G25"/>
    <mergeCell ref="C58:G58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C26:G26"/>
    <mergeCell ref="C27:G27"/>
    <mergeCell ref="C74:G74"/>
    <mergeCell ref="C75:G75"/>
    <mergeCell ref="C42:G42"/>
    <mergeCell ref="C43:G43"/>
    <mergeCell ref="C59:G59"/>
    <mergeCell ref="C39:G39"/>
    <mergeCell ref="C40:G40"/>
    <mergeCell ref="C41:G41"/>
    <mergeCell ref="C66:G66"/>
    <mergeCell ref="C67:G67"/>
    <mergeCell ref="C44:G44"/>
    <mergeCell ref="C45:G45"/>
    <mergeCell ref="C46:G46"/>
    <mergeCell ref="C47:G4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zoomScale="115" zoomScaleNormal="115" workbookViewId="0">
      <selection activeCell="G7" sqref="G7:Q7"/>
    </sheetView>
  </sheetViews>
  <sheetFormatPr baseColWidth="10" defaultColWidth="11" defaultRowHeight="13.5" x14ac:dyDescent="0.25"/>
  <cols>
    <col min="1" max="5" width="4.42578125" style="1" customWidth="1"/>
    <col min="6" max="6" width="5.570312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7.28515625" style="1" customWidth="1"/>
    <col min="18" max="18" width="11" style="1"/>
    <col min="19" max="19" width="16.42578125" style="1" customWidth="1"/>
    <col min="20" max="16384" width="11" style="1"/>
  </cols>
  <sheetData>
    <row r="1" spans="1:19" ht="15.75" customHeight="1" thickBot="1" x14ac:dyDescent="0.3">
      <c r="A1" s="160" t="s">
        <v>3</v>
      </c>
      <c r="B1" s="161"/>
      <c r="C1" s="161"/>
      <c r="D1" s="162">
        <f>'Necesidades Trimestrales'!C6</f>
        <v>2021</v>
      </c>
      <c r="E1" s="163"/>
      <c r="F1" s="3"/>
      <c r="G1" s="3"/>
      <c r="H1" s="4"/>
      <c r="I1" s="4"/>
      <c r="J1" s="4"/>
      <c r="K1" s="4"/>
      <c r="L1" s="4"/>
      <c r="M1" s="4"/>
      <c r="N1" s="4"/>
      <c r="P1" s="164" t="s">
        <v>27</v>
      </c>
      <c r="Q1" s="165"/>
    </row>
    <row r="2" spans="1:19" ht="15.75" customHeight="1" thickBot="1" x14ac:dyDescent="0.3">
      <c r="H2" s="4"/>
      <c r="I2" s="4"/>
      <c r="J2" s="4"/>
      <c r="K2" s="4"/>
      <c r="L2" s="4"/>
      <c r="M2" s="4"/>
      <c r="N2" s="4"/>
      <c r="P2" s="166"/>
      <c r="Q2" s="167"/>
    </row>
    <row r="3" spans="1:19" ht="14.25" thickBot="1" x14ac:dyDescent="0.3"/>
    <row r="4" spans="1:19" ht="18" customHeight="1" thickBot="1" x14ac:dyDescent="0.35">
      <c r="A4" s="168" t="s">
        <v>28</v>
      </c>
      <c r="B4" s="169"/>
      <c r="C4" s="169"/>
      <c r="D4" s="169"/>
      <c r="E4" s="169"/>
      <c r="F4" s="170"/>
      <c r="G4" s="154" t="str">
        <f>' NotaPedido'!D3</f>
        <v>12 -Ministerio de Trabajo y Recursos Humanos</v>
      </c>
      <c r="H4" s="155"/>
      <c r="I4" s="155"/>
      <c r="J4" s="155"/>
      <c r="K4" s="155"/>
      <c r="L4" s="155"/>
      <c r="M4" s="155"/>
      <c r="N4" s="155"/>
      <c r="O4" s="155"/>
      <c r="P4" s="155"/>
      <c r="Q4" s="156"/>
    </row>
    <row r="5" spans="1:19" ht="18" customHeight="1" thickBot="1" x14ac:dyDescent="0.35">
      <c r="A5" s="151" t="s">
        <v>50</v>
      </c>
      <c r="B5" s="152"/>
      <c r="C5" s="152"/>
      <c r="D5" s="152"/>
      <c r="E5" s="152"/>
      <c r="F5" s="153"/>
      <c r="G5" s="154" t="str">
        <f>' NotaPedido'!D4</f>
        <v>22 - Secretaria de Administración del Ministerio de Trabajo y Recursos Humanos</v>
      </c>
      <c r="H5" s="155"/>
      <c r="I5" s="155"/>
      <c r="J5" s="155"/>
      <c r="K5" s="155"/>
      <c r="L5" s="155"/>
      <c r="M5" s="155"/>
      <c r="N5" s="155"/>
      <c r="O5" s="155"/>
      <c r="P5" s="155"/>
      <c r="Q5" s="156"/>
    </row>
    <row r="6" spans="1:19" ht="18" customHeight="1" thickBot="1" x14ac:dyDescent="0.35">
      <c r="A6" s="151" t="s">
        <v>29</v>
      </c>
      <c r="B6" s="152"/>
      <c r="C6" s="152"/>
      <c r="D6" s="152"/>
      <c r="E6" s="152"/>
      <c r="F6" s="153"/>
      <c r="G6" s="154" t="s">
        <v>57</v>
      </c>
      <c r="H6" s="155"/>
      <c r="I6" s="155"/>
      <c r="J6" s="155"/>
      <c r="K6" s="155"/>
      <c r="L6" s="155"/>
      <c r="M6" s="155"/>
      <c r="N6" s="155"/>
      <c r="O6" s="155"/>
      <c r="P6" s="155"/>
      <c r="Q6" s="156"/>
    </row>
    <row r="7" spans="1:19" ht="18" customHeight="1" thickBot="1" x14ac:dyDescent="0.35">
      <c r="A7" s="151" t="s">
        <v>51</v>
      </c>
      <c r="B7" s="152"/>
      <c r="C7" s="152"/>
      <c r="D7" s="152"/>
      <c r="E7" s="152"/>
      <c r="F7" s="153"/>
      <c r="G7" s="154" t="str">
        <f>' NotaPedido'!D6</f>
        <v xml:space="preserve">Secretaria de Administracion </v>
      </c>
      <c r="H7" s="155"/>
      <c r="I7" s="155"/>
      <c r="J7" s="155"/>
      <c r="K7" s="155"/>
      <c r="L7" s="155"/>
      <c r="M7" s="155"/>
      <c r="N7" s="155"/>
      <c r="O7" s="155"/>
      <c r="P7" s="155"/>
      <c r="Q7" s="156"/>
    </row>
    <row r="8" spans="1:19" ht="18" customHeight="1" thickBot="1" x14ac:dyDescent="0.3">
      <c r="A8" s="157" t="s">
        <v>53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</row>
    <row r="9" spans="1:19" ht="18" customHeight="1" x14ac:dyDescent="0.3">
      <c r="A9" s="143" t="s">
        <v>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2"/>
      <c r="P9" s="2"/>
      <c r="Q9" s="6"/>
    </row>
    <row r="10" spans="1:19" ht="65.25" customHeight="1" x14ac:dyDescent="0.25">
      <c r="A10" s="14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006/2021,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9" ht="9" customHeight="1" thickBot="1" x14ac:dyDescent="0.3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3">
      <c r="A12" s="148" t="s">
        <v>31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50"/>
    </row>
    <row r="13" spans="1:19" ht="15.75" customHeight="1" thickBot="1" x14ac:dyDescent="0.3">
      <c r="A13" s="171" t="s">
        <v>32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3"/>
      <c r="O13" s="174" t="s">
        <v>33</v>
      </c>
      <c r="P13" s="175"/>
      <c r="Q13" s="178" t="s">
        <v>34</v>
      </c>
    </row>
    <row r="14" spans="1:19" ht="15.75" customHeight="1" thickBot="1" x14ac:dyDescent="0.3">
      <c r="A14" s="111" t="s">
        <v>35</v>
      </c>
      <c r="B14" s="112" t="s">
        <v>36</v>
      </c>
      <c r="C14" s="112" t="s">
        <v>37</v>
      </c>
      <c r="D14" s="112" t="s">
        <v>38</v>
      </c>
      <c r="E14" s="112" t="s">
        <v>39</v>
      </c>
      <c r="F14" s="112" t="s">
        <v>40</v>
      </c>
      <c r="G14" s="113" t="s">
        <v>41</v>
      </c>
      <c r="H14" s="112" t="s">
        <v>42</v>
      </c>
      <c r="I14" s="112" t="s">
        <v>43</v>
      </c>
      <c r="J14" s="112" t="s">
        <v>44</v>
      </c>
      <c r="K14" s="112" t="s">
        <v>44</v>
      </c>
      <c r="L14" s="112" t="s">
        <v>45</v>
      </c>
      <c r="M14" s="114" t="s">
        <v>46</v>
      </c>
      <c r="N14" s="115" t="s">
        <v>47</v>
      </c>
      <c r="O14" s="176"/>
      <c r="P14" s="177"/>
      <c r="Q14" s="179"/>
    </row>
    <row r="15" spans="1:19" ht="17.25" customHeight="1" x14ac:dyDescent="0.25">
      <c r="A15" s="103">
        <v>2</v>
      </c>
      <c r="B15" s="104">
        <v>0</v>
      </c>
      <c r="C15" s="104">
        <v>0</v>
      </c>
      <c r="D15" s="104">
        <v>1</v>
      </c>
      <c r="E15" s="104">
        <v>0</v>
      </c>
      <c r="F15" s="104">
        <v>4901</v>
      </c>
      <c r="G15" s="104">
        <v>3</v>
      </c>
      <c r="H15" s="104">
        <v>6</v>
      </c>
      <c r="I15" s="104">
        <v>2</v>
      </c>
      <c r="J15" s="104">
        <v>3</v>
      </c>
      <c r="K15" s="104">
        <v>1</v>
      </c>
      <c r="L15" s="104">
        <v>0</v>
      </c>
      <c r="M15" s="104">
        <v>1</v>
      </c>
      <c r="N15" s="104" t="s">
        <v>54</v>
      </c>
      <c r="O15" s="199" t="s">
        <v>207</v>
      </c>
      <c r="P15" s="199"/>
      <c r="Q15" s="105">
        <v>367858.6</v>
      </c>
    </row>
    <row r="16" spans="1:19" ht="29.25" customHeight="1" x14ac:dyDescent="0.25">
      <c r="A16" s="106">
        <v>2</v>
      </c>
      <c r="B16" s="102">
        <v>0</v>
      </c>
      <c r="C16" s="102">
        <v>0</v>
      </c>
      <c r="D16" s="102">
        <v>1</v>
      </c>
      <c r="E16" s="102">
        <v>0</v>
      </c>
      <c r="F16" s="102">
        <v>4901</v>
      </c>
      <c r="G16" s="102">
        <v>3</v>
      </c>
      <c r="H16" s="102">
        <v>6</v>
      </c>
      <c r="I16" s="102">
        <v>2</v>
      </c>
      <c r="J16" s="102">
        <v>9</v>
      </c>
      <c r="K16" s="102">
        <v>2</v>
      </c>
      <c r="L16" s="102">
        <v>0</v>
      </c>
      <c r="M16" s="102">
        <v>1</v>
      </c>
      <c r="N16" s="102" t="s">
        <v>54</v>
      </c>
      <c r="O16" s="186" t="s">
        <v>209</v>
      </c>
      <c r="P16" s="186"/>
      <c r="Q16" s="107">
        <v>81434.559999999998</v>
      </c>
      <c r="S16" s="116"/>
    </row>
    <row r="17" spans="1:19" ht="17.25" customHeight="1" x14ac:dyDescent="0.25">
      <c r="A17" s="106">
        <v>3</v>
      </c>
      <c r="B17" s="102">
        <v>0</v>
      </c>
      <c r="C17" s="102">
        <v>0</v>
      </c>
      <c r="D17" s="102">
        <v>1</v>
      </c>
      <c r="E17" s="102">
        <v>0</v>
      </c>
      <c r="F17" s="102">
        <v>4901</v>
      </c>
      <c r="G17" s="102">
        <v>1</v>
      </c>
      <c r="H17" s="102">
        <v>3</v>
      </c>
      <c r="I17" s="102">
        <v>2</v>
      </c>
      <c r="J17" s="102">
        <v>3</v>
      </c>
      <c r="K17" s="102">
        <v>3</v>
      </c>
      <c r="L17" s="102">
        <v>0</v>
      </c>
      <c r="M17" s="102">
        <v>1</v>
      </c>
      <c r="N17" s="102" t="s">
        <v>54</v>
      </c>
      <c r="O17" s="200" t="s">
        <v>208</v>
      </c>
      <c r="P17" s="200"/>
      <c r="Q17" s="107">
        <v>10704</v>
      </c>
    </row>
    <row r="18" spans="1:19" ht="32.25" customHeight="1" x14ac:dyDescent="0.25">
      <c r="A18" s="106">
        <v>3</v>
      </c>
      <c r="B18" s="102">
        <v>0</v>
      </c>
      <c r="C18" s="102">
        <v>0</v>
      </c>
      <c r="D18" s="102">
        <v>1</v>
      </c>
      <c r="E18" s="102">
        <v>0</v>
      </c>
      <c r="F18" s="102">
        <v>4901</v>
      </c>
      <c r="G18" s="102">
        <v>1</v>
      </c>
      <c r="H18" s="102">
        <v>3</v>
      </c>
      <c r="I18" s="102">
        <v>2</v>
      </c>
      <c r="J18" s="102">
        <v>9</v>
      </c>
      <c r="K18" s="102">
        <v>2</v>
      </c>
      <c r="L18" s="102">
        <v>0</v>
      </c>
      <c r="M18" s="102">
        <v>1</v>
      </c>
      <c r="N18" s="102" t="s">
        <v>54</v>
      </c>
      <c r="O18" s="186" t="s">
        <v>209</v>
      </c>
      <c r="P18" s="186"/>
      <c r="Q18" s="107">
        <v>210000</v>
      </c>
    </row>
    <row r="19" spans="1:19" ht="29.25" customHeight="1" x14ac:dyDescent="0.25">
      <c r="A19" s="106">
        <v>4</v>
      </c>
      <c r="B19" s="102">
        <v>0</v>
      </c>
      <c r="C19" s="102">
        <v>0</v>
      </c>
      <c r="D19" s="102">
        <v>1</v>
      </c>
      <c r="E19" s="102">
        <v>0</v>
      </c>
      <c r="F19" s="102">
        <v>4901</v>
      </c>
      <c r="G19" s="102">
        <v>3</v>
      </c>
      <c r="H19" s="102">
        <v>4</v>
      </c>
      <c r="I19" s="102">
        <v>2</v>
      </c>
      <c r="J19" s="102">
        <v>9</v>
      </c>
      <c r="K19" s="102">
        <v>2</v>
      </c>
      <c r="L19" s="102">
        <v>0</v>
      </c>
      <c r="M19" s="102">
        <v>1</v>
      </c>
      <c r="N19" s="102" t="s">
        <v>54</v>
      </c>
      <c r="O19" s="186" t="s">
        <v>209</v>
      </c>
      <c r="P19" s="186"/>
      <c r="Q19" s="107">
        <v>68250</v>
      </c>
    </row>
    <row r="20" spans="1:19" ht="29.25" customHeight="1" x14ac:dyDescent="0.25">
      <c r="A20" s="106">
        <v>5</v>
      </c>
      <c r="B20" s="102">
        <v>0</v>
      </c>
      <c r="C20" s="102">
        <v>0</v>
      </c>
      <c r="D20" s="102">
        <v>1</v>
      </c>
      <c r="E20" s="102">
        <v>0</v>
      </c>
      <c r="F20" s="102">
        <v>4901</v>
      </c>
      <c r="G20" s="102">
        <v>3</v>
      </c>
      <c r="H20" s="102">
        <v>6</v>
      </c>
      <c r="I20" s="102">
        <v>2</v>
      </c>
      <c r="J20" s="102">
        <v>9</v>
      </c>
      <c r="K20" s="102">
        <v>2</v>
      </c>
      <c r="L20" s="102">
        <v>0</v>
      </c>
      <c r="M20" s="102">
        <v>1</v>
      </c>
      <c r="N20" s="102" t="s">
        <v>54</v>
      </c>
      <c r="O20" s="186" t="s">
        <v>209</v>
      </c>
      <c r="P20" s="186"/>
      <c r="Q20" s="107">
        <v>33988</v>
      </c>
    </row>
    <row r="21" spans="1:19" ht="17.25" customHeight="1" x14ac:dyDescent="0.25">
      <c r="A21" s="106">
        <v>6</v>
      </c>
      <c r="B21" s="102">
        <v>0</v>
      </c>
      <c r="C21" s="102">
        <v>0</v>
      </c>
      <c r="D21" s="102">
        <v>1</v>
      </c>
      <c r="E21" s="102">
        <v>0</v>
      </c>
      <c r="F21" s="102">
        <v>4901</v>
      </c>
      <c r="G21" s="102">
        <v>1</v>
      </c>
      <c r="H21" s="102">
        <v>3</v>
      </c>
      <c r="I21" s="102">
        <v>2</v>
      </c>
      <c r="J21" s="102">
        <v>2</v>
      </c>
      <c r="K21" s="102">
        <v>1</v>
      </c>
      <c r="L21" s="102">
        <v>0</v>
      </c>
      <c r="M21" s="102">
        <v>1</v>
      </c>
      <c r="N21" s="102" t="s">
        <v>54</v>
      </c>
      <c r="O21" s="186" t="s">
        <v>206</v>
      </c>
      <c r="P21" s="186"/>
      <c r="Q21" s="107">
        <v>1488</v>
      </c>
    </row>
    <row r="22" spans="1:19" ht="32.25" customHeight="1" x14ac:dyDescent="0.25">
      <c r="A22" s="106">
        <v>6</v>
      </c>
      <c r="B22" s="102">
        <v>0</v>
      </c>
      <c r="C22" s="102">
        <v>0</v>
      </c>
      <c r="D22" s="102">
        <v>1</v>
      </c>
      <c r="E22" s="102">
        <v>0</v>
      </c>
      <c r="F22" s="102">
        <v>4901</v>
      </c>
      <c r="G22" s="102">
        <v>1</v>
      </c>
      <c r="H22" s="102">
        <v>3</v>
      </c>
      <c r="I22" s="102">
        <v>2</v>
      </c>
      <c r="J22" s="102">
        <v>9</v>
      </c>
      <c r="K22" s="102">
        <v>2</v>
      </c>
      <c r="L22" s="102">
        <v>0</v>
      </c>
      <c r="M22" s="102">
        <v>1</v>
      </c>
      <c r="N22" s="102" t="s">
        <v>54</v>
      </c>
      <c r="O22" s="186" t="s">
        <v>209</v>
      </c>
      <c r="P22" s="186"/>
      <c r="Q22" s="107">
        <v>200000</v>
      </c>
    </row>
    <row r="23" spans="1:19" ht="32.25" customHeight="1" x14ac:dyDescent="0.25">
      <c r="A23" s="106">
        <v>7</v>
      </c>
      <c r="B23" s="102">
        <v>0</v>
      </c>
      <c r="C23" s="102">
        <v>0</v>
      </c>
      <c r="D23" s="102">
        <v>1</v>
      </c>
      <c r="E23" s="102">
        <v>0</v>
      </c>
      <c r="F23" s="102">
        <v>4901</v>
      </c>
      <c r="G23" s="102">
        <v>1</v>
      </c>
      <c r="H23" s="102">
        <v>3</v>
      </c>
      <c r="I23" s="102">
        <v>2</v>
      </c>
      <c r="J23" s="102">
        <v>9</v>
      </c>
      <c r="K23" s="102">
        <v>2</v>
      </c>
      <c r="L23" s="102">
        <v>0</v>
      </c>
      <c r="M23" s="102">
        <v>1</v>
      </c>
      <c r="N23" s="102" t="s">
        <v>54</v>
      </c>
      <c r="O23" s="186" t="s">
        <v>209</v>
      </c>
      <c r="P23" s="186"/>
      <c r="Q23" s="107">
        <v>42823</v>
      </c>
      <c r="S23" s="116"/>
    </row>
    <row r="24" spans="1:19" ht="32.25" customHeight="1" thickBot="1" x14ac:dyDescent="0.3">
      <c r="A24" s="108">
        <v>8</v>
      </c>
      <c r="B24" s="109">
        <v>0</v>
      </c>
      <c r="C24" s="109">
        <v>0</v>
      </c>
      <c r="D24" s="109">
        <v>1</v>
      </c>
      <c r="E24" s="109">
        <v>0</v>
      </c>
      <c r="F24" s="109">
        <v>4901</v>
      </c>
      <c r="G24" s="109">
        <v>3</v>
      </c>
      <c r="H24" s="109">
        <v>6</v>
      </c>
      <c r="I24" s="109">
        <v>2</v>
      </c>
      <c r="J24" s="109">
        <v>9</v>
      </c>
      <c r="K24" s="109">
        <v>2</v>
      </c>
      <c r="L24" s="109">
        <v>0</v>
      </c>
      <c r="M24" s="109">
        <v>1</v>
      </c>
      <c r="N24" s="109" t="s">
        <v>54</v>
      </c>
      <c r="O24" s="201" t="s">
        <v>209</v>
      </c>
      <c r="P24" s="201"/>
      <c r="Q24" s="110">
        <v>30148</v>
      </c>
    </row>
    <row r="25" spans="1:19" ht="28.5" customHeight="1" thickBot="1" x14ac:dyDescent="0.3">
      <c r="A25" s="193" t="str">
        <f>+'Necesidades Trimestrales'!A76:E76</f>
        <v>COSTO TOTAL ESTIMADO: SON PESOS UN MILLON CUARENTA Y SEIS MIL SEISCIENTOS NOVENTA Y CUATRO CON 16/100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5"/>
      <c r="Q25" s="11">
        <f>SUM(Q15:Q24)</f>
        <v>1046694.1599999999</v>
      </c>
      <c r="S25" s="101"/>
    </row>
    <row r="26" spans="1:19" ht="18" customHeight="1" thickBot="1" x14ac:dyDescent="0.3">
      <c r="A26" s="196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8"/>
    </row>
    <row r="27" spans="1:19" ht="17.25" customHeight="1" thickBot="1" x14ac:dyDescent="0.3">
      <c r="A27" s="180" t="s">
        <v>48</v>
      </c>
      <c r="B27" s="181"/>
      <c r="C27" s="181"/>
      <c r="D27" s="181"/>
      <c r="E27" s="181"/>
      <c r="F27" s="182"/>
      <c r="G27" s="183"/>
      <c r="H27" s="184"/>
      <c r="I27" s="184"/>
      <c r="J27" s="184"/>
      <c r="K27" s="184"/>
      <c r="L27" s="184"/>
      <c r="M27" s="184"/>
      <c r="N27" s="184"/>
      <c r="O27" s="184"/>
      <c r="P27" s="184"/>
      <c r="Q27" s="185"/>
    </row>
    <row r="28" spans="1:19" ht="18" customHeight="1" x14ac:dyDescent="0.25">
      <c r="A28" s="187" t="str">
        <f>' NotaPedido'!D8</f>
        <v>Adquisición de Utiles de Escritorio para las distintas dependencias de este Ministerio.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9"/>
    </row>
    <row r="29" spans="1:19" ht="15" customHeight="1" thickBot="1" x14ac:dyDescent="0.3">
      <c r="A29" s="190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</row>
  </sheetData>
  <mergeCells count="33">
    <mergeCell ref="A28:Q29"/>
    <mergeCell ref="A25:P25"/>
    <mergeCell ref="A26:Q26"/>
    <mergeCell ref="O15:P15"/>
    <mergeCell ref="O17:P17"/>
    <mergeCell ref="O16:P16"/>
    <mergeCell ref="O24:P24"/>
    <mergeCell ref="O18:P18"/>
    <mergeCell ref="O19:P19"/>
    <mergeCell ref="O20:P20"/>
    <mergeCell ref="O22:P22"/>
    <mergeCell ref="O23:P23"/>
    <mergeCell ref="A13:N13"/>
    <mergeCell ref="O13:P14"/>
    <mergeCell ref="Q13:Q14"/>
    <mergeCell ref="A27:F27"/>
    <mergeCell ref="G27:Q27"/>
    <mergeCell ref="O21:P21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2</cp:revision>
  <cp:lastPrinted>2020-11-24T14:25:44Z</cp:lastPrinted>
  <dcterms:created xsi:type="dcterms:W3CDTF">2020-07-17T23:44:49Z</dcterms:created>
  <dcterms:modified xsi:type="dcterms:W3CDTF">2021-08-17T12:08:16Z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