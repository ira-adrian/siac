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PEDIDOS 2022\3 TRIMESTRE 2022\HSJB\descart. laboratorio\corregido\"/>
    </mc:Choice>
  </mc:AlternateContent>
  <xr:revisionPtr revIDLastSave="0" documentId="8_{3CFD6278-2684-4BDC-A0B3-B089C9A0E01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Trimestrales'!$B$9:$I$23</definedName>
    <definedName name="_xlnm.Print_Area" localSheetId="2">'Autor Gastar'!$A$1:$Q$26</definedName>
    <definedName name="_xlnm.Print_Area" localSheetId="1">NotaPedido!$A$1:$K$26</definedName>
  </definedNames>
  <calcPr calcId="181029"/>
</workbook>
</file>

<file path=xl/calcChain.xml><?xml version="1.0" encoding="utf-8"?>
<calcChain xmlns="http://schemas.openxmlformats.org/spreadsheetml/2006/main">
  <c r="B13" i="2" l="1"/>
  <c r="B14" i="2"/>
  <c r="B15" i="2"/>
  <c r="B16" i="2"/>
  <c r="B17" i="2"/>
  <c r="B18" i="2"/>
  <c r="B19" i="2"/>
  <c r="B20" i="2"/>
  <c r="B21" i="2"/>
  <c r="B22" i="2"/>
  <c r="B23" i="2"/>
  <c r="B24" i="2"/>
  <c r="B25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D19" i="1" l="1"/>
  <c r="D20" i="1"/>
  <c r="D22" i="1"/>
  <c r="D18" i="1"/>
  <c r="D23" i="1"/>
  <c r="D10" i="1"/>
  <c r="D12" i="1"/>
  <c r="D21" i="1"/>
  <c r="D11" i="1"/>
  <c r="D17" i="1"/>
  <c r="D15" i="1"/>
  <c r="D14" i="1"/>
  <c r="D13" i="1"/>
  <c r="D16" i="1"/>
  <c r="K17" i="2"/>
  <c r="K18" i="2"/>
  <c r="K19" i="2"/>
  <c r="K20" i="2"/>
  <c r="K21" i="2"/>
  <c r="K22" i="2"/>
  <c r="K23" i="2"/>
  <c r="K24" i="2"/>
  <c r="K25" i="2"/>
  <c r="J18" i="2"/>
  <c r="J19" i="2"/>
  <c r="J20" i="2"/>
  <c r="J21" i="2"/>
  <c r="J22" i="2"/>
  <c r="J23" i="2"/>
  <c r="J24" i="2"/>
  <c r="J25" i="2"/>
  <c r="I17" i="2"/>
  <c r="I18" i="2"/>
  <c r="I19" i="2"/>
  <c r="I20" i="2"/>
  <c r="I21" i="2"/>
  <c r="I22" i="2"/>
  <c r="I23" i="2"/>
  <c r="I24" i="2"/>
  <c r="I25" i="2"/>
  <c r="A25" i="3"/>
  <c r="A10" i="3"/>
  <c r="J17" i="2"/>
  <c r="K16" i="2"/>
  <c r="J16" i="2"/>
  <c r="I16" i="2"/>
  <c r="K15" i="2"/>
  <c r="J15" i="2"/>
  <c r="I15" i="2"/>
  <c r="K14" i="2"/>
  <c r="J14" i="2"/>
  <c r="I14" i="2"/>
  <c r="K13" i="2"/>
  <c r="J13" i="2"/>
  <c r="I13" i="2"/>
  <c r="K12" i="2"/>
  <c r="J12" i="2"/>
  <c r="I12" i="2"/>
  <c r="C12" i="2"/>
  <c r="B12" i="2"/>
  <c r="I13" i="1"/>
  <c r="I14" i="1"/>
  <c r="I15" i="1"/>
  <c r="I17" i="1"/>
  <c r="I11" i="1"/>
  <c r="I21" i="1"/>
  <c r="I12" i="1"/>
  <c r="I10" i="1"/>
  <c r="I23" i="1"/>
  <c r="I18" i="1"/>
  <c r="I22" i="1"/>
  <c r="I20" i="1"/>
  <c r="I19" i="1"/>
  <c r="I16" i="1"/>
  <c r="J26" i="2" l="1"/>
  <c r="G6" i="3" l="1"/>
  <c r="G7" i="3"/>
  <c r="D7" i="2"/>
  <c r="D3" i="2"/>
  <c r="G4" i="3" s="1"/>
  <c r="D4" i="2"/>
  <c r="G5" i="3" s="1"/>
  <c r="D1" i="3" l="1"/>
  <c r="Q22" i="3"/>
</calcChain>
</file>

<file path=xl/sharedStrings.xml><?xml version="1.0" encoding="utf-8"?>
<sst xmlns="http://schemas.openxmlformats.org/spreadsheetml/2006/main" count="151" uniqueCount="104">
  <si>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</si>
  <si>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</si>
  <si>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</si>
  <si>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</si>
  <si>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</si>
  <si>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</si>
  <si>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</si>
  <si>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</si>
  <si>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</si>
  <si>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</si>
  <si>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</si>
  <si>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</si>
  <si>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</si>
  <si>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</si>
  <si>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</si>
  <si>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</si>
  <si>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</si>
  <si>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</si>
  <si>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</si>
  <si>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</si>
  <si>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</si>
  <si>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</si>
  <si>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</si>
  <si>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</si>
  <si>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</si>
  <si>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</si>
  <si>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</si>
  <si>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</si>
  <si>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</si>
  <si>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</si>
  <si>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</si>
  <si>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</si>
  <si>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</si>
  <si>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</si>
  <si>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</si>
  <si>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</si>
  <si>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</si>
  <si>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</si>
  <si>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</si>
  <si>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</si>
  <si>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</si>
  <si>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</si>
  <si>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</si>
  <si>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</si>
  <si>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</si>
  <si>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</si>
  <si>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</si>
  <si>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</si>
  <si>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</si>
  <si>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</si>
  <si>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</si>
  <si>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</si>
  <si>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</si>
  <si>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</si>
  <si>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</si>
  <si>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</si>
  <si>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</si>
  <si>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</si>
  <si>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</si>
  <si>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</si>
  <si>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</si>
  <si>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3.1</t>
  </si>
  <si>
    <t>1.1</t>
  </si>
  <si>
    <t>Utiles Menores Med. Quir. y de Lab.</t>
  </si>
  <si>
    <t>PROD. MEDICO/FARMACEUTICOS/LAB</t>
  </si>
  <si>
    <t>CAJA</t>
  </si>
  <si>
    <t>2.9.5-3492.338</t>
  </si>
  <si>
    <t>TIP; TIPO: AMARILLO CON CORONA, PRESENTACION: ENVASE X 1000 UN, CAPACIDAD: 5 A 200 µl</t>
  </si>
  <si>
    <t>BOLSA</t>
  </si>
  <si>
    <t>2.9.5-2576.56</t>
  </si>
  <si>
    <t>TUBOS AL VACIO P/EXTRACCION; MATERIAL: PLASTICO, MEDIDA: 2 mL, ADITIVO: EDTA TRIPOTASICO, AGUJA: SIN</t>
  </si>
  <si>
    <t>UNIDAD</t>
  </si>
  <si>
    <t>2.9.5-2576.40</t>
  </si>
  <si>
    <t>TUBOS AL VACIO P/EXTRACCION; MATERIAL: POLIETILENO, MEDIDA: CAPACIDAD 3,5 ML. 13 X 75 mm, ADITIVO: ACTIVADOR DE COAGULO, AGUJA: SIN</t>
  </si>
  <si>
    <t>2.9.5-2591.12</t>
  </si>
  <si>
    <t>PLACAS DE PETRI; MATERIAL: POLIPROPILENO, DIAMETRO: 90 mm, ALTURA: 15 mm</t>
  </si>
  <si>
    <t>2.9.5-468.72</t>
  </si>
  <si>
    <t>TUBOS DE ENSAYO; TIPO: CONICO P/CENTRIFUGA, MATERIAL: VIDRIO, DIMENSION: 15 mL, ACCESORIOS: TAPA A ROSCA, ACCESORIO: TAPA A ROSCA</t>
  </si>
  <si>
    <t>2.9.5-7870.18</t>
  </si>
  <si>
    <t>LAMPARAS P/AUTOANALIZADOR; TIPO: HALOGENA, EQUIPO: COBAS C-311, MARCA: ROCHE</t>
  </si>
  <si>
    <t>2.9.5-4091.39</t>
  </si>
  <si>
    <t>AGUJAS Y JERINGAS; TIPO: ECLIPSE, PASO: 1 1/4", PRESENTACION: CAJA X 48 UNIDADES</t>
  </si>
  <si>
    <t>2.9.5-5410.11</t>
  </si>
  <si>
    <t>CUBETAS DE REACCION; MATERIAL: PLASTICO, CELDAS: 500 C/AGITADOR, USO: COAGULOMETRO</t>
  </si>
  <si>
    <t>2.9.5-2576.58</t>
  </si>
  <si>
    <t>TUBOS AL VACIO P/EXTRACCION; MATERIAL: PLASTICO, MEDIDA: 2,7 ML, ADITIVO: CITRATO DE SODIO 3,2 %, AGUJA: SIN</t>
  </si>
  <si>
    <t>2.9.5-5568.1</t>
  </si>
  <si>
    <t>CASSETTES P/BIOPSIAS; MATERIAL: PLASTICO, TAMAÑO: 4 X 2,7 X 0,5 Cm</t>
  </si>
  <si>
    <t>2.9.5-5321.4</t>
  </si>
  <si>
    <t>NAVAJAS P/MICROTOMO; TIPO: DESCARTABLE Nº 819, PRESENTACION: CAJA X 50 UN</t>
  </si>
  <si>
    <t>2.9.5-2557.19</t>
  </si>
  <si>
    <t>2.9.5-2557.11</t>
  </si>
  <si>
    <t>2.9.5-2557.3</t>
  </si>
  <si>
    <t>CUBREOBJETOS; MATERIAL: VIDRIO, DIMENSION: 24 X 60 mm, PRESENTACION: CAJA X 100 UN</t>
  </si>
  <si>
    <t>CUBREOBJETOS; MATERIAL: VIDRIO, DIMENSION: 24 X 50 mm, PRESENTACION: CAJA X 100 UN</t>
  </si>
  <si>
    <t>CUBREOBJETOS; MATERIAL: VIDRIO, DIMENSION: 24 X 40 mm, PRESENTACION: CAJA X 100 UN</t>
  </si>
  <si>
    <t>Adquisición de Descartables para Laboratorios</t>
  </si>
  <si>
    <t>Servicio de Laboratorio Central</t>
  </si>
  <si>
    <t xml:space="preserve">PLAZO DE MANTENIMIENTO DE OFERTA: 45 DIAS HABILES </t>
  </si>
  <si>
    <t xml:space="preserve">PLAZO DE ENTREGA: 15 DIAS HABILES EN EL SERVICIO DE LABORATORIO CENTRAL - AVDA. ILLIA Y MARIANO MORENO - DE LUNES A VIERNES EN EL HORARIO DE 08 A 11 HORAS </t>
  </si>
  <si>
    <t>NOTA DE PEDIDO 088</t>
  </si>
  <si>
    <t>Costo total estimado: UN MILLON DOSCIENTOS CINCUENTA Y TRES MIL SEISCIENTOS OCHENTA Y SIETE CON 00/100.---</t>
  </si>
  <si>
    <t>TOTAL DE PESOS: UN MILLON DOSCIENTOS CINCUENTA Y TRES MIL SEISCIENTOS OCHENTA Y SIETE CON 00/100.---</t>
  </si>
  <si>
    <t>DOCFI-2022-01541886-CAT-DASIS#HSJB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</si>
</sst>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b/>
      <sz val="8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8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8" fillId="4" borderId="11" xfId="0" applyFont="1" applyFill="1" applyBorder="1" applyAlignment="1">
      <alignment horizontal="center" vertical="center"/>
    </xf>
    <xf numFmtId="0" fontId="20" fillId="5" borderId="14" xfId="0" applyFont="1" applyFill="1" applyBorder="1" applyAlignment="1">
      <alignment horizontal="center" vertical="center"/>
    </xf>
    <xf numFmtId="0" fontId="21" fillId="5" borderId="14" xfId="0" applyFont="1" applyFill="1" applyBorder="1" applyAlignment="1">
      <alignment horizontal="left" vertical="center" wrapText="1"/>
    </xf>
    <xf numFmtId="0" fontId="21" fillId="5" borderId="14" xfId="0" applyFont="1" applyFill="1" applyBorder="1" applyAlignment="1">
      <alignment horizontal="center" vertical="center" wrapText="1"/>
    </xf>
    <xf numFmtId="0" fontId="24" fillId="5" borderId="14" xfId="0" applyFont="1" applyFill="1" applyBorder="1" applyAlignment="1">
      <alignment vertical="center" wrapText="1"/>
    </xf>
    <xf numFmtId="0" fontId="15" fillId="5" borderId="0" xfId="0" applyFont="1" applyFill="1"/>
    <xf numFmtId="0" fontId="15" fillId="3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5" fillId="6" borderId="20" xfId="0" applyFont="1" applyFill="1" applyBorder="1" applyAlignment="1">
      <alignment horizontal="center" vertical="center"/>
    </xf>
    <xf numFmtId="0" fontId="15" fillId="6" borderId="48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 wrapText="1"/>
    </xf>
    <xf numFmtId="0" fontId="15" fillId="6" borderId="48" xfId="0" applyFont="1" applyFill="1" applyBorder="1" applyAlignment="1">
      <alignment horizontal="center" vertical="center" wrapText="1"/>
    </xf>
    <xf numFmtId="0" fontId="15" fillId="6" borderId="21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6" fillId="0" borderId="44" xfId="0" applyFont="1" applyBorder="1" applyAlignment="1">
      <alignment horizontal="left" vertical="center" wrapText="1"/>
    </xf>
    <xf numFmtId="0" fontId="0" fillId="0" borderId="22" xfId="0" applyBorder="1"/>
    <xf numFmtId="0" fontId="25" fillId="0" borderId="32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25" fillId="0" borderId="38" xfId="0" applyFont="1" applyBorder="1" applyAlignment="1">
      <alignment horizontal="left" vertical="center" wrapText="1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6"/>
  <sheetViews>
    <sheetView tabSelected="1" topLeftCell="A7" zoomScale="90" zoomScaleNormal="90" workbookViewId="0">
      <selection activeCell="M20" sqref="M20"/>
    </sheetView>
  </sheetViews>
  <sheetFormatPr baseColWidth="10" defaultColWidth="11" defaultRowHeight="12.75" x14ac:dyDescent="0.2"/>
  <cols>
    <col min="1" max="1" width="4.5703125" style="39" customWidth="1"/>
    <col min="2" max="2" width="14.570312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96" t="s">
        <v>0</v>
      </c>
      <c r="C2" s="96"/>
      <c r="D2" s="96"/>
      <c r="E2" s="96"/>
      <c r="F2" s="96"/>
      <c r="G2" s="96"/>
      <c r="H2" s="96"/>
    </row>
    <row r="4" spans="1:9" ht="18" customHeight="1" x14ac:dyDescent="0.25">
      <c r="A4" s="87" t="s">
        <v>1</v>
      </c>
      <c r="B4" s="87"/>
      <c r="C4" s="97" t="s">
        <v>58</v>
      </c>
      <c r="D4" s="97"/>
      <c r="E4" s="97"/>
      <c r="F4" s="40"/>
      <c r="G4" s="41"/>
      <c r="H4" s="40"/>
    </row>
    <row r="5" spans="1:9" ht="18" customHeight="1" x14ac:dyDescent="0.25">
      <c r="A5" s="87" t="s">
        <v>2</v>
      </c>
      <c r="B5" s="87"/>
      <c r="C5" s="97" t="s">
        <v>59</v>
      </c>
      <c r="D5" s="97"/>
      <c r="E5" s="97"/>
      <c r="F5" s="40"/>
      <c r="G5" s="41"/>
      <c r="H5" s="40"/>
    </row>
    <row r="6" spans="1:9" ht="16.5" customHeight="1" x14ac:dyDescent="0.25">
      <c r="A6" s="87" t="s">
        <v>3</v>
      </c>
      <c r="B6" s="87"/>
      <c r="C6" s="63">
        <v>2022</v>
      </c>
      <c r="D6" s="64"/>
      <c r="E6" s="64"/>
      <c r="F6" s="40"/>
      <c r="G6" s="41"/>
      <c r="H6" s="40"/>
    </row>
    <row r="7" spans="1:9" ht="16.5" customHeight="1" x14ac:dyDescent="0.25">
      <c r="A7" s="87" t="s">
        <v>4</v>
      </c>
      <c r="B7" s="87"/>
      <c r="C7" s="63">
        <v>3</v>
      </c>
      <c r="D7" s="64"/>
      <c r="E7" s="64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s="83" customFormat="1" ht="38.25" customHeight="1" thickBot="1" x14ac:dyDescent="0.25">
      <c r="A10" s="79">
        <v>1</v>
      </c>
      <c r="B10" s="60" t="s">
        <v>80</v>
      </c>
      <c r="C10" s="80" t="s">
        <v>64</v>
      </c>
      <c r="D10" s="81" t="str">
        <f t="shared" ref="D10:D23" si="0">LEFT(B10,5)</f>
        <v>2.9.5</v>
      </c>
      <c r="E10" s="82" t="s">
        <v>81</v>
      </c>
      <c r="F10" s="60" t="s">
        <v>65</v>
      </c>
      <c r="G10" s="60">
        <v>42</v>
      </c>
      <c r="H10" s="61">
        <v>1680</v>
      </c>
      <c r="I10" s="62">
        <f t="shared" ref="I10:I23" si="1">G10*H10</f>
        <v>70560</v>
      </c>
    </row>
    <row r="11" spans="1:9" s="83" customFormat="1" ht="31.9" customHeight="1" thickBot="1" x14ac:dyDescent="0.25">
      <c r="A11" s="79">
        <v>2</v>
      </c>
      <c r="B11" s="60" t="s">
        <v>86</v>
      </c>
      <c r="C11" s="80" t="s">
        <v>64</v>
      </c>
      <c r="D11" s="81" t="str">
        <f t="shared" si="0"/>
        <v>2.9.5</v>
      </c>
      <c r="E11" s="82" t="s">
        <v>87</v>
      </c>
      <c r="F11" s="60" t="s">
        <v>71</v>
      </c>
      <c r="G11" s="60">
        <v>600</v>
      </c>
      <c r="H11" s="61">
        <v>23</v>
      </c>
      <c r="I11" s="62">
        <f t="shared" si="1"/>
        <v>13800</v>
      </c>
    </row>
    <row r="12" spans="1:9" s="83" customFormat="1" ht="36.75" customHeight="1" thickBot="1" x14ac:dyDescent="0.25">
      <c r="A12" s="79">
        <v>3</v>
      </c>
      <c r="B12" s="60" t="s">
        <v>82</v>
      </c>
      <c r="C12" s="80" t="s">
        <v>64</v>
      </c>
      <c r="D12" s="81" t="str">
        <f t="shared" si="0"/>
        <v>2.9.5</v>
      </c>
      <c r="E12" s="82" t="s">
        <v>83</v>
      </c>
      <c r="F12" s="60" t="s">
        <v>65</v>
      </c>
      <c r="G12" s="60">
        <v>15</v>
      </c>
      <c r="H12" s="61">
        <v>12529</v>
      </c>
      <c r="I12" s="62">
        <f t="shared" si="1"/>
        <v>187935</v>
      </c>
    </row>
    <row r="13" spans="1:9" s="83" customFormat="1" ht="36" customHeight="1" thickBot="1" x14ac:dyDescent="0.25">
      <c r="A13" s="79">
        <v>4</v>
      </c>
      <c r="B13" s="60" t="s">
        <v>92</v>
      </c>
      <c r="C13" s="80" t="s">
        <v>64</v>
      </c>
      <c r="D13" s="81" t="str">
        <f t="shared" si="0"/>
        <v>2.9.5</v>
      </c>
      <c r="E13" s="82" t="s">
        <v>95</v>
      </c>
      <c r="F13" s="60" t="s">
        <v>65</v>
      </c>
      <c r="G13" s="60">
        <v>15</v>
      </c>
      <c r="H13" s="61">
        <v>344</v>
      </c>
      <c r="I13" s="62">
        <f t="shared" si="1"/>
        <v>5160</v>
      </c>
    </row>
    <row r="14" spans="1:9" s="83" customFormat="1" ht="36" customHeight="1" thickBot="1" x14ac:dyDescent="0.25">
      <c r="A14" s="79">
        <v>5</v>
      </c>
      <c r="B14" s="60" t="s">
        <v>91</v>
      </c>
      <c r="C14" s="80" t="s">
        <v>64</v>
      </c>
      <c r="D14" s="81" t="str">
        <f t="shared" si="0"/>
        <v>2.9.5</v>
      </c>
      <c r="E14" s="82" t="s">
        <v>94</v>
      </c>
      <c r="F14" s="60" t="s">
        <v>65</v>
      </c>
      <c r="G14" s="60">
        <v>10</v>
      </c>
      <c r="H14" s="61">
        <v>688</v>
      </c>
      <c r="I14" s="62">
        <f t="shared" si="1"/>
        <v>6880</v>
      </c>
    </row>
    <row r="15" spans="1:9" s="83" customFormat="1" ht="40.5" customHeight="1" thickBot="1" x14ac:dyDescent="0.25">
      <c r="A15" s="79">
        <v>6</v>
      </c>
      <c r="B15" s="60" t="s">
        <v>90</v>
      </c>
      <c r="C15" s="80" t="s">
        <v>64</v>
      </c>
      <c r="D15" s="81" t="str">
        <f t="shared" si="0"/>
        <v>2.9.5</v>
      </c>
      <c r="E15" s="82" t="s">
        <v>93</v>
      </c>
      <c r="F15" s="60" t="s">
        <v>65</v>
      </c>
      <c r="G15" s="60">
        <v>15</v>
      </c>
      <c r="H15" s="61">
        <v>839</v>
      </c>
      <c r="I15" s="62">
        <f t="shared" si="1"/>
        <v>12585</v>
      </c>
    </row>
    <row r="16" spans="1:9" s="83" customFormat="1" ht="41.25" customHeight="1" thickBot="1" x14ac:dyDescent="0.25">
      <c r="A16" s="79">
        <v>7</v>
      </c>
      <c r="B16" s="60" t="s">
        <v>78</v>
      </c>
      <c r="C16" s="80" t="s">
        <v>64</v>
      </c>
      <c r="D16" s="81" t="str">
        <f t="shared" si="0"/>
        <v>2.9.5</v>
      </c>
      <c r="E16" s="82" t="s">
        <v>79</v>
      </c>
      <c r="F16" s="60" t="s">
        <v>71</v>
      </c>
      <c r="G16" s="60">
        <v>4</v>
      </c>
      <c r="H16" s="61">
        <v>90237</v>
      </c>
      <c r="I16" s="62">
        <f t="shared" si="1"/>
        <v>360948</v>
      </c>
    </row>
    <row r="17" spans="1:9" s="83" customFormat="1" ht="37.5" customHeight="1" thickBot="1" x14ac:dyDescent="0.25">
      <c r="A17" s="79">
        <v>8</v>
      </c>
      <c r="B17" s="60" t="s">
        <v>88</v>
      </c>
      <c r="C17" s="80" t="s">
        <v>64</v>
      </c>
      <c r="D17" s="81" t="str">
        <f t="shared" si="0"/>
        <v>2.9.5</v>
      </c>
      <c r="E17" s="82" t="s">
        <v>89</v>
      </c>
      <c r="F17" s="60" t="s">
        <v>65</v>
      </c>
      <c r="G17" s="60">
        <v>3</v>
      </c>
      <c r="H17" s="61">
        <v>40293</v>
      </c>
      <c r="I17" s="62">
        <f t="shared" si="1"/>
        <v>120879</v>
      </c>
    </row>
    <row r="18" spans="1:9" s="83" customFormat="1" ht="37.5" customHeight="1" thickBot="1" x14ac:dyDescent="0.25">
      <c r="A18" s="79">
        <v>9</v>
      </c>
      <c r="B18" s="60" t="s">
        <v>74</v>
      </c>
      <c r="C18" s="80" t="s">
        <v>64</v>
      </c>
      <c r="D18" s="81" t="str">
        <f t="shared" si="0"/>
        <v>2.9.5</v>
      </c>
      <c r="E18" s="82" t="s">
        <v>75</v>
      </c>
      <c r="F18" s="60" t="s">
        <v>71</v>
      </c>
      <c r="G18" s="60">
        <v>5000</v>
      </c>
      <c r="H18" s="61">
        <v>28.8</v>
      </c>
      <c r="I18" s="62">
        <f t="shared" si="1"/>
        <v>144000</v>
      </c>
    </row>
    <row r="19" spans="1:9" s="83" customFormat="1" ht="39.75" customHeight="1" thickBot="1" x14ac:dyDescent="0.25">
      <c r="A19" s="79">
        <v>10</v>
      </c>
      <c r="B19" s="60" t="s">
        <v>66</v>
      </c>
      <c r="C19" s="80" t="s">
        <v>64</v>
      </c>
      <c r="D19" s="81" t="str">
        <f t="shared" si="0"/>
        <v>2.9.5</v>
      </c>
      <c r="E19" s="82" t="s">
        <v>67</v>
      </c>
      <c r="F19" s="60" t="s">
        <v>68</v>
      </c>
      <c r="G19" s="60">
        <v>10</v>
      </c>
      <c r="H19" s="61">
        <v>1843</v>
      </c>
      <c r="I19" s="62">
        <f t="shared" si="1"/>
        <v>18430</v>
      </c>
    </row>
    <row r="20" spans="1:9" s="83" customFormat="1" ht="35.25" customHeight="1" thickBot="1" x14ac:dyDescent="0.25">
      <c r="A20" s="79">
        <v>11</v>
      </c>
      <c r="B20" s="60" t="s">
        <v>69</v>
      </c>
      <c r="C20" s="80" t="s">
        <v>64</v>
      </c>
      <c r="D20" s="81" t="str">
        <f t="shared" si="0"/>
        <v>2.9.5</v>
      </c>
      <c r="E20" s="82" t="s">
        <v>70</v>
      </c>
      <c r="F20" s="60" t="s">
        <v>71</v>
      </c>
      <c r="G20" s="60">
        <v>6000</v>
      </c>
      <c r="H20" s="61">
        <v>17.25</v>
      </c>
      <c r="I20" s="62">
        <f t="shared" si="1"/>
        <v>103500</v>
      </c>
    </row>
    <row r="21" spans="1:9" s="83" customFormat="1" ht="31.9" customHeight="1" thickBot="1" x14ac:dyDescent="0.25">
      <c r="A21" s="79">
        <v>12</v>
      </c>
      <c r="B21" s="60" t="s">
        <v>84</v>
      </c>
      <c r="C21" s="80" t="s">
        <v>64</v>
      </c>
      <c r="D21" s="81" t="str">
        <f t="shared" si="0"/>
        <v>2.9.5</v>
      </c>
      <c r="E21" s="82" t="s">
        <v>85</v>
      </c>
      <c r="F21" s="60" t="s">
        <v>71</v>
      </c>
      <c r="G21" s="60">
        <v>2500</v>
      </c>
      <c r="H21" s="61">
        <v>18.98</v>
      </c>
      <c r="I21" s="62">
        <f t="shared" si="1"/>
        <v>47450</v>
      </c>
    </row>
    <row r="22" spans="1:9" s="83" customFormat="1" ht="41.25" customHeight="1" thickBot="1" x14ac:dyDescent="0.25">
      <c r="A22" s="79">
        <v>13</v>
      </c>
      <c r="B22" s="60" t="s">
        <v>72</v>
      </c>
      <c r="C22" s="80" t="s">
        <v>64</v>
      </c>
      <c r="D22" s="81" t="str">
        <f t="shared" si="0"/>
        <v>2.9.5</v>
      </c>
      <c r="E22" s="82" t="s">
        <v>73</v>
      </c>
      <c r="F22" s="60" t="s">
        <v>71</v>
      </c>
      <c r="G22" s="60">
        <v>6000</v>
      </c>
      <c r="H22" s="61">
        <v>25.8</v>
      </c>
      <c r="I22" s="62">
        <f t="shared" si="1"/>
        <v>154800</v>
      </c>
    </row>
    <row r="23" spans="1:9" ht="40.5" customHeight="1" thickBot="1" x14ac:dyDescent="0.25">
      <c r="A23" s="56">
        <v>14</v>
      </c>
      <c r="B23" s="60" t="s">
        <v>76</v>
      </c>
      <c r="C23" s="57" t="s">
        <v>64</v>
      </c>
      <c r="D23" s="58" t="str">
        <f t="shared" si="0"/>
        <v>2.9.5</v>
      </c>
      <c r="E23" s="59" t="s">
        <v>77</v>
      </c>
      <c r="F23" s="60" t="s">
        <v>71</v>
      </c>
      <c r="G23" s="60">
        <v>200</v>
      </c>
      <c r="H23" s="61">
        <v>33.799999999999997</v>
      </c>
      <c r="I23" s="62">
        <f t="shared" si="1"/>
        <v>6759.9999999999991</v>
      </c>
    </row>
    <row r="24" spans="1:9" ht="13.5" thickBot="1" x14ac:dyDescent="0.25"/>
    <row r="25" spans="1:9" ht="39.75" customHeight="1" thickBot="1" x14ac:dyDescent="0.25">
      <c r="C25" s="90" t="s">
        <v>98</v>
      </c>
      <c r="D25" s="91"/>
      <c r="E25" s="92"/>
    </row>
    <row r="26" spans="1:9" ht="48.75" customHeight="1" thickBot="1" x14ac:dyDescent="0.25">
      <c r="C26" s="93" t="s">
        <v>99</v>
      </c>
      <c r="D26" s="94"/>
      <c r="E26" s="95"/>
    </row>
    <row r="27" spans="1:9" ht="13.5" thickBot="1" x14ac:dyDescent="0.25"/>
    <row r="28" spans="1:9" x14ac:dyDescent="0.2">
      <c r="B28" s="42" t="s">
        <v>14</v>
      </c>
      <c r="C28" s="43"/>
      <c r="D28" s="43"/>
      <c r="E28" s="44"/>
    </row>
    <row r="29" spans="1:9" ht="5.25" customHeight="1" x14ac:dyDescent="0.2">
      <c r="B29" s="45"/>
      <c r="C29" s="46"/>
      <c r="D29" s="46"/>
      <c r="E29" s="47"/>
    </row>
    <row r="30" spans="1:9" x14ac:dyDescent="0.2">
      <c r="B30" s="48" t="s">
        <v>15</v>
      </c>
      <c r="C30" s="46"/>
      <c r="D30" s="46"/>
      <c r="E30" s="47"/>
    </row>
    <row r="31" spans="1:9" ht="41.25" customHeight="1" x14ac:dyDescent="0.2">
      <c r="B31" s="48"/>
      <c r="C31" s="85"/>
      <c r="D31" s="85"/>
      <c r="E31" s="85"/>
    </row>
    <row r="32" spans="1:9" x14ac:dyDescent="0.2">
      <c r="B32" s="48" t="s">
        <v>16</v>
      </c>
      <c r="C32" s="46"/>
      <c r="D32" s="46"/>
      <c r="E32" s="47"/>
    </row>
    <row r="33" spans="2:5" x14ac:dyDescent="0.2">
      <c r="B33" s="49"/>
      <c r="C33" s="88"/>
      <c r="D33" s="88"/>
      <c r="E33" s="88"/>
    </row>
    <row r="34" spans="2:5" x14ac:dyDescent="0.2">
      <c r="B34" s="49"/>
      <c r="C34" s="89"/>
      <c r="D34" s="89"/>
      <c r="E34" s="89"/>
    </row>
    <row r="35" spans="2:5" x14ac:dyDescent="0.2">
      <c r="B35" s="48" t="s">
        <v>17</v>
      </c>
      <c r="C35" s="46"/>
      <c r="D35" s="46"/>
      <c r="E35" s="47"/>
    </row>
    <row r="36" spans="2:5" ht="26.25" customHeight="1" x14ac:dyDescent="0.2">
      <c r="B36" s="49"/>
      <c r="C36" s="85"/>
      <c r="D36" s="85"/>
      <c r="E36" s="85"/>
    </row>
    <row r="37" spans="2:5" x14ac:dyDescent="0.2">
      <c r="B37" s="48" t="s">
        <v>18</v>
      </c>
      <c r="C37" s="50"/>
      <c r="D37" s="50"/>
      <c r="E37" s="51"/>
    </row>
    <row r="38" spans="2:5" ht="26.25" customHeight="1" x14ac:dyDescent="0.2">
      <c r="B38" s="49"/>
      <c r="C38" s="86"/>
      <c r="D38" s="86"/>
      <c r="E38" s="86"/>
    </row>
    <row r="39" spans="2:5" x14ac:dyDescent="0.2">
      <c r="B39" s="48" t="s">
        <v>19</v>
      </c>
      <c r="C39" s="46"/>
      <c r="D39" s="46"/>
      <c r="E39" s="47"/>
    </row>
    <row r="40" spans="2:5" ht="23.25" customHeight="1" x14ac:dyDescent="0.2">
      <c r="B40" s="48"/>
      <c r="C40" s="84"/>
      <c r="D40" s="84"/>
      <c r="E40" s="84"/>
    </row>
    <row r="41" spans="2:5" x14ac:dyDescent="0.2">
      <c r="B41" s="52"/>
      <c r="C41" s="53"/>
      <c r="D41" s="53"/>
      <c r="E41" s="54"/>
    </row>
    <row r="43" spans="2:5" x14ac:dyDescent="0.2">
      <c r="B43" s="42" t="s">
        <v>20</v>
      </c>
      <c r="C43" s="43"/>
      <c r="D43" s="43"/>
      <c r="E43" s="44"/>
    </row>
    <row r="44" spans="2:5" ht="7.5" customHeight="1" x14ac:dyDescent="0.2">
      <c r="B44" s="45"/>
      <c r="C44" s="46"/>
      <c r="D44" s="46"/>
      <c r="E44" s="47"/>
    </row>
    <row r="45" spans="2:5" x14ac:dyDescent="0.2">
      <c r="B45" s="48" t="s">
        <v>15</v>
      </c>
      <c r="C45" s="46"/>
      <c r="D45" s="46"/>
      <c r="E45" s="47"/>
    </row>
    <row r="46" spans="2:5" ht="39" customHeight="1" x14ac:dyDescent="0.2">
      <c r="B46" s="48"/>
      <c r="C46" s="85"/>
      <c r="D46" s="85"/>
      <c r="E46" s="85"/>
    </row>
    <row r="47" spans="2:5" x14ac:dyDescent="0.2">
      <c r="B47" s="48" t="s">
        <v>16</v>
      </c>
      <c r="C47" s="46"/>
      <c r="D47" s="46"/>
      <c r="E47" s="47"/>
    </row>
    <row r="48" spans="2:5" x14ac:dyDescent="0.2">
      <c r="B48" s="49"/>
      <c r="C48" s="84"/>
      <c r="D48" s="84"/>
      <c r="E48" s="84"/>
    </row>
    <row r="49" spans="2:5" x14ac:dyDescent="0.2">
      <c r="B49" s="49"/>
      <c r="C49" s="84"/>
      <c r="D49" s="84"/>
      <c r="E49" s="84"/>
    </row>
    <row r="50" spans="2:5" x14ac:dyDescent="0.2">
      <c r="B50" s="48" t="s">
        <v>17</v>
      </c>
      <c r="C50" s="46"/>
      <c r="D50" s="46"/>
      <c r="E50" s="47"/>
    </row>
    <row r="51" spans="2:5" x14ac:dyDescent="0.2">
      <c r="B51" s="49"/>
      <c r="C51" s="85"/>
      <c r="D51" s="85"/>
      <c r="E51" s="85"/>
    </row>
    <row r="52" spans="2:5" x14ac:dyDescent="0.2">
      <c r="B52" s="48" t="s">
        <v>18</v>
      </c>
      <c r="C52" s="50"/>
      <c r="D52" s="50"/>
      <c r="E52" s="51"/>
    </row>
    <row r="53" spans="2:5" x14ac:dyDescent="0.2">
      <c r="B53" s="49"/>
      <c r="C53" s="85"/>
      <c r="D53" s="85"/>
      <c r="E53" s="85"/>
    </row>
    <row r="54" spans="2:5" x14ac:dyDescent="0.2">
      <c r="B54" s="48" t="s">
        <v>19</v>
      </c>
      <c r="C54" s="46"/>
      <c r="D54" s="46"/>
      <c r="E54" s="47"/>
    </row>
    <row r="55" spans="2:5" x14ac:dyDescent="0.2">
      <c r="B55" s="48"/>
      <c r="C55" s="84"/>
      <c r="D55" s="84"/>
      <c r="E55" s="84"/>
    </row>
    <row r="56" spans="2:5" x14ac:dyDescent="0.2">
      <c r="B56" s="52"/>
      <c r="C56" s="53"/>
      <c r="D56" s="53"/>
      <c r="E56" s="54"/>
    </row>
  </sheetData>
  <mergeCells count="21">
    <mergeCell ref="B2:H2"/>
    <mergeCell ref="A4:B4"/>
    <mergeCell ref="C4:E4"/>
    <mergeCell ref="A5:B5"/>
    <mergeCell ref="C5:E5"/>
    <mergeCell ref="A6:B6"/>
    <mergeCell ref="A7:B7"/>
    <mergeCell ref="C31:E31"/>
    <mergeCell ref="C33:E33"/>
    <mergeCell ref="C34:E34"/>
    <mergeCell ref="C25:E25"/>
    <mergeCell ref="C26:E26"/>
    <mergeCell ref="C49:E49"/>
    <mergeCell ref="C51:E51"/>
    <mergeCell ref="C53:E53"/>
    <mergeCell ref="C55:E55"/>
    <mergeCell ref="C36:E36"/>
    <mergeCell ref="C38:E38"/>
    <mergeCell ref="C40:E40"/>
    <mergeCell ref="C46:E46"/>
    <mergeCell ref="C48:E48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6"/>
  <sheetViews>
    <sheetView zoomScale="70" zoomScaleNormal="70" workbookViewId="0">
      <selection activeCell="S23" sqref="S23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7.5703125" style="2" customWidth="1"/>
    <col min="10" max="10" width="14.7109375" style="2" customWidth="1"/>
    <col min="11" max="11" width="44.42578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6" t="s">
        <v>100</v>
      </c>
      <c r="B1" s="106"/>
      <c r="C1" s="106"/>
      <c r="D1" s="106"/>
      <c r="E1" s="106"/>
      <c r="F1" s="106"/>
      <c r="G1" s="106"/>
      <c r="H1" s="106"/>
      <c r="I1" s="106"/>
      <c r="J1" s="3" t="s">
        <v>21</v>
      </c>
      <c r="K1" s="78" t="s">
        <v>103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07" t="s">
        <v>54</v>
      </c>
      <c r="B3" s="107"/>
      <c r="C3" s="107"/>
      <c r="D3" s="108" t="str">
        <f>'Necesidades Trimestrales'!C4</f>
        <v>40 - Ministerio de Salud</v>
      </c>
      <c r="E3" s="108"/>
      <c r="F3" s="108"/>
      <c r="G3" s="108"/>
      <c r="H3" s="108"/>
      <c r="I3" s="108"/>
      <c r="J3" s="108"/>
      <c r="K3" s="108"/>
    </row>
    <row r="4" spans="1:11" ht="18.75" customHeight="1" thickBot="1" x14ac:dyDescent="0.25">
      <c r="A4" s="109" t="s">
        <v>55</v>
      </c>
      <c r="B4" s="109"/>
      <c r="C4" s="109"/>
      <c r="D4" s="108" t="str">
        <f>'Necesidades Trimestrales'!C5</f>
        <v>23 - Hospital Interzonal San Juan Bautista</v>
      </c>
      <c r="E4" s="108"/>
      <c r="F4" s="108"/>
      <c r="G4" s="108"/>
      <c r="H4" s="108"/>
      <c r="I4" s="108"/>
      <c r="J4" s="108"/>
      <c r="K4" s="108"/>
    </row>
    <row r="5" spans="1:11" ht="18.75" customHeight="1" thickBot="1" x14ac:dyDescent="0.25">
      <c r="A5" s="109" t="s">
        <v>33</v>
      </c>
      <c r="B5" s="109"/>
      <c r="C5" s="109"/>
      <c r="D5" s="108" t="s">
        <v>60</v>
      </c>
      <c r="E5" s="108"/>
      <c r="F5" s="108"/>
      <c r="G5" s="108"/>
      <c r="H5" s="108"/>
      <c r="I5" s="108"/>
      <c r="J5" s="108"/>
      <c r="K5" s="108"/>
    </row>
    <row r="6" spans="1:11" ht="16.5" customHeight="1" thickBot="1" x14ac:dyDescent="0.25">
      <c r="A6" s="107" t="s">
        <v>56</v>
      </c>
      <c r="B6" s="107"/>
      <c r="C6" s="107"/>
      <c r="D6" s="108" t="s">
        <v>97</v>
      </c>
      <c r="E6" s="108"/>
      <c r="F6" s="108"/>
      <c r="G6" s="108"/>
      <c r="H6" s="108"/>
      <c r="I6" s="108"/>
      <c r="J6" s="108"/>
      <c r="K6" s="108"/>
    </row>
    <row r="7" spans="1:11" ht="16.5" customHeight="1" x14ac:dyDescent="0.2">
      <c r="A7" s="109" t="s">
        <v>22</v>
      </c>
      <c r="B7" s="109"/>
      <c r="C7" s="109"/>
      <c r="D7" s="108" t="str">
        <f>'Necesidades Trimestrales'!C7 &amp; "° Trimestre - Año " &amp; 'Necesidades Trimestrales'!C6</f>
        <v>3° Trimestre - Año 2022</v>
      </c>
      <c r="E7" s="108"/>
      <c r="F7" s="108"/>
      <c r="G7" s="108"/>
      <c r="H7" s="108"/>
      <c r="I7" s="108"/>
      <c r="J7" s="108"/>
      <c r="K7" s="108"/>
    </row>
    <row r="8" spans="1:11" ht="16.5" customHeight="1" x14ac:dyDescent="0.2">
      <c r="A8" s="101" t="s">
        <v>23</v>
      </c>
      <c r="B8" s="101"/>
      <c r="C8" s="101"/>
      <c r="D8" s="102" t="s">
        <v>96</v>
      </c>
      <c r="E8" s="102"/>
      <c r="F8" s="102"/>
      <c r="G8" s="102"/>
      <c r="H8" s="102"/>
      <c r="I8" s="102"/>
      <c r="J8" s="102"/>
      <c r="K8" s="102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03" t="s">
        <v>24</v>
      </c>
      <c r="B10" s="104" t="s">
        <v>25</v>
      </c>
      <c r="C10" s="104" t="s">
        <v>26</v>
      </c>
      <c r="D10" s="104"/>
      <c r="E10" s="104"/>
      <c r="F10" s="104"/>
      <c r="G10" s="104"/>
      <c r="H10" s="104" t="s">
        <v>27</v>
      </c>
      <c r="I10" s="104" t="s">
        <v>28</v>
      </c>
      <c r="J10" s="104" t="s">
        <v>29</v>
      </c>
      <c r="K10" s="105" t="s">
        <v>30</v>
      </c>
    </row>
    <row r="11" spans="1:11" ht="24" customHeight="1" thickBot="1" x14ac:dyDescent="0.25">
      <c r="A11" s="103"/>
      <c r="B11" s="104"/>
      <c r="C11" s="104"/>
      <c r="D11" s="104"/>
      <c r="E11" s="104"/>
      <c r="F11" s="104"/>
      <c r="G11" s="104"/>
      <c r="H11" s="104"/>
      <c r="I11" s="104"/>
      <c r="J11" s="104"/>
      <c r="K11" s="105"/>
    </row>
    <row r="12" spans="1:11" ht="20.25" customHeight="1" thickBot="1" x14ac:dyDescent="0.25">
      <c r="A12" s="8">
        <v>1</v>
      </c>
      <c r="B12" s="65" t="str">
        <f>'Necesidades Trimestrales'!B10</f>
        <v>2.9.5-4091.39</v>
      </c>
      <c r="C12" s="98" t="str">
        <f>'Necesidades Trimestrales'!E10</f>
        <v>AGUJAS Y JERINGAS; TIPO: ECLIPSE, PASO: 1 1/4", PRESENTACION: CAJA X 48 UNIDADES</v>
      </c>
      <c r="D12" s="98"/>
      <c r="E12" s="98"/>
      <c r="F12" s="98"/>
      <c r="G12" s="98"/>
      <c r="H12" s="66" t="s">
        <v>57</v>
      </c>
      <c r="I12" s="67" t="str">
        <f>'Necesidades Trimestrales'!F10</f>
        <v>CAJA</v>
      </c>
      <c r="J12" s="68">
        <f>'Necesidades Trimestrales'!H10</f>
        <v>1680</v>
      </c>
      <c r="K12" s="69">
        <f>'Necesidades Trimestrales'!G10</f>
        <v>42</v>
      </c>
    </row>
    <row r="13" spans="1:11" ht="20.25" customHeight="1" thickBot="1" x14ac:dyDescent="0.25">
      <c r="A13" s="8">
        <v>2</v>
      </c>
      <c r="B13" s="65" t="str">
        <f>'Necesidades Trimestrales'!B11</f>
        <v>2.9.5-5568.1</v>
      </c>
      <c r="C13" s="98" t="str">
        <f>'Necesidades Trimestrales'!E11</f>
        <v>CASSETTES P/BIOPSIAS; MATERIAL: PLASTICO, TAMAÑO: 4 X 2,7 X 0,5 Cm</v>
      </c>
      <c r="D13" s="98"/>
      <c r="E13" s="98"/>
      <c r="F13" s="98"/>
      <c r="G13" s="98"/>
      <c r="H13" s="66" t="s">
        <v>57</v>
      </c>
      <c r="I13" s="67" t="str">
        <f>'Necesidades Trimestrales'!F11</f>
        <v>UNIDAD</v>
      </c>
      <c r="J13" s="68">
        <f>'Necesidades Trimestrales'!H11</f>
        <v>23</v>
      </c>
      <c r="K13" s="69">
        <f>'Necesidades Trimestrales'!G11</f>
        <v>600</v>
      </c>
    </row>
    <row r="14" spans="1:11" ht="20.25" customHeight="1" thickBot="1" x14ac:dyDescent="0.25">
      <c r="A14" s="8">
        <v>3</v>
      </c>
      <c r="B14" s="65" t="str">
        <f>'Necesidades Trimestrales'!B12</f>
        <v>2.9.5-5410.11</v>
      </c>
      <c r="C14" s="98" t="str">
        <f>'Necesidades Trimestrales'!E12</f>
        <v>CUBETAS DE REACCION; MATERIAL: PLASTICO, CELDAS: 500 C/AGITADOR, USO: COAGULOMETRO</v>
      </c>
      <c r="D14" s="98"/>
      <c r="E14" s="98"/>
      <c r="F14" s="98"/>
      <c r="G14" s="98"/>
      <c r="H14" s="66" t="s">
        <v>57</v>
      </c>
      <c r="I14" s="67" t="str">
        <f>'Necesidades Trimestrales'!F12</f>
        <v>CAJA</v>
      </c>
      <c r="J14" s="68">
        <f>'Necesidades Trimestrales'!H12</f>
        <v>12529</v>
      </c>
      <c r="K14" s="69">
        <f>'Necesidades Trimestrales'!G12</f>
        <v>15</v>
      </c>
    </row>
    <row r="15" spans="1:11" ht="20.25" customHeight="1" thickBot="1" x14ac:dyDescent="0.25">
      <c r="A15" s="8">
        <v>4</v>
      </c>
      <c r="B15" s="65" t="str">
        <f>'Necesidades Trimestrales'!B13</f>
        <v>2.9.5-2557.3</v>
      </c>
      <c r="C15" s="98" t="str">
        <f>'Necesidades Trimestrales'!E13</f>
        <v>CUBREOBJETOS; MATERIAL: VIDRIO, DIMENSION: 24 X 40 mm, PRESENTACION: CAJA X 100 UN</v>
      </c>
      <c r="D15" s="98"/>
      <c r="E15" s="98"/>
      <c r="F15" s="98"/>
      <c r="G15" s="98"/>
      <c r="H15" s="66" t="s">
        <v>57</v>
      </c>
      <c r="I15" s="67" t="str">
        <f>'Necesidades Trimestrales'!F13</f>
        <v>CAJA</v>
      </c>
      <c r="J15" s="68">
        <f>'Necesidades Trimestrales'!H13</f>
        <v>344</v>
      </c>
      <c r="K15" s="69">
        <f>'Necesidades Trimestrales'!G13</f>
        <v>15</v>
      </c>
    </row>
    <row r="16" spans="1:11" ht="20.25" customHeight="1" thickBot="1" x14ac:dyDescent="0.25">
      <c r="A16" s="8">
        <v>5</v>
      </c>
      <c r="B16" s="65" t="str">
        <f>'Necesidades Trimestrales'!B14</f>
        <v>2.9.5-2557.11</v>
      </c>
      <c r="C16" s="98" t="str">
        <f>'Necesidades Trimestrales'!E14</f>
        <v>CUBREOBJETOS; MATERIAL: VIDRIO, DIMENSION: 24 X 50 mm, PRESENTACION: CAJA X 100 UN</v>
      </c>
      <c r="D16" s="98"/>
      <c r="E16" s="98"/>
      <c r="F16" s="98"/>
      <c r="G16" s="98"/>
      <c r="H16" s="66" t="s">
        <v>57</v>
      </c>
      <c r="I16" s="67" t="str">
        <f>'Necesidades Trimestrales'!F14</f>
        <v>CAJA</v>
      </c>
      <c r="J16" s="68">
        <f>'Necesidades Trimestrales'!H14</f>
        <v>688</v>
      </c>
      <c r="K16" s="69">
        <f>'Necesidades Trimestrales'!G14</f>
        <v>10</v>
      </c>
    </row>
    <row r="17" spans="1:1024" ht="20.25" customHeight="1" thickBot="1" x14ac:dyDescent="0.25">
      <c r="A17" s="8">
        <v>6</v>
      </c>
      <c r="B17" s="65" t="str">
        <f>'Necesidades Trimestrales'!B15</f>
        <v>2.9.5-2557.19</v>
      </c>
      <c r="C17" s="98" t="str">
        <f>'Necesidades Trimestrales'!E15</f>
        <v>CUBREOBJETOS; MATERIAL: VIDRIO, DIMENSION: 24 X 60 mm, PRESENTACION: CAJA X 100 UN</v>
      </c>
      <c r="D17" s="98"/>
      <c r="E17" s="98"/>
      <c r="F17" s="98"/>
      <c r="G17" s="98"/>
      <c r="H17" s="66" t="s">
        <v>57</v>
      </c>
      <c r="I17" s="67" t="str">
        <f>'Necesidades Trimestrales'!F15</f>
        <v>CAJA</v>
      </c>
      <c r="J17" s="68">
        <f>'Necesidades Trimestrales'!H15</f>
        <v>839</v>
      </c>
      <c r="K17" s="69">
        <f>'Necesidades Trimestrales'!G15</f>
        <v>15</v>
      </c>
    </row>
    <row r="18" spans="1:1024" ht="20.25" customHeight="1" thickBot="1" x14ac:dyDescent="0.25">
      <c r="A18" s="8">
        <v>7</v>
      </c>
      <c r="B18" s="65" t="str">
        <f>'Necesidades Trimestrales'!B16</f>
        <v>2.9.5-7870.18</v>
      </c>
      <c r="C18" s="98" t="str">
        <f>'Necesidades Trimestrales'!E16</f>
        <v>LAMPARAS P/AUTOANALIZADOR; TIPO: HALOGENA, EQUIPO: COBAS C-311, MARCA: ROCHE</v>
      </c>
      <c r="D18" s="98"/>
      <c r="E18" s="98"/>
      <c r="F18" s="98"/>
      <c r="G18" s="98"/>
      <c r="H18" s="66" t="s">
        <v>57</v>
      </c>
      <c r="I18" s="67" t="str">
        <f>'Necesidades Trimestrales'!F16</f>
        <v>UNIDAD</v>
      </c>
      <c r="J18" s="68">
        <f>'Necesidades Trimestrales'!H16</f>
        <v>90237</v>
      </c>
      <c r="K18" s="69">
        <f>'Necesidades Trimestrales'!G16</f>
        <v>4</v>
      </c>
    </row>
    <row r="19" spans="1:1024" ht="20.25" customHeight="1" thickBot="1" x14ac:dyDescent="0.25">
      <c r="A19" s="8">
        <v>8</v>
      </c>
      <c r="B19" s="65" t="str">
        <f>'Necesidades Trimestrales'!B17</f>
        <v>2.9.5-5321.4</v>
      </c>
      <c r="C19" s="98" t="str">
        <f>'Necesidades Trimestrales'!E17</f>
        <v>NAVAJAS P/MICROTOMO; TIPO: DESCARTABLE Nº 819, PRESENTACION: CAJA X 50 UN</v>
      </c>
      <c r="D19" s="98"/>
      <c r="E19" s="98"/>
      <c r="F19" s="98"/>
      <c r="G19" s="98"/>
      <c r="H19" s="66" t="s">
        <v>57</v>
      </c>
      <c r="I19" s="67" t="str">
        <f>'Necesidades Trimestrales'!F17</f>
        <v>CAJA</v>
      </c>
      <c r="J19" s="68">
        <f>'Necesidades Trimestrales'!H17</f>
        <v>40293</v>
      </c>
      <c r="K19" s="69">
        <f>'Necesidades Trimestrales'!G17</f>
        <v>3</v>
      </c>
    </row>
    <row r="20" spans="1:1024" ht="20.25" customHeight="1" thickBot="1" x14ac:dyDescent="0.25">
      <c r="A20" s="8">
        <v>9</v>
      </c>
      <c r="B20" s="65" t="str">
        <f>'Necesidades Trimestrales'!B18</f>
        <v>2.9.5-2591.12</v>
      </c>
      <c r="C20" s="98" t="str">
        <f>'Necesidades Trimestrales'!E18</f>
        <v>PLACAS DE PETRI; MATERIAL: POLIPROPILENO, DIAMETRO: 90 mm, ALTURA: 15 mm</v>
      </c>
      <c r="D20" s="98"/>
      <c r="E20" s="98"/>
      <c r="F20" s="98"/>
      <c r="G20" s="98"/>
      <c r="H20" s="66" t="s">
        <v>57</v>
      </c>
      <c r="I20" s="67" t="str">
        <f>'Necesidades Trimestrales'!F18</f>
        <v>UNIDAD</v>
      </c>
      <c r="J20" s="68">
        <f>'Necesidades Trimestrales'!H18</f>
        <v>28.8</v>
      </c>
      <c r="K20" s="69">
        <f>'Necesidades Trimestrales'!G18</f>
        <v>5000</v>
      </c>
    </row>
    <row r="21" spans="1:1024" ht="20.25" customHeight="1" thickBot="1" x14ac:dyDescent="0.25">
      <c r="A21" s="8">
        <v>10</v>
      </c>
      <c r="B21" s="65" t="str">
        <f>'Necesidades Trimestrales'!B19</f>
        <v>2.9.5-3492.338</v>
      </c>
      <c r="C21" s="98" t="str">
        <f>'Necesidades Trimestrales'!E19</f>
        <v>TIP; TIPO: AMARILLO CON CORONA, PRESENTACION: ENVASE X 1000 UN, CAPACIDAD: 5 A 200 µl</v>
      </c>
      <c r="D21" s="98"/>
      <c r="E21" s="98"/>
      <c r="F21" s="98"/>
      <c r="G21" s="98"/>
      <c r="H21" s="66" t="s">
        <v>57</v>
      </c>
      <c r="I21" s="67" t="str">
        <f>'Necesidades Trimestrales'!F19</f>
        <v>BOLSA</v>
      </c>
      <c r="J21" s="68">
        <f>'Necesidades Trimestrales'!H19</f>
        <v>1843</v>
      </c>
      <c r="K21" s="69">
        <f>'Necesidades Trimestrales'!G19</f>
        <v>10</v>
      </c>
    </row>
    <row r="22" spans="1:1024" ht="36.75" customHeight="1" thickBot="1" x14ac:dyDescent="0.25">
      <c r="A22" s="8">
        <v>11</v>
      </c>
      <c r="B22" s="65" t="str">
        <f>'Necesidades Trimestrales'!B20</f>
        <v>2.9.5-2576.56</v>
      </c>
      <c r="C22" s="98" t="str">
        <f>'Necesidades Trimestrales'!E20</f>
        <v>TUBOS AL VACIO P/EXTRACCION; MATERIAL: PLASTICO, MEDIDA: 2 mL, ADITIVO: EDTA TRIPOTASICO, AGUJA: SIN</v>
      </c>
      <c r="D22" s="98"/>
      <c r="E22" s="98"/>
      <c r="F22" s="98"/>
      <c r="G22" s="98"/>
      <c r="H22" s="66" t="s">
        <v>57</v>
      </c>
      <c r="I22" s="67" t="str">
        <f>'Necesidades Trimestrales'!F20</f>
        <v>UNIDAD</v>
      </c>
      <c r="J22" s="68">
        <f>'Necesidades Trimestrales'!H20</f>
        <v>17.25</v>
      </c>
      <c r="K22" s="69">
        <f>'Necesidades Trimestrales'!G20</f>
        <v>6000</v>
      </c>
    </row>
    <row r="23" spans="1:1024" ht="45" customHeight="1" thickBot="1" x14ac:dyDescent="0.25">
      <c r="A23" s="8">
        <v>12</v>
      </c>
      <c r="B23" s="65" t="str">
        <f>'Necesidades Trimestrales'!B21</f>
        <v>2.9.5-2576.58</v>
      </c>
      <c r="C23" s="98" t="str">
        <f>'Necesidades Trimestrales'!E21</f>
        <v>TUBOS AL VACIO P/EXTRACCION; MATERIAL: PLASTICO, MEDIDA: 2,7 ML, ADITIVO: CITRATO DE SODIO 3,2 %, AGUJA: SIN</v>
      </c>
      <c r="D23" s="98"/>
      <c r="E23" s="98"/>
      <c r="F23" s="98"/>
      <c r="G23" s="98"/>
      <c r="H23" s="66" t="s">
        <v>57</v>
      </c>
      <c r="I23" s="67" t="str">
        <f>'Necesidades Trimestrales'!F21</f>
        <v>UNIDAD</v>
      </c>
      <c r="J23" s="68">
        <f>'Necesidades Trimestrales'!H21</f>
        <v>18.98</v>
      </c>
      <c r="K23" s="69">
        <f>'Necesidades Trimestrales'!G21</f>
        <v>2500</v>
      </c>
    </row>
    <row r="24" spans="1:1024" ht="35.25" customHeight="1" thickBot="1" x14ac:dyDescent="0.25">
      <c r="A24" s="8">
        <v>13</v>
      </c>
      <c r="B24" s="65" t="str">
        <f>'Necesidades Trimestrales'!B22</f>
        <v>2.9.5-2576.40</v>
      </c>
      <c r="C24" s="98" t="str">
        <f>'Necesidades Trimestrales'!E22</f>
        <v>TUBOS AL VACIO P/EXTRACCION; MATERIAL: POLIETILENO, MEDIDA: CAPACIDAD 3,5 ML. 13 X 75 mm, ADITIVO: ACTIVADOR DE COAGULO, AGUJA: SIN</v>
      </c>
      <c r="D24" s="98"/>
      <c r="E24" s="98"/>
      <c r="F24" s="98"/>
      <c r="G24" s="98"/>
      <c r="H24" s="66" t="s">
        <v>57</v>
      </c>
      <c r="I24" s="67" t="str">
        <f>'Necesidades Trimestrales'!F22</f>
        <v>UNIDAD</v>
      </c>
      <c r="J24" s="68">
        <f>'Necesidades Trimestrales'!H22</f>
        <v>25.8</v>
      </c>
      <c r="K24" s="69">
        <f>'Necesidades Trimestrales'!G22</f>
        <v>6000</v>
      </c>
    </row>
    <row r="25" spans="1:1024" ht="40.5" customHeight="1" thickBot="1" x14ac:dyDescent="0.25">
      <c r="A25" s="8">
        <v>14</v>
      </c>
      <c r="B25" s="65" t="str">
        <f>'Necesidades Trimestrales'!B23</f>
        <v>2.9.5-468.72</v>
      </c>
      <c r="C25" s="98" t="str">
        <f>'Necesidades Trimestrales'!E23</f>
        <v>TUBOS DE ENSAYO; TIPO: CONICO P/CENTRIFUGA, MATERIAL: VIDRIO, DIMENSION: 15 mL, ACCESORIOS: TAPA A ROSCA, ACCESORIO: TAPA A ROSCA</v>
      </c>
      <c r="D25" s="98"/>
      <c r="E25" s="98"/>
      <c r="F25" s="98"/>
      <c r="G25" s="98"/>
      <c r="H25" s="66" t="s">
        <v>57</v>
      </c>
      <c r="I25" s="67" t="str">
        <f>'Necesidades Trimestrales'!F23</f>
        <v>UNIDAD</v>
      </c>
      <c r="J25" s="68">
        <f>'Necesidades Trimestrales'!H23</f>
        <v>33.799999999999997</v>
      </c>
      <c r="K25" s="69">
        <f>'Necesidades Trimestrales'!G23</f>
        <v>200</v>
      </c>
    </row>
    <row r="26" spans="1:1024" ht="35.25" customHeight="1" thickBot="1" x14ac:dyDescent="0.25">
      <c r="A26" s="99" t="s">
        <v>101</v>
      </c>
      <c r="B26" s="99"/>
      <c r="C26" s="99"/>
      <c r="D26" s="99"/>
      <c r="E26" s="99"/>
      <c r="F26" s="99"/>
      <c r="G26" s="99"/>
      <c r="H26" s="99"/>
      <c r="I26" s="99"/>
      <c r="J26" s="100">
        <f>SUMPRODUCT(J12:J25,K12:K25)</f>
        <v>1253687</v>
      </c>
      <c r="K26" s="100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</row>
  </sheetData>
  <mergeCells count="36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26:I26"/>
    <mergeCell ref="J26:K2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22:G22"/>
    <mergeCell ref="C23:G23"/>
    <mergeCell ref="C24:G24"/>
    <mergeCell ref="C25:G25"/>
    <mergeCell ref="C12:G12"/>
    <mergeCell ref="C21:G21"/>
    <mergeCell ref="C18:G18"/>
    <mergeCell ref="C19:G19"/>
    <mergeCell ref="C20:G20"/>
    <mergeCell ref="C13:G13"/>
    <mergeCell ref="C14:G14"/>
    <mergeCell ref="C15:G15"/>
    <mergeCell ref="C16:G16"/>
    <mergeCell ref="C17:G17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"/>
  <sheetViews>
    <sheetView topLeftCell="A7" zoomScale="130" zoomScaleNormal="130" workbookViewId="0">
      <selection activeCell="O15" sqref="O15:P15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34" t="s">
        <v>3</v>
      </c>
      <c r="B1" s="134"/>
      <c r="C1" s="134"/>
      <c r="D1" s="135">
        <f>'Necesidades Trimestrales'!C6</f>
        <v>2022</v>
      </c>
      <c r="E1" s="135"/>
      <c r="F1" s="10"/>
      <c r="G1" s="10"/>
      <c r="H1" s="11"/>
      <c r="I1" s="11"/>
      <c r="J1" s="11"/>
      <c r="K1" s="11"/>
      <c r="L1" s="11"/>
      <c r="M1" s="11"/>
      <c r="N1" s="11"/>
      <c r="P1" s="136" t="s">
        <v>31</v>
      </c>
      <c r="Q1" s="136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36"/>
      <c r="Q2" s="136"/>
    </row>
    <row r="4" spans="1:17" s="12" customFormat="1" ht="18" customHeight="1" thickBot="1" x14ac:dyDescent="0.25">
      <c r="A4" s="137" t="s">
        <v>32</v>
      </c>
      <c r="B4" s="137"/>
      <c r="C4" s="137"/>
      <c r="D4" s="137"/>
      <c r="E4" s="137"/>
      <c r="F4" s="137"/>
      <c r="G4" s="132" t="str">
        <f>NotaPedido!D3</f>
        <v>40 - Ministerio de Salud</v>
      </c>
      <c r="H4" s="132"/>
      <c r="I4" s="132"/>
      <c r="J4" s="132"/>
      <c r="K4" s="132"/>
      <c r="L4" s="132"/>
      <c r="M4" s="132"/>
      <c r="N4" s="132"/>
      <c r="O4" s="132"/>
      <c r="P4" s="132"/>
      <c r="Q4" s="132"/>
    </row>
    <row r="5" spans="1:17" s="12" customFormat="1" ht="18" customHeight="1" thickBot="1" x14ac:dyDescent="0.25">
      <c r="A5" s="129" t="s">
        <v>55</v>
      </c>
      <c r="B5" s="130"/>
      <c r="C5" s="130"/>
      <c r="D5" s="130"/>
      <c r="E5" s="130"/>
      <c r="F5" s="131"/>
      <c r="G5" s="132" t="str">
        <f>NotaPedido!D4</f>
        <v>23 - Hospital Interzonal San Juan Bautista</v>
      </c>
      <c r="H5" s="132"/>
      <c r="I5" s="132"/>
      <c r="J5" s="132"/>
      <c r="K5" s="132"/>
      <c r="L5" s="132"/>
      <c r="M5" s="132"/>
      <c r="N5" s="132"/>
      <c r="O5" s="132"/>
      <c r="P5" s="132"/>
      <c r="Q5" s="132"/>
    </row>
    <row r="6" spans="1:17" s="12" customFormat="1" ht="18" customHeight="1" thickBot="1" x14ac:dyDescent="0.25">
      <c r="A6" s="129" t="s">
        <v>33</v>
      </c>
      <c r="B6" s="130"/>
      <c r="C6" s="130"/>
      <c r="D6" s="130"/>
      <c r="E6" s="130"/>
      <c r="F6" s="131"/>
      <c r="G6" s="132" t="str">
        <f>NotaPedido!D5</f>
        <v>168 - Direccion Asistencial</v>
      </c>
      <c r="H6" s="132"/>
      <c r="I6" s="132"/>
      <c r="J6" s="132"/>
      <c r="K6" s="132"/>
      <c r="L6" s="132"/>
      <c r="M6" s="132"/>
      <c r="N6" s="132"/>
      <c r="O6" s="132"/>
      <c r="P6" s="132"/>
      <c r="Q6" s="132"/>
    </row>
    <row r="7" spans="1:17" s="12" customFormat="1" ht="18" customHeight="1" thickBot="1" x14ac:dyDescent="0.25">
      <c r="A7" s="129" t="s">
        <v>56</v>
      </c>
      <c r="B7" s="130"/>
      <c r="C7" s="130"/>
      <c r="D7" s="130"/>
      <c r="E7" s="130"/>
      <c r="F7" s="131"/>
      <c r="G7" s="132" t="str">
        <f>NotaPedido!D6</f>
        <v>Servicio de Laboratorio Central</v>
      </c>
      <c r="H7" s="132"/>
      <c r="I7" s="132"/>
      <c r="J7" s="132"/>
      <c r="K7" s="132"/>
      <c r="L7" s="132"/>
      <c r="M7" s="132"/>
      <c r="N7" s="132"/>
      <c r="O7" s="132"/>
      <c r="P7" s="132"/>
      <c r="Q7" s="132"/>
    </row>
    <row r="8" spans="1:17" ht="18" customHeight="1" thickBot="1" x14ac:dyDescent="0.25">
      <c r="A8" s="133" t="s">
        <v>34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</row>
    <row r="9" spans="1:17" ht="18" customHeight="1" x14ac:dyDescent="0.2">
      <c r="A9" s="123" t="s">
        <v>35</v>
      </c>
      <c r="B9" s="123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"/>
      <c r="P9" s="1"/>
      <c r="Q9" s="13"/>
    </row>
    <row r="10" spans="1:17" ht="54.75" customHeight="1" x14ac:dyDescent="0.2">
      <c r="A10" s="124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DOCFI-2022-01541886-CAT-DASIS#HSJB,  afectando la erogación resultante a los créditos presupuestarios aprobados a favor de esta Unidad Ejecutora, conforme al siguiente detalle: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25" t="s">
        <v>36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</row>
    <row r="13" spans="1:17" ht="15.75" customHeight="1" x14ac:dyDescent="0.2">
      <c r="A13" s="126" t="s">
        <v>37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7" t="s">
        <v>38</v>
      </c>
      <c r="P13" s="127"/>
      <c r="Q13" s="128" t="s">
        <v>39</v>
      </c>
    </row>
    <row r="14" spans="1:17" ht="15.75" customHeight="1" x14ac:dyDescent="0.2">
      <c r="A14" s="18" t="s">
        <v>40</v>
      </c>
      <c r="B14" s="19" t="s">
        <v>41</v>
      </c>
      <c r="C14" s="19" t="s">
        <v>42</v>
      </c>
      <c r="D14" s="19" t="s">
        <v>43</v>
      </c>
      <c r="E14" s="19" t="s">
        <v>44</v>
      </c>
      <c r="F14" s="19" t="s">
        <v>45</v>
      </c>
      <c r="G14" s="20" t="s">
        <v>46</v>
      </c>
      <c r="H14" s="19" t="s">
        <v>47</v>
      </c>
      <c r="I14" s="19" t="s">
        <v>48</v>
      </c>
      <c r="J14" s="19" t="s">
        <v>49</v>
      </c>
      <c r="K14" s="19" t="s">
        <v>49</v>
      </c>
      <c r="L14" s="19" t="s">
        <v>50</v>
      </c>
      <c r="M14" s="21" t="s">
        <v>51</v>
      </c>
      <c r="N14" s="22" t="s">
        <v>52</v>
      </c>
      <c r="O14" s="127"/>
      <c r="P14" s="127"/>
      <c r="Q14" s="128"/>
    </row>
    <row r="15" spans="1:17" ht="17.25" customHeight="1" x14ac:dyDescent="0.2">
      <c r="A15" s="72">
        <v>33</v>
      </c>
      <c r="B15" s="73"/>
      <c r="C15" s="73"/>
      <c r="D15" s="73">
        <v>2</v>
      </c>
      <c r="E15" s="73"/>
      <c r="F15" s="73">
        <v>4901</v>
      </c>
      <c r="G15" s="73">
        <v>3</v>
      </c>
      <c r="H15" s="74" t="s">
        <v>61</v>
      </c>
      <c r="I15" s="75">
        <v>2</v>
      </c>
      <c r="J15" s="75">
        <v>9</v>
      </c>
      <c r="K15" s="75">
        <v>5</v>
      </c>
      <c r="L15" s="73"/>
      <c r="M15" s="76">
        <v>1</v>
      </c>
      <c r="N15" s="74" t="s">
        <v>62</v>
      </c>
      <c r="O15" s="120" t="s">
        <v>63</v>
      </c>
      <c r="P15" s="120"/>
      <c r="Q15" s="23">
        <v>1253687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70"/>
      <c r="I16" s="25"/>
      <c r="J16" s="25"/>
      <c r="K16" s="25"/>
      <c r="L16" s="25"/>
      <c r="M16" s="26"/>
      <c r="N16" s="71"/>
      <c r="O16" s="121"/>
      <c r="P16" s="121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70"/>
      <c r="I17" s="25"/>
      <c r="J17" s="25"/>
      <c r="K17" s="25"/>
      <c r="L17" s="25"/>
      <c r="M17" s="26"/>
      <c r="N17" s="71"/>
      <c r="O17" s="122"/>
      <c r="P17" s="121"/>
      <c r="Q17" s="28"/>
      <c r="S17" s="77"/>
    </row>
    <row r="18" spans="1:19" ht="17.25" customHeight="1" x14ac:dyDescent="0.2">
      <c r="A18" s="24"/>
      <c r="B18" s="25"/>
      <c r="C18" s="25"/>
      <c r="D18" s="25"/>
      <c r="E18" s="25"/>
      <c r="F18" s="27"/>
      <c r="G18" s="25"/>
      <c r="H18" s="25"/>
      <c r="I18" s="25"/>
      <c r="J18" s="25"/>
      <c r="K18" s="25"/>
      <c r="L18" s="25"/>
      <c r="M18" s="26"/>
      <c r="N18" s="27"/>
      <c r="O18" s="115"/>
      <c r="P18" s="115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15"/>
      <c r="P19" s="115"/>
      <c r="Q19" s="28"/>
    </row>
    <row r="20" spans="1:19" ht="17.25" customHeight="1" x14ac:dyDescent="0.2">
      <c r="A20" s="29"/>
      <c r="B20" s="30"/>
      <c r="C20" s="30"/>
      <c r="D20" s="30"/>
      <c r="E20" s="30"/>
      <c r="F20" s="31"/>
      <c r="G20" s="30"/>
      <c r="H20" s="30"/>
      <c r="I20" s="30"/>
      <c r="J20" s="30"/>
      <c r="K20" s="30"/>
      <c r="L20" s="30"/>
      <c r="M20" s="32"/>
      <c r="N20" s="33"/>
      <c r="O20" s="116"/>
      <c r="P20" s="116"/>
      <c r="Q20" s="28"/>
      <c r="R20" s="1"/>
    </row>
    <row r="21" spans="1:19" ht="17.25" customHeight="1" x14ac:dyDescent="0.2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6"/>
      <c r="N21" s="35"/>
      <c r="O21" s="117"/>
      <c r="P21" s="117"/>
      <c r="Q21" s="37"/>
    </row>
    <row r="22" spans="1:19" ht="30.6" customHeight="1" x14ac:dyDescent="0.2">
      <c r="A22" s="118" t="s">
        <v>102</v>
      </c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38">
        <f>SUM(Q15:Q21)</f>
        <v>1253687</v>
      </c>
    </row>
    <row r="23" spans="1:19" ht="18" customHeight="1" thickBot="1" x14ac:dyDescent="0.25">
      <c r="A23" s="119"/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</row>
    <row r="24" spans="1:19" ht="17.25" customHeight="1" thickBot="1" x14ac:dyDescent="0.25">
      <c r="A24" s="110" t="s">
        <v>53</v>
      </c>
      <c r="B24" s="111"/>
      <c r="C24" s="111"/>
      <c r="D24" s="111"/>
      <c r="E24" s="111"/>
      <c r="F24" s="112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</row>
    <row r="25" spans="1:19" ht="18" customHeight="1" thickBot="1" x14ac:dyDescent="0.25">
      <c r="A25" s="114" t="str">
        <f>"Para la "&amp; NotaPedido!D8 &amp;" para ser destinados al " &amp; NotaPedido!D6 &amp;"  del HISJB del Ministerio de Salud."</f>
        <v>Para la Adquisición de Descartables para Laboratorios para ser destinados al Servicio de Laboratorio Central  del HISJB del Ministerio de Salud.</v>
      </c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</row>
    <row r="26" spans="1:19" ht="15" customHeight="1" x14ac:dyDescent="0.2">
      <c r="A26" s="114"/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24:F24"/>
    <mergeCell ref="G24:Q24"/>
    <mergeCell ref="A25:Q26"/>
    <mergeCell ref="O19:P19"/>
    <mergeCell ref="O20:P20"/>
    <mergeCell ref="O21:P21"/>
    <mergeCell ref="A22:P22"/>
    <mergeCell ref="A23:Q23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COMPRAS</cp:lastModifiedBy>
  <cp:revision>2</cp:revision>
  <cp:lastPrinted>2020-07-17T22:18:48Z</cp:lastPrinted>
  <dcterms:created xsi:type="dcterms:W3CDTF">2020-07-17T23:44:49Z</dcterms:created>
  <dcterms:modified xsi:type="dcterms:W3CDTF">2022-08-23T14:32:53Z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