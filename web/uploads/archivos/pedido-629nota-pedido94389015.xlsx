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POLICIA CTCA\Repuestos\4to Trim.2022\"/>
    </mc:Choice>
  </mc:AlternateContent>
  <xr:revisionPtr revIDLastSave="0" documentId="13_ncr:1_{B38E7389-AB3B-43BF-B515-7E02E4CE463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Hoja1" sheetId="5" r:id="rId2"/>
    <sheet name="NOTA" sheetId="4" state="hidden" r:id="rId3"/>
  </sheets>
  <definedNames>
    <definedName name="_xlnm._FilterDatabase" localSheetId="1" hidden="1">Hoja1!$A$1:$G$223</definedName>
  </definedNames>
  <calcPr calcId="181029"/>
</workbook>
</file>

<file path=xl/calcChain.xml><?xml version="1.0" encoding="utf-8"?>
<calcChain xmlns="http://schemas.openxmlformats.org/spreadsheetml/2006/main">
  <c r="I224" i="1" l="1"/>
  <c r="I225" i="1"/>
  <c r="I226" i="1"/>
  <c r="I227" i="1"/>
  <c r="I228" i="1"/>
  <c r="I229" i="1"/>
  <c r="I230" i="1"/>
  <c r="I231" i="1"/>
  <c r="I223" i="1" l="1"/>
  <c r="I219" i="1"/>
  <c r="I220" i="1"/>
  <c r="I221" i="1"/>
  <c r="I222" i="1"/>
  <c r="I114" i="1" l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0" i="1"/>
  <c r="I232" i="1" l="1"/>
</calcChain>
</file>

<file path=xl/sharedStrings.xml><?xml version="1.0" encoding="utf-8"?>
<sst xmlns="http://schemas.openxmlformats.org/spreadsheetml/2006/main" count="2252" uniqueCount="825">
  <si>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</si>
  <si>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</si>
  <si>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</si>
  <si>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</si>
  <si>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</si>
  <si>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</si>
  <si>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</si>
  <si>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</si>
  <si>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</si>
  <si>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</si>
  <si>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</si>
  <si>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</si>
  <si>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</si>
  <si>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</si>
  <si>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</si>
  <si>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</si>
  <si>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2.9.6-4978.9996</t>
  </si>
  <si>
    <t>REPUESTOS</t>
  </si>
  <si>
    <t>2.9.6</t>
  </si>
  <si>
    <t>REP. Y ACC. P/AUTOMOTOR; MARCA AUTOMOVIL: CITROEN, MODELO AUTOMOVIL: BERLINGO, ELEMENTO: KIT DE FILTROS</t>
  </si>
  <si>
    <t>UNIDAD</t>
  </si>
  <si>
    <t>2.9.6-4978.9997</t>
  </si>
  <si>
    <t>REP. Y ACC. P/AUTOMOTOR; MARCA AUTOMOVIL: FIAT, MODELO AUTOMOVIL: SIENA, ELEMENTO: KIT DE FILTROS</t>
  </si>
  <si>
    <t>2.9.6-4978.9998</t>
  </si>
  <si>
    <t>REP. Y ACC. P/AUTOMOTOR; MARCA AUTOMOVIL: TOYOTA, MODELO AUTOMOVIL: ETIOS, ELEMENTO: KIT DE FILTROS</t>
  </si>
  <si>
    <t>2.9.6-9688.624</t>
  </si>
  <si>
    <t>REP. Y ACC. P/CAMIONETAS; MARCA AUTOMOTOR: SEGÚN PLIEGO, MODELO AUTOMOTOR: SEGÚN PLIEGO, ELEMENTO: KIT DE FILTROS</t>
  </si>
  <si>
    <t>2.9.6-9688.390</t>
  </si>
  <si>
    <t>REP. Y ACC. P/CAMIONETAS; MARCA AUTOMOTOR: TOYOTA, MODELO AUTOMOTOR: HILUX, ELEMENTO: KIT DE FILTROS</t>
  </si>
  <si>
    <t>2.9.6-9688.386</t>
  </si>
  <si>
    <t>REP. Y ACC. P/CAMIONETAS; MARCA AUTOMOTOR: CHEVROLET, MODELO AUTOMOTOR: S10, ELEMENTO: KIT DE FILTROS</t>
  </si>
  <si>
    <t>2.9.6-9688.94</t>
  </si>
  <si>
    <t>REP. Y ACC. P/CAMIONETAS; MARCA AUTOMOTOR: CHEVROLET, MODELO AUTOMOTOR: S10, ELEMENTO: VOLANTE BIMASA</t>
  </si>
  <si>
    <t>2.9.6-9688.534</t>
  </si>
  <si>
    <t>REP. Y ACC. P/CAMIONETAS; MARCA AUTOMOTOR: CHEVROLET, MODELO AUTOMOTOR: S10, ELEMENTO: AMORTIGUADOR DELANTERO</t>
  </si>
  <si>
    <t>2.9.6-9688.535</t>
  </si>
  <si>
    <t>REP. Y ACC. P/CAMIONETAS; MARCA AUTOMOTOR: CHEVROLET, MODELO AUTOMOTOR: S10, ELEMENTO: AMORTIGUADOR TRASERO</t>
  </si>
  <si>
    <t>2.9.6-9688.203</t>
  </si>
  <si>
    <t>REP. Y ACC. P/CAMIONETAS; MARCA AUTOMOTOR: VOLKSWAGEN, MODELO AUTOMOTOR: AMAROK, ELEMENTO: PASTILLA DE FRENO</t>
  </si>
  <si>
    <t>2.9.6-9688.137</t>
  </si>
  <si>
    <t>REP. Y ACC. P/CAMIONETAS; MARCA AUTOMOTOR: TOYOTA, MODELO AUTOMOTOR: HILUX, ELEMENTO: JGO DE PASTILLAS DE FRENO</t>
  </si>
  <si>
    <t>2.9.6-9688.625</t>
  </si>
  <si>
    <t>REP. Y ACC. P/CAMIONETAS; MARCA AUTOMOTOR: SEGÚN PLIEGO, MODELO AUTOMOTOR: SEGÚN PLIEGO, ELEMENTO: JUEGO PASTILLAS DE FRENO</t>
  </si>
  <si>
    <t>2.9.6-9688.627</t>
  </si>
  <si>
    <t>REP. Y ACC. P/CAMIONETAS; MARCA AUTOMOTOR: SEGÚN PLIEGO, MODELO AUTOMOTOR: SEGÚN PLIEGO, ELEMENTO: VOLANTE BIMASA</t>
  </si>
  <si>
    <t>2.9.6-9688.145</t>
  </si>
  <si>
    <t>REP. Y ACC. P/CAMIONETAS; MARCA AUTOMOTOR: VOLKSWAGEN, MODELO AUTOMOTOR: AMAROK, ELEMENTO: CONJUNTO EMBRAGUE</t>
  </si>
  <si>
    <t>2.9.6-9688.194</t>
  </si>
  <si>
    <t>REP. Y ACC. P/CAMIONETAS; MARCA AUTOMOTOR: VOLKSWAGEN, MODELO AUTOMOTOR: AMAROK, ELEMENTO: PRECAP DE DIRECCION</t>
  </si>
  <si>
    <t>2.9.6-9688.660</t>
  </si>
  <si>
    <t>REP. Y ACC. P/CAMIONETAS; MARCA AUTOMOTOR: VOLKSWAGEN, MODELO AUTOMOTOR: AMAROK, ELEMENTO: EXTREMO DE DIRECCION</t>
  </si>
  <si>
    <t>2.9.6-9688.661</t>
  </si>
  <si>
    <t>REP. Y ACC. P/CAMIONETAS; MARCA AUTOMOTOR: VOLKSWAGEN, MODELO AUTOMOTOR: AMAROK, ELEMENTO: JUEGO DE BIELAS</t>
  </si>
  <si>
    <t>2.9.6-9688.662</t>
  </si>
  <si>
    <t>REP. Y ACC. P/CAMIONETAS; MARCA AUTOMOTOR: VOLKSWAGEN, MODELO AUTOMOTOR: AMAROK, ELEMENTO: RODILLO COLA DEL CIGÜEÑAL</t>
  </si>
  <si>
    <t>2.9.6-9688.663</t>
  </si>
  <si>
    <t xml:space="preserve">REP. Y ACC. P/CAMIONETAS; MARCA AUTOMOTOR: VOLKSWAGEN, MODELO AUTOMOTOR: AMAROK, ELEMENTO: REGULADOR DE VOLTAJE </t>
  </si>
  <si>
    <t>2.9.6-9688.189</t>
  </si>
  <si>
    <t>REP. Y ACC. P/CAMIONETAS; MARCA AUTOMOTOR: VOLKSWAGEN, MODELO AUTOMOTOR: AMAROK, ELEMENTO: KIT DE DISTRIBUCION</t>
  </si>
  <si>
    <t>2.9.6-9688.628</t>
  </si>
  <si>
    <t>REP. Y ACC. P/CAMIONETAS; MARCA AUTOMOTOR: SEGÚN PLIEGO, MODELO AUTOMOTOR: SEGÚN PLIEGO, ELEMENTO: ENFRIADOR DE ACEITE</t>
  </si>
  <si>
    <t>2.9.6-9688.641</t>
  </si>
  <si>
    <t>REP. Y ACC. P/CAMIONETAS; MARCA AUTOMOTOR: SEGÚN PLIEGO, MODELO AUTOMOTOR: SEGÚN PLIEGO, ELEMENTO: PARRILLA SUPERIOR</t>
  </si>
  <si>
    <t>2.9.6-9688.190</t>
  </si>
  <si>
    <t>REP. Y ACC. P/CAMIONETAS; MARCA AUTOMOTOR: VOLKSWAGEN, MODELO AUTOMOTOR: AMAROK, ELEMENTO: PARRILLA DE SUSPENSION INF.</t>
  </si>
  <si>
    <t>2.9.6-9688.633</t>
  </si>
  <si>
    <t>REP. Y ACC. P/CAMIONETAS; MARCA AUTOMOTOR: SEGÚN PLIEGO, MODELO AUTOMOTOR: SEGÚN PLIEGO, ELEMENTO: TENSOR MONOCORREA</t>
  </si>
  <si>
    <t>2.9.6-9688.202</t>
  </si>
  <si>
    <t>REP. Y ACC. P/CAMIONETAS; MARCA AUTOMOTOR: VOLKSWAGEN, MODELO AUTOMOTOR: AMAROK, ELEMENTO: DISCOS DE FRENOS</t>
  </si>
  <si>
    <t>2.9.6-9688.629</t>
  </si>
  <si>
    <t>REP. Y ACC. P/CAMIONETAS; MARCA AUTOMOTOR: SEGÚN PLIEGO, MODELO AUTOMOTOR: SEGÚN PLIEGO, ELEMENTO: BOMBA DE COMBUSTIBLE</t>
  </si>
  <si>
    <t>2.9.6-9688.634</t>
  </si>
  <si>
    <t>REP. Y ACC. P/CAMIONETAS; MARCA AUTOMOTOR: SEGÚN PLIEGO, MODELO AUTOMOTOR: SEGÚN PLIEGO, ELEMENTO: BOMBA AUXILIAR ELECTRICA</t>
  </si>
  <si>
    <t>2.9.6-9688.157</t>
  </si>
  <si>
    <t>REP. Y ACC. P/CAMIONETAS; MARCA AUTOMOTOR: VOLKSWAGEN, MODELO AUTOMOTOR: AMAROK, ELEMENTO: CORREA POLI V</t>
  </si>
  <si>
    <t>2.9.6-9688.636</t>
  </si>
  <si>
    <t>REP. Y ACC. P/CAMIONETAS; MARCA AUTOMOTOR: SEGÚN PLIEGO, MODELO AUTOMOTOR: SEGÚN PLIEGO, ELEMENTO: RETEN DE CIGÜEÑAL CON CARCASA PORTA RETEN</t>
  </si>
  <si>
    <t>2.9.6-9688.198</t>
  </si>
  <si>
    <t>REP. Y ACC. P/CAMIONETAS; MARCA AUTOMOTOR: VOLKSWAGEN, MODELO AUTOMOTOR: AMAROK, ELEMENTO: TENSOR CORREA MULTIVIA</t>
  </si>
  <si>
    <t>2.9.6-9688.228</t>
  </si>
  <si>
    <t>REP. Y ACC. P/CAMIONETAS; MARCA AUTOMOTOR: TOYOTA, MODELO AUTOMOTOR: HILUX, ELEMENTO: KIT DE EMBRAGUE</t>
  </si>
  <si>
    <t>2.9.6-9688.664</t>
  </si>
  <si>
    <t>REP. Y ACC. P/CAMIONETAS; MARCA AUTOMOTOR: NISSAN, MODELO AUTOMOTOR: FRONTIER, ELEMENTO: KIT DE EMBRAGUE</t>
  </si>
  <si>
    <t>2.9.6-9688.665</t>
  </si>
  <si>
    <t>REP. Y ACC. P/CAMIONETAS; MARCA AUTOMOTOR: NISSAN, MODELO AUTOMOTOR: FRONTIER, ELEMENTO: KIT DE DISTRUBUCION</t>
  </si>
  <si>
    <t>2.9.6-9688.560</t>
  </si>
  <si>
    <t>REP. Y ACC. P/CAMIONETAS; MARCA AUTOMOTOR: NISSAN, MODELO AUTOMOTOR: FRONTIER, ELEMENTO: AMORTIGUADOR TRASERO</t>
  </si>
  <si>
    <t>2.9.6-9688.496</t>
  </si>
  <si>
    <t>REP. Y ACC. P/CAMIONETAS; MARCA AUTOMOTOR: NISSAN, MODELO AUTOMOTOR: FRONTIER, ELEMENTO: AMORTIGUADOR DELANTERO</t>
  </si>
  <si>
    <t>2.9.6-9688.552</t>
  </si>
  <si>
    <t>REP. Y ACC. P/CAMIONETAS; MARCA AUTOMOTOR: NISSAN, MODELO AUTOMOTOR: FRONTIER, ELEMENTO: EXTREMO DE DIRECCION</t>
  </si>
  <si>
    <t>2.9.6-9688.556</t>
  </si>
  <si>
    <t>REP. Y ACC. P/CAMIONETAS; MARCA AUTOMOTOR: NISSAN, MODELO AUTOMOTOR: FRONTIER, ELEMENTO: BIELETAS DE BARRA</t>
  </si>
  <si>
    <t>2.9.6-9688.564</t>
  </si>
  <si>
    <t>REP. Y ACC. P/CAMIONETAS; MARCA AUTOMOTOR: NISSAN, MODELO AUTOMOTOR: FRONTIER, ELEMENTO: PRECAP</t>
  </si>
  <si>
    <t>2.9.6-9688.558</t>
  </si>
  <si>
    <t>REP. Y ACC. P/CAMIONETAS; MARCA AUTOMOTOR: NISSAN, MODELO AUTOMOTOR: FRONTIER, ELEMENTO: PARRILLA SUPERIOR</t>
  </si>
  <si>
    <t>2.9.6-9688.557</t>
  </si>
  <si>
    <t>REP. Y ACC. P/CAMIONETAS; MARCA AUTOMOTOR: NISSAN, MODELO AUTOMOTOR: FRONTIER, ELEMENTO: PARRILLA INFERIOR</t>
  </si>
  <si>
    <t>2.9.6-9688.495</t>
  </si>
  <si>
    <t>REP. Y ACC. P/CAMIONETAS; MARCA AUTOMOTOR: NISSAN, MODELO AUTOMOTOR: FRONTIER, ELEMENTO: PASTILLA DE FRENO</t>
  </si>
  <si>
    <t>2.9.6-9688.365</t>
  </si>
  <si>
    <t>REP. Y ACC. P/CAMIONETAS; MARCA AUTOMOTOR: TOYOTA, MODELO AUTOMOTOR: HILUX, ELEMENTO: KIT DE DISTRIBUCION</t>
  </si>
  <si>
    <t>2.9.6-9688.435</t>
  </si>
  <si>
    <t>REP. Y ACC. P/CAMIONETAS; MARCA AUTOMOTOR: TOYOTA, MODELO AUTOMOTOR: HILUX, ELEMENTO: BOMBA DE AGUA</t>
  </si>
  <si>
    <t>2.9.6-9688.637</t>
  </si>
  <si>
    <t>REP. Y ACC. P/CAMIONETAS; MARCA AUTOMOTOR: SEGÚN PLIEGO, MODELO AUTOMOTOR: SEGÚN PLIEGO, ELEMENTO: DERIVADOR DE AGUA</t>
  </si>
  <si>
    <t>2.9.6-9688.638</t>
  </si>
  <si>
    <t>REP. Y ACC. P/CAMIONETAS; MARCA AUTOMOTOR: SEGÚN PLIEGO, MODELO AUTOMOTOR: SEGÚN PLIEGO, ELEMENTO: POLEA EMBRAGUE PARA ALTERNADOR</t>
  </si>
  <si>
    <t>2.9.6-9688.639</t>
  </si>
  <si>
    <t>REP. Y ACC. P/CAMIONETAS; MARCA AUTOMOTOR: SEGÚN PLIEGO, MODELO AUTOMOTOR: SEGÚN PLIEGO, ELEMENTO: TERMOSTATO</t>
  </si>
  <si>
    <t>2.9.6-9688.640</t>
  </si>
  <si>
    <t>REP. Y ACC. P/CAMIONETAS; MARCA AUTOMOTOR: SEGÚN PLIEGO, MODELO AUTOMOTOR: SEGÚN PLIEGO, ELEMENTO: RODAMIENTO</t>
  </si>
  <si>
    <t>2.9.6-4978.9992</t>
  </si>
  <si>
    <t>REP. Y ACC. P/AUTOMOTOR; REPUESTO: KIT DE FILTRO, MARCA: SEGÚN PLIEGO, MODELO: SEGÚN PLIEGO</t>
  </si>
  <si>
    <t>2.9.6-4978.9986</t>
  </si>
  <si>
    <t>REP. Y ACC. P/AUTOMOTOR; REPUESTO: PRECAP, MARCA: SEGUN PLIEGO, MODELO: SEGUN PLIEGO, TIPO: AUTO</t>
  </si>
  <si>
    <t>2.9.6-4978.9987</t>
  </si>
  <si>
    <t>REP. Y ACC. P/AUTOMOTOR; REPUESTO: BIELETA, MARCA: SEGUN PLIEGO, MODELO: SEGUN PLIEGO, TIPO: AUTO</t>
  </si>
  <si>
    <t>2.9.6-4978.9988</t>
  </si>
  <si>
    <t>REP. Y ACC. P/AUTOMOTOR; REPUESTO: EXTREMO DE DIRECCION, MARCA: SEGUN PLIEGO, MODELO: SEGUN PLIEGO, TIPO: AUTO</t>
  </si>
  <si>
    <t>2.9.6-4978.9989</t>
  </si>
  <si>
    <t>REP. Y ACC. P/AUTOMOTOR; REPUESTO: JUEGO DE PASTILLAS DE FRENO, MARCA: SEGUN PLIEGO, MODELO: SEGUN PLIEGO, TIPO: AUTO</t>
  </si>
  <si>
    <t>2.9.6-9740.913</t>
  </si>
  <si>
    <t>REP. Y ACC. P/AUTOMOVILES; MARCA AUTOMOVIL: TOYOTA, MODELO AUTOMOVIL: ETIOS, ELEMENTO: PARRILLA SUPERIOR</t>
  </si>
  <si>
    <t>2.9.6-4978.9990</t>
  </si>
  <si>
    <t>REP. Y ACC. P/AUTOMOTOR; REPUESTO: BUJE BARRA ESTABILIZADORA, MARCA: SEGUN PLIEGO, MODELO: SEGUN PLIEGO, TIPO: AUTO</t>
  </si>
  <si>
    <t>2.9.6-9688.630</t>
  </si>
  <si>
    <t>REP. Y ACC. P/CAMIONETAS; MARCA AUTOMOTOR: SEGUN PLIEGO, MODELO AUTOMOTOR: SEGUN PLIEGO, ELEMENTO: SOPORTE DE CAJA</t>
  </si>
  <si>
    <t>2.9.6-9688.631</t>
  </si>
  <si>
    <t>REP. Y ACC. P/CAMIONETAS; MARCA AUTOMOTOR: SEGUN PLIEGO, MODELO AUTOMOTOR: SEGUN PLIEGO, ELEMENTO: BUJE BARRA ESTABILIZADORA</t>
  </si>
  <si>
    <t>2.9.6-9688.635</t>
  </si>
  <si>
    <t>REP. Y ACC. P/CAMIONETAS; MARCA AUTOMOTOR: SEGUN PLIEGO, MODELO AUTOMOTOR: SEGUN PLIEGO, ELEMENTO: BUJE CAJA DIRECCION</t>
  </si>
  <si>
    <t>2.9.6-9688.573</t>
  </si>
  <si>
    <t>REP. Y ACC. P/CAMIONETAS; MARCA AUTOMOTOR: TOYOTA, MODELO AUTOMOTOR: HILUX, ELEMENTO: BIELETAS DE BARRA</t>
  </si>
  <si>
    <t>2.9.6-9688.372</t>
  </si>
  <si>
    <t>REP. Y ACC. P/CAMIONETAS; MARCA AUTOMOTOR: TOYOTA, MODELO AUTOMOTOR: HILUX, ELEMENTO: EXTREMO DE DIRECCION</t>
  </si>
  <si>
    <t>2.9.6-9688.441</t>
  </si>
  <si>
    <t>REP. Y ACC. P/CAMIONETAS; MARCA AUTOMOTOR: TOYOTA, MODELO AUTOMOTOR: HILUX, ELEMENTO: PRECAP</t>
  </si>
  <si>
    <t>2.9.6-9688.368</t>
  </si>
  <si>
    <t>REP. Y ACC. P/CAMIONETAS; MARCA AUTOMOTOR: TOYOTA, MODELO AUTOMOTOR: HILUX, ELEMENTO: BUJE BARRA ESTABILIZADORA</t>
  </si>
  <si>
    <t xml:space="preserve">UNIDAD </t>
  </si>
  <si>
    <t>2.9.6-9688.376</t>
  </si>
  <si>
    <t>REP. Y ACC. P/CAMIONETAS; MARCA AUTOMOTOR: TOYOTA, MODELO AUTOMOTOR: HILUX, ELEMENTO: AMORTIGUADOR DELANTERO</t>
  </si>
  <si>
    <t>2.9.6-9688.377</t>
  </si>
  <si>
    <t>REP. Y ACC. P/CAMIONETAS; MARCA AUTOMOTOR: TOYOTA, MODELO AUTOMOTOR: HILUX, ELEMENTO: AMORTIGUADOR TRASERO</t>
  </si>
  <si>
    <t>2.9.6-9688.575</t>
  </si>
  <si>
    <t>REP. Y ACC. P/CAMIONETAS; MARCA AUTOMOTOR: TOYOTA, MODELO AUTOMOTOR: HILUX, ELEMENTO: PARRILLA SUPERIOR</t>
  </si>
  <si>
    <t>2.9.6-9688.574</t>
  </si>
  <si>
    <t>REP. Y ACC. P/CAMIONETAS; MARCA AUTOMOTOR: TOYOTA, MODELO AUTOMOTOR: HILUX, ELEMENTO: PARRILLA INFERIOR</t>
  </si>
  <si>
    <t>2.9.6-9688.533</t>
  </si>
  <si>
    <t>REP. Y ACC. P/CAMIONETAS; MARCA AUTOMOTOR: CHEVROLET, MODELO AUTOMOTOR: S10, ELEMENTO: PARRILLA SUPERIOR</t>
  </si>
  <si>
    <t>2.9.6-9688.532</t>
  </si>
  <si>
    <t>REP. Y ACC. P/CAMIONETAS; MARCA AUTOMOTOR: CHEVROLET, MODELO AUTOMOTOR: S10, ELEMENTO: PARRILLA INFERIOR</t>
  </si>
  <si>
    <t>2.9.6-9688.255</t>
  </si>
  <si>
    <t>REP. Y ACC. P/CAMIONETAS; MARCA AUTOMOTOR: CHEVROLET, MODELO AUTOMOTOR: S10, ELEMENTO: CORREA POLI V</t>
  </si>
  <si>
    <t>2.9.6-9688.666</t>
  </si>
  <si>
    <t>REP. Y ACC. P/CAMIONETAS; MARCA AUTOMOTOR: NISSAN, MODELO AUTOMOTOR: FRONTIER, ELEMENTO: PORTAFILTRO</t>
  </si>
  <si>
    <t>2.9.6-9688.568</t>
  </si>
  <si>
    <t>REP. Y ACC. P/CAMIONETAS; MARCA AUTOMOTOR: NISSAN, MODELO AUTOMOTOR: FRONTIER, ELEMENTO: BOMBA DE COMBUSTIBLE</t>
  </si>
  <si>
    <t>2.9.6-9688.671</t>
  </si>
  <si>
    <t>REP. Y ACC. P/CAMIONETAS; MARCA AUTOMOTOR: CHEVROLET, MODELO AUTOMOTOR: S10, ELEMENTO: KIT DE DISTRIBUCION COMPLETA</t>
  </si>
  <si>
    <t>2.9.6-9688.672</t>
  </si>
  <si>
    <t>REP. Y ACC. P/CAMIONETAS; MARCA AUTOMOTOR: CHEVROLET, MODELO AUTOMOTOR: S10, ELEMENTO: KIT DE EMBRAGUE</t>
  </si>
  <si>
    <t>2.9.6-9688.169</t>
  </si>
  <si>
    <t>REP. Y ACC. P/CAMIONETAS; MARCA AUTOMOTOR: CHEVROLET, MODELO AUTOMOTOR: S10, ELEMENTO: DISCOS DE FRENOS</t>
  </si>
  <si>
    <t>2.9.6-9688.673</t>
  </si>
  <si>
    <t>REP. Y ACC. P/CAMIONETAS; MARCA AUTOMOTOR: NISSAN, MODELO AUTOMOTOR: FRONTIER, ELEMENTO: DISCOS DE FRENO</t>
  </si>
  <si>
    <t>2.9.6-9688.656</t>
  </si>
  <si>
    <t>REP. Y ACC. P/CAMIONETAS; MARCA AUTOMOTOR: CHEVROLET, MODELO AUTOMOTOR: S10, ELEMENTO: TENSOR FIJO CORREA POLI V</t>
  </si>
  <si>
    <t>2.9.6-9688.404</t>
  </si>
  <si>
    <t>REP. Y ACC. P/CAMIONETAS; MARCA AUTOMOTOR: CHEVROLET, MODELO AUTOMOTOR: S10, ELEMENTO: TENSOR MOVIL CORREA POLI V</t>
  </si>
  <si>
    <t>2.9.6-9688.674</t>
  </si>
  <si>
    <t>REP. Y ACC. P/CAMIONETAS; MARCA AUTOMOTOR: CHEVROLET, MODELO AUTOMOTOR: S10, ELEMENTO: POLEA EMBRAGUE ALTERNADOR</t>
  </si>
  <si>
    <t>2.9.6-9688.538</t>
  </si>
  <si>
    <t>REP. Y ACC. P/CAMIONETAS; MARCA AUTOMOTOR: CHEVROLET, MODELO AUTOMOTOR: S10, ELEMENTO: PRECAP</t>
  </si>
  <si>
    <t>2.9.6-9688.675</t>
  </si>
  <si>
    <t xml:space="preserve">REP. Y ACC. P/CAMIONETAS; MARCA AUTOMOTOR: CHEVROLET, MODELO AUTOMOTOR: S10, ELEMENTO: JUEGO DE EXTREMOS DE DIRECCION </t>
  </si>
  <si>
    <t>2.9.6-9688.676</t>
  </si>
  <si>
    <t>REP. Y ACC. P/CAMIONETAS; MARCA AUTOMOTOR: FORD, MODELO AUTOMOTOR: TRANSIT, ELEMENTO: JUEGO DE PASTILLAS DE FRENOS</t>
  </si>
  <si>
    <t>2.9.6-9688.677</t>
  </si>
  <si>
    <t xml:space="preserve">REP. Y ACC. P/CAMIONETAS; MARCA AUTOMOTOR: FORD, MODELO AUTOMOTOR: TRANSIT, ELEMENTO: KIT DE FILTROS </t>
  </si>
  <si>
    <t>2.9.6-9688.338</t>
  </si>
  <si>
    <t>REP. Y ACC. P/CAMIONETAS; MARCA AUTOMOTOR: TOYOTA, MODELO AUTOMOTOR: HILUX, ELEMENTO: FILTRO DE COMBUSTIBLE</t>
  </si>
  <si>
    <t>2.9.6-3997.225</t>
  </si>
  <si>
    <t>REP. Y ACC. P/MOTOS; REPUESTO: FILTRO DE AIRE, USO: HONDA, MODELO AUTOMOTOR: XR 250 R /// XR 250 TORNADO, MODELO MOTO: XR 250 R</t>
  </si>
  <si>
    <t>2.9.6-3997.620</t>
  </si>
  <si>
    <t>REP. Y ACC. P/MOTOS; REPUESTO: FILTRO DE AIRE, USO: SEGUN PLIEGO, MODELO MOTO: SEGUN PLIEGO</t>
  </si>
  <si>
    <t>2.9.6-3997.553</t>
  </si>
  <si>
    <t>REP. Y ACC. P/MOTOS; REPUESTO: PASTILLA FRENO DELANTERO, USO: HONDA, MODELO MOTO: XR 250 TORNADO</t>
  </si>
  <si>
    <t>2.9.6-3997.621</t>
  </si>
  <si>
    <t>REP. Y ACC. P/MOTOS; REPUESTO: JUEGO DE PASTILLAS DE FRENO, USO: SEGUN PLIEGO, MODELO MOTO: SEGUN PLIEGO</t>
  </si>
  <si>
    <t>2.9.6-3997.622</t>
  </si>
  <si>
    <t>REP. Y ACC. P/MOTOS; REPUESTO: ZAPATAS DE FRENO TRASERO, USO: SEGUN PLIEGO, MODELO MOTO: SEGUN PLIEGO</t>
  </si>
  <si>
    <t>2.9.6-3997.518</t>
  </si>
  <si>
    <t>REP. Y ACC. P/MOTOS; REPUESTO: CABLE DE EMBRAGUE, USO: HONDA, MODELO MOTO: XR 250</t>
  </si>
  <si>
    <t>2.9.6-3997.517</t>
  </si>
  <si>
    <t>REP. Y ACC. P/MOTOS; REPUESTO: CABLE DE ACELERADOR, USO: HONDA, MODELO MOTO: XR 250</t>
  </si>
  <si>
    <t>2.9.6-3997.623</t>
  </si>
  <si>
    <t>REP. Y ACC. P/MOTOS; REPUESTO: PALANCA DE EMBRAGUE, USO: SEGUN PLIEGO, MODELO MOTO: SEGUN PLIEGO</t>
  </si>
  <si>
    <t>2.9.6-3997.624</t>
  </si>
  <si>
    <t>REP. Y ACC. P/MOTOS; REPUESTO: PALANCA DE FRENO A DISCO, USO: SEGUN PLIEGO, MODELO MOTO: SEGUN PLIEGO</t>
  </si>
  <si>
    <t>2.9.6-3997.625</t>
  </si>
  <si>
    <t>REP. Y ACC. P/MOTOS; REPUESTO: BULBO DE FRENO, USO: SEGUN PLIEGO, MODELO MOTO: SEGUN PLIEGO</t>
  </si>
  <si>
    <t>2.9.6-3997.626</t>
  </si>
  <si>
    <t>REP. Y ACC. P/MOTOS; REPUESTO: UNION DE CADENA, USO: SEGUN PLIEGO, MODELO MOTO: SEGUN PLIEGO</t>
  </si>
  <si>
    <t>2.9.6-3997.627</t>
  </si>
  <si>
    <t>REP. Y ACC. P/MOTOS; REPUESTO: JUEGOS DE RETENES DE SUSPENSION, USO: SEGUN PLIEGO, MODELO MOTO: SEGUN PLIEGO</t>
  </si>
  <si>
    <t>2.9.6-3997.628</t>
  </si>
  <si>
    <t>REP. Y ACC. P/MOTOS; REPUESTO: JUEGOS DE CARBONES DE MOTOR DE ARRANQUE, USO: SEGUN PLIEGO, MODELO MOTO: SEGUN PLIEGO</t>
  </si>
  <si>
    <t>2.9.6-3997.629</t>
  </si>
  <si>
    <t>REP. Y ACC. P/MOTOS; REPUESTO: JUEGOS DE DISCOS DE EMBRAGUE, USO: SEGUN PLIEGO, MODELO MOTO: SEGUN PLIEGO</t>
  </si>
  <si>
    <t>2.9.6-3997.630</t>
  </si>
  <si>
    <t>REP. Y ACC. P/MOTOS; REPUESTO: BUJIA, USO: SEGUN PLIEGO, MODELO MOTO: SEGUN PLIEGO</t>
  </si>
  <si>
    <t>2.9.6-3997.546</t>
  </si>
  <si>
    <t>REP. Y ACC. P/MOTOS; REPUESTO: KIT EMBRAGUE, USO: HONDA, MODELO MOTO: XR 250 TORNADO</t>
  </si>
  <si>
    <t>2.9.6-3997.586</t>
  </si>
  <si>
    <t>REP. Y ACC. P/MOTOS; REPUESTO: PASTILLA DE FRENO DELANTERO, USO: YAMAHA, MODELO MOTO: XTZ 250</t>
  </si>
  <si>
    <t>2.9.6-3997.533</t>
  </si>
  <si>
    <t>REP. Y ACC. P/MOTOS; REPUESTO: PASTILLA DE FRENO TRASERO, USO: YAMAHA, MODELO MOTO: XTZ 250</t>
  </si>
  <si>
    <t>2.9.6-3997.632</t>
  </si>
  <si>
    <t>REP. Y ACC. P/MOTOS; REPUESTO: CABLE DE EMBRAGUE, USO: YAMAHA, MODELO MOTO: XTZ 250CC</t>
  </si>
  <si>
    <t>2.9.6-3997.540</t>
  </si>
  <si>
    <t>REP. Y ACC. P/MOTOS; REPUESTO: FILTRO DE ACEITE, USO: YAMAHA, MODELO MOTO: XTZ 250</t>
  </si>
  <si>
    <t>2.9.6-3997.534</t>
  </si>
  <si>
    <t>REP. Y ACC. P/MOTOS; REPUESTO: KIT DE TRANSMISION , USO: YAMAHA, MODELO MOTO: XTZ 250</t>
  </si>
  <si>
    <t>2.9.6-3997.684</t>
  </si>
  <si>
    <t>REP. Y ACC. P/MOTOS:REPUESTO:PLAQUETA PORTA CARBONES DE ARRANQUE, USO YAMAHA, MODELO MOTO: XTZ 250</t>
  </si>
  <si>
    <t>2.9.6-3997.685</t>
  </si>
  <si>
    <t>REP. Y ACC. P/MOTOS; REPUESTO: PLAQUETA PORTA CARBONES , USO: HONDA, MODELO MOTO: XR 150</t>
  </si>
  <si>
    <t>2.9.6-3997.230</t>
  </si>
  <si>
    <t>REP. Y ACC. P/MOTOS; REPUESTO: KIT DE TRANSMISION, USO: HONDA, MODELO AUTOMOTOR: XR 250 R, MODELO MOTO: XR 250 R</t>
  </si>
  <si>
    <t>2.9.6-3997.638</t>
  </si>
  <si>
    <t>REP. Y ACC. P/MOTOS; REPUESTO: KIT DE TRANSMISION, USO: HONDA, MODELO MOTO: XR 150</t>
  </si>
  <si>
    <t>2.9.6-3997.639</t>
  </si>
  <si>
    <t>REP. Y ACC. P/MOTOS; REPUESTO: KIT DE TRANSMISION, USO: HONDA, MODELO MOTO: XR 125</t>
  </si>
  <si>
    <t>2.9.6-3997.641</t>
  </si>
  <si>
    <t>REP. Y ACC. P/MOTOS; REPUESTO: KIT DE TRANSMISION, USO: HONDA, MODELO MOTO: CBX 250</t>
  </si>
  <si>
    <t>2.9.6-3997.643</t>
  </si>
  <si>
    <t>REP. Y ACC. P/MOTOS; REPUESTO: KIT DE TRANSMISION, USO: HONDA, MODELO MOTO: FALCON 400</t>
  </si>
  <si>
    <t>2.9.6-3997.645</t>
  </si>
  <si>
    <t>REP. Y ACC. P/MOTOS; REPUESTO: KIT DE TRANSMISION, USO: HONDA, MODELO MOTO: TRANSALP 600</t>
  </si>
  <si>
    <t>2.9.6-3997.647</t>
  </si>
  <si>
    <t>REP. Y ACC. P/MOTOS; REPUESTO: KIT DE TRANSMISION, USO: GILERA, MODELO MOTO: SMX 200</t>
  </si>
  <si>
    <t>2.9.6-3997.686</t>
  </si>
  <si>
    <t>REP. Y ACC. P/MOTOS; REPUESTO: TRANSMISION COMPLETA, USO: BENELLI, MODELO MOTO: TRK 502</t>
  </si>
  <si>
    <t>2.9.6-3997.461</t>
  </si>
  <si>
    <t>REP. Y ACC. P/MOTOS; REPUESTO: FILTRO DE ACEITE, USO: HONDA, MODELO MOTO: XR 250 TORNADO</t>
  </si>
  <si>
    <t>2.9.6-3997.687</t>
  </si>
  <si>
    <t>REP. Y ACC. P/MOTOS; REPUESTO: RELAY DE ARRANQUE, USO: HONDA, MODELO MOTO: XR 250 CC</t>
  </si>
  <si>
    <t>2.9.6-3997.655</t>
  </si>
  <si>
    <t>REP. Y ACC. P/MOTOS; REPUESTO: FILTRO DE ACEITE, USO: BENELLI, MODELO MOTO: TRK 502 CC</t>
  </si>
  <si>
    <t>2.9.6-3997.657</t>
  </si>
  <si>
    <t>REP. Y ACC. P/MOTOS; REPUESTO: FILTRO CENTRIFUGOS, USO: HONDA, MODELO MOTO: XR 125CC</t>
  </si>
  <si>
    <t>2.9.6-3997.660</t>
  </si>
  <si>
    <t>REP. Y ACC. P/MOTOS; REPUESTO: FILTRO CENTRIFUGOS, USO: HONDA, MODELO MOTO: XR 150CC</t>
  </si>
  <si>
    <t>2.9.6-3997.635</t>
  </si>
  <si>
    <t>REP. Y ACC. P/MOTOS; REPUESTO: CADENAS DE DISTRIBUCION, USO: HONDA, MODELO MOTO: XR 250 CC</t>
  </si>
  <si>
    <t>2.9.6-3997.637</t>
  </si>
  <si>
    <t>REP. Y ACC. P/MOTOS; REPUESTO: GUIAS DE DISTRIBUCION, USO: HONDA, MODELO MOTO: XR 250 CC</t>
  </si>
  <si>
    <t>2.9.6-3997.640</t>
  </si>
  <si>
    <t>REP. Y ACC. P/MOTOS; REPUESTO: CADENAS DE DISTRIBUCION, USO: HONDA, MODELO MOTO: XR 125 CC</t>
  </si>
  <si>
    <t>2.9.6-3997.664</t>
  </si>
  <si>
    <t>REP. Y ACC. P/MOTOS; REPUESTO: GUIAS DE DISTRIBUCION, USO: HONDA, MODELO MOTO: XR 125 CC</t>
  </si>
  <si>
    <t>2.9.6-3997.668</t>
  </si>
  <si>
    <t>REP. Y ACC. P/MOTOS; REPUESTO: CADENAS DE DISTRIBUCION, USO: HONDA, MODELO MOTO: FALCON 400 CC</t>
  </si>
  <si>
    <t>2.9.6-3997.673</t>
  </si>
  <si>
    <t>REP. Y ACC. P/MOTOS; REPUESTO: GUIAS DE DISTRIBUCION, USO: HONDA, MODELO MOTO: FALCON 400 CC</t>
  </si>
  <si>
    <t>2.9.6-3997.676</t>
  </si>
  <si>
    <t>REP. Y ACC. P/MOTOS; REPUESTO: TENSORES GUIAS, USO: HONDA, MODELO MOTO: XR 250 CC</t>
  </si>
  <si>
    <t>2.9.6-3997.678</t>
  </si>
  <si>
    <t>REP. Y ACC. P/MOTOS; REPUESTO: TENSORES GUIAS, USO: HONDA, MODELO MOTO: XR 125 CC</t>
  </si>
  <si>
    <t>2.9.6-3997.679</t>
  </si>
  <si>
    <t>REP. Y ACC. P/MOTOS; REPUESTO: TENSORES GUIAS, USO: HONDA, MODELO MOTO: FALCON 400 CC</t>
  </si>
  <si>
    <t>2.9.6-3997.490</t>
  </si>
  <si>
    <t>REP. Y ACC. P/MOTOS; REPUESTO: JUEGO DE JUNTA MOTOR, USO: HONDA, MODELO MOTO: XR 250</t>
  </si>
  <si>
    <t>2.9.6-3997.680</t>
  </si>
  <si>
    <t>REP. Y ACC. P/MOTOS; REPUESTO: JUEGOS DE JUNTAS MOTOR, USO: HONDA, MODELO MOTO: XR 150 CC</t>
  </si>
  <si>
    <t>2.9.6-3997.681</t>
  </si>
  <si>
    <t>REP. Y ACC. P/MOTOS; REPUESTO: JUEGOS DE JUNTAS MOTOR, USO: HONDA, MODELO MOTO: XR 125 CC</t>
  </si>
  <si>
    <t>2.9.6-3997.682</t>
  </si>
  <si>
    <t>REP. Y ACC. P/MOTOS; REPUESTO: KIT DE RETENES DE VALVULAS, USO: HONDA, MODELO MOTO: XR 250 CC</t>
  </si>
  <si>
    <t>2.9.6-3997.646</t>
  </si>
  <si>
    <t>REP. Y ACC. P/MOTOS; REPUESTO: KIT DE RETENES DE VÁLVULAS, USO: HONDA, MODELO MOTO: XR 150 CC</t>
  </si>
  <si>
    <t>2.9.6-3997.648</t>
  </si>
  <si>
    <t>REP. Y ACC. P/MOTOS; REPUESTO: KIT DE RETENES DE VÁLVULAS, USO: HONDA, MODELO MOTO: XR 125 CC</t>
  </si>
  <si>
    <t>2.9.6-3997.650</t>
  </si>
  <si>
    <t>REP. Y ACC. P/MOTOS; REPUESTO: JUEGO DE JUNTAS, USO: CORVEN, MODELO MOTO: TRIAX 250 CC</t>
  </si>
  <si>
    <t>2.9.6-3997.651</t>
  </si>
  <si>
    <t>REP. Y ACC. P/MOTOS; REPUESTO: JUEGO DE JUNTAS, USO: CORVEN, MODELO MOTO: TRIAX 150 CC</t>
  </si>
  <si>
    <t>2.9.6-3997.653</t>
  </si>
  <si>
    <t>REP. Y ACC. P/MOTOS; REPUESTO: JUEGO DE VÁLVULAS DE ADMISIÓN Y ESCAPE, USO: CORVEN, MODELO MOTO: TRIAX 250 CC</t>
  </si>
  <si>
    <t>2.9.6-3997.659</t>
  </si>
  <si>
    <t>REP. Y ACC. P/MOTOS; REPUESTO: JUEGO DE VÁLVULAS DE ADMISIÓN Y ESCAPE, USO: CORVEN, MODELO MOTO: TRIAX 150 CC</t>
  </si>
  <si>
    <t>2.9.6-3997.663</t>
  </si>
  <si>
    <t>REP. Y ACC. P/MOTOS; REPUESTO: VÁLVULAS DE ADMISIÓN Y ESCAPE, USO: HONDA, MODELO MOTO: XR 250 CC</t>
  </si>
  <si>
    <t>2.9.6-3997.666</t>
  </si>
  <si>
    <t>REP. Y ACC. P/MOTOS; REPUESTO: VALVULAS DE ADMISIÓN Y ESCAPE, USO: HONDA, MODELO MOTO: XR 150 CC</t>
  </si>
  <si>
    <t>2.9.6-3997.669</t>
  </si>
  <si>
    <t>REP. Y ACC. P/MOTOS; REPUESTO: VALVULAS DE ADMISIÓN Y ESCAPE, USO: HONDA, MODELO MOTO: XR 125 CC</t>
  </si>
  <si>
    <t>2.9.6-3997.672</t>
  </si>
  <si>
    <t>REP. Y ACC. P/MOTOS; REPUESTO: KIT DE PISTÓN Y AROS, USO: HONDA, MODELO MOTO: XR 250 CC</t>
  </si>
  <si>
    <t>2.9.6-3997.675</t>
  </si>
  <si>
    <t>REP. Y ACC. P/MOTOS; REPUESTO: KIT DE PISTÓN Y AROS, USO: HONDA, MODELO MOTO: XR 150 CC</t>
  </si>
  <si>
    <t>2.9.6-3997.677</t>
  </si>
  <si>
    <t>REP. Y ACC. P/MOTOS; REPUESTO: KIT DE PISTÓN Y AROS, USO: HONDA, MODELO MOTO: XR 125 CC</t>
  </si>
  <si>
    <t>2.9.6-3997.688</t>
  </si>
  <si>
    <t>REP. Y ACC. P/MOTOS; REPUESTO: DISCO DE FRENO TRASERO, USO: SEGÚN PLIEGO, MODELO MOTO: SEGÚN PLIEGO</t>
  </si>
  <si>
    <t>2.9.6-3997.689</t>
  </si>
  <si>
    <t>REP. Y ACC. P/MOTOS; REPUESTO: SOCALO PARA LAMPARA H4, USO: UNIVERSAL,MODELO UNIVERSAL</t>
  </si>
  <si>
    <t>2.9.6-3997.690</t>
  </si>
  <si>
    <t>REP. Y ACC. P/MOTOS; REPUESTO: FUSIBLES, USO: SEGÚN PLIEGO, MODELO MOTO: SEGÚN PLIEGO</t>
  </si>
  <si>
    <t>2.9.6-3997.691</t>
  </si>
  <si>
    <t>REP. Y ACC. P/MOTOS; REPUESTO: LAMPARAS DE DOS POLOS, USO: SEGÚN PLIEGO, MODELO MOTO: SEGÚN PLIEGO</t>
  </si>
  <si>
    <t>2.9.6-3997.692</t>
  </si>
  <si>
    <t>REP. Y ACC. P/MOTOS; REPUESTO: LAMPARAS DE UN POLO 10 W, USO: SEGÚN PLIEGO, MODELO MOTO: SEGÚN PLIEGO</t>
  </si>
  <si>
    <t>2.9.6-3997.693</t>
  </si>
  <si>
    <t>REP. Y ACC. P/MOTOS; REPUESTO: LAMPARA H4 12 V 35 W, USO: SEGÚN PLIEGO, MODELO MOTO: SEGÚN PLIEGO</t>
  </si>
  <si>
    <t>2.9.6-3997.694</t>
  </si>
  <si>
    <t>REP. Y ACC. P/MOTOS; REPUESTO: LAMPARA S-2 12V 35 W, USO: SEGÚN PLIEGO, MODELO MOTO: SEGÚN PLIEGO</t>
  </si>
  <si>
    <t>2.9.6-3997.695</t>
  </si>
  <si>
    <t>REP. Y ACC. P/MOTOS; REPUESTO: LAMPARA MUELITA 12V 10W, USO: SEGÚN PLIEGO, MODELO MOTO: SEGÚN PLIEGO</t>
  </si>
  <si>
    <t>2.9.6-3997.696</t>
  </si>
  <si>
    <t>REP. Y ACC. P/MOTOS; REPUESTO: LAMPARA MUELITA 12V 5W, USO: SEGÚN PLIEGO, MODELO MOTO: SEGÚN PLIEGO</t>
  </si>
  <si>
    <t>2.9.6-3997.654</t>
  </si>
  <si>
    <t>REP. Y ACC. P/MOTOS; REPUESTO: ESPEJOS RETROVISORES, USO: HONDA, MODELO MOTO: XR 150 CC</t>
  </si>
  <si>
    <t>2.9.6-3997.656</t>
  </si>
  <si>
    <t>REP. Y ACC. P/MOTOS; REPUESTO: ESPEJOS RETROVISORES, USO: HONDA, MODELO MOTO: XR 250 CC</t>
  </si>
  <si>
    <t>2.9.6-3997.658</t>
  </si>
  <si>
    <t>REP. Y ACC. P/MOTOS; REPUESTO: ESPEJOS RETROVISORES, USO: YAMAHA, MODELO MOTO: XTZ 250 CC</t>
  </si>
  <si>
    <t>2.9.6-3997.661</t>
  </si>
  <si>
    <t>REP. Y ACC. P/MOTOS; REPUESTO: ESPEJOS RETROVISORES, USO: GILERA, MODELO MOTO: SMX 200 CC</t>
  </si>
  <si>
    <t>2.9.6-3997.662</t>
  </si>
  <si>
    <t>REP. Y ACC. P/MOTOS; REPUESTO: ESPEJOS RETROVISORES, USO: BENELLI, MODELO MOTO: TRK 502 CC</t>
  </si>
  <si>
    <t>2.9.6-3997.697</t>
  </si>
  <si>
    <t>REP. Y ACC. P/MOTOS; REPUESTO: GUIÑO, USO: HONDA, MODELO MOTO: XR 125 CC</t>
  </si>
  <si>
    <t>2.9.6-3997.667</t>
  </si>
  <si>
    <t>REP. Y ACC. P/MOTOS; REPUESTO: GUIÑO, USO: HONDA, MODELO MOTO: XR 250 CC</t>
  </si>
  <si>
    <t>2.9.6-3997.670</t>
  </si>
  <si>
    <t>REP. Y ACC. P/MOTOS; REPUESTO: GUIÑO, USO: HONDA, MODELO MOTO: FALCON 400 CC</t>
  </si>
  <si>
    <t>2.9.6-3997.671</t>
  </si>
  <si>
    <t>REP. Y ACC. P/MOTOS; REPUESTO: GUIÑO, USO: GILERA, MODELO MOTO: SMX 200 CC</t>
  </si>
  <si>
    <t>2.9.6-3997.674</t>
  </si>
  <si>
    <t>REP. Y ACC. P/MOTOS; REPUESTO: GUIÑO, USO: BENELLI, MODELO MOTO: TRK 502 CC</t>
  </si>
  <si>
    <t>2.9.6-3997.698</t>
  </si>
  <si>
    <t>REP. Y ACC. P/MOTOS; REPUESTO: PALANCA DE CAMBIO, USO: SEGÚN PLIEGO, MODELO MOTO: SEGÚN PLIEGO</t>
  </si>
  <si>
    <t>2.9.6-3997.652</t>
  </si>
  <si>
    <t>REP. Y ACC. P/MOTOS; REPUESTO: FILTRO DE ACEITE, USO: GILERA, MODELO MOTO: SMX 200 CC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</si>
  <si>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</si>
  <si>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</si>
  <si>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</si>
  <si>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BERLINGO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2,008,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</si>
  <si>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</si>
  <si>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FIAT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SIENA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2,011,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</si>
  <si>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</si>
  <si>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</si>
  <si>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</si>
  <si>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</si>
  <si>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</si>
  <si>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</si>
  <si>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</si>
  <si>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 con sensor.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</si>
  <si>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</si>
  <si>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Incluye filtro de aire, filtro de aceite, filtro de aire acondicionado,</t>
    </r>
  </si>
  <si>
    <t xml:space="preserve"> Item N° : 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</si>
  <si>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</si>
  <si>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</si>
  <si>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BIMASA DE EMBRAGUE (NO RIGIDO)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</si>
  <si>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</si>
  <si>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</si>
  <si>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</si>
  <si>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</si>
  <si>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12</t>
  </si>
  <si>
    <t xml:space="preserve"> Item N° : 13</t>
  </si>
  <si>
    <t xml:space="preserve"> Item N° : 14</t>
  </si>
  <si>
    <t xml:space="preserve"> Item N° : 15</t>
  </si>
  <si>
    <t xml:space="preserve"> Item N° : 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</si>
  <si>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MOTOR BIMASA (Cantidad de dientes: 118, Diámetro: 300 mm, Material: Acero)</t>
    </r>
  </si>
  <si>
    <t xml:space="preserve"> Item N° : 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</si>
  <si>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 Tipo de embrague: Monodisco, Incluye placa: Sí, Incluye disco: Sí
Diámetro del disco: 240 mm, Crapodina Hidráulica, Sí   </t>
    </r>
  </si>
  <si>
    <t xml:space="preserve"> Item N° : 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</si>
  <si>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PRECAP: largo 305mm, rosca macho, rosca medida  16mm</t>
    </r>
  </si>
  <si>
    <t xml:space="preserve"> Item N° : 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</si>
  <si>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IZQUIERDA: largo 90mm, rosca medida 16 x 1,5.</t>
    </r>
  </si>
  <si>
    <t xml:space="preserve"> Item N° : 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</si>
  <si>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DERECHA: largo 90mm, rosca medida 16 x 1,5.</t>
    </r>
  </si>
  <si>
    <t xml:space="preserve"> Item N° : 21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</si>
  <si>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 KIT BIELETA BARRA DE SUSPENSIÓN.</t>
    </r>
    <r>
      <rPr>
        <sz val="10"/>
        <rFont val="Century Gothic"/>
        <family val="2"/>
      </rPr>
      <t xml:space="preserve"> incluye dos bieletas izquierda, derecha: largo 14.5cm.</t>
    </r>
  </si>
  <si>
    <t xml:space="preserve"> Item N° : 22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</si>
  <si>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CANASTILLA (Rodillo cola cigüeñal o punta directa)</t>
    </r>
  </si>
  <si>
    <t xml:space="preserve"> Item N° : 23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</si>
  <si>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REGULADOR DE VOLTAJE, 12 Vol.</t>
    </r>
  </si>
  <si>
    <t xml:space="preserve"> Item N° : 24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</si>
  <si>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VW AMAROK 2.0 (Incluye: tensor, bomba de agua, correa de distribucion) </t>
    </r>
  </si>
  <si>
    <t xml:space="preserve"> Item N° : 25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</si>
  <si>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(Enfriador de aceite, base de filtro aceite, filtro de aceite)</t>
    </r>
  </si>
  <si>
    <t xml:space="preserve"> Item N° : 26</t>
  </si>
  <si>
    <t xml:space="preserve">Descripción técnica </t>
  </si>
  <si>
    <t xml:space="preserve">   MARCA VOLKSWAGEN. MODELO: AMAROK 4x2, AÑO: 2015, ELEMENTO: PARRILLA SUPERIOR DERECHA COMPLETA. Incluye rótula: Sí. Incluye buje: Sí. Incluye grasa: Sí</t>
  </si>
  <si>
    <t xml:space="preserve"> Item N° : 27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</si>
  <si>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 Incluye rótula: Sí. Incluye buje: Sí. Incluye grasa: Sí </t>
    </r>
  </si>
  <si>
    <t xml:space="preserve"> Item N° : 28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</si>
  <si>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rótula: Sí. Incluye buje: Sí. Incluye grasa: Sí</t>
    </r>
  </si>
  <si>
    <t xml:space="preserve"> Item N° : 29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</si>
  <si>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rótula: Sí. Incluye buje: Sí. Incluye grasa: Sí</t>
    </r>
  </si>
  <si>
    <t xml:space="preserve"> Item N° : 30</t>
  </si>
  <si>
    <t>MARCA VOLKSWAGEN. MODELO: AMAROK 4x2, AÑO: 2015, ELEMENTO: TENSOR MONOCORREA (MOVIL) VW AMAROK  4X2 2015 (Material del tensor de distribución: 
                        Alum/ Polimeto alta Resist, Ancho del tensor de distribución: 70 mm, Diámetro externo del tensor de distribución: 24 mm)</t>
  </si>
  <si>
    <t xml:space="preserve"> Item N° : 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</si>
  <si>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discos, IZQ y DER)</t>
    </r>
  </si>
  <si>
    <t xml:space="preserve"> Item N° : 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</si>
  <si>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SUMERGIDA (MOTOR SOLO) Tipo de combustible: Diésel. Es eléctrica: Sí. 
Incluye filtro: Sí. Incluye kit de montaje: No. Incluye junta o sello: No</t>
    </r>
  </si>
  <si>
    <t xml:space="preserve"> Item N° : 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</si>
  <si>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AUXILIAR ELECTRICA (Material del cuerpo: PLASTICO, Material de la hélice: Plástico)</t>
    </r>
  </si>
  <si>
    <t xml:space="preserve"> Item N° : 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</si>
  <si>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"V" (correa unicamente) Material: Goma. Largo: 1555 mm- Peso: 500 mg. 6PK</t>
    </r>
  </si>
  <si>
    <t xml:space="preserve"> Item N° : 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</si>
  <si>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CIGÜEÑAL CON CARCAZA PORTA RETEN </t>
    </r>
  </si>
  <si>
    <t xml:space="preserve"> Item N° : 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</si>
  <si>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FIJO (Material del tensor de distribución: Metal, Ancho del tensor de distribución: 23.6 mm, 
Diámetro interno del tensor de distribución: 10 mm, Diámetro externo del tensor de distribución: 85 mm)</t>
    </r>
  </si>
  <si>
    <t xml:space="preserve"> Item N° : 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</si>
  <si>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Ruleman de empuje)</t>
    </r>
  </si>
  <si>
    <t xml:space="preserve"> Item N° : 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</si>
  <si>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Ruleman de empuje)</t>
    </r>
  </si>
  <si>
    <t xml:space="preserve"> Item N° : 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</si>
  <si>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COMPLETA</t>
    </r>
  </si>
  <si>
    <t xml:space="preserve"> Item N° : 40</t>
  </si>
  <si>
    <t xml:space="preserve"> Item N° : 41</t>
  </si>
  <si>
    <t xml:space="preserve"> Item N° : 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</si>
  <si>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IZQUIERDO</t>
    </r>
  </si>
  <si>
    <t xml:space="preserve"> Item N° : 43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</si>
  <si>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DERECHO</t>
    </r>
  </si>
  <si>
    <t xml:space="preserve"> Item N° : 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</si>
  <si>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BIELETAS BARRA DE SUSPECION IZQUIERDA POR UNIDAD </t>
    </r>
  </si>
  <si>
    <t xml:space="preserve"> </t>
  </si>
  <si>
    <t xml:space="preserve"> Item N° : 45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</si>
  <si>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BIELETAS BARRA DE SUSPECION DERECHA POR UNIDAD</t>
    </r>
  </si>
  <si>
    <t xml:space="preserve"> Item N° : 46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</si>
  <si>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PRECAP: Largo 215mm, Rosaca macho, medida de rosca 16mm</t>
    </r>
  </si>
  <si>
    <t xml:space="preserve"> Item N° : 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</si>
  <si>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SUPERIOR DERECHA COMPLETA. Incluye rotula: Sí. Incleye Buje: Sí. </t>
    </r>
  </si>
  <si>
    <t xml:space="preserve"> Item N° : 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</si>
  <si>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SUPERIOR IZQUIERDA COMPLETA. Incluye rotula: Sí. Incleye Buje: Sí. </t>
    </r>
  </si>
  <si>
    <t xml:space="preserve"> Item N° : 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</si>
  <si>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INFERIOR DERECHA COMPLETA. Incluye rotula: Sí. Incleye Buje: Sí. </t>
    </r>
  </si>
  <si>
    <t xml:space="preserve"> Item N° : 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</si>
  <si>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INFERIOR IZQUIERDO COMPLETA. Incluye rotula: Sí. Incleye Buje: Sí. </t>
    </r>
  </si>
  <si>
    <t xml:space="preserve"> Item N° : 51</t>
  </si>
  <si>
    <t xml:space="preserve"> Item N° : 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</si>
  <si>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(Incluye: tensor, correa de distribicion, Piston Hidraulico)</t>
    </r>
  </si>
  <si>
    <t xml:space="preserve"> Item N° : 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</si>
  <si>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AGUA Material de la hélice : Aluminio, Material del cuerpo : Aluminio)</t>
    </r>
  </si>
  <si>
    <t xml:space="preserve"> Item N° : 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</si>
  <si>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(Material del cuerpo: Plastico)</t>
    </r>
  </si>
  <si>
    <t xml:space="preserve"> Item N° : 55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</si>
  <si>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PARA ALTERNADOR. Ancho de la polea: 40.2 mm. Diámetro interno: 17 mm.
Diámetro externo: 49.4 mm</t>
    </r>
  </si>
  <si>
    <t xml:space="preserve"> Item N° : 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</si>
  <si>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TERMOSTATO  (Temperatura de apertura: 80 °C)</t>
    </r>
  </si>
  <si>
    <t xml:space="preserve"> Item N° : 57</t>
  </si>
  <si>
    <t>MARCA VOLKSWAGEN. MODELO: AMAROK 4x2, AÑO: 2015, ELEMENTO: RODAMIENTOS DELANTEROS (Ancho : 57, Condición del ítem : Nuevo, Diametro Externo : 
78 Mm, Diametro Interno : 46 Mm)</t>
  </si>
  <si>
    <t xml:space="preserve"> Item N° : 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</si>
  <si>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 Incluye filtro de aire, filtro de  aceite, y filtro de combustible</t>
    </r>
  </si>
  <si>
    <t xml:space="preserve"> Item N° : 59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</si>
  <si>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 289 mm. ROSCA LADO CAJA 14 x 1.5 mm. ROSCA LADO EXTREMO 12 x 1.25 mm. TIPO ROSCA CAJA MACHO.
 TIPO ROSCA EXTREMO MACHO</t>
    </r>
  </si>
  <si>
    <t xml:space="preserve"> Item N° : 60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</si>
  <si>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BIELETA. Posición: Delantera   </t>
    </r>
  </si>
  <si>
    <t xml:space="preserve"> Item N° : 61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</si>
  <si>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 DERECHO-IZQUIERDO. Largo: 145 mm. Género de rosca: Hembra. Medida de rosca: 12 x 1.25</t>
    </r>
  </si>
  <si>
    <t xml:space="preserve"> Item N° : 62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</si>
  <si>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SUSPENCION FRENO (incluye 2 pares de pastillas) Posición: delante. Material: Semimetálica. Cantidad de pastillas: 4</t>
    </r>
  </si>
  <si>
    <t xml:space="preserve"> Item N° : 63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</si>
  <si>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CON ROTULA COMPLETA. Posición del eje: Delantera. Incluye rótula: Sí. Incluye buje: Sí</t>
    </r>
  </si>
  <si>
    <t xml:space="preserve"> Item N° : 64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</si>
  <si>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Goma. Tipo de buje de control de suspensión: De barra estabilizadora</t>
    </r>
  </si>
  <si>
    <t xml:space="preserve"> Item N° : 65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</si>
  <si>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MONTANTE DE CAJA</t>
    </r>
  </si>
  <si>
    <t xml:space="preserve"> Item N° : 66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</si>
  <si>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BUJE BARRA ESTABILIZADORA. Material: Goma</t>
    </r>
  </si>
  <si>
    <t xml:space="preserve"> Item N° : 67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</si>
  <si>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BUJE CAJA DIRECCION. Material: Goma</t>
    </r>
  </si>
  <si>
    <t xml:space="preserve"> Item N° : 68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</si>
  <si>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BIELETA DE BARRA DE SUSPENSION (Incluye 2 bieletas, IZQ y DER)</t>
    </r>
  </si>
  <si>
    <t xml:space="preserve"> Item N° : 69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</si>
  <si>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BIELETA DE BARRA DE SUSPENSION (Incluye 2 bieletas, IZQ y DER)</t>
    </r>
  </si>
  <si>
    <t xml:space="preserve"> Item N° : 70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</si>
  <si>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</si>
  <si>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</si>
  <si>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</si>
  <si>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</si>
  <si>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</si>
  <si>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</si>
  <si>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</si>
  <si>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</si>
  <si>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</t>
    </r>
  </si>
  <si>
    <t xml:space="preserve"> Item N° : 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</si>
  <si>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DE CAJA </t>
    </r>
  </si>
  <si>
    <t xml:space="preserve"> Item N° : 76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</si>
  <si>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COMPLETO. Incluye placa, disco, ruleman de empuje. </t>
    </r>
  </si>
  <si>
    <t xml:space="preserve"> Item N° : 77</t>
  </si>
  <si>
    <t xml:space="preserve"> Item N° : 78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</si>
  <si>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AMORTIGUADORES DELANTEROS. Incluye dos deche e izquierdo </t>
    </r>
  </si>
  <si>
    <t xml:space="preserve"> Item N° : 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</si>
  <si>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AMORTIGUADORES TRASEROS. Incluye dos deche e izquierdo </t>
    </r>
  </si>
  <si>
    <t xml:space="preserve"> Item N° : 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</si>
  <si>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</si>
  <si>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</si>
  <si>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</si>
  <si>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</si>
  <si>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</si>
  <si>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</si>
  <si>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</si>
  <si>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</si>
  <si>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</si>
  <si>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</si>
  <si>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</si>
  <si>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86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</si>
  <si>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</si>
  <si>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87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</si>
  <si>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</si>
  <si>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88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</si>
  <si>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V. (6PK, 2870)  </t>
    </r>
  </si>
  <si>
    <t xml:space="preserve"> Item N° : 89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</si>
  <si>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CARCAZA PORTA FILTRO DE COMBUSTIBLE. (Recambiable con tornillo)  </t>
    </r>
  </si>
  <si>
    <t xml:space="preserve"> Item N° : 90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</si>
  <si>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AÑO: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COMPLETA, Incluye Filtro SÍ</t>
    </r>
  </si>
  <si>
    <t xml:space="preserve"> Item N° : 91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</si>
  <si>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DISTRIBUCION: (Incluye Tensor, Rodillo, bomba de agua, correa de distribucion)  </t>
    </r>
  </si>
  <si>
    <t xml:space="preserve"> Item N° : 92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</si>
  <si>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Crapodina hidraulica)</t>
    </r>
  </si>
  <si>
    <t xml:space="preserve"> Item N° : 93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</si>
  <si>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
</t>
    </r>
  </si>
  <si>
    <t xml:space="preserve"> Item N° : 94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</si>
  <si>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
</t>
    </r>
  </si>
  <si>
    <t xml:space="preserve"> Item N° : 95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</si>
  <si>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FIJO 
</t>
    </r>
  </si>
  <si>
    <t xml:space="preserve"> Item N° : 96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</si>
  <si>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Móvil  
</t>
    </r>
  </si>
  <si>
    <t xml:space="preserve"> Item N° : 97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</si>
  <si>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ALTERNADOR  
</t>
    </r>
  </si>
  <si>
    <t xml:space="preserve"> Item N° : 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</si>
  <si>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PRECAP (6 Precap Derecho y 6 Izquierdo)  
</t>
    </r>
  </si>
  <si>
    <t xml:space="preserve"> Item N° : 99</t>
  </si>
  <si>
    <t xml:space="preserve"> Item N° : 100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</si>
  <si>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TRANSIT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  
</t>
    </r>
  </si>
  <si>
    <t xml:space="preserve"> Item N° : 101</t>
  </si>
  <si>
    <t xml:space="preserve"> Item N° : 102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</si>
  <si>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 
</t>
    </r>
  </si>
  <si>
    <t xml:space="preserve"> Item N° : 103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</si>
  <si>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  
</t>
    </r>
  </si>
  <si>
    <t xml:space="preserve"> Item N° : 104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</si>
  <si>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SECUNDARIO DE COMBUSTIBLE  </t>
    </r>
  </si>
  <si>
    <t xml:space="preserve"> Item N° : 105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</si>
  <si>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XR-250 CC. TORNADO -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celulosa. Forma del filtro: Rectangular. Diámetro de entrada: 13.5 cm. Diseño: Flexible</t>
    </r>
  </si>
  <si>
    <t xml:space="preserve"> Item N° : 106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</si>
  <si>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Aluminio. Forma del filtro: redondo. Diámetro de entrada: 6 cm. Diseño: Rígido </t>
    </r>
  </si>
  <si>
    <t xml:space="preserve"> Item N° : 107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</si>
  <si>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 . Material: Papel de celulosa. Forma del filtro: Rectangular. Diseño: Rígido</t>
    </r>
  </si>
  <si>
    <t xml:space="preserve"> Item N° : 108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</si>
  <si>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(Incluye: 2 pastillas por juego)  Posición: Delantera. Material: ferodo.</t>
    </r>
  </si>
  <si>
    <t xml:space="preserve"> Item N° : 109</t>
  </si>
  <si>
    <r>
      <t xml:space="preserve">MARCA </t>
    </r>
    <r>
      <rPr>
        <sz val="10"/>
        <rFont val="Century Gothic"/>
        <family val="2"/>
      </rPr>
      <t>HONDA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XR 150 CC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>JUEGO DE PASTILLAS DE FRENO  (Incluye: 2 pastillas por juego)Posición: Delantera. Material: ferodo</t>
    </r>
  </si>
  <si>
    <t xml:space="preserve"> Item N° : 110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</si>
  <si>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 . Espesor del material de fricción de la cinta primaria: 5 mm. Espesor del material 
de fricción de la cinta secundaria: 5 mm. Largo del material de fricción de la cinta primaria: 130 mm. Largo del material de fricción de la cinta secundaria: 130 mm</t>
    </r>
  </si>
  <si>
    <t xml:space="preserve"> Item N° : 111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</si>
  <si>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TRASERO. Espesor del material de fricción de la cinta primaria: 4 mm. Espesor del material 
de fricción de la cinta secundaria: 4 mm. Largo del material de fricción de la cinta primaria: 110 mm. Largo del material de fricción de la cinta secundaria: 110 mm</t>
    </r>
  </si>
  <si>
    <t xml:space="preserve"> Item N° : 112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</si>
  <si>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ZAPATAS DE FRENO TRASERO. Espesor del material de fricción de la cinta primaria: 2 mm. Espesor del material de fricción 
de la cinta secundaria: 2 mm. Largo del material de fricción de la cinta primaria: 10 mm. Largo del material de fricción de la cinta secundaria: 10 mm</t>
    </r>
  </si>
  <si>
    <t xml:space="preserve"> Item N° : 113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</si>
  <si>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MARCA HONDA MODELO: HONDA ELEMENTO: CABLE DE EMBRAGUE UNIVERSAL CON EVITA SOLDADURA PARA MOTOCICLETA   ELEMENTO: 
CABLE DE EMBRAGUE  PARA MOTOCICLETA   </t>
    </r>
  </si>
  <si>
    <t xml:space="preserve"> Item N° : 114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</si>
  <si>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HONDA ELEMENTO: CABLE DE ACELERADOR PARA MOTOCICLETA. Material del cable de acelerador: Aleación de metales. </t>
    </r>
  </si>
  <si>
    <t xml:space="preserve"> Item N° : 115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</si>
  <si>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</si>
  <si>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</si>
  <si>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  Material: Aluminio. Largo: 18 cm</t>
    </r>
  </si>
  <si>
    <t xml:space="preserve"> Item N° : 117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</si>
  <si>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</si>
  <si>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</si>
  <si>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 </t>
    </r>
  </si>
  <si>
    <t xml:space="preserve"> Item N° : 119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</si>
  <si>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PALANCA DE FRENO A DISCO. Material: Aluminio. Largo: 18 cm</t>
    </r>
  </si>
  <si>
    <t xml:space="preserve"> Item N° : 120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</si>
  <si>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</t>
    </r>
  </si>
  <si>
    <t xml:space="preserve"> Item N° : 121</t>
  </si>
  <si>
    <t xml:space="preserve"> Item N° : 122</t>
  </si>
  <si>
    <t xml:space="preserve"> Item N° : 123</t>
  </si>
  <si>
    <t xml:space="preserve"> Item N° : 124</t>
  </si>
  <si>
    <t xml:space="preserve"> Item N° : 125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</si>
  <si>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SUSPENSIÓN DELANTERA 31/43/10.5. Posición: Delantera. Diámetro: 31 mm. Largo: 10.5 mm</t>
    </r>
  </si>
  <si>
    <t xml:space="preserve"> Item N° : 126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</si>
  <si>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SUSPENSION DELANTERA 37/50/11. Posición: Delantera. Diámetro: 37 mm. Largo: 11 mm</t>
    </r>
  </si>
  <si>
    <t xml:space="preserve"> Item N° : 127</t>
  </si>
  <si>
    <t xml:space="preserve"> Item N° : 128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</si>
  <si>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  (incluye 6 discos). Diámetro: 9.12 cm. Material: Metal, friccion. Cantidad de estrías:8</t>
    </r>
  </si>
  <si>
    <t xml:space="preserve"> Item N° : 129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</si>
  <si>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CR8EA</t>
    </r>
  </si>
  <si>
    <t xml:space="preserve"> Item N° : 130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</si>
  <si>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</si>
  <si>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</si>
  <si>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(Incluye 6 discos). Diámetro: 101 ". Material: Metal sinterizado. Cantidad de estrías: 10</t>
    </r>
  </si>
  <si>
    <t xml:space="preserve"> Item N° : 132</t>
  </si>
  <si>
    <t xml:space="preserve"> Item N° : 133</t>
  </si>
  <si>
    <t xml:space="preserve"> Item N° : 134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</si>
  <si>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CABLE DE EMBRAGUE</t>
    </r>
  </si>
  <si>
    <t xml:space="preserve"> Item N° : 135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</si>
  <si>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</si>
  <si>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</si>
  <si>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ACEITE</t>
    </r>
  </si>
  <si>
    <t xml:space="preserve"> Item N° : 137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</si>
  <si>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DISCOS DE EMBRAGUE (incluye 6 discos de 10 estrias)</t>
    </r>
  </si>
  <si>
    <t xml:space="preserve"> Item N° : 138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</si>
  <si>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</si>
  <si>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</si>
  <si>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ELEMENTO: PALANCA DE FRENO A DISCO. Material: Aluminio. Largo: 18 cm</t>
    </r>
  </si>
  <si>
    <t xml:space="preserve"> Item N° : 140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</si>
  <si>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</t>
    </r>
  </si>
  <si>
    <t xml:space="preserve"> Item N° : 141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</si>
  <si>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SUSPENSIÓN </t>
    </r>
  </si>
  <si>
    <t xml:space="preserve"> Item N° : 142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</si>
  <si>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YAMAHA, MODELO XTZ 250 CC. ELEMENTO: PLAQUETA DE ARRANQUE  </t>
    </r>
  </si>
  <si>
    <t xml:space="preserve"> Item N° : 143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</si>
  <si>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PLAQUETA DE ARRANQUE</t>
    </r>
  </si>
  <si>
    <t xml:space="preserve"> Item N° : 144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</si>
  <si>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</si>
  <si>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</si>
  <si>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</si>
  <si>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</si>
  <si>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</si>
  <si>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</si>
  <si>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</si>
  <si>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</si>
  <si>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</si>
  <si>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</si>
  <si>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TRANSLAP 600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</si>
  <si>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</si>
  <si>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</si>
  <si>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</si>
  <si>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</si>
  <si>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</si>
  <si>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</si>
  <si>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</si>
  <si>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</si>
  <si>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</si>
  <si>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</si>
  <si>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</si>
  <si>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</si>
  <si>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 xml:space="preserve"> Item N° : 156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</si>
  <si>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RELAY DE ARRANQUE</t>
    </r>
  </si>
  <si>
    <t xml:space="preserve"> Item N° : 157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</si>
  <si>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</si>
  <si>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 xml:space="preserve"> Item N° : 158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</si>
  <si>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CENTRIFUGOS</t>
    </r>
  </si>
  <si>
    <t xml:space="preserve"> Item N° : 159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</si>
  <si>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CENTRIFUGOS</t>
    </r>
  </si>
  <si>
    <t xml:space="preserve"> Item N° : 160</t>
  </si>
  <si>
    <t xml:space="preserve"> Item N° : 161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</si>
  <si>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5 discos de 8 estrias)</t>
    </r>
  </si>
  <si>
    <t xml:space="preserve"> Item N° : 162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</si>
  <si>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6 discos de 8 estrias)</t>
    </r>
  </si>
  <si>
    <t xml:space="preserve"> Item N° : 163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</si>
  <si>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7 discos de 10 estrias y 1 disco de friccion)</t>
    </r>
  </si>
  <si>
    <t xml:space="preserve"> Item N° : 164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</si>
  <si>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</si>
  <si>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</si>
  <si>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</si>
  <si>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166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</si>
  <si>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</si>
  <si>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</si>
  <si>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</si>
  <si>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168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</si>
  <si>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</si>
  <si>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</si>
  <si>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</si>
  <si>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170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</si>
  <si>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</si>
  <si>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</si>
  <si>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</si>
  <si>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</si>
  <si>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</si>
  <si>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</si>
  <si>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C/ORING (INCLUYE JUNTA DE: TAPA CILINDRO, BASE DE CILINDRO, TAPA VALVULA, ESCAPE, CARTER, ENCENDIDO EMBRAGUE, BOMBA DE ACEITE)</t>
    </r>
  </si>
  <si>
    <t xml:space="preserve"> Item N° : 174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</si>
  <si>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C/ORING (INCLUYE JUNTAS DE:  TAPA CILINDRO, BASE CILINDRO, TAPA EMBRAGUE, TAPA ALTERNADOR, TENSOR DISTRIBUCION, TAPA FILTRO ACEITE</t>
    </r>
  </si>
  <si>
    <t xml:space="preserve"> Item N° : 175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</si>
  <si>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(INCLUYE: JUNTA TAPA CILINDRO, JUNTA BASE CILINDRO, JUNTA TAPA EMBRAGUE, JUNTA TAPA ALTERNADOR, JUNTA MEDIO BLOCK, JUNTA TAPA FILTRO ACEITE</t>
    </r>
  </si>
  <si>
    <t xml:space="preserve"> Item N° : 176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</si>
  <si>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4 RETENES)</t>
    </r>
  </si>
  <si>
    <t xml:space="preserve"> Item N° : 177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</si>
  <si>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2 RETENES)</t>
    </r>
  </si>
  <si>
    <t xml:space="preserve"> Item N° : 178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</si>
  <si>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2 RETENES)</t>
    </r>
  </si>
  <si>
    <t xml:space="preserve"> Item N° : 179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</si>
  <si>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  MOTOR C/ORING (INCLUYE JUNTAS DE:  TAPA CILINDRO, BASE CILINDRO, TAPA EMBRAGUE, TAPA ALTERNADOR, TENSOR DISTRIBUCION, TAPA FILTRO ACEITE)</t>
    </r>
  </si>
  <si>
    <t xml:space="preserve"> Item N° : 180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</si>
  <si>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  MOTOR C/ORING (INCLUYE JUNTAS DE:  TAPA CILINDRO, BASE CILINDRO, TAPA EMBRAGUE, TAPA ALTERNADOR, TENSOR DISTRIBUCION, TAPA FILTRO ACEITE)</t>
    </r>
  </si>
  <si>
    <t xml:space="preserve"> Item N° : 181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</si>
  <si>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 INCLUYE 2 VALVULAS ( 1 DE ADMISION + 1 DE ESCAPE )</t>
    </r>
  </si>
  <si>
    <t xml:space="preserve"> Item N° : 182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</si>
  <si>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</si>
  <si>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</si>
  <si>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ESCAPE. INCLUYE 4 VALVULAS ( 2 DE ADMISION + 2 DE ESCAPE )</t>
    </r>
  </si>
  <si>
    <t xml:space="preserve"> Item N° : 184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</si>
  <si>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</si>
  <si>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</si>
  <si>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</si>
  <si>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</si>
  <si>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INCLUYE: PISTON + AROS  + PERNO Y SEGUROS.</t>
    </r>
  </si>
  <si>
    <t xml:space="preserve"> Item N° : 187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</si>
  <si>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 INCLUYE: PISTON + AROS  + PERNO Y SEGUROS.</t>
    </r>
  </si>
  <si>
    <t xml:space="preserve"> Item N° : 188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</si>
  <si>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 INCLUYE: PISTON + AROS  + PERNO Y SEGUROS.</t>
    </r>
  </si>
  <si>
    <t xml:space="preserve"> Item N° : 189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</si>
  <si>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DISCO DE FRENO TRASERO   </t>
    </r>
  </si>
  <si>
    <t xml:space="preserve"> Item N° : 190</t>
  </si>
  <si>
    <t xml:space="preserve"> Item N° : 191</t>
  </si>
  <si>
    <t xml:space="preserve"> Item N° : 192</t>
  </si>
  <si>
    <t xml:space="preserve"> Item N° : 193</t>
  </si>
  <si>
    <t xml:space="preserve"> Item N° : 194</t>
  </si>
  <si>
    <t xml:space="preserve"> Item N° : 195</t>
  </si>
  <si>
    <t xml:space="preserve"> Item N° : 196</t>
  </si>
  <si>
    <t xml:space="preserve"> Item N° : 197</t>
  </si>
  <si>
    <t xml:space="preserve"> Item N° : 198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</si>
  <si>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</si>
  <si>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199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</si>
  <si>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</si>
  <si>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</si>
  <si>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</si>
  <si>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</si>
  <si>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</si>
  <si>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</si>
  <si>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</si>
  <si>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</si>
  <si>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</si>
  <si>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</si>
  <si>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</si>
  <si>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</si>
  <si>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</si>
  <si>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</si>
  <si>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>: SMX 200 CC.  JUEGO DE FAROS DE GIROS INCLUYE 2 FAROS (1 DER Y 1V IZQ)</t>
    </r>
  </si>
  <si>
    <t xml:space="preserve"> Item N° : 207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</si>
  <si>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</si>
  <si>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208</t>
  </si>
  <si>
    <t xml:space="preserve"> Item N° : 209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</si>
  <si>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</si>
  <si>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>Plazos y lugares de entrega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</si>
  <si>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</si>
  <si>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</si>
  <si>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</si>
  <si>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</si>
  <si>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</si>
  <si>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</si>
  <si>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ACLARACIÒN PARA ITEMS, 99, 100, 101, 102 Y 105: DICHOS REPUESTOS DEBEN SER COMPATIBLES CON LOS SIGUIENES MODELOS DE MOTOS MARCA HONDA: XR 150 CC, XR 250 CC TORNADO Y CBX 250 CC TWISTER.</t>
  </si>
  <si>
    <t xml:space="preserve"> Item N° : 210</t>
  </si>
  <si>
    <t xml:space="preserve"> Item N° : 211</t>
  </si>
  <si>
    <t xml:space="preserve"> Item N° : 212</t>
  </si>
  <si>
    <t xml:space="preserve"> Item N° : 213</t>
  </si>
  <si>
    <t xml:space="preserve"> Item N° : 214</t>
  </si>
  <si>
    <t>2.9.6-9688.626</t>
  </si>
  <si>
    <t>2.9.6-4978.8452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</si>
  <si>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MODELO: AMAROK 4x2, AÑO: 2015 ELEMENTO: RADIADOR DE AGUA (Altura x Ancho: 62 cm x 58 cm, Tipo de montaje: Delantero, Espesor: 30
</t>
    </r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</si>
  <si>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VOLKSWAGEN, MODELO AMAROK 4X2. AÑO 2.015: ELEMENTO: FILTRO DE COMBUSTIBLE CON SENSOR</t>
    </r>
  </si>
  <si>
    <t>REP. Y ACC. P/CAMIONETAS; MARCA AUTOMOTOR: SEGÚN PLIEGO, MODELO AUTOMOTOR: SEGÚN PLIEGO, ELEMENTO: RADIADOR</t>
  </si>
  <si>
    <t>REP. Y ACC. P/AUTOMOTOR; REPUESTO: DISCO DE FRENO, MARCA: TOYOTA, MODELO: HILUX</t>
  </si>
  <si>
    <t>2.9.6-9688.579</t>
  </si>
  <si>
    <t>REP. Y ACC. P/CAMIONETAS; MARCA AUTOMOTOR: TOYOTA, MODELO AUTOMOTOR: HILUX, ELEMENTO: JUEGO DE INYECTORES</t>
  </si>
  <si>
    <t>2.9.6-9688.155</t>
  </si>
  <si>
    <t>REP. Y ACC. P/CAMIONETAS; MARCA AUTOMOTOR: VOLKSWAGEN, MODELO AUTOMOTOR: AMAROK, ELEMENTO: FILTRO DE COMBUSTIBLE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</si>
  <si>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MODELO: HILUX 4X2 AÑO: 2015 ELEMENTO: JUEGO DE DISCOS DE FRENO (Incluye 2 discos: 1 IZQ y 1 DER) Posición: Delantera. Tipo de disco de freno: Ventilado. 
Diámetro externo: 318 mm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</si>
  <si>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TOYOTA, MODELO HILUX 4X4, AÑO 2020, ELEMENTO: JUEGO DE DISCOS DE FRENO (Incluye 2 discos: 1 IZQ y 1 DER) Posición: Delantera. Tipo de disco de freno: Ventilado. 
Diámetro externo: 318 mm</t>
    </r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</si>
  <si>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TOYOTA, MODELO HILUX 4X4. AÑO 2.020: ELEMENTO: JUEGO DE INYECTORES (INCLUYE 4 INYECTORES) PARA MOTOR 2.4</t>
    </r>
  </si>
  <si>
    <t xml:space="preserve"> Item N° : 215</t>
  </si>
  <si>
    <t xml:space="preserve"> Item N° : 216</t>
  </si>
  <si>
    <t xml:space="preserve"> Item N° : 217</t>
  </si>
  <si>
    <t xml:space="preserve"> Item N° : 218</t>
  </si>
  <si>
    <t xml:space="preserve"> Item N° : 219</t>
  </si>
  <si>
    <t xml:space="preserve"> Item N° : 220</t>
  </si>
  <si>
    <t xml:space="preserve"> Item N° : 221</t>
  </si>
  <si>
    <t xml:space="preserve"> Item N° : 222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</si>
  <si>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4X2 AÑO: 2015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CORREA Y TENSOR POLI V.  (incluye 3: RODILLOS Y UNA CORREA POLI V 7PK 1515)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</si>
  <si>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4X2 AÑO: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DEL ALTERNADOR 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</si>
  <si>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4X2 AÑO: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FRENO. INCLUYE UNICAMENETE LA BOMBA, DEPOSITO NO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</si>
  <si>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4X4 AÑO: 2020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CORREA Y TENSOR POLI V.  (incluye 1: POLEA FIJA Y UN TENSOR MOVIL Y UNA CORREA POLI V 7PK 2033)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</si>
  <si>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4X4 AÑO: 2020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DEL ALTERNADOR 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</si>
  <si>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4X4 AÑO: 2020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FRENO. INCLUYE UNICAMENETE LA BOMBA, DEPOSITO NO </t>
    </r>
  </si>
  <si>
    <r>
      <t xml:space="preserve">MARCA CHEVROLET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S-10 4x2, AÑO: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FRENO. INCLUYE UNICAMENETE LA BOMBA, DEPOSITO NO 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</si>
  <si>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AMAROK 4X2 AÑO: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FRENO. INCLUYE UNICAMENETE LA BOMBA, DEPOSITO NO </t>
    </r>
  </si>
  <si>
    <t>2.9.6-9688.284</t>
  </si>
  <si>
    <t>REP. Y ACC. P/CAMIONETAS; MARCA AUTOMOTOR: TOYOTA, MODELO AUTOMOTOR: HILUX, ELEMENTO: KIT CORREA MULTICANAL Y TENSOR</t>
  </si>
  <si>
    <t>2.9.6-9688.183</t>
  </si>
  <si>
    <t>REP. Y ACC. P/CAMIONETAS; MARCA AUTOMOTOR: CHEVROLET, MODELO AUTOMOTOR: S10, ELEMENTO: BOMBA DE FRENOS</t>
  </si>
  <si>
    <t>2.9.6-4978.3044</t>
  </si>
  <si>
    <t>REP. Y ACC. P/AUTOMOTOR; REPUESTO: BOMBA DE FRENO, MARCA: TOYOTA, MODELO: HILUX, CODIGO: SIN VALOR, TIPO: SIN VALOR</t>
  </si>
  <si>
    <t>2.9.6-9688.678</t>
  </si>
  <si>
    <t>REP. Y ACC. P/CAMIONETAS; MARCA AUTOMOTOR: VOLKSWAGEN, MODELO AUTOMOTOR: AMAROK, ELEMENTO: BOMBA DE FRENOS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</si>
  <si>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EXTREMOS DE DIRECCION (Incluye 2 extremos: 1 Derecho y 1 Izquierdo)  
</t>
    </r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</si>
  <si>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</si>
  <si>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 xml:space="preserve"> 
REP. Y ACC. P/AUTOMOTOR; REPUESTO: DISCO DE FRENO, MARCA: TOYOTA, MODELO: HILUX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</si>
  <si>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JUEGO DE AMORTIGUADORES TRASEROS (01 derecho y 01 izquierdo)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</si>
  <si>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JUEGO DE  AMORTIGUADORES DELANTEROS ( 01 derecho y 01 izquierdo)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</si>
  <si>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</si>
  <si>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DE PASTILLAS DE FRENO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</si>
  <si>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FRENO: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</si>
  <si>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</si>
  <si>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 DE FRENOS.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</si>
  <si>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FRENOS. (Incluye 4 pastillas : 2 Derechas y 2 Izquierdas) 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</si>
  <si>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TRANSIT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 xml:space="preserve">: KIT DE FILTROS PARA SERVIS  Incluye filtro de aire, filtro de aceite, filtro de aire acondicionado, filtro de combustible
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</si>
  <si>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 DELANTERAS (INCLUYE 2 PASTILLAS)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</si>
  <si>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TRASERO PARA MOTOCICLETA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</si>
  <si>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DELANTERO PARA MOTOCICLETA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</si>
  <si>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520 (compatibles con: XTZ 250, XR TORNADO 250)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</si>
  <si>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428 (compatibles con: XR 125, XR 150, GILLERA 200)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</si>
  <si>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UNIVERSAL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SOCALO PARA LAMPARA H4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</si>
  <si>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</t>
    </r>
    <r>
      <rPr>
        <sz val="10"/>
        <rFont val="Century Gothic"/>
        <family val="2"/>
      </rPr>
      <t xml:space="preserve">: 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FUSIBLES DE 20 AMP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</si>
  <si>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DE DOS POLOS 21/5W 12W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</si>
  <si>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DE UN POLO 10 W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</si>
  <si>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H4 12 V 35/35 PHILIPS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</si>
  <si>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MUELITA 12V 10W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</si>
  <si>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MUELITA 12V 5W (compatibles con: XR 125, XR 150, XR TORNADO 250, GILLERA 200)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</si>
  <si>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CAMBIO (PIE) MEDIDA Y FORMA ESTANDAR PARA MOTOS ENDURO (compatibles con: XR 125, XR 150, GILLERA 200)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</si>
  <si>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 DE FRENO DELANTERA (INCLUYE 2 PASTILLAS)</t>
    </r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</si>
  <si>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 DE FRENO TRASERA (INCLUYE 2 PASTILLAS)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</si>
  <si>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CARBONES DE ARRANQUE 6X11. Incluye dos carbones de arranque (compatible con xr tornado 250, xtz 250)</t>
    </r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</si>
  <si>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S-2 12V 35/35W (compatibles con: XR 125, XR 150, XR TORNADO 250, GILLERA 200)</t>
    </r>
  </si>
  <si>
    <t>adsa</t>
  </si>
  <si>
    <t>sdfsdfg</t>
  </si>
  <si>
    <t>Especificacion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</si>
</sst>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&quot;$&quot;\ #,##0.00"/>
  </numFmts>
  <fonts count="1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b/>
      <sz val="14"/>
      <name val="Arial"/>
      <family val="2"/>
    </font>
    <font>
      <sz val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03">
    <xf numFmtId="0" fontId="0" fillId="0" borderId="0" xfId="0"/>
    <xf numFmtId="0" fontId="7" fillId="3" borderId="0" xfId="0" applyFont="1" applyFill="1"/>
    <xf numFmtId="0" fontId="14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/>
    <xf numFmtId="0" fontId="7" fillId="3" borderId="6" xfId="0" applyFont="1" applyFill="1" applyBorder="1"/>
    <xf numFmtId="0" fontId="7" fillId="4" borderId="0" xfId="0" applyFont="1" applyFill="1" applyAlignment="1">
      <alignment horizontal="left"/>
    </xf>
    <xf numFmtId="0" fontId="0" fillId="3" borderId="6" xfId="0" applyFill="1" applyBorder="1"/>
    <xf numFmtId="168" fontId="7" fillId="4" borderId="0" xfId="0" applyNumberFormat="1" applyFont="1" applyFill="1"/>
    <xf numFmtId="0" fontId="7" fillId="4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left"/>
    </xf>
    <xf numFmtId="0" fontId="7" fillId="5" borderId="0" xfId="0" applyFont="1" applyFill="1" applyAlignment="1">
      <alignment vertical="center"/>
    </xf>
    <xf numFmtId="0" fontId="7" fillId="5" borderId="0" xfId="0" applyFont="1" applyFill="1"/>
    <xf numFmtId="0" fontId="7" fillId="4" borderId="6" xfId="0" applyFont="1" applyFill="1" applyBorder="1" applyAlignment="1">
      <alignment horizontal="left" vertical="top" wrapText="1"/>
    </xf>
    <xf numFmtId="168" fontId="7" fillId="4" borderId="0" xfId="0" applyNumberFormat="1" applyFont="1" applyFill="1" applyAlignment="1">
      <alignment horizontal="left"/>
    </xf>
    <xf numFmtId="0" fontId="7" fillId="5" borderId="6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top" wrapText="1"/>
    </xf>
    <xf numFmtId="0" fontId="0" fillId="0" borderId="0" xfId="0"/>
    <xf numFmtId="0" fontId="0" fillId="0" borderId="6" xfId="0" applyBorder="1"/>
    <xf numFmtId="0" fontId="7" fillId="5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center" wrapText="1"/>
    </xf>
    <xf numFmtId="168" fontId="7" fillId="4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top"/>
    </xf>
    <xf numFmtId="0" fontId="1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Protection="1">
      <protection locked="0"/>
    </xf>
    <xf numFmtId="0" fontId="11" fillId="0" borderId="0" xfId="0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center" wrapText="1" indent="1"/>
      <protection locked="0"/>
    </xf>
    <xf numFmtId="0" fontId="8" fillId="0" borderId="0" xfId="0" applyFont="1" applyFill="1" applyBorder="1" applyAlignment="1" applyProtection="1">
      <alignment horizontal="left" wrapText="1"/>
      <protection locked="0"/>
    </xf>
    <xf numFmtId="0" fontId="8" fillId="0" borderId="0" xfId="0" applyFont="1" applyFill="1" applyBorder="1" applyAlignment="1" applyProtection="1">
      <alignment horizontal="center" wrapText="1"/>
      <protection locked="0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 applyProtection="1">
      <alignment horizontal="center" vertical="center"/>
      <protection locked="0"/>
    </xf>
    <xf numFmtId="165" fontId="2" fillId="0" borderId="0" xfId="3" applyFill="1" applyBorder="1" applyAlignment="1" applyProtection="1">
      <alignment horizontal="center" vertical="center"/>
      <protection locked="0"/>
    </xf>
    <xf numFmtId="169" fontId="2" fillId="0" borderId="0" xfId="3" applyNumberFormat="1" applyFill="1" applyBorder="1" applyProtection="1"/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 wrapText="1"/>
    </xf>
    <xf numFmtId="3" fontId="7" fillId="0" borderId="0" xfId="0" applyNumberFormat="1" applyFont="1" applyFill="1" applyBorder="1" applyAlignment="1" applyProtection="1">
      <alignment horizontal="center" vertical="center"/>
      <protection locked="0"/>
    </xf>
    <xf numFmtId="164" fontId="7" fillId="0" borderId="0" xfId="1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/>
    <xf numFmtId="167" fontId="7" fillId="0" borderId="0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Fill="1" applyBorder="1" applyAlignment="1">
      <alignment vertical="center"/>
    </xf>
    <xf numFmtId="168" fontId="7" fillId="0" borderId="0" xfId="0" applyNumberFormat="1" applyFont="1" applyFill="1" applyBorder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7" fillId="0" borderId="0" xfId="0" applyFont="1" applyFill="1" applyBorder="1" applyAlignment="1">
      <alignment horizontal="left" vertical="top"/>
    </xf>
    <xf numFmtId="0" fontId="4" fillId="0" borderId="0" xfId="0" applyFont="1" applyFill="1" applyBorder="1"/>
    <xf numFmtId="3" fontId="16" fillId="0" borderId="0" xfId="0" applyNumberFormat="1" applyFont="1" applyFill="1" applyBorder="1" applyAlignment="1" applyProtection="1">
      <alignment horizontal="center" vertical="center"/>
      <protection locked="0"/>
    </xf>
    <xf numFmtId="164" fontId="16" fillId="0" borderId="0" xfId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>
      <alignment horizontal="left" vertical="center" wrapText="1"/>
    </xf>
    <xf numFmtId="168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168" fontId="7" fillId="0" borderId="0" xfId="0" applyNumberFormat="1" applyFont="1" applyFill="1" applyBorder="1" applyAlignment="1">
      <alignment horizontal="left"/>
    </xf>
    <xf numFmtId="44" fontId="16" fillId="0" borderId="0" xfId="0" applyNumberFormat="1" applyFont="1" applyFill="1" applyBorder="1" applyAlignment="1" applyProtection="1">
      <alignment horizontal="center" vertical="center"/>
      <protection locked="0"/>
    </xf>
    <xf numFmtId="44" fontId="16" fillId="0" borderId="0" xfId="1" applyNumberFormat="1" applyFont="1" applyFill="1" applyBorder="1" applyAlignment="1" applyProtection="1">
      <alignment horizontal="center" vertical="center"/>
      <protection locked="0"/>
    </xf>
    <xf numFmtId="44" fontId="7" fillId="0" borderId="0" xfId="1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vertical="top" wrapText="1"/>
      <protection locked="0"/>
    </xf>
    <xf numFmtId="167" fontId="10" fillId="0" borderId="0" xfId="0" applyNumberFormat="1" applyFont="1" applyFill="1" applyBorder="1" applyProtection="1"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Border="1" applyAlignment="1">
      <alignment horizontal="left" vertical="center"/>
    </xf>
    <xf numFmtId="49" fontId="0" fillId="0" borderId="0" xfId="0" applyNumberForma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horizontal="left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 applyProtection="1">
      <alignment horizontal="center" wrapText="1"/>
      <protection locked="0"/>
    </xf>
    <xf numFmtId="0" fontId="7" fillId="0" borderId="0" xfId="0" applyFont="1" applyFill="1" applyBorder="1" applyAlignment="1" applyProtection="1">
      <alignment horizontal="left" wrapText="1"/>
      <protection locked="0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65"/>
  <sheetViews>
    <sheetView tabSelected="1" view="pageBreakPreview" topLeftCell="F204" zoomScaleSheetLayoutView="100" workbookViewId="0">
      <selection activeCell="I208" sqref="I208"/>
    </sheetView>
  </sheetViews>
  <sheetFormatPr baseColWidth="10" defaultColWidth="11" defaultRowHeight="13.5" x14ac:dyDescent="0.25"/>
  <cols>
    <col min="1" max="1" width="4.5703125" style="41" customWidth="1"/>
    <col min="2" max="2" width="17.140625" style="87" customWidth="1"/>
    <col min="3" max="3" width="21.140625" style="87" customWidth="1"/>
    <col min="4" max="4" width="14.7109375" style="41" customWidth="1"/>
    <col min="5" max="5" width="88.28515625" style="41" customWidth="1"/>
    <col min="6" max="6" width="12.42578125" style="41" customWidth="1"/>
    <col min="7" max="7" width="11.7109375" style="41" customWidth="1"/>
    <col min="8" max="8" width="13.85546875" style="41" customWidth="1"/>
    <col min="9" max="9" width="26.140625" style="41" customWidth="1"/>
    <col min="10" max="10" width="11" style="41"/>
    <col min="11" max="11" width="11.7109375" style="41" bestFit="1" customWidth="1"/>
    <col min="12" max="16384" width="11" style="41"/>
  </cols>
  <sheetData>
    <row r="2" spans="1:16" ht="28.5" x14ac:dyDescent="0.4">
      <c r="B2" s="42" t="s">
        <v>0</v>
      </c>
      <c r="C2" s="42"/>
      <c r="D2" s="42"/>
      <c r="E2" s="42"/>
      <c r="F2" s="42"/>
      <c r="G2" s="42"/>
      <c r="H2" s="42"/>
    </row>
    <row r="4" spans="1:16" ht="15" x14ac:dyDescent="0.25">
      <c r="A4" s="43" t="s">
        <v>1</v>
      </c>
      <c r="B4" s="43"/>
      <c r="C4" s="44" t="s">
        <v>2</v>
      </c>
      <c r="D4" s="44"/>
      <c r="E4" s="44"/>
      <c r="F4" s="45"/>
      <c r="G4" s="46"/>
      <c r="H4" s="45"/>
    </row>
    <row r="5" spans="1:16" ht="15" x14ac:dyDescent="0.25">
      <c r="A5" s="43" t="s">
        <v>3</v>
      </c>
      <c r="B5" s="43"/>
      <c r="C5" s="47" t="s">
        <v>4</v>
      </c>
      <c r="D5" s="47"/>
      <c r="E5" s="47"/>
      <c r="F5" s="47"/>
      <c r="G5" s="47"/>
      <c r="H5" s="47"/>
      <c r="I5" s="47"/>
    </row>
    <row r="6" spans="1:16" ht="15" x14ac:dyDescent="0.25">
      <c r="A6" s="43" t="s">
        <v>5</v>
      </c>
      <c r="B6" s="43"/>
      <c r="C6" s="48">
        <v>2022</v>
      </c>
      <c r="D6" s="49"/>
      <c r="E6" s="49"/>
      <c r="F6" s="45"/>
      <c r="G6" s="46"/>
      <c r="H6" s="45"/>
    </row>
    <row r="7" spans="1:16" ht="15" x14ac:dyDescent="0.25">
      <c r="A7" s="43" t="s">
        <v>6</v>
      </c>
      <c r="B7" s="43"/>
      <c r="C7" s="48">
        <v>4</v>
      </c>
      <c r="D7" s="49"/>
      <c r="E7" s="49"/>
      <c r="F7" s="45"/>
      <c r="G7" s="46"/>
      <c r="H7" s="45"/>
    </row>
    <row r="8" spans="1:16" x14ac:dyDescent="0.25">
      <c r="B8" s="50"/>
      <c r="C8" s="50"/>
      <c r="D8" s="45"/>
      <c r="E8" s="45"/>
      <c r="F8" s="45"/>
      <c r="G8" s="46"/>
      <c r="H8" s="45"/>
    </row>
    <row r="9" spans="1:16" ht="38.25" x14ac:dyDescent="0.25">
      <c r="A9" s="51" t="s">
        <v>7</v>
      </c>
      <c r="B9" s="49" t="s">
        <v>8</v>
      </c>
      <c r="C9" s="49" t="s">
        <v>9</v>
      </c>
      <c r="D9" s="51" t="s">
        <v>10</v>
      </c>
      <c r="E9" s="51" t="s">
        <v>11</v>
      </c>
      <c r="F9" s="51" t="s">
        <v>12</v>
      </c>
      <c r="G9" s="51" t="s">
        <v>13</v>
      </c>
      <c r="H9" s="51" t="s">
        <v>14</v>
      </c>
      <c r="I9" s="51" t="s">
        <v>15</v>
      </c>
      <c r="J9" s="40" t="s">
        <v>824</v>
      </c>
      <c r="K9" s="40"/>
      <c r="L9" s="40"/>
      <c r="M9" s="40"/>
      <c r="N9" s="40"/>
    </row>
    <row r="10" spans="1:16" ht="27" x14ac:dyDescent="0.25">
      <c r="A10" s="52">
        <v>1</v>
      </c>
      <c r="B10" s="53" t="s">
        <v>16</v>
      </c>
      <c r="C10" s="53" t="s">
        <v>17</v>
      </c>
      <c r="D10" s="54" t="s">
        <v>18</v>
      </c>
      <c r="E10" s="53" t="s">
        <v>19</v>
      </c>
      <c r="F10" s="54" t="s">
        <v>20</v>
      </c>
      <c r="G10" s="55">
        <v>2</v>
      </c>
      <c r="H10" s="56">
        <v>14040</v>
      </c>
      <c r="I10" s="57">
        <f>H10*G10</f>
        <v>28080</v>
      </c>
      <c r="J10" s="58" t="s">
        <v>351</v>
      </c>
      <c r="K10" s="58"/>
      <c r="L10" s="58"/>
      <c r="M10" s="58"/>
      <c r="N10" s="58"/>
      <c r="O10" s="58"/>
      <c r="P10" s="59"/>
    </row>
    <row r="11" spans="1:16" ht="27" x14ac:dyDescent="0.25">
      <c r="A11" s="52">
        <v>2</v>
      </c>
      <c r="B11" s="53" t="s">
        <v>21</v>
      </c>
      <c r="C11" s="53" t="s">
        <v>17</v>
      </c>
      <c r="D11" s="54" t="s">
        <v>18</v>
      </c>
      <c r="E11" s="53" t="s">
        <v>22</v>
      </c>
      <c r="F11" s="54" t="s">
        <v>20</v>
      </c>
      <c r="G11" s="55">
        <v>3</v>
      </c>
      <c r="H11" s="56">
        <v>9750</v>
      </c>
      <c r="I11" s="57">
        <f t="shared" ref="I11:I17" si="0">PRODUCT(G11:H11)</f>
        <v>29250</v>
      </c>
      <c r="J11" s="58" t="s">
        <v>353</v>
      </c>
      <c r="K11" s="58"/>
      <c r="L11" s="58"/>
      <c r="M11" s="58"/>
      <c r="N11" s="58"/>
      <c r="O11" s="58"/>
      <c r="P11" s="59"/>
    </row>
    <row r="12" spans="1:16" ht="27" x14ac:dyDescent="0.25">
      <c r="A12" s="52">
        <v>3</v>
      </c>
      <c r="B12" s="53" t="s">
        <v>23</v>
      </c>
      <c r="C12" s="53" t="s">
        <v>17</v>
      </c>
      <c r="D12" s="54" t="s">
        <v>18</v>
      </c>
      <c r="E12" s="53" t="s">
        <v>24</v>
      </c>
      <c r="F12" s="54" t="s">
        <v>20</v>
      </c>
      <c r="G12" s="55">
        <v>3</v>
      </c>
      <c r="H12" s="56">
        <v>6838</v>
      </c>
      <c r="I12" s="57">
        <f t="shared" si="0"/>
        <v>20514</v>
      </c>
      <c r="J12" s="58" t="s">
        <v>355</v>
      </c>
      <c r="K12" s="58"/>
      <c r="L12" s="58"/>
      <c r="M12" s="58"/>
      <c r="N12" s="58"/>
      <c r="O12" s="58"/>
      <c r="P12" s="59"/>
    </row>
    <row r="13" spans="1:16" ht="27" x14ac:dyDescent="0.25">
      <c r="A13" s="52">
        <v>4</v>
      </c>
      <c r="B13" s="53" t="s">
        <v>25</v>
      </c>
      <c r="C13" s="53" t="s">
        <v>17</v>
      </c>
      <c r="D13" s="54" t="s">
        <v>18</v>
      </c>
      <c r="E13" s="53" t="s">
        <v>26</v>
      </c>
      <c r="F13" s="54" t="s">
        <v>20</v>
      </c>
      <c r="G13" s="55">
        <v>21</v>
      </c>
      <c r="H13" s="56">
        <v>20448</v>
      </c>
      <c r="I13" s="57">
        <f t="shared" si="0"/>
        <v>429408</v>
      </c>
      <c r="J13" s="58" t="s">
        <v>357</v>
      </c>
      <c r="K13" s="58"/>
      <c r="L13" s="58"/>
      <c r="M13" s="58"/>
      <c r="N13" s="58"/>
      <c r="O13" s="58"/>
      <c r="P13" s="59"/>
    </row>
    <row r="14" spans="1:16" ht="27" x14ac:dyDescent="0.25">
      <c r="A14" s="52">
        <v>5</v>
      </c>
      <c r="B14" s="53" t="s">
        <v>25</v>
      </c>
      <c r="C14" s="53" t="s">
        <v>17</v>
      </c>
      <c r="D14" s="54" t="s">
        <v>18</v>
      </c>
      <c r="E14" s="53" t="s">
        <v>26</v>
      </c>
      <c r="F14" s="54" t="s">
        <v>20</v>
      </c>
      <c r="G14" s="55">
        <v>90</v>
      </c>
      <c r="H14" s="56">
        <v>24570</v>
      </c>
      <c r="I14" s="57">
        <f t="shared" si="0"/>
        <v>2211300</v>
      </c>
      <c r="J14" s="58" t="s">
        <v>359</v>
      </c>
      <c r="K14" s="58"/>
      <c r="L14" s="58"/>
      <c r="M14" s="58"/>
      <c r="N14" s="58"/>
      <c r="O14" s="58"/>
      <c r="P14" s="59"/>
    </row>
    <row r="15" spans="1:16" ht="27" x14ac:dyDescent="0.25">
      <c r="A15" s="52">
        <v>6</v>
      </c>
      <c r="B15" s="53" t="s">
        <v>25</v>
      </c>
      <c r="C15" s="60" t="s">
        <v>17</v>
      </c>
      <c r="D15" s="61" t="s">
        <v>18</v>
      </c>
      <c r="E15" s="62" t="s">
        <v>26</v>
      </c>
      <c r="F15" s="54" t="s">
        <v>20</v>
      </c>
      <c r="G15" s="63">
        <v>46</v>
      </c>
      <c r="H15" s="64">
        <v>26000</v>
      </c>
      <c r="I15" s="57">
        <f t="shared" si="0"/>
        <v>1196000</v>
      </c>
      <c r="J15" s="58" t="s">
        <v>361</v>
      </c>
      <c r="K15" s="58"/>
      <c r="L15" s="58"/>
      <c r="M15" s="58"/>
      <c r="N15" s="58"/>
      <c r="O15" s="58"/>
      <c r="P15" s="59"/>
    </row>
    <row r="16" spans="1:16" ht="27" x14ac:dyDescent="0.25">
      <c r="A16" s="52">
        <v>7</v>
      </c>
      <c r="B16" s="53" t="s">
        <v>27</v>
      </c>
      <c r="C16" s="60" t="s">
        <v>17</v>
      </c>
      <c r="D16" s="61" t="s">
        <v>18</v>
      </c>
      <c r="E16" s="62" t="s">
        <v>28</v>
      </c>
      <c r="F16" s="54" t="s">
        <v>20</v>
      </c>
      <c r="G16" s="63">
        <v>15</v>
      </c>
      <c r="H16" s="64">
        <v>26000</v>
      </c>
      <c r="I16" s="57">
        <f t="shared" si="0"/>
        <v>390000</v>
      </c>
      <c r="J16" s="65" t="s">
        <v>363</v>
      </c>
      <c r="K16" s="66"/>
      <c r="L16" s="66"/>
      <c r="M16" s="66"/>
      <c r="N16" s="66"/>
      <c r="O16" s="66"/>
      <c r="P16" s="59"/>
    </row>
    <row r="17" spans="1:16" ht="27" x14ac:dyDescent="0.25">
      <c r="A17" s="52">
        <v>8</v>
      </c>
      <c r="B17" s="53" t="s">
        <v>29</v>
      </c>
      <c r="C17" s="60" t="s">
        <v>17</v>
      </c>
      <c r="D17" s="61" t="s">
        <v>18</v>
      </c>
      <c r="E17" s="62" t="s">
        <v>30</v>
      </c>
      <c r="F17" s="54" t="s">
        <v>20</v>
      </c>
      <c r="G17" s="63">
        <v>13</v>
      </c>
      <c r="H17" s="64">
        <v>20000</v>
      </c>
      <c r="I17" s="57">
        <f t="shared" si="0"/>
        <v>260000</v>
      </c>
      <c r="J17" s="58" t="s">
        <v>365</v>
      </c>
      <c r="K17" s="58"/>
      <c r="L17" s="58"/>
      <c r="M17" s="58"/>
      <c r="N17" s="58"/>
      <c r="O17" s="58"/>
      <c r="P17" s="67"/>
    </row>
    <row r="18" spans="1:16" ht="27" x14ac:dyDescent="0.25">
      <c r="A18" s="52">
        <v>9</v>
      </c>
      <c r="B18" s="53" t="s">
        <v>31</v>
      </c>
      <c r="C18" s="60" t="s">
        <v>17</v>
      </c>
      <c r="D18" s="61" t="s">
        <v>18</v>
      </c>
      <c r="E18" s="62" t="s">
        <v>32</v>
      </c>
      <c r="F18" s="54" t="s">
        <v>20</v>
      </c>
      <c r="G18" s="63">
        <v>3</v>
      </c>
      <c r="H18" s="64">
        <v>201500</v>
      </c>
      <c r="I18" s="68">
        <f t="shared" ref="I18:I68" si="1">G18*H18</f>
        <v>604500</v>
      </c>
      <c r="J18" s="69" t="s">
        <v>367</v>
      </c>
      <c r="K18" s="59"/>
      <c r="L18" s="59"/>
      <c r="M18" s="59"/>
      <c r="N18" s="59"/>
      <c r="O18" s="59"/>
      <c r="P18" s="59"/>
    </row>
    <row r="19" spans="1:16" ht="27" x14ac:dyDescent="0.25">
      <c r="A19" s="52">
        <v>10</v>
      </c>
      <c r="B19" s="53" t="s">
        <v>33</v>
      </c>
      <c r="C19" s="60" t="s">
        <v>17</v>
      </c>
      <c r="D19" s="61" t="s">
        <v>18</v>
      </c>
      <c r="E19" s="62" t="s">
        <v>34</v>
      </c>
      <c r="F19" s="54" t="s">
        <v>20</v>
      </c>
      <c r="G19" s="63">
        <v>1</v>
      </c>
      <c r="H19" s="64">
        <v>21320</v>
      </c>
      <c r="I19" s="68">
        <f t="shared" si="1"/>
        <v>21320</v>
      </c>
      <c r="J19" s="69" t="s">
        <v>369</v>
      </c>
      <c r="K19" s="59"/>
      <c r="L19" s="59"/>
      <c r="M19" s="59"/>
      <c r="N19" s="59"/>
      <c r="O19" s="59"/>
      <c r="P19" s="59"/>
    </row>
    <row r="20" spans="1:16" ht="27" x14ac:dyDescent="0.25">
      <c r="A20" s="52">
        <v>11</v>
      </c>
      <c r="B20" s="53" t="s">
        <v>35</v>
      </c>
      <c r="C20" s="60" t="s">
        <v>17</v>
      </c>
      <c r="D20" s="61" t="s">
        <v>18</v>
      </c>
      <c r="E20" s="62" t="s">
        <v>36</v>
      </c>
      <c r="F20" s="54" t="s">
        <v>20</v>
      </c>
      <c r="G20" s="63">
        <v>1</v>
      </c>
      <c r="H20" s="64">
        <v>16000</v>
      </c>
      <c r="I20" s="68">
        <f t="shared" si="1"/>
        <v>16000</v>
      </c>
      <c r="J20" s="69" t="s">
        <v>371</v>
      </c>
      <c r="K20" s="59"/>
      <c r="L20" s="59"/>
      <c r="M20" s="59"/>
      <c r="N20" s="59"/>
      <c r="O20" s="59"/>
      <c r="P20" s="59"/>
    </row>
    <row r="21" spans="1:16" ht="27" x14ac:dyDescent="0.25">
      <c r="A21" s="52">
        <v>12</v>
      </c>
      <c r="B21" s="53" t="s">
        <v>37</v>
      </c>
      <c r="C21" s="60" t="s">
        <v>17</v>
      </c>
      <c r="D21" s="61" t="s">
        <v>18</v>
      </c>
      <c r="E21" s="62" t="s">
        <v>38</v>
      </c>
      <c r="F21" s="54" t="s">
        <v>20</v>
      </c>
      <c r="G21" s="63">
        <v>5</v>
      </c>
      <c r="H21" s="64">
        <v>6500</v>
      </c>
      <c r="I21" s="68">
        <f t="shared" si="1"/>
        <v>32500</v>
      </c>
      <c r="J21" s="70" t="s">
        <v>801</v>
      </c>
      <c r="K21" s="59"/>
      <c r="L21" s="59"/>
      <c r="M21" s="59"/>
      <c r="N21" s="59"/>
      <c r="O21" s="59"/>
      <c r="P21" s="59"/>
    </row>
    <row r="22" spans="1:16" ht="27" x14ac:dyDescent="0.25">
      <c r="A22" s="52">
        <v>13</v>
      </c>
      <c r="B22" s="53" t="s">
        <v>39</v>
      </c>
      <c r="C22" s="60" t="s">
        <v>17</v>
      </c>
      <c r="D22" s="61" t="s">
        <v>18</v>
      </c>
      <c r="E22" s="62" t="s">
        <v>40</v>
      </c>
      <c r="F22" s="54" t="s">
        <v>20</v>
      </c>
      <c r="G22" s="63">
        <v>5</v>
      </c>
      <c r="H22" s="64">
        <v>13000</v>
      </c>
      <c r="I22" s="68">
        <f t="shared" si="1"/>
        <v>65000</v>
      </c>
      <c r="J22" s="71" t="s">
        <v>800</v>
      </c>
      <c r="K22" s="71"/>
      <c r="L22" s="71"/>
      <c r="M22" s="71"/>
      <c r="N22" s="71"/>
      <c r="O22" s="59"/>
      <c r="P22" s="59"/>
    </row>
    <row r="23" spans="1:16" ht="27" x14ac:dyDescent="0.25">
      <c r="A23" s="52">
        <v>14</v>
      </c>
      <c r="B23" s="53" t="s">
        <v>39</v>
      </c>
      <c r="C23" s="60" t="s">
        <v>17</v>
      </c>
      <c r="D23" s="61" t="s">
        <v>18</v>
      </c>
      <c r="E23" s="62" t="s">
        <v>40</v>
      </c>
      <c r="F23" s="54" t="s">
        <v>20</v>
      </c>
      <c r="G23" s="63">
        <v>8</v>
      </c>
      <c r="H23" s="64">
        <v>13000</v>
      </c>
      <c r="I23" s="68">
        <f t="shared" si="1"/>
        <v>104000</v>
      </c>
      <c r="J23" s="71" t="s">
        <v>799</v>
      </c>
      <c r="K23" s="71"/>
      <c r="L23" s="71"/>
      <c r="M23" s="71"/>
      <c r="N23" s="71"/>
      <c r="O23" s="59"/>
      <c r="P23" s="59"/>
    </row>
    <row r="24" spans="1:16" ht="27" x14ac:dyDescent="0.25">
      <c r="A24" s="52">
        <v>15</v>
      </c>
      <c r="B24" s="53" t="s">
        <v>41</v>
      </c>
      <c r="C24" s="60" t="s">
        <v>17</v>
      </c>
      <c r="D24" s="61" t="s">
        <v>18</v>
      </c>
      <c r="E24" s="62" t="s">
        <v>42</v>
      </c>
      <c r="F24" s="54" t="s">
        <v>20</v>
      </c>
      <c r="G24" s="63">
        <v>7</v>
      </c>
      <c r="H24" s="64">
        <v>15000</v>
      </c>
      <c r="I24" s="68">
        <f t="shared" si="1"/>
        <v>105000</v>
      </c>
      <c r="J24" s="69" t="s">
        <v>798</v>
      </c>
      <c r="K24" s="59"/>
      <c r="L24" s="59"/>
      <c r="M24" s="59"/>
      <c r="N24" s="59"/>
      <c r="O24" s="59"/>
      <c r="P24" s="59"/>
    </row>
    <row r="25" spans="1:16" ht="27" x14ac:dyDescent="0.25">
      <c r="A25" s="52">
        <v>16</v>
      </c>
      <c r="B25" s="53" t="s">
        <v>43</v>
      </c>
      <c r="C25" s="60" t="s">
        <v>17</v>
      </c>
      <c r="D25" s="61" t="s">
        <v>18</v>
      </c>
      <c r="E25" s="62" t="s">
        <v>44</v>
      </c>
      <c r="F25" s="54" t="s">
        <v>20</v>
      </c>
      <c r="G25" s="63">
        <v>4</v>
      </c>
      <c r="H25" s="64">
        <v>226720</v>
      </c>
      <c r="I25" s="68">
        <f t="shared" si="1"/>
        <v>906880</v>
      </c>
      <c r="J25" s="65" t="s">
        <v>377</v>
      </c>
      <c r="K25" s="66"/>
      <c r="L25" s="66"/>
      <c r="M25" s="66"/>
      <c r="N25" s="66"/>
      <c r="O25" s="66"/>
      <c r="P25" s="59"/>
    </row>
    <row r="26" spans="1:16" ht="27" x14ac:dyDescent="0.25">
      <c r="A26" s="52">
        <v>17</v>
      </c>
      <c r="B26" s="53" t="s">
        <v>45</v>
      </c>
      <c r="C26" s="60" t="s">
        <v>17</v>
      </c>
      <c r="D26" s="61" t="s">
        <v>18</v>
      </c>
      <c r="E26" s="62" t="s">
        <v>46</v>
      </c>
      <c r="F26" s="54" t="s">
        <v>20</v>
      </c>
      <c r="G26" s="63">
        <v>1</v>
      </c>
      <c r="H26" s="64">
        <v>208000</v>
      </c>
      <c r="I26" s="68">
        <f t="shared" si="1"/>
        <v>208000</v>
      </c>
      <c r="J26" s="58" t="s">
        <v>379</v>
      </c>
      <c r="K26" s="58"/>
      <c r="L26" s="58"/>
      <c r="M26" s="58"/>
      <c r="N26" s="58"/>
      <c r="O26" s="58"/>
      <c r="P26" s="72"/>
    </row>
    <row r="27" spans="1:16" ht="27" x14ac:dyDescent="0.25">
      <c r="A27" s="52">
        <v>18</v>
      </c>
      <c r="B27" s="53" t="s">
        <v>47</v>
      </c>
      <c r="C27" s="60" t="s">
        <v>17</v>
      </c>
      <c r="D27" s="61" t="s">
        <v>18</v>
      </c>
      <c r="E27" s="62" t="s">
        <v>48</v>
      </c>
      <c r="F27" s="54" t="s">
        <v>20</v>
      </c>
      <c r="G27" s="63">
        <v>10</v>
      </c>
      <c r="H27" s="64">
        <v>7000</v>
      </c>
      <c r="I27" s="68">
        <f t="shared" si="1"/>
        <v>70000</v>
      </c>
      <c r="J27" s="58" t="s">
        <v>381</v>
      </c>
      <c r="K27" s="58"/>
      <c r="L27" s="58"/>
      <c r="M27" s="58"/>
      <c r="N27" s="58"/>
      <c r="O27" s="58"/>
      <c r="P27" s="59"/>
    </row>
    <row r="28" spans="1:16" ht="27" x14ac:dyDescent="0.25">
      <c r="A28" s="52">
        <v>19</v>
      </c>
      <c r="B28" s="53" t="s">
        <v>49</v>
      </c>
      <c r="C28" s="60" t="s">
        <v>17</v>
      </c>
      <c r="D28" s="61" t="s">
        <v>18</v>
      </c>
      <c r="E28" s="62" t="s">
        <v>50</v>
      </c>
      <c r="F28" s="54" t="s">
        <v>20</v>
      </c>
      <c r="G28" s="63">
        <v>5</v>
      </c>
      <c r="H28" s="64">
        <v>7800</v>
      </c>
      <c r="I28" s="68">
        <f t="shared" si="1"/>
        <v>39000</v>
      </c>
      <c r="J28" s="58" t="s">
        <v>383</v>
      </c>
      <c r="K28" s="58"/>
      <c r="L28" s="58"/>
      <c r="M28" s="58"/>
      <c r="N28" s="58"/>
      <c r="O28" s="58"/>
      <c r="P28" s="59"/>
    </row>
    <row r="29" spans="1:16" ht="27" x14ac:dyDescent="0.25">
      <c r="A29" s="52">
        <v>20</v>
      </c>
      <c r="B29" s="53" t="s">
        <v>49</v>
      </c>
      <c r="C29" s="60" t="s">
        <v>17</v>
      </c>
      <c r="D29" s="61" t="s">
        <v>18</v>
      </c>
      <c r="E29" s="62" t="s">
        <v>50</v>
      </c>
      <c r="F29" s="54" t="s">
        <v>20</v>
      </c>
      <c r="G29" s="63">
        <v>5</v>
      </c>
      <c r="H29" s="64">
        <v>7800</v>
      </c>
      <c r="I29" s="68">
        <f t="shared" si="1"/>
        <v>39000</v>
      </c>
      <c r="J29" s="58" t="s">
        <v>385</v>
      </c>
      <c r="K29" s="58"/>
      <c r="L29" s="58"/>
      <c r="M29" s="58"/>
      <c r="N29" s="58"/>
      <c r="O29" s="58"/>
      <c r="P29" s="59"/>
    </row>
    <row r="30" spans="1:16" ht="27" x14ac:dyDescent="0.25">
      <c r="A30" s="52">
        <v>21</v>
      </c>
      <c r="B30" s="53" t="s">
        <v>51</v>
      </c>
      <c r="C30" s="60" t="s">
        <v>17</v>
      </c>
      <c r="D30" s="61" t="s">
        <v>18</v>
      </c>
      <c r="E30" s="62" t="s">
        <v>52</v>
      </c>
      <c r="F30" s="54" t="s">
        <v>20</v>
      </c>
      <c r="G30" s="63">
        <v>8</v>
      </c>
      <c r="H30" s="64">
        <v>14500</v>
      </c>
      <c r="I30" s="68">
        <f t="shared" si="1"/>
        <v>116000</v>
      </c>
      <c r="J30" s="58" t="s">
        <v>387</v>
      </c>
      <c r="K30" s="58"/>
      <c r="L30" s="58"/>
      <c r="M30" s="58"/>
      <c r="N30" s="58"/>
      <c r="O30" s="58"/>
      <c r="P30" s="59"/>
    </row>
    <row r="31" spans="1:16" ht="27" x14ac:dyDescent="0.25">
      <c r="A31" s="52">
        <v>22</v>
      </c>
      <c r="B31" s="53" t="s">
        <v>53</v>
      </c>
      <c r="C31" s="60" t="s">
        <v>17</v>
      </c>
      <c r="D31" s="61" t="s">
        <v>18</v>
      </c>
      <c r="E31" s="62" t="s">
        <v>54</v>
      </c>
      <c r="F31" s="54" t="s">
        <v>20</v>
      </c>
      <c r="G31" s="63">
        <v>2</v>
      </c>
      <c r="H31" s="64">
        <v>8000</v>
      </c>
      <c r="I31" s="68">
        <f t="shared" si="1"/>
        <v>16000</v>
      </c>
      <c r="J31" s="58" t="s">
        <v>389</v>
      </c>
      <c r="K31" s="58"/>
      <c r="L31" s="58"/>
      <c r="M31" s="58"/>
      <c r="N31" s="58"/>
      <c r="O31" s="58"/>
      <c r="P31" s="59"/>
    </row>
    <row r="32" spans="1:16" ht="27" x14ac:dyDescent="0.25">
      <c r="A32" s="52">
        <v>23</v>
      </c>
      <c r="B32" s="53" t="s">
        <v>55</v>
      </c>
      <c r="C32" s="60" t="s">
        <v>17</v>
      </c>
      <c r="D32" s="61" t="s">
        <v>18</v>
      </c>
      <c r="E32" s="62" t="s">
        <v>56</v>
      </c>
      <c r="F32" s="54" t="s">
        <v>20</v>
      </c>
      <c r="G32" s="63">
        <v>4</v>
      </c>
      <c r="H32" s="64">
        <v>13000</v>
      </c>
      <c r="I32" s="68">
        <f t="shared" si="1"/>
        <v>52000</v>
      </c>
      <c r="J32" s="58" t="s">
        <v>391</v>
      </c>
      <c r="K32" s="58"/>
      <c r="L32" s="58"/>
      <c r="M32" s="58"/>
      <c r="N32" s="58"/>
      <c r="O32" s="58"/>
      <c r="P32" s="59"/>
    </row>
    <row r="33" spans="1:16" ht="27" x14ac:dyDescent="0.25">
      <c r="A33" s="52">
        <v>24</v>
      </c>
      <c r="B33" s="53" t="s">
        <v>57</v>
      </c>
      <c r="C33" s="60" t="s">
        <v>17</v>
      </c>
      <c r="D33" s="61" t="s">
        <v>18</v>
      </c>
      <c r="E33" s="62" t="s">
        <v>58</v>
      </c>
      <c r="F33" s="54" t="s">
        <v>20</v>
      </c>
      <c r="G33" s="63">
        <v>5</v>
      </c>
      <c r="H33" s="64">
        <v>104000</v>
      </c>
      <c r="I33" s="68">
        <f t="shared" si="1"/>
        <v>520000</v>
      </c>
      <c r="J33" s="69" t="s">
        <v>393</v>
      </c>
      <c r="K33" s="59"/>
      <c r="L33" s="59"/>
      <c r="M33" s="59"/>
      <c r="N33" s="59"/>
      <c r="O33" s="59"/>
      <c r="P33" s="59"/>
    </row>
    <row r="34" spans="1:16" ht="27" x14ac:dyDescent="0.25">
      <c r="A34" s="52">
        <v>25</v>
      </c>
      <c r="B34" s="53" t="s">
        <v>59</v>
      </c>
      <c r="C34" s="60" t="s">
        <v>17</v>
      </c>
      <c r="D34" s="61" t="s">
        <v>18</v>
      </c>
      <c r="E34" s="62" t="s">
        <v>60</v>
      </c>
      <c r="F34" s="54" t="s">
        <v>20</v>
      </c>
      <c r="G34" s="63">
        <v>6</v>
      </c>
      <c r="H34" s="64">
        <v>32500</v>
      </c>
      <c r="I34" s="68">
        <f t="shared" si="1"/>
        <v>195000</v>
      </c>
      <c r="J34" s="69" t="s">
        <v>395</v>
      </c>
      <c r="K34" s="59"/>
      <c r="L34" s="59"/>
      <c r="M34" s="59"/>
      <c r="N34" s="59"/>
      <c r="O34" s="59"/>
      <c r="P34" s="59"/>
    </row>
    <row r="35" spans="1:16" ht="27" x14ac:dyDescent="0.25">
      <c r="A35" s="52">
        <v>26</v>
      </c>
      <c r="B35" s="53" t="s">
        <v>61</v>
      </c>
      <c r="C35" s="60" t="s">
        <v>17</v>
      </c>
      <c r="D35" s="61" t="s">
        <v>18</v>
      </c>
      <c r="E35" s="62" t="s">
        <v>62</v>
      </c>
      <c r="F35" s="54" t="s">
        <v>20</v>
      </c>
      <c r="G35" s="63">
        <v>1</v>
      </c>
      <c r="H35" s="64">
        <v>19500</v>
      </c>
      <c r="I35" s="68">
        <f t="shared" si="1"/>
        <v>19500</v>
      </c>
      <c r="J35" s="73" t="s">
        <v>398</v>
      </c>
      <c r="K35" s="73"/>
      <c r="L35" s="73"/>
      <c r="M35" s="73"/>
      <c r="N35" s="73"/>
      <c r="O35" s="73"/>
      <c r="P35" s="73"/>
    </row>
    <row r="36" spans="1:16" ht="27" x14ac:dyDescent="0.25">
      <c r="A36" s="52">
        <v>27</v>
      </c>
      <c r="B36" s="53" t="s">
        <v>61</v>
      </c>
      <c r="C36" s="60" t="s">
        <v>17</v>
      </c>
      <c r="D36" s="61" t="s">
        <v>18</v>
      </c>
      <c r="E36" s="62" t="s">
        <v>62</v>
      </c>
      <c r="F36" s="54" t="s">
        <v>20</v>
      </c>
      <c r="G36" s="63">
        <v>1</v>
      </c>
      <c r="H36" s="64">
        <v>19500</v>
      </c>
      <c r="I36" s="68">
        <f t="shared" si="1"/>
        <v>19500</v>
      </c>
      <c r="J36" s="69" t="s">
        <v>400</v>
      </c>
      <c r="K36" s="59"/>
      <c r="L36" s="59"/>
      <c r="M36" s="59"/>
      <c r="N36" s="59"/>
      <c r="O36" s="59"/>
      <c r="P36" s="59"/>
    </row>
    <row r="37" spans="1:16" ht="27" x14ac:dyDescent="0.25">
      <c r="A37" s="52">
        <v>28</v>
      </c>
      <c r="B37" s="53" t="s">
        <v>63</v>
      </c>
      <c r="C37" s="60" t="s">
        <v>17</v>
      </c>
      <c r="D37" s="61" t="s">
        <v>18</v>
      </c>
      <c r="E37" s="62" t="s">
        <v>64</v>
      </c>
      <c r="F37" s="54" t="s">
        <v>20</v>
      </c>
      <c r="G37" s="63">
        <v>1</v>
      </c>
      <c r="H37" s="64">
        <v>48880</v>
      </c>
      <c r="I37" s="68">
        <f t="shared" si="1"/>
        <v>48880</v>
      </c>
      <c r="J37" s="69" t="s">
        <v>402</v>
      </c>
      <c r="K37" s="59"/>
      <c r="L37" s="59"/>
      <c r="M37" s="59"/>
      <c r="N37" s="59"/>
      <c r="O37" s="59"/>
      <c r="P37" s="59"/>
    </row>
    <row r="38" spans="1:16" ht="27" x14ac:dyDescent="0.25">
      <c r="A38" s="52">
        <v>29</v>
      </c>
      <c r="B38" s="53" t="s">
        <v>63</v>
      </c>
      <c r="C38" s="60" t="s">
        <v>17</v>
      </c>
      <c r="D38" s="61" t="s">
        <v>18</v>
      </c>
      <c r="E38" s="62" t="s">
        <v>64</v>
      </c>
      <c r="F38" s="54" t="s">
        <v>20</v>
      </c>
      <c r="G38" s="63">
        <v>1</v>
      </c>
      <c r="H38" s="64">
        <v>48880</v>
      </c>
      <c r="I38" s="68">
        <f t="shared" si="1"/>
        <v>48880</v>
      </c>
      <c r="J38" s="69" t="s">
        <v>404</v>
      </c>
      <c r="K38" s="59"/>
      <c r="L38" s="59"/>
      <c r="M38" s="59"/>
      <c r="N38" s="59"/>
      <c r="O38" s="59"/>
      <c r="P38" s="59"/>
    </row>
    <row r="39" spans="1:16" ht="27" x14ac:dyDescent="0.25">
      <c r="A39" s="52">
        <v>30</v>
      </c>
      <c r="B39" s="53" t="s">
        <v>65</v>
      </c>
      <c r="C39" s="60" t="s">
        <v>17</v>
      </c>
      <c r="D39" s="61" t="s">
        <v>18</v>
      </c>
      <c r="E39" s="62" t="s">
        <v>66</v>
      </c>
      <c r="F39" s="54" t="s">
        <v>20</v>
      </c>
      <c r="G39" s="63">
        <v>5</v>
      </c>
      <c r="H39" s="64">
        <v>26500</v>
      </c>
      <c r="I39" s="68">
        <f t="shared" si="1"/>
        <v>132500</v>
      </c>
      <c r="J39" s="74" t="s">
        <v>406</v>
      </c>
      <c r="K39" s="75"/>
      <c r="L39" s="75"/>
      <c r="M39" s="75"/>
      <c r="N39" s="75"/>
      <c r="O39" s="75"/>
      <c r="P39" s="75"/>
    </row>
    <row r="40" spans="1:16" ht="27" x14ac:dyDescent="0.25">
      <c r="A40" s="52">
        <v>31</v>
      </c>
      <c r="B40" s="53" t="s">
        <v>67</v>
      </c>
      <c r="C40" s="60" t="s">
        <v>17</v>
      </c>
      <c r="D40" s="61" t="s">
        <v>18</v>
      </c>
      <c r="E40" s="62" t="s">
        <v>68</v>
      </c>
      <c r="F40" s="54" t="s">
        <v>20</v>
      </c>
      <c r="G40" s="63">
        <v>1</v>
      </c>
      <c r="H40" s="64">
        <v>39000</v>
      </c>
      <c r="I40" s="68">
        <f t="shared" si="1"/>
        <v>39000</v>
      </c>
      <c r="J40" s="76" t="s">
        <v>408</v>
      </c>
      <c r="K40" s="76"/>
      <c r="L40" s="76"/>
      <c r="M40" s="76"/>
      <c r="N40" s="76"/>
      <c r="O40" s="76"/>
      <c r="P40" s="66"/>
    </row>
    <row r="41" spans="1:16" ht="27" x14ac:dyDescent="0.25">
      <c r="A41" s="52">
        <v>32</v>
      </c>
      <c r="B41" s="53" t="s">
        <v>69</v>
      </c>
      <c r="C41" s="60" t="s">
        <v>17</v>
      </c>
      <c r="D41" s="61" t="s">
        <v>18</v>
      </c>
      <c r="E41" s="62" t="s">
        <v>70</v>
      </c>
      <c r="F41" s="54" t="s">
        <v>20</v>
      </c>
      <c r="G41" s="63">
        <v>5</v>
      </c>
      <c r="H41" s="64">
        <v>16250</v>
      </c>
      <c r="I41" s="68">
        <f t="shared" si="1"/>
        <v>81250</v>
      </c>
      <c r="J41" s="58" t="s">
        <v>410</v>
      </c>
      <c r="K41" s="75"/>
      <c r="L41" s="75"/>
      <c r="M41" s="75"/>
      <c r="N41" s="75"/>
      <c r="O41" s="75"/>
      <c r="P41" s="75"/>
    </row>
    <row r="42" spans="1:16" ht="27" x14ac:dyDescent="0.25">
      <c r="A42" s="52">
        <v>33</v>
      </c>
      <c r="B42" s="53" t="s">
        <v>71</v>
      </c>
      <c r="C42" s="60" t="s">
        <v>17</v>
      </c>
      <c r="D42" s="61" t="s">
        <v>18</v>
      </c>
      <c r="E42" s="62" t="s">
        <v>72</v>
      </c>
      <c r="F42" s="54" t="s">
        <v>20</v>
      </c>
      <c r="G42" s="63">
        <v>2</v>
      </c>
      <c r="H42" s="64">
        <v>16000</v>
      </c>
      <c r="I42" s="68">
        <f t="shared" si="1"/>
        <v>32000</v>
      </c>
      <c r="J42" s="65" t="s">
        <v>412</v>
      </c>
      <c r="K42" s="66"/>
      <c r="L42" s="66"/>
      <c r="M42" s="66"/>
      <c r="N42" s="66"/>
      <c r="O42" s="66"/>
      <c r="P42" s="66"/>
    </row>
    <row r="43" spans="1:16" ht="27" x14ac:dyDescent="0.25">
      <c r="A43" s="52">
        <v>34</v>
      </c>
      <c r="B43" s="53" t="s">
        <v>73</v>
      </c>
      <c r="C43" s="60" t="s">
        <v>17</v>
      </c>
      <c r="D43" s="61" t="s">
        <v>18</v>
      </c>
      <c r="E43" s="62" t="s">
        <v>74</v>
      </c>
      <c r="F43" s="54" t="s">
        <v>20</v>
      </c>
      <c r="G43" s="63">
        <v>20</v>
      </c>
      <c r="H43" s="64">
        <v>2900</v>
      </c>
      <c r="I43" s="68">
        <f t="shared" si="1"/>
        <v>58000</v>
      </c>
      <c r="J43" s="65" t="s">
        <v>414</v>
      </c>
      <c r="K43" s="66"/>
      <c r="L43" s="66"/>
      <c r="M43" s="66"/>
      <c r="N43" s="66"/>
      <c r="O43" s="66"/>
      <c r="P43" s="66"/>
    </row>
    <row r="44" spans="1:16" ht="27" x14ac:dyDescent="0.25">
      <c r="A44" s="52">
        <v>35</v>
      </c>
      <c r="B44" s="53" t="s">
        <v>75</v>
      </c>
      <c r="C44" s="60" t="s">
        <v>17</v>
      </c>
      <c r="D44" s="61" t="s">
        <v>18</v>
      </c>
      <c r="E44" s="62" t="s">
        <v>76</v>
      </c>
      <c r="F44" s="54" t="s">
        <v>20</v>
      </c>
      <c r="G44" s="63">
        <v>1</v>
      </c>
      <c r="H44" s="64">
        <v>16250</v>
      </c>
      <c r="I44" s="68">
        <f t="shared" si="1"/>
        <v>16250</v>
      </c>
      <c r="J44" s="65" t="s">
        <v>416</v>
      </c>
      <c r="K44" s="66"/>
      <c r="L44" s="66"/>
      <c r="M44" s="66"/>
      <c r="N44" s="66"/>
      <c r="O44" s="66"/>
      <c r="P44" s="66"/>
    </row>
    <row r="45" spans="1:16" ht="27" x14ac:dyDescent="0.25">
      <c r="A45" s="52">
        <v>36</v>
      </c>
      <c r="B45" s="53" t="s">
        <v>77</v>
      </c>
      <c r="C45" s="60" t="s">
        <v>17</v>
      </c>
      <c r="D45" s="61" t="s">
        <v>18</v>
      </c>
      <c r="E45" s="62" t="s">
        <v>78</v>
      </c>
      <c r="F45" s="54" t="s">
        <v>20</v>
      </c>
      <c r="G45" s="63">
        <v>5</v>
      </c>
      <c r="H45" s="64">
        <v>15340</v>
      </c>
      <c r="I45" s="68">
        <f t="shared" si="1"/>
        <v>76700</v>
      </c>
      <c r="J45" s="58" t="s">
        <v>418</v>
      </c>
      <c r="K45" s="75"/>
      <c r="L45" s="75"/>
      <c r="M45" s="75"/>
      <c r="N45" s="75"/>
      <c r="O45" s="75"/>
      <c r="P45" s="75"/>
    </row>
    <row r="46" spans="1:16" ht="27" x14ac:dyDescent="0.25">
      <c r="A46" s="52">
        <v>37</v>
      </c>
      <c r="B46" s="53" t="s">
        <v>79</v>
      </c>
      <c r="C46" s="60" t="s">
        <v>17</v>
      </c>
      <c r="D46" s="61" t="s">
        <v>18</v>
      </c>
      <c r="E46" s="62" t="s">
        <v>80</v>
      </c>
      <c r="F46" s="54" t="s">
        <v>20</v>
      </c>
      <c r="G46" s="63">
        <v>3</v>
      </c>
      <c r="H46" s="64">
        <v>117000</v>
      </c>
      <c r="I46" s="68">
        <f t="shared" si="1"/>
        <v>351000</v>
      </c>
      <c r="J46" s="74" t="s">
        <v>420</v>
      </c>
      <c r="K46" s="75"/>
      <c r="L46" s="75"/>
      <c r="M46" s="75"/>
      <c r="N46" s="75"/>
      <c r="O46" s="75"/>
      <c r="P46" s="75"/>
    </row>
    <row r="47" spans="1:16" ht="27" x14ac:dyDescent="0.25">
      <c r="A47" s="52">
        <v>38</v>
      </c>
      <c r="B47" s="53" t="s">
        <v>81</v>
      </c>
      <c r="C47" s="60" t="s">
        <v>17</v>
      </c>
      <c r="D47" s="61" t="s">
        <v>18</v>
      </c>
      <c r="E47" s="62" t="s">
        <v>82</v>
      </c>
      <c r="F47" s="54" t="s">
        <v>20</v>
      </c>
      <c r="G47" s="63">
        <v>1</v>
      </c>
      <c r="H47" s="64">
        <v>223600</v>
      </c>
      <c r="I47" s="68">
        <f t="shared" si="1"/>
        <v>223600</v>
      </c>
      <c r="J47" s="69" t="s">
        <v>422</v>
      </c>
      <c r="K47" s="59"/>
      <c r="L47" s="59"/>
      <c r="M47" s="59"/>
      <c r="N47" s="59"/>
      <c r="O47" s="60"/>
      <c r="P47" s="60"/>
    </row>
    <row r="48" spans="1:16" ht="27" x14ac:dyDescent="0.25">
      <c r="A48" s="52">
        <v>39</v>
      </c>
      <c r="B48" s="53" t="s">
        <v>83</v>
      </c>
      <c r="C48" s="60" t="s">
        <v>17</v>
      </c>
      <c r="D48" s="61" t="s">
        <v>18</v>
      </c>
      <c r="E48" s="62" t="s">
        <v>84</v>
      </c>
      <c r="F48" s="54" t="s">
        <v>20</v>
      </c>
      <c r="G48" s="63">
        <v>2</v>
      </c>
      <c r="H48" s="64">
        <v>98800</v>
      </c>
      <c r="I48" s="68">
        <f t="shared" si="1"/>
        <v>197600</v>
      </c>
      <c r="J48" s="69" t="s">
        <v>424</v>
      </c>
      <c r="K48" s="59"/>
      <c r="L48" s="59"/>
      <c r="M48" s="59"/>
      <c r="N48" s="59"/>
      <c r="O48" s="60"/>
      <c r="P48" s="60"/>
    </row>
    <row r="49" spans="1:16" ht="27" x14ac:dyDescent="0.25">
      <c r="A49" s="52">
        <v>40</v>
      </c>
      <c r="B49" s="53" t="s">
        <v>85</v>
      </c>
      <c r="C49" s="60" t="s">
        <v>17</v>
      </c>
      <c r="D49" s="61" t="s">
        <v>18</v>
      </c>
      <c r="E49" s="62" t="s">
        <v>86</v>
      </c>
      <c r="F49" s="54" t="s">
        <v>20</v>
      </c>
      <c r="G49" s="63">
        <v>2</v>
      </c>
      <c r="H49" s="64">
        <v>29000</v>
      </c>
      <c r="I49" s="68">
        <f t="shared" si="1"/>
        <v>58000</v>
      </c>
      <c r="J49" s="69" t="s">
        <v>796</v>
      </c>
      <c r="K49" s="59"/>
      <c r="L49" s="60"/>
      <c r="M49" s="60"/>
      <c r="N49" s="60"/>
      <c r="O49" s="60"/>
      <c r="P49" s="60"/>
    </row>
    <row r="50" spans="1:16" ht="27" x14ac:dyDescent="0.25">
      <c r="A50" s="52">
        <v>41</v>
      </c>
      <c r="B50" s="53" t="s">
        <v>87</v>
      </c>
      <c r="C50" s="60" t="s">
        <v>17</v>
      </c>
      <c r="D50" s="61" t="s">
        <v>18</v>
      </c>
      <c r="E50" s="62" t="s">
        <v>88</v>
      </c>
      <c r="F50" s="54" t="s">
        <v>20</v>
      </c>
      <c r="G50" s="63">
        <v>5</v>
      </c>
      <c r="H50" s="64">
        <v>35750</v>
      </c>
      <c r="I50" s="68">
        <f t="shared" si="1"/>
        <v>178750</v>
      </c>
      <c r="J50" s="69" t="s">
        <v>797</v>
      </c>
      <c r="K50" s="59"/>
      <c r="L50" s="60"/>
      <c r="M50" s="60"/>
      <c r="N50" s="60"/>
      <c r="O50" s="60"/>
      <c r="P50" s="60"/>
    </row>
    <row r="51" spans="1:16" ht="27" x14ac:dyDescent="0.25">
      <c r="A51" s="52">
        <v>42</v>
      </c>
      <c r="B51" s="53" t="s">
        <v>89</v>
      </c>
      <c r="C51" s="60" t="s">
        <v>17</v>
      </c>
      <c r="D51" s="61" t="s">
        <v>18</v>
      </c>
      <c r="E51" s="62" t="s">
        <v>90</v>
      </c>
      <c r="F51" s="54" t="s">
        <v>20</v>
      </c>
      <c r="G51" s="63">
        <v>5</v>
      </c>
      <c r="H51" s="64">
        <v>4900</v>
      </c>
      <c r="I51" s="68">
        <f t="shared" si="1"/>
        <v>24500</v>
      </c>
      <c r="J51" s="69" t="s">
        <v>428</v>
      </c>
      <c r="K51" s="59"/>
      <c r="L51" s="60"/>
      <c r="M51" s="60"/>
      <c r="N51" s="60"/>
      <c r="O51" s="60"/>
      <c r="P51" s="60"/>
    </row>
    <row r="52" spans="1:16" ht="27" x14ac:dyDescent="0.25">
      <c r="A52" s="52">
        <v>43</v>
      </c>
      <c r="B52" s="53" t="s">
        <v>89</v>
      </c>
      <c r="C52" s="60" t="s">
        <v>17</v>
      </c>
      <c r="D52" s="61" t="s">
        <v>18</v>
      </c>
      <c r="E52" s="62" t="s">
        <v>90</v>
      </c>
      <c r="F52" s="54" t="s">
        <v>20</v>
      </c>
      <c r="G52" s="63">
        <v>5</v>
      </c>
      <c r="H52" s="64">
        <v>4900</v>
      </c>
      <c r="I52" s="68">
        <f t="shared" si="1"/>
        <v>24500</v>
      </c>
      <c r="J52" s="69" t="s">
        <v>430</v>
      </c>
      <c r="K52" s="59"/>
      <c r="L52" s="60"/>
      <c r="M52" s="60"/>
      <c r="N52" s="60"/>
      <c r="O52" s="60"/>
      <c r="P52" s="60"/>
    </row>
    <row r="53" spans="1:16" ht="27" x14ac:dyDescent="0.25">
      <c r="A53" s="52">
        <v>44</v>
      </c>
      <c r="B53" s="53" t="s">
        <v>91</v>
      </c>
      <c r="C53" s="60" t="s">
        <v>17</v>
      </c>
      <c r="D53" s="61" t="s">
        <v>18</v>
      </c>
      <c r="E53" s="62" t="s">
        <v>92</v>
      </c>
      <c r="F53" s="54" t="s">
        <v>20</v>
      </c>
      <c r="G53" s="63">
        <v>3</v>
      </c>
      <c r="H53" s="64">
        <v>5980</v>
      </c>
      <c r="I53" s="68">
        <f t="shared" si="1"/>
        <v>17940</v>
      </c>
      <c r="J53" s="69" t="s">
        <v>432</v>
      </c>
      <c r="K53" s="59"/>
      <c r="L53" s="60"/>
      <c r="M53" s="60" t="s">
        <v>433</v>
      </c>
      <c r="N53" s="60"/>
      <c r="O53" s="60"/>
      <c r="P53" s="60"/>
    </row>
    <row r="54" spans="1:16" ht="27" x14ac:dyDescent="0.25">
      <c r="A54" s="52">
        <v>45</v>
      </c>
      <c r="B54" s="53" t="s">
        <v>91</v>
      </c>
      <c r="C54" s="60" t="s">
        <v>17</v>
      </c>
      <c r="D54" s="61" t="s">
        <v>18</v>
      </c>
      <c r="E54" s="62" t="s">
        <v>92</v>
      </c>
      <c r="F54" s="54" t="s">
        <v>20</v>
      </c>
      <c r="G54" s="63">
        <v>3</v>
      </c>
      <c r="H54" s="64">
        <v>5980</v>
      </c>
      <c r="I54" s="68">
        <f t="shared" si="1"/>
        <v>17940</v>
      </c>
      <c r="J54" s="69" t="s">
        <v>435</v>
      </c>
      <c r="K54" s="59"/>
      <c r="L54" s="60"/>
      <c r="M54" s="60"/>
      <c r="N54" s="60"/>
      <c r="O54" s="60"/>
      <c r="P54" s="60"/>
    </row>
    <row r="55" spans="1:16" ht="27" x14ac:dyDescent="0.25">
      <c r="A55" s="52">
        <v>46</v>
      </c>
      <c r="B55" s="53" t="s">
        <v>93</v>
      </c>
      <c r="C55" s="60" t="s">
        <v>17</v>
      </c>
      <c r="D55" s="61" t="s">
        <v>18</v>
      </c>
      <c r="E55" s="62" t="s">
        <v>94</v>
      </c>
      <c r="F55" s="54" t="s">
        <v>20</v>
      </c>
      <c r="G55" s="63">
        <v>6</v>
      </c>
      <c r="H55" s="64">
        <v>3900</v>
      </c>
      <c r="I55" s="68">
        <f t="shared" si="1"/>
        <v>23400</v>
      </c>
      <c r="J55" s="69" t="s">
        <v>437</v>
      </c>
      <c r="K55" s="59"/>
      <c r="L55" s="60"/>
      <c r="M55" s="60"/>
      <c r="N55" s="60"/>
      <c r="O55" s="60"/>
      <c r="P55" s="60"/>
    </row>
    <row r="56" spans="1:16" ht="27" x14ac:dyDescent="0.25">
      <c r="A56" s="52">
        <v>47</v>
      </c>
      <c r="B56" s="53" t="s">
        <v>95</v>
      </c>
      <c r="C56" s="60" t="s">
        <v>17</v>
      </c>
      <c r="D56" s="61" t="s">
        <v>18</v>
      </c>
      <c r="E56" s="62" t="s">
        <v>96</v>
      </c>
      <c r="F56" s="54" t="s">
        <v>20</v>
      </c>
      <c r="G56" s="63">
        <v>2</v>
      </c>
      <c r="H56" s="64">
        <v>65000</v>
      </c>
      <c r="I56" s="68">
        <f t="shared" si="1"/>
        <v>130000</v>
      </c>
      <c r="J56" s="69" t="s">
        <v>439</v>
      </c>
      <c r="K56" s="59"/>
      <c r="L56" s="60"/>
      <c r="M56" s="60"/>
      <c r="N56" s="60"/>
      <c r="O56" s="60"/>
      <c r="P56" s="60"/>
    </row>
    <row r="57" spans="1:16" ht="27" x14ac:dyDescent="0.25">
      <c r="A57" s="52">
        <v>48</v>
      </c>
      <c r="B57" s="53" t="s">
        <v>95</v>
      </c>
      <c r="C57" s="60" t="s">
        <v>17</v>
      </c>
      <c r="D57" s="61" t="s">
        <v>18</v>
      </c>
      <c r="E57" s="62" t="s">
        <v>96</v>
      </c>
      <c r="F57" s="54" t="s">
        <v>20</v>
      </c>
      <c r="G57" s="63">
        <v>2</v>
      </c>
      <c r="H57" s="64">
        <v>65000</v>
      </c>
      <c r="I57" s="68">
        <f t="shared" si="1"/>
        <v>130000</v>
      </c>
      <c r="J57" s="69" t="s">
        <v>441</v>
      </c>
      <c r="K57" s="59"/>
      <c r="L57" s="60"/>
      <c r="M57" s="60"/>
      <c r="N57" s="60"/>
      <c r="O57" s="60"/>
      <c r="P57" s="60"/>
    </row>
    <row r="58" spans="1:16" ht="27" x14ac:dyDescent="0.25">
      <c r="A58" s="52">
        <v>49</v>
      </c>
      <c r="B58" s="53" t="s">
        <v>97</v>
      </c>
      <c r="C58" s="60" t="s">
        <v>17</v>
      </c>
      <c r="D58" s="61" t="s">
        <v>18</v>
      </c>
      <c r="E58" s="62" t="s">
        <v>98</v>
      </c>
      <c r="F58" s="54" t="s">
        <v>20</v>
      </c>
      <c r="G58" s="63">
        <v>2</v>
      </c>
      <c r="H58" s="64">
        <v>68900</v>
      </c>
      <c r="I58" s="68">
        <f t="shared" si="1"/>
        <v>137800</v>
      </c>
      <c r="J58" s="69" t="s">
        <v>443</v>
      </c>
      <c r="K58" s="59"/>
      <c r="L58" s="60"/>
      <c r="M58" s="60"/>
      <c r="N58" s="60"/>
      <c r="O58" s="60"/>
      <c r="P58" s="60"/>
    </row>
    <row r="59" spans="1:16" ht="27" x14ac:dyDescent="0.25">
      <c r="A59" s="52">
        <v>50</v>
      </c>
      <c r="B59" s="53" t="s">
        <v>97</v>
      </c>
      <c r="C59" s="60" t="s">
        <v>17</v>
      </c>
      <c r="D59" s="61" t="s">
        <v>18</v>
      </c>
      <c r="E59" s="62" t="s">
        <v>98</v>
      </c>
      <c r="F59" s="54" t="s">
        <v>20</v>
      </c>
      <c r="G59" s="63">
        <v>2</v>
      </c>
      <c r="H59" s="64">
        <v>68900</v>
      </c>
      <c r="I59" s="68">
        <f t="shared" si="1"/>
        <v>137800</v>
      </c>
      <c r="J59" s="69" t="s">
        <v>445</v>
      </c>
      <c r="K59" s="59"/>
      <c r="L59" s="60"/>
      <c r="M59" s="60"/>
      <c r="N59" s="60"/>
      <c r="O59" s="60"/>
      <c r="P59" s="60"/>
    </row>
    <row r="60" spans="1:16" ht="27" x14ac:dyDescent="0.25">
      <c r="A60" s="52">
        <v>51</v>
      </c>
      <c r="B60" s="53" t="s">
        <v>99</v>
      </c>
      <c r="C60" s="60" t="s">
        <v>17</v>
      </c>
      <c r="D60" s="61" t="s">
        <v>18</v>
      </c>
      <c r="E60" s="62" t="s">
        <v>100</v>
      </c>
      <c r="F60" s="54" t="s">
        <v>20</v>
      </c>
      <c r="G60" s="63">
        <v>5</v>
      </c>
      <c r="H60" s="64">
        <v>19500</v>
      </c>
      <c r="I60" s="68">
        <f t="shared" si="1"/>
        <v>97500</v>
      </c>
      <c r="J60" s="69" t="s">
        <v>802</v>
      </c>
      <c r="K60" s="59"/>
      <c r="L60" s="60"/>
      <c r="M60" s="60"/>
      <c r="N60" s="60"/>
      <c r="O60" s="60"/>
      <c r="P60" s="60"/>
    </row>
    <row r="61" spans="1:16" ht="27" x14ac:dyDescent="0.25">
      <c r="A61" s="52">
        <v>52</v>
      </c>
      <c r="B61" s="53" t="s">
        <v>101</v>
      </c>
      <c r="C61" s="60" t="s">
        <v>17</v>
      </c>
      <c r="D61" s="61" t="s">
        <v>18</v>
      </c>
      <c r="E61" s="62" t="s">
        <v>102</v>
      </c>
      <c r="F61" s="54" t="s">
        <v>20</v>
      </c>
      <c r="G61" s="63">
        <v>1</v>
      </c>
      <c r="H61" s="64">
        <v>59150</v>
      </c>
      <c r="I61" s="68">
        <f t="shared" si="1"/>
        <v>59150</v>
      </c>
      <c r="J61" s="69" t="s">
        <v>448</v>
      </c>
      <c r="K61" s="59"/>
      <c r="L61" s="59"/>
      <c r="M61" s="59"/>
      <c r="N61" s="59"/>
      <c r="O61" s="59"/>
      <c r="P61" s="59"/>
    </row>
    <row r="62" spans="1:16" ht="27" x14ac:dyDescent="0.25">
      <c r="A62" s="52">
        <v>53</v>
      </c>
      <c r="B62" s="53" t="s">
        <v>103</v>
      </c>
      <c r="C62" s="60" t="s">
        <v>17</v>
      </c>
      <c r="D62" s="61" t="s">
        <v>18</v>
      </c>
      <c r="E62" s="62" t="s">
        <v>104</v>
      </c>
      <c r="F62" s="54" t="s">
        <v>20</v>
      </c>
      <c r="G62" s="63">
        <v>1</v>
      </c>
      <c r="H62" s="64">
        <v>28700</v>
      </c>
      <c r="I62" s="68">
        <f t="shared" si="1"/>
        <v>28700</v>
      </c>
      <c r="J62" s="69" t="s">
        <v>450</v>
      </c>
      <c r="K62" s="59"/>
      <c r="L62" s="59"/>
      <c r="M62" s="59"/>
      <c r="N62" s="59"/>
      <c r="O62" s="59"/>
      <c r="P62" s="59"/>
    </row>
    <row r="63" spans="1:16" ht="27" x14ac:dyDescent="0.25">
      <c r="A63" s="52">
        <v>54</v>
      </c>
      <c r="B63" s="53" t="s">
        <v>105</v>
      </c>
      <c r="C63" s="60" t="s">
        <v>17</v>
      </c>
      <c r="D63" s="61" t="s">
        <v>18</v>
      </c>
      <c r="E63" s="62" t="s">
        <v>106</v>
      </c>
      <c r="F63" s="54" t="s">
        <v>20</v>
      </c>
      <c r="G63" s="63">
        <v>5</v>
      </c>
      <c r="H63" s="64">
        <v>6890</v>
      </c>
      <c r="I63" s="68">
        <f t="shared" si="1"/>
        <v>34450</v>
      </c>
      <c r="J63" s="65" t="s">
        <v>452</v>
      </c>
      <c r="K63" s="66"/>
      <c r="L63" s="66"/>
      <c r="M63" s="66"/>
      <c r="N63" s="66"/>
      <c r="O63" s="66"/>
      <c r="P63" s="66"/>
    </row>
    <row r="64" spans="1:16" ht="27" x14ac:dyDescent="0.25">
      <c r="A64" s="52">
        <v>55</v>
      </c>
      <c r="B64" s="53" t="s">
        <v>107</v>
      </c>
      <c r="C64" s="60" t="s">
        <v>17</v>
      </c>
      <c r="D64" s="61" t="s">
        <v>18</v>
      </c>
      <c r="E64" s="62" t="s">
        <v>108</v>
      </c>
      <c r="F64" s="54" t="s">
        <v>20</v>
      </c>
      <c r="G64" s="63">
        <v>8</v>
      </c>
      <c r="H64" s="64">
        <v>20800</v>
      </c>
      <c r="I64" s="68">
        <f t="shared" si="1"/>
        <v>166400</v>
      </c>
      <c r="J64" s="58" t="s">
        <v>454</v>
      </c>
      <c r="K64" s="58"/>
      <c r="L64" s="58"/>
      <c r="M64" s="58"/>
      <c r="N64" s="58"/>
      <c r="O64" s="58"/>
      <c r="P64" s="72"/>
    </row>
    <row r="65" spans="1:16" ht="27" x14ac:dyDescent="0.25">
      <c r="A65" s="52">
        <v>56</v>
      </c>
      <c r="B65" s="53" t="s">
        <v>109</v>
      </c>
      <c r="C65" s="60" t="s">
        <v>17</v>
      </c>
      <c r="D65" s="61" t="s">
        <v>18</v>
      </c>
      <c r="E65" s="62" t="s">
        <v>110</v>
      </c>
      <c r="F65" s="54" t="s">
        <v>20</v>
      </c>
      <c r="G65" s="63">
        <v>2</v>
      </c>
      <c r="H65" s="64">
        <v>19800</v>
      </c>
      <c r="I65" s="68">
        <f t="shared" si="1"/>
        <v>39600</v>
      </c>
      <c r="J65" s="65" t="s">
        <v>456</v>
      </c>
      <c r="K65" s="66"/>
      <c r="L65" s="66"/>
      <c r="M65" s="66"/>
      <c r="N65" s="66"/>
      <c r="O65" s="66"/>
      <c r="P65" s="66"/>
    </row>
    <row r="66" spans="1:16" ht="27" x14ac:dyDescent="0.25">
      <c r="A66" s="52">
        <v>57</v>
      </c>
      <c r="B66" s="53" t="s">
        <v>111</v>
      </c>
      <c r="C66" s="60" t="s">
        <v>17</v>
      </c>
      <c r="D66" s="61" t="s">
        <v>18</v>
      </c>
      <c r="E66" s="62" t="s">
        <v>112</v>
      </c>
      <c r="F66" s="54" t="s">
        <v>20</v>
      </c>
      <c r="G66" s="63">
        <v>4</v>
      </c>
      <c r="H66" s="64">
        <v>12300</v>
      </c>
      <c r="I66" s="68">
        <f t="shared" si="1"/>
        <v>49200</v>
      </c>
      <c r="J66" s="58" t="s">
        <v>458</v>
      </c>
      <c r="K66" s="75"/>
      <c r="L66" s="75"/>
      <c r="M66" s="75"/>
      <c r="N66" s="75"/>
      <c r="O66" s="75"/>
      <c r="P66" s="75"/>
    </row>
    <row r="67" spans="1:16" ht="27" x14ac:dyDescent="0.25">
      <c r="A67" s="52">
        <v>58</v>
      </c>
      <c r="B67" s="53" t="s">
        <v>113</v>
      </c>
      <c r="C67" s="60" t="s">
        <v>17</v>
      </c>
      <c r="D67" s="61" t="s">
        <v>18</v>
      </c>
      <c r="E67" s="62" t="s">
        <v>114</v>
      </c>
      <c r="F67" s="54" t="s">
        <v>20</v>
      </c>
      <c r="G67" s="63">
        <v>3</v>
      </c>
      <c r="H67" s="64">
        <v>8900</v>
      </c>
      <c r="I67" s="68">
        <f t="shared" si="1"/>
        <v>26700</v>
      </c>
      <c r="J67" s="69" t="s">
        <v>460</v>
      </c>
      <c r="K67" s="59"/>
      <c r="L67" s="59"/>
      <c r="M67" s="59"/>
      <c r="N67" s="59"/>
      <c r="O67" s="59"/>
      <c r="P67" s="59"/>
    </row>
    <row r="68" spans="1:16" ht="27" x14ac:dyDescent="0.25">
      <c r="A68" s="52">
        <v>59</v>
      </c>
      <c r="B68" s="53" t="s">
        <v>115</v>
      </c>
      <c r="C68" s="60" t="s">
        <v>17</v>
      </c>
      <c r="D68" s="61" t="s">
        <v>18</v>
      </c>
      <c r="E68" s="62" t="s">
        <v>116</v>
      </c>
      <c r="F68" s="54" t="s">
        <v>20</v>
      </c>
      <c r="G68" s="63">
        <v>2</v>
      </c>
      <c r="H68" s="64">
        <v>5200</v>
      </c>
      <c r="I68" s="68">
        <f t="shared" si="1"/>
        <v>10400</v>
      </c>
      <c r="J68" s="58" t="s">
        <v>462</v>
      </c>
      <c r="K68" s="75"/>
      <c r="L68" s="75"/>
      <c r="M68" s="75"/>
      <c r="N68" s="75"/>
      <c r="O68" s="75"/>
      <c r="P68" s="75"/>
    </row>
    <row r="69" spans="1:16" ht="27" x14ac:dyDescent="0.25">
      <c r="A69" s="52">
        <v>60</v>
      </c>
      <c r="B69" s="77" t="s">
        <v>117</v>
      </c>
      <c r="C69" s="60" t="s">
        <v>17</v>
      </c>
      <c r="D69" s="61" t="s">
        <v>18</v>
      </c>
      <c r="E69" s="62" t="s">
        <v>118</v>
      </c>
      <c r="F69" s="54" t="s">
        <v>20</v>
      </c>
      <c r="G69" s="63">
        <v>2</v>
      </c>
      <c r="H69" s="64">
        <v>2860</v>
      </c>
      <c r="I69" s="68">
        <f t="shared" ref="I69:I98" si="2">G69*H69</f>
        <v>5720</v>
      </c>
      <c r="J69" s="69" t="s">
        <v>464</v>
      </c>
      <c r="K69" s="59"/>
      <c r="L69" s="59"/>
      <c r="M69" s="59"/>
      <c r="N69" s="59"/>
      <c r="O69" s="59"/>
      <c r="P69" s="59"/>
    </row>
    <row r="70" spans="1:16" ht="27" x14ac:dyDescent="0.25">
      <c r="A70" s="52">
        <v>61</v>
      </c>
      <c r="B70" s="53" t="s">
        <v>119</v>
      </c>
      <c r="C70" s="60" t="s">
        <v>17</v>
      </c>
      <c r="D70" s="61" t="s">
        <v>18</v>
      </c>
      <c r="E70" s="62" t="s">
        <v>120</v>
      </c>
      <c r="F70" s="54" t="s">
        <v>20</v>
      </c>
      <c r="G70" s="63">
        <v>2</v>
      </c>
      <c r="H70" s="64">
        <v>4300</v>
      </c>
      <c r="I70" s="68">
        <f t="shared" si="2"/>
        <v>8600</v>
      </c>
      <c r="J70" s="74" t="s">
        <v>466</v>
      </c>
      <c r="K70" s="75"/>
      <c r="L70" s="75"/>
      <c r="M70" s="75"/>
      <c r="N70" s="75"/>
      <c r="O70" s="75"/>
      <c r="P70" s="75"/>
    </row>
    <row r="71" spans="1:16" ht="27" x14ac:dyDescent="0.25">
      <c r="A71" s="52">
        <v>62</v>
      </c>
      <c r="B71" s="53" t="s">
        <v>121</v>
      </c>
      <c r="C71" s="60" t="s">
        <v>17</v>
      </c>
      <c r="D71" s="61" t="s">
        <v>18</v>
      </c>
      <c r="E71" s="62" t="s">
        <v>122</v>
      </c>
      <c r="F71" s="54" t="s">
        <v>20</v>
      </c>
      <c r="G71" s="63">
        <v>2</v>
      </c>
      <c r="H71" s="64">
        <v>12300</v>
      </c>
      <c r="I71" s="68">
        <f t="shared" si="2"/>
        <v>24600</v>
      </c>
      <c r="J71" s="74" t="s">
        <v>468</v>
      </c>
      <c r="K71" s="75"/>
      <c r="L71" s="75"/>
      <c r="M71" s="75"/>
      <c r="N71" s="75"/>
      <c r="O71" s="75"/>
      <c r="P71" s="75"/>
    </row>
    <row r="72" spans="1:16" ht="27" x14ac:dyDescent="0.25">
      <c r="A72" s="52">
        <v>63</v>
      </c>
      <c r="B72" s="53" t="s">
        <v>123</v>
      </c>
      <c r="C72" s="60" t="s">
        <v>17</v>
      </c>
      <c r="D72" s="61" t="s">
        <v>18</v>
      </c>
      <c r="E72" s="62" t="s">
        <v>124</v>
      </c>
      <c r="F72" s="54" t="s">
        <v>20</v>
      </c>
      <c r="G72" s="63">
        <v>1</v>
      </c>
      <c r="H72" s="64">
        <v>26000</v>
      </c>
      <c r="I72" s="68">
        <f t="shared" si="2"/>
        <v>26000</v>
      </c>
      <c r="J72" s="69" t="s">
        <v>470</v>
      </c>
      <c r="K72" s="59"/>
      <c r="L72" s="59"/>
      <c r="M72" s="59"/>
      <c r="N72" s="59"/>
      <c r="O72" s="59"/>
      <c r="P72" s="59"/>
    </row>
    <row r="73" spans="1:16" ht="27" x14ac:dyDescent="0.25">
      <c r="A73" s="52">
        <v>64</v>
      </c>
      <c r="B73" s="53" t="s">
        <v>125</v>
      </c>
      <c r="C73" s="60" t="s">
        <v>17</v>
      </c>
      <c r="D73" s="61" t="s">
        <v>18</v>
      </c>
      <c r="E73" s="62" t="s">
        <v>126</v>
      </c>
      <c r="F73" s="54" t="s">
        <v>20</v>
      </c>
      <c r="G73" s="63">
        <v>2</v>
      </c>
      <c r="H73" s="64">
        <v>1300</v>
      </c>
      <c r="I73" s="68">
        <f t="shared" si="2"/>
        <v>2600</v>
      </c>
      <c r="J73" s="69" t="s">
        <v>472</v>
      </c>
      <c r="K73" s="59"/>
      <c r="L73" s="59"/>
      <c r="M73" s="59"/>
      <c r="N73" s="59"/>
      <c r="O73" s="59"/>
      <c r="P73" s="59"/>
    </row>
    <row r="74" spans="1:16" ht="27" x14ac:dyDescent="0.25">
      <c r="A74" s="52">
        <v>65</v>
      </c>
      <c r="B74" s="53" t="s">
        <v>127</v>
      </c>
      <c r="C74" s="60" t="s">
        <v>17</v>
      </c>
      <c r="D74" s="61" t="s">
        <v>18</v>
      </c>
      <c r="E74" s="62" t="s">
        <v>128</v>
      </c>
      <c r="F74" s="54" t="s">
        <v>20</v>
      </c>
      <c r="G74" s="63">
        <v>8</v>
      </c>
      <c r="H74" s="64">
        <v>32760</v>
      </c>
      <c r="I74" s="68">
        <f t="shared" si="2"/>
        <v>262080</v>
      </c>
      <c r="J74" s="69" t="s">
        <v>474</v>
      </c>
      <c r="K74" s="59"/>
      <c r="L74" s="59"/>
      <c r="M74" s="59"/>
      <c r="N74" s="59"/>
      <c r="O74" s="59"/>
      <c r="P74" s="59"/>
    </row>
    <row r="75" spans="1:16" ht="27" x14ac:dyDescent="0.25">
      <c r="A75" s="52">
        <v>66</v>
      </c>
      <c r="B75" s="53" t="s">
        <v>129</v>
      </c>
      <c r="C75" s="60" t="s">
        <v>17</v>
      </c>
      <c r="D75" s="61" t="s">
        <v>18</v>
      </c>
      <c r="E75" s="62" t="s">
        <v>130</v>
      </c>
      <c r="F75" s="54" t="s">
        <v>20</v>
      </c>
      <c r="G75" s="63">
        <v>10</v>
      </c>
      <c r="H75" s="64">
        <v>3900</v>
      </c>
      <c r="I75" s="68">
        <f t="shared" si="2"/>
        <v>39000</v>
      </c>
      <c r="J75" s="69" t="s">
        <v>476</v>
      </c>
      <c r="K75" s="59"/>
      <c r="L75" s="59"/>
      <c r="M75" s="59"/>
      <c r="N75" s="59"/>
      <c r="O75" s="59"/>
      <c r="P75" s="59"/>
    </row>
    <row r="76" spans="1:16" ht="27" x14ac:dyDescent="0.25">
      <c r="A76" s="52">
        <v>67</v>
      </c>
      <c r="B76" s="53" t="s">
        <v>131</v>
      </c>
      <c r="C76" s="60" t="s">
        <v>17</v>
      </c>
      <c r="D76" s="61" t="s">
        <v>18</v>
      </c>
      <c r="E76" s="62" t="s">
        <v>132</v>
      </c>
      <c r="F76" s="54" t="s">
        <v>20</v>
      </c>
      <c r="G76" s="63">
        <v>10</v>
      </c>
      <c r="H76" s="64">
        <v>2900</v>
      </c>
      <c r="I76" s="68">
        <f t="shared" si="2"/>
        <v>29000</v>
      </c>
      <c r="J76" s="69" t="s">
        <v>478</v>
      </c>
      <c r="K76" s="59"/>
      <c r="L76" s="59"/>
      <c r="M76" s="59"/>
      <c r="N76" s="59"/>
      <c r="O76" s="59"/>
      <c r="P76" s="59"/>
    </row>
    <row r="77" spans="1:16" ht="27" x14ac:dyDescent="0.25">
      <c r="A77" s="52">
        <v>68</v>
      </c>
      <c r="B77" s="53" t="s">
        <v>133</v>
      </c>
      <c r="C77" s="60" t="s">
        <v>17</v>
      </c>
      <c r="D77" s="61" t="s">
        <v>18</v>
      </c>
      <c r="E77" s="62" t="s">
        <v>134</v>
      </c>
      <c r="F77" s="54" t="s">
        <v>20</v>
      </c>
      <c r="G77" s="63">
        <v>6</v>
      </c>
      <c r="H77" s="64">
        <v>18070</v>
      </c>
      <c r="I77" s="68">
        <f t="shared" si="2"/>
        <v>108420</v>
      </c>
      <c r="J77" s="69" t="s">
        <v>480</v>
      </c>
      <c r="K77" s="59"/>
      <c r="L77" s="59"/>
      <c r="M77" s="59"/>
      <c r="N77" s="59"/>
      <c r="O77" s="59"/>
      <c r="P77" s="59"/>
    </row>
    <row r="78" spans="1:16" ht="27" x14ac:dyDescent="0.25">
      <c r="A78" s="52">
        <v>69</v>
      </c>
      <c r="B78" s="53" t="s">
        <v>133</v>
      </c>
      <c r="C78" s="60" t="s">
        <v>17</v>
      </c>
      <c r="D78" s="61" t="s">
        <v>18</v>
      </c>
      <c r="E78" s="62" t="s">
        <v>134</v>
      </c>
      <c r="F78" s="54" t="s">
        <v>20</v>
      </c>
      <c r="G78" s="63">
        <v>3</v>
      </c>
      <c r="H78" s="64">
        <v>18070</v>
      </c>
      <c r="I78" s="68">
        <f t="shared" si="2"/>
        <v>54210</v>
      </c>
      <c r="J78" s="69" t="s">
        <v>482</v>
      </c>
      <c r="K78" s="59"/>
      <c r="L78" s="59"/>
      <c r="M78" s="59"/>
      <c r="N78" s="59"/>
      <c r="O78" s="59"/>
      <c r="P78" s="59"/>
    </row>
    <row r="79" spans="1:16" ht="27" x14ac:dyDescent="0.25">
      <c r="A79" s="52">
        <v>70</v>
      </c>
      <c r="B79" s="53" t="s">
        <v>135</v>
      </c>
      <c r="C79" s="60" t="s">
        <v>17</v>
      </c>
      <c r="D79" s="61" t="s">
        <v>18</v>
      </c>
      <c r="E79" s="62" t="s">
        <v>136</v>
      </c>
      <c r="F79" s="54" t="s">
        <v>20</v>
      </c>
      <c r="G79" s="63">
        <v>6</v>
      </c>
      <c r="H79" s="64">
        <v>11570</v>
      </c>
      <c r="I79" s="68">
        <f t="shared" si="2"/>
        <v>69420</v>
      </c>
      <c r="J79" s="69" t="s">
        <v>484</v>
      </c>
      <c r="K79" s="59"/>
      <c r="L79" s="59"/>
      <c r="M79" s="59"/>
      <c r="N79" s="59"/>
      <c r="O79" s="59"/>
      <c r="P79" s="59"/>
    </row>
    <row r="80" spans="1:16" ht="27" x14ac:dyDescent="0.25">
      <c r="A80" s="52">
        <v>71</v>
      </c>
      <c r="B80" s="53" t="s">
        <v>135</v>
      </c>
      <c r="C80" s="60" t="s">
        <v>17</v>
      </c>
      <c r="D80" s="61" t="s">
        <v>18</v>
      </c>
      <c r="E80" s="62" t="s">
        <v>136</v>
      </c>
      <c r="F80" s="54" t="s">
        <v>20</v>
      </c>
      <c r="G80" s="63">
        <v>3</v>
      </c>
      <c r="H80" s="64">
        <v>11570</v>
      </c>
      <c r="I80" s="68">
        <f t="shared" si="2"/>
        <v>34710</v>
      </c>
      <c r="J80" s="69" t="s">
        <v>486</v>
      </c>
      <c r="K80" s="59"/>
      <c r="L80" s="59"/>
      <c r="M80" s="59"/>
      <c r="N80" s="59"/>
      <c r="O80" s="59"/>
      <c r="P80" s="59"/>
    </row>
    <row r="81" spans="1:16" ht="27" x14ac:dyDescent="0.25">
      <c r="A81" s="52">
        <v>72</v>
      </c>
      <c r="B81" s="53" t="s">
        <v>137</v>
      </c>
      <c r="C81" s="60" t="s">
        <v>17</v>
      </c>
      <c r="D81" s="61" t="s">
        <v>18</v>
      </c>
      <c r="E81" s="62" t="s">
        <v>138</v>
      </c>
      <c r="F81" s="54" t="s">
        <v>20</v>
      </c>
      <c r="G81" s="63">
        <v>6</v>
      </c>
      <c r="H81" s="64">
        <v>10400</v>
      </c>
      <c r="I81" s="68">
        <f t="shared" si="2"/>
        <v>62400</v>
      </c>
      <c r="J81" s="69" t="s">
        <v>488</v>
      </c>
      <c r="K81" s="59"/>
      <c r="L81" s="59"/>
      <c r="M81" s="59"/>
      <c r="N81" s="59"/>
      <c r="O81" s="59"/>
      <c r="P81" s="59"/>
    </row>
    <row r="82" spans="1:16" ht="27" x14ac:dyDescent="0.25">
      <c r="A82" s="52">
        <v>73</v>
      </c>
      <c r="B82" s="53" t="s">
        <v>137</v>
      </c>
      <c r="C82" s="60" t="s">
        <v>17</v>
      </c>
      <c r="D82" s="61" t="s">
        <v>18</v>
      </c>
      <c r="E82" s="62" t="s">
        <v>138</v>
      </c>
      <c r="F82" s="54" t="s">
        <v>20</v>
      </c>
      <c r="G82" s="63">
        <v>3</v>
      </c>
      <c r="H82" s="64">
        <v>10400</v>
      </c>
      <c r="I82" s="68">
        <f t="shared" si="2"/>
        <v>31200</v>
      </c>
      <c r="J82" s="69" t="s">
        <v>490</v>
      </c>
      <c r="K82" s="59"/>
      <c r="L82" s="59"/>
      <c r="M82" s="59"/>
      <c r="N82" s="59"/>
      <c r="O82" s="59"/>
      <c r="P82" s="59"/>
    </row>
    <row r="83" spans="1:16" ht="27" x14ac:dyDescent="0.25">
      <c r="A83" s="52">
        <v>74</v>
      </c>
      <c r="B83" s="53" t="s">
        <v>139</v>
      </c>
      <c r="C83" s="60" t="s">
        <v>17</v>
      </c>
      <c r="D83" s="61" t="s">
        <v>18</v>
      </c>
      <c r="E83" s="62" t="s">
        <v>140</v>
      </c>
      <c r="F83" s="54" t="s">
        <v>20</v>
      </c>
      <c r="G83" s="63">
        <v>10</v>
      </c>
      <c r="H83" s="64">
        <v>1200</v>
      </c>
      <c r="I83" s="68">
        <f t="shared" si="2"/>
        <v>12000</v>
      </c>
      <c r="J83" s="69" t="s">
        <v>492</v>
      </c>
      <c r="K83" s="59"/>
      <c r="L83" s="59"/>
      <c r="M83" s="59"/>
      <c r="N83" s="59"/>
      <c r="O83" s="59"/>
      <c r="P83" s="59"/>
    </row>
    <row r="84" spans="1:16" ht="27" x14ac:dyDescent="0.25">
      <c r="A84" s="52">
        <v>75</v>
      </c>
      <c r="B84" s="53" t="s">
        <v>127</v>
      </c>
      <c r="C84" s="60" t="s">
        <v>17</v>
      </c>
      <c r="D84" s="61" t="s">
        <v>18</v>
      </c>
      <c r="E84" s="62" t="s">
        <v>128</v>
      </c>
      <c r="F84" s="54" t="s">
        <v>20</v>
      </c>
      <c r="G84" s="63">
        <v>6</v>
      </c>
      <c r="H84" s="64">
        <v>25000</v>
      </c>
      <c r="I84" s="68">
        <f t="shared" si="2"/>
        <v>150000</v>
      </c>
      <c r="J84" s="65" t="s">
        <v>494</v>
      </c>
      <c r="K84" s="66"/>
      <c r="L84" s="66"/>
      <c r="M84" s="66"/>
      <c r="N84" s="66"/>
      <c r="O84" s="66"/>
      <c r="P84" s="66"/>
    </row>
    <row r="85" spans="1:16" ht="27" x14ac:dyDescent="0.25">
      <c r="A85" s="52">
        <v>76</v>
      </c>
      <c r="B85" s="53" t="s">
        <v>79</v>
      </c>
      <c r="C85" s="60" t="s">
        <v>17</v>
      </c>
      <c r="D85" s="61" t="s">
        <v>18</v>
      </c>
      <c r="E85" s="62" t="s">
        <v>80</v>
      </c>
      <c r="F85" s="54" t="s">
        <v>141</v>
      </c>
      <c r="G85" s="63">
        <v>3</v>
      </c>
      <c r="H85" s="64">
        <v>90000</v>
      </c>
      <c r="I85" s="68">
        <f t="shared" si="2"/>
        <v>270000</v>
      </c>
      <c r="J85" s="65" t="s">
        <v>496</v>
      </c>
      <c r="K85" s="66"/>
      <c r="L85" s="66"/>
      <c r="M85" s="66"/>
      <c r="N85" s="66"/>
      <c r="O85" s="66"/>
      <c r="P85" s="66"/>
    </row>
    <row r="86" spans="1:16" ht="27" x14ac:dyDescent="0.25">
      <c r="A86" s="52">
        <v>77</v>
      </c>
      <c r="B86" s="53" t="s">
        <v>41</v>
      </c>
      <c r="C86" s="60" t="s">
        <v>17</v>
      </c>
      <c r="D86" s="61" t="s">
        <v>18</v>
      </c>
      <c r="E86" s="62" t="s">
        <v>42</v>
      </c>
      <c r="F86" s="54" t="s">
        <v>20</v>
      </c>
      <c r="G86" s="63">
        <v>15</v>
      </c>
      <c r="H86" s="64">
        <v>15000</v>
      </c>
      <c r="I86" s="68">
        <f t="shared" si="2"/>
        <v>225000</v>
      </c>
      <c r="J86" s="65" t="s">
        <v>803</v>
      </c>
      <c r="K86" s="66"/>
      <c r="L86" s="66"/>
      <c r="M86" s="66"/>
      <c r="N86" s="66"/>
      <c r="O86" s="66"/>
      <c r="P86" s="66"/>
    </row>
    <row r="87" spans="1:16" ht="27" x14ac:dyDescent="0.25">
      <c r="A87" s="52">
        <v>78</v>
      </c>
      <c r="B87" s="53" t="s">
        <v>142</v>
      </c>
      <c r="C87" s="60" t="s">
        <v>17</v>
      </c>
      <c r="D87" s="61" t="s">
        <v>18</v>
      </c>
      <c r="E87" s="62" t="s">
        <v>143</v>
      </c>
      <c r="F87" s="54" t="s">
        <v>20</v>
      </c>
      <c r="G87" s="63">
        <v>2</v>
      </c>
      <c r="H87" s="64">
        <v>32000</v>
      </c>
      <c r="I87" s="68">
        <f t="shared" si="2"/>
        <v>64000</v>
      </c>
      <c r="J87" s="65" t="s">
        <v>499</v>
      </c>
      <c r="K87" s="66"/>
      <c r="L87" s="66"/>
      <c r="M87" s="66"/>
      <c r="N87" s="66"/>
      <c r="O87" s="66"/>
      <c r="P87" s="66"/>
    </row>
    <row r="88" spans="1:16" ht="27" x14ac:dyDescent="0.25">
      <c r="A88" s="52">
        <v>79</v>
      </c>
      <c r="B88" s="53" t="s">
        <v>144</v>
      </c>
      <c r="C88" s="60" t="s">
        <v>17</v>
      </c>
      <c r="D88" s="61" t="s">
        <v>18</v>
      </c>
      <c r="E88" s="62" t="s">
        <v>145</v>
      </c>
      <c r="F88" s="54" t="s">
        <v>20</v>
      </c>
      <c r="G88" s="63">
        <v>2</v>
      </c>
      <c r="H88" s="64">
        <v>32000</v>
      </c>
      <c r="I88" s="68">
        <f t="shared" si="2"/>
        <v>64000</v>
      </c>
      <c r="J88" s="65" t="s">
        <v>501</v>
      </c>
      <c r="K88" s="66"/>
      <c r="L88" s="66"/>
      <c r="M88" s="66"/>
      <c r="N88" s="66"/>
      <c r="O88" s="66"/>
      <c r="P88" s="66"/>
    </row>
    <row r="89" spans="1:16" ht="27" x14ac:dyDescent="0.25">
      <c r="A89" s="52">
        <v>80</v>
      </c>
      <c r="B89" s="53" t="s">
        <v>146</v>
      </c>
      <c r="C89" s="60" t="s">
        <v>17</v>
      </c>
      <c r="D89" s="61" t="s">
        <v>18</v>
      </c>
      <c r="E89" s="62" t="s">
        <v>147</v>
      </c>
      <c r="F89" s="54" t="s">
        <v>20</v>
      </c>
      <c r="G89" s="63">
        <v>1</v>
      </c>
      <c r="H89" s="64">
        <v>38000</v>
      </c>
      <c r="I89" s="68">
        <f t="shared" si="2"/>
        <v>38000</v>
      </c>
      <c r="J89" s="65" t="s">
        <v>503</v>
      </c>
      <c r="K89" s="66"/>
      <c r="L89" s="66"/>
      <c r="M89" s="66"/>
      <c r="N89" s="66"/>
      <c r="O89" s="66"/>
      <c r="P89" s="66"/>
    </row>
    <row r="90" spans="1:16" ht="27" x14ac:dyDescent="0.25">
      <c r="A90" s="52">
        <v>81</v>
      </c>
      <c r="B90" s="53" t="s">
        <v>146</v>
      </c>
      <c r="C90" s="60" t="s">
        <v>17</v>
      </c>
      <c r="D90" s="61" t="s">
        <v>18</v>
      </c>
      <c r="E90" s="62" t="s">
        <v>147</v>
      </c>
      <c r="F90" s="54" t="s">
        <v>20</v>
      </c>
      <c r="G90" s="63">
        <v>1</v>
      </c>
      <c r="H90" s="64">
        <v>38000</v>
      </c>
      <c r="I90" s="68">
        <f t="shared" si="2"/>
        <v>38000</v>
      </c>
      <c r="J90" s="65" t="s">
        <v>505</v>
      </c>
      <c r="K90" s="66"/>
      <c r="L90" s="66"/>
      <c r="M90" s="66"/>
      <c r="N90" s="66"/>
      <c r="O90" s="66"/>
      <c r="P90" s="66"/>
    </row>
    <row r="91" spans="1:16" ht="27" x14ac:dyDescent="0.25">
      <c r="A91" s="52">
        <v>82</v>
      </c>
      <c r="B91" s="53" t="s">
        <v>148</v>
      </c>
      <c r="C91" s="60" t="s">
        <v>17</v>
      </c>
      <c r="D91" s="61" t="s">
        <v>18</v>
      </c>
      <c r="E91" s="62" t="s">
        <v>149</v>
      </c>
      <c r="F91" s="54" t="s">
        <v>20</v>
      </c>
      <c r="G91" s="63">
        <v>3</v>
      </c>
      <c r="H91" s="64">
        <v>45000</v>
      </c>
      <c r="I91" s="68">
        <f t="shared" si="2"/>
        <v>135000</v>
      </c>
      <c r="J91" s="65" t="s">
        <v>507</v>
      </c>
      <c r="K91" s="66"/>
      <c r="L91" s="66"/>
      <c r="M91" s="66"/>
      <c r="N91" s="66"/>
      <c r="O91" s="66"/>
      <c r="P91" s="66"/>
    </row>
    <row r="92" spans="1:16" ht="27" x14ac:dyDescent="0.25">
      <c r="A92" s="52">
        <v>83</v>
      </c>
      <c r="B92" s="53" t="s">
        <v>148</v>
      </c>
      <c r="C92" s="60" t="s">
        <v>17</v>
      </c>
      <c r="D92" s="61" t="s">
        <v>18</v>
      </c>
      <c r="E92" s="62" t="s">
        <v>149</v>
      </c>
      <c r="F92" s="54" t="s">
        <v>20</v>
      </c>
      <c r="G92" s="63">
        <v>3</v>
      </c>
      <c r="H92" s="64">
        <v>45000</v>
      </c>
      <c r="I92" s="68">
        <f t="shared" si="2"/>
        <v>135000</v>
      </c>
      <c r="J92" s="65" t="s">
        <v>509</v>
      </c>
      <c r="K92" s="66"/>
      <c r="L92" s="66"/>
      <c r="M92" s="66"/>
      <c r="N92" s="66"/>
      <c r="O92" s="66"/>
      <c r="P92" s="66"/>
    </row>
    <row r="93" spans="1:16" ht="27" x14ac:dyDescent="0.25">
      <c r="A93" s="52">
        <v>84</v>
      </c>
      <c r="B93" s="53" t="s">
        <v>150</v>
      </c>
      <c r="C93" s="60" t="s">
        <v>17</v>
      </c>
      <c r="D93" s="61" t="s">
        <v>18</v>
      </c>
      <c r="E93" s="62" t="s">
        <v>151</v>
      </c>
      <c r="F93" s="54" t="s">
        <v>20</v>
      </c>
      <c r="G93" s="63">
        <v>2</v>
      </c>
      <c r="H93" s="64">
        <v>38000</v>
      </c>
      <c r="I93" s="68">
        <f t="shared" si="2"/>
        <v>76000</v>
      </c>
      <c r="J93" s="65" t="s">
        <v>511</v>
      </c>
      <c r="K93" s="66"/>
      <c r="L93" s="66"/>
      <c r="M93" s="66"/>
      <c r="N93" s="66"/>
      <c r="O93" s="66"/>
      <c r="P93" s="66"/>
    </row>
    <row r="94" spans="1:16" ht="27" x14ac:dyDescent="0.25">
      <c r="A94" s="52">
        <v>85</v>
      </c>
      <c r="B94" s="53" t="s">
        <v>150</v>
      </c>
      <c r="C94" s="60" t="s">
        <v>17</v>
      </c>
      <c r="D94" s="61" t="s">
        <v>18</v>
      </c>
      <c r="E94" s="62" t="s">
        <v>151</v>
      </c>
      <c r="F94" s="54" t="s">
        <v>20</v>
      </c>
      <c r="G94" s="63">
        <v>2</v>
      </c>
      <c r="H94" s="64">
        <v>38000</v>
      </c>
      <c r="I94" s="68">
        <f t="shared" si="2"/>
        <v>76000</v>
      </c>
      <c r="J94" s="65" t="s">
        <v>513</v>
      </c>
      <c r="K94" s="66"/>
      <c r="L94" s="66"/>
      <c r="M94" s="66"/>
      <c r="N94" s="66"/>
      <c r="O94" s="66"/>
      <c r="P94" s="66"/>
    </row>
    <row r="95" spans="1:16" ht="27" x14ac:dyDescent="0.25">
      <c r="A95" s="52">
        <v>86</v>
      </c>
      <c r="B95" s="53" t="s">
        <v>152</v>
      </c>
      <c r="C95" s="60" t="s">
        <v>17</v>
      </c>
      <c r="D95" s="61" t="s">
        <v>18</v>
      </c>
      <c r="E95" s="62" t="s">
        <v>153</v>
      </c>
      <c r="F95" s="54" t="s">
        <v>20</v>
      </c>
      <c r="G95" s="63">
        <v>2</v>
      </c>
      <c r="H95" s="64">
        <v>78000</v>
      </c>
      <c r="I95" s="68">
        <f t="shared" si="2"/>
        <v>156000</v>
      </c>
      <c r="J95" s="65" t="s">
        <v>515</v>
      </c>
      <c r="K95" s="66"/>
      <c r="L95" s="66"/>
      <c r="M95" s="66"/>
      <c r="N95" s="66"/>
      <c r="O95" s="66"/>
      <c r="P95" s="66"/>
    </row>
    <row r="96" spans="1:16" ht="27" x14ac:dyDescent="0.25">
      <c r="A96" s="52">
        <v>87</v>
      </c>
      <c r="B96" s="53" t="s">
        <v>152</v>
      </c>
      <c r="C96" s="60" t="s">
        <v>17</v>
      </c>
      <c r="D96" s="61" t="s">
        <v>18</v>
      </c>
      <c r="E96" s="62" t="s">
        <v>153</v>
      </c>
      <c r="F96" s="54" t="s">
        <v>20</v>
      </c>
      <c r="G96" s="63">
        <v>2</v>
      </c>
      <c r="H96" s="64">
        <v>78000</v>
      </c>
      <c r="I96" s="68">
        <f t="shared" si="2"/>
        <v>156000</v>
      </c>
      <c r="J96" s="65" t="s">
        <v>517</v>
      </c>
      <c r="K96" s="66"/>
      <c r="L96" s="66"/>
      <c r="M96" s="66"/>
      <c r="N96" s="66"/>
      <c r="O96" s="66"/>
      <c r="P96" s="66"/>
    </row>
    <row r="97" spans="1:16" ht="27" x14ac:dyDescent="0.25">
      <c r="A97" s="52">
        <v>88</v>
      </c>
      <c r="B97" s="53" t="s">
        <v>154</v>
      </c>
      <c r="C97" s="60" t="s">
        <v>17</v>
      </c>
      <c r="D97" s="61" t="s">
        <v>18</v>
      </c>
      <c r="E97" s="62" t="s">
        <v>155</v>
      </c>
      <c r="F97" s="54" t="s">
        <v>20</v>
      </c>
      <c r="G97" s="63">
        <v>8</v>
      </c>
      <c r="H97" s="64">
        <v>5980</v>
      </c>
      <c r="I97" s="68">
        <f t="shared" si="2"/>
        <v>47840</v>
      </c>
      <c r="J97" s="65" t="s">
        <v>519</v>
      </c>
      <c r="K97" s="66"/>
      <c r="L97" s="66"/>
      <c r="M97" s="66"/>
      <c r="N97" s="66"/>
      <c r="O97" s="66"/>
      <c r="P97" s="66"/>
    </row>
    <row r="98" spans="1:16" ht="27" x14ac:dyDescent="0.25">
      <c r="A98" s="52">
        <v>89</v>
      </c>
      <c r="B98" s="53" t="s">
        <v>156</v>
      </c>
      <c r="C98" s="60" t="s">
        <v>17</v>
      </c>
      <c r="D98" s="61" t="s">
        <v>18</v>
      </c>
      <c r="E98" s="62" t="s">
        <v>157</v>
      </c>
      <c r="F98" s="54" t="s">
        <v>20</v>
      </c>
      <c r="G98" s="63">
        <v>2</v>
      </c>
      <c r="H98" s="64">
        <v>24700</v>
      </c>
      <c r="I98" s="68">
        <f t="shared" si="2"/>
        <v>49400</v>
      </c>
      <c r="J98" s="65" t="s">
        <v>521</v>
      </c>
      <c r="K98" s="66"/>
      <c r="L98" s="66"/>
      <c r="M98" s="66"/>
      <c r="N98" s="66"/>
      <c r="O98" s="66"/>
      <c r="P98" s="66"/>
    </row>
    <row r="99" spans="1:16" ht="27" x14ac:dyDescent="0.25">
      <c r="A99" s="52">
        <v>90</v>
      </c>
      <c r="B99" s="53" t="s">
        <v>158</v>
      </c>
      <c r="C99" s="60" t="s">
        <v>17</v>
      </c>
      <c r="D99" s="61" t="s">
        <v>18</v>
      </c>
      <c r="E99" s="62" t="s">
        <v>159</v>
      </c>
      <c r="F99" s="54" t="s">
        <v>20</v>
      </c>
      <c r="G99" s="63">
        <v>3</v>
      </c>
      <c r="H99" s="64">
        <v>28600</v>
      </c>
      <c r="I99" s="68">
        <f t="shared" ref="I99" si="3">G99*H99</f>
        <v>85800</v>
      </c>
      <c r="J99" s="69" t="s">
        <v>523</v>
      </c>
      <c r="K99" s="60"/>
      <c r="L99" s="60"/>
      <c r="M99" s="60"/>
      <c r="N99" s="60"/>
      <c r="O99" s="60"/>
      <c r="P99" s="60"/>
    </row>
    <row r="100" spans="1:16" ht="27" x14ac:dyDescent="0.25">
      <c r="A100" s="52">
        <v>91</v>
      </c>
      <c r="B100" s="53" t="s">
        <v>160</v>
      </c>
      <c r="C100" s="60" t="s">
        <v>17</v>
      </c>
      <c r="D100" s="61" t="s">
        <v>18</v>
      </c>
      <c r="E100" s="62" t="s">
        <v>161</v>
      </c>
      <c r="F100" s="54" t="s">
        <v>20</v>
      </c>
      <c r="G100" s="63">
        <v>3</v>
      </c>
      <c r="H100" s="64">
        <v>42900</v>
      </c>
      <c r="I100" s="68">
        <f t="shared" ref="I100:I101" si="4">G100*H100</f>
        <v>128700</v>
      </c>
      <c r="J100" s="69" t="s">
        <v>525</v>
      </c>
      <c r="K100" s="59"/>
      <c r="L100" s="59"/>
      <c r="M100" s="60"/>
      <c r="N100" s="60"/>
      <c r="O100" s="60"/>
      <c r="P100" s="60"/>
    </row>
    <row r="101" spans="1:16" ht="27" x14ac:dyDescent="0.25">
      <c r="A101" s="52">
        <v>92</v>
      </c>
      <c r="B101" s="53" t="s">
        <v>162</v>
      </c>
      <c r="C101" s="60" t="s">
        <v>17</v>
      </c>
      <c r="D101" s="61" t="s">
        <v>18</v>
      </c>
      <c r="E101" s="62" t="s">
        <v>163</v>
      </c>
      <c r="F101" s="54" t="s">
        <v>20</v>
      </c>
      <c r="G101" s="63">
        <v>3</v>
      </c>
      <c r="H101" s="64">
        <v>195000</v>
      </c>
      <c r="I101" s="68">
        <f t="shared" si="4"/>
        <v>585000</v>
      </c>
      <c r="J101" s="69" t="s">
        <v>527</v>
      </c>
      <c r="K101" s="59"/>
      <c r="L101" s="59"/>
      <c r="M101" s="59"/>
      <c r="N101" s="60"/>
      <c r="O101" s="60"/>
      <c r="P101" s="60"/>
    </row>
    <row r="102" spans="1:16" ht="27" x14ac:dyDescent="0.25">
      <c r="A102" s="52">
        <v>93</v>
      </c>
      <c r="B102" s="53" t="s">
        <v>164</v>
      </c>
      <c r="C102" s="60" t="s">
        <v>17</v>
      </c>
      <c r="D102" s="61" t="s">
        <v>18</v>
      </c>
      <c r="E102" s="62" t="s">
        <v>165</v>
      </c>
      <c r="F102" s="54" t="s">
        <v>20</v>
      </c>
      <c r="G102" s="63">
        <v>3</v>
      </c>
      <c r="H102" s="64">
        <v>26000</v>
      </c>
      <c r="I102" s="68">
        <f t="shared" ref="I102:I103" si="5">G102*H102</f>
        <v>78000</v>
      </c>
      <c r="J102" s="74" t="s">
        <v>529</v>
      </c>
      <c r="K102" s="75"/>
      <c r="L102" s="75"/>
      <c r="M102" s="75"/>
      <c r="N102" s="75"/>
      <c r="O102" s="75"/>
      <c r="P102" s="75"/>
    </row>
    <row r="103" spans="1:16" ht="27" x14ac:dyDescent="0.25">
      <c r="A103" s="52">
        <v>94</v>
      </c>
      <c r="B103" s="53" t="s">
        <v>166</v>
      </c>
      <c r="C103" s="60" t="s">
        <v>17</v>
      </c>
      <c r="D103" s="61" t="s">
        <v>18</v>
      </c>
      <c r="E103" s="62" t="s">
        <v>167</v>
      </c>
      <c r="F103" s="54" t="s">
        <v>20</v>
      </c>
      <c r="G103" s="63">
        <v>2</v>
      </c>
      <c r="H103" s="64">
        <v>39000</v>
      </c>
      <c r="I103" s="68">
        <f t="shared" si="5"/>
        <v>78000</v>
      </c>
      <c r="J103" s="74" t="s">
        <v>531</v>
      </c>
      <c r="K103" s="75"/>
      <c r="L103" s="75"/>
      <c r="M103" s="75"/>
      <c r="N103" s="75"/>
      <c r="O103" s="75"/>
      <c r="P103" s="75"/>
    </row>
    <row r="104" spans="1:16" ht="27" x14ac:dyDescent="0.25">
      <c r="A104" s="52">
        <v>95</v>
      </c>
      <c r="B104" s="53" t="s">
        <v>168</v>
      </c>
      <c r="C104" s="60" t="s">
        <v>17</v>
      </c>
      <c r="D104" s="61" t="s">
        <v>18</v>
      </c>
      <c r="E104" s="62" t="s">
        <v>169</v>
      </c>
      <c r="F104" s="54" t="s">
        <v>20</v>
      </c>
      <c r="G104" s="63">
        <v>6</v>
      </c>
      <c r="H104" s="64">
        <v>5720</v>
      </c>
      <c r="I104" s="68">
        <f t="shared" ref="I104:I106" si="6">G104*H104</f>
        <v>34320</v>
      </c>
      <c r="J104" s="74" t="s">
        <v>533</v>
      </c>
      <c r="K104" s="75"/>
      <c r="L104" s="75"/>
      <c r="M104" s="75"/>
      <c r="N104" s="75"/>
      <c r="O104" s="75"/>
      <c r="P104" s="75"/>
    </row>
    <row r="105" spans="1:16" ht="27" x14ac:dyDescent="0.25">
      <c r="A105" s="52">
        <v>96</v>
      </c>
      <c r="B105" s="53" t="s">
        <v>170</v>
      </c>
      <c r="C105" s="60" t="s">
        <v>17</v>
      </c>
      <c r="D105" s="61" t="s">
        <v>18</v>
      </c>
      <c r="E105" s="62" t="s">
        <v>171</v>
      </c>
      <c r="F105" s="54" t="s">
        <v>20</v>
      </c>
      <c r="G105" s="63">
        <v>6</v>
      </c>
      <c r="H105" s="64">
        <v>33800</v>
      </c>
      <c r="I105" s="68">
        <f t="shared" si="6"/>
        <v>202800</v>
      </c>
      <c r="J105" s="74" t="s">
        <v>535</v>
      </c>
      <c r="K105" s="75"/>
      <c r="L105" s="75"/>
      <c r="M105" s="75"/>
      <c r="N105" s="75"/>
      <c r="O105" s="75"/>
      <c r="P105" s="75"/>
    </row>
    <row r="106" spans="1:16" ht="27" x14ac:dyDescent="0.25">
      <c r="A106" s="52">
        <v>97</v>
      </c>
      <c r="B106" s="53" t="s">
        <v>172</v>
      </c>
      <c r="C106" s="60" t="s">
        <v>17</v>
      </c>
      <c r="D106" s="61" t="s">
        <v>18</v>
      </c>
      <c r="E106" s="62" t="s">
        <v>173</v>
      </c>
      <c r="F106" s="54" t="s">
        <v>20</v>
      </c>
      <c r="G106" s="63">
        <v>6</v>
      </c>
      <c r="H106" s="64">
        <v>19500</v>
      </c>
      <c r="I106" s="68">
        <f t="shared" si="6"/>
        <v>117000</v>
      </c>
      <c r="J106" s="74" t="s">
        <v>537</v>
      </c>
      <c r="K106" s="75"/>
      <c r="L106" s="75"/>
      <c r="M106" s="75"/>
      <c r="N106" s="75"/>
      <c r="O106" s="75"/>
      <c r="P106" s="75"/>
    </row>
    <row r="107" spans="1:16" ht="27" x14ac:dyDescent="0.25">
      <c r="A107" s="52">
        <v>98</v>
      </c>
      <c r="B107" s="53" t="s">
        <v>174</v>
      </c>
      <c r="C107" s="60" t="s">
        <v>17</v>
      </c>
      <c r="D107" s="61" t="s">
        <v>18</v>
      </c>
      <c r="E107" s="62" t="s">
        <v>175</v>
      </c>
      <c r="F107" s="54" t="s">
        <v>20</v>
      </c>
      <c r="G107" s="63">
        <v>12</v>
      </c>
      <c r="H107" s="64">
        <v>9750</v>
      </c>
      <c r="I107" s="68">
        <f t="shared" ref="I107" si="7">G107*H107</f>
        <v>117000</v>
      </c>
      <c r="J107" s="74" t="s">
        <v>539</v>
      </c>
      <c r="K107" s="75"/>
      <c r="L107" s="75"/>
      <c r="M107" s="75"/>
      <c r="N107" s="75"/>
      <c r="O107" s="75"/>
      <c r="P107" s="75"/>
    </row>
    <row r="108" spans="1:16" ht="27" x14ac:dyDescent="0.25">
      <c r="A108" s="52">
        <v>99</v>
      </c>
      <c r="B108" s="53" t="s">
        <v>176</v>
      </c>
      <c r="C108" s="60" t="s">
        <v>17</v>
      </c>
      <c r="D108" s="61" t="s">
        <v>18</v>
      </c>
      <c r="E108" s="62" t="s">
        <v>177</v>
      </c>
      <c r="F108" s="54" t="s">
        <v>20</v>
      </c>
      <c r="G108" s="63">
        <v>6</v>
      </c>
      <c r="H108" s="64">
        <v>11050</v>
      </c>
      <c r="I108" s="68">
        <f t="shared" ref="I108:I113" si="8">G108*H108</f>
        <v>66300</v>
      </c>
      <c r="J108" s="74" t="s">
        <v>793</v>
      </c>
      <c r="K108" s="75"/>
      <c r="L108" s="75"/>
      <c r="M108" s="75"/>
      <c r="N108" s="75"/>
      <c r="O108" s="75"/>
      <c r="P108" s="75"/>
    </row>
    <row r="109" spans="1:16" ht="27" x14ac:dyDescent="0.25">
      <c r="A109" s="52">
        <v>100</v>
      </c>
      <c r="B109" s="53" t="s">
        <v>178</v>
      </c>
      <c r="C109" s="60" t="s">
        <v>17</v>
      </c>
      <c r="D109" s="61" t="s">
        <v>18</v>
      </c>
      <c r="E109" s="62" t="s">
        <v>179</v>
      </c>
      <c r="F109" s="54" t="s">
        <v>20</v>
      </c>
      <c r="G109" s="63">
        <v>2</v>
      </c>
      <c r="H109" s="64">
        <v>10400</v>
      </c>
      <c r="I109" s="68">
        <f t="shared" si="8"/>
        <v>20800</v>
      </c>
      <c r="J109" s="74" t="s">
        <v>542</v>
      </c>
      <c r="K109" s="75"/>
      <c r="L109" s="75"/>
      <c r="M109" s="75"/>
      <c r="N109" s="75"/>
      <c r="O109" s="75"/>
      <c r="P109" s="75"/>
    </row>
    <row r="110" spans="1:16" ht="27" x14ac:dyDescent="0.25">
      <c r="A110" s="52">
        <v>101</v>
      </c>
      <c r="B110" s="53" t="s">
        <v>180</v>
      </c>
      <c r="C110" s="60" t="s">
        <v>17</v>
      </c>
      <c r="D110" s="61" t="s">
        <v>18</v>
      </c>
      <c r="E110" s="62" t="s">
        <v>181</v>
      </c>
      <c r="F110" s="54" t="s">
        <v>20</v>
      </c>
      <c r="G110" s="63">
        <v>2</v>
      </c>
      <c r="H110" s="64">
        <v>26000</v>
      </c>
      <c r="I110" s="68">
        <f t="shared" si="8"/>
        <v>52000</v>
      </c>
      <c r="J110" s="74" t="s">
        <v>804</v>
      </c>
      <c r="K110" s="75"/>
      <c r="L110" s="75"/>
      <c r="M110" s="75"/>
      <c r="N110" s="75"/>
      <c r="O110" s="75"/>
      <c r="P110" s="75"/>
    </row>
    <row r="111" spans="1:16" ht="27" x14ac:dyDescent="0.25">
      <c r="A111" s="52">
        <v>102</v>
      </c>
      <c r="B111" s="53" t="s">
        <v>105</v>
      </c>
      <c r="C111" s="60" t="s">
        <v>17</v>
      </c>
      <c r="D111" s="61" t="s">
        <v>18</v>
      </c>
      <c r="E111" s="62" t="s">
        <v>106</v>
      </c>
      <c r="F111" s="54" t="s">
        <v>20</v>
      </c>
      <c r="G111" s="63">
        <v>3</v>
      </c>
      <c r="H111" s="64">
        <v>15000</v>
      </c>
      <c r="I111" s="68">
        <f t="shared" si="8"/>
        <v>45000</v>
      </c>
      <c r="J111" s="74" t="s">
        <v>545</v>
      </c>
      <c r="K111" s="75"/>
      <c r="L111" s="75"/>
      <c r="M111" s="75"/>
      <c r="N111" s="75"/>
      <c r="O111" s="75"/>
      <c r="P111" s="75"/>
    </row>
    <row r="112" spans="1:16" ht="27" x14ac:dyDescent="0.25">
      <c r="A112" s="52">
        <v>103</v>
      </c>
      <c r="B112" s="53" t="s">
        <v>59</v>
      </c>
      <c r="C112" s="60" t="s">
        <v>17</v>
      </c>
      <c r="D112" s="61" t="s">
        <v>18</v>
      </c>
      <c r="E112" s="62" t="s">
        <v>60</v>
      </c>
      <c r="F112" s="54" t="s">
        <v>20</v>
      </c>
      <c r="G112" s="63">
        <v>2</v>
      </c>
      <c r="H112" s="64">
        <v>68900</v>
      </c>
      <c r="I112" s="68">
        <f t="shared" si="8"/>
        <v>137800</v>
      </c>
      <c r="J112" s="74" t="s">
        <v>547</v>
      </c>
      <c r="K112" s="75"/>
      <c r="L112" s="75"/>
      <c r="M112" s="75"/>
      <c r="N112" s="75"/>
      <c r="O112" s="75"/>
      <c r="P112" s="75"/>
    </row>
    <row r="113" spans="1:16" ht="27" x14ac:dyDescent="0.25">
      <c r="A113" s="52">
        <v>104</v>
      </c>
      <c r="B113" s="53" t="s">
        <v>182</v>
      </c>
      <c r="C113" s="60" t="s">
        <v>17</v>
      </c>
      <c r="D113" s="61" t="s">
        <v>18</v>
      </c>
      <c r="E113" s="62" t="s">
        <v>183</v>
      </c>
      <c r="F113" s="54" t="s">
        <v>20</v>
      </c>
      <c r="G113" s="63">
        <v>2</v>
      </c>
      <c r="H113" s="64">
        <v>8000</v>
      </c>
      <c r="I113" s="68">
        <f t="shared" si="8"/>
        <v>16000</v>
      </c>
      <c r="J113" s="65" t="s">
        <v>549</v>
      </c>
      <c r="K113" s="66"/>
      <c r="L113" s="66"/>
      <c r="M113" s="66"/>
      <c r="N113" s="66"/>
      <c r="O113" s="66"/>
      <c r="P113" s="59"/>
    </row>
    <row r="114" spans="1:16" ht="27" x14ac:dyDescent="0.25">
      <c r="A114" s="52">
        <v>105</v>
      </c>
      <c r="B114" s="53" t="s">
        <v>184</v>
      </c>
      <c r="C114" s="60" t="s">
        <v>17</v>
      </c>
      <c r="D114" s="61" t="s">
        <v>18</v>
      </c>
      <c r="E114" s="62" t="s">
        <v>185</v>
      </c>
      <c r="F114" s="54" t="s">
        <v>20</v>
      </c>
      <c r="G114" s="78">
        <v>50</v>
      </c>
      <c r="H114" s="79">
        <v>1060</v>
      </c>
      <c r="I114" s="68">
        <f t="shared" ref="I114:I177" si="9">G114*H114</f>
        <v>53000</v>
      </c>
      <c r="J114" s="74" t="s">
        <v>551</v>
      </c>
      <c r="K114" s="74"/>
      <c r="L114" s="74"/>
      <c r="M114" s="74"/>
      <c r="N114" s="74"/>
      <c r="O114" s="74"/>
      <c r="P114" s="66"/>
    </row>
    <row r="115" spans="1:16" ht="27" x14ac:dyDescent="0.25">
      <c r="A115" s="52">
        <v>106</v>
      </c>
      <c r="B115" s="53" t="s">
        <v>186</v>
      </c>
      <c r="C115" s="60" t="s">
        <v>17</v>
      </c>
      <c r="D115" s="61" t="s">
        <v>18</v>
      </c>
      <c r="E115" s="62" t="s">
        <v>187</v>
      </c>
      <c r="F115" s="54" t="s">
        <v>20</v>
      </c>
      <c r="G115" s="78">
        <v>10</v>
      </c>
      <c r="H115" s="79">
        <v>1340</v>
      </c>
      <c r="I115" s="68">
        <f t="shared" si="9"/>
        <v>13400</v>
      </c>
      <c r="J115" s="58" t="s">
        <v>553</v>
      </c>
      <c r="K115" s="75"/>
      <c r="L115" s="75"/>
      <c r="M115" s="75"/>
      <c r="N115" s="75"/>
      <c r="O115" s="75"/>
      <c r="P115" s="75"/>
    </row>
    <row r="116" spans="1:16" ht="27" x14ac:dyDescent="0.25">
      <c r="A116" s="52">
        <v>107</v>
      </c>
      <c r="B116" s="53" t="s">
        <v>186</v>
      </c>
      <c r="C116" s="60" t="s">
        <v>17</v>
      </c>
      <c r="D116" s="61" t="s">
        <v>18</v>
      </c>
      <c r="E116" s="62" t="s">
        <v>187</v>
      </c>
      <c r="F116" s="54" t="s">
        <v>20</v>
      </c>
      <c r="G116" s="78">
        <v>50</v>
      </c>
      <c r="H116" s="79">
        <v>1040</v>
      </c>
      <c r="I116" s="68">
        <f t="shared" si="9"/>
        <v>52000</v>
      </c>
      <c r="J116" s="65" t="s">
        <v>555</v>
      </c>
      <c r="K116" s="66"/>
      <c r="L116" s="66"/>
      <c r="M116" s="66"/>
      <c r="N116" s="66"/>
      <c r="O116" s="66"/>
      <c r="P116" s="66"/>
    </row>
    <row r="117" spans="1:16" ht="27" x14ac:dyDescent="0.25">
      <c r="A117" s="52">
        <v>108</v>
      </c>
      <c r="B117" s="53" t="s">
        <v>188</v>
      </c>
      <c r="C117" s="60" t="s">
        <v>17</v>
      </c>
      <c r="D117" s="61" t="s">
        <v>18</v>
      </c>
      <c r="E117" s="62" t="s">
        <v>189</v>
      </c>
      <c r="F117" s="54" t="s">
        <v>20</v>
      </c>
      <c r="G117" s="78">
        <v>50</v>
      </c>
      <c r="H117" s="79">
        <v>950</v>
      </c>
      <c r="I117" s="68">
        <f t="shared" si="9"/>
        <v>47500</v>
      </c>
      <c r="J117" s="74" t="s">
        <v>557</v>
      </c>
      <c r="K117" s="75"/>
      <c r="L117" s="75"/>
      <c r="M117" s="75"/>
      <c r="N117" s="75"/>
      <c r="O117" s="75"/>
      <c r="P117" s="75"/>
    </row>
    <row r="118" spans="1:16" ht="27" x14ac:dyDescent="0.25">
      <c r="A118" s="52">
        <v>109</v>
      </c>
      <c r="B118" s="53" t="s">
        <v>190</v>
      </c>
      <c r="C118" s="60" t="s">
        <v>17</v>
      </c>
      <c r="D118" s="61" t="s">
        <v>18</v>
      </c>
      <c r="E118" s="62" t="s">
        <v>191</v>
      </c>
      <c r="F118" s="54" t="s">
        <v>20</v>
      </c>
      <c r="G118" s="78">
        <v>50</v>
      </c>
      <c r="H118" s="79">
        <v>950</v>
      </c>
      <c r="I118" s="68">
        <f t="shared" si="9"/>
        <v>47500</v>
      </c>
      <c r="J118" s="80" t="s">
        <v>559</v>
      </c>
      <c r="K118" s="75"/>
      <c r="L118" s="75"/>
      <c r="M118" s="75"/>
      <c r="N118" s="75"/>
      <c r="O118" s="75"/>
      <c r="P118" s="75"/>
    </row>
    <row r="119" spans="1:16" ht="27" x14ac:dyDescent="0.25">
      <c r="A119" s="52">
        <v>110</v>
      </c>
      <c r="B119" s="53" t="s">
        <v>192</v>
      </c>
      <c r="C119" s="60" t="s">
        <v>17</v>
      </c>
      <c r="D119" s="61" t="s">
        <v>18</v>
      </c>
      <c r="E119" s="62" t="s">
        <v>193</v>
      </c>
      <c r="F119" s="54" t="s">
        <v>20</v>
      </c>
      <c r="G119" s="78">
        <v>30</v>
      </c>
      <c r="H119" s="79">
        <v>1320</v>
      </c>
      <c r="I119" s="68">
        <f t="shared" si="9"/>
        <v>39600</v>
      </c>
      <c r="J119" s="58" t="s">
        <v>561</v>
      </c>
      <c r="K119" s="75"/>
      <c r="L119" s="75"/>
      <c r="M119" s="75"/>
      <c r="N119" s="75"/>
      <c r="O119" s="75"/>
      <c r="P119" s="75"/>
    </row>
    <row r="120" spans="1:16" ht="27" x14ac:dyDescent="0.25">
      <c r="A120" s="52">
        <v>111</v>
      </c>
      <c r="B120" s="53" t="s">
        <v>192</v>
      </c>
      <c r="C120" s="60" t="s">
        <v>17</v>
      </c>
      <c r="D120" s="61" t="s">
        <v>18</v>
      </c>
      <c r="E120" s="62" t="s">
        <v>193</v>
      </c>
      <c r="F120" s="54" t="s">
        <v>20</v>
      </c>
      <c r="G120" s="78">
        <v>50</v>
      </c>
      <c r="H120" s="79">
        <v>1320</v>
      </c>
      <c r="I120" s="68">
        <f t="shared" si="9"/>
        <v>66000</v>
      </c>
      <c r="J120" s="81" t="s">
        <v>563</v>
      </c>
      <c r="K120" s="75"/>
      <c r="L120" s="75"/>
      <c r="M120" s="75"/>
      <c r="N120" s="75"/>
      <c r="O120" s="75"/>
      <c r="P120" s="75"/>
    </row>
    <row r="121" spans="1:16" ht="27" x14ac:dyDescent="0.25">
      <c r="A121" s="52">
        <v>112</v>
      </c>
      <c r="B121" s="53" t="s">
        <v>192</v>
      </c>
      <c r="C121" s="60" t="s">
        <v>17</v>
      </c>
      <c r="D121" s="61" t="s">
        <v>18</v>
      </c>
      <c r="E121" s="62" t="s">
        <v>193</v>
      </c>
      <c r="F121" s="54" t="s">
        <v>20</v>
      </c>
      <c r="G121" s="78">
        <v>80</v>
      </c>
      <c r="H121" s="79">
        <v>720</v>
      </c>
      <c r="I121" s="68">
        <f t="shared" si="9"/>
        <v>57600</v>
      </c>
      <c r="J121" s="58" t="s">
        <v>565</v>
      </c>
      <c r="K121" s="75"/>
      <c r="L121" s="75"/>
      <c r="M121" s="75"/>
      <c r="N121" s="75"/>
      <c r="O121" s="75"/>
      <c r="P121" s="75"/>
    </row>
    <row r="122" spans="1:16" x14ac:dyDescent="0.25">
      <c r="A122" s="52">
        <v>113</v>
      </c>
      <c r="B122" s="53" t="s">
        <v>194</v>
      </c>
      <c r="C122" s="60" t="s">
        <v>17</v>
      </c>
      <c r="D122" s="61" t="s">
        <v>18</v>
      </c>
      <c r="E122" s="62" t="s">
        <v>195</v>
      </c>
      <c r="F122" s="54" t="s">
        <v>20</v>
      </c>
      <c r="G122" s="78">
        <v>100</v>
      </c>
      <c r="H122" s="79">
        <v>700</v>
      </c>
      <c r="I122" s="68">
        <f t="shared" si="9"/>
        <v>70000</v>
      </c>
      <c r="J122" s="74" t="s">
        <v>567</v>
      </c>
      <c r="K122" s="75"/>
      <c r="L122" s="75"/>
      <c r="M122" s="75"/>
      <c r="N122" s="75"/>
      <c r="O122" s="75"/>
      <c r="P122" s="75"/>
    </row>
    <row r="123" spans="1:16" ht="27" x14ac:dyDescent="0.25">
      <c r="A123" s="52">
        <v>114</v>
      </c>
      <c r="B123" s="53" t="s">
        <v>196</v>
      </c>
      <c r="C123" s="60" t="s">
        <v>17</v>
      </c>
      <c r="D123" s="61" t="s">
        <v>18</v>
      </c>
      <c r="E123" s="62" t="s">
        <v>197</v>
      </c>
      <c r="F123" s="54" t="s">
        <v>20</v>
      </c>
      <c r="G123" s="78">
        <v>50</v>
      </c>
      <c r="H123" s="79">
        <v>1380</v>
      </c>
      <c r="I123" s="68">
        <f t="shared" si="9"/>
        <v>69000</v>
      </c>
      <c r="J123" s="74" t="s">
        <v>569</v>
      </c>
      <c r="K123" s="75"/>
      <c r="L123" s="75"/>
      <c r="M123" s="75"/>
      <c r="N123" s="75"/>
      <c r="O123" s="75"/>
      <c r="P123" s="75"/>
    </row>
    <row r="124" spans="1:16" ht="27" x14ac:dyDescent="0.25">
      <c r="A124" s="52">
        <v>115</v>
      </c>
      <c r="B124" s="53" t="s">
        <v>198</v>
      </c>
      <c r="C124" s="60" t="s">
        <v>17</v>
      </c>
      <c r="D124" s="61" t="s">
        <v>18</v>
      </c>
      <c r="E124" s="62" t="s">
        <v>199</v>
      </c>
      <c r="F124" s="54" t="s">
        <v>20</v>
      </c>
      <c r="G124" s="78">
        <v>30</v>
      </c>
      <c r="H124" s="79">
        <v>480</v>
      </c>
      <c r="I124" s="68">
        <f t="shared" si="9"/>
        <v>14400</v>
      </c>
      <c r="J124" s="65" t="s">
        <v>571</v>
      </c>
      <c r="K124" s="66"/>
      <c r="L124" s="66"/>
      <c r="M124" s="66"/>
      <c r="N124" s="66"/>
      <c r="O124" s="66"/>
      <c r="P124" s="82"/>
    </row>
    <row r="125" spans="1:16" ht="27" x14ac:dyDescent="0.25">
      <c r="A125" s="52">
        <v>116</v>
      </c>
      <c r="B125" s="53" t="s">
        <v>198</v>
      </c>
      <c r="C125" s="60" t="s">
        <v>17</v>
      </c>
      <c r="D125" s="61" t="s">
        <v>18</v>
      </c>
      <c r="E125" s="62" t="s">
        <v>199</v>
      </c>
      <c r="F125" s="54" t="s">
        <v>20</v>
      </c>
      <c r="G125" s="78">
        <v>30</v>
      </c>
      <c r="H125" s="79">
        <v>480</v>
      </c>
      <c r="I125" s="68">
        <f t="shared" si="9"/>
        <v>14400</v>
      </c>
      <c r="J125" s="65" t="s">
        <v>573</v>
      </c>
      <c r="K125" s="66"/>
      <c r="L125" s="66"/>
      <c r="M125" s="66"/>
      <c r="N125" s="66"/>
      <c r="O125" s="66"/>
      <c r="P125" s="66"/>
    </row>
    <row r="126" spans="1:16" ht="27" x14ac:dyDescent="0.25">
      <c r="A126" s="52">
        <v>117</v>
      </c>
      <c r="B126" s="53" t="s">
        <v>198</v>
      </c>
      <c r="C126" s="60" t="s">
        <v>17</v>
      </c>
      <c r="D126" s="61" t="s">
        <v>18</v>
      </c>
      <c r="E126" s="62" t="s">
        <v>199</v>
      </c>
      <c r="F126" s="54" t="s">
        <v>20</v>
      </c>
      <c r="G126" s="78">
        <v>5</v>
      </c>
      <c r="H126" s="79">
        <v>400</v>
      </c>
      <c r="I126" s="68">
        <f t="shared" si="9"/>
        <v>2000</v>
      </c>
      <c r="J126" s="83" t="s">
        <v>575</v>
      </c>
      <c r="K126" s="66"/>
      <c r="L126" s="66"/>
      <c r="M126" s="66"/>
      <c r="N126" s="66"/>
      <c r="O126" s="66"/>
      <c r="P126" s="66"/>
    </row>
    <row r="127" spans="1:16" ht="27" x14ac:dyDescent="0.25">
      <c r="A127" s="52">
        <v>118</v>
      </c>
      <c r="B127" s="53" t="s">
        <v>200</v>
      </c>
      <c r="C127" s="60" t="s">
        <v>17</v>
      </c>
      <c r="D127" s="61" t="s">
        <v>18</v>
      </c>
      <c r="E127" s="62" t="s">
        <v>201</v>
      </c>
      <c r="F127" s="54" t="s">
        <v>20</v>
      </c>
      <c r="G127" s="78">
        <v>30</v>
      </c>
      <c r="H127" s="79">
        <v>680</v>
      </c>
      <c r="I127" s="68">
        <f t="shared" si="9"/>
        <v>20400</v>
      </c>
      <c r="J127" s="65" t="s">
        <v>577</v>
      </c>
      <c r="K127" s="66"/>
      <c r="L127" s="66"/>
      <c r="M127" s="66"/>
      <c r="N127" s="66"/>
      <c r="O127" s="66"/>
      <c r="P127" s="66"/>
    </row>
    <row r="128" spans="1:16" ht="27" x14ac:dyDescent="0.25">
      <c r="A128" s="52">
        <v>119</v>
      </c>
      <c r="B128" s="53" t="s">
        <v>200</v>
      </c>
      <c r="C128" s="60" t="s">
        <v>17</v>
      </c>
      <c r="D128" s="61" t="s">
        <v>18</v>
      </c>
      <c r="E128" s="62" t="s">
        <v>201</v>
      </c>
      <c r="F128" s="54" t="s">
        <v>20</v>
      </c>
      <c r="G128" s="78">
        <v>5</v>
      </c>
      <c r="H128" s="79">
        <v>680</v>
      </c>
      <c r="I128" s="68">
        <f t="shared" si="9"/>
        <v>3400</v>
      </c>
      <c r="J128" s="65" t="s">
        <v>579</v>
      </c>
      <c r="K128" s="66"/>
      <c r="L128" s="66"/>
      <c r="M128" s="66"/>
      <c r="N128" s="66"/>
      <c r="O128" s="66"/>
      <c r="P128" s="66"/>
    </row>
    <row r="129" spans="1:16" ht="27" x14ac:dyDescent="0.25">
      <c r="A129" s="52">
        <v>120</v>
      </c>
      <c r="B129" s="53" t="s">
        <v>200</v>
      </c>
      <c r="C129" s="60" t="s">
        <v>17</v>
      </c>
      <c r="D129" s="61" t="s">
        <v>18</v>
      </c>
      <c r="E129" s="62" t="s">
        <v>201</v>
      </c>
      <c r="F129" s="54" t="s">
        <v>20</v>
      </c>
      <c r="G129" s="78">
        <v>30</v>
      </c>
      <c r="H129" s="79">
        <v>680</v>
      </c>
      <c r="I129" s="68">
        <f t="shared" si="9"/>
        <v>20400</v>
      </c>
      <c r="J129" s="65" t="s">
        <v>581</v>
      </c>
      <c r="K129" s="66"/>
      <c r="L129" s="66"/>
      <c r="M129" s="66"/>
      <c r="N129" s="66"/>
      <c r="O129" s="66"/>
      <c r="P129" s="66"/>
    </row>
    <row r="130" spans="1:16" ht="27" x14ac:dyDescent="0.25">
      <c r="A130" s="52">
        <v>121</v>
      </c>
      <c r="B130" s="53" t="s">
        <v>202</v>
      </c>
      <c r="C130" s="60" t="s">
        <v>17</v>
      </c>
      <c r="D130" s="61" t="s">
        <v>18</v>
      </c>
      <c r="E130" s="62" t="s">
        <v>203</v>
      </c>
      <c r="F130" s="54" t="s">
        <v>20</v>
      </c>
      <c r="G130" s="78">
        <v>5</v>
      </c>
      <c r="H130" s="79">
        <v>210</v>
      </c>
      <c r="I130" s="68">
        <f t="shared" si="9"/>
        <v>1050</v>
      </c>
      <c r="J130" s="65" t="s">
        <v>806</v>
      </c>
      <c r="K130" s="66"/>
      <c r="L130" s="66"/>
      <c r="M130" s="66"/>
      <c r="N130" s="66"/>
      <c r="O130" s="66"/>
      <c r="P130" s="66"/>
    </row>
    <row r="131" spans="1:16" ht="27" x14ac:dyDescent="0.25">
      <c r="A131" s="52">
        <v>122</v>
      </c>
      <c r="B131" s="53" t="s">
        <v>202</v>
      </c>
      <c r="C131" s="60" t="s">
        <v>17</v>
      </c>
      <c r="D131" s="61" t="s">
        <v>18</v>
      </c>
      <c r="E131" s="62" t="s">
        <v>203</v>
      </c>
      <c r="F131" s="54" t="s">
        <v>20</v>
      </c>
      <c r="G131" s="78">
        <v>5</v>
      </c>
      <c r="H131" s="79">
        <v>230</v>
      </c>
      <c r="I131" s="68">
        <f t="shared" si="9"/>
        <v>1150</v>
      </c>
      <c r="J131" s="65" t="s">
        <v>807</v>
      </c>
      <c r="K131" s="66"/>
      <c r="L131" s="66"/>
      <c r="M131" s="66"/>
      <c r="N131" s="66"/>
      <c r="O131" s="66"/>
      <c r="P131" s="66"/>
    </row>
    <row r="132" spans="1:16" ht="27" x14ac:dyDescent="0.25">
      <c r="A132" s="52">
        <v>123</v>
      </c>
      <c r="B132" s="53" t="s">
        <v>204</v>
      </c>
      <c r="C132" s="60" t="s">
        <v>17</v>
      </c>
      <c r="D132" s="61" t="s">
        <v>18</v>
      </c>
      <c r="E132" s="62" t="s">
        <v>205</v>
      </c>
      <c r="F132" s="54" t="s">
        <v>20</v>
      </c>
      <c r="G132" s="78">
        <v>30</v>
      </c>
      <c r="H132" s="79">
        <v>130</v>
      </c>
      <c r="I132" s="68">
        <f t="shared" si="9"/>
        <v>3900</v>
      </c>
      <c r="J132" s="65" t="s">
        <v>808</v>
      </c>
      <c r="K132" s="66"/>
      <c r="L132" s="66"/>
      <c r="M132" s="66"/>
      <c r="N132" s="66"/>
      <c r="O132" s="66"/>
      <c r="P132" s="66"/>
    </row>
    <row r="133" spans="1:16" ht="27" x14ac:dyDescent="0.25">
      <c r="A133" s="52">
        <v>124</v>
      </c>
      <c r="B133" s="53" t="s">
        <v>204</v>
      </c>
      <c r="C133" s="60" t="s">
        <v>17</v>
      </c>
      <c r="D133" s="61" t="s">
        <v>18</v>
      </c>
      <c r="E133" s="62" t="s">
        <v>205</v>
      </c>
      <c r="F133" s="54" t="s">
        <v>20</v>
      </c>
      <c r="G133" s="78">
        <v>30</v>
      </c>
      <c r="H133" s="79">
        <v>110</v>
      </c>
      <c r="I133" s="68">
        <f t="shared" si="9"/>
        <v>3300</v>
      </c>
      <c r="J133" s="65" t="s">
        <v>809</v>
      </c>
      <c r="K133" s="66"/>
      <c r="L133" s="66"/>
      <c r="M133" s="66"/>
      <c r="N133" s="66"/>
      <c r="O133" s="66"/>
      <c r="P133" s="66"/>
    </row>
    <row r="134" spans="1:16" ht="27" x14ac:dyDescent="0.25">
      <c r="A134" s="52">
        <v>125</v>
      </c>
      <c r="B134" s="53" t="s">
        <v>206</v>
      </c>
      <c r="C134" s="60" t="s">
        <v>17</v>
      </c>
      <c r="D134" s="61" t="s">
        <v>18</v>
      </c>
      <c r="E134" s="62" t="s">
        <v>207</v>
      </c>
      <c r="F134" s="54" t="s">
        <v>20</v>
      </c>
      <c r="G134" s="78">
        <v>50</v>
      </c>
      <c r="H134" s="79">
        <v>410</v>
      </c>
      <c r="I134" s="68">
        <f t="shared" si="9"/>
        <v>20500</v>
      </c>
      <c r="J134" s="58" t="s">
        <v>587</v>
      </c>
      <c r="K134" s="75"/>
      <c r="L134" s="75"/>
      <c r="M134" s="75"/>
      <c r="N134" s="75"/>
      <c r="O134" s="75"/>
      <c r="P134" s="75"/>
    </row>
    <row r="135" spans="1:16" ht="27" x14ac:dyDescent="0.25">
      <c r="A135" s="52">
        <v>126</v>
      </c>
      <c r="B135" s="53" t="s">
        <v>206</v>
      </c>
      <c r="C135" s="60" t="s">
        <v>17</v>
      </c>
      <c r="D135" s="61" t="s">
        <v>18</v>
      </c>
      <c r="E135" s="62" t="s">
        <v>207</v>
      </c>
      <c r="F135" s="54" t="s">
        <v>20</v>
      </c>
      <c r="G135" s="78">
        <v>50</v>
      </c>
      <c r="H135" s="79">
        <v>380</v>
      </c>
      <c r="I135" s="68">
        <f t="shared" si="9"/>
        <v>19000</v>
      </c>
      <c r="J135" s="74" t="s">
        <v>589</v>
      </c>
      <c r="K135" s="75"/>
      <c r="L135" s="75"/>
      <c r="M135" s="75"/>
      <c r="N135" s="75"/>
      <c r="O135" s="75"/>
      <c r="P135" s="75"/>
    </row>
    <row r="136" spans="1:16" ht="27" x14ac:dyDescent="0.25">
      <c r="A136" s="52">
        <v>127</v>
      </c>
      <c r="B136" s="53" t="s">
        <v>208</v>
      </c>
      <c r="C136" s="60" t="s">
        <v>17</v>
      </c>
      <c r="D136" s="61" t="s">
        <v>18</v>
      </c>
      <c r="E136" s="62" t="s">
        <v>209</v>
      </c>
      <c r="F136" s="54" t="s">
        <v>20</v>
      </c>
      <c r="G136" s="78">
        <v>25</v>
      </c>
      <c r="H136" s="79">
        <v>750</v>
      </c>
      <c r="I136" s="68">
        <f t="shared" si="9"/>
        <v>18750</v>
      </c>
      <c r="J136" s="65" t="s">
        <v>820</v>
      </c>
      <c r="K136" s="66"/>
      <c r="L136" s="66"/>
      <c r="M136" s="66"/>
      <c r="N136" s="66"/>
      <c r="O136" s="66"/>
      <c r="P136" s="82"/>
    </row>
    <row r="137" spans="1:16" ht="27" x14ac:dyDescent="0.25">
      <c r="A137" s="52">
        <v>128</v>
      </c>
      <c r="B137" s="53" t="s">
        <v>210</v>
      </c>
      <c r="C137" s="60" t="s">
        <v>17</v>
      </c>
      <c r="D137" s="61" t="s">
        <v>18</v>
      </c>
      <c r="E137" s="62" t="s">
        <v>211</v>
      </c>
      <c r="F137" s="54" t="s">
        <v>20</v>
      </c>
      <c r="G137" s="78">
        <v>30</v>
      </c>
      <c r="H137" s="79">
        <v>1400</v>
      </c>
      <c r="I137" s="68">
        <f t="shared" si="9"/>
        <v>42000</v>
      </c>
      <c r="J137" s="58" t="s">
        <v>592</v>
      </c>
      <c r="K137" s="75"/>
      <c r="L137" s="75"/>
      <c r="M137" s="75"/>
      <c r="N137" s="75"/>
      <c r="O137" s="75"/>
      <c r="P137" s="75"/>
    </row>
    <row r="138" spans="1:16" x14ac:dyDescent="0.25">
      <c r="A138" s="52">
        <v>129</v>
      </c>
      <c r="B138" s="53" t="s">
        <v>212</v>
      </c>
      <c r="C138" s="60" t="s">
        <v>17</v>
      </c>
      <c r="D138" s="61" t="s">
        <v>18</v>
      </c>
      <c r="E138" s="62" t="s">
        <v>213</v>
      </c>
      <c r="F138" s="54" t="s">
        <v>20</v>
      </c>
      <c r="G138" s="78">
        <v>50</v>
      </c>
      <c r="H138" s="79">
        <v>1160</v>
      </c>
      <c r="I138" s="68">
        <f t="shared" si="9"/>
        <v>58000</v>
      </c>
      <c r="J138" s="65" t="s">
        <v>594</v>
      </c>
      <c r="K138" s="66"/>
      <c r="L138" s="66"/>
      <c r="M138" s="66"/>
      <c r="N138" s="66"/>
      <c r="O138" s="66"/>
      <c r="P138" s="66"/>
    </row>
    <row r="139" spans="1:16" x14ac:dyDescent="0.25">
      <c r="A139" s="52">
        <v>130</v>
      </c>
      <c r="B139" s="53" t="s">
        <v>212</v>
      </c>
      <c r="C139" s="60" t="s">
        <v>17</v>
      </c>
      <c r="D139" s="61" t="s">
        <v>18</v>
      </c>
      <c r="E139" s="62" t="s">
        <v>213</v>
      </c>
      <c r="F139" s="54" t="s">
        <v>20</v>
      </c>
      <c r="G139" s="78">
        <v>50</v>
      </c>
      <c r="H139" s="79">
        <v>1160</v>
      </c>
      <c r="I139" s="68">
        <f t="shared" si="9"/>
        <v>58000</v>
      </c>
      <c r="J139" s="65" t="s">
        <v>596</v>
      </c>
      <c r="K139" s="66"/>
      <c r="L139" s="66"/>
      <c r="M139" s="66"/>
      <c r="N139" s="66"/>
      <c r="O139" s="66"/>
      <c r="P139" s="66"/>
    </row>
    <row r="140" spans="1:16" ht="27" x14ac:dyDescent="0.25">
      <c r="A140" s="52">
        <v>131</v>
      </c>
      <c r="B140" s="53" t="s">
        <v>214</v>
      </c>
      <c r="C140" s="60" t="s">
        <v>17</v>
      </c>
      <c r="D140" s="61" t="s">
        <v>18</v>
      </c>
      <c r="E140" s="62" t="s">
        <v>215</v>
      </c>
      <c r="F140" s="54" t="s">
        <v>20</v>
      </c>
      <c r="G140" s="78">
        <v>30</v>
      </c>
      <c r="H140" s="79">
        <v>2070</v>
      </c>
      <c r="I140" s="68">
        <f t="shared" si="9"/>
        <v>62100</v>
      </c>
      <c r="J140" s="58" t="s">
        <v>598</v>
      </c>
      <c r="K140" s="75"/>
      <c r="L140" s="75"/>
      <c r="M140" s="75"/>
      <c r="N140" s="75"/>
      <c r="O140" s="75"/>
      <c r="P140" s="75"/>
    </row>
    <row r="141" spans="1:16" ht="27" x14ac:dyDescent="0.25">
      <c r="A141" s="52">
        <v>132</v>
      </c>
      <c r="B141" s="53" t="s">
        <v>216</v>
      </c>
      <c r="C141" s="60" t="s">
        <v>17</v>
      </c>
      <c r="D141" s="61" t="s">
        <v>18</v>
      </c>
      <c r="E141" s="62" t="s">
        <v>217</v>
      </c>
      <c r="F141" s="54" t="s">
        <v>20</v>
      </c>
      <c r="G141" s="78">
        <v>30</v>
      </c>
      <c r="H141" s="79">
        <v>1250</v>
      </c>
      <c r="I141" s="68">
        <f t="shared" si="9"/>
        <v>37500</v>
      </c>
      <c r="J141" s="69" t="s">
        <v>818</v>
      </c>
      <c r="K141" s="59"/>
      <c r="L141" s="59"/>
      <c r="M141" s="59"/>
      <c r="N141" s="59"/>
      <c r="O141" s="59"/>
      <c r="P141" s="60"/>
    </row>
    <row r="142" spans="1:16" ht="27" x14ac:dyDescent="0.25">
      <c r="A142" s="52">
        <v>133</v>
      </c>
      <c r="B142" s="53" t="s">
        <v>218</v>
      </c>
      <c r="C142" s="60" t="s">
        <v>17</v>
      </c>
      <c r="D142" s="61" t="s">
        <v>18</v>
      </c>
      <c r="E142" s="62" t="s">
        <v>219</v>
      </c>
      <c r="F142" s="54" t="s">
        <v>20</v>
      </c>
      <c r="G142" s="78">
        <v>30</v>
      </c>
      <c r="H142" s="79">
        <v>1440</v>
      </c>
      <c r="I142" s="68">
        <f t="shared" si="9"/>
        <v>43200</v>
      </c>
      <c r="J142" s="69" t="s">
        <v>819</v>
      </c>
      <c r="K142" s="59"/>
      <c r="L142" s="59"/>
      <c r="M142" s="60"/>
      <c r="N142" s="60"/>
      <c r="O142" s="60"/>
      <c r="P142" s="59"/>
    </row>
    <row r="143" spans="1:16" ht="27" x14ac:dyDescent="0.25">
      <c r="A143" s="52">
        <v>134</v>
      </c>
      <c r="B143" s="53" t="s">
        <v>220</v>
      </c>
      <c r="C143" s="60" t="s">
        <v>17</v>
      </c>
      <c r="D143" s="61" t="s">
        <v>18</v>
      </c>
      <c r="E143" s="62" t="s">
        <v>221</v>
      </c>
      <c r="F143" s="54" t="s">
        <v>20</v>
      </c>
      <c r="G143" s="78">
        <v>20</v>
      </c>
      <c r="H143" s="79">
        <v>2820</v>
      </c>
      <c r="I143" s="68">
        <f t="shared" si="9"/>
        <v>56400</v>
      </c>
      <c r="J143" s="69" t="s">
        <v>602</v>
      </c>
      <c r="K143" s="59"/>
      <c r="L143" s="60"/>
      <c r="M143" s="60"/>
      <c r="N143" s="60"/>
      <c r="O143" s="60"/>
      <c r="P143" s="60"/>
    </row>
    <row r="144" spans="1:16" x14ac:dyDescent="0.25">
      <c r="A144" s="52">
        <v>135</v>
      </c>
      <c r="B144" s="53" t="s">
        <v>212</v>
      </c>
      <c r="C144" s="60" t="s">
        <v>17</v>
      </c>
      <c r="D144" s="61" t="s">
        <v>18</v>
      </c>
      <c r="E144" s="62" t="s">
        <v>213</v>
      </c>
      <c r="F144" s="54" t="s">
        <v>20</v>
      </c>
      <c r="G144" s="78">
        <v>40</v>
      </c>
      <c r="H144" s="79">
        <v>1060</v>
      </c>
      <c r="I144" s="68">
        <f t="shared" si="9"/>
        <v>42400</v>
      </c>
      <c r="J144" s="69" t="s">
        <v>604</v>
      </c>
      <c r="K144" s="59"/>
      <c r="L144" s="60"/>
      <c r="M144" s="60"/>
      <c r="N144" s="60"/>
      <c r="O144" s="60"/>
      <c r="P144" s="60"/>
    </row>
    <row r="145" spans="1:16" x14ac:dyDescent="0.25">
      <c r="A145" s="52">
        <v>136</v>
      </c>
      <c r="B145" s="53" t="s">
        <v>222</v>
      </c>
      <c r="C145" s="60" t="s">
        <v>17</v>
      </c>
      <c r="D145" s="61" t="s">
        <v>18</v>
      </c>
      <c r="E145" s="62" t="s">
        <v>223</v>
      </c>
      <c r="F145" s="54" t="s">
        <v>20</v>
      </c>
      <c r="G145" s="78">
        <v>50</v>
      </c>
      <c r="H145" s="79">
        <v>480</v>
      </c>
      <c r="I145" s="68">
        <f t="shared" si="9"/>
        <v>24000</v>
      </c>
      <c r="J145" s="69" t="s">
        <v>606</v>
      </c>
      <c r="K145" s="59"/>
      <c r="L145" s="60"/>
      <c r="M145" s="60"/>
      <c r="N145" s="60"/>
      <c r="O145" s="60"/>
      <c r="P145" s="60"/>
    </row>
    <row r="146" spans="1:16" ht="27" x14ac:dyDescent="0.25">
      <c r="A146" s="52">
        <v>137</v>
      </c>
      <c r="B146" s="53" t="s">
        <v>210</v>
      </c>
      <c r="C146" s="60" t="s">
        <v>17</v>
      </c>
      <c r="D146" s="61" t="s">
        <v>18</v>
      </c>
      <c r="E146" s="62" t="s">
        <v>211</v>
      </c>
      <c r="F146" s="54" t="s">
        <v>20</v>
      </c>
      <c r="G146" s="78">
        <v>30</v>
      </c>
      <c r="H146" s="79">
        <v>6351</v>
      </c>
      <c r="I146" s="68">
        <f t="shared" si="9"/>
        <v>190530</v>
      </c>
      <c r="J146" s="69" t="s">
        <v>608</v>
      </c>
      <c r="K146" s="59"/>
      <c r="L146" s="60"/>
      <c r="M146" s="60"/>
      <c r="N146" s="60"/>
      <c r="O146" s="60"/>
      <c r="P146" s="60"/>
    </row>
    <row r="147" spans="1:16" x14ac:dyDescent="0.25">
      <c r="A147" s="52">
        <v>138</v>
      </c>
      <c r="B147" s="53" t="s">
        <v>224</v>
      </c>
      <c r="C147" s="60" t="s">
        <v>17</v>
      </c>
      <c r="D147" s="61" t="s">
        <v>18</v>
      </c>
      <c r="E147" s="62" t="s">
        <v>225</v>
      </c>
      <c r="F147" s="54" t="s">
        <v>20</v>
      </c>
      <c r="G147" s="78">
        <v>30</v>
      </c>
      <c r="H147" s="79">
        <v>7010</v>
      </c>
      <c r="I147" s="68">
        <f t="shared" si="9"/>
        <v>210300</v>
      </c>
      <c r="J147" s="69" t="s">
        <v>610</v>
      </c>
      <c r="K147" s="59"/>
      <c r="L147" s="60"/>
      <c r="M147" s="60"/>
      <c r="N147" s="60"/>
      <c r="O147" s="60"/>
      <c r="P147" s="60"/>
    </row>
    <row r="148" spans="1:16" ht="27" x14ac:dyDescent="0.25">
      <c r="A148" s="52">
        <v>139</v>
      </c>
      <c r="B148" s="53" t="s">
        <v>200</v>
      </c>
      <c r="C148" s="60" t="s">
        <v>17</v>
      </c>
      <c r="D148" s="61" t="s">
        <v>18</v>
      </c>
      <c r="E148" s="62" t="s">
        <v>201</v>
      </c>
      <c r="F148" s="54" t="s">
        <v>20</v>
      </c>
      <c r="G148" s="78">
        <v>10</v>
      </c>
      <c r="H148" s="79">
        <v>3000</v>
      </c>
      <c r="I148" s="68">
        <f t="shared" si="9"/>
        <v>30000</v>
      </c>
      <c r="J148" s="69" t="s">
        <v>612</v>
      </c>
      <c r="K148" s="59"/>
      <c r="L148" s="60"/>
      <c r="M148" s="60"/>
      <c r="N148" s="60"/>
      <c r="O148" s="60"/>
      <c r="P148" s="60"/>
    </row>
    <row r="149" spans="1:16" ht="27" x14ac:dyDescent="0.25">
      <c r="A149" s="52">
        <v>140</v>
      </c>
      <c r="B149" s="53" t="s">
        <v>198</v>
      </c>
      <c r="C149" s="60" t="s">
        <v>17</v>
      </c>
      <c r="D149" s="61" t="s">
        <v>18</v>
      </c>
      <c r="E149" s="62" t="s">
        <v>199</v>
      </c>
      <c r="F149" s="54" t="s">
        <v>20</v>
      </c>
      <c r="G149" s="78">
        <v>10</v>
      </c>
      <c r="H149" s="79">
        <v>3000</v>
      </c>
      <c r="I149" s="68">
        <f t="shared" si="9"/>
        <v>30000</v>
      </c>
      <c r="J149" s="69" t="s">
        <v>614</v>
      </c>
      <c r="K149" s="59"/>
      <c r="L149" s="60"/>
      <c r="M149" s="60"/>
      <c r="N149" s="60"/>
      <c r="O149" s="60"/>
      <c r="P149" s="60"/>
    </row>
    <row r="150" spans="1:16" ht="27" x14ac:dyDescent="0.25">
      <c r="A150" s="52">
        <v>141</v>
      </c>
      <c r="B150" s="53" t="s">
        <v>206</v>
      </c>
      <c r="C150" s="60" t="s">
        <v>17</v>
      </c>
      <c r="D150" s="61" t="s">
        <v>18</v>
      </c>
      <c r="E150" s="62" t="s">
        <v>207</v>
      </c>
      <c r="F150" s="54" t="s">
        <v>20</v>
      </c>
      <c r="G150" s="78">
        <v>30</v>
      </c>
      <c r="H150" s="79">
        <v>4000</v>
      </c>
      <c r="I150" s="68">
        <f t="shared" si="9"/>
        <v>120000</v>
      </c>
      <c r="J150" s="69" t="s">
        <v>616</v>
      </c>
      <c r="K150" s="59"/>
      <c r="L150" s="60"/>
      <c r="M150" s="60"/>
      <c r="N150" s="60"/>
      <c r="O150" s="60"/>
      <c r="P150" s="60"/>
    </row>
    <row r="151" spans="1:16" ht="27" x14ac:dyDescent="0.25">
      <c r="A151" s="52">
        <v>142</v>
      </c>
      <c r="B151" s="53" t="s">
        <v>226</v>
      </c>
      <c r="C151" s="60" t="s">
        <v>17</v>
      </c>
      <c r="D151" s="61" t="s">
        <v>18</v>
      </c>
      <c r="E151" s="62" t="s">
        <v>227</v>
      </c>
      <c r="F151" s="54" t="s">
        <v>20</v>
      </c>
      <c r="G151" s="78">
        <v>30</v>
      </c>
      <c r="H151" s="79">
        <v>1500</v>
      </c>
      <c r="I151" s="68">
        <f t="shared" si="9"/>
        <v>45000</v>
      </c>
      <c r="J151" s="69" t="s">
        <v>618</v>
      </c>
      <c r="K151" s="60"/>
      <c r="L151" s="60"/>
      <c r="M151" s="60"/>
      <c r="N151" s="60"/>
      <c r="O151" s="60"/>
      <c r="P151" s="60"/>
    </row>
    <row r="152" spans="1:16" ht="27" x14ac:dyDescent="0.25">
      <c r="A152" s="52">
        <v>143</v>
      </c>
      <c r="B152" s="53" t="s">
        <v>228</v>
      </c>
      <c r="C152" s="60" t="s">
        <v>17</v>
      </c>
      <c r="D152" s="61" t="s">
        <v>18</v>
      </c>
      <c r="E152" s="62" t="s">
        <v>229</v>
      </c>
      <c r="F152" s="54" t="s">
        <v>20</v>
      </c>
      <c r="G152" s="78">
        <v>30</v>
      </c>
      <c r="H152" s="79">
        <v>750</v>
      </c>
      <c r="I152" s="68">
        <f t="shared" si="9"/>
        <v>22500</v>
      </c>
      <c r="J152" s="69" t="s">
        <v>620</v>
      </c>
      <c r="K152" s="59"/>
      <c r="L152" s="60"/>
      <c r="M152" s="60"/>
      <c r="N152" s="60"/>
      <c r="O152" s="60"/>
      <c r="P152" s="60"/>
    </row>
    <row r="153" spans="1:16" ht="27" x14ac:dyDescent="0.25">
      <c r="A153" s="52">
        <v>144</v>
      </c>
      <c r="B153" s="53" t="s">
        <v>230</v>
      </c>
      <c r="C153" s="60" t="s">
        <v>17</v>
      </c>
      <c r="D153" s="61" t="s">
        <v>18</v>
      </c>
      <c r="E153" s="62" t="s">
        <v>231</v>
      </c>
      <c r="F153" s="54" t="s">
        <v>20</v>
      </c>
      <c r="G153" s="78">
        <v>50</v>
      </c>
      <c r="H153" s="79">
        <v>7280</v>
      </c>
      <c r="I153" s="68">
        <f t="shared" si="9"/>
        <v>364000</v>
      </c>
      <c r="J153" s="69" t="s">
        <v>622</v>
      </c>
      <c r="K153" s="59"/>
      <c r="L153" s="60"/>
      <c r="M153" s="60"/>
      <c r="N153" s="60"/>
      <c r="O153" s="60"/>
      <c r="P153" s="60"/>
    </row>
    <row r="154" spans="1:16" x14ac:dyDescent="0.25">
      <c r="A154" s="52">
        <v>145</v>
      </c>
      <c r="B154" s="53" t="s">
        <v>232</v>
      </c>
      <c r="C154" s="60" t="s">
        <v>17</v>
      </c>
      <c r="D154" s="61" t="s">
        <v>18</v>
      </c>
      <c r="E154" s="62" t="s">
        <v>233</v>
      </c>
      <c r="F154" s="54" t="s">
        <v>20</v>
      </c>
      <c r="G154" s="78">
        <v>60</v>
      </c>
      <c r="H154" s="84">
        <v>6740</v>
      </c>
      <c r="I154" s="68">
        <f t="shared" si="9"/>
        <v>404400</v>
      </c>
      <c r="J154" s="69" t="s">
        <v>624</v>
      </c>
      <c r="K154" s="59"/>
      <c r="L154" s="60"/>
      <c r="M154" s="60"/>
      <c r="N154" s="60"/>
      <c r="O154" s="60"/>
      <c r="P154" s="60"/>
    </row>
    <row r="155" spans="1:16" x14ac:dyDescent="0.25">
      <c r="A155" s="52">
        <v>146</v>
      </c>
      <c r="B155" s="53" t="s">
        <v>234</v>
      </c>
      <c r="C155" s="60" t="s">
        <v>17</v>
      </c>
      <c r="D155" s="61" t="s">
        <v>18</v>
      </c>
      <c r="E155" s="62" t="s">
        <v>235</v>
      </c>
      <c r="F155" s="54" t="s">
        <v>20</v>
      </c>
      <c r="G155" s="78">
        <v>60</v>
      </c>
      <c r="H155" s="84">
        <v>6740</v>
      </c>
      <c r="I155" s="68">
        <f t="shared" si="9"/>
        <v>404400</v>
      </c>
      <c r="J155" s="69" t="s">
        <v>626</v>
      </c>
      <c r="K155" s="59"/>
      <c r="L155" s="60"/>
      <c r="M155" s="60"/>
      <c r="N155" s="60"/>
      <c r="O155" s="60"/>
      <c r="P155" s="60"/>
    </row>
    <row r="156" spans="1:16" x14ac:dyDescent="0.25">
      <c r="A156" s="52">
        <v>147</v>
      </c>
      <c r="B156" s="53" t="s">
        <v>236</v>
      </c>
      <c r="C156" s="60" t="s">
        <v>17</v>
      </c>
      <c r="D156" s="61" t="s">
        <v>18</v>
      </c>
      <c r="E156" s="62" t="s">
        <v>237</v>
      </c>
      <c r="F156" s="54" t="s">
        <v>20</v>
      </c>
      <c r="G156" s="78">
        <v>8</v>
      </c>
      <c r="H156" s="84">
        <v>6520</v>
      </c>
      <c r="I156" s="68">
        <f t="shared" si="9"/>
        <v>52160</v>
      </c>
      <c r="J156" s="69" t="s">
        <v>628</v>
      </c>
      <c r="K156" s="59"/>
      <c r="L156" s="60"/>
      <c r="M156" s="60"/>
      <c r="N156" s="60"/>
      <c r="O156" s="60"/>
      <c r="P156" s="60"/>
    </row>
    <row r="157" spans="1:16" ht="27" x14ac:dyDescent="0.25">
      <c r="A157" s="52">
        <v>148</v>
      </c>
      <c r="B157" s="53" t="s">
        <v>238</v>
      </c>
      <c r="C157" s="60" t="s">
        <v>17</v>
      </c>
      <c r="D157" s="61" t="s">
        <v>18</v>
      </c>
      <c r="E157" s="62" t="s">
        <v>239</v>
      </c>
      <c r="F157" s="54" t="s">
        <v>20</v>
      </c>
      <c r="G157" s="78">
        <v>6</v>
      </c>
      <c r="H157" s="84">
        <v>6480</v>
      </c>
      <c r="I157" s="68">
        <f t="shared" si="9"/>
        <v>38880</v>
      </c>
      <c r="J157" s="69" t="s">
        <v>630</v>
      </c>
      <c r="K157" s="59"/>
      <c r="L157" s="60"/>
      <c r="M157" s="60"/>
      <c r="N157" s="60"/>
      <c r="O157" s="60"/>
      <c r="P157" s="60"/>
    </row>
    <row r="158" spans="1:16" ht="27" x14ac:dyDescent="0.25">
      <c r="A158" s="52">
        <v>149</v>
      </c>
      <c r="B158" s="53" t="s">
        <v>240</v>
      </c>
      <c r="C158" s="60" t="s">
        <v>17</v>
      </c>
      <c r="D158" s="61" t="s">
        <v>18</v>
      </c>
      <c r="E158" s="62" t="s">
        <v>241</v>
      </c>
      <c r="F158" s="54" t="s">
        <v>20</v>
      </c>
      <c r="G158" s="78">
        <v>3</v>
      </c>
      <c r="H158" s="84">
        <v>45798</v>
      </c>
      <c r="I158" s="68">
        <f t="shared" si="9"/>
        <v>137394</v>
      </c>
      <c r="J158" s="69" t="s">
        <v>632</v>
      </c>
      <c r="K158" s="59"/>
      <c r="L158" s="60"/>
      <c r="M158" s="60"/>
      <c r="N158" s="60"/>
      <c r="O158" s="60"/>
      <c r="P158" s="60"/>
    </row>
    <row r="159" spans="1:16" x14ac:dyDescent="0.25">
      <c r="A159" s="52">
        <v>150</v>
      </c>
      <c r="B159" s="53" t="s">
        <v>242</v>
      </c>
      <c r="C159" s="60" t="s">
        <v>17</v>
      </c>
      <c r="D159" s="61" t="s">
        <v>18</v>
      </c>
      <c r="E159" s="62" t="s">
        <v>243</v>
      </c>
      <c r="F159" s="54" t="s">
        <v>20</v>
      </c>
      <c r="G159" s="78">
        <v>30</v>
      </c>
      <c r="H159" s="84">
        <v>4380</v>
      </c>
      <c r="I159" s="68">
        <f t="shared" si="9"/>
        <v>131400</v>
      </c>
      <c r="J159" s="69" t="s">
        <v>634</v>
      </c>
      <c r="K159" s="59"/>
      <c r="L159" s="60"/>
      <c r="M159" s="60"/>
      <c r="N159" s="60"/>
      <c r="O159" s="60"/>
      <c r="P159" s="60"/>
    </row>
    <row r="160" spans="1:16" ht="27" x14ac:dyDescent="0.25">
      <c r="A160" s="52">
        <v>151</v>
      </c>
      <c r="B160" s="53" t="s">
        <v>244</v>
      </c>
      <c r="C160" s="60" t="s">
        <v>17</v>
      </c>
      <c r="D160" s="61" t="s">
        <v>18</v>
      </c>
      <c r="E160" s="62" t="s">
        <v>245</v>
      </c>
      <c r="F160" s="54" t="s">
        <v>20</v>
      </c>
      <c r="G160" s="78">
        <v>5</v>
      </c>
      <c r="H160" s="84">
        <v>59270</v>
      </c>
      <c r="I160" s="68">
        <f t="shared" si="9"/>
        <v>296350</v>
      </c>
      <c r="J160" s="69" t="s">
        <v>636</v>
      </c>
      <c r="K160" s="59"/>
      <c r="L160" s="60"/>
      <c r="M160" s="60"/>
      <c r="N160" s="60"/>
      <c r="O160" s="60"/>
      <c r="P160" s="60"/>
    </row>
    <row r="161" spans="1:16" ht="27" x14ac:dyDescent="0.25">
      <c r="A161" s="52">
        <v>152</v>
      </c>
      <c r="B161" s="53" t="s">
        <v>186</v>
      </c>
      <c r="C161" s="60" t="s">
        <v>17</v>
      </c>
      <c r="D161" s="61" t="s">
        <v>18</v>
      </c>
      <c r="E161" s="62" t="s">
        <v>187</v>
      </c>
      <c r="F161" s="54" t="s">
        <v>20</v>
      </c>
      <c r="G161" s="78">
        <v>30</v>
      </c>
      <c r="H161" s="84">
        <v>1290</v>
      </c>
      <c r="I161" s="68">
        <f t="shared" si="9"/>
        <v>38700</v>
      </c>
      <c r="J161" s="69" t="s">
        <v>638</v>
      </c>
      <c r="K161" s="59"/>
      <c r="L161" s="60"/>
      <c r="M161" s="60"/>
      <c r="N161" s="60"/>
      <c r="O161" s="60"/>
      <c r="P161" s="60"/>
    </row>
    <row r="162" spans="1:16" ht="27" x14ac:dyDescent="0.25">
      <c r="A162" s="52">
        <v>153</v>
      </c>
      <c r="B162" s="53" t="s">
        <v>186</v>
      </c>
      <c r="C162" s="60" t="s">
        <v>17</v>
      </c>
      <c r="D162" s="61" t="s">
        <v>18</v>
      </c>
      <c r="E162" s="62" t="s">
        <v>187</v>
      </c>
      <c r="F162" s="54" t="s">
        <v>20</v>
      </c>
      <c r="G162" s="78">
        <v>30</v>
      </c>
      <c r="H162" s="84">
        <v>810</v>
      </c>
      <c r="I162" s="68">
        <f t="shared" si="9"/>
        <v>24300</v>
      </c>
      <c r="J162" s="69" t="s">
        <v>640</v>
      </c>
      <c r="K162" s="59"/>
      <c r="L162" s="60"/>
      <c r="M162" s="60"/>
      <c r="N162" s="60"/>
      <c r="O162" s="60"/>
      <c r="P162" s="60"/>
    </row>
    <row r="163" spans="1:16" ht="27" x14ac:dyDescent="0.25">
      <c r="A163" s="52">
        <v>154</v>
      </c>
      <c r="B163" s="53" t="s">
        <v>186</v>
      </c>
      <c r="C163" s="60" t="s">
        <v>17</v>
      </c>
      <c r="D163" s="61" t="s">
        <v>18</v>
      </c>
      <c r="E163" s="62" t="s">
        <v>187</v>
      </c>
      <c r="F163" s="54" t="s">
        <v>20</v>
      </c>
      <c r="G163" s="78">
        <v>5</v>
      </c>
      <c r="H163" s="85">
        <v>2998</v>
      </c>
      <c r="I163" s="68">
        <f t="shared" si="9"/>
        <v>14990</v>
      </c>
      <c r="J163" s="69" t="s">
        <v>642</v>
      </c>
      <c r="K163" s="59"/>
      <c r="L163" s="60"/>
      <c r="M163" s="60"/>
      <c r="N163" s="60"/>
      <c r="O163" s="60"/>
      <c r="P163" s="60"/>
    </row>
    <row r="164" spans="1:16" ht="27" x14ac:dyDescent="0.25">
      <c r="A164" s="52">
        <v>155</v>
      </c>
      <c r="B164" s="53" t="s">
        <v>246</v>
      </c>
      <c r="C164" s="60" t="s">
        <v>17</v>
      </c>
      <c r="D164" s="61" t="s">
        <v>18</v>
      </c>
      <c r="E164" s="62" t="s">
        <v>247</v>
      </c>
      <c r="F164" s="54" t="s">
        <v>20</v>
      </c>
      <c r="G164" s="78">
        <v>50</v>
      </c>
      <c r="H164" s="85">
        <v>230</v>
      </c>
      <c r="I164" s="68">
        <f t="shared" si="9"/>
        <v>11500</v>
      </c>
      <c r="J164" s="69" t="s">
        <v>644</v>
      </c>
      <c r="K164" s="59"/>
      <c r="L164" s="60"/>
      <c r="M164" s="60"/>
      <c r="N164" s="60"/>
      <c r="O164" s="60"/>
      <c r="P164" s="60"/>
    </row>
    <row r="165" spans="1:16" ht="27" x14ac:dyDescent="0.25">
      <c r="A165" s="52">
        <v>156</v>
      </c>
      <c r="B165" s="53" t="s">
        <v>248</v>
      </c>
      <c r="C165" s="60" t="s">
        <v>17</v>
      </c>
      <c r="D165" s="61" t="s">
        <v>18</v>
      </c>
      <c r="E165" s="62" t="s">
        <v>249</v>
      </c>
      <c r="F165" s="54" t="s">
        <v>20</v>
      </c>
      <c r="G165" s="78">
        <v>50</v>
      </c>
      <c r="H165" s="85">
        <v>1410</v>
      </c>
      <c r="I165" s="68">
        <f t="shared" si="9"/>
        <v>70500</v>
      </c>
      <c r="J165" s="69" t="s">
        <v>646</v>
      </c>
      <c r="K165" s="59"/>
      <c r="L165" s="60"/>
      <c r="M165" s="60"/>
      <c r="N165" s="60"/>
      <c r="O165" s="60"/>
      <c r="P165" s="60"/>
    </row>
    <row r="166" spans="1:16" x14ac:dyDescent="0.25">
      <c r="A166" s="52">
        <v>157</v>
      </c>
      <c r="B166" s="53" t="s">
        <v>250</v>
      </c>
      <c r="C166" s="60" t="s">
        <v>17</v>
      </c>
      <c r="D166" s="61" t="s">
        <v>18</v>
      </c>
      <c r="E166" s="62" t="s">
        <v>251</v>
      </c>
      <c r="F166" s="54" t="s">
        <v>20</v>
      </c>
      <c r="G166" s="78">
        <v>10</v>
      </c>
      <c r="H166" s="85">
        <v>2490</v>
      </c>
      <c r="I166" s="68">
        <f t="shared" si="9"/>
        <v>24900</v>
      </c>
      <c r="J166" s="69" t="s">
        <v>648</v>
      </c>
      <c r="K166" s="59"/>
      <c r="L166" s="60"/>
      <c r="M166" s="60"/>
      <c r="N166" s="60"/>
      <c r="O166" s="60"/>
      <c r="P166" s="60"/>
    </row>
    <row r="167" spans="1:16" ht="27" x14ac:dyDescent="0.25">
      <c r="A167" s="52">
        <v>158</v>
      </c>
      <c r="B167" s="53" t="s">
        <v>252</v>
      </c>
      <c r="C167" s="60" t="s">
        <v>17</v>
      </c>
      <c r="D167" s="61" t="s">
        <v>18</v>
      </c>
      <c r="E167" s="62" t="s">
        <v>253</v>
      </c>
      <c r="F167" s="54" t="s">
        <v>20</v>
      </c>
      <c r="G167" s="78">
        <v>15</v>
      </c>
      <c r="H167" s="85">
        <v>7700</v>
      </c>
      <c r="I167" s="68">
        <f t="shared" si="9"/>
        <v>115500</v>
      </c>
      <c r="J167" s="69" t="s">
        <v>650</v>
      </c>
      <c r="K167" s="59"/>
      <c r="L167" s="60"/>
      <c r="M167" s="60"/>
      <c r="N167" s="60"/>
      <c r="O167" s="60"/>
      <c r="P167" s="60"/>
    </row>
    <row r="168" spans="1:16" ht="27" x14ac:dyDescent="0.25">
      <c r="A168" s="52">
        <v>159</v>
      </c>
      <c r="B168" s="53" t="s">
        <v>254</v>
      </c>
      <c r="C168" s="60" t="s">
        <v>17</v>
      </c>
      <c r="D168" s="61" t="s">
        <v>18</v>
      </c>
      <c r="E168" s="62" t="s">
        <v>255</v>
      </c>
      <c r="F168" s="54" t="s">
        <v>20</v>
      </c>
      <c r="G168" s="78">
        <v>15</v>
      </c>
      <c r="H168" s="85">
        <v>7700</v>
      </c>
      <c r="I168" s="68">
        <f t="shared" si="9"/>
        <v>115500</v>
      </c>
      <c r="J168" s="69" t="s">
        <v>652</v>
      </c>
      <c r="K168" s="59"/>
      <c r="L168" s="60"/>
      <c r="M168" s="60"/>
      <c r="N168" s="60"/>
      <c r="O168" s="60"/>
      <c r="P168" s="60"/>
    </row>
    <row r="169" spans="1:16" ht="27" x14ac:dyDescent="0.25">
      <c r="A169" s="52">
        <v>160</v>
      </c>
      <c r="B169" s="53" t="s">
        <v>190</v>
      </c>
      <c r="C169" s="60" t="s">
        <v>17</v>
      </c>
      <c r="D169" s="61" t="s">
        <v>18</v>
      </c>
      <c r="E169" s="62" t="s">
        <v>191</v>
      </c>
      <c r="F169" s="54" t="s">
        <v>20</v>
      </c>
      <c r="G169" s="78">
        <v>10</v>
      </c>
      <c r="H169" s="85">
        <v>950</v>
      </c>
      <c r="I169" s="68">
        <f t="shared" si="9"/>
        <v>9500</v>
      </c>
      <c r="J169" s="69" t="s">
        <v>805</v>
      </c>
      <c r="K169" s="59"/>
      <c r="L169" s="60"/>
      <c r="M169" s="60"/>
      <c r="N169" s="60"/>
      <c r="O169" s="60"/>
      <c r="P169" s="60"/>
    </row>
    <row r="170" spans="1:16" ht="27" x14ac:dyDescent="0.25">
      <c r="A170" s="52">
        <v>161</v>
      </c>
      <c r="B170" s="53" t="s">
        <v>210</v>
      </c>
      <c r="C170" s="60" t="s">
        <v>17</v>
      </c>
      <c r="D170" s="61" t="s">
        <v>18</v>
      </c>
      <c r="E170" s="62" t="s">
        <v>211</v>
      </c>
      <c r="F170" s="54" t="s">
        <v>20</v>
      </c>
      <c r="G170" s="78">
        <v>30</v>
      </c>
      <c r="H170" s="85">
        <v>1400</v>
      </c>
      <c r="I170" s="68">
        <f t="shared" si="9"/>
        <v>42000</v>
      </c>
      <c r="J170" s="69" t="s">
        <v>655</v>
      </c>
      <c r="K170" s="59"/>
      <c r="L170" s="60"/>
      <c r="M170" s="60"/>
      <c r="N170" s="60"/>
      <c r="O170" s="60"/>
      <c r="P170" s="60"/>
    </row>
    <row r="171" spans="1:16" ht="27" x14ac:dyDescent="0.25">
      <c r="A171" s="52">
        <v>162</v>
      </c>
      <c r="B171" s="53" t="s">
        <v>210</v>
      </c>
      <c r="C171" s="60" t="s">
        <v>17</v>
      </c>
      <c r="D171" s="61" t="s">
        <v>18</v>
      </c>
      <c r="E171" s="62" t="s">
        <v>211</v>
      </c>
      <c r="F171" s="54" t="s">
        <v>20</v>
      </c>
      <c r="G171" s="78">
        <v>20</v>
      </c>
      <c r="H171" s="85">
        <v>1400</v>
      </c>
      <c r="I171" s="68">
        <f t="shared" si="9"/>
        <v>28000</v>
      </c>
      <c r="J171" s="69" t="s">
        <v>657</v>
      </c>
      <c r="K171" s="59"/>
      <c r="L171" s="60"/>
      <c r="M171" s="60"/>
      <c r="N171" s="60"/>
      <c r="O171" s="60"/>
      <c r="P171" s="60"/>
    </row>
    <row r="172" spans="1:16" ht="27" x14ac:dyDescent="0.25">
      <c r="A172" s="52">
        <v>163</v>
      </c>
      <c r="B172" s="53" t="s">
        <v>210</v>
      </c>
      <c r="C172" s="60" t="s">
        <v>17</v>
      </c>
      <c r="D172" s="61" t="s">
        <v>18</v>
      </c>
      <c r="E172" s="62" t="s">
        <v>211</v>
      </c>
      <c r="F172" s="54" t="s">
        <v>20</v>
      </c>
      <c r="G172" s="78">
        <v>5</v>
      </c>
      <c r="H172" s="85">
        <v>60000</v>
      </c>
      <c r="I172" s="68">
        <f t="shared" si="9"/>
        <v>300000</v>
      </c>
      <c r="J172" s="69" t="s">
        <v>659</v>
      </c>
      <c r="K172" s="59"/>
      <c r="L172" s="60"/>
      <c r="M172" s="60"/>
      <c r="N172" s="60"/>
      <c r="O172" s="60"/>
      <c r="P172" s="60"/>
    </row>
    <row r="173" spans="1:16" ht="27" x14ac:dyDescent="0.25">
      <c r="A173" s="52">
        <v>164</v>
      </c>
      <c r="B173" s="53" t="s">
        <v>256</v>
      </c>
      <c r="C173" s="60" t="s">
        <v>17</v>
      </c>
      <c r="D173" s="61" t="s">
        <v>18</v>
      </c>
      <c r="E173" s="62" t="s">
        <v>257</v>
      </c>
      <c r="F173" s="54" t="s">
        <v>20</v>
      </c>
      <c r="G173" s="78">
        <v>20</v>
      </c>
      <c r="H173" s="85">
        <v>1680</v>
      </c>
      <c r="I173" s="68">
        <f t="shared" si="9"/>
        <v>33600</v>
      </c>
      <c r="J173" s="69" t="s">
        <v>661</v>
      </c>
      <c r="K173" s="59"/>
      <c r="L173" s="60"/>
      <c r="M173" s="60"/>
      <c r="N173" s="60"/>
      <c r="O173" s="60"/>
      <c r="P173" s="60"/>
    </row>
    <row r="174" spans="1:16" ht="27" x14ac:dyDescent="0.25">
      <c r="A174" s="52">
        <v>165</v>
      </c>
      <c r="B174" s="53" t="s">
        <v>258</v>
      </c>
      <c r="C174" s="60" t="s">
        <v>17</v>
      </c>
      <c r="D174" s="61" t="s">
        <v>18</v>
      </c>
      <c r="E174" s="62" t="s">
        <v>259</v>
      </c>
      <c r="F174" s="54" t="s">
        <v>20</v>
      </c>
      <c r="G174" s="78">
        <v>20</v>
      </c>
      <c r="H174" s="85">
        <v>2200</v>
      </c>
      <c r="I174" s="68">
        <f t="shared" si="9"/>
        <v>44000</v>
      </c>
      <c r="J174" s="69" t="s">
        <v>663</v>
      </c>
      <c r="K174" s="59"/>
      <c r="L174" s="60"/>
      <c r="M174" s="60"/>
      <c r="N174" s="60"/>
      <c r="O174" s="60"/>
      <c r="P174" s="60"/>
    </row>
    <row r="175" spans="1:16" ht="27" x14ac:dyDescent="0.25">
      <c r="A175" s="52">
        <v>166</v>
      </c>
      <c r="B175" s="53" t="s">
        <v>260</v>
      </c>
      <c r="C175" s="60" t="s">
        <v>17</v>
      </c>
      <c r="D175" s="61" t="s">
        <v>18</v>
      </c>
      <c r="E175" s="62" t="s">
        <v>261</v>
      </c>
      <c r="F175" s="54" t="s">
        <v>20</v>
      </c>
      <c r="G175" s="78">
        <v>20</v>
      </c>
      <c r="H175" s="85">
        <v>910</v>
      </c>
      <c r="I175" s="68">
        <f t="shared" si="9"/>
        <v>18200</v>
      </c>
      <c r="J175" s="69" t="s">
        <v>665</v>
      </c>
      <c r="K175" s="59"/>
      <c r="L175" s="60"/>
      <c r="M175" s="60"/>
      <c r="N175" s="60"/>
      <c r="O175" s="60"/>
      <c r="P175" s="60"/>
    </row>
    <row r="176" spans="1:16" ht="27" x14ac:dyDescent="0.25">
      <c r="A176" s="52">
        <v>167</v>
      </c>
      <c r="B176" s="53" t="s">
        <v>262</v>
      </c>
      <c r="C176" s="60" t="s">
        <v>17</v>
      </c>
      <c r="D176" s="61" t="s">
        <v>18</v>
      </c>
      <c r="E176" s="62" t="s">
        <v>263</v>
      </c>
      <c r="F176" s="54" t="s">
        <v>20</v>
      </c>
      <c r="G176" s="78">
        <v>20</v>
      </c>
      <c r="H176" s="85">
        <v>1330</v>
      </c>
      <c r="I176" s="68">
        <f t="shared" si="9"/>
        <v>26600</v>
      </c>
      <c r="J176" s="69" t="s">
        <v>667</v>
      </c>
      <c r="K176" s="59"/>
      <c r="L176" s="60"/>
      <c r="M176" s="60"/>
      <c r="N176" s="60"/>
      <c r="O176" s="60"/>
      <c r="P176" s="60"/>
    </row>
    <row r="177" spans="1:16" ht="27" x14ac:dyDescent="0.25">
      <c r="A177" s="52">
        <v>168</v>
      </c>
      <c r="B177" s="53" t="s">
        <v>264</v>
      </c>
      <c r="C177" s="60" t="s">
        <v>17</v>
      </c>
      <c r="D177" s="61" t="s">
        <v>18</v>
      </c>
      <c r="E177" s="62" t="s">
        <v>265</v>
      </c>
      <c r="F177" s="54" t="s">
        <v>20</v>
      </c>
      <c r="G177" s="78">
        <v>5</v>
      </c>
      <c r="H177" s="85">
        <v>20000</v>
      </c>
      <c r="I177" s="68">
        <f t="shared" si="9"/>
        <v>100000</v>
      </c>
      <c r="J177" s="69" t="s">
        <v>669</v>
      </c>
      <c r="K177" s="59"/>
      <c r="L177" s="60"/>
      <c r="M177" s="60"/>
      <c r="N177" s="60"/>
      <c r="O177" s="60"/>
      <c r="P177" s="60"/>
    </row>
    <row r="178" spans="1:16" ht="27" x14ac:dyDescent="0.25">
      <c r="A178" s="52">
        <v>169</v>
      </c>
      <c r="B178" s="53" t="s">
        <v>266</v>
      </c>
      <c r="C178" s="60" t="s">
        <v>17</v>
      </c>
      <c r="D178" s="61" t="s">
        <v>18</v>
      </c>
      <c r="E178" s="62" t="s">
        <v>267</v>
      </c>
      <c r="F178" s="54" t="s">
        <v>20</v>
      </c>
      <c r="G178" s="78">
        <v>5</v>
      </c>
      <c r="H178" s="85">
        <v>11590</v>
      </c>
      <c r="I178" s="68">
        <f t="shared" ref="I178:I218" si="10">G178*H178</f>
        <v>57950</v>
      </c>
      <c r="J178" s="69" t="s">
        <v>671</v>
      </c>
      <c r="K178" s="59"/>
      <c r="L178" s="60"/>
      <c r="M178" s="60"/>
      <c r="N178" s="60"/>
      <c r="O178" s="60"/>
      <c r="P178" s="60"/>
    </row>
    <row r="179" spans="1:16" x14ac:dyDescent="0.25">
      <c r="A179" s="52">
        <v>170</v>
      </c>
      <c r="B179" s="53" t="s">
        <v>268</v>
      </c>
      <c r="C179" s="60" t="s">
        <v>17</v>
      </c>
      <c r="D179" s="61" t="s">
        <v>18</v>
      </c>
      <c r="E179" s="62" t="s">
        <v>269</v>
      </c>
      <c r="F179" s="54" t="s">
        <v>20</v>
      </c>
      <c r="G179" s="78">
        <v>30</v>
      </c>
      <c r="H179" s="85">
        <v>930</v>
      </c>
      <c r="I179" s="68">
        <f t="shared" si="10"/>
        <v>27900</v>
      </c>
      <c r="J179" s="69" t="s">
        <v>673</v>
      </c>
      <c r="K179" s="59"/>
      <c r="L179" s="60"/>
      <c r="M179" s="60"/>
      <c r="N179" s="60"/>
      <c r="O179" s="60"/>
      <c r="P179" s="60"/>
    </row>
    <row r="180" spans="1:16" x14ac:dyDescent="0.25">
      <c r="A180" s="52">
        <v>171</v>
      </c>
      <c r="B180" s="53" t="s">
        <v>270</v>
      </c>
      <c r="C180" s="60" t="s">
        <v>17</v>
      </c>
      <c r="D180" s="61" t="s">
        <v>18</v>
      </c>
      <c r="E180" s="62" t="s">
        <v>271</v>
      </c>
      <c r="F180" s="54" t="s">
        <v>20</v>
      </c>
      <c r="G180" s="78">
        <v>30</v>
      </c>
      <c r="H180" s="85">
        <v>930</v>
      </c>
      <c r="I180" s="68">
        <f t="shared" si="10"/>
        <v>27900</v>
      </c>
      <c r="J180" s="69" t="s">
        <v>675</v>
      </c>
      <c r="K180" s="59"/>
      <c r="L180" s="60"/>
      <c r="M180" s="60"/>
      <c r="N180" s="60"/>
      <c r="O180" s="60"/>
      <c r="P180" s="60"/>
    </row>
    <row r="181" spans="1:16" ht="27" x14ac:dyDescent="0.25">
      <c r="A181" s="52">
        <v>172</v>
      </c>
      <c r="B181" s="53" t="s">
        <v>272</v>
      </c>
      <c r="C181" s="60" t="s">
        <v>17</v>
      </c>
      <c r="D181" s="61" t="s">
        <v>18</v>
      </c>
      <c r="E181" s="62" t="s">
        <v>273</v>
      </c>
      <c r="F181" s="54" t="s">
        <v>20</v>
      </c>
      <c r="G181" s="78">
        <v>5</v>
      </c>
      <c r="H181" s="85">
        <v>930</v>
      </c>
      <c r="I181" s="68">
        <f t="shared" si="10"/>
        <v>4650</v>
      </c>
      <c r="J181" s="69" t="s">
        <v>677</v>
      </c>
      <c r="K181" s="59"/>
      <c r="L181" s="60"/>
      <c r="M181" s="60"/>
      <c r="N181" s="60"/>
      <c r="O181" s="60"/>
      <c r="P181" s="60"/>
    </row>
    <row r="182" spans="1:16" ht="27" x14ac:dyDescent="0.25">
      <c r="A182" s="52">
        <v>173</v>
      </c>
      <c r="B182" s="53" t="s">
        <v>274</v>
      </c>
      <c r="C182" s="60" t="s">
        <v>17</v>
      </c>
      <c r="D182" s="61" t="s">
        <v>18</v>
      </c>
      <c r="E182" s="62" t="s">
        <v>275</v>
      </c>
      <c r="F182" s="54" t="s">
        <v>20</v>
      </c>
      <c r="G182" s="78">
        <v>30</v>
      </c>
      <c r="H182" s="85">
        <v>1880</v>
      </c>
      <c r="I182" s="68">
        <f t="shared" si="10"/>
        <v>56400</v>
      </c>
      <c r="J182" s="58" t="s">
        <v>679</v>
      </c>
      <c r="K182" s="58"/>
      <c r="L182" s="58"/>
      <c r="M182" s="58"/>
      <c r="N182" s="58"/>
      <c r="O182" s="58"/>
      <c r="P182" s="58"/>
    </row>
    <row r="183" spans="1:16" ht="27" x14ac:dyDescent="0.25">
      <c r="A183" s="52">
        <v>174</v>
      </c>
      <c r="B183" s="53" t="s">
        <v>276</v>
      </c>
      <c r="C183" s="60" t="s">
        <v>17</v>
      </c>
      <c r="D183" s="61" t="s">
        <v>18</v>
      </c>
      <c r="E183" s="62" t="s">
        <v>277</v>
      </c>
      <c r="F183" s="54" t="s">
        <v>20</v>
      </c>
      <c r="G183" s="78">
        <v>25</v>
      </c>
      <c r="H183" s="85">
        <v>1270</v>
      </c>
      <c r="I183" s="68">
        <f t="shared" si="10"/>
        <v>31750</v>
      </c>
      <c r="J183" s="58" t="s">
        <v>681</v>
      </c>
      <c r="K183" s="58"/>
      <c r="L183" s="58"/>
      <c r="M183" s="58"/>
      <c r="N183" s="58"/>
      <c r="O183" s="58"/>
      <c r="P183" s="58"/>
    </row>
    <row r="184" spans="1:16" ht="27" x14ac:dyDescent="0.25">
      <c r="A184" s="52">
        <v>175</v>
      </c>
      <c r="B184" s="53" t="s">
        <v>278</v>
      </c>
      <c r="C184" s="60" t="s">
        <v>17</v>
      </c>
      <c r="D184" s="61" t="s">
        <v>18</v>
      </c>
      <c r="E184" s="62" t="s">
        <v>279</v>
      </c>
      <c r="F184" s="54" t="s">
        <v>20</v>
      </c>
      <c r="G184" s="78">
        <v>25</v>
      </c>
      <c r="H184" s="85">
        <v>1270</v>
      </c>
      <c r="I184" s="68">
        <f t="shared" si="10"/>
        <v>31750</v>
      </c>
      <c r="J184" s="58" t="s">
        <v>683</v>
      </c>
      <c r="K184" s="58"/>
      <c r="L184" s="58"/>
      <c r="M184" s="58"/>
      <c r="N184" s="58"/>
      <c r="O184" s="58"/>
      <c r="P184" s="58"/>
    </row>
    <row r="185" spans="1:16" ht="27" x14ac:dyDescent="0.25">
      <c r="A185" s="52">
        <v>176</v>
      </c>
      <c r="B185" s="53" t="s">
        <v>280</v>
      </c>
      <c r="C185" s="60" t="s">
        <v>17</v>
      </c>
      <c r="D185" s="61" t="s">
        <v>18</v>
      </c>
      <c r="E185" s="62" t="s">
        <v>281</v>
      </c>
      <c r="F185" s="54" t="s">
        <v>20</v>
      </c>
      <c r="G185" s="78">
        <v>30</v>
      </c>
      <c r="H185" s="85">
        <v>150</v>
      </c>
      <c r="I185" s="68">
        <f t="shared" si="10"/>
        <v>4500</v>
      </c>
      <c r="J185" s="69" t="s">
        <v>685</v>
      </c>
      <c r="K185" s="59"/>
      <c r="L185" s="60"/>
      <c r="M185" s="60"/>
      <c r="N185" s="60"/>
      <c r="O185" s="60"/>
      <c r="P185" s="60"/>
    </row>
    <row r="186" spans="1:16" ht="27" x14ac:dyDescent="0.25">
      <c r="A186" s="52">
        <v>177</v>
      </c>
      <c r="B186" s="53" t="s">
        <v>282</v>
      </c>
      <c r="C186" s="60" t="s">
        <v>17</v>
      </c>
      <c r="D186" s="61" t="s">
        <v>18</v>
      </c>
      <c r="E186" s="62" t="s">
        <v>283</v>
      </c>
      <c r="F186" s="54" t="s">
        <v>20</v>
      </c>
      <c r="G186" s="78">
        <v>40</v>
      </c>
      <c r="H186" s="85">
        <v>150</v>
      </c>
      <c r="I186" s="68">
        <f t="shared" si="10"/>
        <v>6000</v>
      </c>
      <c r="J186" s="69" t="s">
        <v>687</v>
      </c>
      <c r="K186" s="59"/>
      <c r="L186" s="60"/>
      <c r="M186" s="60"/>
      <c r="N186" s="60"/>
      <c r="O186" s="60"/>
      <c r="P186" s="60"/>
    </row>
    <row r="187" spans="1:16" ht="27" x14ac:dyDescent="0.25">
      <c r="A187" s="52">
        <v>178</v>
      </c>
      <c r="B187" s="53" t="s">
        <v>284</v>
      </c>
      <c r="C187" s="60" t="s">
        <v>17</v>
      </c>
      <c r="D187" s="61" t="s">
        <v>18</v>
      </c>
      <c r="E187" s="62" t="s">
        <v>285</v>
      </c>
      <c r="F187" s="54" t="s">
        <v>20</v>
      </c>
      <c r="G187" s="78">
        <v>40</v>
      </c>
      <c r="H187" s="85">
        <v>150</v>
      </c>
      <c r="I187" s="68">
        <f t="shared" si="10"/>
        <v>6000</v>
      </c>
      <c r="J187" s="69" t="s">
        <v>689</v>
      </c>
      <c r="K187" s="59"/>
      <c r="L187" s="60"/>
      <c r="M187" s="60"/>
      <c r="N187" s="60"/>
      <c r="O187" s="60"/>
      <c r="P187" s="60"/>
    </row>
    <row r="188" spans="1:16" ht="27" x14ac:dyDescent="0.25">
      <c r="A188" s="52">
        <v>179</v>
      </c>
      <c r="B188" s="53" t="s">
        <v>286</v>
      </c>
      <c r="C188" s="60" t="s">
        <v>17</v>
      </c>
      <c r="D188" s="61" t="s">
        <v>18</v>
      </c>
      <c r="E188" s="62" t="s">
        <v>287</v>
      </c>
      <c r="F188" s="54" t="s">
        <v>20</v>
      </c>
      <c r="G188" s="78">
        <v>5</v>
      </c>
      <c r="H188" s="85">
        <v>1250</v>
      </c>
      <c r="I188" s="68">
        <f t="shared" si="10"/>
        <v>6250</v>
      </c>
      <c r="J188" s="58" t="s">
        <v>691</v>
      </c>
      <c r="K188" s="58"/>
      <c r="L188" s="58"/>
      <c r="M188" s="58"/>
      <c r="N188" s="58"/>
      <c r="O188" s="58"/>
      <c r="P188" s="58"/>
    </row>
    <row r="189" spans="1:16" ht="27" x14ac:dyDescent="0.25">
      <c r="A189" s="52">
        <v>180</v>
      </c>
      <c r="B189" s="53" t="s">
        <v>288</v>
      </c>
      <c r="C189" s="60" t="s">
        <v>17</v>
      </c>
      <c r="D189" s="61" t="s">
        <v>18</v>
      </c>
      <c r="E189" s="62" t="s">
        <v>289</v>
      </c>
      <c r="F189" s="54" t="s">
        <v>20</v>
      </c>
      <c r="G189" s="78">
        <v>5</v>
      </c>
      <c r="H189" s="85">
        <v>1260</v>
      </c>
      <c r="I189" s="68">
        <f t="shared" si="10"/>
        <v>6300</v>
      </c>
      <c r="J189" s="58" t="s">
        <v>693</v>
      </c>
      <c r="K189" s="58"/>
      <c r="L189" s="58"/>
      <c r="M189" s="58"/>
      <c r="N189" s="58"/>
      <c r="O189" s="58"/>
      <c r="P189" s="58"/>
    </row>
    <row r="190" spans="1:16" ht="27" x14ac:dyDescent="0.25">
      <c r="A190" s="52">
        <v>181</v>
      </c>
      <c r="B190" s="53" t="s">
        <v>290</v>
      </c>
      <c r="C190" s="60" t="s">
        <v>17</v>
      </c>
      <c r="D190" s="61" t="s">
        <v>18</v>
      </c>
      <c r="E190" s="62" t="s">
        <v>291</v>
      </c>
      <c r="F190" s="54" t="s">
        <v>20</v>
      </c>
      <c r="G190" s="78">
        <v>5</v>
      </c>
      <c r="H190" s="85">
        <v>1110</v>
      </c>
      <c r="I190" s="68">
        <f t="shared" si="10"/>
        <v>5550</v>
      </c>
      <c r="J190" s="69" t="s">
        <v>695</v>
      </c>
      <c r="K190" s="59"/>
      <c r="L190" s="60"/>
      <c r="M190" s="60"/>
      <c r="N190" s="60"/>
      <c r="O190" s="60"/>
      <c r="P190" s="60"/>
    </row>
    <row r="191" spans="1:16" ht="27" x14ac:dyDescent="0.25">
      <c r="A191" s="52">
        <v>182</v>
      </c>
      <c r="B191" s="53" t="s">
        <v>292</v>
      </c>
      <c r="C191" s="60" t="s">
        <v>17</v>
      </c>
      <c r="D191" s="61" t="s">
        <v>18</v>
      </c>
      <c r="E191" s="62" t="s">
        <v>293</v>
      </c>
      <c r="F191" s="54" t="s">
        <v>20</v>
      </c>
      <c r="G191" s="78">
        <v>5</v>
      </c>
      <c r="H191" s="85">
        <v>1190</v>
      </c>
      <c r="I191" s="68">
        <f t="shared" si="10"/>
        <v>5950</v>
      </c>
      <c r="J191" s="69" t="s">
        <v>697</v>
      </c>
      <c r="K191" s="59"/>
      <c r="L191" s="60"/>
      <c r="M191" s="60"/>
      <c r="N191" s="60"/>
      <c r="O191" s="60"/>
      <c r="P191" s="60"/>
    </row>
    <row r="192" spans="1:16" ht="27" x14ac:dyDescent="0.25">
      <c r="A192" s="52">
        <v>183</v>
      </c>
      <c r="B192" s="53" t="s">
        <v>294</v>
      </c>
      <c r="C192" s="60" t="s">
        <v>17</v>
      </c>
      <c r="D192" s="61" t="s">
        <v>18</v>
      </c>
      <c r="E192" s="62" t="s">
        <v>295</v>
      </c>
      <c r="F192" s="54" t="s">
        <v>20</v>
      </c>
      <c r="G192" s="78">
        <v>10</v>
      </c>
      <c r="H192" s="85">
        <v>12400</v>
      </c>
      <c r="I192" s="68">
        <f t="shared" si="10"/>
        <v>124000</v>
      </c>
      <c r="J192" s="69" t="s">
        <v>699</v>
      </c>
      <c r="K192" s="59"/>
      <c r="L192" s="60"/>
      <c r="M192" s="60"/>
      <c r="N192" s="60"/>
      <c r="O192" s="60"/>
      <c r="P192" s="60"/>
    </row>
    <row r="193" spans="1:16" ht="27" x14ac:dyDescent="0.25">
      <c r="A193" s="52">
        <v>184</v>
      </c>
      <c r="B193" s="53" t="s">
        <v>296</v>
      </c>
      <c r="C193" s="60" t="s">
        <v>17</v>
      </c>
      <c r="D193" s="61" t="s">
        <v>18</v>
      </c>
      <c r="E193" s="62" t="s">
        <v>297</v>
      </c>
      <c r="F193" s="54" t="s">
        <v>20</v>
      </c>
      <c r="G193" s="78">
        <v>20</v>
      </c>
      <c r="H193" s="85">
        <v>1880</v>
      </c>
      <c r="I193" s="68">
        <f t="shared" si="10"/>
        <v>37600</v>
      </c>
      <c r="J193" s="69" t="s">
        <v>701</v>
      </c>
      <c r="K193" s="59"/>
      <c r="L193" s="60"/>
      <c r="M193" s="60"/>
      <c r="N193" s="60"/>
      <c r="O193" s="60"/>
      <c r="P193" s="60"/>
    </row>
    <row r="194" spans="1:16" ht="27" x14ac:dyDescent="0.25">
      <c r="A194" s="52">
        <v>185</v>
      </c>
      <c r="B194" s="53" t="s">
        <v>298</v>
      </c>
      <c r="C194" s="60" t="s">
        <v>17</v>
      </c>
      <c r="D194" s="61" t="s">
        <v>18</v>
      </c>
      <c r="E194" s="62" t="s">
        <v>299</v>
      </c>
      <c r="F194" s="54" t="s">
        <v>20</v>
      </c>
      <c r="G194" s="78">
        <v>20</v>
      </c>
      <c r="H194" s="85">
        <v>3740</v>
      </c>
      <c r="I194" s="68">
        <f t="shared" si="10"/>
        <v>74800</v>
      </c>
      <c r="J194" s="69" t="s">
        <v>703</v>
      </c>
      <c r="K194" s="59"/>
      <c r="L194" s="60"/>
      <c r="M194" s="60"/>
      <c r="N194" s="60"/>
      <c r="O194" s="60"/>
      <c r="P194" s="60"/>
    </row>
    <row r="195" spans="1:16" ht="27" x14ac:dyDescent="0.25">
      <c r="A195" s="52">
        <v>186</v>
      </c>
      <c r="B195" s="53" t="s">
        <v>300</v>
      </c>
      <c r="C195" s="60" t="s">
        <v>17</v>
      </c>
      <c r="D195" s="61" t="s">
        <v>18</v>
      </c>
      <c r="E195" s="62" t="s">
        <v>301</v>
      </c>
      <c r="F195" s="54" t="s">
        <v>20</v>
      </c>
      <c r="G195" s="78">
        <v>50</v>
      </c>
      <c r="H195" s="85">
        <v>5680</v>
      </c>
      <c r="I195" s="68">
        <f t="shared" si="10"/>
        <v>284000</v>
      </c>
      <c r="J195" s="69" t="s">
        <v>705</v>
      </c>
      <c r="K195" s="59"/>
      <c r="L195" s="60"/>
      <c r="M195" s="60"/>
      <c r="N195" s="60"/>
      <c r="O195" s="60"/>
      <c r="P195" s="60"/>
    </row>
    <row r="196" spans="1:16" ht="27" x14ac:dyDescent="0.25">
      <c r="A196" s="52">
        <v>187</v>
      </c>
      <c r="B196" s="53" t="s">
        <v>302</v>
      </c>
      <c r="C196" s="60" t="s">
        <v>17</v>
      </c>
      <c r="D196" s="61" t="s">
        <v>18</v>
      </c>
      <c r="E196" s="62" t="s">
        <v>303</v>
      </c>
      <c r="F196" s="54" t="s">
        <v>20</v>
      </c>
      <c r="G196" s="78">
        <v>50</v>
      </c>
      <c r="H196" s="85">
        <v>2780</v>
      </c>
      <c r="I196" s="68">
        <f t="shared" si="10"/>
        <v>139000</v>
      </c>
      <c r="J196" s="69" t="s">
        <v>707</v>
      </c>
      <c r="K196" s="59"/>
      <c r="L196" s="60"/>
      <c r="M196" s="60"/>
      <c r="N196" s="60"/>
      <c r="O196" s="60"/>
      <c r="P196" s="60"/>
    </row>
    <row r="197" spans="1:16" ht="27" x14ac:dyDescent="0.25">
      <c r="A197" s="52">
        <v>188</v>
      </c>
      <c r="B197" s="53" t="s">
        <v>304</v>
      </c>
      <c r="C197" s="60" t="s">
        <v>17</v>
      </c>
      <c r="D197" s="61" t="s">
        <v>18</v>
      </c>
      <c r="E197" s="62" t="s">
        <v>305</v>
      </c>
      <c r="F197" s="54" t="s">
        <v>20</v>
      </c>
      <c r="G197" s="78">
        <v>50</v>
      </c>
      <c r="H197" s="85">
        <v>2710</v>
      </c>
      <c r="I197" s="68">
        <f t="shared" si="10"/>
        <v>135500</v>
      </c>
      <c r="J197" s="69" t="s">
        <v>709</v>
      </c>
      <c r="K197" s="59"/>
      <c r="L197" s="60"/>
      <c r="M197" s="60"/>
      <c r="N197" s="60"/>
      <c r="O197" s="60"/>
      <c r="P197" s="60"/>
    </row>
    <row r="198" spans="1:16" ht="27" x14ac:dyDescent="0.25">
      <c r="A198" s="52">
        <v>189</v>
      </c>
      <c r="B198" s="53" t="s">
        <v>306</v>
      </c>
      <c r="C198" s="60" t="s">
        <v>17</v>
      </c>
      <c r="D198" s="61" t="s">
        <v>18</v>
      </c>
      <c r="E198" s="62" t="s">
        <v>307</v>
      </c>
      <c r="F198" s="54" t="s">
        <v>20</v>
      </c>
      <c r="G198" s="78">
        <v>30</v>
      </c>
      <c r="H198" s="85">
        <v>11740</v>
      </c>
      <c r="I198" s="68">
        <f t="shared" si="10"/>
        <v>352200</v>
      </c>
      <c r="J198" s="69" t="s">
        <v>711</v>
      </c>
      <c r="K198" s="59"/>
      <c r="L198" s="60"/>
      <c r="M198" s="60"/>
      <c r="N198" s="60"/>
      <c r="O198" s="60"/>
      <c r="P198" s="60"/>
    </row>
    <row r="199" spans="1:16" ht="27" x14ac:dyDescent="0.25">
      <c r="A199" s="52">
        <v>190</v>
      </c>
      <c r="B199" s="53" t="s">
        <v>308</v>
      </c>
      <c r="C199" s="60" t="s">
        <v>17</v>
      </c>
      <c r="D199" s="61" t="s">
        <v>18</v>
      </c>
      <c r="E199" s="62" t="s">
        <v>309</v>
      </c>
      <c r="F199" s="54" t="s">
        <v>20</v>
      </c>
      <c r="G199" s="78">
        <v>30</v>
      </c>
      <c r="H199" s="85">
        <v>360</v>
      </c>
      <c r="I199" s="68">
        <f t="shared" si="10"/>
        <v>10800</v>
      </c>
      <c r="J199" s="69" t="s">
        <v>810</v>
      </c>
      <c r="K199" s="59"/>
      <c r="L199" s="60"/>
      <c r="M199" s="60"/>
      <c r="N199" s="60"/>
      <c r="O199" s="60"/>
      <c r="P199" s="60"/>
    </row>
    <row r="200" spans="1:16" ht="27" x14ac:dyDescent="0.25">
      <c r="A200" s="52">
        <v>191</v>
      </c>
      <c r="B200" s="53" t="s">
        <v>310</v>
      </c>
      <c r="C200" s="60" t="s">
        <v>17</v>
      </c>
      <c r="D200" s="61" t="s">
        <v>18</v>
      </c>
      <c r="E200" s="62" t="s">
        <v>311</v>
      </c>
      <c r="F200" s="54" t="s">
        <v>20</v>
      </c>
      <c r="G200" s="78">
        <v>50</v>
      </c>
      <c r="H200" s="85">
        <v>10</v>
      </c>
      <c r="I200" s="68">
        <f t="shared" si="10"/>
        <v>500</v>
      </c>
      <c r="J200" s="69" t="s">
        <v>811</v>
      </c>
      <c r="K200" s="59"/>
      <c r="L200" s="60"/>
      <c r="M200" s="60"/>
      <c r="N200" s="60"/>
      <c r="O200" s="60"/>
      <c r="P200" s="60"/>
    </row>
    <row r="201" spans="1:16" ht="27" x14ac:dyDescent="0.25">
      <c r="A201" s="52">
        <v>192</v>
      </c>
      <c r="B201" s="53" t="s">
        <v>312</v>
      </c>
      <c r="C201" s="60" t="s">
        <v>17</v>
      </c>
      <c r="D201" s="61" t="s">
        <v>18</v>
      </c>
      <c r="E201" s="62" t="s">
        <v>313</v>
      </c>
      <c r="F201" s="54" t="s">
        <v>20</v>
      </c>
      <c r="G201" s="78">
        <v>100</v>
      </c>
      <c r="H201" s="85">
        <v>90</v>
      </c>
      <c r="I201" s="68">
        <f t="shared" si="10"/>
        <v>9000</v>
      </c>
      <c r="J201" s="69" t="s">
        <v>812</v>
      </c>
      <c r="K201" s="59"/>
      <c r="L201" s="60"/>
      <c r="M201" s="60"/>
      <c r="N201" s="60"/>
      <c r="O201" s="60"/>
      <c r="P201" s="60"/>
    </row>
    <row r="202" spans="1:16" ht="27" x14ac:dyDescent="0.25">
      <c r="A202" s="52">
        <v>193</v>
      </c>
      <c r="B202" s="53" t="s">
        <v>314</v>
      </c>
      <c r="C202" s="60" t="s">
        <v>17</v>
      </c>
      <c r="D202" s="61" t="s">
        <v>18</v>
      </c>
      <c r="E202" s="62" t="s">
        <v>315</v>
      </c>
      <c r="F202" s="54" t="s">
        <v>20</v>
      </c>
      <c r="G202" s="78">
        <v>100</v>
      </c>
      <c r="H202" s="85">
        <v>70</v>
      </c>
      <c r="I202" s="68">
        <f t="shared" si="10"/>
        <v>7000</v>
      </c>
      <c r="J202" s="69" t="s">
        <v>813</v>
      </c>
      <c r="K202" s="59"/>
      <c r="L202" s="60"/>
      <c r="M202" s="60"/>
      <c r="N202" s="60"/>
      <c r="O202" s="60"/>
      <c r="P202" s="60"/>
    </row>
    <row r="203" spans="1:16" ht="27" x14ac:dyDescent="0.25">
      <c r="A203" s="52">
        <v>194</v>
      </c>
      <c r="B203" s="53" t="s">
        <v>316</v>
      </c>
      <c r="C203" s="60" t="s">
        <v>17</v>
      </c>
      <c r="D203" s="61" t="s">
        <v>18</v>
      </c>
      <c r="E203" s="62" t="s">
        <v>317</v>
      </c>
      <c r="F203" s="54" t="s">
        <v>20</v>
      </c>
      <c r="G203" s="78">
        <v>100</v>
      </c>
      <c r="H203" s="85">
        <v>260</v>
      </c>
      <c r="I203" s="68">
        <f t="shared" si="10"/>
        <v>26000</v>
      </c>
      <c r="J203" s="69" t="s">
        <v>814</v>
      </c>
      <c r="K203" s="59"/>
      <c r="L203" s="60"/>
      <c r="M203" s="60"/>
      <c r="N203" s="60"/>
      <c r="O203" s="60"/>
      <c r="P203" s="60"/>
    </row>
    <row r="204" spans="1:16" ht="27" x14ac:dyDescent="0.25">
      <c r="A204" s="52">
        <v>195</v>
      </c>
      <c r="B204" s="53" t="s">
        <v>318</v>
      </c>
      <c r="C204" s="60" t="s">
        <v>17</v>
      </c>
      <c r="D204" s="61" t="s">
        <v>18</v>
      </c>
      <c r="E204" s="62" t="s">
        <v>319</v>
      </c>
      <c r="F204" s="54" t="s">
        <v>20</v>
      </c>
      <c r="G204" s="78">
        <v>50</v>
      </c>
      <c r="H204" s="85">
        <v>260</v>
      </c>
      <c r="I204" s="68">
        <f t="shared" si="10"/>
        <v>13000</v>
      </c>
      <c r="J204" s="69" t="s">
        <v>821</v>
      </c>
      <c r="K204" s="59"/>
      <c r="L204" s="60"/>
      <c r="M204" s="60"/>
      <c r="N204" s="60"/>
      <c r="O204" s="60"/>
      <c r="P204" s="60"/>
    </row>
    <row r="205" spans="1:16" ht="27" x14ac:dyDescent="0.25">
      <c r="A205" s="52">
        <v>196</v>
      </c>
      <c r="B205" s="53" t="s">
        <v>320</v>
      </c>
      <c r="C205" s="60" t="s">
        <v>17</v>
      </c>
      <c r="D205" s="61" t="s">
        <v>18</v>
      </c>
      <c r="E205" s="62" t="s">
        <v>321</v>
      </c>
      <c r="F205" s="54" t="s">
        <v>20</v>
      </c>
      <c r="G205" s="78">
        <v>50</v>
      </c>
      <c r="H205" s="85">
        <v>50</v>
      </c>
      <c r="I205" s="68">
        <f t="shared" si="10"/>
        <v>2500</v>
      </c>
      <c r="J205" s="69" t="s">
        <v>815</v>
      </c>
      <c r="K205" s="59"/>
      <c r="L205" s="60"/>
      <c r="M205" s="60"/>
      <c r="N205" s="60"/>
      <c r="O205" s="60"/>
      <c r="P205" s="60"/>
    </row>
    <row r="206" spans="1:16" ht="27" x14ac:dyDescent="0.25">
      <c r="A206" s="52">
        <v>197</v>
      </c>
      <c r="B206" s="53" t="s">
        <v>322</v>
      </c>
      <c r="C206" s="60" t="s">
        <v>17</v>
      </c>
      <c r="D206" s="61" t="s">
        <v>18</v>
      </c>
      <c r="E206" s="62" t="s">
        <v>323</v>
      </c>
      <c r="F206" s="54" t="s">
        <v>20</v>
      </c>
      <c r="G206" s="78">
        <v>50</v>
      </c>
      <c r="H206" s="85">
        <v>50</v>
      </c>
      <c r="I206" s="68">
        <f t="shared" si="10"/>
        <v>2500</v>
      </c>
      <c r="J206" s="69" t="s">
        <v>816</v>
      </c>
      <c r="K206" s="59"/>
      <c r="L206" s="60"/>
      <c r="M206" s="60"/>
      <c r="N206" s="60"/>
      <c r="O206" s="60"/>
      <c r="P206" s="60"/>
    </row>
    <row r="207" spans="1:16" ht="27" x14ac:dyDescent="0.25">
      <c r="A207" s="52">
        <v>198</v>
      </c>
      <c r="B207" s="53" t="s">
        <v>324</v>
      </c>
      <c r="C207" s="60" t="s">
        <v>17</v>
      </c>
      <c r="D207" s="61" t="s">
        <v>18</v>
      </c>
      <c r="E207" s="62" t="s">
        <v>325</v>
      </c>
      <c r="F207" s="54" t="s">
        <v>20</v>
      </c>
      <c r="G207" s="78">
        <v>30</v>
      </c>
      <c r="H207" s="85">
        <v>2510</v>
      </c>
      <c r="I207" s="68">
        <f t="shared" si="10"/>
        <v>75300</v>
      </c>
      <c r="J207" s="69" t="s">
        <v>721</v>
      </c>
      <c r="K207" s="59"/>
      <c r="L207" s="60"/>
      <c r="M207" s="60"/>
      <c r="N207" s="60"/>
      <c r="O207" s="60"/>
      <c r="P207" s="60"/>
    </row>
    <row r="208" spans="1:16" ht="27" x14ac:dyDescent="0.25">
      <c r="A208" s="52">
        <v>199</v>
      </c>
      <c r="B208" s="53" t="s">
        <v>326</v>
      </c>
      <c r="C208" s="60" t="s">
        <v>17</v>
      </c>
      <c r="D208" s="61" t="s">
        <v>18</v>
      </c>
      <c r="E208" s="62" t="s">
        <v>327</v>
      </c>
      <c r="F208" s="54" t="s">
        <v>20</v>
      </c>
      <c r="G208" s="78">
        <v>30</v>
      </c>
      <c r="H208" s="85">
        <v>2510</v>
      </c>
      <c r="I208" s="68">
        <f t="shared" si="10"/>
        <v>75300</v>
      </c>
      <c r="J208" s="69" t="s">
        <v>723</v>
      </c>
      <c r="K208" s="59"/>
      <c r="L208" s="60"/>
      <c r="M208" s="60"/>
      <c r="N208" s="60"/>
      <c r="O208" s="60"/>
      <c r="P208" s="60"/>
    </row>
    <row r="209" spans="1:16" ht="27" x14ac:dyDescent="0.25">
      <c r="A209" s="52">
        <v>200</v>
      </c>
      <c r="B209" s="53" t="s">
        <v>328</v>
      </c>
      <c r="C209" s="60" t="s">
        <v>17</v>
      </c>
      <c r="D209" s="61" t="s">
        <v>18</v>
      </c>
      <c r="E209" s="62" t="s">
        <v>329</v>
      </c>
      <c r="F209" s="54" t="s">
        <v>20</v>
      </c>
      <c r="G209" s="78">
        <v>30</v>
      </c>
      <c r="H209" s="85">
        <v>7599</v>
      </c>
      <c r="I209" s="68">
        <f t="shared" si="10"/>
        <v>227970</v>
      </c>
      <c r="J209" s="69" t="s">
        <v>725</v>
      </c>
      <c r="K209" s="59"/>
      <c r="L209" s="60"/>
      <c r="M209" s="60"/>
      <c r="N209" s="60"/>
      <c r="O209" s="60"/>
      <c r="P209" s="60"/>
    </row>
    <row r="210" spans="1:16" ht="27" x14ac:dyDescent="0.25">
      <c r="A210" s="52">
        <v>201</v>
      </c>
      <c r="B210" s="53" t="s">
        <v>330</v>
      </c>
      <c r="C210" s="60" t="s">
        <v>17</v>
      </c>
      <c r="D210" s="61" t="s">
        <v>18</v>
      </c>
      <c r="E210" s="62" t="s">
        <v>331</v>
      </c>
      <c r="F210" s="54" t="s">
        <v>20</v>
      </c>
      <c r="G210" s="78">
        <v>30</v>
      </c>
      <c r="H210" s="85">
        <v>1280</v>
      </c>
      <c r="I210" s="68">
        <f t="shared" si="10"/>
        <v>38400</v>
      </c>
      <c r="J210" s="69" t="s">
        <v>727</v>
      </c>
      <c r="K210" s="59"/>
      <c r="L210" s="60"/>
      <c r="M210" s="60"/>
      <c r="N210" s="60"/>
      <c r="O210" s="60"/>
      <c r="P210" s="60"/>
    </row>
    <row r="211" spans="1:16" ht="27" x14ac:dyDescent="0.25">
      <c r="A211" s="52">
        <v>202</v>
      </c>
      <c r="B211" s="53" t="s">
        <v>332</v>
      </c>
      <c r="C211" s="60" t="s">
        <v>17</v>
      </c>
      <c r="D211" s="61" t="s">
        <v>18</v>
      </c>
      <c r="E211" s="62" t="s">
        <v>333</v>
      </c>
      <c r="F211" s="54" t="s">
        <v>20</v>
      </c>
      <c r="G211" s="78">
        <v>10</v>
      </c>
      <c r="H211" s="85">
        <v>11660</v>
      </c>
      <c r="I211" s="68">
        <f t="shared" si="10"/>
        <v>116600</v>
      </c>
      <c r="J211" s="69" t="s">
        <v>729</v>
      </c>
      <c r="K211" s="59"/>
      <c r="L211" s="60"/>
      <c r="M211" s="60"/>
      <c r="N211" s="60"/>
      <c r="O211" s="60"/>
      <c r="P211" s="60"/>
    </row>
    <row r="212" spans="1:16" x14ac:dyDescent="0.25">
      <c r="A212" s="52">
        <v>203</v>
      </c>
      <c r="B212" s="53" t="s">
        <v>334</v>
      </c>
      <c r="C212" s="60" t="s">
        <v>17</v>
      </c>
      <c r="D212" s="61" t="s">
        <v>18</v>
      </c>
      <c r="E212" s="62" t="s">
        <v>335</v>
      </c>
      <c r="F212" s="54" t="s">
        <v>20</v>
      </c>
      <c r="G212" s="78">
        <v>50</v>
      </c>
      <c r="H212" s="85">
        <v>870</v>
      </c>
      <c r="I212" s="68">
        <f t="shared" si="10"/>
        <v>43500</v>
      </c>
      <c r="J212" s="69" t="s">
        <v>731</v>
      </c>
      <c r="K212" s="59"/>
      <c r="L212" s="60"/>
      <c r="M212" s="60"/>
      <c r="N212" s="60"/>
      <c r="O212" s="60"/>
      <c r="P212" s="60"/>
    </row>
    <row r="213" spans="1:16" x14ac:dyDescent="0.25">
      <c r="A213" s="52">
        <v>204</v>
      </c>
      <c r="B213" s="53" t="s">
        <v>336</v>
      </c>
      <c r="C213" s="60" t="s">
        <v>17</v>
      </c>
      <c r="D213" s="61" t="s">
        <v>18</v>
      </c>
      <c r="E213" s="62" t="s">
        <v>337</v>
      </c>
      <c r="F213" s="54" t="s">
        <v>20</v>
      </c>
      <c r="G213" s="78">
        <v>50</v>
      </c>
      <c r="H213" s="85">
        <v>1440</v>
      </c>
      <c r="I213" s="68">
        <f t="shared" si="10"/>
        <v>72000</v>
      </c>
      <c r="J213" s="69" t="s">
        <v>733</v>
      </c>
      <c r="K213" s="59"/>
      <c r="L213" s="60"/>
      <c r="M213" s="60"/>
      <c r="N213" s="60"/>
      <c r="O213" s="60"/>
      <c r="P213" s="60"/>
    </row>
    <row r="214" spans="1:16" x14ac:dyDescent="0.25">
      <c r="A214" s="52">
        <v>205</v>
      </c>
      <c r="B214" s="53" t="s">
        <v>338</v>
      </c>
      <c r="C214" s="60" t="s">
        <v>17</v>
      </c>
      <c r="D214" s="61" t="s">
        <v>18</v>
      </c>
      <c r="E214" s="62" t="s">
        <v>339</v>
      </c>
      <c r="F214" s="54" t="s">
        <v>20</v>
      </c>
      <c r="G214" s="78">
        <v>5</v>
      </c>
      <c r="H214" s="85">
        <v>1440</v>
      </c>
      <c r="I214" s="68">
        <f t="shared" si="10"/>
        <v>7200</v>
      </c>
      <c r="J214" s="69" t="s">
        <v>735</v>
      </c>
      <c r="K214" s="59"/>
      <c r="L214" s="60"/>
      <c r="M214" s="60"/>
      <c r="N214" s="60"/>
      <c r="O214" s="60"/>
      <c r="P214" s="60"/>
    </row>
    <row r="215" spans="1:16" x14ac:dyDescent="0.25">
      <c r="A215" s="52">
        <v>206</v>
      </c>
      <c r="B215" s="53" t="s">
        <v>340</v>
      </c>
      <c r="C215" s="60" t="s">
        <v>17</v>
      </c>
      <c r="D215" s="61" t="s">
        <v>18</v>
      </c>
      <c r="E215" s="62" t="s">
        <v>341</v>
      </c>
      <c r="F215" s="54" t="s">
        <v>20</v>
      </c>
      <c r="G215" s="78">
        <v>14</v>
      </c>
      <c r="H215" s="85">
        <v>3931</v>
      </c>
      <c r="I215" s="68">
        <f t="shared" si="10"/>
        <v>55034</v>
      </c>
      <c r="J215" s="69" t="s">
        <v>737</v>
      </c>
      <c r="K215" s="59"/>
      <c r="L215" s="60"/>
      <c r="M215" s="60"/>
      <c r="N215" s="60"/>
      <c r="O215" s="60"/>
      <c r="P215" s="60"/>
    </row>
    <row r="216" spans="1:16" x14ac:dyDescent="0.25">
      <c r="A216" s="52">
        <v>207</v>
      </c>
      <c r="B216" s="53" t="s">
        <v>342</v>
      </c>
      <c r="C216" s="60" t="s">
        <v>17</v>
      </c>
      <c r="D216" s="61" t="s">
        <v>18</v>
      </c>
      <c r="E216" s="62" t="s">
        <v>343</v>
      </c>
      <c r="F216" s="54" t="s">
        <v>20</v>
      </c>
      <c r="G216" s="78">
        <v>5</v>
      </c>
      <c r="H216" s="85">
        <v>28000</v>
      </c>
      <c r="I216" s="68">
        <f t="shared" si="10"/>
        <v>140000</v>
      </c>
      <c r="J216" s="69" t="s">
        <v>739</v>
      </c>
      <c r="K216" s="59"/>
      <c r="L216" s="60"/>
      <c r="M216" s="60"/>
      <c r="N216" s="60"/>
      <c r="O216" s="60"/>
      <c r="P216" s="60"/>
    </row>
    <row r="217" spans="1:16" ht="27" x14ac:dyDescent="0.25">
      <c r="A217" s="52">
        <v>208</v>
      </c>
      <c r="B217" s="53" t="s">
        <v>344</v>
      </c>
      <c r="C217" s="60" t="s">
        <v>17</v>
      </c>
      <c r="D217" s="61" t="s">
        <v>18</v>
      </c>
      <c r="E217" s="62" t="s">
        <v>345</v>
      </c>
      <c r="F217" s="54" t="s">
        <v>20</v>
      </c>
      <c r="G217" s="78">
        <v>30</v>
      </c>
      <c r="H217" s="85">
        <v>910</v>
      </c>
      <c r="I217" s="68">
        <f t="shared" si="10"/>
        <v>27300</v>
      </c>
      <c r="J217" s="69" t="s">
        <v>817</v>
      </c>
      <c r="K217" s="59"/>
      <c r="L217" s="60"/>
      <c r="M217" s="60"/>
      <c r="N217" s="60"/>
      <c r="O217" s="60"/>
      <c r="P217" s="60"/>
    </row>
    <row r="218" spans="1:16" x14ac:dyDescent="0.25">
      <c r="A218" s="52">
        <v>209</v>
      </c>
      <c r="B218" s="53" t="s">
        <v>346</v>
      </c>
      <c r="C218" s="60" t="s">
        <v>17</v>
      </c>
      <c r="D218" s="61" t="s">
        <v>18</v>
      </c>
      <c r="E218" s="62" t="s">
        <v>347</v>
      </c>
      <c r="F218" s="54" t="s">
        <v>20</v>
      </c>
      <c r="G218" s="78">
        <v>10</v>
      </c>
      <c r="H218" s="85">
        <v>2750</v>
      </c>
      <c r="I218" s="68">
        <f t="shared" si="10"/>
        <v>27500</v>
      </c>
      <c r="J218" s="69" t="s">
        <v>742</v>
      </c>
      <c r="K218" s="66"/>
      <c r="L218" s="66"/>
      <c r="M218" s="66"/>
      <c r="N218" s="66"/>
      <c r="O218" s="66"/>
      <c r="P218" s="59"/>
    </row>
    <row r="219" spans="1:16" ht="27" x14ac:dyDescent="0.25">
      <c r="A219" s="52">
        <v>210</v>
      </c>
      <c r="B219" s="53" t="s">
        <v>756</v>
      </c>
      <c r="C219" s="60" t="s">
        <v>17</v>
      </c>
      <c r="D219" s="61" t="s">
        <v>18</v>
      </c>
      <c r="E219" s="62" t="s">
        <v>760</v>
      </c>
      <c r="F219" s="54" t="s">
        <v>20</v>
      </c>
      <c r="G219" s="63">
        <v>3</v>
      </c>
      <c r="H219" s="86">
        <v>208000</v>
      </c>
      <c r="I219" s="68">
        <f t="shared" ref="I219:I222" si="11">G219*H219</f>
        <v>624000</v>
      </c>
      <c r="J219" s="69" t="s">
        <v>758</v>
      </c>
      <c r="K219" s="66"/>
      <c r="L219" s="66"/>
      <c r="M219" s="66"/>
      <c r="N219" s="66"/>
      <c r="O219" s="66"/>
      <c r="P219" s="59"/>
    </row>
    <row r="220" spans="1:16" ht="27" x14ac:dyDescent="0.25">
      <c r="A220" s="52">
        <v>211</v>
      </c>
      <c r="B220" s="53" t="s">
        <v>757</v>
      </c>
      <c r="C220" s="60" t="s">
        <v>17</v>
      </c>
      <c r="D220" s="61" t="s">
        <v>18</v>
      </c>
      <c r="E220" s="62" t="s">
        <v>795</v>
      </c>
      <c r="F220" s="54" t="s">
        <v>20</v>
      </c>
      <c r="G220" s="63">
        <v>2</v>
      </c>
      <c r="H220" s="86">
        <v>61100</v>
      </c>
      <c r="I220" s="68">
        <f t="shared" si="11"/>
        <v>122200</v>
      </c>
      <c r="J220" s="58" t="s">
        <v>767</v>
      </c>
      <c r="K220" s="58"/>
      <c r="L220" s="58"/>
      <c r="M220" s="58"/>
      <c r="N220" s="58"/>
      <c r="O220" s="58"/>
      <c r="P220" s="58"/>
    </row>
    <row r="221" spans="1:16" x14ac:dyDescent="0.25">
      <c r="A221" s="52">
        <v>212</v>
      </c>
      <c r="B221" s="53" t="s">
        <v>757</v>
      </c>
      <c r="C221" s="60" t="s">
        <v>17</v>
      </c>
      <c r="D221" s="61" t="s">
        <v>18</v>
      </c>
      <c r="E221" s="62" t="s">
        <v>761</v>
      </c>
      <c r="F221" s="54" t="s">
        <v>20</v>
      </c>
      <c r="G221" s="63">
        <v>2</v>
      </c>
      <c r="H221" s="86">
        <v>32000</v>
      </c>
      <c r="I221" s="68">
        <f t="shared" si="11"/>
        <v>64000</v>
      </c>
      <c r="J221" s="58" t="s">
        <v>766</v>
      </c>
      <c r="K221" s="58"/>
      <c r="L221" s="58"/>
      <c r="M221" s="58"/>
      <c r="N221" s="58"/>
      <c r="O221" s="58"/>
      <c r="P221" s="58"/>
    </row>
    <row r="222" spans="1:16" ht="27" x14ac:dyDescent="0.25">
      <c r="A222" s="52">
        <v>213</v>
      </c>
      <c r="B222" s="53" t="s">
        <v>762</v>
      </c>
      <c r="C222" s="60" t="s">
        <v>17</v>
      </c>
      <c r="D222" s="61" t="s">
        <v>18</v>
      </c>
      <c r="E222" s="62" t="s">
        <v>763</v>
      </c>
      <c r="F222" s="54" t="s">
        <v>20</v>
      </c>
      <c r="G222" s="63">
        <v>2</v>
      </c>
      <c r="H222" s="86">
        <v>416000</v>
      </c>
      <c r="I222" s="68">
        <f t="shared" si="11"/>
        <v>832000</v>
      </c>
      <c r="J222" s="69" t="s">
        <v>768</v>
      </c>
      <c r="K222" s="66"/>
      <c r="L222" s="66"/>
      <c r="M222" s="66"/>
      <c r="N222" s="66"/>
      <c r="O222" s="66"/>
      <c r="P222" s="59"/>
    </row>
    <row r="223" spans="1:16" ht="27" x14ac:dyDescent="0.25">
      <c r="A223" s="52">
        <v>214</v>
      </c>
      <c r="B223" s="53" t="s">
        <v>764</v>
      </c>
      <c r="C223" s="60" t="s">
        <v>17</v>
      </c>
      <c r="D223" s="61" t="s">
        <v>18</v>
      </c>
      <c r="E223" s="62" t="s">
        <v>765</v>
      </c>
      <c r="F223" s="54" t="s">
        <v>20</v>
      </c>
      <c r="G223" s="63">
        <v>15</v>
      </c>
      <c r="H223" s="86">
        <v>18000</v>
      </c>
      <c r="I223" s="68">
        <f t="shared" ref="I223" si="12">G223*H223</f>
        <v>270000</v>
      </c>
      <c r="J223" s="69" t="s">
        <v>759</v>
      </c>
      <c r="K223" s="66"/>
      <c r="L223" s="66"/>
      <c r="M223" s="66"/>
      <c r="N223" s="66"/>
      <c r="O223" s="66"/>
      <c r="P223" s="59"/>
    </row>
    <row r="224" spans="1:16" ht="27" x14ac:dyDescent="0.25">
      <c r="A224" s="52">
        <v>215</v>
      </c>
      <c r="B224" s="53" t="s">
        <v>785</v>
      </c>
      <c r="C224" s="60" t="s">
        <v>17</v>
      </c>
      <c r="D224" s="61" t="s">
        <v>18</v>
      </c>
      <c r="E224" s="62" t="s">
        <v>786</v>
      </c>
      <c r="F224" s="54" t="s">
        <v>20</v>
      </c>
      <c r="G224" s="63">
        <v>4</v>
      </c>
      <c r="H224" s="86">
        <v>57200</v>
      </c>
      <c r="I224" s="68">
        <f t="shared" ref="I224:I231" si="13">G224*H224</f>
        <v>228800</v>
      </c>
      <c r="J224" s="59" t="s">
        <v>777</v>
      </c>
      <c r="K224" s="59"/>
      <c r="L224" s="59"/>
      <c r="M224" s="59"/>
      <c r="N224" s="59"/>
      <c r="O224" s="59"/>
      <c r="P224" s="59"/>
    </row>
    <row r="225" spans="1:16" ht="27" x14ac:dyDescent="0.25">
      <c r="A225" s="52">
        <v>216</v>
      </c>
      <c r="B225" s="53" t="s">
        <v>107</v>
      </c>
      <c r="C225" s="60" t="s">
        <v>17</v>
      </c>
      <c r="D225" s="61" t="s">
        <v>18</v>
      </c>
      <c r="E225" s="62" t="s">
        <v>108</v>
      </c>
      <c r="F225" s="54" t="s">
        <v>20</v>
      </c>
      <c r="G225" s="63">
        <v>5</v>
      </c>
      <c r="H225" s="86">
        <v>13000</v>
      </c>
      <c r="I225" s="68">
        <f t="shared" si="13"/>
        <v>65000</v>
      </c>
      <c r="J225" s="59" t="s">
        <v>778</v>
      </c>
      <c r="K225" s="59"/>
      <c r="L225" s="59"/>
      <c r="M225" s="59"/>
      <c r="N225" s="59"/>
      <c r="O225" s="59"/>
      <c r="P225" s="59"/>
    </row>
    <row r="226" spans="1:16" ht="27" x14ac:dyDescent="0.25">
      <c r="A226" s="52">
        <v>217</v>
      </c>
      <c r="B226" s="53" t="s">
        <v>789</v>
      </c>
      <c r="C226" s="60" t="s">
        <v>17</v>
      </c>
      <c r="D226" s="61" t="s">
        <v>18</v>
      </c>
      <c r="E226" s="62" t="s">
        <v>790</v>
      </c>
      <c r="F226" s="54" t="s">
        <v>20</v>
      </c>
      <c r="G226" s="63">
        <v>2</v>
      </c>
      <c r="H226" s="86">
        <v>22100</v>
      </c>
      <c r="I226" s="68">
        <f t="shared" si="13"/>
        <v>44200</v>
      </c>
      <c r="J226" s="59" t="s">
        <v>779</v>
      </c>
      <c r="K226" s="59"/>
      <c r="L226" s="59"/>
      <c r="M226" s="59"/>
      <c r="N226" s="59"/>
      <c r="O226" s="59"/>
      <c r="P226" s="59"/>
    </row>
    <row r="227" spans="1:16" ht="27" x14ac:dyDescent="0.25">
      <c r="A227" s="52">
        <v>218</v>
      </c>
      <c r="B227" s="53" t="s">
        <v>785</v>
      </c>
      <c r="C227" s="60" t="s">
        <v>17</v>
      </c>
      <c r="D227" s="61" t="s">
        <v>18</v>
      </c>
      <c r="E227" s="62" t="s">
        <v>786</v>
      </c>
      <c r="F227" s="54" t="s">
        <v>20</v>
      </c>
      <c r="G227" s="63">
        <v>5</v>
      </c>
      <c r="H227" s="86">
        <v>58500</v>
      </c>
      <c r="I227" s="68">
        <f t="shared" si="13"/>
        <v>292500</v>
      </c>
      <c r="J227" s="59" t="s">
        <v>780</v>
      </c>
      <c r="K227" s="59"/>
      <c r="L227" s="59"/>
      <c r="M227" s="59"/>
      <c r="N227" s="59"/>
      <c r="O227" s="59"/>
      <c r="P227" s="59"/>
    </row>
    <row r="228" spans="1:16" ht="27" x14ac:dyDescent="0.25">
      <c r="A228" s="52">
        <v>219</v>
      </c>
      <c r="B228" s="53" t="s">
        <v>107</v>
      </c>
      <c r="C228" s="60" t="s">
        <v>17</v>
      </c>
      <c r="D228" s="61" t="s">
        <v>18</v>
      </c>
      <c r="E228" s="62" t="s">
        <v>108</v>
      </c>
      <c r="F228" s="54" t="s">
        <v>20</v>
      </c>
      <c r="G228" s="63">
        <v>5</v>
      </c>
      <c r="H228" s="86">
        <v>22000</v>
      </c>
      <c r="I228" s="68">
        <f t="shared" si="13"/>
        <v>110000</v>
      </c>
      <c r="J228" s="59" t="s">
        <v>781</v>
      </c>
      <c r="K228" s="59"/>
      <c r="L228" s="59"/>
      <c r="M228" s="59"/>
      <c r="N228" s="59"/>
      <c r="O228" s="59"/>
      <c r="P228" s="59"/>
    </row>
    <row r="229" spans="1:16" ht="27" x14ac:dyDescent="0.25">
      <c r="A229" s="52">
        <v>220</v>
      </c>
      <c r="B229" s="53" t="s">
        <v>789</v>
      </c>
      <c r="C229" s="60" t="s">
        <v>17</v>
      </c>
      <c r="D229" s="61" t="s">
        <v>18</v>
      </c>
      <c r="E229" s="62" t="s">
        <v>790</v>
      </c>
      <c r="F229" s="54" t="s">
        <v>20</v>
      </c>
      <c r="G229" s="63">
        <v>2</v>
      </c>
      <c r="H229" s="86">
        <v>61000</v>
      </c>
      <c r="I229" s="68">
        <f t="shared" si="13"/>
        <v>122000</v>
      </c>
      <c r="J229" s="59" t="s">
        <v>782</v>
      </c>
      <c r="K229" s="59"/>
      <c r="L229" s="59"/>
      <c r="M229" s="59"/>
      <c r="N229" s="59"/>
      <c r="O229" s="59"/>
      <c r="P229" s="59"/>
    </row>
    <row r="230" spans="1:16" ht="27" x14ac:dyDescent="0.25">
      <c r="A230" s="52">
        <v>221</v>
      </c>
      <c r="B230" s="53" t="s">
        <v>787</v>
      </c>
      <c r="C230" s="60" t="s">
        <v>17</v>
      </c>
      <c r="D230" s="61" t="s">
        <v>18</v>
      </c>
      <c r="E230" s="62" t="s">
        <v>788</v>
      </c>
      <c r="F230" s="54" t="s">
        <v>20</v>
      </c>
      <c r="G230" s="63">
        <v>2</v>
      </c>
      <c r="H230" s="86">
        <v>16900</v>
      </c>
      <c r="I230" s="68">
        <f t="shared" si="13"/>
        <v>33800</v>
      </c>
      <c r="J230" s="59" t="s">
        <v>783</v>
      </c>
      <c r="K230" s="59"/>
      <c r="L230" s="59"/>
      <c r="M230" s="59"/>
      <c r="N230" s="59"/>
      <c r="O230" s="59"/>
      <c r="P230" s="59"/>
    </row>
    <row r="231" spans="1:16" ht="27" x14ac:dyDescent="0.25">
      <c r="A231" s="52">
        <v>222</v>
      </c>
      <c r="B231" s="53" t="s">
        <v>791</v>
      </c>
      <c r="C231" s="60" t="s">
        <v>17</v>
      </c>
      <c r="D231" s="61" t="s">
        <v>18</v>
      </c>
      <c r="E231" s="62" t="s">
        <v>792</v>
      </c>
      <c r="F231" s="54" t="s">
        <v>20</v>
      </c>
      <c r="G231" s="63">
        <v>2</v>
      </c>
      <c r="H231" s="86">
        <v>49400</v>
      </c>
      <c r="I231" s="68">
        <f t="shared" si="13"/>
        <v>98800</v>
      </c>
      <c r="J231" s="59" t="s">
        <v>784</v>
      </c>
      <c r="K231" s="59"/>
      <c r="L231" s="59"/>
      <c r="M231" s="59"/>
      <c r="N231" s="59"/>
      <c r="O231" s="59"/>
      <c r="P231" s="59"/>
    </row>
    <row r="232" spans="1:16" x14ac:dyDescent="0.25">
      <c r="C232" s="88"/>
      <c r="D232" s="89"/>
      <c r="E232" s="90"/>
      <c r="I232" s="68">
        <f>SUM(I10:I231)</f>
        <v>24514470</v>
      </c>
    </row>
    <row r="233" spans="1:16" x14ac:dyDescent="0.25">
      <c r="I233" s="91"/>
    </row>
    <row r="234" spans="1:16" x14ac:dyDescent="0.25">
      <c r="B234" s="92" t="s">
        <v>348</v>
      </c>
    </row>
    <row r="235" spans="1:16" x14ac:dyDescent="0.25">
      <c r="B235" s="92"/>
    </row>
    <row r="236" spans="1:16" x14ac:dyDescent="0.25">
      <c r="B236" s="69" t="s">
        <v>349</v>
      </c>
      <c r="C236" s="73" t="s">
        <v>350</v>
      </c>
      <c r="D236" s="58" t="s">
        <v>351</v>
      </c>
      <c r="E236" s="58"/>
      <c r="F236" s="58"/>
      <c r="G236" s="58"/>
      <c r="H236" s="58"/>
      <c r="I236" s="58"/>
      <c r="J236" s="59"/>
    </row>
    <row r="237" spans="1:16" x14ac:dyDescent="0.25">
      <c r="B237" s="69" t="s">
        <v>352</v>
      </c>
      <c r="C237" s="73" t="s">
        <v>350</v>
      </c>
      <c r="D237" s="58" t="s">
        <v>353</v>
      </c>
      <c r="E237" s="58"/>
      <c r="F237" s="58"/>
      <c r="G237" s="58"/>
      <c r="H237" s="58"/>
      <c r="I237" s="58"/>
      <c r="J237" s="59"/>
    </row>
    <row r="238" spans="1:16" x14ac:dyDescent="0.25">
      <c r="B238" s="69" t="s">
        <v>354</v>
      </c>
      <c r="C238" s="73" t="s">
        <v>350</v>
      </c>
      <c r="D238" s="58" t="s">
        <v>355</v>
      </c>
      <c r="E238" s="58"/>
      <c r="F238" s="58"/>
      <c r="G238" s="58"/>
      <c r="H238" s="58"/>
      <c r="I238" s="58"/>
      <c r="J238" s="59"/>
    </row>
    <row r="239" spans="1:16" x14ac:dyDescent="0.25">
      <c r="B239" s="69" t="s">
        <v>356</v>
      </c>
      <c r="C239" s="73" t="s">
        <v>350</v>
      </c>
      <c r="D239" s="58" t="s">
        <v>357</v>
      </c>
      <c r="E239" s="58"/>
      <c r="F239" s="58"/>
      <c r="G239" s="58"/>
      <c r="H239" s="58"/>
      <c r="I239" s="58"/>
      <c r="J239" s="59"/>
    </row>
    <row r="240" spans="1:16" x14ac:dyDescent="0.25">
      <c r="B240" s="69" t="s">
        <v>358</v>
      </c>
      <c r="C240" s="73" t="s">
        <v>350</v>
      </c>
      <c r="D240" s="58" t="s">
        <v>359</v>
      </c>
      <c r="E240" s="58"/>
      <c r="F240" s="58"/>
      <c r="G240" s="58"/>
      <c r="H240" s="58"/>
      <c r="I240" s="58"/>
      <c r="J240" s="59"/>
    </row>
    <row r="241" spans="1:10" x14ac:dyDescent="0.25">
      <c r="B241" s="69" t="s">
        <v>360</v>
      </c>
      <c r="C241" s="73" t="s">
        <v>350</v>
      </c>
      <c r="D241" s="58" t="s">
        <v>361</v>
      </c>
      <c r="E241" s="58"/>
      <c r="F241" s="58"/>
      <c r="G241" s="58"/>
      <c r="H241" s="58"/>
      <c r="I241" s="58"/>
      <c r="J241" s="59"/>
    </row>
    <row r="242" spans="1:10" x14ac:dyDescent="0.25">
      <c r="B242" s="69" t="s">
        <v>362</v>
      </c>
      <c r="C242" s="93" t="s">
        <v>350</v>
      </c>
      <c r="D242" s="65" t="s">
        <v>363</v>
      </c>
      <c r="E242" s="66"/>
      <c r="F242" s="66"/>
      <c r="G242" s="66"/>
      <c r="H242" s="66"/>
      <c r="I242" s="66"/>
      <c r="J242" s="59"/>
    </row>
    <row r="243" spans="1:10" s="95" customFormat="1" x14ac:dyDescent="0.2">
      <c r="A243" s="94"/>
      <c r="B243" s="69" t="s">
        <v>364</v>
      </c>
      <c r="C243" s="93" t="s">
        <v>350</v>
      </c>
      <c r="D243" s="58" t="s">
        <v>365</v>
      </c>
      <c r="E243" s="58"/>
      <c r="F243" s="58"/>
      <c r="G243" s="58"/>
      <c r="H243" s="58"/>
      <c r="I243" s="58"/>
      <c r="J243" s="67"/>
    </row>
    <row r="244" spans="1:10" x14ac:dyDescent="0.25">
      <c r="B244" s="69" t="s">
        <v>366</v>
      </c>
      <c r="C244" s="93" t="s">
        <v>350</v>
      </c>
      <c r="D244" s="69" t="s">
        <v>367</v>
      </c>
      <c r="E244" s="59"/>
      <c r="F244" s="59"/>
      <c r="G244" s="59"/>
      <c r="H244" s="59"/>
      <c r="I244" s="59"/>
      <c r="J244" s="59"/>
    </row>
    <row r="245" spans="1:10" x14ac:dyDescent="0.25">
      <c r="B245" s="69" t="s">
        <v>368</v>
      </c>
      <c r="C245" s="93" t="s">
        <v>350</v>
      </c>
      <c r="D245" s="69" t="s">
        <v>369</v>
      </c>
      <c r="E245" s="59"/>
      <c r="F245" s="59"/>
      <c r="G245" s="59"/>
      <c r="H245" s="59"/>
      <c r="I245" s="59"/>
      <c r="J245" s="59"/>
    </row>
    <row r="246" spans="1:10" x14ac:dyDescent="0.25">
      <c r="B246" s="69" t="s">
        <v>370</v>
      </c>
      <c r="C246" s="93" t="s">
        <v>350</v>
      </c>
      <c r="D246" s="69" t="s">
        <v>371</v>
      </c>
      <c r="E246" s="59"/>
      <c r="F246" s="59"/>
      <c r="G246" s="59"/>
      <c r="H246" s="59"/>
      <c r="I246" s="59"/>
      <c r="J246" s="59"/>
    </row>
    <row r="247" spans="1:10" x14ac:dyDescent="0.25">
      <c r="B247" s="69" t="s">
        <v>372</v>
      </c>
      <c r="C247" s="93" t="s">
        <v>350</v>
      </c>
      <c r="D247" s="70" t="s">
        <v>801</v>
      </c>
      <c r="E247" s="59"/>
      <c r="F247" s="59"/>
      <c r="G247" s="59"/>
      <c r="H247" s="59"/>
      <c r="I247" s="59"/>
      <c r="J247" s="59"/>
    </row>
    <row r="248" spans="1:10" x14ac:dyDescent="0.25">
      <c r="B248" s="69" t="s">
        <v>373</v>
      </c>
      <c r="C248" s="93" t="s">
        <v>350</v>
      </c>
      <c r="D248" s="71" t="s">
        <v>800</v>
      </c>
      <c r="E248" s="71"/>
      <c r="F248" s="71"/>
      <c r="G248" s="71"/>
      <c r="H248" s="71"/>
      <c r="I248" s="59"/>
      <c r="J248" s="59"/>
    </row>
    <row r="249" spans="1:10" x14ac:dyDescent="0.25">
      <c r="B249" s="69" t="s">
        <v>374</v>
      </c>
      <c r="C249" s="93" t="s">
        <v>350</v>
      </c>
      <c r="D249" s="71" t="s">
        <v>799</v>
      </c>
      <c r="E249" s="71"/>
      <c r="F249" s="71"/>
      <c r="G249" s="71"/>
      <c r="H249" s="71"/>
      <c r="I249" s="59"/>
      <c r="J249" s="59"/>
    </row>
    <row r="250" spans="1:10" x14ac:dyDescent="0.25">
      <c r="B250" s="69" t="s">
        <v>375</v>
      </c>
      <c r="C250" s="93" t="s">
        <v>350</v>
      </c>
      <c r="D250" s="69" t="s">
        <v>798</v>
      </c>
      <c r="E250" s="59"/>
      <c r="F250" s="59"/>
      <c r="G250" s="59"/>
      <c r="H250" s="59"/>
      <c r="I250" s="59"/>
      <c r="J250" s="59"/>
    </row>
    <row r="251" spans="1:10" x14ac:dyDescent="0.25">
      <c r="B251" s="69" t="s">
        <v>376</v>
      </c>
      <c r="C251" s="93" t="s">
        <v>350</v>
      </c>
      <c r="D251" s="65" t="s">
        <v>377</v>
      </c>
      <c r="E251" s="66"/>
      <c r="F251" s="66"/>
      <c r="G251" s="66"/>
      <c r="H251" s="66"/>
      <c r="I251" s="66"/>
      <c r="J251" s="59"/>
    </row>
    <row r="252" spans="1:10" x14ac:dyDescent="0.25">
      <c r="B252" s="69" t="s">
        <v>378</v>
      </c>
      <c r="C252" s="93" t="s">
        <v>350</v>
      </c>
      <c r="D252" s="58" t="s">
        <v>379</v>
      </c>
      <c r="E252" s="58"/>
      <c r="F252" s="58"/>
      <c r="G252" s="58"/>
      <c r="H252" s="58"/>
      <c r="I252" s="58"/>
      <c r="J252" s="72"/>
    </row>
    <row r="253" spans="1:10" x14ac:dyDescent="0.25">
      <c r="B253" s="69" t="s">
        <v>380</v>
      </c>
      <c r="C253" s="93" t="s">
        <v>350</v>
      </c>
      <c r="D253" s="58" t="s">
        <v>381</v>
      </c>
      <c r="E253" s="58"/>
      <c r="F253" s="58"/>
      <c r="G253" s="58"/>
      <c r="H253" s="58"/>
      <c r="I253" s="58"/>
      <c r="J253" s="59"/>
    </row>
    <row r="254" spans="1:10" x14ac:dyDescent="0.25">
      <c r="B254" s="69" t="s">
        <v>382</v>
      </c>
      <c r="C254" s="93" t="s">
        <v>350</v>
      </c>
      <c r="D254" s="58" t="s">
        <v>383</v>
      </c>
      <c r="E254" s="58"/>
      <c r="F254" s="58"/>
      <c r="G254" s="58"/>
      <c r="H254" s="58"/>
      <c r="I254" s="58"/>
      <c r="J254" s="59"/>
    </row>
    <row r="255" spans="1:10" x14ac:dyDescent="0.25">
      <c r="B255" s="69" t="s">
        <v>384</v>
      </c>
      <c r="C255" s="93" t="s">
        <v>350</v>
      </c>
      <c r="D255" s="58" t="s">
        <v>385</v>
      </c>
      <c r="E255" s="58"/>
      <c r="F255" s="58"/>
      <c r="G255" s="58"/>
      <c r="H255" s="58"/>
      <c r="I255" s="58"/>
      <c r="J255" s="59"/>
    </row>
    <row r="256" spans="1:10" x14ac:dyDescent="0.25">
      <c r="B256" s="69" t="s">
        <v>386</v>
      </c>
      <c r="C256" s="93" t="s">
        <v>350</v>
      </c>
      <c r="D256" s="58" t="s">
        <v>387</v>
      </c>
      <c r="E256" s="58"/>
      <c r="F256" s="58"/>
      <c r="G256" s="58"/>
      <c r="H256" s="58"/>
      <c r="I256" s="58"/>
      <c r="J256" s="59"/>
    </row>
    <row r="257" spans="2:10" x14ac:dyDescent="0.25">
      <c r="B257" s="69" t="s">
        <v>388</v>
      </c>
      <c r="C257" s="93" t="s">
        <v>350</v>
      </c>
      <c r="D257" s="58" t="s">
        <v>389</v>
      </c>
      <c r="E257" s="58"/>
      <c r="F257" s="58"/>
      <c r="G257" s="58"/>
      <c r="H257" s="58"/>
      <c r="I257" s="58"/>
      <c r="J257" s="59"/>
    </row>
    <row r="258" spans="2:10" x14ac:dyDescent="0.25">
      <c r="B258" s="69" t="s">
        <v>390</v>
      </c>
      <c r="C258" s="93" t="s">
        <v>350</v>
      </c>
      <c r="D258" s="58" t="s">
        <v>391</v>
      </c>
      <c r="E258" s="58"/>
      <c r="F258" s="58"/>
      <c r="G258" s="58"/>
      <c r="H258" s="58"/>
      <c r="I258" s="58"/>
      <c r="J258" s="59"/>
    </row>
    <row r="259" spans="2:10" x14ac:dyDescent="0.25">
      <c r="B259" s="69" t="s">
        <v>392</v>
      </c>
      <c r="C259" s="93" t="s">
        <v>350</v>
      </c>
      <c r="D259" s="69" t="s">
        <v>393</v>
      </c>
      <c r="E259" s="59"/>
      <c r="F259" s="59"/>
      <c r="G259" s="59"/>
      <c r="H259" s="59"/>
      <c r="I259" s="59"/>
      <c r="J259" s="59"/>
    </row>
    <row r="260" spans="2:10" x14ac:dyDescent="0.25">
      <c r="B260" s="69" t="s">
        <v>394</v>
      </c>
      <c r="C260" s="93" t="s">
        <v>350</v>
      </c>
      <c r="D260" s="69" t="s">
        <v>395</v>
      </c>
      <c r="E260" s="59"/>
      <c r="F260" s="59"/>
      <c r="G260" s="59"/>
      <c r="H260" s="59"/>
      <c r="I260" s="59"/>
      <c r="J260" s="59"/>
    </row>
    <row r="261" spans="2:10" x14ac:dyDescent="0.25">
      <c r="B261" s="69" t="s">
        <v>396</v>
      </c>
      <c r="C261" s="73" t="s">
        <v>397</v>
      </c>
      <c r="D261" s="73" t="s">
        <v>398</v>
      </c>
      <c r="E261" s="73"/>
      <c r="F261" s="73"/>
      <c r="G261" s="73"/>
      <c r="H261" s="73"/>
      <c r="I261" s="73"/>
      <c r="J261" s="73"/>
    </row>
    <row r="262" spans="2:10" x14ac:dyDescent="0.25">
      <c r="B262" s="69" t="s">
        <v>399</v>
      </c>
      <c r="C262" s="93" t="s">
        <v>350</v>
      </c>
      <c r="D262" s="69" t="s">
        <v>400</v>
      </c>
      <c r="E262" s="59"/>
      <c r="F262" s="59"/>
      <c r="G262" s="59"/>
      <c r="H262" s="59"/>
      <c r="I262" s="59"/>
      <c r="J262" s="59"/>
    </row>
    <row r="263" spans="2:10" x14ac:dyDescent="0.25">
      <c r="B263" s="69" t="s">
        <v>401</v>
      </c>
      <c r="C263" s="93" t="s">
        <v>350</v>
      </c>
      <c r="D263" s="69" t="s">
        <v>402</v>
      </c>
      <c r="E263" s="59"/>
      <c r="F263" s="59"/>
      <c r="G263" s="59"/>
      <c r="H263" s="59"/>
      <c r="I263" s="59"/>
      <c r="J263" s="59"/>
    </row>
    <row r="264" spans="2:10" x14ac:dyDescent="0.25">
      <c r="B264" s="69" t="s">
        <v>403</v>
      </c>
      <c r="C264" s="93" t="s">
        <v>350</v>
      </c>
      <c r="D264" s="69" t="s">
        <v>404</v>
      </c>
      <c r="E264" s="59"/>
      <c r="F264" s="59"/>
      <c r="G264" s="59"/>
      <c r="H264" s="59"/>
      <c r="I264" s="59"/>
      <c r="J264" s="59"/>
    </row>
    <row r="265" spans="2:10" x14ac:dyDescent="0.25">
      <c r="B265" s="69" t="s">
        <v>405</v>
      </c>
      <c r="C265" s="93" t="s">
        <v>350</v>
      </c>
      <c r="D265" s="74" t="s">
        <v>406</v>
      </c>
      <c r="E265" s="75"/>
      <c r="F265" s="75"/>
      <c r="G265" s="75"/>
      <c r="H265" s="75"/>
      <c r="I265" s="75"/>
      <c r="J265" s="75"/>
    </row>
    <row r="266" spans="2:10" x14ac:dyDescent="0.25">
      <c r="B266" s="69" t="s">
        <v>407</v>
      </c>
      <c r="C266" s="93" t="s">
        <v>350</v>
      </c>
      <c r="D266" s="76" t="s">
        <v>408</v>
      </c>
      <c r="E266" s="76"/>
      <c r="F266" s="76"/>
      <c r="G266" s="76"/>
      <c r="H266" s="76"/>
      <c r="I266" s="76"/>
      <c r="J266" s="66"/>
    </row>
    <row r="267" spans="2:10" x14ac:dyDescent="0.25">
      <c r="B267" s="69" t="s">
        <v>409</v>
      </c>
      <c r="C267" s="93" t="s">
        <v>350</v>
      </c>
      <c r="D267" s="58" t="s">
        <v>410</v>
      </c>
      <c r="E267" s="75"/>
      <c r="F267" s="75"/>
      <c r="G267" s="75"/>
      <c r="H267" s="75"/>
      <c r="I267" s="75"/>
      <c r="J267" s="75"/>
    </row>
    <row r="268" spans="2:10" x14ac:dyDescent="0.25">
      <c r="B268" s="69" t="s">
        <v>411</v>
      </c>
      <c r="C268" s="93" t="s">
        <v>350</v>
      </c>
      <c r="D268" s="65" t="s">
        <v>412</v>
      </c>
      <c r="E268" s="66"/>
      <c r="F268" s="66"/>
      <c r="G268" s="66"/>
      <c r="H268" s="66"/>
      <c r="I268" s="66"/>
      <c r="J268" s="66"/>
    </row>
    <row r="269" spans="2:10" x14ac:dyDescent="0.25">
      <c r="B269" s="69" t="s">
        <v>413</v>
      </c>
      <c r="C269" s="93" t="s">
        <v>350</v>
      </c>
      <c r="D269" s="65" t="s">
        <v>414</v>
      </c>
      <c r="E269" s="66"/>
      <c r="F269" s="66"/>
      <c r="G269" s="66"/>
      <c r="H269" s="66"/>
      <c r="I269" s="66"/>
      <c r="J269" s="66"/>
    </row>
    <row r="270" spans="2:10" x14ac:dyDescent="0.25">
      <c r="B270" s="69" t="s">
        <v>415</v>
      </c>
      <c r="C270" s="93" t="s">
        <v>350</v>
      </c>
      <c r="D270" s="65" t="s">
        <v>416</v>
      </c>
      <c r="E270" s="66"/>
      <c r="F270" s="66"/>
      <c r="G270" s="66"/>
      <c r="H270" s="66"/>
      <c r="I270" s="66"/>
      <c r="J270" s="66"/>
    </row>
    <row r="271" spans="2:10" x14ac:dyDescent="0.25">
      <c r="B271" s="69" t="s">
        <v>417</v>
      </c>
      <c r="C271" s="93" t="s">
        <v>350</v>
      </c>
      <c r="D271" s="58" t="s">
        <v>418</v>
      </c>
      <c r="E271" s="75"/>
      <c r="F271" s="75"/>
      <c r="G271" s="75"/>
      <c r="H271" s="75"/>
      <c r="I271" s="75"/>
      <c r="J271" s="75"/>
    </row>
    <row r="272" spans="2:10" x14ac:dyDescent="0.25">
      <c r="B272" s="69" t="s">
        <v>419</v>
      </c>
      <c r="C272" s="93" t="s">
        <v>350</v>
      </c>
      <c r="D272" s="74" t="s">
        <v>420</v>
      </c>
      <c r="E272" s="75"/>
      <c r="F272" s="75"/>
      <c r="G272" s="75"/>
      <c r="H272" s="75"/>
      <c r="I272" s="75"/>
      <c r="J272" s="75"/>
    </row>
    <row r="273" spans="2:10" x14ac:dyDescent="0.25">
      <c r="B273" s="69" t="s">
        <v>421</v>
      </c>
      <c r="C273" s="93" t="s">
        <v>350</v>
      </c>
      <c r="D273" s="69" t="s">
        <v>422</v>
      </c>
      <c r="E273" s="59"/>
      <c r="F273" s="59"/>
      <c r="G273" s="59"/>
      <c r="H273" s="59"/>
      <c r="I273" s="60"/>
      <c r="J273" s="60"/>
    </row>
    <row r="274" spans="2:10" x14ac:dyDescent="0.25">
      <c r="B274" s="69" t="s">
        <v>423</v>
      </c>
      <c r="C274" s="93" t="s">
        <v>350</v>
      </c>
      <c r="D274" s="69" t="s">
        <v>424</v>
      </c>
      <c r="E274" s="59"/>
      <c r="F274" s="59"/>
      <c r="G274" s="59"/>
      <c r="H274" s="59"/>
      <c r="I274" s="60"/>
      <c r="J274" s="60"/>
    </row>
    <row r="275" spans="2:10" x14ac:dyDescent="0.25">
      <c r="B275" s="69" t="s">
        <v>425</v>
      </c>
      <c r="C275" s="93" t="s">
        <v>350</v>
      </c>
      <c r="D275" s="69" t="s">
        <v>796</v>
      </c>
      <c r="E275" s="59"/>
      <c r="F275" s="60"/>
      <c r="G275" s="60"/>
      <c r="H275" s="60"/>
      <c r="I275" s="60"/>
      <c r="J275" s="60"/>
    </row>
    <row r="276" spans="2:10" x14ac:dyDescent="0.25">
      <c r="B276" s="69" t="s">
        <v>426</v>
      </c>
      <c r="C276" s="93" t="s">
        <v>350</v>
      </c>
      <c r="D276" s="69" t="s">
        <v>797</v>
      </c>
      <c r="E276" s="59"/>
      <c r="F276" s="60"/>
      <c r="G276" s="60"/>
      <c r="H276" s="60"/>
      <c r="I276" s="60"/>
      <c r="J276" s="60"/>
    </row>
    <row r="277" spans="2:10" x14ac:dyDescent="0.25">
      <c r="B277" s="69" t="s">
        <v>427</v>
      </c>
      <c r="C277" s="93" t="s">
        <v>350</v>
      </c>
      <c r="D277" s="69" t="s">
        <v>428</v>
      </c>
      <c r="E277" s="59"/>
      <c r="F277" s="60"/>
      <c r="G277" s="60"/>
      <c r="H277" s="60"/>
      <c r="I277" s="60"/>
      <c r="J277" s="60"/>
    </row>
    <row r="278" spans="2:10" x14ac:dyDescent="0.25">
      <c r="B278" s="69" t="s">
        <v>429</v>
      </c>
      <c r="C278" s="93" t="s">
        <v>350</v>
      </c>
      <c r="D278" s="69" t="s">
        <v>430</v>
      </c>
      <c r="E278" s="59"/>
      <c r="F278" s="60"/>
      <c r="G278" s="60"/>
      <c r="H278" s="60"/>
      <c r="I278" s="60"/>
      <c r="J278" s="60"/>
    </row>
    <row r="279" spans="2:10" x14ac:dyDescent="0.25">
      <c r="B279" s="69" t="s">
        <v>431</v>
      </c>
      <c r="C279" s="93" t="s">
        <v>350</v>
      </c>
      <c r="D279" s="69" t="s">
        <v>432</v>
      </c>
      <c r="E279" s="59"/>
      <c r="F279" s="60"/>
      <c r="G279" s="60" t="s">
        <v>433</v>
      </c>
      <c r="H279" s="60"/>
      <c r="I279" s="60"/>
      <c r="J279" s="60"/>
    </row>
    <row r="280" spans="2:10" x14ac:dyDescent="0.25">
      <c r="B280" s="69" t="s">
        <v>434</v>
      </c>
      <c r="C280" s="93" t="s">
        <v>350</v>
      </c>
      <c r="D280" s="69" t="s">
        <v>435</v>
      </c>
      <c r="E280" s="59"/>
      <c r="F280" s="60"/>
      <c r="G280" s="60"/>
      <c r="H280" s="60"/>
      <c r="I280" s="60"/>
      <c r="J280" s="60"/>
    </row>
    <row r="281" spans="2:10" x14ac:dyDescent="0.25">
      <c r="B281" s="69" t="s">
        <v>436</v>
      </c>
      <c r="C281" s="93" t="s">
        <v>350</v>
      </c>
      <c r="D281" s="69" t="s">
        <v>437</v>
      </c>
      <c r="E281" s="59"/>
      <c r="F281" s="60"/>
      <c r="G281" s="60"/>
      <c r="H281" s="60"/>
      <c r="I281" s="60"/>
      <c r="J281" s="60"/>
    </row>
    <row r="282" spans="2:10" x14ac:dyDescent="0.25">
      <c r="B282" s="69" t="s">
        <v>438</v>
      </c>
      <c r="C282" s="93" t="s">
        <v>350</v>
      </c>
      <c r="D282" s="69" t="s">
        <v>439</v>
      </c>
      <c r="E282" s="59"/>
      <c r="F282" s="60"/>
      <c r="G282" s="60"/>
      <c r="H282" s="60"/>
      <c r="I282" s="60"/>
      <c r="J282" s="60"/>
    </row>
    <row r="283" spans="2:10" x14ac:dyDescent="0.25">
      <c r="B283" s="69" t="s">
        <v>440</v>
      </c>
      <c r="C283" s="93" t="s">
        <v>350</v>
      </c>
      <c r="D283" s="69" t="s">
        <v>441</v>
      </c>
      <c r="E283" s="59"/>
      <c r="F283" s="60"/>
      <c r="G283" s="60"/>
      <c r="H283" s="60"/>
      <c r="I283" s="60"/>
      <c r="J283" s="60"/>
    </row>
    <row r="284" spans="2:10" x14ac:dyDescent="0.25">
      <c r="B284" s="69" t="s">
        <v>442</v>
      </c>
      <c r="C284" s="93" t="s">
        <v>350</v>
      </c>
      <c r="D284" s="69" t="s">
        <v>443</v>
      </c>
      <c r="E284" s="59"/>
      <c r="F284" s="60"/>
      <c r="G284" s="60"/>
      <c r="H284" s="60"/>
      <c r="I284" s="60"/>
      <c r="J284" s="60"/>
    </row>
    <row r="285" spans="2:10" x14ac:dyDescent="0.25">
      <c r="B285" s="69" t="s">
        <v>444</v>
      </c>
      <c r="C285" s="93" t="s">
        <v>350</v>
      </c>
      <c r="D285" s="69" t="s">
        <v>445</v>
      </c>
      <c r="E285" s="59"/>
      <c r="F285" s="60"/>
      <c r="G285" s="60"/>
      <c r="H285" s="60"/>
      <c r="I285" s="60"/>
      <c r="J285" s="60"/>
    </row>
    <row r="286" spans="2:10" x14ac:dyDescent="0.25">
      <c r="B286" s="69" t="s">
        <v>446</v>
      </c>
      <c r="C286" s="93" t="s">
        <v>350</v>
      </c>
      <c r="D286" s="69" t="s">
        <v>802</v>
      </c>
      <c r="E286" s="59"/>
      <c r="F286" s="60"/>
      <c r="G286" s="60"/>
      <c r="H286" s="60"/>
      <c r="I286" s="60"/>
      <c r="J286" s="60"/>
    </row>
    <row r="287" spans="2:10" x14ac:dyDescent="0.25">
      <c r="B287" s="69" t="s">
        <v>447</v>
      </c>
      <c r="C287" s="93" t="s">
        <v>350</v>
      </c>
      <c r="D287" s="69" t="s">
        <v>448</v>
      </c>
      <c r="E287" s="59"/>
      <c r="F287" s="59"/>
      <c r="G287" s="59"/>
      <c r="H287" s="59"/>
      <c r="I287" s="59"/>
      <c r="J287" s="59"/>
    </row>
    <row r="288" spans="2:10" x14ac:dyDescent="0.25">
      <c r="B288" s="69" t="s">
        <v>449</v>
      </c>
      <c r="C288" s="93" t="s">
        <v>350</v>
      </c>
      <c r="D288" s="69" t="s">
        <v>450</v>
      </c>
      <c r="E288" s="59"/>
      <c r="F288" s="59"/>
      <c r="G288" s="59"/>
      <c r="H288" s="59"/>
      <c r="I288" s="59"/>
      <c r="J288" s="59"/>
    </row>
    <row r="289" spans="2:10" x14ac:dyDescent="0.25">
      <c r="B289" s="69" t="s">
        <v>451</v>
      </c>
      <c r="C289" s="93" t="s">
        <v>350</v>
      </c>
      <c r="D289" s="65" t="s">
        <v>452</v>
      </c>
      <c r="E289" s="66"/>
      <c r="F289" s="66"/>
      <c r="G289" s="66"/>
      <c r="H289" s="66"/>
      <c r="I289" s="66"/>
      <c r="J289" s="66"/>
    </row>
    <row r="290" spans="2:10" x14ac:dyDescent="0.25">
      <c r="B290" s="69" t="s">
        <v>453</v>
      </c>
      <c r="C290" s="93" t="s">
        <v>350</v>
      </c>
      <c r="D290" s="58" t="s">
        <v>454</v>
      </c>
      <c r="E290" s="58"/>
      <c r="F290" s="58"/>
      <c r="G290" s="58"/>
      <c r="H290" s="58"/>
      <c r="I290" s="58"/>
      <c r="J290" s="72"/>
    </row>
    <row r="291" spans="2:10" x14ac:dyDescent="0.25">
      <c r="B291" s="69" t="s">
        <v>455</v>
      </c>
      <c r="C291" s="93" t="s">
        <v>350</v>
      </c>
      <c r="D291" s="65" t="s">
        <v>456</v>
      </c>
      <c r="E291" s="66"/>
      <c r="F291" s="66"/>
      <c r="G291" s="66"/>
      <c r="H291" s="66"/>
      <c r="I291" s="66"/>
      <c r="J291" s="66"/>
    </row>
    <row r="292" spans="2:10" x14ac:dyDescent="0.25">
      <c r="B292" s="69" t="s">
        <v>457</v>
      </c>
      <c r="C292" s="93" t="s">
        <v>350</v>
      </c>
      <c r="D292" s="58" t="s">
        <v>458</v>
      </c>
      <c r="E292" s="75"/>
      <c r="F292" s="75"/>
      <c r="G292" s="75"/>
      <c r="H292" s="75"/>
      <c r="I292" s="75"/>
      <c r="J292" s="75"/>
    </row>
    <row r="293" spans="2:10" x14ac:dyDescent="0.25">
      <c r="B293" s="69" t="s">
        <v>459</v>
      </c>
      <c r="C293" s="93" t="s">
        <v>350</v>
      </c>
      <c r="D293" s="69" t="s">
        <v>460</v>
      </c>
      <c r="E293" s="59"/>
      <c r="F293" s="59"/>
      <c r="G293" s="59"/>
      <c r="H293" s="59"/>
      <c r="I293" s="59"/>
      <c r="J293" s="59"/>
    </row>
    <row r="294" spans="2:10" x14ac:dyDescent="0.25">
      <c r="B294" s="69" t="s">
        <v>461</v>
      </c>
      <c r="C294" s="93" t="s">
        <v>350</v>
      </c>
      <c r="D294" s="58" t="s">
        <v>462</v>
      </c>
      <c r="E294" s="75"/>
      <c r="F294" s="75"/>
      <c r="G294" s="75"/>
      <c r="H294" s="75"/>
      <c r="I294" s="75"/>
      <c r="J294" s="75"/>
    </row>
    <row r="295" spans="2:10" x14ac:dyDescent="0.25">
      <c r="B295" s="69" t="s">
        <v>463</v>
      </c>
      <c r="C295" s="93" t="s">
        <v>350</v>
      </c>
      <c r="D295" s="69" t="s">
        <v>464</v>
      </c>
      <c r="E295" s="59"/>
      <c r="F295" s="59"/>
      <c r="G295" s="59"/>
      <c r="H295" s="59"/>
      <c r="I295" s="59"/>
      <c r="J295" s="59"/>
    </row>
    <row r="296" spans="2:10" x14ac:dyDescent="0.25">
      <c r="B296" s="69" t="s">
        <v>465</v>
      </c>
      <c r="C296" s="93" t="s">
        <v>350</v>
      </c>
      <c r="D296" s="74" t="s">
        <v>466</v>
      </c>
      <c r="E296" s="75"/>
      <c r="F296" s="75"/>
      <c r="G296" s="75"/>
      <c r="H296" s="75"/>
      <c r="I296" s="75"/>
      <c r="J296" s="75"/>
    </row>
    <row r="297" spans="2:10" x14ac:dyDescent="0.25">
      <c r="B297" s="69" t="s">
        <v>467</v>
      </c>
      <c r="C297" s="93" t="s">
        <v>350</v>
      </c>
      <c r="D297" s="74" t="s">
        <v>468</v>
      </c>
      <c r="E297" s="75"/>
      <c r="F297" s="75"/>
      <c r="G297" s="75"/>
      <c r="H297" s="75"/>
      <c r="I297" s="75"/>
      <c r="J297" s="75"/>
    </row>
    <row r="298" spans="2:10" x14ac:dyDescent="0.25">
      <c r="B298" s="69" t="s">
        <v>469</v>
      </c>
      <c r="C298" s="93" t="s">
        <v>350</v>
      </c>
      <c r="D298" s="69" t="s">
        <v>470</v>
      </c>
      <c r="E298" s="59"/>
      <c r="F298" s="59"/>
      <c r="G298" s="59"/>
      <c r="H298" s="59"/>
      <c r="I298" s="59"/>
      <c r="J298" s="59"/>
    </row>
    <row r="299" spans="2:10" x14ac:dyDescent="0.25">
      <c r="B299" s="69" t="s">
        <v>471</v>
      </c>
      <c r="C299" s="93" t="s">
        <v>350</v>
      </c>
      <c r="D299" s="69" t="s">
        <v>472</v>
      </c>
      <c r="E299" s="59"/>
      <c r="F299" s="59"/>
      <c r="G299" s="59"/>
      <c r="H299" s="59"/>
      <c r="I299" s="59"/>
      <c r="J299" s="59"/>
    </row>
    <row r="300" spans="2:10" x14ac:dyDescent="0.25">
      <c r="B300" s="69" t="s">
        <v>473</v>
      </c>
      <c r="C300" s="93" t="s">
        <v>350</v>
      </c>
      <c r="D300" s="69" t="s">
        <v>474</v>
      </c>
      <c r="E300" s="59"/>
      <c r="F300" s="59"/>
      <c r="G300" s="59"/>
      <c r="H300" s="59"/>
      <c r="I300" s="59"/>
      <c r="J300" s="59"/>
    </row>
    <row r="301" spans="2:10" x14ac:dyDescent="0.25">
      <c r="B301" s="69" t="s">
        <v>475</v>
      </c>
      <c r="C301" s="93" t="s">
        <v>350</v>
      </c>
      <c r="D301" s="69" t="s">
        <v>476</v>
      </c>
      <c r="E301" s="59"/>
      <c r="F301" s="59"/>
      <c r="G301" s="59"/>
      <c r="H301" s="59"/>
      <c r="I301" s="59"/>
      <c r="J301" s="59"/>
    </row>
    <row r="302" spans="2:10" x14ac:dyDescent="0.25">
      <c r="B302" s="69" t="s">
        <v>477</v>
      </c>
      <c r="C302" s="93" t="s">
        <v>350</v>
      </c>
      <c r="D302" s="69" t="s">
        <v>478</v>
      </c>
      <c r="E302" s="59"/>
      <c r="F302" s="59"/>
      <c r="G302" s="59"/>
      <c r="H302" s="59"/>
      <c r="I302" s="59"/>
      <c r="J302" s="59"/>
    </row>
    <row r="303" spans="2:10" x14ac:dyDescent="0.25">
      <c r="B303" s="69" t="s">
        <v>479</v>
      </c>
      <c r="C303" s="93" t="s">
        <v>350</v>
      </c>
      <c r="D303" s="69" t="s">
        <v>480</v>
      </c>
      <c r="E303" s="59"/>
      <c r="F303" s="59"/>
      <c r="G303" s="59"/>
      <c r="H303" s="59"/>
      <c r="I303" s="59"/>
      <c r="J303" s="59"/>
    </row>
    <row r="304" spans="2:10" x14ac:dyDescent="0.25">
      <c r="B304" s="69" t="s">
        <v>481</v>
      </c>
      <c r="C304" s="93" t="s">
        <v>350</v>
      </c>
      <c r="D304" s="69" t="s">
        <v>482</v>
      </c>
      <c r="E304" s="59"/>
      <c r="F304" s="59"/>
      <c r="G304" s="59"/>
      <c r="H304" s="59"/>
      <c r="I304" s="59"/>
      <c r="J304" s="59"/>
    </row>
    <row r="305" spans="2:10" x14ac:dyDescent="0.25">
      <c r="B305" s="69" t="s">
        <v>483</v>
      </c>
      <c r="C305" s="93" t="s">
        <v>350</v>
      </c>
      <c r="D305" s="69" t="s">
        <v>484</v>
      </c>
      <c r="E305" s="59"/>
      <c r="F305" s="59"/>
      <c r="G305" s="59"/>
      <c r="H305" s="59"/>
      <c r="I305" s="59"/>
      <c r="J305" s="59"/>
    </row>
    <row r="306" spans="2:10" x14ac:dyDescent="0.25">
      <c r="B306" s="69" t="s">
        <v>485</v>
      </c>
      <c r="C306" s="93" t="s">
        <v>350</v>
      </c>
      <c r="D306" s="69" t="s">
        <v>486</v>
      </c>
      <c r="E306" s="59"/>
      <c r="F306" s="59"/>
      <c r="G306" s="59"/>
      <c r="H306" s="59"/>
      <c r="I306" s="59"/>
      <c r="J306" s="59"/>
    </row>
    <row r="307" spans="2:10" x14ac:dyDescent="0.25">
      <c r="B307" s="69" t="s">
        <v>487</v>
      </c>
      <c r="C307" s="93" t="s">
        <v>350</v>
      </c>
      <c r="D307" s="69" t="s">
        <v>488</v>
      </c>
      <c r="E307" s="59"/>
      <c r="F307" s="59"/>
      <c r="G307" s="59"/>
      <c r="H307" s="59"/>
      <c r="I307" s="59"/>
      <c r="J307" s="59"/>
    </row>
    <row r="308" spans="2:10" x14ac:dyDescent="0.25">
      <c r="B308" s="69" t="s">
        <v>489</v>
      </c>
      <c r="C308" s="93" t="s">
        <v>350</v>
      </c>
      <c r="D308" s="69" t="s">
        <v>490</v>
      </c>
      <c r="E308" s="59"/>
      <c r="F308" s="59"/>
      <c r="G308" s="59"/>
      <c r="H308" s="59"/>
      <c r="I308" s="59"/>
      <c r="J308" s="59"/>
    </row>
    <row r="309" spans="2:10" x14ac:dyDescent="0.25">
      <c r="B309" s="69" t="s">
        <v>491</v>
      </c>
      <c r="C309" s="93" t="s">
        <v>350</v>
      </c>
      <c r="D309" s="69" t="s">
        <v>492</v>
      </c>
      <c r="E309" s="59"/>
      <c r="F309" s="59"/>
      <c r="G309" s="59"/>
      <c r="H309" s="59"/>
      <c r="I309" s="59"/>
      <c r="J309" s="59"/>
    </row>
    <row r="310" spans="2:10" x14ac:dyDescent="0.25">
      <c r="B310" s="69" t="s">
        <v>493</v>
      </c>
      <c r="C310" s="93" t="s">
        <v>350</v>
      </c>
      <c r="D310" s="65" t="s">
        <v>494</v>
      </c>
      <c r="E310" s="66"/>
      <c r="F310" s="66"/>
      <c r="G310" s="66"/>
      <c r="H310" s="66"/>
      <c r="I310" s="66"/>
      <c r="J310" s="66"/>
    </row>
    <row r="311" spans="2:10" x14ac:dyDescent="0.25">
      <c r="B311" s="69" t="s">
        <v>495</v>
      </c>
      <c r="C311" s="93" t="s">
        <v>350</v>
      </c>
      <c r="D311" s="65" t="s">
        <v>496</v>
      </c>
      <c r="E311" s="66"/>
      <c r="F311" s="66"/>
      <c r="G311" s="66"/>
      <c r="H311" s="66"/>
      <c r="I311" s="66"/>
      <c r="J311" s="66"/>
    </row>
    <row r="312" spans="2:10" x14ac:dyDescent="0.25">
      <c r="B312" s="69" t="s">
        <v>497</v>
      </c>
      <c r="C312" s="93" t="s">
        <v>350</v>
      </c>
      <c r="D312" s="65" t="s">
        <v>803</v>
      </c>
      <c r="E312" s="66"/>
      <c r="F312" s="66"/>
      <c r="G312" s="66"/>
      <c r="H312" s="66"/>
      <c r="I312" s="66"/>
      <c r="J312" s="66"/>
    </row>
    <row r="313" spans="2:10" x14ac:dyDescent="0.25">
      <c r="B313" s="69" t="s">
        <v>498</v>
      </c>
      <c r="C313" s="93" t="s">
        <v>350</v>
      </c>
      <c r="D313" s="65" t="s">
        <v>499</v>
      </c>
      <c r="E313" s="66"/>
      <c r="F313" s="66"/>
      <c r="G313" s="66"/>
      <c r="H313" s="66"/>
      <c r="I313" s="66"/>
      <c r="J313" s="66"/>
    </row>
    <row r="314" spans="2:10" x14ac:dyDescent="0.25">
      <c r="B314" s="69" t="s">
        <v>500</v>
      </c>
      <c r="C314" s="93" t="s">
        <v>350</v>
      </c>
      <c r="D314" s="65" t="s">
        <v>501</v>
      </c>
      <c r="E314" s="66"/>
      <c r="F314" s="66"/>
      <c r="G314" s="66"/>
      <c r="H314" s="66"/>
      <c r="I314" s="66"/>
      <c r="J314" s="66"/>
    </row>
    <row r="315" spans="2:10" x14ac:dyDescent="0.25">
      <c r="B315" s="69" t="s">
        <v>502</v>
      </c>
      <c r="C315" s="93" t="s">
        <v>350</v>
      </c>
      <c r="D315" s="65" t="s">
        <v>503</v>
      </c>
      <c r="E315" s="66"/>
      <c r="F315" s="66"/>
      <c r="G315" s="66"/>
      <c r="H315" s="66"/>
      <c r="I315" s="66"/>
      <c r="J315" s="66"/>
    </row>
    <row r="316" spans="2:10" x14ac:dyDescent="0.25">
      <c r="B316" s="69" t="s">
        <v>504</v>
      </c>
      <c r="C316" s="93" t="s">
        <v>350</v>
      </c>
      <c r="D316" s="65" t="s">
        <v>505</v>
      </c>
      <c r="E316" s="66"/>
      <c r="F316" s="66"/>
      <c r="G316" s="66"/>
      <c r="H316" s="66"/>
      <c r="I316" s="66"/>
      <c r="J316" s="66"/>
    </row>
    <row r="317" spans="2:10" x14ac:dyDescent="0.25">
      <c r="B317" s="69" t="s">
        <v>506</v>
      </c>
      <c r="C317" s="93" t="s">
        <v>350</v>
      </c>
      <c r="D317" s="65" t="s">
        <v>507</v>
      </c>
      <c r="E317" s="66"/>
      <c r="F317" s="66"/>
      <c r="G317" s="66"/>
      <c r="H317" s="66"/>
      <c r="I317" s="66"/>
      <c r="J317" s="66"/>
    </row>
    <row r="318" spans="2:10" x14ac:dyDescent="0.25">
      <c r="B318" s="69" t="s">
        <v>508</v>
      </c>
      <c r="C318" s="93" t="s">
        <v>350</v>
      </c>
      <c r="D318" s="65" t="s">
        <v>509</v>
      </c>
      <c r="E318" s="66"/>
      <c r="F318" s="66"/>
      <c r="G318" s="66"/>
      <c r="H318" s="66"/>
      <c r="I318" s="66"/>
      <c r="J318" s="66"/>
    </row>
    <row r="319" spans="2:10" x14ac:dyDescent="0.25">
      <c r="B319" s="69" t="s">
        <v>510</v>
      </c>
      <c r="C319" s="93" t="s">
        <v>350</v>
      </c>
      <c r="D319" s="65" t="s">
        <v>511</v>
      </c>
      <c r="E319" s="66"/>
      <c r="F319" s="66"/>
      <c r="G319" s="66"/>
      <c r="H319" s="66"/>
      <c r="I319" s="66"/>
      <c r="J319" s="66"/>
    </row>
    <row r="320" spans="2:10" x14ac:dyDescent="0.25">
      <c r="B320" s="69" t="s">
        <v>512</v>
      </c>
      <c r="C320" s="93" t="s">
        <v>350</v>
      </c>
      <c r="D320" s="65" t="s">
        <v>513</v>
      </c>
      <c r="E320" s="66"/>
      <c r="F320" s="66"/>
      <c r="G320" s="66"/>
      <c r="H320" s="66"/>
      <c r="I320" s="66"/>
      <c r="J320" s="66"/>
    </row>
    <row r="321" spans="2:10" x14ac:dyDescent="0.25">
      <c r="B321" s="69" t="s">
        <v>514</v>
      </c>
      <c r="C321" s="93" t="s">
        <v>350</v>
      </c>
      <c r="D321" s="65" t="s">
        <v>515</v>
      </c>
      <c r="E321" s="66"/>
      <c r="F321" s="66"/>
      <c r="G321" s="66"/>
      <c r="H321" s="66"/>
      <c r="I321" s="66"/>
      <c r="J321" s="66"/>
    </row>
    <row r="322" spans="2:10" x14ac:dyDescent="0.25">
      <c r="B322" s="69" t="s">
        <v>516</v>
      </c>
      <c r="C322" s="93" t="s">
        <v>350</v>
      </c>
      <c r="D322" s="65" t="s">
        <v>517</v>
      </c>
      <c r="E322" s="66"/>
      <c r="F322" s="66"/>
      <c r="G322" s="66"/>
      <c r="H322" s="66"/>
      <c r="I322" s="66"/>
      <c r="J322" s="66"/>
    </row>
    <row r="323" spans="2:10" x14ac:dyDescent="0.25">
      <c r="B323" s="69" t="s">
        <v>518</v>
      </c>
      <c r="C323" s="93" t="s">
        <v>350</v>
      </c>
      <c r="D323" s="65" t="s">
        <v>519</v>
      </c>
      <c r="E323" s="66"/>
      <c r="F323" s="66"/>
      <c r="G323" s="66"/>
      <c r="H323" s="66"/>
      <c r="I323" s="66"/>
      <c r="J323" s="66"/>
    </row>
    <row r="324" spans="2:10" x14ac:dyDescent="0.25">
      <c r="B324" s="69" t="s">
        <v>520</v>
      </c>
      <c r="C324" s="93" t="s">
        <v>350</v>
      </c>
      <c r="D324" s="65" t="s">
        <v>521</v>
      </c>
      <c r="E324" s="66"/>
      <c r="F324" s="66"/>
      <c r="G324" s="66"/>
      <c r="H324" s="66"/>
      <c r="I324" s="66"/>
      <c r="J324" s="66"/>
    </row>
    <row r="325" spans="2:10" x14ac:dyDescent="0.25">
      <c r="B325" s="69" t="s">
        <v>522</v>
      </c>
      <c r="C325" s="93" t="s">
        <v>350</v>
      </c>
      <c r="D325" s="69" t="s">
        <v>523</v>
      </c>
      <c r="E325" s="60"/>
      <c r="F325" s="60"/>
      <c r="G325" s="60"/>
      <c r="H325" s="60"/>
      <c r="I325" s="60"/>
      <c r="J325" s="60"/>
    </row>
    <row r="326" spans="2:10" x14ac:dyDescent="0.25">
      <c r="B326" s="69" t="s">
        <v>524</v>
      </c>
      <c r="C326" s="93" t="s">
        <v>350</v>
      </c>
      <c r="D326" s="69" t="s">
        <v>525</v>
      </c>
      <c r="E326" s="59"/>
      <c r="F326" s="59"/>
      <c r="G326" s="60"/>
      <c r="H326" s="60"/>
      <c r="I326" s="60"/>
      <c r="J326" s="60"/>
    </row>
    <row r="327" spans="2:10" x14ac:dyDescent="0.25">
      <c r="B327" s="69" t="s">
        <v>526</v>
      </c>
      <c r="C327" s="93" t="s">
        <v>350</v>
      </c>
      <c r="D327" s="69" t="s">
        <v>527</v>
      </c>
      <c r="E327" s="59"/>
      <c r="F327" s="59"/>
      <c r="G327" s="59"/>
      <c r="H327" s="60"/>
      <c r="I327" s="60"/>
      <c r="J327" s="60"/>
    </row>
    <row r="328" spans="2:10" x14ac:dyDescent="0.25">
      <c r="B328" s="69" t="s">
        <v>528</v>
      </c>
      <c r="C328" s="93" t="s">
        <v>350</v>
      </c>
      <c r="D328" s="74" t="s">
        <v>529</v>
      </c>
      <c r="E328" s="75"/>
      <c r="F328" s="75"/>
      <c r="G328" s="75"/>
      <c r="H328" s="75"/>
      <c r="I328" s="75"/>
      <c r="J328" s="75"/>
    </row>
    <row r="329" spans="2:10" x14ac:dyDescent="0.25">
      <c r="B329" s="69" t="s">
        <v>530</v>
      </c>
      <c r="C329" s="93" t="s">
        <v>350</v>
      </c>
      <c r="D329" s="74" t="s">
        <v>531</v>
      </c>
      <c r="E329" s="75"/>
      <c r="F329" s="75"/>
      <c r="G329" s="75"/>
      <c r="H329" s="75"/>
      <c r="I329" s="75"/>
      <c r="J329" s="75"/>
    </row>
    <row r="330" spans="2:10" x14ac:dyDescent="0.25">
      <c r="B330" s="69" t="s">
        <v>532</v>
      </c>
      <c r="C330" s="93" t="s">
        <v>350</v>
      </c>
      <c r="D330" s="74" t="s">
        <v>533</v>
      </c>
      <c r="E330" s="75"/>
      <c r="F330" s="75"/>
      <c r="G330" s="75"/>
      <c r="H330" s="75"/>
      <c r="I330" s="75"/>
      <c r="J330" s="75"/>
    </row>
    <row r="331" spans="2:10" x14ac:dyDescent="0.25">
      <c r="B331" s="69" t="s">
        <v>534</v>
      </c>
      <c r="C331" s="93" t="s">
        <v>350</v>
      </c>
      <c r="D331" s="74" t="s">
        <v>535</v>
      </c>
      <c r="E331" s="75"/>
      <c r="F331" s="75"/>
      <c r="G331" s="75"/>
      <c r="H331" s="75"/>
      <c r="I331" s="75"/>
      <c r="J331" s="75"/>
    </row>
    <row r="332" spans="2:10" x14ac:dyDescent="0.25">
      <c r="B332" s="69" t="s">
        <v>536</v>
      </c>
      <c r="C332" s="93" t="s">
        <v>350</v>
      </c>
      <c r="D332" s="74" t="s">
        <v>537</v>
      </c>
      <c r="E332" s="75"/>
      <c r="F332" s="75"/>
      <c r="G332" s="75"/>
      <c r="H332" s="75"/>
      <c r="I332" s="75"/>
      <c r="J332" s="75"/>
    </row>
    <row r="333" spans="2:10" x14ac:dyDescent="0.25">
      <c r="B333" s="69" t="s">
        <v>538</v>
      </c>
      <c r="C333" s="93" t="s">
        <v>350</v>
      </c>
      <c r="D333" s="74" t="s">
        <v>539</v>
      </c>
      <c r="E333" s="75"/>
      <c r="F333" s="75"/>
      <c r="G333" s="75"/>
      <c r="H333" s="75"/>
      <c r="I333" s="75"/>
      <c r="J333" s="75"/>
    </row>
    <row r="334" spans="2:10" x14ac:dyDescent="0.25">
      <c r="B334" s="69" t="s">
        <v>540</v>
      </c>
      <c r="C334" s="93" t="s">
        <v>350</v>
      </c>
      <c r="D334" s="74" t="s">
        <v>793</v>
      </c>
      <c r="E334" s="75"/>
      <c r="F334" s="75"/>
      <c r="G334" s="75"/>
      <c r="H334" s="75"/>
      <c r="I334" s="75"/>
      <c r="J334" s="75"/>
    </row>
    <row r="335" spans="2:10" x14ac:dyDescent="0.25">
      <c r="B335" s="69" t="s">
        <v>541</v>
      </c>
      <c r="C335" s="93" t="s">
        <v>350</v>
      </c>
      <c r="D335" s="74" t="s">
        <v>542</v>
      </c>
      <c r="E335" s="75"/>
      <c r="F335" s="75"/>
      <c r="G335" s="75"/>
      <c r="H335" s="75"/>
      <c r="I335" s="75"/>
      <c r="J335" s="75"/>
    </row>
    <row r="336" spans="2:10" x14ac:dyDescent="0.25">
      <c r="B336" s="69" t="s">
        <v>543</v>
      </c>
      <c r="C336" s="93" t="s">
        <v>350</v>
      </c>
      <c r="D336" s="74" t="s">
        <v>804</v>
      </c>
      <c r="E336" s="75"/>
      <c r="F336" s="75"/>
      <c r="G336" s="75"/>
      <c r="H336" s="75"/>
      <c r="I336" s="75"/>
      <c r="J336" s="75"/>
    </row>
    <row r="337" spans="2:10" x14ac:dyDescent="0.25">
      <c r="B337" s="69" t="s">
        <v>544</v>
      </c>
      <c r="C337" s="93" t="s">
        <v>350</v>
      </c>
      <c r="D337" s="74" t="s">
        <v>545</v>
      </c>
      <c r="E337" s="75"/>
      <c r="F337" s="75"/>
      <c r="G337" s="75"/>
      <c r="H337" s="75"/>
      <c r="I337" s="75"/>
      <c r="J337" s="75"/>
    </row>
    <row r="338" spans="2:10" x14ac:dyDescent="0.25">
      <c r="B338" s="69" t="s">
        <v>546</v>
      </c>
      <c r="C338" s="93" t="s">
        <v>350</v>
      </c>
      <c r="D338" s="74" t="s">
        <v>547</v>
      </c>
      <c r="E338" s="75"/>
      <c r="F338" s="75"/>
      <c r="G338" s="75"/>
      <c r="H338" s="75"/>
      <c r="I338" s="75"/>
      <c r="J338" s="75"/>
    </row>
    <row r="339" spans="2:10" x14ac:dyDescent="0.25">
      <c r="B339" s="69" t="s">
        <v>548</v>
      </c>
      <c r="C339" s="93" t="s">
        <v>350</v>
      </c>
      <c r="D339" s="65" t="s">
        <v>549</v>
      </c>
      <c r="E339" s="66"/>
      <c r="F339" s="66"/>
      <c r="G339" s="66"/>
      <c r="H339" s="66"/>
      <c r="I339" s="66"/>
      <c r="J339" s="59"/>
    </row>
    <row r="340" spans="2:10" x14ac:dyDescent="0.25">
      <c r="B340" s="69" t="s">
        <v>550</v>
      </c>
      <c r="C340" s="93" t="s">
        <v>350</v>
      </c>
      <c r="D340" s="74" t="s">
        <v>551</v>
      </c>
      <c r="E340" s="74"/>
      <c r="F340" s="74"/>
      <c r="G340" s="74"/>
      <c r="H340" s="74"/>
      <c r="I340" s="74"/>
      <c r="J340" s="66"/>
    </row>
    <row r="341" spans="2:10" x14ac:dyDescent="0.25">
      <c r="B341" s="69" t="s">
        <v>552</v>
      </c>
      <c r="C341" s="93" t="s">
        <v>350</v>
      </c>
      <c r="D341" s="58" t="s">
        <v>553</v>
      </c>
      <c r="E341" s="75"/>
      <c r="F341" s="75"/>
      <c r="G341" s="75"/>
      <c r="H341" s="75"/>
      <c r="I341" s="75"/>
      <c r="J341" s="75"/>
    </row>
    <row r="342" spans="2:10" x14ac:dyDescent="0.25">
      <c r="B342" s="69" t="s">
        <v>554</v>
      </c>
      <c r="C342" s="93" t="s">
        <v>350</v>
      </c>
      <c r="D342" s="65" t="s">
        <v>555</v>
      </c>
      <c r="E342" s="66"/>
      <c r="F342" s="66"/>
      <c r="G342" s="66"/>
      <c r="H342" s="66"/>
      <c r="I342" s="66"/>
      <c r="J342" s="66"/>
    </row>
    <row r="343" spans="2:10" x14ac:dyDescent="0.25">
      <c r="B343" s="69" t="s">
        <v>556</v>
      </c>
      <c r="C343" s="93" t="s">
        <v>350</v>
      </c>
      <c r="D343" s="74" t="s">
        <v>557</v>
      </c>
      <c r="E343" s="75"/>
      <c r="F343" s="75"/>
      <c r="G343" s="75"/>
      <c r="H343" s="75"/>
      <c r="I343" s="75"/>
      <c r="J343" s="75"/>
    </row>
    <row r="344" spans="2:10" x14ac:dyDescent="0.25">
      <c r="B344" s="69" t="s">
        <v>558</v>
      </c>
      <c r="C344" s="93" t="s">
        <v>350</v>
      </c>
      <c r="D344" s="80" t="s">
        <v>559</v>
      </c>
      <c r="E344" s="75"/>
      <c r="F344" s="75"/>
      <c r="G344" s="75"/>
      <c r="H344" s="75"/>
      <c r="I344" s="75"/>
      <c r="J344" s="75"/>
    </row>
    <row r="345" spans="2:10" x14ac:dyDescent="0.25">
      <c r="B345" s="69" t="s">
        <v>560</v>
      </c>
      <c r="C345" s="93" t="s">
        <v>350</v>
      </c>
      <c r="D345" s="58" t="s">
        <v>561</v>
      </c>
      <c r="E345" s="75"/>
      <c r="F345" s="75"/>
      <c r="G345" s="75"/>
      <c r="H345" s="75"/>
      <c r="I345" s="75"/>
      <c r="J345" s="75"/>
    </row>
    <row r="346" spans="2:10" x14ac:dyDescent="0.25">
      <c r="B346" s="69" t="s">
        <v>562</v>
      </c>
      <c r="C346" s="93" t="s">
        <v>350</v>
      </c>
      <c r="D346" s="81" t="s">
        <v>563</v>
      </c>
      <c r="E346" s="75"/>
      <c r="F346" s="75"/>
      <c r="G346" s="75"/>
      <c r="H346" s="75"/>
      <c r="I346" s="75"/>
      <c r="J346" s="75"/>
    </row>
    <row r="347" spans="2:10" x14ac:dyDescent="0.25">
      <c r="B347" s="69" t="s">
        <v>564</v>
      </c>
      <c r="C347" s="93" t="s">
        <v>350</v>
      </c>
      <c r="D347" s="58" t="s">
        <v>565</v>
      </c>
      <c r="E347" s="75"/>
      <c r="F347" s="75"/>
      <c r="G347" s="75"/>
      <c r="H347" s="75"/>
      <c r="I347" s="75"/>
      <c r="J347" s="75"/>
    </row>
    <row r="348" spans="2:10" x14ac:dyDescent="0.25">
      <c r="B348" s="69" t="s">
        <v>566</v>
      </c>
      <c r="C348" s="93" t="s">
        <v>350</v>
      </c>
      <c r="D348" s="74" t="s">
        <v>567</v>
      </c>
      <c r="E348" s="75"/>
      <c r="F348" s="75"/>
      <c r="G348" s="75"/>
      <c r="H348" s="75"/>
      <c r="I348" s="75"/>
      <c r="J348" s="75"/>
    </row>
    <row r="349" spans="2:10" x14ac:dyDescent="0.25">
      <c r="B349" s="69" t="s">
        <v>568</v>
      </c>
      <c r="C349" s="93" t="s">
        <v>350</v>
      </c>
      <c r="D349" s="74" t="s">
        <v>569</v>
      </c>
      <c r="E349" s="75"/>
      <c r="F349" s="75"/>
      <c r="G349" s="75"/>
      <c r="H349" s="75"/>
      <c r="I349" s="75"/>
      <c r="J349" s="75"/>
    </row>
    <row r="350" spans="2:10" x14ac:dyDescent="0.25">
      <c r="B350" s="69" t="s">
        <v>570</v>
      </c>
      <c r="C350" s="93" t="s">
        <v>350</v>
      </c>
      <c r="D350" s="65" t="s">
        <v>571</v>
      </c>
      <c r="E350" s="66"/>
      <c r="F350" s="66"/>
      <c r="G350" s="66"/>
      <c r="H350" s="66"/>
      <c r="I350" s="66"/>
      <c r="J350" s="82"/>
    </row>
    <row r="351" spans="2:10" x14ac:dyDescent="0.25">
      <c r="B351" s="69" t="s">
        <v>572</v>
      </c>
      <c r="C351" s="93" t="s">
        <v>350</v>
      </c>
      <c r="D351" s="65" t="s">
        <v>573</v>
      </c>
      <c r="E351" s="66"/>
      <c r="F351" s="66"/>
      <c r="G351" s="66"/>
      <c r="H351" s="66"/>
      <c r="I351" s="66"/>
      <c r="J351" s="66"/>
    </row>
    <row r="352" spans="2:10" x14ac:dyDescent="0.25">
      <c r="B352" s="69" t="s">
        <v>574</v>
      </c>
      <c r="C352" s="93" t="s">
        <v>350</v>
      </c>
      <c r="D352" s="83" t="s">
        <v>575</v>
      </c>
      <c r="E352" s="66"/>
      <c r="F352" s="66"/>
      <c r="G352" s="66"/>
      <c r="H352" s="66"/>
      <c r="I352" s="66"/>
      <c r="J352" s="66"/>
    </row>
    <row r="353" spans="2:10" x14ac:dyDescent="0.25">
      <c r="B353" s="69" t="s">
        <v>576</v>
      </c>
      <c r="C353" s="93" t="s">
        <v>350</v>
      </c>
      <c r="D353" s="65" t="s">
        <v>577</v>
      </c>
      <c r="E353" s="66"/>
      <c r="F353" s="66"/>
      <c r="G353" s="66"/>
      <c r="H353" s="66"/>
      <c r="I353" s="66"/>
      <c r="J353" s="66"/>
    </row>
    <row r="354" spans="2:10" x14ac:dyDescent="0.25">
      <c r="B354" s="69" t="s">
        <v>578</v>
      </c>
      <c r="C354" s="93" t="s">
        <v>350</v>
      </c>
      <c r="D354" s="65" t="s">
        <v>579</v>
      </c>
      <c r="E354" s="66"/>
      <c r="F354" s="66"/>
      <c r="G354" s="66"/>
      <c r="H354" s="66"/>
      <c r="I354" s="66"/>
      <c r="J354" s="66"/>
    </row>
    <row r="355" spans="2:10" x14ac:dyDescent="0.25">
      <c r="B355" s="69" t="s">
        <v>580</v>
      </c>
      <c r="C355" s="93" t="s">
        <v>350</v>
      </c>
      <c r="D355" s="65" t="s">
        <v>581</v>
      </c>
      <c r="E355" s="66"/>
      <c r="F355" s="66"/>
      <c r="G355" s="66"/>
      <c r="H355" s="66"/>
      <c r="I355" s="66"/>
      <c r="J355" s="66"/>
    </row>
    <row r="356" spans="2:10" x14ac:dyDescent="0.25">
      <c r="B356" s="69" t="s">
        <v>582</v>
      </c>
      <c r="C356" s="93" t="s">
        <v>350</v>
      </c>
      <c r="D356" s="65" t="s">
        <v>806</v>
      </c>
      <c r="E356" s="66"/>
      <c r="F356" s="66"/>
      <c r="G356" s="66"/>
      <c r="H356" s="66"/>
      <c r="I356" s="66"/>
      <c r="J356" s="66"/>
    </row>
    <row r="357" spans="2:10" x14ac:dyDescent="0.25">
      <c r="B357" s="69" t="s">
        <v>583</v>
      </c>
      <c r="C357" s="93" t="s">
        <v>350</v>
      </c>
      <c r="D357" s="65" t="s">
        <v>807</v>
      </c>
      <c r="E357" s="66"/>
      <c r="F357" s="66"/>
      <c r="G357" s="66"/>
      <c r="H357" s="66"/>
      <c r="I357" s="66"/>
      <c r="J357" s="66"/>
    </row>
    <row r="358" spans="2:10" x14ac:dyDescent="0.25">
      <c r="B358" s="69" t="s">
        <v>584</v>
      </c>
      <c r="C358" s="93" t="s">
        <v>350</v>
      </c>
      <c r="D358" s="65" t="s">
        <v>808</v>
      </c>
      <c r="E358" s="66"/>
      <c r="F358" s="66"/>
      <c r="G358" s="66"/>
      <c r="H358" s="66"/>
      <c r="I358" s="66"/>
      <c r="J358" s="66"/>
    </row>
    <row r="359" spans="2:10" x14ac:dyDescent="0.25">
      <c r="B359" s="69" t="s">
        <v>585</v>
      </c>
      <c r="C359" s="93" t="s">
        <v>350</v>
      </c>
      <c r="D359" s="65" t="s">
        <v>809</v>
      </c>
      <c r="E359" s="66"/>
      <c r="F359" s="66"/>
      <c r="G359" s="66"/>
      <c r="H359" s="66"/>
      <c r="I359" s="66"/>
      <c r="J359" s="66"/>
    </row>
    <row r="360" spans="2:10" x14ac:dyDescent="0.25">
      <c r="B360" s="69" t="s">
        <v>586</v>
      </c>
      <c r="C360" s="93" t="s">
        <v>350</v>
      </c>
      <c r="D360" s="58" t="s">
        <v>587</v>
      </c>
      <c r="E360" s="75"/>
      <c r="F360" s="75"/>
      <c r="G360" s="75"/>
      <c r="H360" s="75"/>
      <c r="I360" s="75"/>
      <c r="J360" s="75"/>
    </row>
    <row r="361" spans="2:10" x14ac:dyDescent="0.25">
      <c r="B361" s="69" t="s">
        <v>588</v>
      </c>
      <c r="C361" s="93" t="s">
        <v>350</v>
      </c>
      <c r="D361" s="74" t="s">
        <v>589</v>
      </c>
      <c r="E361" s="75"/>
      <c r="F361" s="75"/>
      <c r="G361" s="75"/>
      <c r="H361" s="75"/>
      <c r="I361" s="75"/>
      <c r="J361" s="75"/>
    </row>
    <row r="362" spans="2:10" x14ac:dyDescent="0.25">
      <c r="B362" s="69" t="s">
        <v>590</v>
      </c>
      <c r="C362" s="93" t="s">
        <v>350</v>
      </c>
      <c r="D362" s="65" t="s">
        <v>820</v>
      </c>
      <c r="E362" s="66"/>
      <c r="F362" s="66"/>
      <c r="G362" s="66"/>
      <c r="H362" s="66"/>
      <c r="I362" s="66"/>
      <c r="J362" s="82"/>
    </row>
    <row r="363" spans="2:10" x14ac:dyDescent="0.25">
      <c r="B363" s="69" t="s">
        <v>591</v>
      </c>
      <c r="C363" s="93" t="s">
        <v>350</v>
      </c>
      <c r="D363" s="58" t="s">
        <v>592</v>
      </c>
      <c r="E363" s="75"/>
      <c r="F363" s="75"/>
      <c r="G363" s="75"/>
      <c r="H363" s="75"/>
      <c r="I363" s="75"/>
      <c r="J363" s="75"/>
    </row>
    <row r="364" spans="2:10" x14ac:dyDescent="0.25">
      <c r="B364" s="69" t="s">
        <v>593</v>
      </c>
      <c r="C364" s="93" t="s">
        <v>350</v>
      </c>
      <c r="D364" s="65" t="s">
        <v>594</v>
      </c>
      <c r="E364" s="66"/>
      <c r="F364" s="66"/>
      <c r="G364" s="66"/>
      <c r="H364" s="66"/>
      <c r="I364" s="66"/>
      <c r="J364" s="66"/>
    </row>
    <row r="365" spans="2:10" x14ac:dyDescent="0.25">
      <c r="B365" s="69" t="s">
        <v>595</v>
      </c>
      <c r="C365" s="93" t="s">
        <v>350</v>
      </c>
      <c r="D365" s="65" t="s">
        <v>596</v>
      </c>
      <c r="E365" s="66"/>
      <c r="F365" s="66"/>
      <c r="G365" s="66"/>
      <c r="H365" s="66"/>
      <c r="I365" s="66"/>
      <c r="J365" s="66"/>
    </row>
    <row r="366" spans="2:10" x14ac:dyDescent="0.25">
      <c r="B366" s="69" t="s">
        <v>597</v>
      </c>
      <c r="C366" s="93" t="s">
        <v>350</v>
      </c>
      <c r="D366" s="58" t="s">
        <v>598</v>
      </c>
      <c r="E366" s="75"/>
      <c r="F366" s="75"/>
      <c r="G366" s="75"/>
      <c r="H366" s="75"/>
      <c r="I366" s="75"/>
      <c r="J366" s="75"/>
    </row>
    <row r="367" spans="2:10" x14ac:dyDescent="0.25">
      <c r="B367" s="69" t="s">
        <v>599</v>
      </c>
      <c r="C367" s="93" t="s">
        <v>350</v>
      </c>
      <c r="D367" s="69" t="s">
        <v>818</v>
      </c>
      <c r="E367" s="59"/>
      <c r="F367" s="59"/>
      <c r="G367" s="59"/>
      <c r="H367" s="59"/>
      <c r="I367" s="59"/>
      <c r="J367" s="60"/>
    </row>
    <row r="368" spans="2:10" x14ac:dyDescent="0.25">
      <c r="B368" s="69" t="s">
        <v>600</v>
      </c>
      <c r="C368" s="93" t="s">
        <v>350</v>
      </c>
      <c r="D368" s="69" t="s">
        <v>819</v>
      </c>
      <c r="E368" s="59"/>
      <c r="F368" s="59"/>
      <c r="G368" s="60"/>
      <c r="H368" s="60"/>
      <c r="I368" s="60"/>
      <c r="J368" s="59"/>
    </row>
    <row r="369" spans="2:10" x14ac:dyDescent="0.25">
      <c r="B369" s="69" t="s">
        <v>601</v>
      </c>
      <c r="C369" s="93" t="s">
        <v>350</v>
      </c>
      <c r="D369" s="69" t="s">
        <v>602</v>
      </c>
      <c r="E369" s="59"/>
      <c r="F369" s="60"/>
      <c r="G369" s="60"/>
      <c r="H369" s="60"/>
      <c r="I369" s="60"/>
      <c r="J369" s="60"/>
    </row>
    <row r="370" spans="2:10" x14ac:dyDescent="0.25">
      <c r="B370" s="69" t="s">
        <v>603</v>
      </c>
      <c r="C370" s="93" t="s">
        <v>350</v>
      </c>
      <c r="D370" s="69" t="s">
        <v>604</v>
      </c>
      <c r="E370" s="59"/>
      <c r="F370" s="60"/>
      <c r="G370" s="60"/>
      <c r="H370" s="60"/>
      <c r="I370" s="60"/>
      <c r="J370" s="60"/>
    </row>
    <row r="371" spans="2:10" x14ac:dyDescent="0.25">
      <c r="B371" s="69" t="s">
        <v>605</v>
      </c>
      <c r="C371" s="93" t="s">
        <v>350</v>
      </c>
      <c r="D371" s="69" t="s">
        <v>606</v>
      </c>
      <c r="E371" s="59"/>
      <c r="F371" s="60"/>
      <c r="G371" s="60"/>
      <c r="H371" s="60"/>
      <c r="I371" s="60"/>
      <c r="J371" s="60"/>
    </row>
    <row r="372" spans="2:10" x14ac:dyDescent="0.25">
      <c r="B372" s="69" t="s">
        <v>607</v>
      </c>
      <c r="C372" s="93" t="s">
        <v>350</v>
      </c>
      <c r="D372" s="69" t="s">
        <v>608</v>
      </c>
      <c r="E372" s="59"/>
      <c r="F372" s="60"/>
      <c r="G372" s="60"/>
      <c r="H372" s="60"/>
      <c r="I372" s="60"/>
      <c r="J372" s="60"/>
    </row>
    <row r="373" spans="2:10" x14ac:dyDescent="0.25">
      <c r="B373" s="69" t="s">
        <v>609</v>
      </c>
      <c r="C373" s="93" t="s">
        <v>350</v>
      </c>
      <c r="D373" s="69" t="s">
        <v>610</v>
      </c>
      <c r="E373" s="59"/>
      <c r="F373" s="60"/>
      <c r="G373" s="60"/>
      <c r="H373" s="60"/>
      <c r="I373" s="60"/>
      <c r="J373" s="60"/>
    </row>
    <row r="374" spans="2:10" x14ac:dyDescent="0.25">
      <c r="B374" s="69" t="s">
        <v>611</v>
      </c>
      <c r="C374" s="93" t="s">
        <v>350</v>
      </c>
      <c r="D374" s="69" t="s">
        <v>612</v>
      </c>
      <c r="E374" s="59"/>
      <c r="F374" s="60"/>
      <c r="G374" s="60"/>
      <c r="H374" s="60"/>
      <c r="I374" s="60"/>
      <c r="J374" s="60"/>
    </row>
    <row r="375" spans="2:10" x14ac:dyDescent="0.25">
      <c r="B375" s="69" t="s">
        <v>613</v>
      </c>
      <c r="C375" s="93" t="s">
        <v>350</v>
      </c>
      <c r="D375" s="69" t="s">
        <v>614</v>
      </c>
      <c r="E375" s="59"/>
      <c r="F375" s="60"/>
      <c r="G375" s="60"/>
      <c r="H375" s="60"/>
      <c r="I375" s="60"/>
      <c r="J375" s="60"/>
    </row>
    <row r="376" spans="2:10" x14ac:dyDescent="0.25">
      <c r="B376" s="69" t="s">
        <v>615</v>
      </c>
      <c r="C376" s="93" t="s">
        <v>350</v>
      </c>
      <c r="D376" s="69" t="s">
        <v>616</v>
      </c>
      <c r="E376" s="59"/>
      <c r="F376" s="60"/>
      <c r="G376" s="60"/>
      <c r="H376" s="60"/>
      <c r="I376" s="60"/>
      <c r="J376" s="60"/>
    </row>
    <row r="377" spans="2:10" x14ac:dyDescent="0.25">
      <c r="B377" s="69" t="s">
        <v>617</v>
      </c>
      <c r="C377" s="93" t="s">
        <v>350</v>
      </c>
      <c r="D377" s="69" t="s">
        <v>618</v>
      </c>
      <c r="E377" s="60"/>
      <c r="F377" s="60"/>
      <c r="G377" s="60"/>
      <c r="H377" s="60"/>
      <c r="I377" s="60"/>
      <c r="J377" s="60"/>
    </row>
    <row r="378" spans="2:10" x14ac:dyDescent="0.25">
      <c r="B378" s="69" t="s">
        <v>619</v>
      </c>
      <c r="C378" s="93" t="s">
        <v>350</v>
      </c>
      <c r="D378" s="69" t="s">
        <v>620</v>
      </c>
      <c r="E378" s="59"/>
      <c r="F378" s="60"/>
      <c r="G378" s="60"/>
      <c r="H378" s="60"/>
      <c r="I378" s="60"/>
      <c r="J378" s="60"/>
    </row>
    <row r="379" spans="2:10" x14ac:dyDescent="0.25">
      <c r="B379" s="69" t="s">
        <v>621</v>
      </c>
      <c r="C379" s="93" t="s">
        <v>350</v>
      </c>
      <c r="D379" s="69" t="s">
        <v>622</v>
      </c>
      <c r="E379" s="59"/>
      <c r="F379" s="60"/>
      <c r="G379" s="60"/>
      <c r="H379" s="60"/>
      <c r="I379" s="60"/>
      <c r="J379" s="60"/>
    </row>
    <row r="380" spans="2:10" x14ac:dyDescent="0.25">
      <c r="B380" s="69" t="s">
        <v>623</v>
      </c>
      <c r="C380" s="93" t="s">
        <v>350</v>
      </c>
      <c r="D380" s="69" t="s">
        <v>624</v>
      </c>
      <c r="E380" s="59"/>
      <c r="F380" s="60"/>
      <c r="G380" s="60"/>
      <c r="H380" s="60"/>
      <c r="I380" s="60"/>
      <c r="J380" s="60"/>
    </row>
    <row r="381" spans="2:10" x14ac:dyDescent="0.25">
      <c r="B381" s="69" t="s">
        <v>625</v>
      </c>
      <c r="C381" s="93" t="s">
        <v>350</v>
      </c>
      <c r="D381" s="69" t="s">
        <v>626</v>
      </c>
      <c r="E381" s="59"/>
      <c r="F381" s="60"/>
      <c r="G381" s="60"/>
      <c r="H381" s="60"/>
      <c r="I381" s="60"/>
      <c r="J381" s="60"/>
    </row>
    <row r="382" spans="2:10" x14ac:dyDescent="0.25">
      <c r="B382" s="69" t="s">
        <v>627</v>
      </c>
      <c r="C382" s="93" t="s">
        <v>350</v>
      </c>
      <c r="D382" s="69" t="s">
        <v>628</v>
      </c>
      <c r="E382" s="59"/>
      <c r="F382" s="60"/>
      <c r="G382" s="60"/>
      <c r="H382" s="60"/>
      <c r="I382" s="60"/>
      <c r="J382" s="60"/>
    </row>
    <row r="383" spans="2:10" x14ac:dyDescent="0.25">
      <c r="B383" s="69" t="s">
        <v>629</v>
      </c>
      <c r="C383" s="93" t="s">
        <v>350</v>
      </c>
      <c r="D383" s="69" t="s">
        <v>630</v>
      </c>
      <c r="E383" s="59"/>
      <c r="F383" s="60"/>
      <c r="G383" s="60"/>
      <c r="H383" s="60"/>
      <c r="I383" s="60"/>
      <c r="J383" s="60"/>
    </row>
    <row r="384" spans="2:10" x14ac:dyDescent="0.25">
      <c r="B384" s="69" t="s">
        <v>631</v>
      </c>
      <c r="C384" s="93" t="s">
        <v>350</v>
      </c>
      <c r="D384" s="69" t="s">
        <v>632</v>
      </c>
      <c r="E384" s="59"/>
      <c r="F384" s="60"/>
      <c r="G384" s="60"/>
      <c r="H384" s="60"/>
      <c r="I384" s="60"/>
      <c r="J384" s="60"/>
    </row>
    <row r="385" spans="2:10" x14ac:dyDescent="0.25">
      <c r="B385" s="69" t="s">
        <v>633</v>
      </c>
      <c r="C385" s="93" t="s">
        <v>350</v>
      </c>
      <c r="D385" s="69" t="s">
        <v>634</v>
      </c>
      <c r="E385" s="59"/>
      <c r="F385" s="60"/>
      <c r="G385" s="60"/>
      <c r="H385" s="60"/>
      <c r="I385" s="60"/>
      <c r="J385" s="60"/>
    </row>
    <row r="386" spans="2:10" x14ac:dyDescent="0.25">
      <c r="B386" s="69" t="s">
        <v>635</v>
      </c>
      <c r="C386" s="93" t="s">
        <v>350</v>
      </c>
      <c r="D386" s="69" t="s">
        <v>636</v>
      </c>
      <c r="E386" s="59"/>
      <c r="F386" s="60"/>
      <c r="G386" s="60"/>
      <c r="H386" s="60"/>
      <c r="I386" s="60"/>
      <c r="J386" s="60"/>
    </row>
    <row r="387" spans="2:10" x14ac:dyDescent="0.25">
      <c r="B387" s="69" t="s">
        <v>637</v>
      </c>
      <c r="C387" s="93" t="s">
        <v>350</v>
      </c>
      <c r="D387" s="69" t="s">
        <v>638</v>
      </c>
      <c r="E387" s="59"/>
      <c r="F387" s="60"/>
      <c r="G387" s="60"/>
      <c r="H387" s="60"/>
      <c r="I387" s="60"/>
      <c r="J387" s="60"/>
    </row>
    <row r="388" spans="2:10" x14ac:dyDescent="0.25">
      <c r="B388" s="69" t="s">
        <v>639</v>
      </c>
      <c r="C388" s="93" t="s">
        <v>350</v>
      </c>
      <c r="D388" s="69" t="s">
        <v>640</v>
      </c>
      <c r="E388" s="59"/>
      <c r="F388" s="60"/>
      <c r="G388" s="60"/>
      <c r="H388" s="60"/>
      <c r="I388" s="60"/>
      <c r="J388" s="60"/>
    </row>
    <row r="389" spans="2:10" x14ac:dyDescent="0.25">
      <c r="B389" s="69" t="s">
        <v>641</v>
      </c>
      <c r="C389" s="93" t="s">
        <v>350</v>
      </c>
      <c r="D389" s="69" t="s">
        <v>642</v>
      </c>
      <c r="E389" s="59"/>
      <c r="F389" s="60"/>
      <c r="G389" s="60"/>
      <c r="H389" s="60"/>
      <c r="I389" s="60"/>
      <c r="J389" s="60"/>
    </row>
    <row r="390" spans="2:10" x14ac:dyDescent="0.25">
      <c r="B390" s="69" t="s">
        <v>643</v>
      </c>
      <c r="C390" s="93" t="s">
        <v>350</v>
      </c>
      <c r="D390" s="69" t="s">
        <v>644</v>
      </c>
      <c r="E390" s="59"/>
      <c r="F390" s="60"/>
      <c r="G390" s="60"/>
      <c r="H390" s="60"/>
      <c r="I390" s="60"/>
      <c r="J390" s="60"/>
    </row>
    <row r="391" spans="2:10" x14ac:dyDescent="0.25">
      <c r="B391" s="69" t="s">
        <v>645</v>
      </c>
      <c r="C391" s="93" t="s">
        <v>350</v>
      </c>
      <c r="D391" s="69" t="s">
        <v>646</v>
      </c>
      <c r="E391" s="59"/>
      <c r="F391" s="60"/>
      <c r="G391" s="60"/>
      <c r="H391" s="60"/>
      <c r="I391" s="60"/>
      <c r="J391" s="60"/>
    </row>
    <row r="392" spans="2:10" x14ac:dyDescent="0.25">
      <c r="B392" s="69" t="s">
        <v>647</v>
      </c>
      <c r="C392" s="93" t="s">
        <v>350</v>
      </c>
      <c r="D392" s="69" t="s">
        <v>648</v>
      </c>
      <c r="E392" s="59"/>
      <c r="F392" s="60"/>
      <c r="G392" s="60"/>
      <c r="H392" s="60"/>
      <c r="I392" s="60"/>
      <c r="J392" s="60"/>
    </row>
    <row r="393" spans="2:10" x14ac:dyDescent="0.25">
      <c r="B393" s="69" t="s">
        <v>649</v>
      </c>
      <c r="C393" s="93" t="s">
        <v>350</v>
      </c>
      <c r="D393" s="69" t="s">
        <v>650</v>
      </c>
      <c r="E393" s="59"/>
      <c r="F393" s="60"/>
      <c r="G393" s="60"/>
      <c r="H393" s="60"/>
      <c r="I393" s="60"/>
      <c r="J393" s="60"/>
    </row>
    <row r="394" spans="2:10" x14ac:dyDescent="0.25">
      <c r="B394" s="69" t="s">
        <v>651</v>
      </c>
      <c r="C394" s="93" t="s">
        <v>350</v>
      </c>
      <c r="D394" s="69" t="s">
        <v>652</v>
      </c>
      <c r="E394" s="59"/>
      <c r="F394" s="60"/>
      <c r="G394" s="60"/>
      <c r="H394" s="60"/>
      <c r="I394" s="60"/>
      <c r="J394" s="60"/>
    </row>
    <row r="395" spans="2:10" x14ac:dyDescent="0.25">
      <c r="B395" s="69" t="s">
        <v>653</v>
      </c>
      <c r="C395" s="93" t="s">
        <v>350</v>
      </c>
      <c r="D395" s="69" t="s">
        <v>805</v>
      </c>
      <c r="E395" s="59"/>
      <c r="F395" s="60"/>
      <c r="G395" s="60"/>
      <c r="H395" s="60"/>
      <c r="I395" s="60"/>
      <c r="J395" s="60"/>
    </row>
    <row r="396" spans="2:10" x14ac:dyDescent="0.25">
      <c r="B396" s="69" t="s">
        <v>654</v>
      </c>
      <c r="C396" s="93" t="s">
        <v>350</v>
      </c>
      <c r="D396" s="69" t="s">
        <v>655</v>
      </c>
      <c r="E396" s="59"/>
      <c r="F396" s="60"/>
      <c r="G396" s="60"/>
      <c r="H396" s="60"/>
      <c r="I396" s="60"/>
      <c r="J396" s="60"/>
    </row>
    <row r="397" spans="2:10" x14ac:dyDescent="0.25">
      <c r="B397" s="69" t="s">
        <v>656</v>
      </c>
      <c r="C397" s="93" t="s">
        <v>350</v>
      </c>
      <c r="D397" s="69" t="s">
        <v>657</v>
      </c>
      <c r="E397" s="59"/>
      <c r="F397" s="60"/>
      <c r="G397" s="60"/>
      <c r="H397" s="60"/>
      <c r="I397" s="60"/>
      <c r="J397" s="60"/>
    </row>
    <row r="398" spans="2:10" x14ac:dyDescent="0.25">
      <c r="B398" s="69" t="s">
        <v>658</v>
      </c>
      <c r="C398" s="93" t="s">
        <v>350</v>
      </c>
      <c r="D398" s="69" t="s">
        <v>659</v>
      </c>
      <c r="E398" s="59"/>
      <c r="F398" s="60"/>
      <c r="G398" s="60"/>
      <c r="H398" s="60"/>
      <c r="I398" s="60"/>
      <c r="J398" s="60"/>
    </row>
    <row r="399" spans="2:10" x14ac:dyDescent="0.25">
      <c r="B399" s="69" t="s">
        <v>660</v>
      </c>
      <c r="C399" s="93" t="s">
        <v>350</v>
      </c>
      <c r="D399" s="69" t="s">
        <v>661</v>
      </c>
      <c r="E399" s="59"/>
      <c r="F399" s="60"/>
      <c r="G399" s="60"/>
      <c r="H399" s="60"/>
      <c r="I399" s="60"/>
      <c r="J399" s="60"/>
    </row>
    <row r="400" spans="2:10" x14ac:dyDescent="0.25">
      <c r="B400" s="69" t="s">
        <v>662</v>
      </c>
      <c r="C400" s="93" t="s">
        <v>350</v>
      </c>
      <c r="D400" s="69" t="s">
        <v>663</v>
      </c>
      <c r="E400" s="59"/>
      <c r="F400" s="60"/>
      <c r="G400" s="60"/>
      <c r="H400" s="60"/>
      <c r="I400" s="60"/>
      <c r="J400" s="60"/>
    </row>
    <row r="401" spans="2:10" x14ac:dyDescent="0.25">
      <c r="B401" s="69" t="s">
        <v>664</v>
      </c>
      <c r="C401" s="93" t="s">
        <v>350</v>
      </c>
      <c r="D401" s="69" t="s">
        <v>665</v>
      </c>
      <c r="E401" s="59"/>
      <c r="F401" s="60"/>
      <c r="G401" s="60"/>
      <c r="H401" s="60"/>
      <c r="I401" s="60"/>
      <c r="J401" s="60"/>
    </row>
    <row r="402" spans="2:10" x14ac:dyDescent="0.25">
      <c r="B402" s="69" t="s">
        <v>666</v>
      </c>
      <c r="C402" s="93" t="s">
        <v>350</v>
      </c>
      <c r="D402" s="69" t="s">
        <v>667</v>
      </c>
      <c r="E402" s="59"/>
      <c r="F402" s="60"/>
      <c r="G402" s="60"/>
      <c r="H402" s="60"/>
      <c r="I402" s="60"/>
      <c r="J402" s="60"/>
    </row>
    <row r="403" spans="2:10" x14ac:dyDescent="0.25">
      <c r="B403" s="69" t="s">
        <v>668</v>
      </c>
      <c r="C403" s="93" t="s">
        <v>350</v>
      </c>
      <c r="D403" s="69" t="s">
        <v>669</v>
      </c>
      <c r="E403" s="59"/>
      <c r="F403" s="60"/>
      <c r="G403" s="60"/>
      <c r="H403" s="60"/>
      <c r="I403" s="60"/>
      <c r="J403" s="60"/>
    </row>
    <row r="404" spans="2:10" x14ac:dyDescent="0.25">
      <c r="B404" s="69" t="s">
        <v>670</v>
      </c>
      <c r="C404" s="93" t="s">
        <v>350</v>
      </c>
      <c r="D404" s="69" t="s">
        <v>671</v>
      </c>
      <c r="E404" s="59"/>
      <c r="F404" s="60"/>
      <c r="G404" s="60"/>
      <c r="H404" s="60"/>
      <c r="I404" s="60"/>
      <c r="J404" s="60"/>
    </row>
    <row r="405" spans="2:10" x14ac:dyDescent="0.25">
      <c r="B405" s="69" t="s">
        <v>672</v>
      </c>
      <c r="C405" s="93" t="s">
        <v>350</v>
      </c>
      <c r="D405" s="69" t="s">
        <v>673</v>
      </c>
      <c r="E405" s="59"/>
      <c r="F405" s="60"/>
      <c r="G405" s="60"/>
      <c r="H405" s="60"/>
      <c r="I405" s="60"/>
      <c r="J405" s="60"/>
    </row>
    <row r="406" spans="2:10" x14ac:dyDescent="0.25">
      <c r="B406" s="69" t="s">
        <v>674</v>
      </c>
      <c r="C406" s="93" t="s">
        <v>350</v>
      </c>
      <c r="D406" s="69" t="s">
        <v>675</v>
      </c>
      <c r="E406" s="59"/>
      <c r="F406" s="60"/>
      <c r="G406" s="60"/>
      <c r="H406" s="60"/>
      <c r="I406" s="60"/>
      <c r="J406" s="60"/>
    </row>
    <row r="407" spans="2:10" x14ac:dyDescent="0.25">
      <c r="B407" s="69" t="s">
        <v>676</v>
      </c>
      <c r="C407" s="93" t="s">
        <v>350</v>
      </c>
      <c r="D407" s="69" t="s">
        <v>677</v>
      </c>
      <c r="E407" s="59"/>
      <c r="F407" s="60"/>
      <c r="G407" s="60"/>
      <c r="H407" s="60"/>
      <c r="I407" s="60"/>
      <c r="J407" s="60"/>
    </row>
    <row r="408" spans="2:10" x14ac:dyDescent="0.25">
      <c r="B408" s="69" t="s">
        <v>678</v>
      </c>
      <c r="C408" s="93" t="s">
        <v>350</v>
      </c>
      <c r="D408" s="58" t="s">
        <v>679</v>
      </c>
      <c r="E408" s="58"/>
      <c r="F408" s="58"/>
      <c r="G408" s="58"/>
      <c r="H408" s="58"/>
      <c r="I408" s="58"/>
      <c r="J408" s="58"/>
    </row>
    <row r="409" spans="2:10" x14ac:dyDescent="0.25">
      <c r="B409" s="69" t="s">
        <v>680</v>
      </c>
      <c r="C409" s="93" t="s">
        <v>350</v>
      </c>
      <c r="D409" s="58" t="s">
        <v>681</v>
      </c>
      <c r="E409" s="58"/>
      <c r="F409" s="58"/>
      <c r="G409" s="58"/>
      <c r="H409" s="58"/>
      <c r="I409" s="58"/>
      <c r="J409" s="58"/>
    </row>
    <row r="410" spans="2:10" x14ac:dyDescent="0.25">
      <c r="B410" s="69" t="s">
        <v>682</v>
      </c>
      <c r="C410" s="93" t="s">
        <v>350</v>
      </c>
      <c r="D410" s="58" t="s">
        <v>683</v>
      </c>
      <c r="E410" s="58"/>
      <c r="F410" s="58"/>
      <c r="G410" s="58"/>
      <c r="H410" s="58"/>
      <c r="I410" s="58"/>
      <c r="J410" s="58"/>
    </row>
    <row r="411" spans="2:10" x14ac:dyDescent="0.25">
      <c r="B411" s="69" t="s">
        <v>684</v>
      </c>
      <c r="C411" s="93" t="s">
        <v>350</v>
      </c>
      <c r="D411" s="69" t="s">
        <v>685</v>
      </c>
      <c r="E411" s="59"/>
      <c r="F411" s="60"/>
      <c r="G411" s="60"/>
      <c r="H411" s="60"/>
      <c r="I411" s="60"/>
      <c r="J411" s="60"/>
    </row>
    <row r="412" spans="2:10" x14ac:dyDescent="0.25">
      <c r="B412" s="69" t="s">
        <v>686</v>
      </c>
      <c r="C412" s="93" t="s">
        <v>350</v>
      </c>
      <c r="D412" s="69" t="s">
        <v>687</v>
      </c>
      <c r="E412" s="59"/>
      <c r="F412" s="60"/>
      <c r="G412" s="60"/>
      <c r="H412" s="60"/>
      <c r="I412" s="60"/>
      <c r="J412" s="60"/>
    </row>
    <row r="413" spans="2:10" x14ac:dyDescent="0.25">
      <c r="B413" s="69" t="s">
        <v>688</v>
      </c>
      <c r="C413" s="93" t="s">
        <v>350</v>
      </c>
      <c r="D413" s="69" t="s">
        <v>689</v>
      </c>
      <c r="E413" s="59"/>
      <c r="F413" s="60"/>
      <c r="G413" s="60"/>
      <c r="H413" s="60"/>
      <c r="I413" s="60"/>
      <c r="J413" s="60"/>
    </row>
    <row r="414" spans="2:10" x14ac:dyDescent="0.25">
      <c r="B414" s="69" t="s">
        <v>690</v>
      </c>
      <c r="C414" s="93" t="s">
        <v>350</v>
      </c>
      <c r="D414" s="58" t="s">
        <v>691</v>
      </c>
      <c r="E414" s="58"/>
      <c r="F414" s="58"/>
      <c r="G414" s="58"/>
      <c r="H414" s="58"/>
      <c r="I414" s="58"/>
      <c r="J414" s="58"/>
    </row>
    <row r="415" spans="2:10" x14ac:dyDescent="0.25">
      <c r="B415" s="69" t="s">
        <v>692</v>
      </c>
      <c r="C415" s="93" t="s">
        <v>350</v>
      </c>
      <c r="D415" s="58" t="s">
        <v>693</v>
      </c>
      <c r="E415" s="58"/>
      <c r="F415" s="58"/>
      <c r="G415" s="58"/>
      <c r="H415" s="58"/>
      <c r="I415" s="58"/>
      <c r="J415" s="58"/>
    </row>
    <row r="416" spans="2:10" x14ac:dyDescent="0.25">
      <c r="B416" s="69" t="s">
        <v>694</v>
      </c>
      <c r="C416" s="93" t="s">
        <v>350</v>
      </c>
      <c r="D416" s="69" t="s">
        <v>695</v>
      </c>
      <c r="E416" s="59"/>
      <c r="F416" s="60"/>
      <c r="G416" s="60"/>
      <c r="H416" s="60"/>
      <c r="I416" s="60"/>
      <c r="J416" s="60"/>
    </row>
    <row r="417" spans="2:10" x14ac:dyDescent="0.25">
      <c r="B417" s="69" t="s">
        <v>696</v>
      </c>
      <c r="C417" s="93" t="s">
        <v>350</v>
      </c>
      <c r="D417" s="69" t="s">
        <v>697</v>
      </c>
      <c r="E417" s="59"/>
      <c r="F417" s="60"/>
      <c r="G417" s="60"/>
      <c r="H417" s="60"/>
      <c r="I417" s="60"/>
      <c r="J417" s="60"/>
    </row>
    <row r="418" spans="2:10" x14ac:dyDescent="0.25">
      <c r="B418" s="69" t="s">
        <v>698</v>
      </c>
      <c r="C418" s="93" t="s">
        <v>350</v>
      </c>
      <c r="D418" s="69" t="s">
        <v>699</v>
      </c>
      <c r="E418" s="59"/>
      <c r="F418" s="60"/>
      <c r="G418" s="60"/>
      <c r="H418" s="60"/>
      <c r="I418" s="60"/>
      <c r="J418" s="60"/>
    </row>
    <row r="419" spans="2:10" x14ac:dyDescent="0.25">
      <c r="B419" s="69" t="s">
        <v>700</v>
      </c>
      <c r="C419" s="93" t="s">
        <v>350</v>
      </c>
      <c r="D419" s="69" t="s">
        <v>701</v>
      </c>
      <c r="E419" s="59"/>
      <c r="F419" s="60"/>
      <c r="G419" s="60"/>
      <c r="H419" s="60"/>
      <c r="I419" s="60"/>
      <c r="J419" s="60"/>
    </row>
    <row r="420" spans="2:10" x14ac:dyDescent="0.25">
      <c r="B420" s="69" t="s">
        <v>702</v>
      </c>
      <c r="C420" s="93" t="s">
        <v>350</v>
      </c>
      <c r="D420" s="69" t="s">
        <v>703</v>
      </c>
      <c r="E420" s="59"/>
      <c r="F420" s="60"/>
      <c r="G420" s="60"/>
      <c r="H420" s="60"/>
      <c r="I420" s="60"/>
      <c r="J420" s="60"/>
    </row>
    <row r="421" spans="2:10" x14ac:dyDescent="0.25">
      <c r="B421" s="69" t="s">
        <v>704</v>
      </c>
      <c r="C421" s="93" t="s">
        <v>350</v>
      </c>
      <c r="D421" s="69" t="s">
        <v>705</v>
      </c>
      <c r="E421" s="59"/>
      <c r="F421" s="60"/>
      <c r="G421" s="60"/>
      <c r="H421" s="60"/>
      <c r="I421" s="60"/>
      <c r="J421" s="60"/>
    </row>
    <row r="422" spans="2:10" x14ac:dyDescent="0.25">
      <c r="B422" s="69" t="s">
        <v>706</v>
      </c>
      <c r="C422" s="93" t="s">
        <v>350</v>
      </c>
      <c r="D422" s="69" t="s">
        <v>707</v>
      </c>
      <c r="E422" s="59"/>
      <c r="F422" s="60"/>
      <c r="G422" s="60"/>
      <c r="H422" s="60"/>
      <c r="I422" s="60"/>
      <c r="J422" s="60"/>
    </row>
    <row r="423" spans="2:10" x14ac:dyDescent="0.25">
      <c r="B423" s="69" t="s">
        <v>708</v>
      </c>
      <c r="C423" s="93" t="s">
        <v>350</v>
      </c>
      <c r="D423" s="69" t="s">
        <v>709</v>
      </c>
      <c r="E423" s="59"/>
      <c r="F423" s="60"/>
      <c r="G423" s="60"/>
      <c r="H423" s="60"/>
      <c r="I423" s="60"/>
      <c r="J423" s="60"/>
    </row>
    <row r="424" spans="2:10" x14ac:dyDescent="0.25">
      <c r="B424" s="69" t="s">
        <v>710</v>
      </c>
      <c r="C424" s="93" t="s">
        <v>350</v>
      </c>
      <c r="D424" s="69" t="s">
        <v>711</v>
      </c>
      <c r="E424" s="59"/>
      <c r="F424" s="60"/>
      <c r="G424" s="60"/>
      <c r="H424" s="60"/>
      <c r="I424" s="60"/>
      <c r="J424" s="60"/>
    </row>
    <row r="425" spans="2:10" x14ac:dyDescent="0.25">
      <c r="B425" s="69" t="s">
        <v>712</v>
      </c>
      <c r="C425" s="93" t="s">
        <v>350</v>
      </c>
      <c r="D425" s="69" t="s">
        <v>810</v>
      </c>
      <c r="E425" s="59"/>
      <c r="F425" s="60"/>
      <c r="G425" s="60"/>
      <c r="H425" s="60"/>
      <c r="I425" s="60"/>
      <c r="J425" s="60"/>
    </row>
    <row r="426" spans="2:10" x14ac:dyDescent="0.25">
      <c r="B426" s="69" t="s">
        <v>713</v>
      </c>
      <c r="C426" s="93" t="s">
        <v>350</v>
      </c>
      <c r="D426" s="69" t="s">
        <v>811</v>
      </c>
      <c r="E426" s="59"/>
      <c r="F426" s="60"/>
      <c r="G426" s="60"/>
      <c r="H426" s="60"/>
      <c r="I426" s="60"/>
      <c r="J426" s="60"/>
    </row>
    <row r="427" spans="2:10" x14ac:dyDescent="0.25">
      <c r="B427" s="69" t="s">
        <v>714</v>
      </c>
      <c r="C427" s="93" t="s">
        <v>350</v>
      </c>
      <c r="D427" s="69" t="s">
        <v>812</v>
      </c>
      <c r="E427" s="59"/>
      <c r="F427" s="60"/>
      <c r="G427" s="60"/>
      <c r="H427" s="60"/>
      <c r="I427" s="60"/>
      <c r="J427" s="60"/>
    </row>
    <row r="428" spans="2:10" x14ac:dyDescent="0.25">
      <c r="B428" s="69" t="s">
        <v>715</v>
      </c>
      <c r="C428" s="93" t="s">
        <v>350</v>
      </c>
      <c r="D428" s="69" t="s">
        <v>813</v>
      </c>
      <c r="E428" s="59"/>
      <c r="F428" s="60"/>
      <c r="G428" s="60"/>
      <c r="H428" s="60"/>
      <c r="I428" s="60"/>
      <c r="J428" s="60"/>
    </row>
    <row r="429" spans="2:10" x14ac:dyDescent="0.25">
      <c r="B429" s="69" t="s">
        <v>716</v>
      </c>
      <c r="C429" s="93" t="s">
        <v>350</v>
      </c>
      <c r="D429" s="69" t="s">
        <v>814</v>
      </c>
      <c r="E429" s="59"/>
      <c r="F429" s="60"/>
      <c r="G429" s="60"/>
      <c r="H429" s="60"/>
      <c r="I429" s="60"/>
      <c r="J429" s="60"/>
    </row>
    <row r="430" spans="2:10" x14ac:dyDescent="0.25">
      <c r="B430" s="69" t="s">
        <v>717</v>
      </c>
      <c r="C430" s="93" t="s">
        <v>350</v>
      </c>
      <c r="D430" s="69" t="s">
        <v>821</v>
      </c>
      <c r="E430" s="59"/>
      <c r="F430" s="60"/>
      <c r="G430" s="60"/>
      <c r="H430" s="60"/>
      <c r="I430" s="60"/>
      <c r="J430" s="60"/>
    </row>
    <row r="431" spans="2:10" x14ac:dyDescent="0.25">
      <c r="B431" s="69" t="s">
        <v>718</v>
      </c>
      <c r="C431" s="93" t="s">
        <v>350</v>
      </c>
      <c r="D431" s="69" t="s">
        <v>815</v>
      </c>
      <c r="E431" s="59"/>
      <c r="F431" s="60"/>
      <c r="G431" s="60"/>
      <c r="H431" s="60"/>
      <c r="I431" s="60"/>
      <c r="J431" s="60"/>
    </row>
    <row r="432" spans="2:10" x14ac:dyDescent="0.25">
      <c r="B432" s="69" t="s">
        <v>719</v>
      </c>
      <c r="C432" s="93" t="s">
        <v>350</v>
      </c>
      <c r="D432" s="69" t="s">
        <v>816</v>
      </c>
      <c r="E432" s="59"/>
      <c r="F432" s="60"/>
      <c r="G432" s="60"/>
      <c r="H432" s="60"/>
      <c r="I432" s="60"/>
      <c r="J432" s="60"/>
    </row>
    <row r="433" spans="2:10" x14ac:dyDescent="0.25">
      <c r="B433" s="69" t="s">
        <v>720</v>
      </c>
      <c r="C433" s="93" t="s">
        <v>350</v>
      </c>
      <c r="D433" s="69" t="s">
        <v>721</v>
      </c>
      <c r="E433" s="59"/>
      <c r="F433" s="60"/>
      <c r="G433" s="60"/>
      <c r="H433" s="60"/>
      <c r="I433" s="60"/>
      <c r="J433" s="60"/>
    </row>
    <row r="434" spans="2:10" x14ac:dyDescent="0.25">
      <c r="B434" s="69" t="s">
        <v>722</v>
      </c>
      <c r="C434" s="93" t="s">
        <v>350</v>
      </c>
      <c r="D434" s="69" t="s">
        <v>723</v>
      </c>
      <c r="E434" s="59"/>
      <c r="F434" s="60"/>
      <c r="G434" s="60"/>
      <c r="H434" s="60"/>
      <c r="I434" s="60"/>
      <c r="J434" s="60"/>
    </row>
    <row r="435" spans="2:10" x14ac:dyDescent="0.25">
      <c r="B435" s="69" t="s">
        <v>724</v>
      </c>
      <c r="C435" s="93" t="s">
        <v>350</v>
      </c>
      <c r="D435" s="69" t="s">
        <v>725</v>
      </c>
      <c r="E435" s="59"/>
      <c r="F435" s="60"/>
      <c r="G435" s="60"/>
      <c r="H435" s="60"/>
      <c r="I435" s="60"/>
      <c r="J435" s="60"/>
    </row>
    <row r="436" spans="2:10" x14ac:dyDescent="0.25">
      <c r="B436" s="69" t="s">
        <v>726</v>
      </c>
      <c r="C436" s="93" t="s">
        <v>350</v>
      </c>
      <c r="D436" s="69" t="s">
        <v>727</v>
      </c>
      <c r="E436" s="59"/>
      <c r="F436" s="60"/>
      <c r="G436" s="60"/>
      <c r="H436" s="60"/>
      <c r="I436" s="60"/>
      <c r="J436" s="60"/>
    </row>
    <row r="437" spans="2:10" x14ac:dyDescent="0.25">
      <c r="B437" s="69" t="s">
        <v>728</v>
      </c>
      <c r="C437" s="93" t="s">
        <v>350</v>
      </c>
      <c r="D437" s="69" t="s">
        <v>729</v>
      </c>
      <c r="E437" s="59"/>
      <c r="F437" s="60"/>
      <c r="G437" s="60"/>
      <c r="H437" s="60"/>
      <c r="I437" s="60"/>
      <c r="J437" s="60"/>
    </row>
    <row r="438" spans="2:10" x14ac:dyDescent="0.25">
      <c r="B438" s="69" t="s">
        <v>730</v>
      </c>
      <c r="C438" s="93" t="s">
        <v>350</v>
      </c>
      <c r="D438" s="69" t="s">
        <v>731</v>
      </c>
      <c r="E438" s="59"/>
      <c r="F438" s="60"/>
      <c r="G438" s="60"/>
      <c r="H438" s="60"/>
      <c r="I438" s="60"/>
      <c r="J438" s="60"/>
    </row>
    <row r="439" spans="2:10" x14ac:dyDescent="0.25">
      <c r="B439" s="69" t="s">
        <v>732</v>
      </c>
      <c r="C439" s="93" t="s">
        <v>350</v>
      </c>
      <c r="D439" s="69" t="s">
        <v>733</v>
      </c>
      <c r="E439" s="59"/>
      <c r="F439" s="60"/>
      <c r="G439" s="60"/>
      <c r="H439" s="60"/>
      <c r="I439" s="60"/>
      <c r="J439" s="60"/>
    </row>
    <row r="440" spans="2:10" x14ac:dyDescent="0.25">
      <c r="B440" s="69" t="s">
        <v>734</v>
      </c>
      <c r="C440" s="93" t="s">
        <v>350</v>
      </c>
      <c r="D440" s="69" t="s">
        <v>735</v>
      </c>
      <c r="E440" s="59"/>
      <c r="F440" s="60"/>
      <c r="G440" s="60"/>
      <c r="H440" s="60"/>
      <c r="I440" s="60"/>
      <c r="J440" s="60"/>
    </row>
    <row r="441" spans="2:10" x14ac:dyDescent="0.25">
      <c r="B441" s="69" t="s">
        <v>736</v>
      </c>
      <c r="C441" s="93" t="s">
        <v>350</v>
      </c>
      <c r="D441" s="69" t="s">
        <v>737</v>
      </c>
      <c r="E441" s="59"/>
      <c r="F441" s="60"/>
      <c r="G441" s="60"/>
      <c r="H441" s="60"/>
      <c r="I441" s="60"/>
      <c r="J441" s="60"/>
    </row>
    <row r="442" spans="2:10" x14ac:dyDescent="0.25">
      <c r="B442" s="69" t="s">
        <v>738</v>
      </c>
      <c r="C442" s="93" t="s">
        <v>350</v>
      </c>
      <c r="D442" s="69" t="s">
        <v>739</v>
      </c>
      <c r="E442" s="59"/>
      <c r="F442" s="60"/>
      <c r="G442" s="60"/>
      <c r="H442" s="60"/>
      <c r="I442" s="60"/>
      <c r="J442" s="60"/>
    </row>
    <row r="443" spans="2:10" x14ac:dyDescent="0.25">
      <c r="B443" s="69" t="s">
        <v>740</v>
      </c>
      <c r="C443" s="93" t="s">
        <v>350</v>
      </c>
      <c r="D443" s="69" t="s">
        <v>817</v>
      </c>
      <c r="E443" s="59"/>
      <c r="F443" s="60"/>
      <c r="G443" s="60"/>
      <c r="H443" s="60"/>
      <c r="I443" s="60"/>
      <c r="J443" s="60"/>
    </row>
    <row r="444" spans="2:10" x14ac:dyDescent="0.25">
      <c r="B444" s="69" t="s">
        <v>741</v>
      </c>
      <c r="C444" s="93" t="s">
        <v>350</v>
      </c>
      <c r="D444" s="69" t="s">
        <v>742</v>
      </c>
      <c r="E444" s="66"/>
      <c r="F444" s="66"/>
      <c r="G444" s="66"/>
      <c r="H444" s="66"/>
      <c r="I444" s="66"/>
      <c r="J444" s="59"/>
    </row>
    <row r="445" spans="2:10" x14ac:dyDescent="0.25">
      <c r="B445" s="69" t="s">
        <v>751</v>
      </c>
      <c r="C445" s="93" t="s">
        <v>350</v>
      </c>
      <c r="D445" s="69" t="s">
        <v>758</v>
      </c>
      <c r="E445" s="66"/>
      <c r="F445" s="66"/>
      <c r="G445" s="66"/>
      <c r="H445" s="66"/>
      <c r="I445" s="66"/>
      <c r="J445" s="59"/>
    </row>
    <row r="446" spans="2:10" x14ac:dyDescent="0.25">
      <c r="B446" s="69" t="s">
        <v>752</v>
      </c>
      <c r="C446" s="93" t="s">
        <v>350</v>
      </c>
      <c r="D446" s="58" t="s">
        <v>767</v>
      </c>
      <c r="E446" s="58"/>
      <c r="F446" s="58"/>
      <c r="G446" s="58"/>
      <c r="H446" s="58"/>
      <c r="I446" s="58"/>
      <c r="J446" s="58"/>
    </row>
    <row r="447" spans="2:10" x14ac:dyDescent="0.25">
      <c r="B447" s="69" t="s">
        <v>753</v>
      </c>
      <c r="C447" s="93" t="s">
        <v>350</v>
      </c>
      <c r="D447" s="58" t="s">
        <v>766</v>
      </c>
      <c r="E447" s="58"/>
      <c r="F447" s="58"/>
      <c r="G447" s="58"/>
      <c r="H447" s="58"/>
      <c r="I447" s="58"/>
      <c r="J447" s="58"/>
    </row>
    <row r="448" spans="2:10" x14ac:dyDescent="0.25">
      <c r="B448" s="69" t="s">
        <v>754</v>
      </c>
      <c r="C448" s="93" t="s">
        <v>350</v>
      </c>
      <c r="D448" s="69" t="s">
        <v>768</v>
      </c>
      <c r="E448" s="66"/>
      <c r="F448" s="66"/>
      <c r="G448" s="66"/>
      <c r="H448" s="66"/>
      <c r="I448" s="66"/>
      <c r="J448" s="59"/>
    </row>
    <row r="449" spans="2:10" x14ac:dyDescent="0.25">
      <c r="B449" s="69" t="s">
        <v>755</v>
      </c>
      <c r="C449" s="93" t="s">
        <v>350</v>
      </c>
      <c r="D449" s="69" t="s">
        <v>759</v>
      </c>
      <c r="E449" s="66"/>
      <c r="F449" s="66"/>
      <c r="G449" s="66"/>
      <c r="H449" s="66"/>
      <c r="I449" s="66"/>
      <c r="J449" s="59"/>
    </row>
    <row r="450" spans="2:10" x14ac:dyDescent="0.25">
      <c r="B450" s="69" t="s">
        <v>769</v>
      </c>
      <c r="C450" s="93" t="s">
        <v>350</v>
      </c>
      <c r="D450" s="59" t="s">
        <v>777</v>
      </c>
      <c r="E450" s="59"/>
      <c r="F450" s="59"/>
      <c r="G450" s="59"/>
      <c r="H450" s="59"/>
      <c r="I450" s="59"/>
      <c r="J450" s="59"/>
    </row>
    <row r="451" spans="2:10" x14ac:dyDescent="0.25">
      <c r="B451" s="69" t="s">
        <v>770</v>
      </c>
      <c r="C451" s="93" t="s">
        <v>350</v>
      </c>
      <c r="D451" s="59" t="s">
        <v>778</v>
      </c>
      <c r="E451" s="59"/>
      <c r="F451" s="59"/>
      <c r="G451" s="59"/>
      <c r="H451" s="59"/>
      <c r="I451" s="59"/>
      <c r="J451" s="59"/>
    </row>
    <row r="452" spans="2:10" x14ac:dyDescent="0.25">
      <c r="B452" s="69" t="s">
        <v>771</v>
      </c>
      <c r="C452" s="93" t="s">
        <v>350</v>
      </c>
      <c r="D452" s="59" t="s">
        <v>779</v>
      </c>
      <c r="E452" s="59"/>
      <c r="F452" s="59"/>
      <c r="G452" s="59"/>
      <c r="H452" s="59"/>
      <c r="I452" s="59"/>
      <c r="J452" s="59"/>
    </row>
    <row r="453" spans="2:10" x14ac:dyDescent="0.25">
      <c r="B453" s="69" t="s">
        <v>772</v>
      </c>
      <c r="C453" s="93" t="s">
        <v>350</v>
      </c>
      <c r="D453" s="59" t="s">
        <v>780</v>
      </c>
      <c r="E453" s="59"/>
      <c r="F453" s="59"/>
      <c r="G453" s="59"/>
      <c r="H453" s="59"/>
      <c r="I453" s="59"/>
      <c r="J453" s="59"/>
    </row>
    <row r="454" spans="2:10" x14ac:dyDescent="0.25">
      <c r="B454" s="69" t="s">
        <v>773</v>
      </c>
      <c r="C454" s="93" t="s">
        <v>350</v>
      </c>
      <c r="D454" s="59" t="s">
        <v>781</v>
      </c>
      <c r="E454" s="59"/>
      <c r="F454" s="59"/>
      <c r="G454" s="59"/>
      <c r="H454" s="59"/>
      <c r="I454" s="59"/>
      <c r="J454" s="59"/>
    </row>
    <row r="455" spans="2:10" x14ac:dyDescent="0.25">
      <c r="B455" s="69" t="s">
        <v>774</v>
      </c>
      <c r="C455" s="93" t="s">
        <v>350</v>
      </c>
      <c r="D455" s="59" t="s">
        <v>782</v>
      </c>
      <c r="E455" s="59"/>
      <c r="F455" s="59"/>
      <c r="G455" s="59"/>
      <c r="H455" s="59"/>
      <c r="I455" s="59"/>
      <c r="J455" s="59"/>
    </row>
    <row r="456" spans="2:10" x14ac:dyDescent="0.25">
      <c r="B456" s="69" t="s">
        <v>775</v>
      </c>
      <c r="C456" s="93" t="s">
        <v>350</v>
      </c>
      <c r="D456" s="59" t="s">
        <v>783</v>
      </c>
      <c r="E456" s="59"/>
      <c r="F456" s="59"/>
      <c r="G456" s="59"/>
      <c r="H456" s="59"/>
      <c r="I456" s="59"/>
      <c r="J456" s="59"/>
    </row>
    <row r="457" spans="2:10" x14ac:dyDescent="0.25">
      <c r="B457" s="69" t="s">
        <v>776</v>
      </c>
      <c r="C457" s="93" t="s">
        <v>350</v>
      </c>
      <c r="D457" s="59" t="s">
        <v>784</v>
      </c>
      <c r="E457" s="59"/>
      <c r="F457" s="59"/>
      <c r="G457" s="59"/>
      <c r="H457" s="59"/>
      <c r="I457" s="59"/>
      <c r="J457" s="59"/>
    </row>
    <row r="458" spans="2:10" x14ac:dyDescent="0.25">
      <c r="B458" s="96" t="s">
        <v>743</v>
      </c>
      <c r="E458" s="97"/>
    </row>
    <row r="459" spans="2:10" x14ac:dyDescent="0.25">
      <c r="B459" s="98"/>
      <c r="C459" s="99" t="s">
        <v>794</v>
      </c>
      <c r="D459" s="99"/>
      <c r="E459" s="99"/>
    </row>
    <row r="460" spans="2:10" x14ac:dyDescent="0.25">
      <c r="B460" s="96" t="s">
        <v>744</v>
      </c>
      <c r="E460" s="97"/>
    </row>
    <row r="461" spans="2:10" x14ac:dyDescent="0.25">
      <c r="B461" s="98"/>
      <c r="C461" s="100" t="s">
        <v>745</v>
      </c>
      <c r="D461" s="100"/>
      <c r="E461" s="100"/>
    </row>
    <row r="462" spans="2:10" x14ac:dyDescent="0.25">
      <c r="B462" s="96" t="s">
        <v>746</v>
      </c>
      <c r="C462" s="88"/>
      <c r="D462" s="101"/>
      <c r="E462" s="101"/>
    </row>
    <row r="463" spans="2:10" x14ac:dyDescent="0.25">
      <c r="B463" s="98"/>
      <c r="C463" s="102" t="s">
        <v>747</v>
      </c>
      <c r="D463" s="102"/>
      <c r="E463" s="102"/>
    </row>
    <row r="464" spans="2:10" x14ac:dyDescent="0.25">
      <c r="B464" s="96" t="s">
        <v>748</v>
      </c>
    </row>
    <row r="465" spans="2:3" x14ac:dyDescent="0.25">
      <c r="B465" s="98"/>
      <c r="C465" s="87" t="s">
        <v>749</v>
      </c>
    </row>
  </sheetData>
  <sheetProtection selectLockedCells="1"/>
  <mergeCells count="125">
    <mergeCell ref="J220:P220"/>
    <mergeCell ref="J221:P221"/>
    <mergeCell ref="J9:N9"/>
    <mergeCell ref="J182:P182"/>
    <mergeCell ref="J183:P183"/>
    <mergeCell ref="J184:P184"/>
    <mergeCell ref="J188:P188"/>
    <mergeCell ref="J189:P189"/>
    <mergeCell ref="J123:P123"/>
    <mergeCell ref="J134:P134"/>
    <mergeCell ref="J135:P135"/>
    <mergeCell ref="J137:P137"/>
    <mergeCell ref="J140:P140"/>
    <mergeCell ref="J118:P118"/>
    <mergeCell ref="J119:P119"/>
    <mergeCell ref="J120:P120"/>
    <mergeCell ref="J121:P121"/>
    <mergeCell ref="J122:P122"/>
    <mergeCell ref="J111:P111"/>
    <mergeCell ref="J112:P112"/>
    <mergeCell ref="J114:O114"/>
    <mergeCell ref="J115:P115"/>
    <mergeCell ref="J117:P117"/>
    <mergeCell ref="J106:P106"/>
    <mergeCell ref="J107:P107"/>
    <mergeCell ref="J108:P108"/>
    <mergeCell ref="J109:P109"/>
    <mergeCell ref="J110:P110"/>
    <mergeCell ref="J71:P71"/>
    <mergeCell ref="J102:P102"/>
    <mergeCell ref="J103:P103"/>
    <mergeCell ref="J104:P104"/>
    <mergeCell ref="J105:P105"/>
    <mergeCell ref="J46:P46"/>
    <mergeCell ref="J64:O64"/>
    <mergeCell ref="J66:P66"/>
    <mergeCell ref="J68:P68"/>
    <mergeCell ref="J70:P70"/>
    <mergeCell ref="J32:O32"/>
    <mergeCell ref="J39:P39"/>
    <mergeCell ref="J40:O40"/>
    <mergeCell ref="J41:P41"/>
    <mergeCell ref="J45:P45"/>
    <mergeCell ref="J27:O27"/>
    <mergeCell ref="J28:O28"/>
    <mergeCell ref="J29:O29"/>
    <mergeCell ref="J30:O30"/>
    <mergeCell ref="J31:O31"/>
    <mergeCell ref="J15:O15"/>
    <mergeCell ref="J17:O17"/>
    <mergeCell ref="J22:N22"/>
    <mergeCell ref="J23:N23"/>
    <mergeCell ref="J26:O26"/>
    <mergeCell ref="J10:O10"/>
    <mergeCell ref="J11:O11"/>
    <mergeCell ref="J12:O12"/>
    <mergeCell ref="J13:O13"/>
    <mergeCell ref="J14:O14"/>
    <mergeCell ref="D238:I238"/>
    <mergeCell ref="D258:I258"/>
    <mergeCell ref="D271:J271"/>
    <mergeCell ref="D248:H248"/>
    <mergeCell ref="D267:J267"/>
    <mergeCell ref="D266:I266"/>
    <mergeCell ref="D265:J265"/>
    <mergeCell ref="D292:J292"/>
    <mergeCell ref="D294:J294"/>
    <mergeCell ref="D254:I254"/>
    <mergeCell ref="D255:I255"/>
    <mergeCell ref="D333:J333"/>
    <mergeCell ref="D272:J272"/>
    <mergeCell ref="D296:J296"/>
    <mergeCell ref="B2:H2"/>
    <mergeCell ref="A4:B4"/>
    <mergeCell ref="C4:E4"/>
    <mergeCell ref="A5:B5"/>
    <mergeCell ref="C5:I5"/>
    <mergeCell ref="C461:E461"/>
    <mergeCell ref="D330:J330"/>
    <mergeCell ref="D331:J331"/>
    <mergeCell ref="D332:J332"/>
    <mergeCell ref="D297:J297"/>
    <mergeCell ref="D328:J328"/>
    <mergeCell ref="D329:J329"/>
    <mergeCell ref="D360:J360"/>
    <mergeCell ref="D334:J334"/>
    <mergeCell ref="D335:J335"/>
    <mergeCell ref="D336:J336"/>
    <mergeCell ref="D409:J409"/>
    <mergeCell ref="D410:J410"/>
    <mergeCell ref="D414:J414"/>
    <mergeCell ref="D415:J415"/>
    <mergeCell ref="D446:J446"/>
    <mergeCell ref="D408:J408"/>
    <mergeCell ref="A6:B6"/>
    <mergeCell ref="A7:B7"/>
    <mergeCell ref="D241:I241"/>
    <mergeCell ref="C459:E459"/>
    <mergeCell ref="D237:I237"/>
    <mergeCell ref="D256:I256"/>
    <mergeCell ref="D257:I257"/>
    <mergeCell ref="D249:H249"/>
    <mergeCell ref="D253:I253"/>
    <mergeCell ref="D236:I236"/>
    <mergeCell ref="D240:I240"/>
    <mergeCell ref="D243:I243"/>
    <mergeCell ref="D239:I239"/>
    <mergeCell ref="D252:I252"/>
    <mergeCell ref="D290:I290"/>
    <mergeCell ref="D447:J447"/>
    <mergeCell ref="C463:E463"/>
    <mergeCell ref="D337:J337"/>
    <mergeCell ref="D338:J338"/>
    <mergeCell ref="D340:I340"/>
    <mergeCell ref="D341:J341"/>
    <mergeCell ref="D343:J343"/>
    <mergeCell ref="D344:J344"/>
    <mergeCell ref="D345:J345"/>
    <mergeCell ref="D346:J346"/>
    <mergeCell ref="D347:J347"/>
    <mergeCell ref="D348:J348"/>
    <mergeCell ref="D349:J349"/>
    <mergeCell ref="D361:J361"/>
    <mergeCell ref="D363:J363"/>
    <mergeCell ref="D366:J366"/>
  </mergeCells>
  <pageMargins left="0.7" right="0.234375" top="0.52696078431372551" bottom="0.31862745098039214" header="0.51180555555555496" footer="0.51180555555555496"/>
  <pageSetup paperSize="190" scale="60" firstPageNumber="0" orientation="landscape" verticalDpi="300" r:id="rId1"/>
  <rowBreaks count="3" manualBreakCount="3">
    <brk id="233" max="16383" man="1"/>
    <brk id="310" max="16383" man="1"/>
    <brk id="4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8CA7-A0C1-4288-9E15-C68180FC612B}">
  <dimension ref="A1:G223"/>
  <sheetViews>
    <sheetView topLeftCell="A194" workbookViewId="0">
      <selection activeCell="A2" sqref="A2:G223"/>
    </sheetView>
  </sheetViews>
  <sheetFormatPr baseColWidth="10" defaultRowHeight="12.75" x14ac:dyDescent="0.2"/>
  <cols>
    <col min="1" max="1" width="167.5703125" bestFit="1" customWidth="1"/>
  </cols>
  <sheetData>
    <row r="1" spans="1:7" x14ac:dyDescent="0.2">
      <c r="A1" t="s">
        <v>822</v>
      </c>
      <c r="B1" t="s">
        <v>823</v>
      </c>
    </row>
    <row r="2" spans="1:7" ht="13.5" x14ac:dyDescent="0.25">
      <c r="A2" s="20" t="s">
        <v>351</v>
      </c>
      <c r="B2" s="20"/>
      <c r="C2" s="20"/>
      <c r="D2" s="20"/>
      <c r="E2" s="20"/>
      <c r="F2" s="20"/>
      <c r="G2" s="5"/>
    </row>
    <row r="3" spans="1:7" ht="13.5" x14ac:dyDescent="0.25">
      <c r="A3" s="20" t="s">
        <v>353</v>
      </c>
      <c r="B3" s="20"/>
      <c r="C3" s="20"/>
      <c r="D3" s="20"/>
      <c r="E3" s="20"/>
      <c r="F3" s="20"/>
      <c r="G3" s="5"/>
    </row>
    <row r="4" spans="1:7" ht="13.5" x14ac:dyDescent="0.25">
      <c r="A4" s="20" t="s">
        <v>355</v>
      </c>
      <c r="B4" s="20"/>
      <c r="C4" s="20"/>
      <c r="D4" s="20"/>
      <c r="E4" s="20"/>
      <c r="F4" s="20"/>
      <c r="G4" s="5"/>
    </row>
    <row r="5" spans="1:7" ht="13.5" x14ac:dyDescent="0.25">
      <c r="A5" s="20" t="s">
        <v>357</v>
      </c>
      <c r="B5" s="20"/>
      <c r="C5" s="20"/>
      <c r="D5" s="20"/>
      <c r="E5" s="20"/>
      <c r="F5" s="20"/>
      <c r="G5" s="5"/>
    </row>
    <row r="6" spans="1:7" ht="13.5" x14ac:dyDescent="0.25">
      <c r="A6" s="20" t="s">
        <v>359</v>
      </c>
      <c r="B6" s="20"/>
      <c r="C6" s="20"/>
      <c r="D6" s="20"/>
      <c r="E6" s="20"/>
      <c r="F6" s="20"/>
      <c r="G6" s="5"/>
    </row>
    <row r="7" spans="1:7" ht="13.5" x14ac:dyDescent="0.25">
      <c r="A7" s="20" t="s">
        <v>361</v>
      </c>
      <c r="B7" s="20"/>
      <c r="C7" s="20"/>
      <c r="D7" s="20"/>
      <c r="E7" s="20"/>
      <c r="F7" s="20"/>
      <c r="G7" s="5"/>
    </row>
    <row r="8" spans="1:7" ht="13.5" x14ac:dyDescent="0.25">
      <c r="A8" s="3" t="s">
        <v>363</v>
      </c>
      <c r="B8" s="6"/>
      <c r="C8" s="6"/>
      <c r="D8" s="6"/>
      <c r="E8" s="6"/>
      <c r="F8" s="6"/>
      <c r="G8" s="5"/>
    </row>
    <row r="9" spans="1:7" ht="13.5" x14ac:dyDescent="0.2">
      <c r="A9" s="20" t="s">
        <v>365</v>
      </c>
      <c r="B9" s="20"/>
      <c r="C9" s="20"/>
      <c r="D9" s="20"/>
      <c r="E9" s="20"/>
      <c r="F9" s="20"/>
      <c r="G9" s="7"/>
    </row>
    <row r="10" spans="1:7" ht="13.5" x14ac:dyDescent="0.25">
      <c r="A10" s="18" t="s">
        <v>367</v>
      </c>
      <c r="B10" s="4"/>
      <c r="C10" s="4"/>
      <c r="D10" s="4"/>
      <c r="E10" s="4"/>
      <c r="F10" s="4"/>
      <c r="G10" s="5"/>
    </row>
    <row r="11" spans="1:7" ht="13.5" x14ac:dyDescent="0.25">
      <c r="A11" s="18" t="s">
        <v>369</v>
      </c>
      <c r="B11" s="4"/>
      <c r="C11" s="4"/>
      <c r="D11" s="4"/>
      <c r="E11" s="4"/>
      <c r="F11" s="4"/>
      <c r="G11" s="5"/>
    </row>
    <row r="12" spans="1:7" ht="13.5" x14ac:dyDescent="0.25">
      <c r="A12" s="18" t="s">
        <v>371</v>
      </c>
      <c r="B12" s="4"/>
      <c r="C12" s="4"/>
      <c r="D12" s="4"/>
      <c r="E12" s="4"/>
      <c r="F12" s="4"/>
      <c r="G12" s="5"/>
    </row>
    <row r="13" spans="1:7" ht="13.5" x14ac:dyDescent="0.25">
      <c r="A13" s="8" t="s">
        <v>801</v>
      </c>
      <c r="B13" s="4"/>
      <c r="C13" s="4"/>
      <c r="D13" s="4"/>
      <c r="E13" s="4"/>
      <c r="F13" s="4"/>
      <c r="G13" s="5"/>
    </row>
    <row r="14" spans="1:7" ht="13.5" x14ac:dyDescent="0.25">
      <c r="A14" s="28" t="s">
        <v>800</v>
      </c>
      <c r="B14" s="28"/>
      <c r="C14" s="28"/>
      <c r="D14" s="28"/>
      <c r="E14" s="28"/>
      <c r="F14" s="4"/>
      <c r="G14" s="5"/>
    </row>
    <row r="15" spans="1:7" ht="13.5" x14ac:dyDescent="0.25">
      <c r="A15" s="28" t="s">
        <v>799</v>
      </c>
      <c r="B15" s="28"/>
      <c r="C15" s="28"/>
      <c r="D15" s="28"/>
      <c r="E15" s="28"/>
      <c r="F15" s="4"/>
      <c r="G15" s="5"/>
    </row>
    <row r="16" spans="1:7" ht="13.5" x14ac:dyDescent="0.25">
      <c r="A16" s="18" t="s">
        <v>798</v>
      </c>
      <c r="B16" s="4"/>
      <c r="C16" s="4"/>
      <c r="D16" s="4"/>
      <c r="E16" s="4"/>
      <c r="F16" s="4"/>
      <c r="G16" s="5"/>
    </row>
    <row r="17" spans="1:7" ht="13.5" x14ac:dyDescent="0.25">
      <c r="A17" s="3" t="s">
        <v>377</v>
      </c>
      <c r="B17" s="6"/>
      <c r="C17" s="6"/>
      <c r="D17" s="6"/>
      <c r="E17" s="6"/>
      <c r="F17" s="6"/>
      <c r="G17" s="5"/>
    </row>
    <row r="18" spans="1:7" ht="13.5" x14ac:dyDescent="0.2">
      <c r="A18" s="20" t="s">
        <v>379</v>
      </c>
      <c r="B18" s="20"/>
      <c r="C18" s="20"/>
      <c r="D18" s="20"/>
      <c r="E18" s="20"/>
      <c r="F18" s="20"/>
      <c r="G18" s="9"/>
    </row>
    <row r="19" spans="1:7" ht="13.5" x14ac:dyDescent="0.25">
      <c r="A19" s="20" t="s">
        <v>381</v>
      </c>
      <c r="B19" s="20"/>
      <c r="C19" s="20"/>
      <c r="D19" s="20"/>
      <c r="E19" s="20"/>
      <c r="F19" s="20"/>
      <c r="G19" s="5"/>
    </row>
    <row r="20" spans="1:7" ht="13.5" x14ac:dyDescent="0.25">
      <c r="A20" s="20" t="s">
        <v>383</v>
      </c>
      <c r="B20" s="20"/>
      <c r="C20" s="20"/>
      <c r="D20" s="20"/>
      <c r="E20" s="20"/>
      <c r="F20" s="20"/>
      <c r="G20" s="5"/>
    </row>
    <row r="21" spans="1:7" ht="13.5" x14ac:dyDescent="0.25">
      <c r="A21" s="20" t="s">
        <v>385</v>
      </c>
      <c r="B21" s="20"/>
      <c r="C21" s="20"/>
      <c r="D21" s="20"/>
      <c r="E21" s="20"/>
      <c r="F21" s="20"/>
      <c r="G21" s="1"/>
    </row>
    <row r="22" spans="1:7" ht="13.5" x14ac:dyDescent="0.25">
      <c r="A22" s="20" t="s">
        <v>387</v>
      </c>
      <c r="B22" s="20"/>
      <c r="C22" s="20"/>
      <c r="D22" s="20"/>
      <c r="E22" s="20"/>
      <c r="F22" s="20"/>
      <c r="G22" s="5"/>
    </row>
    <row r="23" spans="1:7" ht="13.5" x14ac:dyDescent="0.25">
      <c r="A23" s="20" t="s">
        <v>389</v>
      </c>
      <c r="B23" s="20"/>
      <c r="C23" s="20"/>
      <c r="D23" s="20"/>
      <c r="E23" s="20"/>
      <c r="F23" s="20"/>
      <c r="G23" s="5"/>
    </row>
    <row r="24" spans="1:7" ht="13.5" x14ac:dyDescent="0.25">
      <c r="A24" s="20" t="s">
        <v>391</v>
      </c>
      <c r="B24" s="20"/>
      <c r="C24" s="20"/>
      <c r="D24" s="20"/>
      <c r="E24" s="20"/>
      <c r="F24" s="20"/>
      <c r="G24" s="1"/>
    </row>
    <row r="25" spans="1:7" ht="13.5" x14ac:dyDescent="0.25">
      <c r="A25" s="18" t="s">
        <v>393</v>
      </c>
      <c r="B25" s="4"/>
      <c r="C25" s="4"/>
      <c r="D25" s="4"/>
      <c r="E25" s="4"/>
      <c r="F25" s="4"/>
      <c r="G25" s="5"/>
    </row>
    <row r="26" spans="1:7" ht="13.5" x14ac:dyDescent="0.25">
      <c r="A26" s="18" t="s">
        <v>395</v>
      </c>
      <c r="B26" s="4"/>
      <c r="C26" s="4"/>
      <c r="D26" s="4"/>
      <c r="E26" s="4"/>
      <c r="F26" s="4"/>
      <c r="G26" s="5"/>
    </row>
    <row r="27" spans="1:7" ht="13.5" x14ac:dyDescent="0.2">
      <c r="A27" s="2" t="s">
        <v>398</v>
      </c>
      <c r="B27" s="2"/>
      <c r="C27" s="2"/>
      <c r="D27" s="2"/>
      <c r="E27" s="2"/>
      <c r="F27" s="2"/>
      <c r="G27" s="10"/>
    </row>
    <row r="28" spans="1:7" ht="13.5" x14ac:dyDescent="0.25">
      <c r="A28" s="18" t="s">
        <v>400</v>
      </c>
      <c r="B28" s="4"/>
      <c r="C28" s="4"/>
      <c r="D28" s="4"/>
      <c r="E28" s="4"/>
      <c r="F28" s="4"/>
      <c r="G28" s="5"/>
    </row>
    <row r="29" spans="1:7" ht="13.5" x14ac:dyDescent="0.25">
      <c r="A29" s="18" t="s">
        <v>402</v>
      </c>
      <c r="B29" s="4"/>
      <c r="C29" s="4"/>
      <c r="D29" s="4"/>
      <c r="E29" s="4"/>
      <c r="F29" s="4"/>
      <c r="G29" s="5"/>
    </row>
    <row r="30" spans="1:7" ht="13.5" x14ac:dyDescent="0.25">
      <c r="A30" s="18" t="s">
        <v>404</v>
      </c>
      <c r="B30" s="4"/>
      <c r="C30" s="4"/>
      <c r="D30" s="4"/>
      <c r="E30" s="4"/>
      <c r="F30" s="4"/>
      <c r="G30" s="5"/>
    </row>
    <row r="31" spans="1:7" x14ac:dyDescent="0.2">
      <c r="A31" s="22" t="s">
        <v>406</v>
      </c>
      <c r="B31" s="23"/>
      <c r="C31" s="23"/>
      <c r="D31" s="23"/>
      <c r="E31" s="23"/>
      <c r="F31" s="23"/>
      <c r="G31" s="24"/>
    </row>
    <row r="32" spans="1:7" ht="13.5" x14ac:dyDescent="0.25">
      <c r="A32" s="30" t="s">
        <v>408</v>
      </c>
      <c r="B32" s="30"/>
      <c r="C32" s="30"/>
      <c r="D32" s="30"/>
      <c r="E32" s="30"/>
      <c r="F32" s="30"/>
      <c r="G32" s="11"/>
    </row>
    <row r="33" spans="1:7" x14ac:dyDescent="0.2">
      <c r="A33" s="20" t="s">
        <v>410</v>
      </c>
      <c r="B33" s="23"/>
      <c r="C33" s="23"/>
      <c r="D33" s="23"/>
      <c r="E33" s="23"/>
      <c r="F33" s="23"/>
      <c r="G33" s="24"/>
    </row>
    <row r="34" spans="1:7" ht="13.5" x14ac:dyDescent="0.25">
      <c r="A34" s="3" t="s">
        <v>412</v>
      </c>
      <c r="B34" s="6"/>
      <c r="C34" s="6"/>
      <c r="D34" s="6"/>
      <c r="E34" s="6"/>
      <c r="F34" s="6"/>
      <c r="G34" s="11"/>
    </row>
    <row r="35" spans="1:7" ht="13.5" x14ac:dyDescent="0.25">
      <c r="A35" s="3" t="s">
        <v>414</v>
      </c>
      <c r="B35" s="6"/>
      <c r="C35" s="6"/>
      <c r="D35" s="6"/>
      <c r="E35" s="6"/>
      <c r="F35" s="6"/>
      <c r="G35" s="11"/>
    </row>
    <row r="36" spans="1:7" ht="13.5" x14ac:dyDescent="0.25">
      <c r="A36" s="3" t="s">
        <v>416</v>
      </c>
      <c r="B36" s="6"/>
      <c r="C36" s="6"/>
      <c r="D36" s="6"/>
      <c r="E36" s="6"/>
      <c r="F36" s="6"/>
      <c r="G36" s="11"/>
    </row>
    <row r="37" spans="1:7" x14ac:dyDescent="0.2">
      <c r="A37" s="20" t="s">
        <v>418</v>
      </c>
      <c r="B37" s="23"/>
      <c r="C37" s="23"/>
      <c r="D37" s="23"/>
      <c r="E37" s="23"/>
      <c r="F37" s="23"/>
      <c r="G37" s="24"/>
    </row>
    <row r="38" spans="1:7" x14ac:dyDescent="0.2">
      <c r="A38" s="22" t="s">
        <v>420</v>
      </c>
      <c r="B38" s="23"/>
      <c r="C38" s="23"/>
      <c r="D38" s="23"/>
      <c r="E38" s="23"/>
      <c r="F38" s="23"/>
      <c r="G38" s="24"/>
    </row>
    <row r="39" spans="1:7" ht="13.5" x14ac:dyDescent="0.25">
      <c r="A39" s="12" t="s">
        <v>422</v>
      </c>
      <c r="B39" s="13"/>
      <c r="C39" s="13"/>
      <c r="D39" s="13"/>
      <c r="E39" s="13"/>
      <c r="F39" s="17"/>
      <c r="G39" s="19"/>
    </row>
    <row r="40" spans="1:7" ht="13.5" x14ac:dyDescent="0.25">
      <c r="A40" s="12" t="s">
        <v>424</v>
      </c>
      <c r="B40" s="13"/>
      <c r="C40" s="13"/>
      <c r="D40" s="13"/>
      <c r="E40" s="13"/>
      <c r="F40" s="17"/>
      <c r="G40" s="19"/>
    </row>
    <row r="41" spans="1:7" ht="13.5" x14ac:dyDescent="0.25">
      <c r="A41" s="12" t="s">
        <v>796</v>
      </c>
      <c r="B41" s="13"/>
      <c r="C41" s="17"/>
      <c r="D41" s="17"/>
      <c r="E41" s="17"/>
      <c r="F41" s="17"/>
      <c r="G41" s="19"/>
    </row>
    <row r="42" spans="1:7" ht="13.5" x14ac:dyDescent="0.25">
      <c r="A42" s="12" t="s">
        <v>797</v>
      </c>
      <c r="B42" s="13"/>
      <c r="C42" s="17"/>
      <c r="D42" s="17"/>
      <c r="E42" s="17"/>
      <c r="F42" s="17"/>
      <c r="G42" s="19"/>
    </row>
    <row r="43" spans="1:7" ht="13.5" x14ac:dyDescent="0.25">
      <c r="A43" s="12" t="s">
        <v>428</v>
      </c>
      <c r="B43" s="13"/>
      <c r="C43" s="17"/>
      <c r="D43" s="17"/>
      <c r="E43" s="17"/>
      <c r="F43" s="17"/>
      <c r="G43" s="19"/>
    </row>
    <row r="44" spans="1:7" ht="13.5" x14ac:dyDescent="0.25">
      <c r="A44" s="12" t="s">
        <v>430</v>
      </c>
      <c r="B44" s="13"/>
      <c r="C44" s="17"/>
      <c r="D44" s="17"/>
      <c r="E44" s="17"/>
      <c r="F44" s="17"/>
      <c r="G44" s="19"/>
    </row>
    <row r="45" spans="1:7" ht="13.5" x14ac:dyDescent="0.25">
      <c r="A45" s="12" t="s">
        <v>432</v>
      </c>
      <c r="B45" s="13"/>
      <c r="C45" s="17"/>
      <c r="D45" s="17" t="s">
        <v>433</v>
      </c>
      <c r="E45" s="17"/>
      <c r="F45" s="17"/>
      <c r="G45" s="19"/>
    </row>
    <row r="46" spans="1:7" ht="13.5" x14ac:dyDescent="0.25">
      <c r="A46" s="12" t="s">
        <v>435</v>
      </c>
      <c r="B46" s="13"/>
      <c r="C46" s="17"/>
      <c r="D46" s="17"/>
      <c r="E46" s="17"/>
      <c r="F46" s="17"/>
      <c r="G46" s="19"/>
    </row>
    <row r="47" spans="1:7" ht="13.5" x14ac:dyDescent="0.25">
      <c r="A47" s="12" t="s">
        <v>437</v>
      </c>
      <c r="B47" s="13"/>
      <c r="C47" s="17"/>
      <c r="D47" s="17"/>
      <c r="E47" s="17"/>
      <c r="F47" s="17"/>
      <c r="G47" s="19"/>
    </row>
    <row r="48" spans="1:7" ht="13.5" x14ac:dyDescent="0.25">
      <c r="A48" s="12" t="s">
        <v>439</v>
      </c>
      <c r="B48" s="13"/>
      <c r="C48" s="17"/>
      <c r="D48" s="17"/>
      <c r="E48" s="17"/>
      <c r="F48" s="17"/>
      <c r="G48" s="19"/>
    </row>
    <row r="49" spans="1:7" ht="13.5" x14ac:dyDescent="0.25">
      <c r="A49" s="12" t="s">
        <v>441</v>
      </c>
      <c r="B49" s="13"/>
      <c r="C49" s="17"/>
      <c r="D49" s="17"/>
      <c r="E49" s="17"/>
      <c r="F49" s="17"/>
      <c r="G49" s="19"/>
    </row>
    <row r="50" spans="1:7" ht="13.5" x14ac:dyDescent="0.25">
      <c r="A50" s="12" t="s">
        <v>443</v>
      </c>
      <c r="B50" s="13"/>
      <c r="C50" s="17"/>
      <c r="D50" s="17"/>
      <c r="E50" s="17"/>
      <c r="F50" s="17"/>
      <c r="G50" s="19"/>
    </row>
    <row r="51" spans="1:7" ht="13.5" x14ac:dyDescent="0.25">
      <c r="A51" s="12" t="s">
        <v>445</v>
      </c>
      <c r="B51" s="13"/>
      <c r="C51" s="17"/>
      <c r="D51" s="17"/>
      <c r="E51" s="17"/>
      <c r="F51" s="17"/>
      <c r="G51" s="19"/>
    </row>
    <row r="52" spans="1:7" ht="13.5" x14ac:dyDescent="0.25">
      <c r="A52" s="12" t="s">
        <v>802</v>
      </c>
      <c r="B52" s="13"/>
      <c r="C52" s="17"/>
      <c r="D52" s="17"/>
      <c r="E52" s="17"/>
      <c r="F52" s="17"/>
      <c r="G52" s="19"/>
    </row>
    <row r="53" spans="1:7" ht="13.5" x14ac:dyDescent="0.25">
      <c r="A53" s="12" t="s">
        <v>448</v>
      </c>
      <c r="B53" s="13"/>
      <c r="C53" s="13"/>
      <c r="D53" s="13"/>
      <c r="E53" s="13"/>
      <c r="F53" s="4"/>
      <c r="G53" s="5"/>
    </row>
    <row r="54" spans="1:7" ht="13.5" x14ac:dyDescent="0.25">
      <c r="A54" s="18" t="s">
        <v>450</v>
      </c>
      <c r="B54" s="1"/>
      <c r="C54" s="4"/>
      <c r="D54" s="4"/>
      <c r="E54" s="4"/>
      <c r="F54" s="4"/>
      <c r="G54" s="5"/>
    </row>
    <row r="55" spans="1:7" ht="13.5" x14ac:dyDescent="0.25">
      <c r="A55" s="3" t="s">
        <v>452</v>
      </c>
      <c r="B55" s="6"/>
      <c r="C55" s="6"/>
      <c r="D55" s="6"/>
      <c r="E55" s="6"/>
      <c r="F55" s="6"/>
      <c r="G55" s="11"/>
    </row>
    <row r="56" spans="1:7" ht="13.5" x14ac:dyDescent="0.2">
      <c r="A56" s="20" t="s">
        <v>454</v>
      </c>
      <c r="B56" s="20"/>
      <c r="C56" s="20"/>
      <c r="D56" s="20"/>
      <c r="E56" s="20"/>
      <c r="F56" s="20"/>
      <c r="G56" s="9"/>
    </row>
    <row r="57" spans="1:7" ht="13.5" x14ac:dyDescent="0.25">
      <c r="A57" s="3" t="s">
        <v>456</v>
      </c>
      <c r="B57" s="6"/>
      <c r="C57" s="6"/>
      <c r="D57" s="6"/>
      <c r="E57" s="6"/>
      <c r="F57" s="6"/>
      <c r="G57" s="11"/>
    </row>
    <row r="58" spans="1:7" x14ac:dyDescent="0.2">
      <c r="A58" s="29" t="s">
        <v>458</v>
      </c>
      <c r="B58" s="23"/>
      <c r="C58" s="23"/>
      <c r="D58" s="23"/>
      <c r="E58" s="23"/>
      <c r="F58" s="23"/>
      <c r="G58" s="24"/>
    </row>
    <row r="59" spans="1:7" ht="13.5" x14ac:dyDescent="0.25">
      <c r="A59" s="18" t="s">
        <v>460</v>
      </c>
      <c r="B59" s="4"/>
      <c r="C59" s="4"/>
      <c r="D59" s="4"/>
      <c r="E59" s="4"/>
      <c r="F59" s="4"/>
      <c r="G59" s="5"/>
    </row>
    <row r="60" spans="1:7" x14ac:dyDescent="0.2">
      <c r="A60" s="20" t="s">
        <v>462</v>
      </c>
      <c r="B60" s="23"/>
      <c r="C60" s="23"/>
      <c r="D60" s="23"/>
      <c r="E60" s="23"/>
      <c r="F60" s="23"/>
      <c r="G60" s="24"/>
    </row>
    <row r="61" spans="1:7" ht="13.5" x14ac:dyDescent="0.25">
      <c r="A61" s="18" t="s">
        <v>464</v>
      </c>
      <c r="B61" s="4"/>
      <c r="C61" s="4"/>
      <c r="D61" s="4"/>
      <c r="E61" s="4"/>
      <c r="F61" s="4"/>
      <c r="G61" s="5"/>
    </row>
    <row r="62" spans="1:7" x14ac:dyDescent="0.2">
      <c r="A62" s="22" t="s">
        <v>466</v>
      </c>
      <c r="B62" s="23"/>
      <c r="C62" s="23"/>
      <c r="D62" s="23"/>
      <c r="E62" s="23"/>
      <c r="F62" s="23"/>
      <c r="G62" s="24"/>
    </row>
    <row r="63" spans="1:7" x14ac:dyDescent="0.2">
      <c r="A63" s="22" t="s">
        <v>468</v>
      </c>
      <c r="B63" s="23"/>
      <c r="C63" s="23"/>
      <c r="D63" s="23"/>
      <c r="E63" s="23"/>
      <c r="F63" s="23"/>
      <c r="G63" s="24"/>
    </row>
    <row r="64" spans="1:7" ht="13.5" x14ac:dyDescent="0.25">
      <c r="A64" s="12" t="s">
        <v>470</v>
      </c>
      <c r="B64" s="13"/>
      <c r="C64" s="13"/>
      <c r="D64" s="13"/>
      <c r="E64" s="13"/>
      <c r="F64" s="13"/>
      <c r="G64" s="5"/>
    </row>
    <row r="65" spans="1:7" ht="13.5" x14ac:dyDescent="0.25">
      <c r="A65" s="18" t="s">
        <v>472</v>
      </c>
      <c r="B65" s="4"/>
      <c r="C65" s="4"/>
      <c r="D65" s="4"/>
      <c r="E65" s="4"/>
      <c r="F65" s="4"/>
      <c r="G65" s="5"/>
    </row>
    <row r="66" spans="1:7" ht="13.5" x14ac:dyDescent="0.25">
      <c r="A66" s="18" t="s">
        <v>474</v>
      </c>
      <c r="B66" s="4"/>
      <c r="C66" s="4"/>
      <c r="D66" s="4"/>
      <c r="E66" s="4"/>
      <c r="F66" s="4"/>
      <c r="G66" s="5"/>
    </row>
    <row r="67" spans="1:7" ht="13.5" x14ac:dyDescent="0.25">
      <c r="A67" s="18" t="s">
        <v>476</v>
      </c>
      <c r="B67" s="4"/>
      <c r="C67" s="4"/>
      <c r="D67" s="4"/>
      <c r="E67" s="4"/>
      <c r="F67" s="4"/>
      <c r="G67" s="5"/>
    </row>
    <row r="68" spans="1:7" ht="13.5" x14ac:dyDescent="0.25">
      <c r="A68" s="18" t="s">
        <v>478</v>
      </c>
      <c r="B68" s="4"/>
      <c r="C68" s="4"/>
      <c r="D68" s="4"/>
      <c r="E68" s="4"/>
      <c r="F68" s="4"/>
      <c r="G68" s="5"/>
    </row>
    <row r="69" spans="1:7" ht="13.5" x14ac:dyDescent="0.25">
      <c r="A69" s="18" t="s">
        <v>480</v>
      </c>
      <c r="B69" s="4"/>
      <c r="C69" s="4"/>
      <c r="D69" s="4"/>
      <c r="E69" s="4"/>
      <c r="F69" s="4"/>
      <c r="G69" s="5"/>
    </row>
    <row r="70" spans="1:7" ht="13.5" x14ac:dyDescent="0.25">
      <c r="A70" s="18" t="s">
        <v>482</v>
      </c>
      <c r="B70" s="4"/>
      <c r="C70" s="4"/>
      <c r="D70" s="4"/>
      <c r="E70" s="4"/>
      <c r="F70" s="4"/>
      <c r="G70" s="5"/>
    </row>
    <row r="71" spans="1:7" ht="13.5" x14ac:dyDescent="0.25">
      <c r="A71" s="18" t="s">
        <v>484</v>
      </c>
      <c r="B71" s="4"/>
      <c r="C71" s="4"/>
      <c r="D71" s="4"/>
      <c r="E71" s="4"/>
      <c r="F71" s="4"/>
      <c r="G71" s="5"/>
    </row>
    <row r="72" spans="1:7" ht="13.5" x14ac:dyDescent="0.25">
      <c r="A72" s="18" t="s">
        <v>486</v>
      </c>
      <c r="B72" s="4"/>
      <c r="C72" s="4"/>
      <c r="D72" s="4"/>
      <c r="E72" s="4"/>
      <c r="F72" s="4"/>
      <c r="G72" s="5"/>
    </row>
    <row r="73" spans="1:7" ht="13.5" x14ac:dyDescent="0.25">
      <c r="A73" s="18" t="s">
        <v>488</v>
      </c>
      <c r="B73" s="4"/>
      <c r="C73" s="4"/>
      <c r="D73" s="4"/>
      <c r="E73" s="4"/>
      <c r="F73" s="4"/>
      <c r="G73" s="5"/>
    </row>
    <row r="74" spans="1:7" ht="13.5" x14ac:dyDescent="0.25">
      <c r="A74" s="18" t="s">
        <v>490</v>
      </c>
      <c r="B74" s="4"/>
      <c r="C74" s="4"/>
      <c r="D74" s="4"/>
      <c r="E74" s="4"/>
      <c r="F74" s="4"/>
      <c r="G74" s="5"/>
    </row>
    <row r="75" spans="1:7" ht="13.5" x14ac:dyDescent="0.25">
      <c r="A75" s="18" t="s">
        <v>492</v>
      </c>
      <c r="B75" s="4"/>
      <c r="C75" s="4"/>
      <c r="D75" s="4"/>
      <c r="E75" s="4"/>
      <c r="F75" s="4"/>
      <c r="G75" s="5"/>
    </row>
    <row r="76" spans="1:7" ht="13.5" x14ac:dyDescent="0.25">
      <c r="A76" s="3" t="s">
        <v>494</v>
      </c>
      <c r="B76" s="6"/>
      <c r="C76" s="6"/>
      <c r="D76" s="6"/>
      <c r="E76" s="6"/>
      <c r="F76" s="6"/>
      <c r="G76" s="11"/>
    </row>
    <row r="77" spans="1:7" ht="13.5" x14ac:dyDescent="0.25">
      <c r="A77" s="3" t="s">
        <v>496</v>
      </c>
      <c r="B77" s="6"/>
      <c r="C77" s="6"/>
      <c r="D77" s="6"/>
      <c r="E77" s="6"/>
      <c r="F77" s="6"/>
      <c r="G77" s="11"/>
    </row>
    <row r="78" spans="1:7" ht="13.5" x14ac:dyDescent="0.25">
      <c r="A78" s="3" t="s">
        <v>803</v>
      </c>
      <c r="B78" s="6"/>
      <c r="C78" s="6"/>
      <c r="D78" s="6"/>
      <c r="E78" s="6"/>
      <c r="F78" s="6"/>
      <c r="G78" s="11"/>
    </row>
    <row r="79" spans="1:7" ht="13.5" x14ac:dyDescent="0.25">
      <c r="A79" s="3" t="s">
        <v>499</v>
      </c>
      <c r="B79" s="6"/>
      <c r="C79" s="6"/>
      <c r="D79" s="6"/>
      <c r="E79" s="6"/>
      <c r="F79" s="6"/>
      <c r="G79" s="11"/>
    </row>
    <row r="80" spans="1:7" ht="13.5" x14ac:dyDescent="0.25">
      <c r="A80" s="3" t="s">
        <v>501</v>
      </c>
      <c r="B80" s="6"/>
      <c r="C80" s="6"/>
      <c r="D80" s="6"/>
      <c r="E80" s="6"/>
      <c r="F80" s="6"/>
      <c r="G80" s="11"/>
    </row>
    <row r="81" spans="1:7" ht="13.5" x14ac:dyDescent="0.25">
      <c r="A81" s="3" t="s">
        <v>503</v>
      </c>
      <c r="B81" s="6"/>
      <c r="C81" s="6"/>
      <c r="D81" s="6"/>
      <c r="E81" s="6"/>
      <c r="F81" s="6"/>
      <c r="G81" s="11"/>
    </row>
    <row r="82" spans="1:7" ht="13.5" x14ac:dyDescent="0.25">
      <c r="A82" s="3" t="s">
        <v>505</v>
      </c>
      <c r="B82" s="6"/>
      <c r="C82" s="6"/>
      <c r="D82" s="6"/>
      <c r="E82" s="6"/>
      <c r="F82" s="6"/>
      <c r="G82" s="11"/>
    </row>
    <row r="83" spans="1:7" ht="13.5" x14ac:dyDescent="0.25">
      <c r="A83" s="3" t="s">
        <v>507</v>
      </c>
      <c r="B83" s="6"/>
      <c r="C83" s="6"/>
      <c r="D83" s="6"/>
      <c r="E83" s="6"/>
      <c r="F83" s="6"/>
      <c r="G83" s="11"/>
    </row>
    <row r="84" spans="1:7" ht="13.5" x14ac:dyDescent="0.25">
      <c r="A84" s="3" t="s">
        <v>509</v>
      </c>
      <c r="B84" s="6"/>
      <c r="C84" s="6"/>
      <c r="D84" s="6"/>
      <c r="E84" s="6"/>
      <c r="F84" s="6"/>
      <c r="G84" s="11"/>
    </row>
    <row r="85" spans="1:7" ht="13.5" x14ac:dyDescent="0.25">
      <c r="A85" s="3" t="s">
        <v>511</v>
      </c>
      <c r="B85" s="6"/>
      <c r="C85" s="6"/>
      <c r="D85" s="6"/>
      <c r="E85" s="6"/>
      <c r="F85" s="6"/>
      <c r="G85" s="11"/>
    </row>
    <row r="86" spans="1:7" ht="13.5" x14ac:dyDescent="0.25">
      <c r="A86" s="3" t="s">
        <v>513</v>
      </c>
      <c r="B86" s="6"/>
      <c r="C86" s="6"/>
      <c r="D86" s="6"/>
      <c r="E86" s="6"/>
      <c r="F86" s="6"/>
      <c r="G86" s="11"/>
    </row>
    <row r="87" spans="1:7" ht="13.5" x14ac:dyDescent="0.25">
      <c r="A87" s="3" t="s">
        <v>515</v>
      </c>
      <c r="B87" s="6"/>
      <c r="C87" s="6"/>
      <c r="D87" s="6"/>
      <c r="E87" s="6"/>
      <c r="F87" s="6"/>
      <c r="G87" s="11"/>
    </row>
    <row r="88" spans="1:7" ht="13.5" x14ac:dyDescent="0.25">
      <c r="A88" s="3" t="s">
        <v>517</v>
      </c>
      <c r="B88" s="6"/>
      <c r="C88" s="6"/>
      <c r="D88" s="6"/>
      <c r="E88" s="6"/>
      <c r="F88" s="6"/>
      <c r="G88" s="11"/>
    </row>
    <row r="89" spans="1:7" ht="13.5" x14ac:dyDescent="0.25">
      <c r="A89" s="3" t="s">
        <v>519</v>
      </c>
      <c r="B89" s="6"/>
      <c r="C89" s="6"/>
      <c r="D89" s="6"/>
      <c r="E89" s="6"/>
      <c r="F89" s="6"/>
      <c r="G89" s="11"/>
    </row>
    <row r="90" spans="1:7" ht="13.5" x14ac:dyDescent="0.25">
      <c r="A90" s="3" t="s">
        <v>521</v>
      </c>
      <c r="B90" s="6"/>
      <c r="C90" s="6"/>
      <c r="D90" s="6"/>
      <c r="E90" s="6"/>
      <c r="F90" s="6"/>
      <c r="G90" s="11"/>
    </row>
    <row r="91" spans="1:7" ht="13.5" x14ac:dyDescent="0.2">
      <c r="A91" s="18" t="s">
        <v>523</v>
      </c>
      <c r="B91" s="17"/>
      <c r="C91" s="17"/>
      <c r="D91" s="17"/>
      <c r="E91" s="17"/>
      <c r="F91" s="17"/>
      <c r="G91" s="19"/>
    </row>
    <row r="92" spans="1:7" ht="13.5" x14ac:dyDescent="0.25">
      <c r="A92" s="12" t="s">
        <v>525</v>
      </c>
      <c r="B92" s="13"/>
      <c r="C92" s="13"/>
      <c r="D92" s="17"/>
      <c r="E92" s="17"/>
      <c r="F92" s="17"/>
      <c r="G92" s="19"/>
    </row>
    <row r="93" spans="1:7" ht="13.5" x14ac:dyDescent="0.25">
      <c r="A93" s="12" t="s">
        <v>527</v>
      </c>
      <c r="B93" s="13"/>
      <c r="C93" s="13"/>
      <c r="D93" s="13"/>
      <c r="E93" s="17"/>
      <c r="F93" s="17"/>
      <c r="G93" s="19"/>
    </row>
    <row r="94" spans="1:7" x14ac:dyDescent="0.2">
      <c r="A94" s="22" t="s">
        <v>529</v>
      </c>
      <c r="B94" s="23"/>
      <c r="C94" s="23"/>
      <c r="D94" s="23"/>
      <c r="E94" s="23"/>
      <c r="F94" s="23"/>
      <c r="G94" s="24"/>
    </row>
    <row r="95" spans="1:7" x14ac:dyDescent="0.2">
      <c r="A95" s="22" t="s">
        <v>531</v>
      </c>
      <c r="B95" s="23"/>
      <c r="C95" s="23"/>
      <c r="D95" s="23"/>
      <c r="E95" s="23"/>
      <c r="F95" s="23"/>
      <c r="G95" s="24"/>
    </row>
    <row r="96" spans="1:7" x14ac:dyDescent="0.2">
      <c r="A96" s="22" t="s">
        <v>533</v>
      </c>
      <c r="B96" s="23"/>
      <c r="C96" s="23"/>
      <c r="D96" s="23"/>
      <c r="E96" s="23"/>
      <c r="F96" s="23"/>
      <c r="G96" s="24"/>
    </row>
    <row r="97" spans="1:7" x14ac:dyDescent="0.2">
      <c r="A97" s="22" t="s">
        <v>535</v>
      </c>
      <c r="B97" s="23"/>
      <c r="C97" s="23"/>
      <c r="D97" s="23"/>
      <c r="E97" s="23"/>
      <c r="F97" s="23"/>
      <c r="G97" s="24"/>
    </row>
    <row r="98" spans="1:7" x14ac:dyDescent="0.2">
      <c r="A98" s="22" t="s">
        <v>537</v>
      </c>
      <c r="B98" s="23"/>
      <c r="C98" s="23"/>
      <c r="D98" s="23"/>
      <c r="E98" s="23"/>
      <c r="F98" s="23"/>
      <c r="G98" s="24"/>
    </row>
    <row r="99" spans="1:7" x14ac:dyDescent="0.2">
      <c r="A99" s="22" t="s">
        <v>539</v>
      </c>
      <c r="B99" s="23"/>
      <c r="C99" s="23"/>
      <c r="D99" s="23"/>
      <c r="E99" s="23"/>
      <c r="F99" s="23"/>
      <c r="G99" s="24"/>
    </row>
    <row r="100" spans="1:7" x14ac:dyDescent="0.2">
      <c r="A100" s="22" t="s">
        <v>793</v>
      </c>
      <c r="B100" s="23"/>
      <c r="C100" s="23"/>
      <c r="D100" s="23"/>
      <c r="E100" s="23"/>
      <c r="F100" s="23"/>
      <c r="G100" s="24"/>
    </row>
    <row r="101" spans="1:7" x14ac:dyDescent="0.2">
      <c r="A101" s="22" t="s">
        <v>542</v>
      </c>
      <c r="B101" s="23"/>
      <c r="C101" s="23"/>
      <c r="D101" s="23"/>
      <c r="E101" s="23"/>
      <c r="F101" s="23"/>
      <c r="G101" s="24"/>
    </row>
    <row r="102" spans="1:7" x14ac:dyDescent="0.2">
      <c r="A102" s="22" t="s">
        <v>804</v>
      </c>
      <c r="B102" s="23"/>
      <c r="C102" s="23"/>
      <c r="D102" s="23"/>
      <c r="E102" s="23"/>
      <c r="F102" s="23"/>
      <c r="G102" s="24"/>
    </row>
    <row r="103" spans="1:7" x14ac:dyDescent="0.2">
      <c r="A103" s="22" t="s">
        <v>545</v>
      </c>
      <c r="B103" s="23"/>
      <c r="C103" s="23"/>
      <c r="D103" s="23"/>
      <c r="E103" s="23"/>
      <c r="F103" s="23"/>
      <c r="G103" s="24"/>
    </row>
    <row r="104" spans="1:7" x14ac:dyDescent="0.2">
      <c r="A104" s="22" t="s">
        <v>547</v>
      </c>
      <c r="B104" s="23"/>
      <c r="C104" s="23"/>
      <c r="D104" s="23"/>
      <c r="E104" s="23"/>
      <c r="F104" s="23"/>
      <c r="G104" s="24"/>
    </row>
    <row r="105" spans="1:7" ht="13.5" x14ac:dyDescent="0.25">
      <c r="A105" s="3" t="s">
        <v>549</v>
      </c>
      <c r="B105" s="6"/>
      <c r="C105" s="6"/>
      <c r="D105" s="6"/>
      <c r="E105" s="6"/>
      <c r="F105" s="6"/>
      <c r="G105" s="5"/>
    </row>
    <row r="106" spans="1:7" ht="13.5" x14ac:dyDescent="0.25">
      <c r="A106" s="25" t="s">
        <v>551</v>
      </c>
      <c r="B106" s="25"/>
      <c r="C106" s="25"/>
      <c r="D106" s="25"/>
      <c r="E106" s="25"/>
      <c r="F106" s="25"/>
      <c r="G106" s="11"/>
    </row>
    <row r="107" spans="1:7" x14ac:dyDescent="0.2">
      <c r="A107" s="20" t="s">
        <v>553</v>
      </c>
      <c r="B107" s="23"/>
      <c r="C107" s="23"/>
      <c r="D107" s="23"/>
      <c r="E107" s="23"/>
      <c r="F107" s="23"/>
      <c r="G107" s="24"/>
    </row>
    <row r="108" spans="1:7" ht="13.5" x14ac:dyDescent="0.25">
      <c r="A108" s="3" t="s">
        <v>555</v>
      </c>
      <c r="B108" s="6"/>
      <c r="C108" s="6"/>
      <c r="D108" s="6"/>
      <c r="E108" s="6"/>
      <c r="F108" s="6"/>
      <c r="G108" s="11"/>
    </row>
    <row r="109" spans="1:7" x14ac:dyDescent="0.2">
      <c r="A109" s="22" t="s">
        <v>557</v>
      </c>
      <c r="B109" s="23"/>
      <c r="C109" s="23"/>
      <c r="D109" s="23"/>
      <c r="E109" s="23"/>
      <c r="F109" s="23"/>
      <c r="G109" s="24"/>
    </row>
    <row r="110" spans="1:7" x14ac:dyDescent="0.2">
      <c r="A110" s="26" t="s">
        <v>559</v>
      </c>
      <c r="B110" s="23"/>
      <c r="C110" s="23"/>
      <c r="D110" s="23"/>
      <c r="E110" s="23"/>
      <c r="F110" s="23"/>
      <c r="G110" s="24"/>
    </row>
    <row r="111" spans="1:7" x14ac:dyDescent="0.2">
      <c r="A111" s="20" t="s">
        <v>561</v>
      </c>
      <c r="B111" s="23"/>
      <c r="C111" s="23"/>
      <c r="D111" s="23"/>
      <c r="E111" s="23"/>
      <c r="F111" s="23"/>
      <c r="G111" s="24"/>
    </row>
    <row r="112" spans="1:7" x14ac:dyDescent="0.2">
      <c r="A112" s="27" t="s">
        <v>563</v>
      </c>
      <c r="B112" s="23"/>
      <c r="C112" s="23"/>
      <c r="D112" s="23"/>
      <c r="E112" s="23"/>
      <c r="F112" s="23"/>
      <c r="G112" s="24"/>
    </row>
    <row r="113" spans="1:7" x14ac:dyDescent="0.2">
      <c r="A113" s="20" t="s">
        <v>565</v>
      </c>
      <c r="B113" s="23"/>
      <c r="C113" s="23"/>
      <c r="D113" s="23"/>
      <c r="E113" s="23"/>
      <c r="F113" s="23"/>
      <c r="G113" s="24"/>
    </row>
    <row r="114" spans="1:7" x14ac:dyDescent="0.2">
      <c r="A114" s="22" t="s">
        <v>567</v>
      </c>
      <c r="B114" s="23"/>
      <c r="C114" s="23"/>
      <c r="D114" s="23"/>
      <c r="E114" s="23"/>
      <c r="F114" s="23"/>
      <c r="G114" s="24"/>
    </row>
    <row r="115" spans="1:7" x14ac:dyDescent="0.2">
      <c r="A115" s="22" t="s">
        <v>569</v>
      </c>
      <c r="B115" s="23"/>
      <c r="C115" s="23"/>
      <c r="D115" s="23"/>
      <c r="E115" s="23"/>
      <c r="F115" s="23"/>
      <c r="G115" s="24"/>
    </row>
    <row r="116" spans="1:7" ht="13.5" x14ac:dyDescent="0.25">
      <c r="A116" s="3" t="s">
        <v>571</v>
      </c>
      <c r="B116" s="6"/>
      <c r="C116" s="6"/>
      <c r="D116" s="6"/>
      <c r="E116" s="6"/>
      <c r="F116" s="6"/>
      <c r="G116" s="14"/>
    </row>
    <row r="117" spans="1:7" ht="13.5" x14ac:dyDescent="0.25">
      <c r="A117" s="3" t="s">
        <v>573</v>
      </c>
      <c r="B117" s="6"/>
      <c r="C117" s="6"/>
      <c r="D117" s="6"/>
      <c r="E117" s="6"/>
      <c r="F117" s="6"/>
      <c r="G117" s="11"/>
    </row>
    <row r="118" spans="1:7" ht="13.5" x14ac:dyDescent="0.25">
      <c r="A118" s="15" t="s">
        <v>575</v>
      </c>
      <c r="B118" s="6"/>
      <c r="C118" s="6"/>
      <c r="D118" s="6"/>
      <c r="E118" s="6"/>
      <c r="F118" s="6"/>
      <c r="G118" s="11"/>
    </row>
    <row r="119" spans="1:7" ht="13.5" x14ac:dyDescent="0.25">
      <c r="A119" s="3" t="s">
        <v>577</v>
      </c>
      <c r="B119" s="6"/>
      <c r="C119" s="6"/>
      <c r="D119" s="6"/>
      <c r="E119" s="6"/>
      <c r="F119" s="6"/>
      <c r="G119" s="11"/>
    </row>
    <row r="120" spans="1:7" ht="13.5" x14ac:dyDescent="0.25">
      <c r="A120" s="3" t="s">
        <v>579</v>
      </c>
      <c r="B120" s="6"/>
      <c r="C120" s="6"/>
      <c r="D120" s="6"/>
      <c r="E120" s="6"/>
      <c r="F120" s="6"/>
      <c r="G120" s="11"/>
    </row>
    <row r="121" spans="1:7" ht="13.5" x14ac:dyDescent="0.25">
      <c r="A121" s="3" t="s">
        <v>581</v>
      </c>
      <c r="B121" s="6"/>
      <c r="C121" s="6"/>
      <c r="D121" s="6"/>
      <c r="E121" s="6"/>
      <c r="F121" s="6"/>
      <c r="G121" s="11"/>
    </row>
    <row r="122" spans="1:7" ht="13.5" x14ac:dyDescent="0.25">
      <c r="A122" s="3" t="s">
        <v>806</v>
      </c>
      <c r="B122" s="6"/>
      <c r="C122" s="6"/>
      <c r="D122" s="6"/>
      <c r="E122" s="6"/>
      <c r="F122" s="6"/>
      <c r="G122" s="11"/>
    </row>
    <row r="123" spans="1:7" ht="13.5" x14ac:dyDescent="0.25">
      <c r="A123" s="3" t="s">
        <v>807</v>
      </c>
      <c r="B123" s="6"/>
      <c r="C123" s="6"/>
      <c r="D123" s="6"/>
      <c r="E123" s="6"/>
      <c r="F123" s="6"/>
      <c r="G123" s="11"/>
    </row>
    <row r="124" spans="1:7" ht="13.5" x14ac:dyDescent="0.25">
      <c r="A124" s="3" t="s">
        <v>808</v>
      </c>
      <c r="B124" s="6"/>
      <c r="C124" s="6"/>
      <c r="D124" s="6"/>
      <c r="E124" s="6"/>
      <c r="F124" s="6"/>
      <c r="G124" s="11"/>
    </row>
    <row r="125" spans="1:7" ht="13.5" x14ac:dyDescent="0.25">
      <c r="A125" s="3" t="s">
        <v>809</v>
      </c>
      <c r="B125" s="6"/>
      <c r="C125" s="6"/>
      <c r="D125" s="6"/>
      <c r="E125" s="6"/>
      <c r="F125" s="6"/>
      <c r="G125" s="11"/>
    </row>
    <row r="126" spans="1:7" x14ac:dyDescent="0.2">
      <c r="A126" s="20" t="s">
        <v>587</v>
      </c>
      <c r="B126" s="23"/>
      <c r="C126" s="23"/>
      <c r="D126" s="23"/>
      <c r="E126" s="23"/>
      <c r="F126" s="23"/>
      <c r="G126" s="24"/>
    </row>
    <row r="127" spans="1:7" x14ac:dyDescent="0.2">
      <c r="A127" s="25" t="s">
        <v>589</v>
      </c>
      <c r="B127" s="23"/>
      <c r="C127" s="23"/>
      <c r="D127" s="23"/>
      <c r="E127" s="23"/>
      <c r="F127" s="23"/>
      <c r="G127" s="24"/>
    </row>
    <row r="128" spans="1:7" ht="13.5" x14ac:dyDescent="0.25">
      <c r="A128" s="3" t="s">
        <v>820</v>
      </c>
      <c r="B128" s="6"/>
      <c r="C128" s="6"/>
      <c r="D128" s="6"/>
      <c r="E128" s="6"/>
      <c r="F128" s="6"/>
      <c r="G128" s="16"/>
    </row>
    <row r="129" spans="1:7" x14ac:dyDescent="0.2">
      <c r="A129" s="20" t="s">
        <v>592</v>
      </c>
      <c r="B129" s="23"/>
      <c r="C129" s="23"/>
      <c r="D129" s="23"/>
      <c r="E129" s="23"/>
      <c r="F129" s="23"/>
      <c r="G129" s="24"/>
    </row>
    <row r="130" spans="1:7" ht="13.5" x14ac:dyDescent="0.25">
      <c r="A130" s="3" t="s">
        <v>594</v>
      </c>
      <c r="B130" s="6"/>
      <c r="C130" s="6"/>
      <c r="D130" s="6"/>
      <c r="E130" s="6"/>
      <c r="F130" s="6"/>
      <c r="G130" s="11"/>
    </row>
    <row r="131" spans="1:7" ht="13.5" x14ac:dyDescent="0.25">
      <c r="A131" s="3" t="s">
        <v>596</v>
      </c>
      <c r="B131" s="6"/>
      <c r="C131" s="6"/>
      <c r="D131" s="6"/>
      <c r="E131" s="6"/>
      <c r="F131" s="6"/>
      <c r="G131" s="11"/>
    </row>
    <row r="132" spans="1:7" x14ac:dyDescent="0.2">
      <c r="A132" s="20" t="s">
        <v>598</v>
      </c>
      <c r="B132" s="23"/>
      <c r="C132" s="23"/>
      <c r="D132" s="23"/>
      <c r="E132" s="23"/>
      <c r="F132" s="23"/>
      <c r="G132" s="24"/>
    </row>
    <row r="133" spans="1:7" ht="13.5" x14ac:dyDescent="0.25">
      <c r="A133" s="18" t="s">
        <v>818</v>
      </c>
      <c r="B133" s="4"/>
      <c r="C133" s="4"/>
      <c r="D133" s="4"/>
      <c r="E133" s="4"/>
      <c r="F133" s="4"/>
      <c r="G133" s="19"/>
    </row>
    <row r="134" spans="1:7" ht="13.5" x14ac:dyDescent="0.25">
      <c r="A134" s="18" t="s">
        <v>819</v>
      </c>
      <c r="B134" s="4"/>
      <c r="C134" s="4"/>
      <c r="D134" s="17"/>
      <c r="E134" s="17"/>
      <c r="F134" s="17"/>
      <c r="G134" s="5"/>
    </row>
    <row r="135" spans="1:7" ht="13.5" x14ac:dyDescent="0.25">
      <c r="A135" s="18" t="s">
        <v>602</v>
      </c>
      <c r="B135" s="4"/>
      <c r="C135" s="17"/>
      <c r="D135" s="17"/>
      <c r="E135" s="17"/>
      <c r="F135" s="17"/>
      <c r="G135" s="19"/>
    </row>
    <row r="136" spans="1:7" ht="13.5" x14ac:dyDescent="0.25">
      <c r="A136" s="18" t="s">
        <v>604</v>
      </c>
      <c r="B136" s="4"/>
      <c r="C136" s="17"/>
      <c r="D136" s="17"/>
      <c r="E136" s="17"/>
      <c r="F136" s="17"/>
      <c r="G136" s="19"/>
    </row>
    <row r="137" spans="1:7" ht="13.5" x14ac:dyDescent="0.25">
      <c r="A137" s="18" t="s">
        <v>606</v>
      </c>
      <c r="B137" s="4"/>
      <c r="C137" s="17"/>
      <c r="D137" s="17"/>
      <c r="E137" s="17"/>
      <c r="F137" s="17"/>
      <c r="G137" s="19"/>
    </row>
    <row r="138" spans="1:7" ht="13.5" x14ac:dyDescent="0.25">
      <c r="A138" s="18" t="s">
        <v>608</v>
      </c>
      <c r="B138" s="4"/>
      <c r="C138" s="17"/>
      <c r="D138" s="17"/>
      <c r="E138" s="17"/>
      <c r="F138" s="17"/>
      <c r="G138" s="19"/>
    </row>
    <row r="139" spans="1:7" ht="13.5" x14ac:dyDescent="0.25">
      <c r="A139" s="18" t="s">
        <v>610</v>
      </c>
      <c r="B139" s="4"/>
      <c r="C139" s="17"/>
      <c r="D139" s="17"/>
      <c r="E139" s="17"/>
      <c r="F139" s="17"/>
      <c r="G139" s="19"/>
    </row>
    <row r="140" spans="1:7" ht="13.5" x14ac:dyDescent="0.25">
      <c r="A140" s="18" t="s">
        <v>612</v>
      </c>
      <c r="B140" s="4"/>
      <c r="C140" s="17"/>
      <c r="D140" s="17"/>
      <c r="E140" s="17"/>
      <c r="F140" s="17"/>
      <c r="G140" s="19"/>
    </row>
    <row r="141" spans="1:7" ht="13.5" x14ac:dyDescent="0.25">
      <c r="A141" s="18" t="s">
        <v>614</v>
      </c>
      <c r="B141" s="4"/>
      <c r="C141" s="17"/>
      <c r="D141" s="17"/>
      <c r="E141" s="17"/>
      <c r="F141" s="17"/>
      <c r="G141" s="19"/>
    </row>
    <row r="142" spans="1:7" ht="13.5" x14ac:dyDescent="0.25">
      <c r="A142" s="18" t="s">
        <v>616</v>
      </c>
      <c r="B142" s="4"/>
      <c r="C142" s="17"/>
      <c r="D142" s="17"/>
      <c r="E142" s="17"/>
      <c r="F142" s="17"/>
      <c r="G142" s="19"/>
    </row>
    <row r="143" spans="1:7" ht="13.5" x14ac:dyDescent="0.2">
      <c r="A143" s="18" t="s">
        <v>618</v>
      </c>
      <c r="B143" s="17"/>
      <c r="C143" s="17"/>
      <c r="D143" s="17"/>
      <c r="E143" s="17"/>
      <c r="F143" s="17"/>
      <c r="G143" s="19"/>
    </row>
    <row r="144" spans="1:7" ht="13.5" x14ac:dyDescent="0.25">
      <c r="A144" s="18" t="s">
        <v>620</v>
      </c>
      <c r="B144" s="4"/>
      <c r="C144" s="17"/>
      <c r="D144" s="17"/>
      <c r="E144" s="17"/>
      <c r="F144" s="17"/>
      <c r="G144" s="19"/>
    </row>
    <row r="145" spans="1:7" ht="13.5" x14ac:dyDescent="0.25">
      <c r="A145" s="18" t="s">
        <v>622</v>
      </c>
      <c r="B145" s="4"/>
      <c r="C145" s="17"/>
      <c r="D145" s="17"/>
      <c r="E145" s="17"/>
      <c r="F145" s="17"/>
      <c r="G145" s="19"/>
    </row>
    <row r="146" spans="1:7" ht="13.5" x14ac:dyDescent="0.25">
      <c r="A146" s="18" t="s">
        <v>624</v>
      </c>
      <c r="B146" s="4"/>
      <c r="C146" s="17"/>
      <c r="D146" s="17"/>
      <c r="E146" s="17"/>
      <c r="F146" s="17"/>
      <c r="G146" s="19"/>
    </row>
    <row r="147" spans="1:7" ht="13.5" x14ac:dyDescent="0.25">
      <c r="A147" s="18" t="s">
        <v>626</v>
      </c>
      <c r="B147" s="4"/>
      <c r="C147" s="17"/>
      <c r="D147" s="17"/>
      <c r="E147" s="17"/>
      <c r="F147" s="17"/>
      <c r="G147" s="19"/>
    </row>
    <row r="148" spans="1:7" ht="13.5" x14ac:dyDescent="0.25">
      <c r="A148" s="18" t="s">
        <v>628</v>
      </c>
      <c r="B148" s="4"/>
      <c r="C148" s="17"/>
      <c r="D148" s="17"/>
      <c r="E148" s="17"/>
      <c r="F148" s="17"/>
      <c r="G148" s="19"/>
    </row>
    <row r="149" spans="1:7" ht="13.5" x14ac:dyDescent="0.25">
      <c r="A149" s="18" t="s">
        <v>630</v>
      </c>
      <c r="B149" s="4"/>
      <c r="C149" s="17"/>
      <c r="D149" s="17"/>
      <c r="E149" s="17"/>
      <c r="F149" s="17"/>
      <c r="G149" s="19"/>
    </row>
    <row r="150" spans="1:7" ht="13.5" x14ac:dyDescent="0.25">
      <c r="A150" s="18" t="s">
        <v>632</v>
      </c>
      <c r="B150" s="4"/>
      <c r="C150" s="17"/>
      <c r="D150" s="17"/>
      <c r="E150" s="17"/>
      <c r="F150" s="17"/>
      <c r="G150" s="19"/>
    </row>
    <row r="151" spans="1:7" ht="13.5" x14ac:dyDescent="0.25">
      <c r="A151" s="18" t="s">
        <v>634</v>
      </c>
      <c r="B151" s="4"/>
      <c r="C151" s="17"/>
      <c r="D151" s="17"/>
      <c r="E151" s="17"/>
      <c r="F151" s="17"/>
      <c r="G151" s="19"/>
    </row>
    <row r="152" spans="1:7" ht="13.5" x14ac:dyDescent="0.25">
      <c r="A152" s="18" t="s">
        <v>636</v>
      </c>
      <c r="B152" s="4"/>
      <c r="C152" s="17"/>
      <c r="D152" s="17"/>
      <c r="E152" s="17"/>
      <c r="F152" s="17"/>
      <c r="G152" s="19"/>
    </row>
    <row r="153" spans="1:7" ht="13.5" x14ac:dyDescent="0.25">
      <c r="A153" s="18" t="s">
        <v>638</v>
      </c>
      <c r="B153" s="4"/>
      <c r="C153" s="17"/>
      <c r="D153" s="17"/>
      <c r="E153" s="17"/>
      <c r="F153" s="17"/>
      <c r="G153" s="19"/>
    </row>
    <row r="154" spans="1:7" ht="13.5" x14ac:dyDescent="0.25">
      <c r="A154" s="18" t="s">
        <v>640</v>
      </c>
      <c r="B154" s="4"/>
      <c r="C154" s="17"/>
      <c r="D154" s="17"/>
      <c r="E154" s="17"/>
      <c r="F154" s="17"/>
      <c r="G154" s="19"/>
    </row>
    <row r="155" spans="1:7" ht="13.5" x14ac:dyDescent="0.25">
      <c r="A155" s="18" t="s">
        <v>642</v>
      </c>
      <c r="B155" s="4"/>
      <c r="C155" s="17"/>
      <c r="D155" s="17"/>
      <c r="E155" s="17"/>
      <c r="F155" s="17"/>
      <c r="G155" s="19"/>
    </row>
    <row r="156" spans="1:7" ht="13.5" x14ac:dyDescent="0.25">
      <c r="A156" s="18" t="s">
        <v>644</v>
      </c>
      <c r="B156" s="4"/>
      <c r="C156" s="17"/>
      <c r="D156" s="17"/>
      <c r="E156" s="17"/>
      <c r="F156" s="17"/>
      <c r="G156" s="19"/>
    </row>
    <row r="157" spans="1:7" ht="13.5" x14ac:dyDescent="0.25">
      <c r="A157" s="18" t="s">
        <v>646</v>
      </c>
      <c r="B157" s="4"/>
      <c r="C157" s="17"/>
      <c r="D157" s="17"/>
      <c r="E157" s="17"/>
      <c r="F157" s="17"/>
      <c r="G157" s="19"/>
    </row>
    <row r="158" spans="1:7" ht="13.5" x14ac:dyDescent="0.25">
      <c r="A158" s="18" t="s">
        <v>648</v>
      </c>
      <c r="B158" s="4"/>
      <c r="C158" s="17"/>
      <c r="D158" s="17"/>
      <c r="E158" s="17"/>
      <c r="F158" s="17"/>
      <c r="G158" s="19"/>
    </row>
    <row r="159" spans="1:7" ht="13.5" x14ac:dyDescent="0.25">
      <c r="A159" s="18" t="s">
        <v>650</v>
      </c>
      <c r="B159" s="4"/>
      <c r="C159" s="17"/>
      <c r="D159" s="17"/>
      <c r="E159" s="17"/>
      <c r="F159" s="17"/>
      <c r="G159" s="19"/>
    </row>
    <row r="160" spans="1:7" ht="13.5" x14ac:dyDescent="0.25">
      <c r="A160" s="18" t="s">
        <v>652</v>
      </c>
      <c r="B160" s="4"/>
      <c r="C160" s="17"/>
      <c r="D160" s="17"/>
      <c r="E160" s="17"/>
      <c r="F160" s="17"/>
      <c r="G160" s="19"/>
    </row>
    <row r="161" spans="1:7" ht="13.5" x14ac:dyDescent="0.25">
      <c r="A161" s="18" t="s">
        <v>805</v>
      </c>
      <c r="B161" s="4"/>
      <c r="C161" s="17"/>
      <c r="D161" s="17"/>
      <c r="E161" s="17"/>
      <c r="F161" s="17"/>
      <c r="G161" s="19"/>
    </row>
    <row r="162" spans="1:7" ht="13.5" x14ac:dyDescent="0.25">
      <c r="A162" s="18" t="s">
        <v>655</v>
      </c>
      <c r="B162" s="4"/>
      <c r="C162" s="17"/>
      <c r="D162" s="17"/>
      <c r="E162" s="17"/>
      <c r="F162" s="17"/>
      <c r="G162" s="19"/>
    </row>
    <row r="163" spans="1:7" ht="13.5" x14ac:dyDescent="0.25">
      <c r="A163" s="18" t="s">
        <v>657</v>
      </c>
      <c r="B163" s="4"/>
      <c r="C163" s="17"/>
      <c r="D163" s="17"/>
      <c r="E163" s="17"/>
      <c r="F163" s="17"/>
      <c r="G163" s="19"/>
    </row>
    <row r="164" spans="1:7" ht="13.5" x14ac:dyDescent="0.25">
      <c r="A164" s="18" t="s">
        <v>659</v>
      </c>
      <c r="B164" s="4"/>
      <c r="C164" s="17"/>
      <c r="D164" s="17"/>
      <c r="E164" s="17"/>
      <c r="F164" s="17"/>
      <c r="G164" s="19"/>
    </row>
    <row r="165" spans="1:7" ht="13.5" x14ac:dyDescent="0.25">
      <c r="A165" s="18" t="s">
        <v>661</v>
      </c>
      <c r="B165" s="4"/>
      <c r="C165" s="17"/>
      <c r="D165" s="17"/>
      <c r="E165" s="17"/>
      <c r="F165" s="17"/>
      <c r="G165" s="19"/>
    </row>
    <row r="166" spans="1:7" ht="13.5" x14ac:dyDescent="0.25">
      <c r="A166" s="18" t="s">
        <v>663</v>
      </c>
      <c r="B166" s="4"/>
      <c r="C166" s="17"/>
      <c r="D166" s="17"/>
      <c r="E166" s="17"/>
      <c r="F166" s="17"/>
      <c r="G166" s="19"/>
    </row>
    <row r="167" spans="1:7" ht="13.5" x14ac:dyDescent="0.25">
      <c r="A167" s="18" t="s">
        <v>665</v>
      </c>
      <c r="B167" s="4"/>
      <c r="C167" s="17"/>
      <c r="D167" s="17"/>
      <c r="E167" s="17"/>
      <c r="F167" s="17"/>
      <c r="G167" s="19"/>
    </row>
    <row r="168" spans="1:7" ht="13.5" x14ac:dyDescent="0.25">
      <c r="A168" s="18" t="s">
        <v>667</v>
      </c>
      <c r="B168" s="4"/>
      <c r="C168" s="17"/>
      <c r="D168" s="17"/>
      <c r="E168" s="17"/>
      <c r="F168" s="17"/>
      <c r="G168" s="19"/>
    </row>
    <row r="169" spans="1:7" ht="13.5" x14ac:dyDescent="0.25">
      <c r="A169" s="18" t="s">
        <v>669</v>
      </c>
      <c r="B169" s="4"/>
      <c r="C169" s="17"/>
      <c r="D169" s="17"/>
      <c r="E169" s="17"/>
      <c r="F169" s="17"/>
      <c r="G169" s="19"/>
    </row>
    <row r="170" spans="1:7" ht="13.5" x14ac:dyDescent="0.25">
      <c r="A170" s="18" t="s">
        <v>671</v>
      </c>
      <c r="B170" s="4"/>
      <c r="C170" s="17"/>
      <c r="D170" s="17"/>
      <c r="E170" s="17"/>
      <c r="F170" s="17"/>
      <c r="G170" s="19"/>
    </row>
    <row r="171" spans="1:7" ht="13.5" x14ac:dyDescent="0.25">
      <c r="A171" s="18" t="s">
        <v>673</v>
      </c>
      <c r="B171" s="4"/>
      <c r="C171" s="17"/>
      <c r="D171" s="17"/>
      <c r="E171" s="17"/>
      <c r="F171" s="17"/>
      <c r="G171" s="19"/>
    </row>
    <row r="172" spans="1:7" ht="13.5" x14ac:dyDescent="0.25">
      <c r="A172" s="18" t="s">
        <v>675</v>
      </c>
      <c r="B172" s="4"/>
      <c r="C172" s="17"/>
      <c r="D172" s="17"/>
      <c r="E172" s="17"/>
      <c r="F172" s="17"/>
      <c r="G172" s="19"/>
    </row>
    <row r="173" spans="1:7" ht="13.5" x14ac:dyDescent="0.25">
      <c r="A173" s="18" t="s">
        <v>677</v>
      </c>
      <c r="B173" s="4"/>
      <c r="C173" s="17"/>
      <c r="D173" s="17"/>
      <c r="E173" s="17"/>
      <c r="F173" s="17"/>
      <c r="G173" s="19"/>
    </row>
    <row r="174" spans="1:7" ht="13.5" x14ac:dyDescent="0.2">
      <c r="A174" s="20" t="s">
        <v>679</v>
      </c>
      <c r="B174" s="20"/>
      <c r="C174" s="20"/>
      <c r="D174" s="20"/>
      <c r="E174" s="20"/>
      <c r="F174" s="20"/>
      <c r="G174" s="21"/>
    </row>
    <row r="175" spans="1:7" ht="13.5" x14ac:dyDescent="0.2">
      <c r="A175" s="20" t="s">
        <v>681</v>
      </c>
      <c r="B175" s="20"/>
      <c r="C175" s="20"/>
      <c r="D175" s="20"/>
      <c r="E175" s="20"/>
      <c r="F175" s="20"/>
      <c r="G175" s="21"/>
    </row>
    <row r="176" spans="1:7" ht="13.5" x14ac:dyDescent="0.2">
      <c r="A176" s="20" t="s">
        <v>683</v>
      </c>
      <c r="B176" s="20"/>
      <c r="C176" s="20"/>
      <c r="D176" s="20"/>
      <c r="E176" s="20"/>
      <c r="F176" s="20"/>
      <c r="G176" s="21"/>
    </row>
    <row r="177" spans="1:7" ht="13.5" x14ac:dyDescent="0.25">
      <c r="A177" s="18" t="s">
        <v>685</v>
      </c>
      <c r="B177" s="4"/>
      <c r="C177" s="17"/>
      <c r="D177" s="17"/>
      <c r="E177" s="17"/>
      <c r="F177" s="17"/>
      <c r="G177" s="19"/>
    </row>
    <row r="178" spans="1:7" ht="13.5" x14ac:dyDescent="0.25">
      <c r="A178" s="18" t="s">
        <v>687</v>
      </c>
      <c r="B178" s="4"/>
      <c r="C178" s="17"/>
      <c r="D178" s="17"/>
      <c r="E178" s="17"/>
      <c r="F178" s="17"/>
      <c r="G178" s="19"/>
    </row>
    <row r="179" spans="1:7" ht="13.5" x14ac:dyDescent="0.25">
      <c r="A179" s="18" t="s">
        <v>689</v>
      </c>
      <c r="B179" s="4"/>
      <c r="C179" s="17"/>
      <c r="D179" s="17"/>
      <c r="E179" s="17"/>
      <c r="F179" s="17"/>
      <c r="G179" s="19"/>
    </row>
    <row r="180" spans="1:7" ht="13.5" x14ac:dyDescent="0.2">
      <c r="A180" s="20" t="s">
        <v>691</v>
      </c>
      <c r="B180" s="20"/>
      <c r="C180" s="20"/>
      <c r="D180" s="20"/>
      <c r="E180" s="20"/>
      <c r="F180" s="20"/>
      <c r="G180" s="21"/>
    </row>
    <row r="181" spans="1:7" ht="13.5" x14ac:dyDescent="0.2">
      <c r="A181" s="20" t="s">
        <v>693</v>
      </c>
      <c r="B181" s="20"/>
      <c r="C181" s="20"/>
      <c r="D181" s="20"/>
      <c r="E181" s="20"/>
      <c r="F181" s="20"/>
      <c r="G181" s="21"/>
    </row>
    <row r="182" spans="1:7" ht="13.5" x14ac:dyDescent="0.25">
      <c r="A182" s="18" t="s">
        <v>695</v>
      </c>
      <c r="B182" s="4"/>
      <c r="C182" s="17"/>
      <c r="D182" s="17"/>
      <c r="E182" s="17"/>
      <c r="F182" s="17"/>
      <c r="G182" s="19"/>
    </row>
    <row r="183" spans="1:7" ht="13.5" x14ac:dyDescent="0.25">
      <c r="A183" s="18" t="s">
        <v>697</v>
      </c>
      <c r="B183" s="4"/>
      <c r="C183" s="17"/>
      <c r="D183" s="17"/>
      <c r="E183" s="17"/>
      <c r="F183" s="17"/>
      <c r="G183" s="19"/>
    </row>
    <row r="184" spans="1:7" ht="13.5" x14ac:dyDescent="0.25">
      <c r="A184" s="18" t="s">
        <v>699</v>
      </c>
      <c r="B184" s="4"/>
      <c r="C184" s="17"/>
      <c r="D184" s="17"/>
      <c r="E184" s="17"/>
      <c r="F184" s="17"/>
      <c r="G184" s="19"/>
    </row>
    <row r="185" spans="1:7" ht="13.5" x14ac:dyDescent="0.25">
      <c r="A185" s="18" t="s">
        <v>701</v>
      </c>
      <c r="B185" s="4"/>
      <c r="C185" s="17"/>
      <c r="D185" s="17"/>
      <c r="E185" s="17"/>
      <c r="F185" s="17"/>
      <c r="G185" s="19"/>
    </row>
    <row r="186" spans="1:7" ht="13.5" x14ac:dyDescent="0.25">
      <c r="A186" s="18" t="s">
        <v>703</v>
      </c>
      <c r="B186" s="4"/>
      <c r="C186" s="17"/>
      <c r="D186" s="17"/>
      <c r="E186" s="17"/>
      <c r="F186" s="17"/>
      <c r="G186" s="19"/>
    </row>
    <row r="187" spans="1:7" ht="13.5" x14ac:dyDescent="0.25">
      <c r="A187" s="18" t="s">
        <v>705</v>
      </c>
      <c r="B187" s="4"/>
      <c r="C187" s="17"/>
      <c r="D187" s="17"/>
      <c r="E187" s="17"/>
      <c r="F187" s="17"/>
      <c r="G187" s="19"/>
    </row>
    <row r="188" spans="1:7" ht="13.5" x14ac:dyDescent="0.25">
      <c r="A188" s="18" t="s">
        <v>707</v>
      </c>
      <c r="B188" s="4"/>
      <c r="C188" s="17"/>
      <c r="D188" s="17"/>
      <c r="E188" s="17"/>
      <c r="F188" s="17"/>
      <c r="G188" s="19"/>
    </row>
    <row r="189" spans="1:7" ht="13.5" x14ac:dyDescent="0.25">
      <c r="A189" s="18" t="s">
        <v>709</v>
      </c>
      <c r="B189" s="4"/>
      <c r="C189" s="17"/>
      <c r="D189" s="17"/>
      <c r="E189" s="17"/>
      <c r="F189" s="17"/>
      <c r="G189" s="19"/>
    </row>
    <row r="190" spans="1:7" ht="13.5" x14ac:dyDescent="0.25">
      <c r="A190" s="18" t="s">
        <v>711</v>
      </c>
      <c r="B190" s="4"/>
      <c r="C190" s="17"/>
      <c r="D190" s="17"/>
      <c r="E190" s="17"/>
      <c r="F190" s="17"/>
      <c r="G190" s="19"/>
    </row>
    <row r="191" spans="1:7" ht="13.5" x14ac:dyDescent="0.25">
      <c r="A191" s="18" t="s">
        <v>810</v>
      </c>
      <c r="B191" s="4"/>
      <c r="C191" s="17"/>
      <c r="D191" s="17"/>
      <c r="E191" s="17"/>
      <c r="F191" s="17"/>
      <c r="G191" s="19"/>
    </row>
    <row r="192" spans="1:7" ht="13.5" x14ac:dyDescent="0.25">
      <c r="A192" s="18" t="s">
        <v>811</v>
      </c>
      <c r="B192" s="4"/>
      <c r="C192" s="17"/>
      <c r="D192" s="17"/>
      <c r="E192" s="17"/>
      <c r="F192" s="17"/>
      <c r="G192" s="19"/>
    </row>
    <row r="193" spans="1:7" ht="13.5" x14ac:dyDescent="0.25">
      <c r="A193" s="18" t="s">
        <v>812</v>
      </c>
      <c r="B193" s="4"/>
      <c r="C193" s="17"/>
      <c r="D193" s="17"/>
      <c r="E193" s="17"/>
      <c r="F193" s="17"/>
      <c r="G193" s="19"/>
    </row>
    <row r="194" spans="1:7" ht="13.5" x14ac:dyDescent="0.25">
      <c r="A194" s="18" t="s">
        <v>813</v>
      </c>
      <c r="B194" s="4"/>
      <c r="C194" s="17"/>
      <c r="D194" s="17"/>
      <c r="E194" s="17"/>
      <c r="F194" s="17"/>
      <c r="G194" s="19"/>
    </row>
    <row r="195" spans="1:7" ht="13.5" x14ac:dyDescent="0.25">
      <c r="A195" s="18" t="s">
        <v>814</v>
      </c>
      <c r="B195" s="4"/>
      <c r="C195" s="17"/>
      <c r="D195" s="17"/>
      <c r="E195" s="17"/>
      <c r="F195" s="17"/>
      <c r="G195" s="19"/>
    </row>
    <row r="196" spans="1:7" ht="13.5" x14ac:dyDescent="0.25">
      <c r="A196" s="18" t="s">
        <v>821</v>
      </c>
      <c r="B196" s="4"/>
      <c r="C196" s="17"/>
      <c r="D196" s="17"/>
      <c r="E196" s="17"/>
      <c r="F196" s="17"/>
      <c r="G196" s="19"/>
    </row>
    <row r="197" spans="1:7" ht="13.5" x14ac:dyDescent="0.25">
      <c r="A197" s="18" t="s">
        <v>815</v>
      </c>
      <c r="B197" s="4"/>
      <c r="C197" s="17"/>
      <c r="D197" s="17"/>
      <c r="E197" s="17"/>
      <c r="F197" s="17"/>
      <c r="G197" s="19"/>
    </row>
    <row r="198" spans="1:7" ht="13.5" x14ac:dyDescent="0.25">
      <c r="A198" s="18" t="s">
        <v>816</v>
      </c>
      <c r="B198" s="4"/>
      <c r="C198" s="17"/>
      <c r="D198" s="17"/>
      <c r="E198" s="17"/>
      <c r="F198" s="17"/>
      <c r="G198" s="19"/>
    </row>
    <row r="199" spans="1:7" ht="13.5" x14ac:dyDescent="0.25">
      <c r="A199" s="18" t="s">
        <v>721</v>
      </c>
      <c r="B199" s="4"/>
      <c r="C199" s="17"/>
      <c r="D199" s="17"/>
      <c r="E199" s="17"/>
      <c r="F199" s="17"/>
      <c r="G199" s="19"/>
    </row>
    <row r="200" spans="1:7" ht="13.5" x14ac:dyDescent="0.25">
      <c r="A200" s="18" t="s">
        <v>723</v>
      </c>
      <c r="B200" s="4"/>
      <c r="C200" s="17"/>
      <c r="D200" s="17"/>
      <c r="E200" s="17"/>
      <c r="F200" s="17"/>
      <c r="G200" s="19"/>
    </row>
    <row r="201" spans="1:7" ht="13.5" x14ac:dyDescent="0.25">
      <c r="A201" s="18" t="s">
        <v>725</v>
      </c>
      <c r="B201" s="4"/>
      <c r="C201" s="17"/>
      <c r="D201" s="17"/>
      <c r="E201" s="17"/>
      <c r="F201" s="17"/>
      <c r="G201" s="19"/>
    </row>
    <row r="202" spans="1:7" ht="13.5" x14ac:dyDescent="0.25">
      <c r="A202" s="18" t="s">
        <v>727</v>
      </c>
      <c r="B202" s="4"/>
      <c r="C202" s="17"/>
      <c r="D202" s="17"/>
      <c r="E202" s="17"/>
      <c r="F202" s="17"/>
      <c r="G202" s="19"/>
    </row>
    <row r="203" spans="1:7" ht="13.5" x14ac:dyDescent="0.25">
      <c r="A203" s="18" t="s">
        <v>729</v>
      </c>
      <c r="B203" s="4"/>
      <c r="C203" s="17"/>
      <c r="D203" s="17"/>
      <c r="E203" s="17"/>
      <c r="F203" s="17"/>
      <c r="G203" s="19"/>
    </row>
    <row r="204" spans="1:7" ht="13.5" x14ac:dyDescent="0.25">
      <c r="A204" s="18" t="s">
        <v>731</v>
      </c>
      <c r="B204" s="4"/>
      <c r="C204" s="17"/>
      <c r="D204" s="17"/>
      <c r="E204" s="17"/>
      <c r="F204" s="17"/>
      <c r="G204" s="19"/>
    </row>
    <row r="205" spans="1:7" ht="13.5" x14ac:dyDescent="0.25">
      <c r="A205" s="18" t="s">
        <v>733</v>
      </c>
      <c r="B205" s="4"/>
      <c r="C205" s="17"/>
      <c r="D205" s="17"/>
      <c r="E205" s="17"/>
      <c r="F205" s="17"/>
      <c r="G205" s="19"/>
    </row>
    <row r="206" spans="1:7" ht="13.5" x14ac:dyDescent="0.25">
      <c r="A206" s="18" t="s">
        <v>735</v>
      </c>
      <c r="B206" s="4"/>
      <c r="C206" s="17"/>
      <c r="D206" s="17"/>
      <c r="E206" s="17"/>
      <c r="F206" s="17"/>
      <c r="G206" s="19"/>
    </row>
    <row r="207" spans="1:7" ht="13.5" x14ac:dyDescent="0.25">
      <c r="A207" s="18" t="s">
        <v>737</v>
      </c>
      <c r="B207" s="4"/>
      <c r="C207" s="17"/>
      <c r="D207" s="17"/>
      <c r="E207" s="17"/>
      <c r="F207" s="17"/>
      <c r="G207" s="19"/>
    </row>
    <row r="208" spans="1:7" ht="13.5" x14ac:dyDescent="0.25">
      <c r="A208" s="18" t="s">
        <v>739</v>
      </c>
      <c r="B208" s="4"/>
      <c r="C208" s="17"/>
      <c r="D208" s="17"/>
      <c r="E208" s="17"/>
      <c r="F208" s="17"/>
      <c r="G208" s="19"/>
    </row>
    <row r="209" spans="1:7" ht="13.5" x14ac:dyDescent="0.25">
      <c r="A209" s="18" t="s">
        <v>817</v>
      </c>
      <c r="B209" s="4"/>
      <c r="C209" s="17"/>
      <c r="D209" s="17"/>
      <c r="E209" s="17"/>
      <c r="F209" s="17"/>
      <c r="G209" s="19"/>
    </row>
    <row r="210" spans="1:7" ht="13.5" x14ac:dyDescent="0.25">
      <c r="A210" s="18" t="s">
        <v>742</v>
      </c>
      <c r="B210" s="6"/>
      <c r="C210" s="6"/>
      <c r="D210" s="6"/>
      <c r="E210" s="6"/>
      <c r="F210" s="6"/>
      <c r="G210" s="5"/>
    </row>
    <row r="211" spans="1:7" ht="13.5" x14ac:dyDescent="0.25">
      <c r="A211" s="18" t="s">
        <v>758</v>
      </c>
      <c r="B211" s="6"/>
      <c r="C211" s="6"/>
      <c r="D211" s="6"/>
      <c r="E211" s="6"/>
      <c r="F211" s="6"/>
      <c r="G211" s="5"/>
    </row>
    <row r="212" spans="1:7" ht="13.5" x14ac:dyDescent="0.2">
      <c r="A212" s="20" t="s">
        <v>767</v>
      </c>
      <c r="B212" s="20"/>
      <c r="C212" s="20"/>
      <c r="D212" s="20"/>
      <c r="E212" s="20"/>
      <c r="F212" s="20"/>
      <c r="G212" s="21"/>
    </row>
    <row r="213" spans="1:7" ht="13.5" x14ac:dyDescent="0.2">
      <c r="A213" s="20" t="s">
        <v>766</v>
      </c>
      <c r="B213" s="20"/>
      <c r="C213" s="20"/>
      <c r="D213" s="20"/>
      <c r="E213" s="20"/>
      <c r="F213" s="20"/>
      <c r="G213" s="21"/>
    </row>
    <row r="214" spans="1:7" ht="13.5" x14ac:dyDescent="0.25">
      <c r="A214" s="18" t="s">
        <v>768</v>
      </c>
      <c r="B214" s="6"/>
      <c r="C214" s="6"/>
      <c r="D214" s="6"/>
      <c r="E214" s="6"/>
      <c r="F214" s="6"/>
      <c r="G214" s="5"/>
    </row>
    <row r="215" spans="1:7" ht="13.5" x14ac:dyDescent="0.25">
      <c r="A215" s="18" t="s">
        <v>759</v>
      </c>
      <c r="B215" s="6"/>
      <c r="C215" s="6"/>
      <c r="D215" s="6"/>
      <c r="E215" s="6"/>
      <c r="F215" s="6"/>
      <c r="G215" s="5"/>
    </row>
    <row r="216" spans="1:7" ht="13.5" x14ac:dyDescent="0.25">
      <c r="A216" s="1" t="s">
        <v>777</v>
      </c>
      <c r="B216" s="1"/>
      <c r="C216" s="1"/>
      <c r="D216" s="1"/>
      <c r="E216" s="1"/>
      <c r="F216" s="1"/>
      <c r="G216" s="1"/>
    </row>
    <row r="217" spans="1:7" ht="13.5" x14ac:dyDescent="0.25">
      <c r="A217" s="1" t="s">
        <v>778</v>
      </c>
      <c r="B217" s="1"/>
      <c r="C217" s="1"/>
      <c r="D217" s="1"/>
      <c r="E217" s="1"/>
      <c r="F217" s="1"/>
      <c r="G217" s="1"/>
    </row>
    <row r="218" spans="1:7" ht="13.5" x14ac:dyDescent="0.25">
      <c r="A218" s="1" t="s">
        <v>779</v>
      </c>
      <c r="B218" s="1"/>
      <c r="C218" s="1"/>
      <c r="D218" s="1"/>
      <c r="E218" s="1"/>
      <c r="F218" s="1"/>
      <c r="G218" s="1"/>
    </row>
    <row r="219" spans="1:7" ht="13.5" x14ac:dyDescent="0.25">
      <c r="A219" s="1" t="s">
        <v>780</v>
      </c>
      <c r="B219" s="1"/>
      <c r="C219" s="1"/>
      <c r="D219" s="1"/>
      <c r="E219" s="1"/>
      <c r="F219" s="1"/>
      <c r="G219" s="1"/>
    </row>
    <row r="220" spans="1:7" ht="13.5" x14ac:dyDescent="0.25">
      <c r="A220" s="1" t="s">
        <v>781</v>
      </c>
      <c r="B220" s="1"/>
      <c r="C220" s="1"/>
      <c r="D220" s="1"/>
      <c r="E220" s="1"/>
      <c r="F220" s="1"/>
      <c r="G220" s="1"/>
    </row>
    <row r="221" spans="1:7" ht="13.5" x14ac:dyDescent="0.25">
      <c r="A221" s="1" t="s">
        <v>782</v>
      </c>
      <c r="B221" s="1"/>
      <c r="C221" s="1"/>
      <c r="D221" s="1"/>
      <c r="E221" s="1"/>
      <c r="F221" s="1"/>
      <c r="G221" s="1"/>
    </row>
    <row r="222" spans="1:7" ht="13.5" x14ac:dyDescent="0.25">
      <c r="A222" s="1" t="s">
        <v>783</v>
      </c>
      <c r="B222" s="1"/>
      <c r="C222" s="1"/>
      <c r="D222" s="1"/>
      <c r="E222" s="1"/>
      <c r="F222" s="1"/>
      <c r="G222" s="1"/>
    </row>
    <row r="223" spans="1:7" ht="13.5" x14ac:dyDescent="0.25">
      <c r="A223" s="1" t="s">
        <v>784</v>
      </c>
      <c r="B223" s="1"/>
      <c r="C223" s="1"/>
      <c r="D223" s="1"/>
      <c r="E223" s="1"/>
      <c r="F223" s="1"/>
      <c r="G223" s="1"/>
    </row>
  </sheetData>
  <autoFilter ref="A1:G223" xr:uid="{7AA08CA7-A0C1-4288-9E15-C68180FC612B}"/>
  <mergeCells count="57">
    <mergeCell ref="A181:G181"/>
    <mergeCell ref="A212:G212"/>
    <mergeCell ref="A213:G213"/>
    <mergeCell ref="A129:G129"/>
    <mergeCell ref="A132:G132"/>
    <mergeCell ref="A174:G174"/>
    <mergeCell ref="A175:G175"/>
    <mergeCell ref="A176:G176"/>
    <mergeCell ref="A180:G180"/>
    <mergeCell ref="A112:G112"/>
    <mergeCell ref="A113:G113"/>
    <mergeCell ref="A114:G114"/>
    <mergeCell ref="A115:G115"/>
    <mergeCell ref="A126:G126"/>
    <mergeCell ref="A127:G127"/>
    <mergeCell ref="A104:G104"/>
    <mergeCell ref="A106:F106"/>
    <mergeCell ref="A107:G107"/>
    <mergeCell ref="A109:G109"/>
    <mergeCell ref="A110:G110"/>
    <mergeCell ref="A111:G111"/>
    <mergeCell ref="A98:G98"/>
    <mergeCell ref="A99:G99"/>
    <mergeCell ref="A100:G100"/>
    <mergeCell ref="A101:G101"/>
    <mergeCell ref="A102:G102"/>
    <mergeCell ref="A103:G103"/>
    <mergeCell ref="A62:G62"/>
    <mergeCell ref="A63:G63"/>
    <mergeCell ref="A94:G94"/>
    <mergeCell ref="A95:G95"/>
    <mergeCell ref="A96:G96"/>
    <mergeCell ref="A97:G97"/>
    <mergeCell ref="A33:G33"/>
    <mergeCell ref="A37:G37"/>
    <mergeCell ref="A38:G38"/>
    <mergeCell ref="A56:F56"/>
    <mergeCell ref="A58:G58"/>
    <mergeCell ref="A60:G60"/>
    <mergeCell ref="A21:F21"/>
    <mergeCell ref="A22:F22"/>
    <mergeCell ref="A23:F23"/>
    <mergeCell ref="A24:F24"/>
    <mergeCell ref="A31:G31"/>
    <mergeCell ref="A32:F32"/>
    <mergeCell ref="A9:F9"/>
    <mergeCell ref="A14:E14"/>
    <mergeCell ref="A15:E15"/>
    <mergeCell ref="A18:F18"/>
    <mergeCell ref="A19:F19"/>
    <mergeCell ref="A20:F20"/>
    <mergeCell ref="A2:F2"/>
    <mergeCell ref="A3:F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sqref="A1:H6"/>
    </sheetView>
  </sheetViews>
  <sheetFormatPr baseColWidth="10" defaultColWidth="11.42578125" defaultRowHeight="12.75" x14ac:dyDescent="0.2"/>
  <sheetData>
    <row r="1" spans="1:8" x14ac:dyDescent="0.2">
      <c r="A1" s="31" t="s">
        <v>750</v>
      </c>
      <c r="B1" s="32"/>
      <c r="C1" s="32"/>
      <c r="D1" s="32"/>
      <c r="E1" s="32"/>
      <c r="F1" s="32"/>
      <c r="G1" s="32"/>
      <c r="H1" s="33"/>
    </row>
    <row r="2" spans="1:8" x14ac:dyDescent="0.2">
      <c r="A2" s="34"/>
      <c r="B2" s="35"/>
      <c r="C2" s="35"/>
      <c r="D2" s="35"/>
      <c r="E2" s="35"/>
      <c r="F2" s="35"/>
      <c r="G2" s="35"/>
      <c r="H2" s="36"/>
    </row>
    <row r="3" spans="1:8" x14ac:dyDescent="0.2">
      <c r="A3" s="34"/>
      <c r="B3" s="35"/>
      <c r="C3" s="35"/>
      <c r="D3" s="35"/>
      <c r="E3" s="35"/>
      <c r="F3" s="35"/>
      <c r="G3" s="35"/>
      <c r="H3" s="36"/>
    </row>
    <row r="4" spans="1:8" x14ac:dyDescent="0.2">
      <c r="A4" s="34"/>
      <c r="B4" s="35"/>
      <c r="C4" s="35"/>
      <c r="D4" s="35"/>
      <c r="E4" s="35"/>
      <c r="F4" s="35"/>
      <c r="G4" s="35"/>
      <c r="H4" s="36"/>
    </row>
    <row r="5" spans="1:8" x14ac:dyDescent="0.2">
      <c r="A5" s="34"/>
      <c r="B5" s="35"/>
      <c r="C5" s="35"/>
      <c r="D5" s="35"/>
      <c r="E5" s="35"/>
      <c r="F5" s="35"/>
      <c r="G5" s="35"/>
      <c r="H5" s="36"/>
    </row>
    <row r="6" spans="1:8" ht="13.5" thickBot="1" x14ac:dyDescent="0.25">
      <c r="A6" s="37"/>
      <c r="B6" s="38"/>
      <c r="C6" s="38"/>
      <c r="D6" s="38"/>
      <c r="E6" s="38"/>
      <c r="F6" s="38"/>
      <c r="G6" s="38"/>
      <c r="H6" s="39"/>
    </row>
  </sheetData>
  <mergeCells count="1">
    <mergeCell ref="A1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Hoja1</vt:lpstr>
      <vt:lpstr>NOTA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COMPRAR</cp:lastModifiedBy>
  <cp:revision>2</cp:revision>
  <cp:lastPrinted>2022-11-15T14:12:05Z</cp:lastPrinted>
  <dcterms:created xsi:type="dcterms:W3CDTF">2020-07-17T23:44:49Z</dcterms:created>
  <dcterms:modified xsi:type="dcterms:W3CDTF">2022-12-14T15:49:02Z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