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edicamentos fracasados 1 trim\"/>
    </mc:Choice>
  </mc:AlternateContent>
  <xr:revisionPtr revIDLastSave="0" documentId="8_{E1FCBD05-8E1E-4F4F-B179-A2B6233253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gc2NS/dI5u+ECUd8GKnBJJc33GYA=="/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12" i="2"/>
  <c r="C24" i="2"/>
  <c r="C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2" i="2"/>
  <c r="I22" i="1"/>
  <c r="C13" i="2" l="1"/>
  <c r="C14" i="2"/>
  <c r="C15" i="2"/>
  <c r="C16" i="2"/>
  <c r="C17" i="2"/>
  <c r="C18" i="2"/>
  <c r="C19" i="2"/>
  <c r="C20" i="2"/>
  <c r="C21" i="2"/>
  <c r="C22" i="2"/>
  <c r="C23" i="2"/>
  <c r="C25" i="2"/>
  <c r="I11" i="1" l="1"/>
  <c r="I12" i="1"/>
  <c r="I13" i="1"/>
  <c r="I14" i="1"/>
  <c r="I15" i="1"/>
  <c r="I16" i="1"/>
  <c r="I17" i="1"/>
  <c r="I18" i="1"/>
  <c r="I19" i="1"/>
  <c r="I20" i="1"/>
  <c r="I21" i="1"/>
  <c r="I23" i="1"/>
  <c r="I10" i="1"/>
  <c r="Q23" i="3"/>
  <c r="A10" i="3"/>
  <c r="G7" i="3"/>
  <c r="G6" i="3"/>
  <c r="D1" i="3"/>
  <c r="D4" i="2"/>
  <c r="G5" i="3" s="1"/>
  <c r="D3" i="2"/>
  <c r="G4" i="3" s="1"/>
  <c r="J26" i="2" l="1"/>
</calcChain>
</file>

<file path=xl/sharedStrings.xml><?xml version="1.0" encoding="utf-8"?>
<sst xmlns="http://schemas.openxmlformats.org/spreadsheetml/2006/main" count="158" uniqueCount="107">
  <si>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</si>
  <si>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</si>
  <si>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</si>
  <si>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</si>
  <si>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</si>
  <si>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</si>
  <si>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</si>
  <si>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</si>
  <si>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</si>
  <si>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</si>
  <si>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</si>
  <si>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</si>
  <si>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</si>
  <si>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</si>
  <si>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</si>
  <si>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PROD.MEDICO/FARMACEUTICOS/LAB</t>
  </si>
  <si>
    <t>2.5.2</t>
  </si>
  <si>
    <t>comprimido</t>
  </si>
  <si>
    <t>unidad</t>
  </si>
  <si>
    <t>frasco</t>
  </si>
  <si>
    <t>2.5.2-5520.5</t>
  </si>
  <si>
    <t>VASELINA; TIPO: LIQUIDA, PRESENTACION: ENVASE X 1000 mL</t>
  </si>
  <si>
    <t>2.5.2-3259.11</t>
  </si>
  <si>
    <t>DIGESTIVOS; TIPO: MONODROGA, DROGA GENERICA: ACIDO URSODESOXICOLICO, FORMA FARMACEUTICA: COMPRIMIDO, PRESENTACION: 150 MGR</t>
  </si>
  <si>
    <t>2.5.2-1901.13</t>
  </si>
  <si>
    <t>VITAMINAS; TIPO: ASOCIACION, DROGA GENERICA: VIT.A +D+C, FORMA FARMACEUTICA: GOTA, PRESENTACION: 20 mL</t>
  </si>
  <si>
    <t>gotero</t>
  </si>
  <si>
    <t>ampolla</t>
  </si>
  <si>
    <t>2.5.2-1901.130</t>
  </si>
  <si>
    <t>VITAMINAS; TIPO: MONODROGA, DROGA GENERICA: VITAMINA D3 2000 UI/ML, FORMA FARMACEUTICA: SOLUCION, PRESENTACION: 2 ML</t>
  </si>
  <si>
    <t>2.5.2-3259.14</t>
  </si>
  <si>
    <t>DIGESTIVOS; TIPO: MONODROGA, DROGA GENERICA: ACIDO URSODEOXICOLICO, FORMA FARMACEUTICA: COMPRIMIDO, PRESENTACION: 300 MGR</t>
  </si>
  <si>
    <t>2.5.2-6910.11</t>
  </si>
  <si>
    <t>ANTIEMETICOS; TIPO: MONODROGA, DROGA GENERICA: DOMPERIDONA 1%, FORMA FARMACEUTICA: GOTAS, PRESENTACION: ENVASE X 20 ML</t>
  </si>
  <si>
    <t>2.5.2-1865.11</t>
  </si>
  <si>
    <t>ANTIEPILEPTICOS; TIPO: MONODROGA, DROGA GENERICA: CLONAZEPAN, FORMA FARMACEUTICA: COMPRIMIDO, PRESENTACION: 0.50 mGr</t>
  </si>
  <si>
    <t>2.5.2-1838.1</t>
  </si>
  <si>
    <t>INOTROPICOS; TIPO: MONODROGA, FORMA FARMACEUTICA: COMPRIMIDO, PRESENTACION: 0,25 mGr, DROGA GENERICA: DIGOXINA</t>
  </si>
  <si>
    <t>2.5.2-1872.56</t>
  </si>
  <si>
    <t>ANTIANEMICOS; TIPO: MONODROGA, DROGA GENERICA: HIERRO DEXTRAN 50 mGr/ML, FORMA FARMACEUTICA: AMPOLLA, PRESENTACION: 2 mL</t>
  </si>
  <si>
    <t>2.5.2-1839.38</t>
  </si>
  <si>
    <t>VASODILATADORES CORONARIOS; TIPO: MONODROGA, DROGA GENERICA: DINITRATO DE ISOSORBIDE 5 mGr, FORMA FARMACEUTICA: COMPRIMIDO, PRESENTACION: ENVASE X 30 UN</t>
  </si>
  <si>
    <t>caja</t>
  </si>
  <si>
    <t>2.5.2-4817.44</t>
  </si>
  <si>
    <t>ANTIHIPERTENSIVOS; TIPO: MONODROGA, DROGA GENERICA: NIFEDIPINA 30 MG, FORMA FARMACEUTICA: COMPRIMIDO, PRESENTACION: UNIDAD</t>
  </si>
  <si>
    <t>2.5.2-1837.64</t>
  </si>
  <si>
    <t>HIPOTENSORES; TIPO: MONODROGA, DROGA GENERICA: NITROPRUSIATO DE SODIO, FORMA FARMACEUTICA: FRASCO AMPOLLA, PRESENTACION: ENVASE X 50 mGr</t>
  </si>
  <si>
    <t>2.1.1-4227.55</t>
  </si>
  <si>
    <t>SUPLEMENTOS DIETARIOS; TIPO: MONODROGA, DROGA GENERICA: TRIGLICER CADENA MEDIA, PRESENTACION: ENVASE X 500 CM3</t>
  </si>
  <si>
    <r>
      <rPr>
        <u/>
        <sz val="10"/>
        <color theme="1"/>
        <rFont val="Times New Roman"/>
      </rPr>
      <t>Especificidades</t>
    </r>
    <r>
      <rPr>
        <sz val="10"/>
        <color theme="1"/>
        <rFont val="Times New Roman"/>
      </rPr>
      <t xml:space="preserve">: VASODILATADORES CORONARIOS; TIPO: MONODROGA, DROGA GENERICA: DINITRATO DE ISOSORBIDE 5 mGr, FORMA FARMACEUTICA: COMPRIMIDO, PRESENTACION: ENVASE X 30 UN </t>
    </r>
    <r>
      <rPr>
        <b/>
        <sz val="10"/>
        <color theme="1"/>
        <rFont val="Times New Roman"/>
      </rPr>
      <t>COMPRIMIDO SUBLINGUAL</t>
    </r>
  </si>
  <si>
    <r>
      <rPr>
        <u/>
        <sz val="11"/>
        <color theme="1"/>
        <rFont val="Times New Roman"/>
      </rPr>
      <t>Calidad Minima esperada:</t>
    </r>
    <r>
      <rPr>
        <sz val="11"/>
        <color theme="1"/>
        <rFont val="Times New Roman"/>
      </rPr>
      <t xml:space="preserve"> 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</si>
  <si>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</si>
  <si>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</si>
  <si>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</si>
  <si>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</si>
  <si>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</si>
  <si>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</si>
  <si>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</si>
  <si>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</si>
  <si>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</si>
  <si>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</si>
  <si>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</si>
  <si>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</si>
  <si>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</si>
  <si>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</si>
  <si>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</si>
  <si>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</si>
  <si>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</si>
  <si>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</si>
  <si>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color theme="1"/>
        <rFont val="Arial"/>
      </rPr>
      <t>AUTORIZACIÓN</t>
    </r>
    <r>
      <rPr>
        <b/>
        <u/>
        <sz val="10"/>
        <color theme="1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</si>
  <si>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</si>
  <si>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</si>
  <si>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</si>
  <si>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</si>
  <si>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</si>
  <si>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</si>
  <si>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</si>
  <si>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</si>
  <si>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</si>
  <si>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</si>
  <si>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</si>
  <si>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</si>
  <si>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</si>
  <si>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</si>
  <si>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</si>
  <si>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</si>
  <si>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</si>
  <si>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</si>
  <si>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</si>
  <si>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</si>
  <si>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28- Maternidad Provincial 25 de Mayo</t>
  </si>
  <si>
    <t xml:space="preserve">169-Direccion Asistencial </t>
  </si>
  <si>
    <t>Servicio de Farmacia</t>
  </si>
  <si>
    <t>Adquisición de Medicamentos</t>
  </si>
  <si>
    <t>Trimestral</t>
  </si>
  <si>
    <t>ITEMS 10</t>
  </si>
  <si>
    <r>
      <rPr>
        <u/>
        <sz val="10"/>
        <color theme="1"/>
        <rFont val="Times New Roman"/>
      </rPr>
      <t>Lugar de Entrega:SERVICIO DE FARMACIA</t>
    </r>
    <r>
      <rPr>
        <sz val="10"/>
        <color theme="1"/>
        <rFont val="Times New Roman"/>
      </rPr>
      <t xml:space="preserve"> DE 08:00 A 13:00HS., DEBIENDO CORRER LOS GASTOS DE FLETES, ACARREO, CARGA, DESCARGA Y SEGURO A CARGO DEL ADJUDICATARIO.</t>
    </r>
  </si>
  <si>
    <r>
      <rPr>
        <u/>
        <sz val="10"/>
        <color theme="1"/>
        <rFont val="Times New Roman"/>
      </rPr>
      <t>Plazo de entrega:</t>
    </r>
    <r>
      <rPr>
        <sz val="10"/>
        <color theme="1"/>
        <rFont val="Times New Roman"/>
      </rPr>
      <t xml:space="preserve"> 10 (DIEZ) DIAS HABILES</t>
    </r>
  </si>
  <si>
    <t>Mantenimiento: 45(CUARENTA Y CINCO) DIAS HABILES</t>
  </si>
  <si>
    <t>51/2022</t>
  </si>
  <si>
    <t>PRODUCTOS FARMACEUTICOS Y MEDICINALES</t>
  </si>
  <si>
    <t>SI</t>
  </si>
  <si>
    <t>2.5.2-1821.259</t>
  </si>
  <si>
    <t>ANTIBIOTICOS P/PERSONAS; TIPO: MONODROGA, DROGA GENERICA: DOXICILINA, FORMA FARMACEUTICA: COMPRIMIDO, PRESENTACION: 100 mGr</t>
  </si>
  <si>
    <t>Costo total estimado: SEISCIENTOS SESENTA Y OCHO MIL SETECIENTOS OCHENTA Y NUEVE CON 50/100.</t>
  </si>
  <si>
    <t>TOTAL DE PESOS: SEISCIENTOS SESENTA Y OCHO MIL SETECIENTOS OCHENTA Y NUEVE CON 50/100 .</t>
  </si>
  <si>
    <t xml:space="preserve">Para la adquisición de Medicamentos destinados al Servico de Farmacia  de la Maternidad Provincial 25 de Mayo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</si>
</sst>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</numFmts>
  <fonts count="37" x14ac:knownFonts="1">
    <font>
      <sz val="10"/>
      <color rgb="FF000000"/>
      <name val="Arial"/>
      <scheme val="minor"/>
    </font>
    <font>
      <sz val="10"/>
      <color theme="1"/>
      <name val="Times New Roman"/>
    </font>
    <font>
      <b/>
      <sz val="22"/>
      <color theme="1"/>
      <name val="Times New Roman"/>
    </font>
    <font>
      <sz val="10"/>
      <name val="Arial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Times New Roman"/>
    </font>
    <font>
      <sz val="11"/>
      <color rgb="FF000000"/>
      <name val="Calibri"/>
    </font>
    <font>
      <sz val="11"/>
      <color rgb="FF424242"/>
      <name val="Calibri"/>
    </font>
    <font>
      <b/>
      <sz val="10"/>
      <color theme="1"/>
      <name val="Times New Roman"/>
    </font>
    <font>
      <sz val="11"/>
      <color theme="1"/>
      <name val="Times New Roman"/>
    </font>
    <font>
      <u/>
      <sz val="10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u/>
      <sz val="11"/>
      <color theme="1"/>
      <name val="Times New Roman"/>
    </font>
    <font>
      <b/>
      <sz val="12"/>
      <color rgb="FF000000"/>
      <name val="Times New Roman"/>
      <family val="1"/>
    </font>
    <font>
      <b/>
      <sz val="12"/>
      <name val="Times New Roman"/>
      <family val="1"/>
      <charset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 applyFont="1" applyAlignme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 wrapText="1"/>
    </xf>
    <xf numFmtId="3" fontId="9" fillId="2" borderId="12" xfId="0" applyNumberFormat="1" applyFont="1" applyFill="1" applyBorder="1" applyAlignment="1">
      <alignment horizontal="center" vertical="center"/>
    </xf>
    <xf numFmtId="165" fontId="9" fillId="2" borderId="12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2" borderId="12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6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8" fillId="2" borderId="3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vertical="center"/>
    </xf>
    <xf numFmtId="0" fontId="20" fillId="2" borderId="32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left" vertical="center"/>
    </xf>
    <xf numFmtId="0" fontId="1" fillId="2" borderId="54" xfId="0" applyFont="1" applyFill="1" applyBorder="1" applyAlignment="1">
      <alignment horizontal="center" vertical="center" wrapText="1"/>
    </xf>
    <xf numFmtId="166" fontId="1" fillId="2" borderId="54" xfId="0" applyNumberFormat="1" applyFont="1" applyFill="1" applyBorder="1" applyAlignment="1">
      <alignment horizontal="right" vertical="center" wrapText="1"/>
    </xf>
    <xf numFmtId="3" fontId="1" fillId="2" borderId="54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vertical="center"/>
    </xf>
    <xf numFmtId="0" fontId="1" fillId="2" borderId="55" xfId="0" applyFont="1" applyFill="1" applyBorder="1" applyAlignment="1">
      <alignment horizontal="center" vertical="center"/>
    </xf>
    <xf numFmtId="3" fontId="24" fillId="0" borderId="0" xfId="0" applyNumberFormat="1" applyFont="1"/>
    <xf numFmtId="168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58" xfId="0" applyFont="1" applyBorder="1"/>
    <xf numFmtId="0" fontId="9" fillId="0" borderId="65" xfId="0" applyFont="1" applyBorder="1"/>
    <xf numFmtId="0" fontId="9" fillId="0" borderId="65" xfId="0" applyFont="1" applyBorder="1" applyAlignment="1">
      <alignment horizontal="left"/>
    </xf>
    <xf numFmtId="0" fontId="9" fillId="0" borderId="59" xfId="0" applyFont="1" applyBorder="1"/>
    <xf numFmtId="0" fontId="28" fillId="0" borderId="67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68" xfId="0" applyFont="1" applyBorder="1" applyAlignment="1">
      <alignment horizontal="left" vertical="center"/>
    </xf>
    <xf numFmtId="0" fontId="28" fillId="0" borderId="69" xfId="0" applyFont="1" applyBorder="1" applyAlignment="1">
      <alignment horizontal="center" vertical="center"/>
    </xf>
    <xf numFmtId="0" fontId="28" fillId="0" borderId="70" xfId="0" applyFont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0" fontId="9" fillId="2" borderId="73" xfId="0" applyFont="1" applyFill="1" applyBorder="1" applyAlignment="1">
      <alignment horizontal="center" vertical="center"/>
    </xf>
    <xf numFmtId="166" fontId="9" fillId="0" borderId="76" xfId="0" applyNumberFormat="1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166" fontId="9" fillId="0" borderId="83" xfId="0" applyNumberFormat="1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26" fillId="0" borderId="78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0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166" fontId="9" fillId="0" borderId="88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19" fillId="3" borderId="31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62" xfId="0" applyFont="1" applyFill="1" applyBorder="1"/>
    <xf numFmtId="0" fontId="9" fillId="3" borderId="71" xfId="0" applyFont="1" applyFill="1" applyBorder="1" applyAlignment="1">
      <alignment horizontal="center" vertical="center"/>
    </xf>
    <xf numFmtId="0" fontId="9" fillId="3" borderId="72" xfId="0" applyFont="1" applyFill="1" applyBorder="1" applyAlignment="1">
      <alignment horizontal="center" vertical="center"/>
    </xf>
    <xf numFmtId="166" fontId="28" fillId="3" borderId="9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1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1" xfId="0" applyFont="1" applyFill="1" applyBorder="1"/>
    <xf numFmtId="0" fontId="0" fillId="0" borderId="0" xfId="0" applyAlignment="1">
      <alignment vertical="center"/>
    </xf>
    <xf numFmtId="0" fontId="9" fillId="2" borderId="21" xfId="0" applyFont="1" applyFill="1" applyBorder="1" applyAlignment="1">
      <alignment vertical="center"/>
    </xf>
    <xf numFmtId="165" fontId="9" fillId="2" borderId="21" xfId="0" applyNumberFormat="1" applyFont="1" applyFill="1" applyBorder="1" applyAlignment="1">
      <alignment vertical="center"/>
    </xf>
    <xf numFmtId="0" fontId="1" fillId="2" borderId="14" xfId="0" applyFont="1" applyFill="1" applyBorder="1" applyAlignment="1">
      <alignment horizontal="left" vertical="center"/>
    </xf>
    <xf numFmtId="0" fontId="33" fillId="2" borderId="9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left" vertical="center" wrapText="1"/>
    </xf>
    <xf numFmtId="0" fontId="3" fillId="4" borderId="4" xfId="0" applyFont="1" applyFill="1" applyBorder="1"/>
    <xf numFmtId="0" fontId="5" fillId="2" borderId="2" xfId="0" applyFont="1" applyFill="1" applyBorder="1" applyAlignment="1">
      <alignment horizontal="left" wrapText="1"/>
    </xf>
    <xf numFmtId="0" fontId="3" fillId="4" borderId="3" xfId="0" applyFont="1" applyFill="1" applyBorder="1"/>
    <xf numFmtId="0" fontId="4" fillId="3" borderId="2" xfId="0" applyFont="1" applyFill="1" applyBorder="1" applyAlignment="1">
      <alignment horizontal="left" vertical="center" wrapText="1"/>
    </xf>
    <xf numFmtId="0" fontId="30" fillId="4" borderId="21" xfId="0" applyFont="1" applyFill="1" applyBorder="1" applyAlignment="1">
      <alignment horizontal="left" wrapText="1"/>
    </xf>
    <xf numFmtId="0" fontId="15" fillId="0" borderId="25" xfId="0" applyFont="1" applyBorder="1" applyAlignment="1">
      <alignment horizontal="left" vertical="center" wrapText="1"/>
    </xf>
    <xf numFmtId="0" fontId="0" fillId="0" borderId="0" xfId="0" applyFont="1" applyAlignment="1"/>
    <xf numFmtId="0" fontId="1" fillId="2" borderId="23" xfId="0" applyFont="1" applyFill="1" applyBorder="1" applyAlignment="1">
      <alignment horizontal="left" wrapText="1"/>
    </xf>
    <xf numFmtId="0" fontId="3" fillId="0" borderId="24" xfId="0" applyFont="1" applyBorder="1"/>
    <xf numFmtId="0" fontId="1" fillId="2" borderId="14" xfId="0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16" xfId="0" applyFont="1" applyBorder="1"/>
    <xf numFmtId="0" fontId="1" fillId="2" borderId="17" xfId="0" applyFont="1" applyFill="1" applyBorder="1" applyAlignment="1">
      <alignment horizontal="left" wrapText="1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4" fillId="2" borderId="36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1" xfId="0" applyFont="1" applyBorder="1"/>
    <xf numFmtId="167" fontId="22" fillId="2" borderId="36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left" vertical="center" wrapText="1"/>
    </xf>
    <xf numFmtId="0" fontId="3" fillId="0" borderId="34" xfId="0" applyFont="1" applyBorder="1"/>
    <xf numFmtId="0" fontId="3" fillId="0" borderId="35" xfId="0" applyFont="1" applyBorder="1"/>
    <xf numFmtId="0" fontId="19" fillId="2" borderId="36" xfId="0" applyFont="1" applyFill="1" applyBorder="1" applyAlignment="1">
      <alignment horizontal="left" vertical="center" wrapText="1"/>
    </xf>
    <xf numFmtId="0" fontId="22" fillId="3" borderId="37" xfId="0" applyFont="1" applyFill="1" applyBorder="1" applyAlignment="1">
      <alignment horizontal="left" vertical="center" wrapText="1"/>
    </xf>
    <xf numFmtId="0" fontId="3" fillId="4" borderId="38" xfId="0" applyFont="1" applyFill="1" applyBorder="1"/>
    <xf numFmtId="0" fontId="3" fillId="4" borderId="39" xfId="0" applyFont="1" applyFill="1" applyBorder="1"/>
    <xf numFmtId="0" fontId="19" fillId="3" borderId="36" xfId="0" applyFont="1" applyFill="1" applyBorder="1" applyAlignment="1">
      <alignment horizontal="left" vertical="center" wrapText="1"/>
    </xf>
    <xf numFmtId="0" fontId="3" fillId="4" borderId="9" xfId="0" applyFont="1" applyFill="1" applyBorder="1"/>
    <xf numFmtId="0" fontId="3" fillId="4" borderId="11" xfId="0" applyFont="1" applyFill="1" applyBorder="1"/>
    <xf numFmtId="0" fontId="31" fillId="4" borderId="95" xfId="0" applyFont="1" applyFill="1" applyBorder="1" applyAlignment="1">
      <alignment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23" fillId="2" borderId="47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22" fillId="3" borderId="33" xfId="0" applyFont="1" applyFill="1" applyBorder="1" applyAlignment="1">
      <alignment horizontal="left" vertical="center" wrapText="1"/>
    </xf>
    <xf numFmtId="0" fontId="3" fillId="4" borderId="34" xfId="0" applyFont="1" applyFill="1" applyBorder="1"/>
    <xf numFmtId="0" fontId="3" fillId="4" borderId="35" xfId="0" applyFont="1" applyFill="1" applyBorder="1"/>
    <xf numFmtId="0" fontId="22" fillId="3" borderId="36" xfId="0" applyFont="1" applyFill="1" applyBorder="1" applyAlignment="1">
      <alignment horizontal="left" vertical="center"/>
    </xf>
    <xf numFmtId="0" fontId="3" fillId="4" borderId="40" xfId="0" applyFont="1" applyFill="1" applyBorder="1"/>
    <xf numFmtId="0" fontId="19" fillId="3" borderId="41" xfId="0" applyFont="1" applyFill="1" applyBorder="1" applyAlignment="1">
      <alignment horizontal="left" vertical="center" wrapText="1"/>
    </xf>
    <xf numFmtId="0" fontId="23" fillId="2" borderId="42" xfId="0" applyFont="1" applyFill="1" applyBorder="1" applyAlignment="1">
      <alignment horizontal="center" vertical="center"/>
    </xf>
    <xf numFmtId="0" fontId="3" fillId="0" borderId="48" xfId="0" applyFont="1" applyBorder="1"/>
    <xf numFmtId="0" fontId="23" fillId="2" borderId="44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3" fillId="0" borderId="46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1" fillId="2" borderId="25" xfId="0" applyFont="1" applyFill="1" applyBorder="1" applyAlignment="1">
      <alignment horizontal="left" vertical="center" wrapText="1"/>
    </xf>
    <xf numFmtId="0" fontId="3" fillId="0" borderId="26" xfId="0" applyFont="1" applyBorder="1"/>
    <xf numFmtId="0" fontId="32" fillId="0" borderId="97" xfId="0" applyFont="1" applyBorder="1" applyAlignment="1">
      <alignment horizontal="left" wrapText="1"/>
    </xf>
    <xf numFmtId="0" fontId="32" fillId="0" borderId="98" xfId="0" applyFont="1" applyBorder="1" applyAlignment="1">
      <alignment horizontal="left" wrapText="1"/>
    </xf>
    <xf numFmtId="0" fontId="32" fillId="0" borderId="99" xfId="0" applyFont="1" applyBorder="1" applyAlignment="1">
      <alignment horizontal="left" wrapText="1"/>
    </xf>
    <xf numFmtId="0" fontId="9" fillId="0" borderId="36" xfId="0" applyFont="1" applyBorder="1" applyAlignment="1">
      <alignment horizontal="center"/>
    </xf>
    <xf numFmtId="3" fontId="24" fillId="0" borderId="9" xfId="0" applyNumberFormat="1" applyFont="1" applyBorder="1" applyAlignment="1">
      <alignment horizontal="center"/>
    </xf>
    <xf numFmtId="0" fontId="25" fillId="0" borderId="56" xfId="0" applyFont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59" xfId="0" applyFont="1" applyBorder="1"/>
    <xf numFmtId="0" fontId="9" fillId="0" borderId="33" xfId="0" applyFont="1" applyBorder="1"/>
    <xf numFmtId="0" fontId="3" fillId="0" borderId="60" xfId="0" applyFont="1" applyBorder="1"/>
    <xf numFmtId="0" fontId="26" fillId="0" borderId="33" xfId="0" applyFont="1" applyBorder="1" applyAlignment="1">
      <alignment horizontal="left"/>
    </xf>
    <xf numFmtId="0" fontId="1" fillId="3" borderId="33" xfId="0" applyFont="1" applyFill="1" applyBorder="1" applyAlignment="1">
      <alignment horizontal="left" vertical="center" wrapText="1"/>
    </xf>
    <xf numFmtId="0" fontId="3" fillId="4" borderId="60" xfId="0" applyFont="1" applyFill="1" applyBorder="1"/>
    <xf numFmtId="0" fontId="26" fillId="3" borderId="33" xfId="0" applyFont="1" applyFill="1" applyBorder="1" applyAlignment="1">
      <alignment horizontal="left"/>
    </xf>
    <xf numFmtId="0" fontId="27" fillId="4" borderId="33" xfId="0" applyFont="1" applyFill="1" applyBorder="1" applyAlignment="1">
      <alignment horizontal="left"/>
    </xf>
    <xf numFmtId="0" fontId="26" fillId="4" borderId="61" xfId="0" applyFont="1" applyFill="1" applyBorder="1"/>
    <xf numFmtId="0" fontId="0" fillId="4" borderId="0" xfId="0" applyFont="1" applyFill="1" applyAlignment="1"/>
    <xf numFmtId="0" fontId="26" fillId="3" borderId="63" xfId="0" applyFont="1" applyFill="1" applyBorder="1" applyAlignment="1">
      <alignment horizontal="left" vertical="center" wrapText="1"/>
    </xf>
    <xf numFmtId="0" fontId="3" fillId="4" borderId="64" xfId="0" applyFont="1" applyFill="1" applyBorder="1"/>
    <xf numFmtId="0" fontId="28" fillId="0" borderId="56" xfId="0" applyFont="1" applyBorder="1" applyAlignment="1">
      <alignment horizontal="center" vertical="center"/>
    </xf>
    <xf numFmtId="0" fontId="3" fillId="0" borderId="66" xfId="0" applyFont="1" applyBorder="1"/>
    <xf numFmtId="0" fontId="28" fillId="0" borderId="33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28" fillId="0" borderId="57" xfId="0" applyFont="1" applyBorder="1" applyAlignment="1">
      <alignment horizontal="center" vertical="center"/>
    </xf>
    <xf numFmtId="0" fontId="9" fillId="0" borderId="74" xfId="0" applyFont="1" applyBorder="1" applyAlignment="1">
      <alignment horizontal="left" vertical="center" wrapText="1"/>
    </xf>
    <xf numFmtId="0" fontId="3" fillId="0" borderId="75" xfId="0" applyFont="1" applyBorder="1"/>
    <xf numFmtId="0" fontId="9" fillId="0" borderId="81" xfId="0" applyFont="1" applyBorder="1" applyAlignment="1">
      <alignment horizontal="left" vertical="center"/>
    </xf>
    <xf numFmtId="0" fontId="3" fillId="0" borderId="82" xfId="0" applyFont="1" applyBorder="1"/>
    <xf numFmtId="0" fontId="24" fillId="4" borderId="36" xfId="0" applyFont="1" applyFill="1" applyBorder="1" applyAlignment="1">
      <alignment vertical="center" wrapText="1"/>
    </xf>
    <xf numFmtId="0" fontId="26" fillId="4" borderId="66" xfId="0" applyFont="1" applyFill="1" applyBorder="1" applyAlignment="1">
      <alignment vertical="center" wrapText="1"/>
    </xf>
    <xf numFmtId="0" fontId="3" fillId="4" borderId="66" xfId="0" applyFont="1" applyFill="1" applyBorder="1"/>
    <xf numFmtId="0" fontId="3" fillId="4" borderId="57" xfId="0" applyFont="1" applyFill="1" applyBorder="1"/>
    <xf numFmtId="0" fontId="36" fillId="3" borderId="93" xfId="0" applyFont="1" applyFill="1" applyBorder="1" applyAlignment="1">
      <alignment horizontal="left" vertical="center" wrapText="1"/>
    </xf>
    <xf numFmtId="0" fontId="3" fillId="4" borderId="18" xfId="0" applyFont="1" applyFill="1" applyBorder="1"/>
    <xf numFmtId="0" fontId="3" fillId="4" borderId="94" xfId="0" applyFont="1" applyFill="1" applyBorder="1"/>
    <xf numFmtId="0" fontId="3" fillId="4" borderId="58" xfId="0" applyFont="1" applyFill="1" applyBorder="1"/>
    <xf numFmtId="0" fontId="3" fillId="4" borderId="65" xfId="0" applyFont="1" applyFill="1" applyBorder="1"/>
    <xf numFmtId="0" fontId="3" fillId="4" borderId="59" xfId="0" applyFont="1" applyFill="1" applyBorder="1"/>
    <xf numFmtId="0" fontId="9" fillId="0" borderId="86" xfId="0" applyFont="1" applyBorder="1" applyAlignment="1">
      <alignment horizontal="left" vertical="center"/>
    </xf>
    <xf numFmtId="0" fontId="3" fillId="0" borderId="87" xfId="0" applyFont="1" applyBorder="1"/>
    <xf numFmtId="0" fontId="35" fillId="3" borderId="89" xfId="0" applyFont="1" applyFill="1" applyBorder="1" applyAlignment="1">
      <alignment horizontal="left" vertical="center" wrapText="1"/>
    </xf>
    <xf numFmtId="0" fontId="3" fillId="4" borderId="90" xfId="0" applyFont="1" applyFill="1" applyBorder="1"/>
    <xf numFmtId="0" fontId="3" fillId="4" borderId="91" xfId="0" applyFont="1" applyFill="1" applyBorder="1"/>
    <xf numFmtId="0" fontId="9" fillId="4" borderId="5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5"/>
  <sheetViews>
    <sheetView tabSelected="1" zoomScale="84" zoomScaleNormal="84" workbookViewId="0">
      <selection activeCell="D10" sqref="D10"/>
    </sheetView>
  </sheetViews>
  <sheetFormatPr baseColWidth="10" defaultColWidth="12.5703125" defaultRowHeight="15" customHeight="1" x14ac:dyDescent="0.2"/>
  <cols>
    <col min="1" max="1" width="4.5703125" customWidth="1"/>
    <col min="2" max="2" width="14" customWidth="1"/>
    <col min="3" max="3" width="30.5703125" customWidth="1"/>
    <col min="4" max="4" width="8.42578125" customWidth="1"/>
    <col min="5" max="5" width="93.42578125" customWidth="1"/>
    <col min="6" max="6" width="13.85546875" customWidth="1"/>
    <col min="7" max="7" width="10.42578125" customWidth="1"/>
    <col min="8" max="8" width="15.7109375" customWidth="1"/>
    <col min="9" max="9" width="18.5703125" customWidth="1"/>
    <col min="10" max="26" width="11" customWidth="1"/>
  </cols>
  <sheetData>
    <row r="1" spans="1:26" ht="34.5" customHeight="1" x14ac:dyDescent="0.2">
      <c r="A1" s="1"/>
      <c r="B1" s="1"/>
      <c r="C1" s="1"/>
      <c r="D1" s="1"/>
      <c r="E1" s="1"/>
      <c r="F1" s="1"/>
      <c r="G1" s="1"/>
      <c r="H1" s="1"/>
      <c r="I1" s="2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5">
      <c r="A2" s="1"/>
      <c r="B2" s="95" t="s">
        <v>0</v>
      </c>
      <c r="C2" s="96"/>
      <c r="D2" s="96"/>
      <c r="E2" s="96"/>
      <c r="F2" s="96"/>
      <c r="G2" s="96"/>
      <c r="H2" s="97"/>
      <c r="I2" s="2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1"/>
      <c r="C3" s="1"/>
      <c r="D3" s="1"/>
      <c r="E3" s="1"/>
      <c r="F3" s="1"/>
      <c r="G3" s="1"/>
      <c r="H3" s="1"/>
      <c r="I3" s="2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98" t="s">
        <v>1</v>
      </c>
      <c r="B4" s="99"/>
      <c r="C4" s="100" t="s">
        <v>2</v>
      </c>
      <c r="D4" s="101"/>
      <c r="E4" s="99"/>
      <c r="F4" s="4"/>
      <c r="G4" s="5"/>
      <c r="H4" s="4"/>
      <c r="I4" s="2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02" t="s">
        <v>3</v>
      </c>
      <c r="B5" s="99"/>
      <c r="C5" s="103" t="s">
        <v>90</v>
      </c>
      <c r="D5" s="103"/>
      <c r="E5" s="103"/>
      <c r="F5" s="4"/>
      <c r="G5" s="5"/>
      <c r="H5" s="4"/>
      <c r="I5" s="2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98" t="s">
        <v>4</v>
      </c>
      <c r="B6" s="99"/>
      <c r="C6" s="6">
        <v>2022</v>
      </c>
      <c r="D6" s="7"/>
      <c r="E6" s="7"/>
      <c r="F6" s="4"/>
      <c r="G6" s="5"/>
      <c r="H6" s="4"/>
      <c r="I6" s="2"/>
      <c r="J6" s="1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02" t="s">
        <v>5</v>
      </c>
      <c r="B7" s="99"/>
      <c r="C7" s="79">
        <v>2</v>
      </c>
      <c r="D7" s="7"/>
      <c r="E7" s="7"/>
      <c r="F7" s="4"/>
      <c r="G7" s="5"/>
      <c r="H7" s="4"/>
      <c r="I7" s="2"/>
      <c r="J7" s="1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4"/>
      <c r="C8" s="5"/>
      <c r="D8" s="4"/>
      <c r="E8" s="4"/>
      <c r="F8" s="4"/>
      <c r="G8" s="5"/>
      <c r="H8" s="4"/>
      <c r="I8" s="2"/>
      <c r="J8" s="1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thickTop="1" thickBot="1" x14ac:dyDescent="0.25">
      <c r="A9" s="8" t="s">
        <v>6</v>
      </c>
      <c r="B9" s="8" t="s">
        <v>7</v>
      </c>
      <c r="C9" s="8" t="s">
        <v>8</v>
      </c>
      <c r="D9" s="9" t="s">
        <v>9</v>
      </c>
      <c r="E9" s="10" t="s">
        <v>10</v>
      </c>
      <c r="F9" s="11" t="s">
        <v>11</v>
      </c>
      <c r="G9" s="8" t="s">
        <v>12</v>
      </c>
      <c r="H9" s="8" t="s">
        <v>13</v>
      </c>
      <c r="I9" s="12" t="s">
        <v>14</v>
      </c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.75" customHeight="1" thickTop="1" thickBot="1" x14ac:dyDescent="0.25">
      <c r="A10" s="17">
        <v>1</v>
      </c>
      <c r="B10" s="18" t="s">
        <v>20</v>
      </c>
      <c r="C10" s="13" t="s">
        <v>15</v>
      </c>
      <c r="D10" s="14" t="s">
        <v>16</v>
      </c>
      <c r="E10" s="23" t="s">
        <v>21</v>
      </c>
      <c r="F10" s="17" t="s">
        <v>18</v>
      </c>
      <c r="G10" s="20">
        <v>40</v>
      </c>
      <c r="H10" s="21">
        <v>850</v>
      </c>
      <c r="I10" s="22">
        <f>+H10*G10</f>
        <v>34000</v>
      </c>
      <c r="J10" s="16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.75" customHeight="1" thickTop="1" thickBot="1" x14ac:dyDescent="0.25">
      <c r="A11" s="17">
        <v>2</v>
      </c>
      <c r="B11" s="17" t="s">
        <v>22</v>
      </c>
      <c r="C11" s="13" t="s">
        <v>15</v>
      </c>
      <c r="D11" s="14" t="s">
        <v>16</v>
      </c>
      <c r="E11" s="19" t="s">
        <v>23</v>
      </c>
      <c r="F11" s="17" t="s">
        <v>17</v>
      </c>
      <c r="G11" s="20">
        <v>90</v>
      </c>
      <c r="H11" s="21">
        <v>76.95</v>
      </c>
      <c r="I11" s="22">
        <f t="shared" ref="I11:I23" si="0">+H11*G11</f>
        <v>6925.5</v>
      </c>
      <c r="J11" s="16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 thickTop="1" thickBot="1" x14ac:dyDescent="0.25">
      <c r="A12" s="17">
        <v>3</v>
      </c>
      <c r="B12" s="24" t="s">
        <v>24</v>
      </c>
      <c r="C12" s="13" t="s">
        <v>15</v>
      </c>
      <c r="D12" s="14" t="s">
        <v>16</v>
      </c>
      <c r="E12" s="25" t="s">
        <v>25</v>
      </c>
      <c r="F12" s="17" t="s">
        <v>26</v>
      </c>
      <c r="G12" s="20">
        <v>1800</v>
      </c>
      <c r="H12" s="21">
        <v>175</v>
      </c>
      <c r="I12" s="22">
        <f t="shared" si="0"/>
        <v>315000</v>
      </c>
      <c r="J12" s="15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.75" customHeight="1" thickTop="1" thickBot="1" x14ac:dyDescent="0.25">
      <c r="A13" s="17">
        <v>4</v>
      </c>
      <c r="B13" s="18" t="s">
        <v>28</v>
      </c>
      <c r="C13" s="13" t="s">
        <v>15</v>
      </c>
      <c r="D13" s="14" t="s">
        <v>16</v>
      </c>
      <c r="E13" s="19" t="s">
        <v>29</v>
      </c>
      <c r="F13" s="17" t="s">
        <v>19</v>
      </c>
      <c r="G13" s="20">
        <v>30</v>
      </c>
      <c r="H13" s="21">
        <v>958</v>
      </c>
      <c r="I13" s="22">
        <f t="shared" si="0"/>
        <v>28740</v>
      </c>
      <c r="J13" s="16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.75" customHeight="1" thickTop="1" thickBot="1" x14ac:dyDescent="0.25">
      <c r="A14" s="17">
        <v>5</v>
      </c>
      <c r="B14" s="18" t="s">
        <v>30</v>
      </c>
      <c r="C14" s="13" t="s">
        <v>15</v>
      </c>
      <c r="D14" s="14" t="s">
        <v>16</v>
      </c>
      <c r="E14" s="19" t="s">
        <v>31</v>
      </c>
      <c r="F14" s="17" t="s">
        <v>17</v>
      </c>
      <c r="G14" s="20">
        <v>90</v>
      </c>
      <c r="H14" s="21">
        <v>128.80000000000001</v>
      </c>
      <c r="I14" s="22">
        <f t="shared" si="0"/>
        <v>11592.000000000002</v>
      </c>
      <c r="J14" s="16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.75" customHeight="1" thickTop="1" thickBot="1" x14ac:dyDescent="0.25">
      <c r="A15" s="17">
        <v>6</v>
      </c>
      <c r="B15" s="18" t="s">
        <v>32</v>
      </c>
      <c r="C15" s="13" t="s">
        <v>15</v>
      </c>
      <c r="D15" s="14" t="s">
        <v>16</v>
      </c>
      <c r="E15" s="19" t="s">
        <v>33</v>
      </c>
      <c r="F15" s="17" t="s">
        <v>26</v>
      </c>
      <c r="G15" s="20">
        <v>20</v>
      </c>
      <c r="H15" s="21">
        <v>180</v>
      </c>
      <c r="I15" s="22">
        <f t="shared" si="0"/>
        <v>3600</v>
      </c>
      <c r="J15" s="16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.75" customHeight="1" thickTop="1" thickBot="1" x14ac:dyDescent="0.25">
      <c r="A16" s="17">
        <v>7</v>
      </c>
      <c r="B16" s="26" t="s">
        <v>34</v>
      </c>
      <c r="C16" s="13" t="s">
        <v>15</v>
      </c>
      <c r="D16" s="14" t="s">
        <v>16</v>
      </c>
      <c r="E16" s="28" t="s">
        <v>35</v>
      </c>
      <c r="F16" s="17" t="s">
        <v>17</v>
      </c>
      <c r="G16" s="20">
        <v>400</v>
      </c>
      <c r="H16" s="21">
        <v>4.3</v>
      </c>
      <c r="I16" s="22">
        <f t="shared" si="0"/>
        <v>1720</v>
      </c>
      <c r="J16" s="15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 thickTop="1" thickBot="1" x14ac:dyDescent="0.25">
      <c r="A17" s="17">
        <v>8</v>
      </c>
      <c r="B17" s="26" t="s">
        <v>36</v>
      </c>
      <c r="C17" s="13" t="s">
        <v>15</v>
      </c>
      <c r="D17" s="14" t="s">
        <v>16</v>
      </c>
      <c r="E17" s="28" t="s">
        <v>37</v>
      </c>
      <c r="F17" s="17" t="s">
        <v>17</v>
      </c>
      <c r="G17" s="20">
        <v>30</v>
      </c>
      <c r="H17" s="21">
        <v>7.8</v>
      </c>
      <c r="I17" s="22">
        <f t="shared" si="0"/>
        <v>234</v>
      </c>
      <c r="J17" s="15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 thickTop="1" thickBot="1" x14ac:dyDescent="0.25">
      <c r="A18" s="17">
        <v>9</v>
      </c>
      <c r="B18" s="26" t="s">
        <v>38</v>
      </c>
      <c r="C18" s="13" t="s">
        <v>15</v>
      </c>
      <c r="D18" s="14" t="s">
        <v>16</v>
      </c>
      <c r="E18" s="27" t="s">
        <v>39</v>
      </c>
      <c r="F18" s="17" t="s">
        <v>27</v>
      </c>
      <c r="G18" s="20">
        <v>50</v>
      </c>
      <c r="H18" s="21">
        <v>484</v>
      </c>
      <c r="I18" s="22">
        <f t="shared" si="0"/>
        <v>24200</v>
      </c>
      <c r="J18" s="15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 thickTop="1" thickBot="1" x14ac:dyDescent="0.25">
      <c r="A19" s="17">
        <v>10</v>
      </c>
      <c r="B19" s="17" t="s">
        <v>40</v>
      </c>
      <c r="C19" s="13" t="s">
        <v>15</v>
      </c>
      <c r="D19" s="14" t="s">
        <v>16</v>
      </c>
      <c r="E19" s="28" t="s">
        <v>41</v>
      </c>
      <c r="F19" s="17" t="s">
        <v>42</v>
      </c>
      <c r="G19" s="20">
        <v>2</v>
      </c>
      <c r="H19" s="21">
        <v>1199</v>
      </c>
      <c r="I19" s="22">
        <f t="shared" si="0"/>
        <v>2398</v>
      </c>
      <c r="J19" s="15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.75" customHeight="1" thickTop="1" thickBot="1" x14ac:dyDescent="0.25">
      <c r="A20" s="17">
        <v>11</v>
      </c>
      <c r="B20" s="17" t="s">
        <v>43</v>
      </c>
      <c r="C20" s="13" t="s">
        <v>15</v>
      </c>
      <c r="D20" s="14" t="s">
        <v>16</v>
      </c>
      <c r="E20" s="28" t="s">
        <v>44</v>
      </c>
      <c r="F20" s="17" t="s">
        <v>17</v>
      </c>
      <c r="G20" s="20">
        <v>300</v>
      </c>
      <c r="H20" s="21">
        <v>23</v>
      </c>
      <c r="I20" s="22">
        <f t="shared" si="0"/>
        <v>6900</v>
      </c>
      <c r="J20" s="15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 thickTop="1" thickBot="1" x14ac:dyDescent="0.25">
      <c r="A21" s="17">
        <v>12</v>
      </c>
      <c r="B21" s="17" t="s">
        <v>45</v>
      </c>
      <c r="C21" s="13" t="s">
        <v>15</v>
      </c>
      <c r="D21" s="14" t="s">
        <v>16</v>
      </c>
      <c r="E21" s="28" t="s">
        <v>46</v>
      </c>
      <c r="F21" s="17" t="s">
        <v>27</v>
      </c>
      <c r="G21" s="20">
        <v>20</v>
      </c>
      <c r="H21" s="21">
        <v>950</v>
      </c>
      <c r="I21" s="22">
        <f t="shared" si="0"/>
        <v>19000</v>
      </c>
      <c r="J21" s="15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s="86" customFormat="1" ht="36.75" customHeight="1" thickTop="1" thickBot="1" x14ac:dyDescent="0.25">
      <c r="A22" s="17">
        <v>13</v>
      </c>
      <c r="B22" s="90" t="s">
        <v>102</v>
      </c>
      <c r="C22" s="13" t="s">
        <v>15</v>
      </c>
      <c r="D22" s="14" t="s">
        <v>16</v>
      </c>
      <c r="E22" s="28" t="s">
        <v>103</v>
      </c>
      <c r="F22" s="17" t="s">
        <v>17</v>
      </c>
      <c r="G22" s="20">
        <v>60</v>
      </c>
      <c r="H22" s="21">
        <v>18</v>
      </c>
      <c r="I22" s="22">
        <f t="shared" si="0"/>
        <v>1080</v>
      </c>
      <c r="J22" s="87"/>
      <c r="K22" s="88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36.75" customHeight="1" thickTop="1" thickBot="1" x14ac:dyDescent="0.25">
      <c r="A23" s="17">
        <v>14</v>
      </c>
      <c r="B23" s="29" t="s">
        <v>47</v>
      </c>
      <c r="C23" s="13" t="s">
        <v>15</v>
      </c>
      <c r="D23" s="14" t="s">
        <v>16</v>
      </c>
      <c r="E23" s="30" t="s">
        <v>48</v>
      </c>
      <c r="F23" s="17" t="s">
        <v>19</v>
      </c>
      <c r="G23" s="20">
        <v>20</v>
      </c>
      <c r="H23" s="21">
        <v>10670</v>
      </c>
      <c r="I23" s="22">
        <f t="shared" si="0"/>
        <v>213400</v>
      </c>
      <c r="J23" s="16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thickTop="1" x14ac:dyDescent="0.2">
      <c r="A24" s="1"/>
      <c r="B24" s="1"/>
      <c r="C24" s="1"/>
      <c r="D24" s="1"/>
      <c r="E24" s="1"/>
      <c r="F24" s="1"/>
      <c r="G24" s="1"/>
      <c r="H24" s="1"/>
      <c r="I24" s="2"/>
      <c r="J24" s="1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2"/>
      <c r="J25" s="1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31" t="s">
        <v>95</v>
      </c>
      <c r="C26" s="1"/>
      <c r="D26" s="1"/>
      <c r="E26" s="1"/>
      <c r="F26" s="1"/>
      <c r="G26" s="1"/>
      <c r="H26" s="1"/>
      <c r="I26" s="2"/>
      <c r="J26" s="1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75" customHeight="1" x14ac:dyDescent="0.2">
      <c r="A27" s="1"/>
      <c r="B27" s="108" t="s">
        <v>49</v>
      </c>
      <c r="C27" s="109"/>
      <c r="D27" s="109"/>
      <c r="E27" s="110"/>
      <c r="F27" s="1"/>
      <c r="G27" s="1"/>
      <c r="H27" s="1"/>
      <c r="I27" s="2"/>
      <c r="J27" s="1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11" t="s">
        <v>96</v>
      </c>
      <c r="C28" s="112"/>
      <c r="D28" s="112"/>
      <c r="E28" s="113"/>
      <c r="F28" s="1"/>
      <c r="G28" s="1"/>
      <c r="H28" s="1"/>
      <c r="I28" s="2"/>
      <c r="J28" s="1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14"/>
      <c r="C29" s="115"/>
      <c r="D29" s="115"/>
      <c r="E29" s="116"/>
      <c r="F29" s="1"/>
      <c r="G29" s="1"/>
      <c r="H29" s="1"/>
      <c r="I29" s="2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06" t="s">
        <v>97</v>
      </c>
      <c r="C30" s="96"/>
      <c r="D30" s="96"/>
      <c r="E30" s="107"/>
      <c r="F30" s="1"/>
      <c r="G30" s="1"/>
      <c r="H30" s="1"/>
      <c r="I30" s="2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04" t="s">
        <v>50</v>
      </c>
      <c r="C31" s="105"/>
      <c r="D31" s="32"/>
      <c r="E31" s="33"/>
      <c r="F31" s="1"/>
      <c r="G31" s="1"/>
      <c r="H31" s="1"/>
      <c r="I31" s="2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34" t="s">
        <v>98</v>
      </c>
      <c r="C32" s="35"/>
      <c r="D32" s="35"/>
      <c r="E32" s="36"/>
      <c r="F32" s="1"/>
      <c r="G32" s="1"/>
      <c r="H32" s="1"/>
      <c r="I32" s="2"/>
      <c r="J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2"/>
      <c r="J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2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2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2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2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2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2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2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2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2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2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2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2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2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2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2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2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2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2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2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2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2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2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2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2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2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2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2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2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2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2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2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2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2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2"/>
      <c r="J67" s="1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2"/>
      <c r="J68" s="1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2"/>
      <c r="J69" s="1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2"/>
      <c r="J70" s="1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2"/>
      <c r="J71" s="1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2"/>
      <c r="J72" s="1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2"/>
      <c r="J73" s="1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2"/>
      <c r="J74" s="1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2"/>
      <c r="J75" s="1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2"/>
      <c r="J76" s="1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2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2"/>
      <c r="J78" s="1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2"/>
      <c r="J79" s="1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2"/>
      <c r="J80" s="1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2"/>
      <c r="J81" s="1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2"/>
      <c r="J82" s="1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2"/>
      <c r="J83" s="1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2"/>
      <c r="J84" s="1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2"/>
      <c r="J85" s="1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2"/>
      <c r="J86" s="1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2"/>
      <c r="J87" s="1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2"/>
      <c r="J88" s="1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2"/>
      <c r="J89" s="1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2"/>
      <c r="J90" s="1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2"/>
      <c r="J91" s="1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2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2"/>
      <c r="J93" s="1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2"/>
      <c r="J94" s="1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2"/>
      <c r="J95" s="1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2"/>
      <c r="J96" s="1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2"/>
      <c r="J97" s="1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2"/>
      <c r="J98" s="1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2"/>
      <c r="J99" s="1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</sheetData>
  <mergeCells count="11">
    <mergeCell ref="B31:C31"/>
    <mergeCell ref="A6:B6"/>
    <mergeCell ref="A7:B7"/>
    <mergeCell ref="B30:E30"/>
    <mergeCell ref="B27:E27"/>
    <mergeCell ref="B28:E29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5"/>
  <sheetViews>
    <sheetView topLeftCell="A19" workbookViewId="0">
      <selection activeCell="A27" sqref="A27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4" width="13.140625" customWidth="1"/>
    <col min="15" max="15" width="14.42578125" customWidth="1"/>
    <col min="16" max="26" width="9.140625" customWidth="1"/>
  </cols>
  <sheetData>
    <row r="1" spans="1:26" ht="18" customHeight="1" x14ac:dyDescent="0.2">
      <c r="A1" s="121" t="s">
        <v>51</v>
      </c>
      <c r="B1" s="96"/>
      <c r="C1" s="96"/>
      <c r="D1" s="96"/>
      <c r="E1" s="96"/>
      <c r="F1" s="96"/>
      <c r="G1" s="96"/>
      <c r="H1" s="96"/>
      <c r="I1" s="97"/>
      <c r="J1" s="37" t="s">
        <v>52</v>
      </c>
      <c r="K1" s="80" t="s">
        <v>99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8.75" customHeight="1" x14ac:dyDescent="0.2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8.75" customHeight="1" x14ac:dyDescent="0.2">
      <c r="A3" s="122" t="s">
        <v>53</v>
      </c>
      <c r="B3" s="123"/>
      <c r="C3" s="124"/>
      <c r="D3" s="125" t="str">
        <f>'Necesidades Trimestrales'!C4</f>
        <v>040 - Ministerio de Salud</v>
      </c>
      <c r="E3" s="118"/>
      <c r="F3" s="118"/>
      <c r="G3" s="118"/>
      <c r="H3" s="118"/>
      <c r="I3" s="118"/>
      <c r="J3" s="118"/>
      <c r="K3" s="11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8.75" customHeight="1" x14ac:dyDescent="0.2">
      <c r="A4" s="126" t="s">
        <v>54</v>
      </c>
      <c r="B4" s="127"/>
      <c r="C4" s="128"/>
      <c r="D4" s="129" t="str">
        <f>'Necesidades Trimestrales'!C5</f>
        <v>28- Maternidad Provincial 25 de Mayo</v>
      </c>
      <c r="E4" s="130"/>
      <c r="F4" s="130"/>
      <c r="G4" s="130"/>
      <c r="H4" s="130"/>
      <c r="I4" s="130"/>
      <c r="J4" s="130"/>
      <c r="K4" s="131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8.75" customHeight="1" x14ac:dyDescent="0.2">
      <c r="A5" s="126" t="s">
        <v>55</v>
      </c>
      <c r="B5" s="127"/>
      <c r="C5" s="128"/>
      <c r="D5" s="132" t="s">
        <v>91</v>
      </c>
      <c r="E5" s="132"/>
      <c r="F5" s="132"/>
      <c r="G5" s="132"/>
      <c r="H5" s="132"/>
      <c r="I5" s="132"/>
      <c r="J5" s="132"/>
      <c r="K5" s="132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6.5" customHeight="1" x14ac:dyDescent="0.2">
      <c r="A6" s="137" t="s">
        <v>56</v>
      </c>
      <c r="B6" s="138"/>
      <c r="C6" s="139"/>
      <c r="D6" s="129" t="s">
        <v>92</v>
      </c>
      <c r="E6" s="130"/>
      <c r="F6" s="130"/>
      <c r="G6" s="130"/>
      <c r="H6" s="130"/>
      <c r="I6" s="130"/>
      <c r="J6" s="130"/>
      <c r="K6" s="131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6.5" customHeight="1" x14ac:dyDescent="0.2">
      <c r="A7" s="126" t="s">
        <v>57</v>
      </c>
      <c r="B7" s="127"/>
      <c r="C7" s="128"/>
      <c r="D7" s="129" t="s">
        <v>94</v>
      </c>
      <c r="E7" s="130"/>
      <c r="F7" s="130"/>
      <c r="G7" s="130"/>
      <c r="H7" s="130"/>
      <c r="I7" s="130"/>
      <c r="J7" s="130"/>
      <c r="K7" s="131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6.5" customHeight="1" x14ac:dyDescent="0.2">
      <c r="A8" s="140" t="s">
        <v>58</v>
      </c>
      <c r="B8" s="130"/>
      <c r="C8" s="141"/>
      <c r="D8" s="142" t="s">
        <v>93</v>
      </c>
      <c r="E8" s="130"/>
      <c r="F8" s="130"/>
      <c r="G8" s="130"/>
      <c r="H8" s="130"/>
      <c r="I8" s="130"/>
      <c r="J8" s="130"/>
      <c r="K8" s="131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8.75" customHeight="1" x14ac:dyDescent="0.2">
      <c r="A10" s="143" t="s">
        <v>59</v>
      </c>
      <c r="B10" s="133" t="s">
        <v>60</v>
      </c>
      <c r="C10" s="145" t="s">
        <v>61</v>
      </c>
      <c r="D10" s="146"/>
      <c r="E10" s="146"/>
      <c r="F10" s="146"/>
      <c r="G10" s="147"/>
      <c r="H10" s="133" t="s">
        <v>62</v>
      </c>
      <c r="I10" s="133" t="s">
        <v>63</v>
      </c>
      <c r="J10" s="133" t="s">
        <v>64</v>
      </c>
      <c r="K10" s="135" t="s">
        <v>65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4" customHeight="1" x14ac:dyDescent="0.2">
      <c r="A11" s="144"/>
      <c r="B11" s="134"/>
      <c r="C11" s="148"/>
      <c r="D11" s="149"/>
      <c r="E11" s="149"/>
      <c r="F11" s="149"/>
      <c r="G11" s="150"/>
      <c r="H11" s="134"/>
      <c r="I11" s="134"/>
      <c r="J11" s="134"/>
      <c r="K11" s="136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30.75" customHeight="1" x14ac:dyDescent="0.2">
      <c r="A12" s="43">
        <f>+'Necesidades Trimestrales'!A10</f>
        <v>1</v>
      </c>
      <c r="B12" s="44" t="str">
        <f>+'Necesidades Trimestrales'!B10</f>
        <v>2.5.2-5520.5</v>
      </c>
      <c r="C12" s="108" t="str">
        <f>+'Necesidades Trimestrales'!E10</f>
        <v>VASELINA; TIPO: LIQUIDA, PRESENTACION: ENVASE X 1000 mL</v>
      </c>
      <c r="D12" s="109"/>
      <c r="E12" s="109"/>
      <c r="F12" s="109"/>
      <c r="G12" s="110"/>
      <c r="H12" s="43" t="s">
        <v>66</v>
      </c>
      <c r="I12" s="45" t="str">
        <f>+'Necesidades Trimestrales'!F10</f>
        <v>unidad</v>
      </c>
      <c r="J12" s="46">
        <f>+'Necesidades Trimestrales'!H10</f>
        <v>850</v>
      </c>
      <c r="K12" s="47">
        <f>+'Necesidades Trimestrales'!G10</f>
        <v>40</v>
      </c>
      <c r="L12" s="38"/>
      <c r="M12" s="38"/>
      <c r="N12" s="38"/>
      <c r="O12" s="4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30.75" customHeight="1" x14ac:dyDescent="0.2">
      <c r="A13" s="43">
        <f>+'Necesidades Trimestrales'!A11</f>
        <v>2</v>
      </c>
      <c r="B13" s="44" t="str">
        <f>+'Necesidades Trimestrales'!B11</f>
        <v>2.5.2-3259.11</v>
      </c>
      <c r="C13" s="108" t="str">
        <f>+'Necesidades Trimestrales'!E11</f>
        <v>DIGESTIVOS; TIPO: MONODROGA, DROGA GENERICA: ACIDO URSODESOXICOLICO, FORMA FARMACEUTICA: COMPRIMIDO, PRESENTACION: 150 MGR</v>
      </c>
      <c r="D13" s="109"/>
      <c r="E13" s="109"/>
      <c r="F13" s="109"/>
      <c r="G13" s="110"/>
      <c r="H13" s="49" t="s">
        <v>66</v>
      </c>
      <c r="I13" s="45" t="str">
        <f>+'Necesidades Trimestrales'!F11</f>
        <v>comprimido</v>
      </c>
      <c r="J13" s="46">
        <f>+'Necesidades Trimestrales'!H11</f>
        <v>76.95</v>
      </c>
      <c r="K13" s="47">
        <f>+'Necesidades Trimestrales'!G11</f>
        <v>90</v>
      </c>
      <c r="L13" s="38"/>
      <c r="M13" s="38"/>
      <c r="N13" s="38"/>
      <c r="O13" s="4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30.75" customHeight="1" x14ac:dyDescent="0.2">
      <c r="A14" s="43">
        <f>+'Necesidades Trimestrales'!A12</f>
        <v>3</v>
      </c>
      <c r="B14" s="44" t="str">
        <f>+'Necesidades Trimestrales'!B12</f>
        <v>2.5.2-1901.13</v>
      </c>
      <c r="C14" s="108" t="str">
        <f>+'Necesidades Trimestrales'!E12</f>
        <v>VITAMINAS; TIPO: ASOCIACION, DROGA GENERICA: VIT.A +D+C, FORMA FARMACEUTICA: GOTA, PRESENTACION: 20 mL</v>
      </c>
      <c r="D14" s="109"/>
      <c r="E14" s="109"/>
      <c r="F14" s="109"/>
      <c r="G14" s="110"/>
      <c r="H14" s="49" t="s">
        <v>66</v>
      </c>
      <c r="I14" s="45" t="str">
        <f>+'Necesidades Trimestrales'!F12</f>
        <v>gotero</v>
      </c>
      <c r="J14" s="46">
        <f>+'Necesidades Trimestrales'!H12</f>
        <v>175</v>
      </c>
      <c r="K14" s="47">
        <f>+'Necesidades Trimestrales'!G12</f>
        <v>1800</v>
      </c>
      <c r="L14" s="38"/>
      <c r="M14" s="38"/>
      <c r="N14" s="38"/>
      <c r="O14" s="4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30.75" customHeight="1" x14ac:dyDescent="0.2">
      <c r="A15" s="43">
        <f>+'Necesidades Trimestrales'!A13</f>
        <v>4</v>
      </c>
      <c r="B15" s="44" t="str">
        <f>+'Necesidades Trimestrales'!B13</f>
        <v>2.5.2-1901.130</v>
      </c>
      <c r="C15" s="108" t="str">
        <f>+'Necesidades Trimestrales'!E13</f>
        <v>VITAMINAS; TIPO: MONODROGA, DROGA GENERICA: VITAMINA D3 2000 UI/ML, FORMA FARMACEUTICA: SOLUCION, PRESENTACION: 2 ML</v>
      </c>
      <c r="D15" s="109"/>
      <c r="E15" s="109"/>
      <c r="F15" s="109"/>
      <c r="G15" s="110"/>
      <c r="H15" s="49" t="s">
        <v>66</v>
      </c>
      <c r="I15" s="45" t="str">
        <f>+'Necesidades Trimestrales'!F13</f>
        <v>frasco</v>
      </c>
      <c r="J15" s="46">
        <f>+'Necesidades Trimestrales'!H13</f>
        <v>958</v>
      </c>
      <c r="K15" s="47">
        <f>+'Necesidades Trimestrales'!G13</f>
        <v>30</v>
      </c>
      <c r="L15" s="38"/>
      <c r="M15" s="38"/>
      <c r="N15" s="38"/>
      <c r="O15" s="4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30.75" customHeight="1" x14ac:dyDescent="0.2">
      <c r="A16" s="43">
        <f>+'Necesidades Trimestrales'!A14</f>
        <v>5</v>
      </c>
      <c r="B16" s="44" t="str">
        <f>+'Necesidades Trimestrales'!B14</f>
        <v>2.5.2-3259.14</v>
      </c>
      <c r="C16" s="108" t="str">
        <f>+'Necesidades Trimestrales'!E14</f>
        <v>DIGESTIVOS; TIPO: MONODROGA, DROGA GENERICA: ACIDO URSODEOXICOLICO, FORMA FARMACEUTICA: COMPRIMIDO, PRESENTACION: 300 MGR</v>
      </c>
      <c r="D16" s="109"/>
      <c r="E16" s="109"/>
      <c r="F16" s="109"/>
      <c r="G16" s="110"/>
      <c r="H16" s="49" t="s">
        <v>66</v>
      </c>
      <c r="I16" s="45" t="str">
        <f>+'Necesidades Trimestrales'!F14</f>
        <v>comprimido</v>
      </c>
      <c r="J16" s="46">
        <f>+'Necesidades Trimestrales'!H14</f>
        <v>128.80000000000001</v>
      </c>
      <c r="K16" s="47">
        <f>+'Necesidades Trimestrales'!G14</f>
        <v>90</v>
      </c>
      <c r="L16" s="38"/>
      <c r="M16" s="38"/>
      <c r="N16" s="38"/>
      <c r="O16" s="4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30.75" customHeight="1" x14ac:dyDescent="0.2">
      <c r="A17" s="43">
        <f>+'Necesidades Trimestrales'!A15</f>
        <v>6</v>
      </c>
      <c r="B17" s="44" t="str">
        <f>+'Necesidades Trimestrales'!B15</f>
        <v>2.5.2-6910.11</v>
      </c>
      <c r="C17" s="108" t="str">
        <f>+'Necesidades Trimestrales'!E15</f>
        <v>ANTIEMETICOS; TIPO: MONODROGA, DROGA GENERICA: DOMPERIDONA 1%, FORMA FARMACEUTICA: GOTAS, PRESENTACION: ENVASE X 20 ML</v>
      </c>
      <c r="D17" s="109"/>
      <c r="E17" s="109"/>
      <c r="F17" s="109"/>
      <c r="G17" s="110"/>
      <c r="H17" s="49" t="s">
        <v>66</v>
      </c>
      <c r="I17" s="45" t="str">
        <f>+'Necesidades Trimestrales'!F15</f>
        <v>gotero</v>
      </c>
      <c r="J17" s="46">
        <f>+'Necesidades Trimestrales'!H15</f>
        <v>180</v>
      </c>
      <c r="K17" s="47">
        <f>+'Necesidades Trimestrales'!G15</f>
        <v>20</v>
      </c>
      <c r="L17" s="38"/>
      <c r="M17" s="38"/>
      <c r="N17" s="38"/>
      <c r="O17" s="4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30.75" customHeight="1" x14ac:dyDescent="0.2">
      <c r="A18" s="43">
        <f>+'Necesidades Trimestrales'!A16</f>
        <v>7</v>
      </c>
      <c r="B18" s="44" t="str">
        <f>+'Necesidades Trimestrales'!B16</f>
        <v>2.5.2-1865.11</v>
      </c>
      <c r="C18" s="108" t="str">
        <f>+'Necesidades Trimestrales'!E16</f>
        <v>ANTIEPILEPTICOS; TIPO: MONODROGA, DROGA GENERICA: CLONAZEPAN, FORMA FARMACEUTICA: COMPRIMIDO, PRESENTACION: 0.50 mGr</v>
      </c>
      <c r="D18" s="109"/>
      <c r="E18" s="109"/>
      <c r="F18" s="109"/>
      <c r="G18" s="110"/>
      <c r="H18" s="49" t="s">
        <v>66</v>
      </c>
      <c r="I18" s="45" t="str">
        <f>+'Necesidades Trimestrales'!F16</f>
        <v>comprimido</v>
      </c>
      <c r="J18" s="46">
        <f>+'Necesidades Trimestrales'!H16</f>
        <v>4.3</v>
      </c>
      <c r="K18" s="47">
        <f>+'Necesidades Trimestrales'!G16</f>
        <v>400</v>
      </c>
      <c r="L18" s="38"/>
      <c r="M18" s="38"/>
      <c r="N18" s="38"/>
      <c r="O18" s="4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30.75" customHeight="1" x14ac:dyDescent="0.2">
      <c r="A19" s="43">
        <f>+'Necesidades Trimestrales'!A17</f>
        <v>8</v>
      </c>
      <c r="B19" s="44" t="str">
        <f>+'Necesidades Trimestrales'!B17</f>
        <v>2.5.2-1838.1</v>
      </c>
      <c r="C19" s="108" t="str">
        <f>+'Necesidades Trimestrales'!E17</f>
        <v>INOTROPICOS; TIPO: MONODROGA, FORMA FARMACEUTICA: COMPRIMIDO, PRESENTACION: 0,25 mGr, DROGA GENERICA: DIGOXINA</v>
      </c>
      <c r="D19" s="109"/>
      <c r="E19" s="109"/>
      <c r="F19" s="109"/>
      <c r="G19" s="110"/>
      <c r="H19" s="49" t="s">
        <v>66</v>
      </c>
      <c r="I19" s="45" t="str">
        <f>+'Necesidades Trimestrales'!F17</f>
        <v>comprimido</v>
      </c>
      <c r="J19" s="46">
        <f>+'Necesidades Trimestrales'!H17</f>
        <v>7.8</v>
      </c>
      <c r="K19" s="47">
        <f>+'Necesidades Trimestrales'!G17</f>
        <v>30</v>
      </c>
      <c r="L19" s="38"/>
      <c r="M19" s="38"/>
      <c r="N19" s="38"/>
      <c r="O19" s="4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30.75" customHeight="1" x14ac:dyDescent="0.2">
      <c r="A20" s="43">
        <f>+'Necesidades Trimestrales'!A18</f>
        <v>9</v>
      </c>
      <c r="B20" s="44" t="str">
        <f>+'Necesidades Trimestrales'!B18</f>
        <v>2.5.2-1872.56</v>
      </c>
      <c r="C20" s="108" t="str">
        <f>+'Necesidades Trimestrales'!E18</f>
        <v>ANTIANEMICOS; TIPO: MONODROGA, DROGA GENERICA: HIERRO DEXTRAN 50 mGr/ML, FORMA FARMACEUTICA: AMPOLLA, PRESENTACION: 2 mL</v>
      </c>
      <c r="D20" s="109"/>
      <c r="E20" s="109"/>
      <c r="F20" s="109"/>
      <c r="G20" s="110"/>
      <c r="H20" s="49" t="s">
        <v>66</v>
      </c>
      <c r="I20" s="45" t="str">
        <f>+'Necesidades Trimestrales'!F18</f>
        <v>ampolla</v>
      </c>
      <c r="J20" s="46">
        <f>+'Necesidades Trimestrales'!H18</f>
        <v>484</v>
      </c>
      <c r="K20" s="47">
        <f>+'Necesidades Trimestrales'!G18</f>
        <v>50</v>
      </c>
      <c r="L20" s="38"/>
      <c r="M20" s="38"/>
      <c r="N20" s="38"/>
      <c r="O20" s="4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30.75" customHeight="1" x14ac:dyDescent="0.2">
      <c r="A21" s="43">
        <f>+'Necesidades Trimestrales'!A19</f>
        <v>10</v>
      </c>
      <c r="B21" s="44" t="str">
        <f>+'Necesidades Trimestrales'!B19</f>
        <v>2.5.2-1839.38</v>
      </c>
      <c r="C21" s="108" t="str">
        <f>+'Necesidades Trimestrales'!E19</f>
        <v>VASODILATADORES CORONARIOS; TIPO: MONODROGA, DROGA GENERICA: DINITRATO DE ISOSORBIDE 5 mGr, FORMA FARMACEUTICA: COMPRIMIDO, PRESENTACION: ENVASE X 30 UN</v>
      </c>
      <c r="D21" s="109"/>
      <c r="E21" s="109"/>
      <c r="F21" s="109"/>
      <c r="G21" s="110"/>
      <c r="H21" s="49" t="s">
        <v>101</v>
      </c>
      <c r="I21" s="45" t="str">
        <f>+'Necesidades Trimestrales'!F19</f>
        <v>caja</v>
      </c>
      <c r="J21" s="46">
        <f>+'Necesidades Trimestrales'!H19</f>
        <v>1199</v>
      </c>
      <c r="K21" s="47">
        <f>+'Necesidades Trimestrales'!G19</f>
        <v>2</v>
      </c>
      <c r="L21" s="38"/>
      <c r="M21" s="38"/>
      <c r="N21" s="38"/>
      <c r="O21" s="4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30.75" customHeight="1" x14ac:dyDescent="0.2">
      <c r="A22" s="43">
        <f>+'Necesidades Trimestrales'!A20</f>
        <v>11</v>
      </c>
      <c r="B22" s="44" t="str">
        <f>+'Necesidades Trimestrales'!B20</f>
        <v>2.5.2-4817.44</v>
      </c>
      <c r="C22" s="108" t="str">
        <f>+'Necesidades Trimestrales'!E20</f>
        <v>ANTIHIPERTENSIVOS; TIPO: MONODROGA, DROGA GENERICA: NIFEDIPINA 30 MG, FORMA FARMACEUTICA: COMPRIMIDO, PRESENTACION: UNIDAD</v>
      </c>
      <c r="D22" s="109"/>
      <c r="E22" s="109"/>
      <c r="F22" s="109"/>
      <c r="G22" s="110"/>
      <c r="H22" s="49" t="s">
        <v>66</v>
      </c>
      <c r="I22" s="45" t="str">
        <f>+'Necesidades Trimestrales'!F20</f>
        <v>comprimido</v>
      </c>
      <c r="J22" s="46">
        <f>+'Necesidades Trimestrales'!H20</f>
        <v>23</v>
      </c>
      <c r="K22" s="47">
        <f>+'Necesidades Trimestrales'!G20</f>
        <v>300</v>
      </c>
      <c r="L22" s="38"/>
      <c r="M22" s="38"/>
      <c r="N22" s="38"/>
      <c r="O22" s="4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30.75" customHeight="1" thickBot="1" x14ac:dyDescent="0.25">
      <c r="A23" s="43">
        <f>+'Necesidades Trimestrales'!A21</f>
        <v>12</v>
      </c>
      <c r="B23" s="44" t="str">
        <f>+'Necesidades Trimestrales'!B21</f>
        <v>2.5.2-1837.64</v>
      </c>
      <c r="C23" s="108" t="str">
        <f>+'Necesidades Trimestrales'!E21</f>
        <v>HIPOTENSORES; TIPO: MONODROGA, DROGA GENERICA: NITROPRUSIATO DE SODIO, FORMA FARMACEUTICA: FRASCO AMPOLLA, PRESENTACION: ENVASE X 50 mGr</v>
      </c>
      <c r="D23" s="109"/>
      <c r="E23" s="109"/>
      <c r="F23" s="109"/>
      <c r="G23" s="110"/>
      <c r="H23" s="49" t="s">
        <v>66</v>
      </c>
      <c r="I23" s="45" t="str">
        <f>+'Necesidades Trimestrales'!F21</f>
        <v>ampolla</v>
      </c>
      <c r="J23" s="46">
        <f>+'Necesidades Trimestrales'!H21</f>
        <v>950</v>
      </c>
      <c r="K23" s="47">
        <f>+'Necesidades Trimestrales'!G21</f>
        <v>20</v>
      </c>
      <c r="L23" s="38"/>
      <c r="M23" s="38"/>
      <c r="N23" s="38"/>
      <c r="O23" s="4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s="86" customFormat="1" ht="30.75" customHeight="1" thickBot="1" x14ac:dyDescent="0.25">
      <c r="A24" s="43">
        <f>+'Necesidades Trimestrales'!A22</f>
        <v>13</v>
      </c>
      <c r="B24" s="93" t="str">
        <f>+'Necesidades Trimestrales'!B22</f>
        <v>2.5.2-1821.259</v>
      </c>
      <c r="C24" s="153" t="str">
        <f>'Necesidades Trimestrales'!$E$22</f>
        <v>ANTIBIOTICOS P/PERSONAS; TIPO: MONODROGA, DROGA GENERICA: DOXICILINA, FORMA FARMACEUTICA: COMPRIMIDO, PRESENTACION: 100 mGr</v>
      </c>
      <c r="D24" s="154"/>
      <c r="E24" s="154"/>
      <c r="F24" s="154"/>
      <c r="G24" s="155"/>
      <c r="H24" s="94" t="s">
        <v>66</v>
      </c>
      <c r="I24" s="45" t="str">
        <f>+'Necesidades Trimestrales'!F22</f>
        <v>comprimido</v>
      </c>
      <c r="J24" s="46">
        <f>+'Necesidades Trimestrales'!H22</f>
        <v>18</v>
      </c>
      <c r="K24" s="47">
        <f>+'Necesidades Trimestrales'!G22</f>
        <v>60</v>
      </c>
      <c r="L24" s="91"/>
      <c r="M24" s="91"/>
      <c r="N24" s="91"/>
      <c r="O24" s="92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spans="1:26" ht="30.75" customHeight="1" thickBot="1" x14ac:dyDescent="0.25">
      <c r="A25" s="43">
        <f>+'Necesidades Trimestrales'!A23</f>
        <v>14</v>
      </c>
      <c r="B25" s="44" t="str">
        <f>+'Necesidades Trimestrales'!B23</f>
        <v>2.1.1-4227.55</v>
      </c>
      <c r="C25" s="151" t="str">
        <f>+'Necesidades Trimestrales'!E23</f>
        <v>SUPLEMENTOS DIETARIOS; TIPO: MONODROGA, DROGA GENERICA: TRIGLICER CADENA MEDIA, PRESENTACION: ENVASE X 500 CM3</v>
      </c>
      <c r="D25" s="115"/>
      <c r="E25" s="115"/>
      <c r="F25" s="115"/>
      <c r="G25" s="152"/>
      <c r="H25" s="49" t="s">
        <v>66</v>
      </c>
      <c r="I25" s="45" t="str">
        <f>+'Necesidades Trimestrales'!F23</f>
        <v>frasco</v>
      </c>
      <c r="J25" s="46">
        <f>+'Necesidades Trimestrales'!H23</f>
        <v>10670</v>
      </c>
      <c r="K25" s="47">
        <f>+'Necesidades Trimestrales'!G23</f>
        <v>20</v>
      </c>
      <c r="L25" s="38"/>
      <c r="M25" s="38"/>
      <c r="N25" s="38"/>
      <c r="O25" s="4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0.25" customHeight="1" thickBot="1" x14ac:dyDescent="0.25">
      <c r="A26" s="117" t="s">
        <v>104</v>
      </c>
      <c r="B26" s="118"/>
      <c r="C26" s="118"/>
      <c r="D26" s="118"/>
      <c r="E26" s="118"/>
      <c r="F26" s="118"/>
      <c r="G26" s="118"/>
      <c r="H26" s="118"/>
      <c r="I26" s="119"/>
      <c r="J26" s="120">
        <f>SUMPRODUCT(J12:J25,K12:K25)</f>
        <v>668789.5</v>
      </c>
      <c r="K26" s="119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 customHeight="1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.75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 customHeight="1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.75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 customHeight="1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.75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 customHeight="1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.75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.75" customHeight="1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.75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 customHeight="1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.75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.75" customHeight="1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.75" customHeight="1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 customHeight="1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.75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.75" customHeight="1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 customHeight="1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 customHeight="1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.75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.75" customHeight="1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 customHeight="1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 customHeight="1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 customHeight="1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 customHeight="1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.75" customHeight="1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.75" customHeight="1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 customHeight="1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.75" customHeight="1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 customHeight="1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.75" customHeight="1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 customHeight="1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.75" customHeight="1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.75" customHeight="1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 customHeight="1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 customHeight="1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.75" customHeight="1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 customHeight="1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.75" customHeight="1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 customHeight="1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 customHeight="1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 customHeight="1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 customHeight="1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 customHeight="1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 customHeight="1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 customHeight="1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 customHeight="1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.75" customHeight="1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 customHeight="1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 customHeight="1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 customHeight="1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.75" customHeight="1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.75" customHeight="1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 customHeight="1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 customHeight="1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.75" customHeight="1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 customHeight="1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 customHeight="1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.75" customHeight="1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 customHeight="1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 customHeight="1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 customHeight="1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.75" customHeight="1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 customHeight="1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.75" customHeight="1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.75" customHeight="1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 customHeight="1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 customHeight="1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 customHeight="1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.75" customHeight="1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 customHeight="1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.75" customHeight="1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.75" customHeight="1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 customHeight="1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 customHeight="1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 customHeight="1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 customHeight="1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 customHeight="1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 customHeight="1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.75" customHeight="1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 customHeight="1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 customHeight="1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 customHeight="1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 customHeight="1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 customHeight="1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 customHeight="1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 customHeight="1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.75" customHeight="1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 customHeight="1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 customHeight="1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 customHeight="1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 customHeight="1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 customHeight="1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.75" customHeight="1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 customHeight="1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.75" customHeight="1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 customHeight="1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 customHeight="1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.75" customHeight="1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.75" customHeight="1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.75" customHeight="1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.75" customHeight="1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 customHeight="1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 customHeight="1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 customHeight="1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 customHeight="1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 customHeight="1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 customHeight="1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 customHeight="1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 customHeight="1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 customHeight="1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 customHeight="1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 customHeight="1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 customHeight="1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 customHeight="1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 customHeight="1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 customHeight="1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 customHeight="1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 customHeight="1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 customHeight="1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 customHeight="1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 customHeight="1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 customHeight="1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 customHeight="1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 customHeight="1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 customHeight="1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 customHeight="1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 customHeight="1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 customHeight="1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 customHeight="1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 customHeight="1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 customHeight="1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 customHeight="1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 customHeight="1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 customHeight="1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 customHeight="1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 customHeight="1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 customHeight="1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 customHeight="1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 customHeight="1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 customHeight="1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 customHeight="1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 customHeight="1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 customHeight="1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 customHeight="1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 customHeight="1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 customHeight="1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 customHeight="1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 customHeight="1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 customHeight="1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 customHeight="1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 customHeight="1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 customHeight="1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 customHeight="1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 customHeight="1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 customHeight="1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 customHeight="1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 customHeight="1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 customHeight="1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 customHeight="1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 customHeight="1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 customHeight="1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 customHeight="1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 customHeight="1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 customHeight="1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 customHeight="1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 customHeight="1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 customHeight="1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 customHeight="1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 customHeight="1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 customHeight="1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 customHeight="1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 customHeight="1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 customHeight="1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 customHeight="1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 customHeight="1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 customHeight="1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 customHeight="1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 customHeight="1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 customHeight="1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 customHeight="1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 customHeight="1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 customHeight="1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 customHeight="1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 customHeight="1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 customHeight="1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 customHeight="1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 customHeight="1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 customHeight="1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 customHeight="1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 customHeight="1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 customHeight="1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 customHeight="1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 customHeight="1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 customHeight="1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 customHeight="1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 customHeight="1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 customHeight="1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 customHeight="1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 customHeight="1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 customHeight="1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 customHeight="1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 customHeight="1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 customHeight="1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 customHeight="1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 customHeight="1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 customHeight="1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 customHeight="1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 customHeight="1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 customHeight="1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 customHeight="1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 customHeight="1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 customHeight="1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 customHeight="1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 customHeight="1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 customHeight="1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 customHeight="1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 customHeight="1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 customHeight="1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 customHeight="1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 customHeight="1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 customHeight="1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 customHeight="1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 customHeight="1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 customHeight="1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 customHeight="1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 customHeight="1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 customHeight="1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 customHeight="1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 customHeight="1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 customHeight="1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 customHeight="1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 customHeight="1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 customHeight="1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 customHeight="1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 customHeight="1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 customHeight="1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 customHeight="1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 customHeight="1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 customHeight="1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 customHeight="1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 customHeight="1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 customHeight="1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 customHeight="1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 customHeight="1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 customHeight="1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 customHeight="1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 customHeight="1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 customHeight="1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 customHeight="1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 customHeight="1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 customHeight="1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 customHeight="1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 customHeight="1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 customHeight="1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 customHeight="1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 customHeight="1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 customHeight="1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 customHeight="1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 customHeight="1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 customHeight="1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 customHeight="1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 customHeight="1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 customHeight="1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 customHeight="1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 customHeight="1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 customHeight="1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 customHeight="1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 customHeight="1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 customHeight="1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 customHeight="1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 customHeight="1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 customHeight="1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 customHeight="1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 customHeight="1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 customHeight="1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 customHeight="1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 customHeight="1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 customHeight="1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 customHeight="1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 customHeight="1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 customHeight="1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 customHeight="1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 customHeight="1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 customHeight="1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 customHeight="1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 customHeight="1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 customHeight="1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 customHeight="1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 customHeight="1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 customHeight="1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 customHeight="1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 customHeight="1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 customHeight="1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 customHeight="1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 customHeight="1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 customHeight="1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 customHeight="1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 customHeight="1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 customHeight="1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 customHeight="1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 customHeight="1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 customHeight="1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 customHeight="1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 customHeight="1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 customHeight="1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 customHeight="1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 customHeight="1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 customHeight="1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 customHeight="1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 customHeight="1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 customHeight="1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 customHeight="1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 customHeight="1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 customHeight="1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 customHeight="1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 customHeight="1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 customHeight="1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 customHeight="1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 customHeight="1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 customHeight="1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 customHeight="1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 customHeight="1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 customHeight="1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 customHeight="1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 customHeight="1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 customHeight="1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 customHeight="1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 customHeight="1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 customHeight="1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 customHeight="1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 customHeight="1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 customHeight="1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 customHeight="1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 customHeight="1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 customHeight="1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 customHeight="1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 customHeight="1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 customHeight="1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 customHeight="1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 customHeight="1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 customHeight="1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 customHeight="1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 customHeight="1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 customHeight="1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 customHeight="1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 customHeight="1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 customHeight="1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 customHeight="1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 customHeight="1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 customHeight="1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 customHeight="1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 customHeight="1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 customHeight="1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 customHeight="1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 customHeight="1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 customHeight="1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 customHeight="1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 customHeight="1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 customHeight="1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 customHeight="1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 customHeight="1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 customHeight="1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 customHeight="1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 customHeight="1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 customHeight="1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 customHeight="1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 customHeight="1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 customHeight="1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 customHeight="1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 customHeight="1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 customHeight="1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 customHeight="1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 customHeight="1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 customHeight="1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 customHeight="1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 customHeight="1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 customHeight="1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 customHeight="1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 customHeight="1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 customHeight="1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 customHeight="1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 customHeight="1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 customHeight="1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 customHeight="1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 customHeight="1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 customHeight="1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 customHeight="1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 customHeight="1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 customHeight="1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 customHeight="1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 customHeight="1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 customHeight="1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 customHeight="1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 customHeight="1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 customHeight="1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 customHeight="1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 customHeight="1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 customHeight="1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 customHeight="1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 customHeight="1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 customHeight="1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 customHeight="1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 customHeight="1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 customHeight="1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 customHeight="1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 customHeight="1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 customHeight="1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 customHeight="1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 customHeight="1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 customHeight="1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 customHeight="1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 customHeight="1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 customHeight="1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 customHeight="1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 customHeight="1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 customHeight="1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 customHeight="1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 customHeight="1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 customHeight="1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 customHeight="1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 customHeight="1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 customHeight="1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 customHeight="1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 customHeight="1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 customHeight="1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 customHeight="1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 customHeight="1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 customHeight="1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 customHeight="1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 customHeight="1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 customHeight="1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 customHeight="1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 customHeight="1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 customHeight="1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 customHeight="1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 customHeight="1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 customHeight="1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 customHeight="1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 customHeight="1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 customHeight="1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 customHeight="1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 customHeight="1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 customHeight="1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 customHeight="1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 customHeight="1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 customHeight="1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 customHeight="1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 customHeight="1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 customHeight="1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 customHeight="1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 customHeight="1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 customHeight="1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 customHeight="1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 customHeight="1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 customHeight="1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 customHeight="1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 customHeight="1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 customHeight="1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 customHeight="1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 customHeight="1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 customHeight="1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 customHeight="1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 customHeight="1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 customHeight="1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 customHeight="1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 customHeight="1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 customHeight="1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 customHeight="1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 customHeight="1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 customHeight="1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 customHeight="1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 customHeight="1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 customHeight="1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 customHeight="1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 customHeight="1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 customHeight="1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 customHeight="1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 customHeight="1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 customHeight="1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 customHeight="1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 customHeight="1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 customHeight="1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 customHeight="1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 customHeight="1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 customHeight="1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 customHeight="1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 customHeight="1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 customHeight="1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 customHeight="1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 customHeight="1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 customHeight="1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 customHeight="1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 customHeight="1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 customHeight="1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 customHeight="1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 customHeight="1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 customHeight="1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 customHeight="1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 customHeight="1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 customHeight="1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 customHeight="1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 customHeight="1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 customHeight="1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 customHeight="1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 customHeight="1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 customHeight="1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 customHeight="1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 customHeight="1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 customHeight="1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 customHeight="1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 customHeight="1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 customHeight="1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 customHeight="1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 customHeight="1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 customHeight="1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 customHeight="1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 customHeight="1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 customHeight="1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 customHeight="1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 customHeight="1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 customHeight="1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 customHeight="1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 customHeight="1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 customHeight="1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 customHeight="1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 customHeight="1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 customHeight="1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 customHeight="1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 customHeight="1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 customHeight="1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 customHeight="1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.75" customHeight="1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.75" customHeight="1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.75" customHeight="1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.75" customHeight="1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.75" customHeight="1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.75" customHeight="1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.75" customHeight="1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.75" customHeight="1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.75" customHeight="1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.75" customHeight="1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.75" customHeight="1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.75" customHeight="1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.75" customHeight="1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.75" customHeight="1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.75" customHeight="1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.75" customHeight="1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.75" customHeight="1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.75" customHeight="1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.75" customHeight="1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.75" customHeight="1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.75" customHeight="1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2.75" customHeight="1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2.75" customHeight="1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2.75" customHeight="1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2.75" customHeight="1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2.75" customHeight="1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2.75" customHeight="1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2.75" customHeight="1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2.75" customHeight="1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2.75" customHeight="1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2.75" customHeight="1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2.75" customHeight="1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2.75" customHeight="1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2.75" customHeight="1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2.75" customHeight="1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2.75" customHeight="1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2.75" customHeight="1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2.75" customHeight="1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2.75" customHeight="1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2.75" customHeight="1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2.75" customHeight="1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2.75" customHeight="1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2.75" customHeight="1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2.75" customHeight="1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</sheetData>
  <mergeCells count="36">
    <mergeCell ref="C22:G22"/>
    <mergeCell ref="C23:G23"/>
    <mergeCell ref="C25:G25"/>
    <mergeCell ref="C17:G17"/>
    <mergeCell ref="C18:G18"/>
    <mergeCell ref="C19:G19"/>
    <mergeCell ref="C20:G20"/>
    <mergeCell ref="C21:G21"/>
    <mergeCell ref="C24:G24"/>
    <mergeCell ref="C12:G12"/>
    <mergeCell ref="C13:G13"/>
    <mergeCell ref="C14:G14"/>
    <mergeCell ref="C15:G15"/>
    <mergeCell ref="C16:G16"/>
    <mergeCell ref="D7:K7"/>
    <mergeCell ref="A8:C8"/>
    <mergeCell ref="D8:K8"/>
    <mergeCell ref="A10:A11"/>
    <mergeCell ref="B10:B11"/>
    <mergeCell ref="C10:G11"/>
    <mergeCell ref="A26:I26"/>
    <mergeCell ref="J26:K26"/>
    <mergeCell ref="A1:I1"/>
    <mergeCell ref="A3:C3"/>
    <mergeCell ref="D3:K3"/>
    <mergeCell ref="A4:C4"/>
    <mergeCell ref="D4:K4"/>
    <mergeCell ref="A5:C5"/>
    <mergeCell ref="D5:K5"/>
    <mergeCell ref="H10:H11"/>
    <mergeCell ref="I10:I11"/>
    <mergeCell ref="J10:J11"/>
    <mergeCell ref="K10:K11"/>
    <mergeCell ref="A6:C6"/>
    <mergeCell ref="D6:K6"/>
    <mergeCell ref="A7:C7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6" workbookViewId="0">
      <selection activeCell="R22" sqref="R22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26" width="11" customWidth="1"/>
  </cols>
  <sheetData>
    <row r="1" spans="1:26" ht="15.75" customHeight="1" x14ac:dyDescent="0.25">
      <c r="A1" s="156" t="s">
        <v>4</v>
      </c>
      <c r="B1" s="118"/>
      <c r="C1" s="118"/>
      <c r="D1" s="157">
        <f>'Necesidades Trimestrales'!C6</f>
        <v>2022</v>
      </c>
      <c r="E1" s="119"/>
      <c r="F1" s="50"/>
      <c r="G1" s="50"/>
      <c r="H1" s="51"/>
      <c r="I1" s="51"/>
      <c r="J1" s="51"/>
      <c r="K1" s="51"/>
      <c r="L1" s="51"/>
      <c r="M1" s="51"/>
      <c r="N1" s="51"/>
      <c r="P1" s="158" t="s">
        <v>67</v>
      </c>
      <c r="Q1" s="159"/>
    </row>
    <row r="2" spans="1:26" ht="15.75" customHeight="1" x14ac:dyDescent="0.2">
      <c r="G2" s="52"/>
      <c r="H2" s="51"/>
      <c r="I2" s="51"/>
      <c r="J2" s="51"/>
      <c r="K2" s="51"/>
      <c r="L2" s="51"/>
      <c r="M2" s="51"/>
      <c r="N2" s="51"/>
      <c r="P2" s="160"/>
      <c r="Q2" s="161"/>
    </row>
    <row r="3" spans="1:26" ht="12.75" customHeight="1" x14ac:dyDescent="0.2">
      <c r="G3" s="52"/>
    </row>
    <row r="4" spans="1:26" ht="18" customHeight="1" x14ac:dyDescent="0.2">
      <c r="A4" s="162" t="s">
        <v>68</v>
      </c>
      <c r="B4" s="123"/>
      <c r="C4" s="123"/>
      <c r="D4" s="123"/>
      <c r="E4" s="123"/>
      <c r="F4" s="163"/>
      <c r="G4" s="164" t="str">
        <f>' NotaPedido'!D3</f>
        <v>040 -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63"/>
      <c r="R4" s="53"/>
      <c r="S4" s="53"/>
      <c r="T4" s="53"/>
      <c r="U4" s="53"/>
      <c r="V4" s="53"/>
      <c r="W4" s="53"/>
      <c r="X4" s="53"/>
      <c r="Y4" s="53"/>
      <c r="Z4" s="53"/>
    </row>
    <row r="5" spans="1:26" ht="18" customHeight="1" x14ac:dyDescent="0.2">
      <c r="A5" s="165" t="s">
        <v>54</v>
      </c>
      <c r="B5" s="138"/>
      <c r="C5" s="138"/>
      <c r="D5" s="138"/>
      <c r="E5" s="138"/>
      <c r="F5" s="166"/>
      <c r="G5" s="167" t="str">
        <f>' NotaPedido'!D4</f>
        <v>28- Maternidad Provincial 25 de Mayo</v>
      </c>
      <c r="H5" s="138"/>
      <c r="I5" s="138"/>
      <c r="J5" s="138"/>
      <c r="K5" s="138"/>
      <c r="L5" s="138"/>
      <c r="M5" s="138"/>
      <c r="N5" s="138"/>
      <c r="O5" s="138"/>
      <c r="P5" s="138"/>
      <c r="Q5" s="166"/>
      <c r="R5" s="53"/>
      <c r="S5" s="53"/>
      <c r="T5" s="53"/>
      <c r="U5" s="53"/>
      <c r="V5" s="53"/>
      <c r="W5" s="53"/>
      <c r="X5" s="53"/>
      <c r="Y5" s="53"/>
      <c r="Z5" s="53"/>
    </row>
    <row r="6" spans="1:26" ht="18" customHeight="1" x14ac:dyDescent="0.2">
      <c r="A6" s="165" t="s">
        <v>55</v>
      </c>
      <c r="B6" s="138"/>
      <c r="C6" s="138"/>
      <c r="D6" s="138"/>
      <c r="E6" s="138"/>
      <c r="F6" s="166"/>
      <c r="G6" s="167" t="str">
        <f>' NotaPedido'!D5</f>
        <v xml:space="preserve">169-Direccion Asistencial </v>
      </c>
      <c r="H6" s="138"/>
      <c r="I6" s="138"/>
      <c r="J6" s="138"/>
      <c r="K6" s="138"/>
      <c r="L6" s="138"/>
      <c r="M6" s="138"/>
      <c r="N6" s="138"/>
      <c r="O6" s="138"/>
      <c r="P6" s="138"/>
      <c r="Q6" s="166"/>
      <c r="R6" s="53"/>
      <c r="S6" s="53"/>
      <c r="T6" s="53"/>
      <c r="U6" s="53"/>
      <c r="V6" s="53"/>
      <c r="W6" s="53"/>
      <c r="X6" s="53"/>
      <c r="Y6" s="53"/>
      <c r="Z6" s="53"/>
    </row>
    <row r="7" spans="1:26" ht="18" customHeight="1" x14ac:dyDescent="0.2">
      <c r="A7" s="165" t="s">
        <v>56</v>
      </c>
      <c r="B7" s="138"/>
      <c r="C7" s="138"/>
      <c r="D7" s="138"/>
      <c r="E7" s="138"/>
      <c r="F7" s="166"/>
      <c r="G7" s="167" t="str">
        <f>' NotaPedido'!D6</f>
        <v>Servicio de Farmacia</v>
      </c>
      <c r="H7" s="138"/>
      <c r="I7" s="138"/>
      <c r="J7" s="138"/>
      <c r="K7" s="138"/>
      <c r="L7" s="138"/>
      <c r="M7" s="138"/>
      <c r="N7" s="138"/>
      <c r="O7" s="138"/>
      <c r="P7" s="138"/>
      <c r="Q7" s="166"/>
      <c r="R7" s="53"/>
      <c r="S7" s="53"/>
      <c r="T7" s="53"/>
      <c r="U7" s="53"/>
      <c r="V7" s="53"/>
      <c r="W7" s="53"/>
      <c r="X7" s="53"/>
      <c r="Y7" s="53"/>
      <c r="Z7" s="53"/>
    </row>
    <row r="8" spans="1:26" ht="18" customHeight="1" x14ac:dyDescent="0.2">
      <c r="A8" s="168" t="s">
        <v>69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66"/>
    </row>
    <row r="9" spans="1:26" ht="18" customHeight="1" x14ac:dyDescent="0.2">
      <c r="A9" s="169" t="s">
        <v>70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81"/>
      <c r="P9" s="81"/>
      <c r="Q9" s="82"/>
    </row>
    <row r="10" spans="1:26" ht="54.75" customHeight="1" x14ac:dyDescent="0.2">
      <c r="A10" s="17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51/2022,  afectando la erogación resultante a los créditos presupuestarios aprobados a favor de esta Unidad Ejecutora, conforme al siguiente detalle: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72"/>
    </row>
    <row r="11" spans="1:26" ht="9" customHeight="1" x14ac:dyDescent="0.2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7"/>
    </row>
    <row r="12" spans="1:26" ht="15.75" customHeight="1" x14ac:dyDescent="0.2">
      <c r="A12" s="173" t="s">
        <v>71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59"/>
    </row>
    <row r="13" spans="1:26" ht="15.75" customHeight="1" x14ac:dyDescent="0.2">
      <c r="A13" s="175" t="s">
        <v>72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63"/>
      <c r="O13" s="176" t="s">
        <v>73</v>
      </c>
      <c r="P13" s="159"/>
      <c r="Q13" s="179" t="s">
        <v>74</v>
      </c>
    </row>
    <row r="14" spans="1:26" ht="15.75" customHeight="1" x14ac:dyDescent="0.2">
      <c r="A14" s="58" t="s">
        <v>75</v>
      </c>
      <c r="B14" s="59" t="s">
        <v>76</v>
      </c>
      <c r="C14" s="59" t="s">
        <v>77</v>
      </c>
      <c r="D14" s="59" t="s">
        <v>78</v>
      </c>
      <c r="E14" s="59" t="s">
        <v>79</v>
      </c>
      <c r="F14" s="59" t="s">
        <v>80</v>
      </c>
      <c r="G14" s="60" t="s">
        <v>81</v>
      </c>
      <c r="H14" s="59" t="s">
        <v>82</v>
      </c>
      <c r="I14" s="59" t="s">
        <v>83</v>
      </c>
      <c r="J14" s="59" t="s">
        <v>84</v>
      </c>
      <c r="K14" s="59" t="s">
        <v>84</v>
      </c>
      <c r="L14" s="59" t="s">
        <v>85</v>
      </c>
      <c r="M14" s="61" t="s">
        <v>86</v>
      </c>
      <c r="N14" s="62" t="s">
        <v>87</v>
      </c>
      <c r="O14" s="177"/>
      <c r="P14" s="178"/>
      <c r="Q14" s="178"/>
    </row>
    <row r="15" spans="1:26" ht="36" customHeight="1" x14ac:dyDescent="0.2">
      <c r="A15" s="83">
        <v>42</v>
      </c>
      <c r="B15" s="63"/>
      <c r="C15" s="63"/>
      <c r="D15" s="84">
        <v>2</v>
      </c>
      <c r="E15" s="63"/>
      <c r="F15" s="63">
        <v>4901</v>
      </c>
      <c r="G15" s="63">
        <v>3</v>
      </c>
      <c r="H15" s="63">
        <v>310</v>
      </c>
      <c r="I15" s="84">
        <v>2</v>
      </c>
      <c r="J15" s="84">
        <v>5</v>
      </c>
      <c r="K15" s="84">
        <v>2</v>
      </c>
      <c r="L15" s="63"/>
      <c r="M15" s="64">
        <v>1</v>
      </c>
      <c r="N15" s="63" t="s">
        <v>88</v>
      </c>
      <c r="O15" s="180" t="s">
        <v>100</v>
      </c>
      <c r="P15" s="181"/>
      <c r="Q15" s="65">
        <v>668789.5</v>
      </c>
    </row>
    <row r="16" spans="1:26" ht="17.25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9"/>
      <c r="O16" s="182"/>
      <c r="P16" s="183"/>
      <c r="Q16" s="70"/>
    </row>
    <row r="17" spans="1:18" ht="17.25" customHeight="1" x14ac:dyDescent="0.2">
      <c r="A17" s="66"/>
      <c r="B17" s="67"/>
      <c r="C17" s="67"/>
      <c r="D17" s="67"/>
      <c r="E17" s="67"/>
      <c r="F17" s="69"/>
      <c r="G17" s="67"/>
      <c r="H17" s="67"/>
      <c r="I17" s="67"/>
      <c r="J17" s="67"/>
      <c r="K17" s="67"/>
      <c r="L17" s="67"/>
      <c r="M17" s="68"/>
      <c r="N17" s="69"/>
      <c r="O17" s="182"/>
      <c r="P17" s="183"/>
      <c r="Q17" s="70"/>
    </row>
    <row r="18" spans="1:18" ht="17.25" customHeight="1" x14ac:dyDescent="0.2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9"/>
      <c r="O18" s="182"/>
      <c r="P18" s="183"/>
      <c r="Q18" s="70"/>
    </row>
    <row r="19" spans="1:18" ht="17.25" customHeight="1" x14ac:dyDescent="0.2">
      <c r="A19" s="66"/>
      <c r="B19" s="67"/>
      <c r="C19" s="67"/>
      <c r="D19" s="67"/>
      <c r="E19" s="67"/>
      <c r="F19" s="69"/>
      <c r="G19" s="67"/>
      <c r="H19" s="67"/>
      <c r="I19" s="67"/>
      <c r="J19" s="67"/>
      <c r="K19" s="67"/>
      <c r="L19" s="67"/>
      <c r="M19" s="68"/>
      <c r="N19" s="69"/>
      <c r="O19" s="182"/>
      <c r="P19" s="183"/>
      <c r="Q19" s="70"/>
    </row>
    <row r="20" spans="1:18" ht="17.25" customHeight="1" x14ac:dyDescent="0.2">
      <c r="A20" s="66"/>
      <c r="B20" s="67"/>
      <c r="C20" s="67"/>
      <c r="D20" s="67"/>
      <c r="E20" s="67"/>
      <c r="F20" s="69"/>
      <c r="G20" s="67"/>
      <c r="H20" s="67"/>
      <c r="I20" s="67"/>
      <c r="J20" s="67"/>
      <c r="K20" s="67"/>
      <c r="L20" s="67"/>
      <c r="M20" s="68"/>
      <c r="N20" s="69"/>
      <c r="O20" s="182"/>
      <c r="P20" s="183"/>
      <c r="Q20" s="70"/>
    </row>
    <row r="21" spans="1:18" ht="17.25" customHeight="1" x14ac:dyDescent="0.2">
      <c r="A21" s="71"/>
      <c r="B21" s="72"/>
      <c r="C21" s="72"/>
      <c r="D21" s="72"/>
      <c r="E21" s="72"/>
      <c r="F21" s="69"/>
      <c r="G21" s="72"/>
      <c r="H21" s="72"/>
      <c r="I21" s="72"/>
      <c r="J21" s="72"/>
      <c r="K21" s="72"/>
      <c r="L21" s="72"/>
      <c r="M21" s="73"/>
      <c r="N21" s="74"/>
      <c r="O21" s="182"/>
      <c r="P21" s="183"/>
      <c r="Q21" s="70"/>
      <c r="R21" s="53"/>
    </row>
    <row r="22" spans="1:18" ht="17.25" customHeight="1" x14ac:dyDescent="0.2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7"/>
      <c r="N22" s="76"/>
      <c r="O22" s="194"/>
      <c r="P22" s="195"/>
      <c r="Q22" s="78"/>
    </row>
    <row r="23" spans="1:18" ht="29.25" customHeight="1" x14ac:dyDescent="0.2">
      <c r="A23" s="196" t="s">
        <v>105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8"/>
      <c r="Q23" s="85">
        <f>SUM(Q15:Q22)</f>
        <v>668789.5</v>
      </c>
    </row>
    <row r="24" spans="1:18" ht="18" customHeight="1" x14ac:dyDescent="0.2">
      <c r="A24" s="199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7"/>
    </row>
    <row r="25" spans="1:18" ht="17.25" customHeight="1" x14ac:dyDescent="0.2">
      <c r="A25" s="184" t="s">
        <v>89</v>
      </c>
      <c r="B25" s="130"/>
      <c r="C25" s="130"/>
      <c r="D25" s="130"/>
      <c r="E25" s="130"/>
      <c r="F25" s="131"/>
      <c r="G25" s="185"/>
      <c r="H25" s="186"/>
      <c r="I25" s="186"/>
      <c r="J25" s="186"/>
      <c r="K25" s="186"/>
      <c r="L25" s="186"/>
      <c r="M25" s="186"/>
      <c r="N25" s="186"/>
      <c r="O25" s="186"/>
      <c r="P25" s="186"/>
      <c r="Q25" s="187"/>
    </row>
    <row r="26" spans="1:18" ht="18" customHeight="1" x14ac:dyDescent="0.2">
      <c r="A26" s="188" t="s">
        <v>106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90"/>
    </row>
    <row r="27" spans="1:18" ht="15" customHeight="1" x14ac:dyDescent="0.2">
      <c r="A27" s="191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3"/>
    </row>
    <row r="28" spans="1:18" ht="12.75" customHeight="1" x14ac:dyDescent="0.2">
      <c r="G28" s="52"/>
    </row>
    <row r="29" spans="1:18" ht="12.75" customHeight="1" x14ac:dyDescent="0.2">
      <c r="G29" s="52"/>
    </row>
    <row r="30" spans="1:18" ht="12.75" customHeight="1" x14ac:dyDescent="0.2">
      <c r="G30" s="52"/>
    </row>
    <row r="31" spans="1:18" ht="12.75" customHeight="1" x14ac:dyDescent="0.2">
      <c r="G31" s="52"/>
    </row>
    <row r="32" spans="1:18" ht="12.75" customHeight="1" x14ac:dyDescent="0.2">
      <c r="G32" s="52"/>
    </row>
    <row r="33" spans="7:7" ht="12.75" customHeight="1" x14ac:dyDescent="0.2">
      <c r="G33" s="52"/>
    </row>
    <row r="34" spans="7:7" ht="12.75" customHeight="1" x14ac:dyDescent="0.2">
      <c r="G34" s="52"/>
    </row>
    <row r="35" spans="7:7" ht="12.75" customHeight="1" x14ac:dyDescent="0.2">
      <c r="G35" s="52"/>
    </row>
    <row r="36" spans="7:7" ht="12.75" customHeight="1" x14ac:dyDescent="0.2">
      <c r="G36" s="52"/>
    </row>
    <row r="37" spans="7:7" ht="12.75" customHeight="1" x14ac:dyDescent="0.2">
      <c r="G37" s="52"/>
    </row>
    <row r="38" spans="7:7" ht="12.75" customHeight="1" x14ac:dyDescent="0.2">
      <c r="G38" s="52"/>
    </row>
    <row r="39" spans="7:7" ht="12.75" customHeight="1" x14ac:dyDescent="0.2">
      <c r="G39" s="52"/>
    </row>
    <row r="40" spans="7:7" ht="12.75" customHeight="1" x14ac:dyDescent="0.2">
      <c r="G40" s="52"/>
    </row>
    <row r="41" spans="7:7" ht="12.75" customHeight="1" x14ac:dyDescent="0.2">
      <c r="G41" s="52"/>
    </row>
    <row r="42" spans="7:7" ht="12.75" customHeight="1" x14ac:dyDescent="0.2">
      <c r="G42" s="52"/>
    </row>
    <row r="43" spans="7:7" ht="12.75" customHeight="1" x14ac:dyDescent="0.2">
      <c r="G43" s="52"/>
    </row>
    <row r="44" spans="7:7" ht="12.75" customHeight="1" x14ac:dyDescent="0.2">
      <c r="G44" s="52"/>
    </row>
    <row r="45" spans="7:7" ht="12.75" customHeight="1" x14ac:dyDescent="0.2">
      <c r="G45" s="52"/>
    </row>
    <row r="46" spans="7:7" ht="12.75" customHeight="1" x14ac:dyDescent="0.2">
      <c r="G46" s="52"/>
    </row>
    <row r="47" spans="7:7" ht="12.75" customHeight="1" x14ac:dyDescent="0.2">
      <c r="G47" s="52"/>
    </row>
    <row r="48" spans="7:7" ht="12.75" customHeight="1" x14ac:dyDescent="0.2">
      <c r="G48" s="52"/>
    </row>
    <row r="49" spans="7:7" ht="12.75" customHeight="1" x14ac:dyDescent="0.2">
      <c r="G49" s="52"/>
    </row>
    <row r="50" spans="7:7" ht="12.75" customHeight="1" x14ac:dyDescent="0.2">
      <c r="G50" s="52"/>
    </row>
    <row r="51" spans="7:7" ht="12.75" customHeight="1" x14ac:dyDescent="0.2">
      <c r="G51" s="52"/>
    </row>
    <row r="52" spans="7:7" ht="12.75" customHeight="1" x14ac:dyDescent="0.2">
      <c r="G52" s="52"/>
    </row>
    <row r="53" spans="7:7" ht="12.75" customHeight="1" x14ac:dyDescent="0.2">
      <c r="G53" s="52"/>
    </row>
    <row r="54" spans="7:7" ht="12.75" customHeight="1" x14ac:dyDescent="0.2">
      <c r="G54" s="52"/>
    </row>
    <row r="55" spans="7:7" ht="12.75" customHeight="1" x14ac:dyDescent="0.2">
      <c r="G55" s="52"/>
    </row>
    <row r="56" spans="7:7" ht="12.75" customHeight="1" x14ac:dyDescent="0.2">
      <c r="G56" s="52"/>
    </row>
    <row r="57" spans="7:7" ht="12.75" customHeight="1" x14ac:dyDescent="0.2">
      <c r="G57" s="52"/>
    </row>
    <row r="58" spans="7:7" ht="12.75" customHeight="1" x14ac:dyDescent="0.2">
      <c r="G58" s="52"/>
    </row>
    <row r="59" spans="7:7" ht="12.75" customHeight="1" x14ac:dyDescent="0.2">
      <c r="G59" s="52"/>
    </row>
    <row r="60" spans="7:7" ht="12.75" customHeight="1" x14ac:dyDescent="0.2">
      <c r="G60" s="52"/>
    </row>
    <row r="61" spans="7:7" ht="12.75" customHeight="1" x14ac:dyDescent="0.2">
      <c r="G61" s="52"/>
    </row>
    <row r="62" spans="7:7" ht="12.75" customHeight="1" x14ac:dyDescent="0.2">
      <c r="G62" s="52"/>
    </row>
    <row r="63" spans="7:7" ht="12.75" customHeight="1" x14ac:dyDescent="0.2">
      <c r="G63" s="52"/>
    </row>
    <row r="64" spans="7:7" ht="12.75" customHeight="1" x14ac:dyDescent="0.2">
      <c r="G64" s="52"/>
    </row>
    <row r="65" spans="7:7" ht="12.75" customHeight="1" x14ac:dyDescent="0.2">
      <c r="G65" s="52"/>
    </row>
    <row r="66" spans="7:7" ht="12.75" customHeight="1" x14ac:dyDescent="0.2">
      <c r="G66" s="52"/>
    </row>
    <row r="67" spans="7:7" ht="12.75" customHeight="1" x14ac:dyDescent="0.2">
      <c r="G67" s="52"/>
    </row>
    <row r="68" spans="7:7" ht="12.75" customHeight="1" x14ac:dyDescent="0.2">
      <c r="G68" s="52"/>
    </row>
    <row r="69" spans="7:7" ht="12.75" customHeight="1" x14ac:dyDescent="0.2">
      <c r="G69" s="52"/>
    </row>
    <row r="70" spans="7:7" ht="12.75" customHeight="1" x14ac:dyDescent="0.2">
      <c r="G70" s="52"/>
    </row>
    <row r="71" spans="7:7" ht="12.75" customHeight="1" x14ac:dyDescent="0.2">
      <c r="G71" s="52"/>
    </row>
    <row r="72" spans="7:7" ht="12.75" customHeight="1" x14ac:dyDescent="0.2">
      <c r="G72" s="52"/>
    </row>
    <row r="73" spans="7:7" ht="12.75" customHeight="1" x14ac:dyDescent="0.2">
      <c r="G73" s="52"/>
    </row>
    <row r="74" spans="7:7" ht="12.75" customHeight="1" x14ac:dyDescent="0.2">
      <c r="G74" s="52"/>
    </row>
    <row r="75" spans="7:7" ht="12.75" customHeight="1" x14ac:dyDescent="0.2">
      <c r="G75" s="52"/>
    </row>
    <row r="76" spans="7:7" ht="12.75" customHeight="1" x14ac:dyDescent="0.2">
      <c r="G76" s="52"/>
    </row>
    <row r="77" spans="7:7" ht="12.75" customHeight="1" x14ac:dyDescent="0.2">
      <c r="G77" s="52"/>
    </row>
    <row r="78" spans="7:7" ht="12.75" customHeight="1" x14ac:dyDescent="0.2">
      <c r="G78" s="52"/>
    </row>
    <row r="79" spans="7:7" ht="12.75" customHeight="1" x14ac:dyDescent="0.2">
      <c r="G79" s="52"/>
    </row>
    <row r="80" spans="7:7" ht="12.75" customHeight="1" x14ac:dyDescent="0.2">
      <c r="G80" s="52"/>
    </row>
    <row r="81" spans="7:7" ht="12.75" customHeight="1" x14ac:dyDescent="0.2">
      <c r="G81" s="52"/>
    </row>
    <row r="82" spans="7:7" ht="12.75" customHeight="1" x14ac:dyDescent="0.2">
      <c r="G82" s="52"/>
    </row>
    <row r="83" spans="7:7" ht="12.75" customHeight="1" x14ac:dyDescent="0.2">
      <c r="G83" s="52"/>
    </row>
    <row r="84" spans="7:7" ht="12.75" customHeight="1" x14ac:dyDescent="0.2">
      <c r="G84" s="52"/>
    </row>
    <row r="85" spans="7:7" ht="12.75" customHeight="1" x14ac:dyDescent="0.2">
      <c r="G85" s="52"/>
    </row>
    <row r="86" spans="7:7" ht="12.75" customHeight="1" x14ac:dyDescent="0.2">
      <c r="G86" s="52"/>
    </row>
    <row r="87" spans="7:7" ht="12.75" customHeight="1" x14ac:dyDescent="0.2">
      <c r="G87" s="52"/>
    </row>
    <row r="88" spans="7:7" ht="12.75" customHeight="1" x14ac:dyDescent="0.2">
      <c r="G88" s="52"/>
    </row>
    <row r="89" spans="7:7" ht="12.75" customHeight="1" x14ac:dyDescent="0.2">
      <c r="G89" s="52"/>
    </row>
    <row r="90" spans="7:7" ht="12.75" customHeight="1" x14ac:dyDescent="0.2">
      <c r="G90" s="52"/>
    </row>
    <row r="91" spans="7:7" ht="12.75" customHeight="1" x14ac:dyDescent="0.2">
      <c r="G91" s="52"/>
    </row>
    <row r="92" spans="7:7" ht="12.75" customHeight="1" x14ac:dyDescent="0.2">
      <c r="G92" s="52"/>
    </row>
    <row r="93" spans="7:7" ht="12.75" customHeight="1" x14ac:dyDescent="0.2">
      <c r="G93" s="52"/>
    </row>
    <row r="94" spans="7:7" ht="12.75" customHeight="1" x14ac:dyDescent="0.2">
      <c r="G94" s="52"/>
    </row>
    <row r="95" spans="7:7" ht="12.75" customHeight="1" x14ac:dyDescent="0.2">
      <c r="G95" s="52"/>
    </row>
    <row r="96" spans="7:7" ht="12.75" customHeight="1" x14ac:dyDescent="0.2">
      <c r="G96" s="52"/>
    </row>
    <row r="97" spans="7:7" ht="12.75" customHeight="1" x14ac:dyDescent="0.2">
      <c r="G97" s="52"/>
    </row>
    <row r="98" spans="7:7" ht="12.75" customHeight="1" x14ac:dyDescent="0.2">
      <c r="G98" s="52"/>
    </row>
    <row r="99" spans="7:7" ht="12.75" customHeight="1" x14ac:dyDescent="0.2">
      <c r="G99" s="52"/>
    </row>
    <row r="100" spans="7:7" ht="12.75" customHeight="1" x14ac:dyDescent="0.2">
      <c r="G100" s="52"/>
    </row>
    <row r="101" spans="7:7" ht="12.75" customHeight="1" x14ac:dyDescent="0.2">
      <c r="G101" s="52"/>
    </row>
    <row r="102" spans="7:7" ht="12.75" customHeight="1" x14ac:dyDescent="0.2">
      <c r="G102" s="52"/>
    </row>
    <row r="103" spans="7:7" ht="12.75" customHeight="1" x14ac:dyDescent="0.2">
      <c r="G103" s="52"/>
    </row>
    <row r="104" spans="7:7" ht="12.75" customHeight="1" x14ac:dyDescent="0.2">
      <c r="G104" s="52"/>
    </row>
    <row r="105" spans="7:7" ht="12.75" customHeight="1" x14ac:dyDescent="0.2">
      <c r="G105" s="52"/>
    </row>
    <row r="106" spans="7:7" ht="12.75" customHeight="1" x14ac:dyDescent="0.2">
      <c r="G106" s="52"/>
    </row>
    <row r="107" spans="7:7" ht="12.75" customHeight="1" x14ac:dyDescent="0.2">
      <c r="G107" s="52"/>
    </row>
    <row r="108" spans="7:7" ht="12.75" customHeight="1" x14ac:dyDescent="0.2">
      <c r="G108" s="52"/>
    </row>
    <row r="109" spans="7:7" ht="12.75" customHeight="1" x14ac:dyDescent="0.2">
      <c r="G109" s="52"/>
    </row>
    <row r="110" spans="7:7" ht="12.75" customHeight="1" x14ac:dyDescent="0.2">
      <c r="G110" s="52"/>
    </row>
    <row r="111" spans="7:7" ht="12.75" customHeight="1" x14ac:dyDescent="0.2">
      <c r="G111" s="52"/>
    </row>
    <row r="112" spans="7:7" ht="12.75" customHeight="1" x14ac:dyDescent="0.2">
      <c r="G112" s="52"/>
    </row>
    <row r="113" spans="7:7" ht="12.75" customHeight="1" x14ac:dyDescent="0.2">
      <c r="G113" s="52"/>
    </row>
    <row r="114" spans="7:7" ht="12.75" customHeight="1" x14ac:dyDescent="0.2">
      <c r="G114" s="52"/>
    </row>
    <row r="115" spans="7:7" ht="12.75" customHeight="1" x14ac:dyDescent="0.2">
      <c r="G115" s="52"/>
    </row>
    <row r="116" spans="7:7" ht="12.75" customHeight="1" x14ac:dyDescent="0.2">
      <c r="G116" s="52"/>
    </row>
    <row r="117" spans="7:7" ht="12.75" customHeight="1" x14ac:dyDescent="0.2">
      <c r="G117" s="52"/>
    </row>
    <row r="118" spans="7:7" ht="12.75" customHeight="1" x14ac:dyDescent="0.2">
      <c r="G118" s="52"/>
    </row>
    <row r="119" spans="7:7" ht="12.75" customHeight="1" x14ac:dyDescent="0.2">
      <c r="G119" s="52"/>
    </row>
    <row r="120" spans="7:7" ht="12.75" customHeight="1" x14ac:dyDescent="0.2">
      <c r="G120" s="52"/>
    </row>
    <row r="121" spans="7:7" ht="12.75" customHeight="1" x14ac:dyDescent="0.2">
      <c r="G121" s="52"/>
    </row>
    <row r="122" spans="7:7" ht="12.75" customHeight="1" x14ac:dyDescent="0.2">
      <c r="G122" s="52"/>
    </row>
    <row r="123" spans="7:7" ht="12.75" customHeight="1" x14ac:dyDescent="0.2">
      <c r="G123" s="52"/>
    </row>
    <row r="124" spans="7:7" ht="12.75" customHeight="1" x14ac:dyDescent="0.2">
      <c r="G124" s="52"/>
    </row>
    <row r="125" spans="7:7" ht="12.75" customHeight="1" x14ac:dyDescent="0.2">
      <c r="G125" s="52"/>
    </row>
    <row r="126" spans="7:7" ht="12.75" customHeight="1" x14ac:dyDescent="0.2">
      <c r="G126" s="52"/>
    </row>
    <row r="127" spans="7:7" ht="12.75" customHeight="1" x14ac:dyDescent="0.2">
      <c r="G127" s="52"/>
    </row>
    <row r="128" spans="7:7" ht="12.75" customHeight="1" x14ac:dyDescent="0.2">
      <c r="G128" s="52"/>
    </row>
    <row r="129" spans="7:7" ht="12.75" customHeight="1" x14ac:dyDescent="0.2">
      <c r="G129" s="52"/>
    </row>
    <row r="130" spans="7:7" ht="12.75" customHeight="1" x14ac:dyDescent="0.2">
      <c r="G130" s="52"/>
    </row>
    <row r="131" spans="7:7" ht="12.75" customHeight="1" x14ac:dyDescent="0.2">
      <c r="G131" s="52"/>
    </row>
    <row r="132" spans="7:7" ht="12.75" customHeight="1" x14ac:dyDescent="0.2">
      <c r="G132" s="52"/>
    </row>
    <row r="133" spans="7:7" ht="12.75" customHeight="1" x14ac:dyDescent="0.2">
      <c r="G133" s="52"/>
    </row>
    <row r="134" spans="7:7" ht="12.75" customHeight="1" x14ac:dyDescent="0.2">
      <c r="G134" s="52"/>
    </row>
    <row r="135" spans="7:7" ht="12.75" customHeight="1" x14ac:dyDescent="0.2">
      <c r="G135" s="52"/>
    </row>
    <row r="136" spans="7:7" ht="12.75" customHeight="1" x14ac:dyDescent="0.2">
      <c r="G136" s="52"/>
    </row>
    <row r="137" spans="7:7" ht="12.75" customHeight="1" x14ac:dyDescent="0.2">
      <c r="G137" s="52"/>
    </row>
    <row r="138" spans="7:7" ht="12.75" customHeight="1" x14ac:dyDescent="0.2">
      <c r="G138" s="52"/>
    </row>
    <row r="139" spans="7:7" ht="12.75" customHeight="1" x14ac:dyDescent="0.2">
      <c r="G139" s="52"/>
    </row>
    <row r="140" spans="7:7" ht="12.75" customHeight="1" x14ac:dyDescent="0.2">
      <c r="G140" s="52"/>
    </row>
    <row r="141" spans="7:7" ht="12.75" customHeight="1" x14ac:dyDescent="0.2">
      <c r="G141" s="52"/>
    </row>
    <row r="142" spans="7:7" ht="12.75" customHeight="1" x14ac:dyDescent="0.2">
      <c r="G142" s="52"/>
    </row>
    <row r="143" spans="7:7" ht="12.75" customHeight="1" x14ac:dyDescent="0.2">
      <c r="G143" s="52"/>
    </row>
    <row r="144" spans="7:7" ht="12.75" customHeight="1" x14ac:dyDescent="0.2">
      <c r="G144" s="52"/>
    </row>
    <row r="145" spans="7:7" ht="12.75" customHeight="1" x14ac:dyDescent="0.2">
      <c r="G145" s="52"/>
    </row>
    <row r="146" spans="7:7" ht="12.75" customHeight="1" x14ac:dyDescent="0.2">
      <c r="G146" s="52"/>
    </row>
    <row r="147" spans="7:7" ht="12.75" customHeight="1" x14ac:dyDescent="0.2">
      <c r="G147" s="52"/>
    </row>
    <row r="148" spans="7:7" ht="12.75" customHeight="1" x14ac:dyDescent="0.2">
      <c r="G148" s="52"/>
    </row>
    <row r="149" spans="7:7" ht="12.75" customHeight="1" x14ac:dyDescent="0.2">
      <c r="G149" s="52"/>
    </row>
    <row r="150" spans="7:7" ht="12.75" customHeight="1" x14ac:dyDescent="0.2">
      <c r="G150" s="52"/>
    </row>
    <row r="151" spans="7:7" ht="12.75" customHeight="1" x14ac:dyDescent="0.2">
      <c r="G151" s="52"/>
    </row>
    <row r="152" spans="7:7" ht="12.75" customHeight="1" x14ac:dyDescent="0.2">
      <c r="G152" s="52"/>
    </row>
    <row r="153" spans="7:7" ht="12.75" customHeight="1" x14ac:dyDescent="0.2">
      <c r="G153" s="52"/>
    </row>
    <row r="154" spans="7:7" ht="12.75" customHeight="1" x14ac:dyDescent="0.2">
      <c r="G154" s="52"/>
    </row>
    <row r="155" spans="7:7" ht="12.75" customHeight="1" x14ac:dyDescent="0.2">
      <c r="G155" s="52"/>
    </row>
    <row r="156" spans="7:7" ht="12.75" customHeight="1" x14ac:dyDescent="0.2">
      <c r="G156" s="52"/>
    </row>
    <row r="157" spans="7:7" ht="12.75" customHeight="1" x14ac:dyDescent="0.2">
      <c r="G157" s="52"/>
    </row>
    <row r="158" spans="7:7" ht="12.75" customHeight="1" x14ac:dyDescent="0.2">
      <c r="G158" s="52"/>
    </row>
    <row r="159" spans="7:7" ht="12.75" customHeight="1" x14ac:dyDescent="0.2">
      <c r="G159" s="52"/>
    </row>
    <row r="160" spans="7:7" ht="12.75" customHeight="1" x14ac:dyDescent="0.2">
      <c r="G160" s="52"/>
    </row>
    <row r="161" spans="7:7" ht="12.75" customHeight="1" x14ac:dyDescent="0.2">
      <c r="G161" s="52"/>
    </row>
    <row r="162" spans="7:7" ht="12.75" customHeight="1" x14ac:dyDescent="0.2">
      <c r="G162" s="52"/>
    </row>
    <row r="163" spans="7:7" ht="12.75" customHeight="1" x14ac:dyDescent="0.2">
      <c r="G163" s="52"/>
    </row>
    <row r="164" spans="7:7" ht="12.75" customHeight="1" x14ac:dyDescent="0.2">
      <c r="G164" s="52"/>
    </row>
    <row r="165" spans="7:7" ht="12.75" customHeight="1" x14ac:dyDescent="0.2">
      <c r="G165" s="52"/>
    </row>
    <row r="166" spans="7:7" ht="12.75" customHeight="1" x14ac:dyDescent="0.2">
      <c r="G166" s="52"/>
    </row>
    <row r="167" spans="7:7" ht="12.75" customHeight="1" x14ac:dyDescent="0.2">
      <c r="G167" s="52"/>
    </row>
    <row r="168" spans="7:7" ht="12.75" customHeight="1" x14ac:dyDescent="0.2">
      <c r="G168" s="52"/>
    </row>
    <row r="169" spans="7:7" ht="12.75" customHeight="1" x14ac:dyDescent="0.2">
      <c r="G169" s="52"/>
    </row>
    <row r="170" spans="7:7" ht="12.75" customHeight="1" x14ac:dyDescent="0.2">
      <c r="G170" s="52"/>
    </row>
    <row r="171" spans="7:7" ht="12.75" customHeight="1" x14ac:dyDescent="0.2">
      <c r="G171" s="52"/>
    </row>
    <row r="172" spans="7:7" ht="12.75" customHeight="1" x14ac:dyDescent="0.2">
      <c r="G172" s="52"/>
    </row>
    <row r="173" spans="7:7" ht="12.75" customHeight="1" x14ac:dyDescent="0.2">
      <c r="G173" s="52"/>
    </row>
    <row r="174" spans="7:7" ht="12.75" customHeight="1" x14ac:dyDescent="0.2">
      <c r="G174" s="52"/>
    </row>
    <row r="175" spans="7:7" ht="12.75" customHeight="1" x14ac:dyDescent="0.2">
      <c r="G175" s="52"/>
    </row>
    <row r="176" spans="7:7" ht="12.75" customHeight="1" x14ac:dyDescent="0.2">
      <c r="G176" s="52"/>
    </row>
    <row r="177" spans="7:7" ht="12.75" customHeight="1" x14ac:dyDescent="0.2">
      <c r="G177" s="52"/>
    </row>
    <row r="178" spans="7:7" ht="12.75" customHeight="1" x14ac:dyDescent="0.2">
      <c r="G178" s="52"/>
    </row>
    <row r="179" spans="7:7" ht="12.75" customHeight="1" x14ac:dyDescent="0.2">
      <c r="G179" s="52"/>
    </row>
    <row r="180" spans="7:7" ht="12.75" customHeight="1" x14ac:dyDescent="0.2">
      <c r="G180" s="52"/>
    </row>
    <row r="181" spans="7:7" ht="12.75" customHeight="1" x14ac:dyDescent="0.2">
      <c r="G181" s="52"/>
    </row>
    <row r="182" spans="7:7" ht="12.75" customHeight="1" x14ac:dyDescent="0.2">
      <c r="G182" s="52"/>
    </row>
    <row r="183" spans="7:7" ht="12.75" customHeight="1" x14ac:dyDescent="0.2">
      <c r="G183" s="52"/>
    </row>
    <row r="184" spans="7:7" ht="12.75" customHeight="1" x14ac:dyDescent="0.2">
      <c r="G184" s="52"/>
    </row>
    <row r="185" spans="7:7" ht="12.75" customHeight="1" x14ac:dyDescent="0.2">
      <c r="G185" s="52"/>
    </row>
    <row r="186" spans="7:7" ht="12.75" customHeight="1" x14ac:dyDescent="0.2">
      <c r="G186" s="52"/>
    </row>
    <row r="187" spans="7:7" ht="12.75" customHeight="1" x14ac:dyDescent="0.2">
      <c r="G187" s="52"/>
    </row>
    <row r="188" spans="7:7" ht="12.75" customHeight="1" x14ac:dyDescent="0.2">
      <c r="G188" s="52"/>
    </row>
    <row r="189" spans="7:7" ht="12.75" customHeight="1" x14ac:dyDescent="0.2">
      <c r="G189" s="52"/>
    </row>
    <row r="190" spans="7:7" ht="12.75" customHeight="1" x14ac:dyDescent="0.2">
      <c r="G190" s="52"/>
    </row>
    <row r="191" spans="7:7" ht="12.75" customHeight="1" x14ac:dyDescent="0.2">
      <c r="G191" s="52"/>
    </row>
    <row r="192" spans="7:7" ht="12.75" customHeight="1" x14ac:dyDescent="0.2">
      <c r="G192" s="52"/>
    </row>
    <row r="193" spans="7:7" ht="12.75" customHeight="1" x14ac:dyDescent="0.2">
      <c r="G193" s="52"/>
    </row>
    <row r="194" spans="7:7" ht="12.75" customHeight="1" x14ac:dyDescent="0.2">
      <c r="G194" s="52"/>
    </row>
    <row r="195" spans="7:7" ht="12.75" customHeight="1" x14ac:dyDescent="0.2">
      <c r="G195" s="52"/>
    </row>
    <row r="196" spans="7:7" ht="12.75" customHeight="1" x14ac:dyDescent="0.2">
      <c r="G196" s="52"/>
    </row>
    <row r="197" spans="7:7" ht="12.75" customHeight="1" x14ac:dyDescent="0.2">
      <c r="G197" s="52"/>
    </row>
    <row r="198" spans="7:7" ht="12.75" customHeight="1" x14ac:dyDescent="0.2">
      <c r="G198" s="52"/>
    </row>
    <row r="199" spans="7:7" ht="12.75" customHeight="1" x14ac:dyDescent="0.2">
      <c r="G199" s="52"/>
    </row>
    <row r="200" spans="7:7" ht="12.75" customHeight="1" x14ac:dyDescent="0.2">
      <c r="G200" s="52"/>
    </row>
    <row r="201" spans="7:7" ht="12.75" customHeight="1" x14ac:dyDescent="0.2">
      <c r="G201" s="52"/>
    </row>
    <row r="202" spans="7:7" ht="12.75" customHeight="1" x14ac:dyDescent="0.2">
      <c r="G202" s="52"/>
    </row>
    <row r="203" spans="7:7" ht="12.75" customHeight="1" x14ac:dyDescent="0.2">
      <c r="G203" s="52"/>
    </row>
    <row r="204" spans="7:7" ht="12.75" customHeight="1" x14ac:dyDescent="0.2">
      <c r="G204" s="52"/>
    </row>
    <row r="205" spans="7:7" ht="12.75" customHeight="1" x14ac:dyDescent="0.2">
      <c r="G205" s="52"/>
    </row>
    <row r="206" spans="7:7" ht="12.75" customHeight="1" x14ac:dyDescent="0.2">
      <c r="G206" s="52"/>
    </row>
    <row r="207" spans="7:7" ht="12.75" customHeight="1" x14ac:dyDescent="0.2">
      <c r="G207" s="52"/>
    </row>
    <row r="208" spans="7:7" ht="12.75" customHeight="1" x14ac:dyDescent="0.2">
      <c r="G208" s="52"/>
    </row>
    <row r="209" spans="7:7" ht="12.75" customHeight="1" x14ac:dyDescent="0.2">
      <c r="G209" s="52"/>
    </row>
    <row r="210" spans="7:7" ht="12.75" customHeight="1" x14ac:dyDescent="0.2">
      <c r="G210" s="52"/>
    </row>
    <row r="211" spans="7:7" ht="12.75" customHeight="1" x14ac:dyDescent="0.2">
      <c r="G211" s="52"/>
    </row>
    <row r="212" spans="7:7" ht="12.75" customHeight="1" x14ac:dyDescent="0.2">
      <c r="G212" s="52"/>
    </row>
    <row r="213" spans="7:7" ht="12.75" customHeight="1" x14ac:dyDescent="0.2">
      <c r="G213" s="52"/>
    </row>
    <row r="214" spans="7:7" ht="12.75" customHeight="1" x14ac:dyDescent="0.2">
      <c r="G214" s="52"/>
    </row>
    <row r="215" spans="7:7" ht="12.75" customHeight="1" x14ac:dyDescent="0.2">
      <c r="G215" s="52"/>
    </row>
    <row r="216" spans="7:7" ht="12.75" customHeight="1" x14ac:dyDescent="0.2">
      <c r="G216" s="52"/>
    </row>
    <row r="217" spans="7:7" ht="12.75" customHeight="1" x14ac:dyDescent="0.2">
      <c r="G217" s="52"/>
    </row>
    <row r="218" spans="7:7" ht="12.75" customHeight="1" x14ac:dyDescent="0.2">
      <c r="G218" s="52"/>
    </row>
    <row r="219" spans="7:7" ht="12.75" customHeight="1" x14ac:dyDescent="0.2">
      <c r="G219" s="52"/>
    </row>
    <row r="220" spans="7:7" ht="12.75" customHeight="1" x14ac:dyDescent="0.2">
      <c r="G220" s="52"/>
    </row>
    <row r="221" spans="7:7" ht="12.75" customHeight="1" x14ac:dyDescent="0.2">
      <c r="G221" s="52"/>
    </row>
    <row r="222" spans="7:7" ht="12.75" customHeight="1" x14ac:dyDescent="0.2">
      <c r="G222" s="52"/>
    </row>
    <row r="223" spans="7:7" ht="12.75" customHeight="1" x14ac:dyDescent="0.2">
      <c r="G223" s="52"/>
    </row>
    <row r="224" spans="7:7" ht="12.75" customHeight="1" x14ac:dyDescent="0.2">
      <c r="G224" s="52"/>
    </row>
    <row r="225" spans="7:7" ht="12.75" customHeight="1" x14ac:dyDescent="0.2">
      <c r="G225" s="52"/>
    </row>
    <row r="226" spans="7:7" ht="12.75" customHeight="1" x14ac:dyDescent="0.2">
      <c r="G226" s="52"/>
    </row>
    <row r="227" spans="7:7" ht="12.75" customHeight="1" x14ac:dyDescent="0.2">
      <c r="G227" s="52"/>
    </row>
    <row r="228" spans="7:7" ht="12.75" customHeight="1" x14ac:dyDescent="0.2">
      <c r="G228" s="52"/>
    </row>
    <row r="229" spans="7:7" ht="12.75" customHeight="1" x14ac:dyDescent="0.2">
      <c r="G229" s="52"/>
    </row>
    <row r="230" spans="7:7" ht="12.75" customHeight="1" x14ac:dyDescent="0.2">
      <c r="G230" s="52"/>
    </row>
    <row r="231" spans="7:7" ht="12.75" customHeight="1" x14ac:dyDescent="0.2">
      <c r="G231" s="52"/>
    </row>
    <row r="232" spans="7:7" ht="12.75" customHeight="1" x14ac:dyDescent="0.2">
      <c r="G232" s="52"/>
    </row>
    <row r="233" spans="7:7" ht="12.75" customHeight="1" x14ac:dyDescent="0.2">
      <c r="G233" s="52"/>
    </row>
    <row r="234" spans="7:7" ht="12.75" customHeight="1" x14ac:dyDescent="0.2">
      <c r="G234" s="52"/>
    </row>
    <row r="235" spans="7:7" ht="12.75" customHeight="1" x14ac:dyDescent="0.2">
      <c r="G235" s="52"/>
    </row>
    <row r="236" spans="7:7" ht="12.75" customHeight="1" x14ac:dyDescent="0.2">
      <c r="G236" s="52"/>
    </row>
    <row r="237" spans="7:7" ht="12.75" customHeight="1" x14ac:dyDescent="0.2">
      <c r="G237" s="52"/>
    </row>
    <row r="238" spans="7:7" ht="12.75" customHeight="1" x14ac:dyDescent="0.2">
      <c r="G238" s="52"/>
    </row>
    <row r="239" spans="7:7" ht="12.75" customHeight="1" x14ac:dyDescent="0.2">
      <c r="G239" s="52"/>
    </row>
    <row r="240" spans="7:7" ht="12.75" customHeight="1" x14ac:dyDescent="0.2">
      <c r="G240" s="52"/>
    </row>
    <row r="241" spans="7:7" ht="12.75" customHeight="1" x14ac:dyDescent="0.2">
      <c r="G241" s="52"/>
    </row>
    <row r="242" spans="7:7" ht="12.75" customHeight="1" x14ac:dyDescent="0.2">
      <c r="G242" s="52"/>
    </row>
    <row r="243" spans="7:7" ht="12.75" customHeight="1" x14ac:dyDescent="0.2">
      <c r="G243" s="52"/>
    </row>
    <row r="244" spans="7:7" ht="12.75" customHeight="1" x14ac:dyDescent="0.2">
      <c r="G244" s="52"/>
    </row>
    <row r="245" spans="7:7" ht="12.75" customHeight="1" x14ac:dyDescent="0.2">
      <c r="G245" s="52"/>
    </row>
    <row r="246" spans="7:7" ht="12.75" customHeight="1" x14ac:dyDescent="0.2">
      <c r="G246" s="52"/>
    </row>
    <row r="247" spans="7:7" ht="12.75" customHeight="1" x14ac:dyDescent="0.2">
      <c r="G247" s="52"/>
    </row>
    <row r="248" spans="7:7" ht="12.75" customHeight="1" x14ac:dyDescent="0.2">
      <c r="G248" s="52"/>
    </row>
    <row r="249" spans="7:7" ht="12.75" customHeight="1" x14ac:dyDescent="0.2">
      <c r="G249" s="52"/>
    </row>
    <row r="250" spans="7:7" ht="12.75" customHeight="1" x14ac:dyDescent="0.2">
      <c r="G250" s="52"/>
    </row>
    <row r="251" spans="7:7" ht="12.75" customHeight="1" x14ac:dyDescent="0.2">
      <c r="G251" s="52"/>
    </row>
    <row r="252" spans="7:7" ht="12.75" customHeight="1" x14ac:dyDescent="0.2">
      <c r="G252" s="52"/>
    </row>
    <row r="253" spans="7:7" ht="12.75" customHeight="1" x14ac:dyDescent="0.2">
      <c r="G253" s="52"/>
    </row>
    <row r="254" spans="7:7" ht="12.75" customHeight="1" x14ac:dyDescent="0.2">
      <c r="G254" s="52"/>
    </row>
    <row r="255" spans="7:7" ht="12.75" customHeight="1" x14ac:dyDescent="0.2">
      <c r="G255" s="52"/>
    </row>
    <row r="256" spans="7:7" ht="12.75" customHeight="1" x14ac:dyDescent="0.2">
      <c r="G256" s="52"/>
    </row>
    <row r="257" spans="7:7" ht="12.75" customHeight="1" x14ac:dyDescent="0.2">
      <c r="G257" s="52"/>
    </row>
    <row r="258" spans="7:7" ht="12.75" customHeight="1" x14ac:dyDescent="0.2">
      <c r="G258" s="52"/>
    </row>
    <row r="259" spans="7:7" ht="12.75" customHeight="1" x14ac:dyDescent="0.2">
      <c r="G259" s="52"/>
    </row>
    <row r="260" spans="7:7" ht="12.75" customHeight="1" x14ac:dyDescent="0.2">
      <c r="G260" s="52"/>
    </row>
    <row r="261" spans="7:7" ht="12.75" customHeight="1" x14ac:dyDescent="0.2">
      <c r="G261" s="52"/>
    </row>
    <row r="262" spans="7:7" ht="12.75" customHeight="1" x14ac:dyDescent="0.2">
      <c r="G262" s="52"/>
    </row>
    <row r="263" spans="7:7" ht="12.75" customHeight="1" x14ac:dyDescent="0.2">
      <c r="G263" s="52"/>
    </row>
    <row r="264" spans="7:7" ht="12.75" customHeight="1" x14ac:dyDescent="0.2">
      <c r="G264" s="52"/>
    </row>
    <row r="265" spans="7:7" ht="12.75" customHeight="1" x14ac:dyDescent="0.2">
      <c r="G265" s="52"/>
    </row>
    <row r="266" spans="7:7" ht="12.75" customHeight="1" x14ac:dyDescent="0.2">
      <c r="G266" s="52"/>
    </row>
    <row r="267" spans="7:7" ht="12.75" customHeight="1" x14ac:dyDescent="0.2">
      <c r="G267" s="52"/>
    </row>
    <row r="268" spans="7:7" ht="12.75" customHeight="1" x14ac:dyDescent="0.2">
      <c r="G268" s="52"/>
    </row>
    <row r="269" spans="7:7" ht="12.75" customHeight="1" x14ac:dyDescent="0.2">
      <c r="G269" s="52"/>
    </row>
    <row r="270" spans="7:7" ht="12.75" customHeight="1" x14ac:dyDescent="0.2">
      <c r="G270" s="52"/>
    </row>
    <row r="271" spans="7:7" ht="12.75" customHeight="1" x14ac:dyDescent="0.2">
      <c r="G271" s="52"/>
    </row>
    <row r="272" spans="7:7" ht="12.75" customHeight="1" x14ac:dyDescent="0.2">
      <c r="G272" s="52"/>
    </row>
    <row r="273" spans="7:7" ht="12.75" customHeight="1" x14ac:dyDescent="0.2">
      <c r="G273" s="52"/>
    </row>
    <row r="274" spans="7:7" ht="12.75" customHeight="1" x14ac:dyDescent="0.2">
      <c r="G274" s="52"/>
    </row>
    <row r="275" spans="7:7" ht="12.75" customHeight="1" x14ac:dyDescent="0.2">
      <c r="G275" s="52"/>
    </row>
    <row r="276" spans="7:7" ht="12.75" customHeight="1" x14ac:dyDescent="0.2">
      <c r="G276" s="52"/>
    </row>
    <row r="277" spans="7:7" ht="12.75" customHeight="1" x14ac:dyDescent="0.2">
      <c r="G277" s="52"/>
    </row>
    <row r="278" spans="7:7" ht="12.75" customHeight="1" x14ac:dyDescent="0.2">
      <c r="G278" s="52"/>
    </row>
    <row r="279" spans="7:7" ht="12.75" customHeight="1" x14ac:dyDescent="0.2">
      <c r="G279" s="52"/>
    </row>
    <row r="280" spans="7:7" ht="12.75" customHeight="1" x14ac:dyDescent="0.2">
      <c r="G280" s="52"/>
    </row>
    <row r="281" spans="7:7" ht="12.75" customHeight="1" x14ac:dyDescent="0.2">
      <c r="G281" s="52"/>
    </row>
    <row r="282" spans="7:7" ht="12.75" customHeight="1" x14ac:dyDescent="0.2">
      <c r="G282" s="52"/>
    </row>
    <row r="283" spans="7:7" ht="12.75" customHeight="1" x14ac:dyDescent="0.2">
      <c r="G283" s="52"/>
    </row>
    <row r="284" spans="7:7" ht="12.75" customHeight="1" x14ac:dyDescent="0.2">
      <c r="G284" s="52"/>
    </row>
    <row r="285" spans="7:7" ht="12.75" customHeight="1" x14ac:dyDescent="0.2">
      <c r="G285" s="52"/>
    </row>
    <row r="286" spans="7:7" ht="12.75" customHeight="1" x14ac:dyDescent="0.2">
      <c r="G286" s="52"/>
    </row>
    <row r="287" spans="7:7" ht="12.75" customHeight="1" x14ac:dyDescent="0.2">
      <c r="G287" s="52"/>
    </row>
    <row r="288" spans="7:7" ht="12.75" customHeight="1" x14ac:dyDescent="0.2">
      <c r="G288" s="52"/>
    </row>
    <row r="289" spans="7:7" ht="12.75" customHeight="1" x14ac:dyDescent="0.2">
      <c r="G289" s="52"/>
    </row>
    <row r="290" spans="7:7" ht="12.75" customHeight="1" x14ac:dyDescent="0.2">
      <c r="G290" s="52"/>
    </row>
    <row r="291" spans="7:7" ht="12.75" customHeight="1" x14ac:dyDescent="0.2">
      <c r="G291" s="52"/>
    </row>
    <row r="292" spans="7:7" ht="12.75" customHeight="1" x14ac:dyDescent="0.2">
      <c r="G292" s="52"/>
    </row>
    <row r="293" spans="7:7" ht="12.75" customHeight="1" x14ac:dyDescent="0.2">
      <c r="G293" s="52"/>
    </row>
    <row r="294" spans="7:7" ht="12.75" customHeight="1" x14ac:dyDescent="0.2">
      <c r="G294" s="52"/>
    </row>
    <row r="295" spans="7:7" ht="12.75" customHeight="1" x14ac:dyDescent="0.2">
      <c r="G295" s="52"/>
    </row>
    <row r="296" spans="7:7" ht="12.75" customHeight="1" x14ac:dyDescent="0.2">
      <c r="G296" s="52"/>
    </row>
    <row r="297" spans="7:7" ht="12.75" customHeight="1" x14ac:dyDescent="0.2">
      <c r="G297" s="52"/>
    </row>
    <row r="298" spans="7:7" ht="12.75" customHeight="1" x14ac:dyDescent="0.2">
      <c r="G298" s="52"/>
    </row>
    <row r="299" spans="7:7" ht="12.75" customHeight="1" x14ac:dyDescent="0.2">
      <c r="G299" s="52"/>
    </row>
    <row r="300" spans="7:7" ht="12.75" customHeight="1" x14ac:dyDescent="0.2">
      <c r="G300" s="52"/>
    </row>
    <row r="301" spans="7:7" ht="12.75" customHeight="1" x14ac:dyDescent="0.2">
      <c r="G301" s="52"/>
    </row>
    <row r="302" spans="7:7" ht="12.75" customHeight="1" x14ac:dyDescent="0.2">
      <c r="G302" s="52"/>
    </row>
    <row r="303" spans="7:7" ht="12.75" customHeight="1" x14ac:dyDescent="0.2">
      <c r="G303" s="52"/>
    </row>
    <row r="304" spans="7:7" ht="12.75" customHeight="1" x14ac:dyDescent="0.2">
      <c r="G304" s="52"/>
    </row>
    <row r="305" spans="7:7" ht="12.75" customHeight="1" x14ac:dyDescent="0.2">
      <c r="G305" s="52"/>
    </row>
    <row r="306" spans="7:7" ht="12.75" customHeight="1" x14ac:dyDescent="0.2">
      <c r="G306" s="52"/>
    </row>
    <row r="307" spans="7:7" ht="12.75" customHeight="1" x14ac:dyDescent="0.2">
      <c r="G307" s="52"/>
    </row>
    <row r="308" spans="7:7" ht="12.75" customHeight="1" x14ac:dyDescent="0.2">
      <c r="G308" s="52"/>
    </row>
    <row r="309" spans="7:7" ht="12.75" customHeight="1" x14ac:dyDescent="0.2">
      <c r="G309" s="52"/>
    </row>
    <row r="310" spans="7:7" ht="12.75" customHeight="1" x14ac:dyDescent="0.2">
      <c r="G310" s="52"/>
    </row>
    <row r="311" spans="7:7" ht="12.75" customHeight="1" x14ac:dyDescent="0.2">
      <c r="G311" s="52"/>
    </row>
    <row r="312" spans="7:7" ht="12.75" customHeight="1" x14ac:dyDescent="0.2">
      <c r="G312" s="52"/>
    </row>
    <row r="313" spans="7:7" ht="12.75" customHeight="1" x14ac:dyDescent="0.2">
      <c r="G313" s="52"/>
    </row>
    <row r="314" spans="7:7" ht="12.75" customHeight="1" x14ac:dyDescent="0.2">
      <c r="G314" s="52"/>
    </row>
    <row r="315" spans="7:7" ht="12.75" customHeight="1" x14ac:dyDescent="0.2">
      <c r="G315" s="52"/>
    </row>
    <row r="316" spans="7:7" ht="12.75" customHeight="1" x14ac:dyDescent="0.2">
      <c r="G316" s="52"/>
    </row>
    <row r="317" spans="7:7" ht="12.75" customHeight="1" x14ac:dyDescent="0.2">
      <c r="G317" s="52"/>
    </row>
    <row r="318" spans="7:7" ht="12.75" customHeight="1" x14ac:dyDescent="0.2">
      <c r="G318" s="52"/>
    </row>
    <row r="319" spans="7:7" ht="12.75" customHeight="1" x14ac:dyDescent="0.2">
      <c r="G319" s="52"/>
    </row>
    <row r="320" spans="7:7" ht="12.75" customHeight="1" x14ac:dyDescent="0.2">
      <c r="G320" s="52"/>
    </row>
    <row r="321" spans="7:7" ht="12.75" customHeight="1" x14ac:dyDescent="0.2">
      <c r="G321" s="52"/>
    </row>
    <row r="322" spans="7:7" ht="12.75" customHeight="1" x14ac:dyDescent="0.2">
      <c r="G322" s="52"/>
    </row>
    <row r="323" spans="7:7" ht="12.75" customHeight="1" x14ac:dyDescent="0.2">
      <c r="G323" s="52"/>
    </row>
    <row r="324" spans="7:7" ht="12.75" customHeight="1" x14ac:dyDescent="0.2">
      <c r="G324" s="52"/>
    </row>
    <row r="325" spans="7:7" ht="12.75" customHeight="1" x14ac:dyDescent="0.2">
      <c r="G325" s="52"/>
    </row>
    <row r="326" spans="7:7" ht="12.75" customHeight="1" x14ac:dyDescent="0.2">
      <c r="G326" s="52"/>
    </row>
    <row r="327" spans="7:7" ht="12.75" customHeight="1" x14ac:dyDescent="0.2">
      <c r="G327" s="52"/>
    </row>
    <row r="328" spans="7:7" ht="12.75" customHeight="1" x14ac:dyDescent="0.2">
      <c r="G328" s="52"/>
    </row>
    <row r="329" spans="7:7" ht="12.75" customHeight="1" x14ac:dyDescent="0.2">
      <c r="G329" s="52"/>
    </row>
    <row r="330" spans="7:7" ht="12.75" customHeight="1" x14ac:dyDescent="0.2">
      <c r="G330" s="52"/>
    </row>
    <row r="331" spans="7:7" ht="12.75" customHeight="1" x14ac:dyDescent="0.2">
      <c r="G331" s="52"/>
    </row>
    <row r="332" spans="7:7" ht="12.75" customHeight="1" x14ac:dyDescent="0.2">
      <c r="G332" s="52"/>
    </row>
    <row r="333" spans="7:7" ht="12.75" customHeight="1" x14ac:dyDescent="0.2">
      <c r="G333" s="52"/>
    </row>
    <row r="334" spans="7:7" ht="12.75" customHeight="1" x14ac:dyDescent="0.2">
      <c r="G334" s="52"/>
    </row>
    <row r="335" spans="7:7" ht="12.75" customHeight="1" x14ac:dyDescent="0.2">
      <c r="G335" s="52"/>
    </row>
    <row r="336" spans="7:7" ht="12.75" customHeight="1" x14ac:dyDescent="0.2">
      <c r="G336" s="52"/>
    </row>
    <row r="337" spans="7:7" ht="12.75" customHeight="1" x14ac:dyDescent="0.2">
      <c r="G337" s="52"/>
    </row>
    <row r="338" spans="7:7" ht="12.75" customHeight="1" x14ac:dyDescent="0.2">
      <c r="G338" s="52"/>
    </row>
    <row r="339" spans="7:7" ht="12.75" customHeight="1" x14ac:dyDescent="0.2">
      <c r="G339" s="52"/>
    </row>
    <row r="340" spans="7:7" ht="12.75" customHeight="1" x14ac:dyDescent="0.2">
      <c r="G340" s="52"/>
    </row>
    <row r="341" spans="7:7" ht="12.75" customHeight="1" x14ac:dyDescent="0.2">
      <c r="G341" s="52"/>
    </row>
    <row r="342" spans="7:7" ht="12.75" customHeight="1" x14ac:dyDescent="0.2">
      <c r="G342" s="52"/>
    </row>
    <row r="343" spans="7:7" ht="12.75" customHeight="1" x14ac:dyDescent="0.2">
      <c r="G343" s="52"/>
    </row>
    <row r="344" spans="7:7" ht="12.75" customHeight="1" x14ac:dyDescent="0.2">
      <c r="G344" s="52"/>
    </row>
    <row r="345" spans="7:7" ht="12.75" customHeight="1" x14ac:dyDescent="0.2">
      <c r="G345" s="52"/>
    </row>
    <row r="346" spans="7:7" ht="12.75" customHeight="1" x14ac:dyDescent="0.2">
      <c r="G346" s="52"/>
    </row>
    <row r="347" spans="7:7" ht="12.75" customHeight="1" x14ac:dyDescent="0.2">
      <c r="G347" s="52"/>
    </row>
    <row r="348" spans="7:7" ht="12.75" customHeight="1" x14ac:dyDescent="0.2">
      <c r="G348" s="52"/>
    </row>
    <row r="349" spans="7:7" ht="12.75" customHeight="1" x14ac:dyDescent="0.2">
      <c r="G349" s="52"/>
    </row>
    <row r="350" spans="7:7" ht="12.75" customHeight="1" x14ac:dyDescent="0.2">
      <c r="G350" s="52"/>
    </row>
    <row r="351" spans="7:7" ht="12.75" customHeight="1" x14ac:dyDescent="0.2">
      <c r="G351" s="52"/>
    </row>
    <row r="352" spans="7:7" ht="12.75" customHeight="1" x14ac:dyDescent="0.2">
      <c r="G352" s="52"/>
    </row>
    <row r="353" spans="7:7" ht="12.75" customHeight="1" x14ac:dyDescent="0.2">
      <c r="G353" s="52"/>
    </row>
    <row r="354" spans="7:7" ht="12.75" customHeight="1" x14ac:dyDescent="0.2">
      <c r="G354" s="52"/>
    </row>
    <row r="355" spans="7:7" ht="12.75" customHeight="1" x14ac:dyDescent="0.2">
      <c r="G355" s="52"/>
    </row>
    <row r="356" spans="7:7" ht="12.75" customHeight="1" x14ac:dyDescent="0.2">
      <c r="G356" s="52"/>
    </row>
    <row r="357" spans="7:7" ht="12.75" customHeight="1" x14ac:dyDescent="0.2">
      <c r="G357" s="52"/>
    </row>
    <row r="358" spans="7:7" ht="12.75" customHeight="1" x14ac:dyDescent="0.2">
      <c r="G358" s="52"/>
    </row>
    <row r="359" spans="7:7" ht="12.75" customHeight="1" x14ac:dyDescent="0.2">
      <c r="G359" s="52"/>
    </row>
    <row r="360" spans="7:7" ht="12.75" customHeight="1" x14ac:dyDescent="0.2">
      <c r="G360" s="52"/>
    </row>
    <row r="361" spans="7:7" ht="12.75" customHeight="1" x14ac:dyDescent="0.2">
      <c r="G361" s="52"/>
    </row>
    <row r="362" spans="7:7" ht="12.75" customHeight="1" x14ac:dyDescent="0.2">
      <c r="G362" s="52"/>
    </row>
    <row r="363" spans="7:7" ht="12.75" customHeight="1" x14ac:dyDescent="0.2">
      <c r="G363" s="52"/>
    </row>
    <row r="364" spans="7:7" ht="12.75" customHeight="1" x14ac:dyDescent="0.2">
      <c r="G364" s="52"/>
    </row>
    <row r="365" spans="7:7" ht="12.75" customHeight="1" x14ac:dyDescent="0.2">
      <c r="G365" s="52"/>
    </row>
    <row r="366" spans="7:7" ht="12.75" customHeight="1" x14ac:dyDescent="0.2">
      <c r="G366" s="52"/>
    </row>
    <row r="367" spans="7:7" ht="12.75" customHeight="1" x14ac:dyDescent="0.2">
      <c r="G367" s="52"/>
    </row>
    <row r="368" spans="7:7" ht="12.75" customHeight="1" x14ac:dyDescent="0.2">
      <c r="G368" s="52"/>
    </row>
    <row r="369" spans="7:7" ht="12.75" customHeight="1" x14ac:dyDescent="0.2">
      <c r="G369" s="52"/>
    </row>
    <row r="370" spans="7:7" ht="12.75" customHeight="1" x14ac:dyDescent="0.2">
      <c r="G370" s="52"/>
    </row>
    <row r="371" spans="7:7" ht="12.75" customHeight="1" x14ac:dyDescent="0.2">
      <c r="G371" s="52"/>
    </row>
    <row r="372" spans="7:7" ht="12.75" customHeight="1" x14ac:dyDescent="0.2">
      <c r="G372" s="52"/>
    </row>
    <row r="373" spans="7:7" ht="12.75" customHeight="1" x14ac:dyDescent="0.2">
      <c r="G373" s="52"/>
    </row>
    <row r="374" spans="7:7" ht="12.75" customHeight="1" x14ac:dyDescent="0.2">
      <c r="G374" s="52"/>
    </row>
    <row r="375" spans="7:7" ht="12.75" customHeight="1" x14ac:dyDescent="0.2">
      <c r="G375" s="52"/>
    </row>
    <row r="376" spans="7:7" ht="12.75" customHeight="1" x14ac:dyDescent="0.2">
      <c r="G376" s="52"/>
    </row>
    <row r="377" spans="7:7" ht="12.75" customHeight="1" x14ac:dyDescent="0.2">
      <c r="G377" s="52"/>
    </row>
    <row r="378" spans="7:7" ht="12.75" customHeight="1" x14ac:dyDescent="0.2">
      <c r="G378" s="52"/>
    </row>
    <row r="379" spans="7:7" ht="12.75" customHeight="1" x14ac:dyDescent="0.2">
      <c r="G379" s="52"/>
    </row>
    <row r="380" spans="7:7" ht="12.75" customHeight="1" x14ac:dyDescent="0.2">
      <c r="G380" s="52"/>
    </row>
    <row r="381" spans="7:7" ht="12.75" customHeight="1" x14ac:dyDescent="0.2">
      <c r="G381" s="52"/>
    </row>
    <row r="382" spans="7:7" ht="12.75" customHeight="1" x14ac:dyDescent="0.2">
      <c r="G382" s="52"/>
    </row>
    <row r="383" spans="7:7" ht="12.75" customHeight="1" x14ac:dyDescent="0.2">
      <c r="G383" s="52"/>
    </row>
    <row r="384" spans="7:7" ht="12.75" customHeight="1" x14ac:dyDescent="0.2">
      <c r="G384" s="52"/>
    </row>
    <row r="385" spans="7:7" ht="12.75" customHeight="1" x14ac:dyDescent="0.2">
      <c r="G385" s="52"/>
    </row>
    <row r="386" spans="7:7" ht="12.75" customHeight="1" x14ac:dyDescent="0.2">
      <c r="G386" s="52"/>
    </row>
    <row r="387" spans="7:7" ht="12.75" customHeight="1" x14ac:dyDescent="0.2">
      <c r="G387" s="52"/>
    </row>
    <row r="388" spans="7:7" ht="12.75" customHeight="1" x14ac:dyDescent="0.2">
      <c r="G388" s="52"/>
    </row>
    <row r="389" spans="7:7" ht="12.75" customHeight="1" x14ac:dyDescent="0.2">
      <c r="G389" s="52"/>
    </row>
    <row r="390" spans="7:7" ht="12.75" customHeight="1" x14ac:dyDescent="0.2">
      <c r="G390" s="52"/>
    </row>
    <row r="391" spans="7:7" ht="12.75" customHeight="1" x14ac:dyDescent="0.2">
      <c r="G391" s="52"/>
    </row>
    <row r="392" spans="7:7" ht="12.75" customHeight="1" x14ac:dyDescent="0.2">
      <c r="G392" s="52"/>
    </row>
    <row r="393" spans="7:7" ht="12.75" customHeight="1" x14ac:dyDescent="0.2">
      <c r="G393" s="52"/>
    </row>
    <row r="394" spans="7:7" ht="12.75" customHeight="1" x14ac:dyDescent="0.2">
      <c r="G394" s="52"/>
    </row>
    <row r="395" spans="7:7" ht="12.75" customHeight="1" x14ac:dyDescent="0.2">
      <c r="G395" s="52"/>
    </row>
    <row r="396" spans="7:7" ht="12.75" customHeight="1" x14ac:dyDescent="0.2">
      <c r="G396" s="52"/>
    </row>
    <row r="397" spans="7:7" ht="12.75" customHeight="1" x14ac:dyDescent="0.2">
      <c r="G397" s="52"/>
    </row>
    <row r="398" spans="7:7" ht="12.75" customHeight="1" x14ac:dyDescent="0.2">
      <c r="G398" s="52"/>
    </row>
    <row r="399" spans="7:7" ht="12.75" customHeight="1" x14ac:dyDescent="0.2">
      <c r="G399" s="52"/>
    </row>
    <row r="400" spans="7:7" ht="12.75" customHeight="1" x14ac:dyDescent="0.2">
      <c r="G400" s="52"/>
    </row>
    <row r="401" spans="7:7" ht="12.75" customHeight="1" x14ac:dyDescent="0.2">
      <c r="G401" s="52"/>
    </row>
    <row r="402" spans="7:7" ht="12.75" customHeight="1" x14ac:dyDescent="0.2">
      <c r="G402" s="52"/>
    </row>
    <row r="403" spans="7:7" ht="12.75" customHeight="1" x14ac:dyDescent="0.2">
      <c r="G403" s="52"/>
    </row>
    <row r="404" spans="7:7" ht="12.75" customHeight="1" x14ac:dyDescent="0.2">
      <c r="G404" s="52"/>
    </row>
    <row r="405" spans="7:7" ht="12.75" customHeight="1" x14ac:dyDescent="0.2">
      <c r="G405" s="52"/>
    </row>
    <row r="406" spans="7:7" ht="12.75" customHeight="1" x14ac:dyDescent="0.2">
      <c r="G406" s="52"/>
    </row>
    <row r="407" spans="7:7" ht="12.75" customHeight="1" x14ac:dyDescent="0.2">
      <c r="G407" s="52"/>
    </row>
    <row r="408" spans="7:7" ht="12.75" customHeight="1" x14ac:dyDescent="0.2">
      <c r="G408" s="52"/>
    </row>
    <row r="409" spans="7:7" ht="12.75" customHeight="1" x14ac:dyDescent="0.2">
      <c r="G409" s="52"/>
    </row>
    <row r="410" spans="7:7" ht="12.75" customHeight="1" x14ac:dyDescent="0.2">
      <c r="G410" s="52"/>
    </row>
    <row r="411" spans="7:7" ht="12.75" customHeight="1" x14ac:dyDescent="0.2">
      <c r="G411" s="52"/>
    </row>
    <row r="412" spans="7:7" ht="12.75" customHeight="1" x14ac:dyDescent="0.2">
      <c r="G412" s="52"/>
    </row>
    <row r="413" spans="7:7" ht="12.75" customHeight="1" x14ac:dyDescent="0.2">
      <c r="G413" s="52"/>
    </row>
    <row r="414" spans="7:7" ht="12.75" customHeight="1" x14ac:dyDescent="0.2">
      <c r="G414" s="52"/>
    </row>
    <row r="415" spans="7:7" ht="12.75" customHeight="1" x14ac:dyDescent="0.2">
      <c r="G415" s="52"/>
    </row>
    <row r="416" spans="7:7" ht="12.75" customHeight="1" x14ac:dyDescent="0.2">
      <c r="G416" s="52"/>
    </row>
    <row r="417" spans="7:7" ht="12.75" customHeight="1" x14ac:dyDescent="0.2">
      <c r="G417" s="52"/>
    </row>
    <row r="418" spans="7:7" ht="12.75" customHeight="1" x14ac:dyDescent="0.2">
      <c r="G418" s="52"/>
    </row>
    <row r="419" spans="7:7" ht="12.75" customHeight="1" x14ac:dyDescent="0.2">
      <c r="G419" s="52"/>
    </row>
    <row r="420" spans="7:7" ht="12.75" customHeight="1" x14ac:dyDescent="0.2">
      <c r="G420" s="52"/>
    </row>
    <row r="421" spans="7:7" ht="12.75" customHeight="1" x14ac:dyDescent="0.2">
      <c r="G421" s="52"/>
    </row>
    <row r="422" spans="7:7" ht="12.75" customHeight="1" x14ac:dyDescent="0.2">
      <c r="G422" s="52"/>
    </row>
    <row r="423" spans="7:7" ht="12.75" customHeight="1" x14ac:dyDescent="0.2">
      <c r="G423" s="52"/>
    </row>
    <row r="424" spans="7:7" ht="12.75" customHeight="1" x14ac:dyDescent="0.2">
      <c r="G424" s="52"/>
    </row>
    <row r="425" spans="7:7" ht="12.75" customHeight="1" x14ac:dyDescent="0.2">
      <c r="G425" s="52"/>
    </row>
    <row r="426" spans="7:7" ht="12.75" customHeight="1" x14ac:dyDescent="0.2">
      <c r="G426" s="52"/>
    </row>
    <row r="427" spans="7:7" ht="12.75" customHeight="1" x14ac:dyDescent="0.2">
      <c r="G427" s="52"/>
    </row>
    <row r="428" spans="7:7" ht="12.75" customHeight="1" x14ac:dyDescent="0.2">
      <c r="G428" s="52"/>
    </row>
    <row r="429" spans="7:7" ht="12.75" customHeight="1" x14ac:dyDescent="0.2">
      <c r="G429" s="52"/>
    </row>
    <row r="430" spans="7:7" ht="12.75" customHeight="1" x14ac:dyDescent="0.2">
      <c r="G430" s="52"/>
    </row>
    <row r="431" spans="7:7" ht="12.75" customHeight="1" x14ac:dyDescent="0.2">
      <c r="G431" s="52"/>
    </row>
    <row r="432" spans="7:7" ht="12.75" customHeight="1" x14ac:dyDescent="0.2">
      <c r="G432" s="52"/>
    </row>
    <row r="433" spans="7:7" ht="12.75" customHeight="1" x14ac:dyDescent="0.2">
      <c r="G433" s="52"/>
    </row>
    <row r="434" spans="7:7" ht="12.75" customHeight="1" x14ac:dyDescent="0.2">
      <c r="G434" s="52"/>
    </row>
    <row r="435" spans="7:7" ht="12.75" customHeight="1" x14ac:dyDescent="0.2">
      <c r="G435" s="52"/>
    </row>
    <row r="436" spans="7:7" ht="12.75" customHeight="1" x14ac:dyDescent="0.2">
      <c r="G436" s="52"/>
    </row>
    <row r="437" spans="7:7" ht="12.75" customHeight="1" x14ac:dyDescent="0.2">
      <c r="G437" s="52"/>
    </row>
    <row r="438" spans="7:7" ht="12.75" customHeight="1" x14ac:dyDescent="0.2">
      <c r="G438" s="52"/>
    </row>
    <row r="439" spans="7:7" ht="12.75" customHeight="1" x14ac:dyDescent="0.2">
      <c r="G439" s="52"/>
    </row>
    <row r="440" spans="7:7" ht="12.75" customHeight="1" x14ac:dyDescent="0.2">
      <c r="G440" s="52"/>
    </row>
    <row r="441" spans="7:7" ht="12.75" customHeight="1" x14ac:dyDescent="0.2">
      <c r="G441" s="52"/>
    </row>
    <row r="442" spans="7:7" ht="12.75" customHeight="1" x14ac:dyDescent="0.2">
      <c r="G442" s="52"/>
    </row>
    <row r="443" spans="7:7" ht="12.75" customHeight="1" x14ac:dyDescent="0.2">
      <c r="G443" s="52"/>
    </row>
    <row r="444" spans="7:7" ht="12.75" customHeight="1" x14ac:dyDescent="0.2">
      <c r="G444" s="52"/>
    </row>
    <row r="445" spans="7:7" ht="12.75" customHeight="1" x14ac:dyDescent="0.2">
      <c r="G445" s="52"/>
    </row>
    <row r="446" spans="7:7" ht="12.75" customHeight="1" x14ac:dyDescent="0.2">
      <c r="G446" s="52"/>
    </row>
    <row r="447" spans="7:7" ht="12.75" customHeight="1" x14ac:dyDescent="0.2">
      <c r="G447" s="52"/>
    </row>
    <row r="448" spans="7:7" ht="12.75" customHeight="1" x14ac:dyDescent="0.2">
      <c r="G448" s="52"/>
    </row>
    <row r="449" spans="7:7" ht="12.75" customHeight="1" x14ac:dyDescent="0.2">
      <c r="G449" s="52"/>
    </row>
    <row r="450" spans="7:7" ht="12.75" customHeight="1" x14ac:dyDescent="0.2">
      <c r="G450" s="52"/>
    </row>
    <row r="451" spans="7:7" ht="12.75" customHeight="1" x14ac:dyDescent="0.2">
      <c r="G451" s="52"/>
    </row>
    <row r="452" spans="7:7" ht="12.75" customHeight="1" x14ac:dyDescent="0.2">
      <c r="G452" s="52"/>
    </row>
    <row r="453" spans="7:7" ht="12.75" customHeight="1" x14ac:dyDescent="0.2">
      <c r="G453" s="52"/>
    </row>
    <row r="454" spans="7:7" ht="12.75" customHeight="1" x14ac:dyDescent="0.2">
      <c r="G454" s="52"/>
    </row>
    <row r="455" spans="7:7" ht="12.75" customHeight="1" x14ac:dyDescent="0.2">
      <c r="G455" s="52"/>
    </row>
    <row r="456" spans="7:7" ht="12.75" customHeight="1" x14ac:dyDescent="0.2">
      <c r="G456" s="52"/>
    </row>
    <row r="457" spans="7:7" ht="12.75" customHeight="1" x14ac:dyDescent="0.2">
      <c r="G457" s="52"/>
    </row>
    <row r="458" spans="7:7" ht="12.75" customHeight="1" x14ac:dyDescent="0.2">
      <c r="G458" s="52"/>
    </row>
    <row r="459" spans="7:7" ht="12.75" customHeight="1" x14ac:dyDescent="0.2">
      <c r="G459" s="52"/>
    </row>
    <row r="460" spans="7:7" ht="12.75" customHeight="1" x14ac:dyDescent="0.2">
      <c r="G460" s="52"/>
    </row>
    <row r="461" spans="7:7" ht="12.75" customHeight="1" x14ac:dyDescent="0.2">
      <c r="G461" s="52"/>
    </row>
    <row r="462" spans="7:7" ht="12.75" customHeight="1" x14ac:dyDescent="0.2">
      <c r="G462" s="52"/>
    </row>
    <row r="463" spans="7:7" ht="12.75" customHeight="1" x14ac:dyDescent="0.2">
      <c r="G463" s="52"/>
    </row>
    <row r="464" spans="7:7" ht="12.75" customHeight="1" x14ac:dyDescent="0.2">
      <c r="G464" s="52"/>
    </row>
    <row r="465" spans="7:7" ht="12.75" customHeight="1" x14ac:dyDescent="0.2">
      <c r="G465" s="52"/>
    </row>
    <row r="466" spans="7:7" ht="12.75" customHeight="1" x14ac:dyDescent="0.2">
      <c r="G466" s="52"/>
    </row>
    <row r="467" spans="7:7" ht="12.75" customHeight="1" x14ac:dyDescent="0.2">
      <c r="G467" s="52"/>
    </row>
    <row r="468" spans="7:7" ht="12.75" customHeight="1" x14ac:dyDescent="0.2">
      <c r="G468" s="52"/>
    </row>
    <row r="469" spans="7:7" ht="12.75" customHeight="1" x14ac:dyDescent="0.2">
      <c r="G469" s="52"/>
    </row>
    <row r="470" spans="7:7" ht="12.75" customHeight="1" x14ac:dyDescent="0.2">
      <c r="G470" s="52"/>
    </row>
    <row r="471" spans="7:7" ht="12.75" customHeight="1" x14ac:dyDescent="0.2">
      <c r="G471" s="52"/>
    </row>
    <row r="472" spans="7:7" ht="12.75" customHeight="1" x14ac:dyDescent="0.2">
      <c r="G472" s="52"/>
    </row>
    <row r="473" spans="7:7" ht="12.75" customHeight="1" x14ac:dyDescent="0.2">
      <c r="G473" s="52"/>
    </row>
    <row r="474" spans="7:7" ht="12.75" customHeight="1" x14ac:dyDescent="0.2">
      <c r="G474" s="52"/>
    </row>
    <row r="475" spans="7:7" ht="12.75" customHeight="1" x14ac:dyDescent="0.2">
      <c r="G475" s="52"/>
    </row>
    <row r="476" spans="7:7" ht="12.75" customHeight="1" x14ac:dyDescent="0.2">
      <c r="G476" s="52"/>
    </row>
    <row r="477" spans="7:7" ht="12.75" customHeight="1" x14ac:dyDescent="0.2">
      <c r="G477" s="52"/>
    </row>
    <row r="478" spans="7:7" ht="12.75" customHeight="1" x14ac:dyDescent="0.2">
      <c r="G478" s="52"/>
    </row>
    <row r="479" spans="7:7" ht="12.75" customHeight="1" x14ac:dyDescent="0.2">
      <c r="G479" s="52"/>
    </row>
    <row r="480" spans="7:7" ht="12.75" customHeight="1" x14ac:dyDescent="0.2">
      <c r="G480" s="52"/>
    </row>
    <row r="481" spans="7:7" ht="12.75" customHeight="1" x14ac:dyDescent="0.2">
      <c r="G481" s="52"/>
    </row>
    <row r="482" spans="7:7" ht="12.75" customHeight="1" x14ac:dyDescent="0.2">
      <c r="G482" s="52"/>
    </row>
    <row r="483" spans="7:7" ht="12.75" customHeight="1" x14ac:dyDescent="0.2">
      <c r="G483" s="52"/>
    </row>
    <row r="484" spans="7:7" ht="12.75" customHeight="1" x14ac:dyDescent="0.2">
      <c r="G484" s="52"/>
    </row>
    <row r="485" spans="7:7" ht="12.75" customHeight="1" x14ac:dyDescent="0.2">
      <c r="G485" s="52"/>
    </row>
    <row r="486" spans="7:7" ht="12.75" customHeight="1" x14ac:dyDescent="0.2">
      <c r="G486" s="52"/>
    </row>
    <row r="487" spans="7:7" ht="12.75" customHeight="1" x14ac:dyDescent="0.2">
      <c r="G487" s="52"/>
    </row>
    <row r="488" spans="7:7" ht="12.75" customHeight="1" x14ac:dyDescent="0.2">
      <c r="G488" s="52"/>
    </row>
    <row r="489" spans="7:7" ht="12.75" customHeight="1" x14ac:dyDescent="0.2">
      <c r="G489" s="52"/>
    </row>
    <row r="490" spans="7:7" ht="12.75" customHeight="1" x14ac:dyDescent="0.2">
      <c r="G490" s="52"/>
    </row>
    <row r="491" spans="7:7" ht="12.75" customHeight="1" x14ac:dyDescent="0.2">
      <c r="G491" s="52"/>
    </row>
    <row r="492" spans="7:7" ht="12.75" customHeight="1" x14ac:dyDescent="0.2">
      <c r="G492" s="52"/>
    </row>
    <row r="493" spans="7:7" ht="12.75" customHeight="1" x14ac:dyDescent="0.2">
      <c r="G493" s="52"/>
    </row>
    <row r="494" spans="7:7" ht="12.75" customHeight="1" x14ac:dyDescent="0.2">
      <c r="G494" s="52"/>
    </row>
    <row r="495" spans="7:7" ht="12.75" customHeight="1" x14ac:dyDescent="0.2">
      <c r="G495" s="52"/>
    </row>
    <row r="496" spans="7:7" ht="12.75" customHeight="1" x14ac:dyDescent="0.2">
      <c r="G496" s="52"/>
    </row>
    <row r="497" spans="7:7" ht="12.75" customHeight="1" x14ac:dyDescent="0.2">
      <c r="G497" s="52"/>
    </row>
    <row r="498" spans="7:7" ht="12.75" customHeight="1" x14ac:dyDescent="0.2">
      <c r="G498" s="52"/>
    </row>
    <row r="499" spans="7:7" ht="12.75" customHeight="1" x14ac:dyDescent="0.2">
      <c r="G499" s="52"/>
    </row>
    <row r="500" spans="7:7" ht="12.75" customHeight="1" x14ac:dyDescent="0.2">
      <c r="G500" s="52"/>
    </row>
    <row r="501" spans="7:7" ht="12.75" customHeight="1" x14ac:dyDescent="0.2">
      <c r="G501" s="52"/>
    </row>
    <row r="502" spans="7:7" ht="12.75" customHeight="1" x14ac:dyDescent="0.2">
      <c r="G502" s="52"/>
    </row>
    <row r="503" spans="7:7" ht="12.75" customHeight="1" x14ac:dyDescent="0.2">
      <c r="G503" s="52"/>
    </row>
    <row r="504" spans="7:7" ht="12.75" customHeight="1" x14ac:dyDescent="0.2">
      <c r="G504" s="52"/>
    </row>
    <row r="505" spans="7:7" ht="12.75" customHeight="1" x14ac:dyDescent="0.2">
      <c r="G505" s="52"/>
    </row>
    <row r="506" spans="7:7" ht="12.75" customHeight="1" x14ac:dyDescent="0.2">
      <c r="G506" s="52"/>
    </row>
    <row r="507" spans="7:7" ht="12.75" customHeight="1" x14ac:dyDescent="0.2">
      <c r="G507" s="52"/>
    </row>
    <row r="508" spans="7:7" ht="12.75" customHeight="1" x14ac:dyDescent="0.2">
      <c r="G508" s="52"/>
    </row>
    <row r="509" spans="7:7" ht="12.75" customHeight="1" x14ac:dyDescent="0.2">
      <c r="G509" s="52"/>
    </row>
    <row r="510" spans="7:7" ht="12.75" customHeight="1" x14ac:dyDescent="0.2">
      <c r="G510" s="52"/>
    </row>
    <row r="511" spans="7:7" ht="12.75" customHeight="1" x14ac:dyDescent="0.2">
      <c r="G511" s="52"/>
    </row>
    <row r="512" spans="7:7" ht="12.75" customHeight="1" x14ac:dyDescent="0.2">
      <c r="G512" s="52"/>
    </row>
    <row r="513" spans="7:7" ht="12.75" customHeight="1" x14ac:dyDescent="0.2">
      <c r="G513" s="52"/>
    </row>
    <row r="514" spans="7:7" ht="12.75" customHeight="1" x14ac:dyDescent="0.2">
      <c r="G514" s="52"/>
    </row>
    <row r="515" spans="7:7" ht="12.75" customHeight="1" x14ac:dyDescent="0.2">
      <c r="G515" s="52"/>
    </row>
    <row r="516" spans="7:7" ht="12.75" customHeight="1" x14ac:dyDescent="0.2">
      <c r="G516" s="52"/>
    </row>
    <row r="517" spans="7:7" ht="12.75" customHeight="1" x14ac:dyDescent="0.2">
      <c r="G517" s="52"/>
    </row>
    <row r="518" spans="7:7" ht="12.75" customHeight="1" x14ac:dyDescent="0.2">
      <c r="G518" s="52"/>
    </row>
    <row r="519" spans="7:7" ht="12.75" customHeight="1" x14ac:dyDescent="0.2">
      <c r="G519" s="52"/>
    </row>
    <row r="520" spans="7:7" ht="12.75" customHeight="1" x14ac:dyDescent="0.2">
      <c r="G520" s="52"/>
    </row>
    <row r="521" spans="7:7" ht="12.75" customHeight="1" x14ac:dyDescent="0.2">
      <c r="G521" s="52"/>
    </row>
    <row r="522" spans="7:7" ht="12.75" customHeight="1" x14ac:dyDescent="0.2">
      <c r="G522" s="52"/>
    </row>
    <row r="523" spans="7:7" ht="12.75" customHeight="1" x14ac:dyDescent="0.2">
      <c r="G523" s="52"/>
    </row>
    <row r="524" spans="7:7" ht="12.75" customHeight="1" x14ac:dyDescent="0.2">
      <c r="G524" s="52"/>
    </row>
    <row r="525" spans="7:7" ht="12.75" customHeight="1" x14ac:dyDescent="0.2">
      <c r="G525" s="52"/>
    </row>
    <row r="526" spans="7:7" ht="12.75" customHeight="1" x14ac:dyDescent="0.2">
      <c r="G526" s="52"/>
    </row>
    <row r="527" spans="7:7" ht="12.75" customHeight="1" x14ac:dyDescent="0.2">
      <c r="G527" s="52"/>
    </row>
    <row r="528" spans="7:7" ht="12.75" customHeight="1" x14ac:dyDescent="0.2">
      <c r="G528" s="52"/>
    </row>
    <row r="529" spans="7:7" ht="12.75" customHeight="1" x14ac:dyDescent="0.2">
      <c r="G529" s="52"/>
    </row>
    <row r="530" spans="7:7" ht="12.75" customHeight="1" x14ac:dyDescent="0.2">
      <c r="G530" s="52"/>
    </row>
    <row r="531" spans="7:7" ht="12.75" customHeight="1" x14ac:dyDescent="0.2">
      <c r="G531" s="52"/>
    </row>
    <row r="532" spans="7:7" ht="12.75" customHeight="1" x14ac:dyDescent="0.2">
      <c r="G532" s="52"/>
    </row>
    <row r="533" spans="7:7" ht="12.75" customHeight="1" x14ac:dyDescent="0.2">
      <c r="G533" s="52"/>
    </row>
    <row r="534" spans="7:7" ht="12.75" customHeight="1" x14ac:dyDescent="0.2">
      <c r="G534" s="52"/>
    </row>
    <row r="535" spans="7:7" ht="12.75" customHeight="1" x14ac:dyDescent="0.2">
      <c r="G535" s="52"/>
    </row>
    <row r="536" spans="7:7" ht="12.75" customHeight="1" x14ac:dyDescent="0.2">
      <c r="G536" s="52"/>
    </row>
    <row r="537" spans="7:7" ht="12.75" customHeight="1" x14ac:dyDescent="0.2">
      <c r="G537" s="52"/>
    </row>
    <row r="538" spans="7:7" ht="12.75" customHeight="1" x14ac:dyDescent="0.2">
      <c r="G538" s="52"/>
    </row>
    <row r="539" spans="7:7" ht="12.75" customHeight="1" x14ac:dyDescent="0.2">
      <c r="G539" s="52"/>
    </row>
    <row r="540" spans="7:7" ht="12.75" customHeight="1" x14ac:dyDescent="0.2">
      <c r="G540" s="52"/>
    </row>
    <row r="541" spans="7:7" ht="12.75" customHeight="1" x14ac:dyDescent="0.2">
      <c r="G541" s="52"/>
    </row>
    <row r="542" spans="7:7" ht="12.75" customHeight="1" x14ac:dyDescent="0.2">
      <c r="G542" s="52"/>
    </row>
    <row r="543" spans="7:7" ht="12.75" customHeight="1" x14ac:dyDescent="0.2">
      <c r="G543" s="52"/>
    </row>
    <row r="544" spans="7:7" ht="12.75" customHeight="1" x14ac:dyDescent="0.2">
      <c r="G544" s="52"/>
    </row>
    <row r="545" spans="7:7" ht="12.75" customHeight="1" x14ac:dyDescent="0.2">
      <c r="G545" s="52"/>
    </row>
    <row r="546" spans="7:7" ht="12.75" customHeight="1" x14ac:dyDescent="0.2">
      <c r="G546" s="52"/>
    </row>
    <row r="547" spans="7:7" ht="12.75" customHeight="1" x14ac:dyDescent="0.2">
      <c r="G547" s="52"/>
    </row>
    <row r="548" spans="7:7" ht="12.75" customHeight="1" x14ac:dyDescent="0.2">
      <c r="G548" s="52"/>
    </row>
    <row r="549" spans="7:7" ht="12.75" customHeight="1" x14ac:dyDescent="0.2">
      <c r="G549" s="52"/>
    </row>
    <row r="550" spans="7:7" ht="12.75" customHeight="1" x14ac:dyDescent="0.2">
      <c r="G550" s="52"/>
    </row>
    <row r="551" spans="7:7" ht="12.75" customHeight="1" x14ac:dyDescent="0.2">
      <c r="G551" s="52"/>
    </row>
    <row r="552" spans="7:7" ht="12.75" customHeight="1" x14ac:dyDescent="0.2">
      <c r="G552" s="52"/>
    </row>
    <row r="553" spans="7:7" ht="12.75" customHeight="1" x14ac:dyDescent="0.2">
      <c r="G553" s="52"/>
    </row>
    <row r="554" spans="7:7" ht="12.75" customHeight="1" x14ac:dyDescent="0.2">
      <c r="G554" s="52"/>
    </row>
    <row r="555" spans="7:7" ht="12.75" customHeight="1" x14ac:dyDescent="0.2">
      <c r="G555" s="52"/>
    </row>
    <row r="556" spans="7:7" ht="12.75" customHeight="1" x14ac:dyDescent="0.2">
      <c r="G556" s="52"/>
    </row>
    <row r="557" spans="7:7" ht="12.75" customHeight="1" x14ac:dyDescent="0.2">
      <c r="G557" s="52"/>
    </row>
    <row r="558" spans="7:7" ht="12.75" customHeight="1" x14ac:dyDescent="0.2">
      <c r="G558" s="52"/>
    </row>
    <row r="559" spans="7:7" ht="12.75" customHeight="1" x14ac:dyDescent="0.2">
      <c r="G559" s="52"/>
    </row>
    <row r="560" spans="7:7" ht="12.75" customHeight="1" x14ac:dyDescent="0.2">
      <c r="G560" s="52"/>
    </row>
    <row r="561" spans="7:7" ht="12.75" customHeight="1" x14ac:dyDescent="0.2">
      <c r="G561" s="52"/>
    </row>
    <row r="562" spans="7:7" ht="12.75" customHeight="1" x14ac:dyDescent="0.2">
      <c r="G562" s="52"/>
    </row>
    <row r="563" spans="7:7" ht="12.75" customHeight="1" x14ac:dyDescent="0.2">
      <c r="G563" s="52"/>
    </row>
    <row r="564" spans="7:7" ht="12.75" customHeight="1" x14ac:dyDescent="0.2">
      <c r="G564" s="52"/>
    </row>
    <row r="565" spans="7:7" ht="12.75" customHeight="1" x14ac:dyDescent="0.2">
      <c r="G565" s="52"/>
    </row>
    <row r="566" spans="7:7" ht="12.75" customHeight="1" x14ac:dyDescent="0.2">
      <c r="G566" s="52"/>
    </row>
    <row r="567" spans="7:7" ht="12.75" customHeight="1" x14ac:dyDescent="0.2">
      <c r="G567" s="52"/>
    </row>
    <row r="568" spans="7:7" ht="12.75" customHeight="1" x14ac:dyDescent="0.2">
      <c r="G568" s="52"/>
    </row>
    <row r="569" spans="7:7" ht="12.75" customHeight="1" x14ac:dyDescent="0.2">
      <c r="G569" s="52"/>
    </row>
    <row r="570" spans="7:7" ht="12.75" customHeight="1" x14ac:dyDescent="0.2">
      <c r="G570" s="52"/>
    </row>
    <row r="571" spans="7:7" ht="12.75" customHeight="1" x14ac:dyDescent="0.2">
      <c r="G571" s="52"/>
    </row>
    <row r="572" spans="7:7" ht="12.75" customHeight="1" x14ac:dyDescent="0.2">
      <c r="G572" s="52"/>
    </row>
    <row r="573" spans="7:7" ht="12.75" customHeight="1" x14ac:dyDescent="0.2">
      <c r="G573" s="52"/>
    </row>
    <row r="574" spans="7:7" ht="12.75" customHeight="1" x14ac:dyDescent="0.2">
      <c r="G574" s="52"/>
    </row>
    <row r="575" spans="7:7" ht="12.75" customHeight="1" x14ac:dyDescent="0.2">
      <c r="G575" s="52"/>
    </row>
    <row r="576" spans="7:7" ht="12.75" customHeight="1" x14ac:dyDescent="0.2">
      <c r="G576" s="52"/>
    </row>
    <row r="577" spans="7:7" ht="12.75" customHeight="1" x14ac:dyDescent="0.2">
      <c r="G577" s="52"/>
    </row>
    <row r="578" spans="7:7" ht="12.75" customHeight="1" x14ac:dyDescent="0.2">
      <c r="G578" s="52"/>
    </row>
    <row r="579" spans="7:7" ht="12.75" customHeight="1" x14ac:dyDescent="0.2">
      <c r="G579" s="52"/>
    </row>
    <row r="580" spans="7:7" ht="12.75" customHeight="1" x14ac:dyDescent="0.2">
      <c r="G580" s="52"/>
    </row>
    <row r="581" spans="7:7" ht="12.75" customHeight="1" x14ac:dyDescent="0.2">
      <c r="G581" s="52"/>
    </row>
    <row r="582" spans="7:7" ht="12.75" customHeight="1" x14ac:dyDescent="0.2">
      <c r="G582" s="52"/>
    </row>
    <row r="583" spans="7:7" ht="12.75" customHeight="1" x14ac:dyDescent="0.2">
      <c r="G583" s="52"/>
    </row>
    <row r="584" spans="7:7" ht="12.75" customHeight="1" x14ac:dyDescent="0.2">
      <c r="G584" s="52"/>
    </row>
    <row r="585" spans="7:7" ht="12.75" customHeight="1" x14ac:dyDescent="0.2">
      <c r="G585" s="52"/>
    </row>
    <row r="586" spans="7:7" ht="12.75" customHeight="1" x14ac:dyDescent="0.2">
      <c r="G586" s="52"/>
    </row>
    <row r="587" spans="7:7" ht="12.75" customHeight="1" x14ac:dyDescent="0.2">
      <c r="G587" s="52"/>
    </row>
    <row r="588" spans="7:7" ht="12.75" customHeight="1" x14ac:dyDescent="0.2">
      <c r="G588" s="52"/>
    </row>
    <row r="589" spans="7:7" ht="12.75" customHeight="1" x14ac:dyDescent="0.2">
      <c r="G589" s="52"/>
    </row>
    <row r="590" spans="7:7" ht="12.75" customHeight="1" x14ac:dyDescent="0.2">
      <c r="G590" s="52"/>
    </row>
    <row r="591" spans="7:7" ht="12.75" customHeight="1" x14ac:dyDescent="0.2">
      <c r="G591" s="52"/>
    </row>
    <row r="592" spans="7:7" ht="12.75" customHeight="1" x14ac:dyDescent="0.2">
      <c r="G592" s="52"/>
    </row>
    <row r="593" spans="7:7" ht="12.75" customHeight="1" x14ac:dyDescent="0.2">
      <c r="G593" s="52"/>
    </row>
    <row r="594" spans="7:7" ht="12.75" customHeight="1" x14ac:dyDescent="0.2">
      <c r="G594" s="52"/>
    </row>
    <row r="595" spans="7:7" ht="12.75" customHeight="1" x14ac:dyDescent="0.2">
      <c r="G595" s="52"/>
    </row>
    <row r="596" spans="7:7" ht="12.75" customHeight="1" x14ac:dyDescent="0.2">
      <c r="G596" s="52"/>
    </row>
    <row r="597" spans="7:7" ht="12.75" customHeight="1" x14ac:dyDescent="0.2">
      <c r="G597" s="52"/>
    </row>
    <row r="598" spans="7:7" ht="12.75" customHeight="1" x14ac:dyDescent="0.2">
      <c r="G598" s="52"/>
    </row>
    <row r="599" spans="7:7" ht="12.75" customHeight="1" x14ac:dyDescent="0.2">
      <c r="G599" s="52"/>
    </row>
    <row r="600" spans="7:7" ht="12.75" customHeight="1" x14ac:dyDescent="0.2">
      <c r="G600" s="52"/>
    </row>
    <row r="601" spans="7:7" ht="12.75" customHeight="1" x14ac:dyDescent="0.2">
      <c r="G601" s="52"/>
    </row>
    <row r="602" spans="7:7" ht="12.75" customHeight="1" x14ac:dyDescent="0.2">
      <c r="G602" s="52"/>
    </row>
    <row r="603" spans="7:7" ht="12.75" customHeight="1" x14ac:dyDescent="0.2">
      <c r="G603" s="52"/>
    </row>
    <row r="604" spans="7:7" ht="12.75" customHeight="1" x14ac:dyDescent="0.2">
      <c r="G604" s="52"/>
    </row>
    <row r="605" spans="7:7" ht="12.75" customHeight="1" x14ac:dyDescent="0.2">
      <c r="G605" s="52"/>
    </row>
    <row r="606" spans="7:7" ht="12.75" customHeight="1" x14ac:dyDescent="0.2">
      <c r="G606" s="52"/>
    </row>
    <row r="607" spans="7:7" ht="12.75" customHeight="1" x14ac:dyDescent="0.2">
      <c r="G607" s="52"/>
    </row>
    <row r="608" spans="7:7" ht="12.75" customHeight="1" x14ac:dyDescent="0.2">
      <c r="G608" s="52"/>
    </row>
    <row r="609" spans="7:7" ht="12.75" customHeight="1" x14ac:dyDescent="0.2">
      <c r="G609" s="52"/>
    </row>
    <row r="610" spans="7:7" ht="12.75" customHeight="1" x14ac:dyDescent="0.2">
      <c r="G610" s="52"/>
    </row>
    <row r="611" spans="7:7" ht="12.75" customHeight="1" x14ac:dyDescent="0.2">
      <c r="G611" s="52"/>
    </row>
    <row r="612" spans="7:7" ht="12.75" customHeight="1" x14ac:dyDescent="0.2">
      <c r="G612" s="52"/>
    </row>
    <row r="613" spans="7:7" ht="12.75" customHeight="1" x14ac:dyDescent="0.2">
      <c r="G613" s="52"/>
    </row>
    <row r="614" spans="7:7" ht="12.75" customHeight="1" x14ac:dyDescent="0.2">
      <c r="G614" s="52"/>
    </row>
    <row r="615" spans="7:7" ht="12.75" customHeight="1" x14ac:dyDescent="0.2">
      <c r="G615" s="52"/>
    </row>
    <row r="616" spans="7:7" ht="12.75" customHeight="1" x14ac:dyDescent="0.2">
      <c r="G616" s="52"/>
    </row>
    <row r="617" spans="7:7" ht="12.75" customHeight="1" x14ac:dyDescent="0.2">
      <c r="G617" s="52"/>
    </row>
    <row r="618" spans="7:7" ht="12.75" customHeight="1" x14ac:dyDescent="0.2">
      <c r="G618" s="52"/>
    </row>
    <row r="619" spans="7:7" ht="12.75" customHeight="1" x14ac:dyDescent="0.2">
      <c r="G619" s="52"/>
    </row>
    <row r="620" spans="7:7" ht="12.75" customHeight="1" x14ac:dyDescent="0.2">
      <c r="G620" s="52"/>
    </row>
    <row r="621" spans="7:7" ht="12.75" customHeight="1" x14ac:dyDescent="0.2">
      <c r="G621" s="52"/>
    </row>
    <row r="622" spans="7:7" ht="12.75" customHeight="1" x14ac:dyDescent="0.2">
      <c r="G622" s="52"/>
    </row>
    <row r="623" spans="7:7" ht="12.75" customHeight="1" x14ac:dyDescent="0.2">
      <c r="G623" s="52"/>
    </row>
    <row r="624" spans="7:7" ht="12.75" customHeight="1" x14ac:dyDescent="0.2">
      <c r="G624" s="52"/>
    </row>
    <row r="625" spans="7:7" ht="12.75" customHeight="1" x14ac:dyDescent="0.2">
      <c r="G625" s="52"/>
    </row>
    <row r="626" spans="7:7" ht="12.75" customHeight="1" x14ac:dyDescent="0.2">
      <c r="G626" s="52"/>
    </row>
    <row r="627" spans="7:7" ht="12.75" customHeight="1" x14ac:dyDescent="0.2">
      <c r="G627" s="52"/>
    </row>
    <row r="628" spans="7:7" ht="12.75" customHeight="1" x14ac:dyDescent="0.2">
      <c r="G628" s="52"/>
    </row>
    <row r="629" spans="7:7" ht="12.75" customHeight="1" x14ac:dyDescent="0.2">
      <c r="G629" s="52"/>
    </row>
    <row r="630" spans="7:7" ht="12.75" customHeight="1" x14ac:dyDescent="0.2">
      <c r="G630" s="52"/>
    </row>
    <row r="631" spans="7:7" ht="12.75" customHeight="1" x14ac:dyDescent="0.2">
      <c r="G631" s="52"/>
    </row>
    <row r="632" spans="7:7" ht="12.75" customHeight="1" x14ac:dyDescent="0.2">
      <c r="G632" s="52"/>
    </row>
    <row r="633" spans="7:7" ht="12.75" customHeight="1" x14ac:dyDescent="0.2">
      <c r="G633" s="52"/>
    </row>
    <row r="634" spans="7:7" ht="12.75" customHeight="1" x14ac:dyDescent="0.2">
      <c r="G634" s="52"/>
    </row>
    <row r="635" spans="7:7" ht="12.75" customHeight="1" x14ac:dyDescent="0.2">
      <c r="G635" s="52"/>
    </row>
    <row r="636" spans="7:7" ht="12.75" customHeight="1" x14ac:dyDescent="0.2">
      <c r="G636" s="52"/>
    </row>
    <row r="637" spans="7:7" ht="12.75" customHeight="1" x14ac:dyDescent="0.2">
      <c r="G637" s="52"/>
    </row>
    <row r="638" spans="7:7" ht="12.75" customHeight="1" x14ac:dyDescent="0.2">
      <c r="G638" s="52"/>
    </row>
    <row r="639" spans="7:7" ht="12.75" customHeight="1" x14ac:dyDescent="0.2">
      <c r="G639" s="52"/>
    </row>
    <row r="640" spans="7:7" ht="12.75" customHeight="1" x14ac:dyDescent="0.2">
      <c r="G640" s="52"/>
    </row>
    <row r="641" spans="7:7" ht="12.75" customHeight="1" x14ac:dyDescent="0.2">
      <c r="G641" s="52"/>
    </row>
    <row r="642" spans="7:7" ht="12.75" customHeight="1" x14ac:dyDescent="0.2">
      <c r="G642" s="52"/>
    </row>
    <row r="643" spans="7:7" ht="12.75" customHeight="1" x14ac:dyDescent="0.2">
      <c r="G643" s="52"/>
    </row>
    <row r="644" spans="7:7" ht="12.75" customHeight="1" x14ac:dyDescent="0.2">
      <c r="G644" s="52"/>
    </row>
    <row r="645" spans="7:7" ht="12.75" customHeight="1" x14ac:dyDescent="0.2">
      <c r="G645" s="52"/>
    </row>
    <row r="646" spans="7:7" ht="12.75" customHeight="1" x14ac:dyDescent="0.2">
      <c r="G646" s="52"/>
    </row>
    <row r="647" spans="7:7" ht="12.75" customHeight="1" x14ac:dyDescent="0.2">
      <c r="G647" s="52"/>
    </row>
    <row r="648" spans="7:7" ht="12.75" customHeight="1" x14ac:dyDescent="0.2">
      <c r="G648" s="52"/>
    </row>
    <row r="649" spans="7:7" ht="12.75" customHeight="1" x14ac:dyDescent="0.2">
      <c r="G649" s="52"/>
    </row>
    <row r="650" spans="7:7" ht="12.75" customHeight="1" x14ac:dyDescent="0.2">
      <c r="G650" s="52"/>
    </row>
    <row r="651" spans="7:7" ht="12.75" customHeight="1" x14ac:dyDescent="0.2">
      <c r="G651" s="52"/>
    </row>
    <row r="652" spans="7:7" ht="12.75" customHeight="1" x14ac:dyDescent="0.2">
      <c r="G652" s="52"/>
    </row>
    <row r="653" spans="7:7" ht="12.75" customHeight="1" x14ac:dyDescent="0.2">
      <c r="G653" s="52"/>
    </row>
    <row r="654" spans="7:7" ht="12.75" customHeight="1" x14ac:dyDescent="0.2">
      <c r="G654" s="52"/>
    </row>
    <row r="655" spans="7:7" ht="12.75" customHeight="1" x14ac:dyDescent="0.2">
      <c r="G655" s="52"/>
    </row>
    <row r="656" spans="7:7" ht="12.75" customHeight="1" x14ac:dyDescent="0.2">
      <c r="G656" s="52"/>
    </row>
    <row r="657" spans="7:7" ht="12.75" customHeight="1" x14ac:dyDescent="0.2">
      <c r="G657" s="52"/>
    </row>
    <row r="658" spans="7:7" ht="12.75" customHeight="1" x14ac:dyDescent="0.2">
      <c r="G658" s="52"/>
    </row>
    <row r="659" spans="7:7" ht="12.75" customHeight="1" x14ac:dyDescent="0.2">
      <c r="G659" s="52"/>
    </row>
    <row r="660" spans="7:7" ht="12.75" customHeight="1" x14ac:dyDescent="0.2">
      <c r="G660" s="52"/>
    </row>
    <row r="661" spans="7:7" ht="12.75" customHeight="1" x14ac:dyDescent="0.2">
      <c r="G661" s="52"/>
    </row>
    <row r="662" spans="7:7" ht="12.75" customHeight="1" x14ac:dyDescent="0.2">
      <c r="G662" s="52"/>
    </row>
    <row r="663" spans="7:7" ht="12.75" customHeight="1" x14ac:dyDescent="0.2">
      <c r="G663" s="52"/>
    </row>
    <row r="664" spans="7:7" ht="12.75" customHeight="1" x14ac:dyDescent="0.2">
      <c r="G664" s="52"/>
    </row>
    <row r="665" spans="7:7" ht="12.75" customHeight="1" x14ac:dyDescent="0.2">
      <c r="G665" s="52"/>
    </row>
    <row r="666" spans="7:7" ht="12.75" customHeight="1" x14ac:dyDescent="0.2">
      <c r="G666" s="52"/>
    </row>
    <row r="667" spans="7:7" ht="12.75" customHeight="1" x14ac:dyDescent="0.2">
      <c r="G667" s="52"/>
    </row>
    <row r="668" spans="7:7" ht="12.75" customHeight="1" x14ac:dyDescent="0.2">
      <c r="G668" s="52"/>
    </row>
    <row r="669" spans="7:7" ht="12.75" customHeight="1" x14ac:dyDescent="0.2">
      <c r="G669" s="52"/>
    </row>
    <row r="670" spans="7:7" ht="12.75" customHeight="1" x14ac:dyDescent="0.2">
      <c r="G670" s="52"/>
    </row>
    <row r="671" spans="7:7" ht="12.75" customHeight="1" x14ac:dyDescent="0.2">
      <c r="G671" s="52"/>
    </row>
    <row r="672" spans="7:7" ht="12.75" customHeight="1" x14ac:dyDescent="0.2">
      <c r="G672" s="52"/>
    </row>
    <row r="673" spans="7:7" ht="12.75" customHeight="1" x14ac:dyDescent="0.2">
      <c r="G673" s="52"/>
    </row>
    <row r="674" spans="7:7" ht="12.75" customHeight="1" x14ac:dyDescent="0.2">
      <c r="G674" s="52"/>
    </row>
    <row r="675" spans="7:7" ht="12.75" customHeight="1" x14ac:dyDescent="0.2">
      <c r="G675" s="52"/>
    </row>
    <row r="676" spans="7:7" ht="12.75" customHeight="1" x14ac:dyDescent="0.2">
      <c r="G676" s="52"/>
    </row>
    <row r="677" spans="7:7" ht="12.75" customHeight="1" x14ac:dyDescent="0.2">
      <c r="G677" s="52"/>
    </row>
    <row r="678" spans="7:7" ht="12.75" customHeight="1" x14ac:dyDescent="0.2">
      <c r="G678" s="52"/>
    </row>
    <row r="679" spans="7:7" ht="12.75" customHeight="1" x14ac:dyDescent="0.2">
      <c r="G679" s="52"/>
    </row>
    <row r="680" spans="7:7" ht="12.75" customHeight="1" x14ac:dyDescent="0.2">
      <c r="G680" s="52"/>
    </row>
    <row r="681" spans="7:7" ht="12.75" customHeight="1" x14ac:dyDescent="0.2">
      <c r="G681" s="52"/>
    </row>
    <row r="682" spans="7:7" ht="12.75" customHeight="1" x14ac:dyDescent="0.2">
      <c r="G682" s="52"/>
    </row>
    <row r="683" spans="7:7" ht="12.75" customHeight="1" x14ac:dyDescent="0.2">
      <c r="G683" s="52"/>
    </row>
    <row r="684" spans="7:7" ht="12.75" customHeight="1" x14ac:dyDescent="0.2">
      <c r="G684" s="52"/>
    </row>
    <row r="685" spans="7:7" ht="12.75" customHeight="1" x14ac:dyDescent="0.2">
      <c r="G685" s="52"/>
    </row>
    <row r="686" spans="7:7" ht="12.75" customHeight="1" x14ac:dyDescent="0.2">
      <c r="G686" s="52"/>
    </row>
    <row r="687" spans="7:7" ht="12.75" customHeight="1" x14ac:dyDescent="0.2">
      <c r="G687" s="52"/>
    </row>
    <row r="688" spans="7:7" ht="12.75" customHeight="1" x14ac:dyDescent="0.2">
      <c r="G688" s="52"/>
    </row>
    <row r="689" spans="7:7" ht="12.75" customHeight="1" x14ac:dyDescent="0.2">
      <c r="G689" s="52"/>
    </row>
    <row r="690" spans="7:7" ht="12.75" customHeight="1" x14ac:dyDescent="0.2">
      <c r="G690" s="52"/>
    </row>
    <row r="691" spans="7:7" ht="12.75" customHeight="1" x14ac:dyDescent="0.2">
      <c r="G691" s="52"/>
    </row>
    <row r="692" spans="7:7" ht="12.75" customHeight="1" x14ac:dyDescent="0.2">
      <c r="G692" s="52"/>
    </row>
    <row r="693" spans="7:7" ht="12.75" customHeight="1" x14ac:dyDescent="0.2">
      <c r="G693" s="52"/>
    </row>
    <row r="694" spans="7:7" ht="12.75" customHeight="1" x14ac:dyDescent="0.2">
      <c r="G694" s="52"/>
    </row>
    <row r="695" spans="7:7" ht="12.75" customHeight="1" x14ac:dyDescent="0.2">
      <c r="G695" s="52"/>
    </row>
    <row r="696" spans="7:7" ht="12.75" customHeight="1" x14ac:dyDescent="0.2">
      <c r="G696" s="52"/>
    </row>
    <row r="697" spans="7:7" ht="12.75" customHeight="1" x14ac:dyDescent="0.2">
      <c r="G697" s="52"/>
    </row>
    <row r="698" spans="7:7" ht="12.75" customHeight="1" x14ac:dyDescent="0.2">
      <c r="G698" s="52"/>
    </row>
    <row r="699" spans="7:7" ht="12.75" customHeight="1" x14ac:dyDescent="0.2">
      <c r="G699" s="52"/>
    </row>
    <row r="700" spans="7:7" ht="12.75" customHeight="1" x14ac:dyDescent="0.2">
      <c r="G700" s="52"/>
    </row>
    <row r="701" spans="7:7" ht="12.75" customHeight="1" x14ac:dyDescent="0.2">
      <c r="G701" s="52"/>
    </row>
    <row r="702" spans="7:7" ht="12.75" customHeight="1" x14ac:dyDescent="0.2">
      <c r="G702" s="52"/>
    </row>
    <row r="703" spans="7:7" ht="12.75" customHeight="1" x14ac:dyDescent="0.2">
      <c r="G703" s="52"/>
    </row>
    <row r="704" spans="7:7" ht="12.75" customHeight="1" x14ac:dyDescent="0.2">
      <c r="G704" s="52"/>
    </row>
    <row r="705" spans="7:7" ht="12.75" customHeight="1" x14ac:dyDescent="0.2">
      <c r="G705" s="52"/>
    </row>
    <row r="706" spans="7:7" ht="12.75" customHeight="1" x14ac:dyDescent="0.2">
      <c r="G706" s="52"/>
    </row>
    <row r="707" spans="7:7" ht="12.75" customHeight="1" x14ac:dyDescent="0.2">
      <c r="G707" s="52"/>
    </row>
    <row r="708" spans="7:7" ht="12.75" customHeight="1" x14ac:dyDescent="0.2">
      <c r="G708" s="52"/>
    </row>
    <row r="709" spans="7:7" ht="12.75" customHeight="1" x14ac:dyDescent="0.2">
      <c r="G709" s="52"/>
    </row>
    <row r="710" spans="7:7" ht="12.75" customHeight="1" x14ac:dyDescent="0.2">
      <c r="G710" s="52"/>
    </row>
    <row r="711" spans="7:7" ht="12.75" customHeight="1" x14ac:dyDescent="0.2">
      <c r="G711" s="52"/>
    </row>
    <row r="712" spans="7:7" ht="12.75" customHeight="1" x14ac:dyDescent="0.2">
      <c r="G712" s="52"/>
    </row>
    <row r="713" spans="7:7" ht="12.75" customHeight="1" x14ac:dyDescent="0.2">
      <c r="G713" s="52"/>
    </row>
    <row r="714" spans="7:7" ht="12.75" customHeight="1" x14ac:dyDescent="0.2">
      <c r="G714" s="52"/>
    </row>
    <row r="715" spans="7:7" ht="12.75" customHeight="1" x14ac:dyDescent="0.2">
      <c r="G715" s="52"/>
    </row>
    <row r="716" spans="7:7" ht="12.75" customHeight="1" x14ac:dyDescent="0.2">
      <c r="G716" s="52"/>
    </row>
    <row r="717" spans="7:7" ht="12.75" customHeight="1" x14ac:dyDescent="0.2">
      <c r="G717" s="52"/>
    </row>
    <row r="718" spans="7:7" ht="12.75" customHeight="1" x14ac:dyDescent="0.2">
      <c r="G718" s="52"/>
    </row>
    <row r="719" spans="7:7" ht="12.75" customHeight="1" x14ac:dyDescent="0.2">
      <c r="G719" s="52"/>
    </row>
    <row r="720" spans="7:7" ht="12.75" customHeight="1" x14ac:dyDescent="0.2">
      <c r="G720" s="52"/>
    </row>
    <row r="721" spans="7:7" ht="12.75" customHeight="1" x14ac:dyDescent="0.2">
      <c r="G721" s="52"/>
    </row>
    <row r="722" spans="7:7" ht="12.75" customHeight="1" x14ac:dyDescent="0.2">
      <c r="G722" s="52"/>
    </row>
    <row r="723" spans="7:7" ht="12.75" customHeight="1" x14ac:dyDescent="0.2">
      <c r="G723" s="52"/>
    </row>
    <row r="724" spans="7:7" ht="12.75" customHeight="1" x14ac:dyDescent="0.2">
      <c r="G724" s="52"/>
    </row>
    <row r="725" spans="7:7" ht="12.75" customHeight="1" x14ac:dyDescent="0.2">
      <c r="G725" s="52"/>
    </row>
    <row r="726" spans="7:7" ht="12.75" customHeight="1" x14ac:dyDescent="0.2">
      <c r="G726" s="52"/>
    </row>
    <row r="727" spans="7:7" ht="12.75" customHeight="1" x14ac:dyDescent="0.2">
      <c r="G727" s="52"/>
    </row>
    <row r="728" spans="7:7" ht="12.75" customHeight="1" x14ac:dyDescent="0.2">
      <c r="G728" s="52"/>
    </row>
    <row r="729" spans="7:7" ht="12.75" customHeight="1" x14ac:dyDescent="0.2">
      <c r="G729" s="52"/>
    </row>
    <row r="730" spans="7:7" ht="12.75" customHeight="1" x14ac:dyDescent="0.2">
      <c r="G730" s="52"/>
    </row>
    <row r="731" spans="7:7" ht="12.75" customHeight="1" x14ac:dyDescent="0.2">
      <c r="G731" s="52"/>
    </row>
    <row r="732" spans="7:7" ht="12.75" customHeight="1" x14ac:dyDescent="0.2">
      <c r="G732" s="52"/>
    </row>
    <row r="733" spans="7:7" ht="12.75" customHeight="1" x14ac:dyDescent="0.2">
      <c r="G733" s="52"/>
    </row>
    <row r="734" spans="7:7" ht="12.75" customHeight="1" x14ac:dyDescent="0.2">
      <c r="G734" s="52"/>
    </row>
    <row r="735" spans="7:7" ht="12.75" customHeight="1" x14ac:dyDescent="0.2">
      <c r="G735" s="52"/>
    </row>
    <row r="736" spans="7:7" ht="12.75" customHeight="1" x14ac:dyDescent="0.2">
      <c r="G736" s="52"/>
    </row>
    <row r="737" spans="7:7" ht="12.75" customHeight="1" x14ac:dyDescent="0.2">
      <c r="G737" s="52"/>
    </row>
    <row r="738" spans="7:7" ht="12.75" customHeight="1" x14ac:dyDescent="0.2">
      <c r="G738" s="52"/>
    </row>
    <row r="739" spans="7:7" ht="12.75" customHeight="1" x14ac:dyDescent="0.2">
      <c r="G739" s="52"/>
    </row>
    <row r="740" spans="7:7" ht="12.75" customHeight="1" x14ac:dyDescent="0.2">
      <c r="G740" s="52"/>
    </row>
    <row r="741" spans="7:7" ht="12.75" customHeight="1" x14ac:dyDescent="0.2">
      <c r="G741" s="52"/>
    </row>
    <row r="742" spans="7:7" ht="12.75" customHeight="1" x14ac:dyDescent="0.2">
      <c r="G742" s="52"/>
    </row>
    <row r="743" spans="7:7" ht="12.75" customHeight="1" x14ac:dyDescent="0.2">
      <c r="G743" s="52"/>
    </row>
    <row r="744" spans="7:7" ht="12.75" customHeight="1" x14ac:dyDescent="0.2">
      <c r="G744" s="52"/>
    </row>
    <row r="745" spans="7:7" ht="12.75" customHeight="1" x14ac:dyDescent="0.2">
      <c r="G745" s="52"/>
    </row>
    <row r="746" spans="7:7" ht="12.75" customHeight="1" x14ac:dyDescent="0.2">
      <c r="G746" s="52"/>
    </row>
    <row r="747" spans="7:7" ht="12.75" customHeight="1" x14ac:dyDescent="0.2">
      <c r="G747" s="52"/>
    </row>
    <row r="748" spans="7:7" ht="12.75" customHeight="1" x14ac:dyDescent="0.2">
      <c r="G748" s="52"/>
    </row>
    <row r="749" spans="7:7" ht="12.75" customHeight="1" x14ac:dyDescent="0.2">
      <c r="G749" s="52"/>
    </row>
    <row r="750" spans="7:7" ht="12.75" customHeight="1" x14ac:dyDescent="0.2">
      <c r="G750" s="52"/>
    </row>
    <row r="751" spans="7:7" ht="12.75" customHeight="1" x14ac:dyDescent="0.2">
      <c r="G751" s="52"/>
    </row>
    <row r="752" spans="7:7" ht="12.75" customHeight="1" x14ac:dyDescent="0.2">
      <c r="G752" s="52"/>
    </row>
    <row r="753" spans="7:7" ht="12.75" customHeight="1" x14ac:dyDescent="0.2">
      <c r="G753" s="52"/>
    </row>
    <row r="754" spans="7:7" ht="12.75" customHeight="1" x14ac:dyDescent="0.2">
      <c r="G754" s="52"/>
    </row>
    <row r="755" spans="7:7" ht="12.75" customHeight="1" x14ac:dyDescent="0.2">
      <c r="G755" s="52"/>
    </row>
    <row r="756" spans="7:7" ht="12.75" customHeight="1" x14ac:dyDescent="0.2">
      <c r="G756" s="52"/>
    </row>
    <row r="757" spans="7:7" ht="12.75" customHeight="1" x14ac:dyDescent="0.2">
      <c r="G757" s="52"/>
    </row>
    <row r="758" spans="7:7" ht="12.75" customHeight="1" x14ac:dyDescent="0.2">
      <c r="G758" s="52"/>
    </row>
    <row r="759" spans="7:7" ht="12.75" customHeight="1" x14ac:dyDescent="0.2">
      <c r="G759" s="52"/>
    </row>
    <row r="760" spans="7:7" ht="12.75" customHeight="1" x14ac:dyDescent="0.2">
      <c r="G760" s="52"/>
    </row>
    <row r="761" spans="7:7" ht="12.75" customHeight="1" x14ac:dyDescent="0.2">
      <c r="G761" s="52"/>
    </row>
    <row r="762" spans="7:7" ht="12.75" customHeight="1" x14ac:dyDescent="0.2">
      <c r="G762" s="52"/>
    </row>
    <row r="763" spans="7:7" ht="12.75" customHeight="1" x14ac:dyDescent="0.2">
      <c r="G763" s="52"/>
    </row>
    <row r="764" spans="7:7" ht="12.75" customHeight="1" x14ac:dyDescent="0.2">
      <c r="G764" s="52"/>
    </row>
    <row r="765" spans="7:7" ht="12.75" customHeight="1" x14ac:dyDescent="0.2">
      <c r="G765" s="52"/>
    </row>
    <row r="766" spans="7:7" ht="12.75" customHeight="1" x14ac:dyDescent="0.2">
      <c r="G766" s="52"/>
    </row>
    <row r="767" spans="7:7" ht="12.75" customHeight="1" x14ac:dyDescent="0.2">
      <c r="G767" s="52"/>
    </row>
    <row r="768" spans="7:7" ht="12.75" customHeight="1" x14ac:dyDescent="0.2">
      <c r="G768" s="52"/>
    </row>
    <row r="769" spans="7:7" ht="12.75" customHeight="1" x14ac:dyDescent="0.2">
      <c r="G769" s="52"/>
    </row>
    <row r="770" spans="7:7" ht="12.75" customHeight="1" x14ac:dyDescent="0.2">
      <c r="G770" s="52"/>
    </row>
    <row r="771" spans="7:7" ht="12.75" customHeight="1" x14ac:dyDescent="0.2">
      <c r="G771" s="52"/>
    </row>
    <row r="772" spans="7:7" ht="12.75" customHeight="1" x14ac:dyDescent="0.2">
      <c r="G772" s="52"/>
    </row>
    <row r="773" spans="7:7" ht="12.75" customHeight="1" x14ac:dyDescent="0.2">
      <c r="G773" s="52"/>
    </row>
    <row r="774" spans="7:7" ht="12.75" customHeight="1" x14ac:dyDescent="0.2">
      <c r="G774" s="52"/>
    </row>
    <row r="775" spans="7:7" ht="12.75" customHeight="1" x14ac:dyDescent="0.2">
      <c r="G775" s="52"/>
    </row>
    <row r="776" spans="7:7" ht="12.75" customHeight="1" x14ac:dyDescent="0.2">
      <c r="G776" s="52"/>
    </row>
    <row r="777" spans="7:7" ht="12.75" customHeight="1" x14ac:dyDescent="0.2">
      <c r="G777" s="52"/>
    </row>
    <row r="778" spans="7:7" ht="12.75" customHeight="1" x14ac:dyDescent="0.2">
      <c r="G778" s="52"/>
    </row>
    <row r="779" spans="7:7" ht="12.75" customHeight="1" x14ac:dyDescent="0.2">
      <c r="G779" s="52"/>
    </row>
    <row r="780" spans="7:7" ht="12.75" customHeight="1" x14ac:dyDescent="0.2">
      <c r="G780" s="52"/>
    </row>
    <row r="781" spans="7:7" ht="12.75" customHeight="1" x14ac:dyDescent="0.2">
      <c r="G781" s="52"/>
    </row>
    <row r="782" spans="7:7" ht="12.75" customHeight="1" x14ac:dyDescent="0.2">
      <c r="G782" s="52"/>
    </row>
    <row r="783" spans="7:7" ht="12.75" customHeight="1" x14ac:dyDescent="0.2">
      <c r="G783" s="52"/>
    </row>
    <row r="784" spans="7:7" ht="12.75" customHeight="1" x14ac:dyDescent="0.2">
      <c r="G784" s="52"/>
    </row>
    <row r="785" spans="7:7" ht="12.75" customHeight="1" x14ac:dyDescent="0.2">
      <c r="G785" s="52"/>
    </row>
    <row r="786" spans="7:7" ht="12.75" customHeight="1" x14ac:dyDescent="0.2">
      <c r="G786" s="52"/>
    </row>
    <row r="787" spans="7:7" ht="12.75" customHeight="1" x14ac:dyDescent="0.2">
      <c r="G787" s="52"/>
    </row>
    <row r="788" spans="7:7" ht="12.75" customHeight="1" x14ac:dyDescent="0.2">
      <c r="G788" s="52"/>
    </row>
    <row r="789" spans="7:7" ht="12.75" customHeight="1" x14ac:dyDescent="0.2">
      <c r="G789" s="52"/>
    </row>
    <row r="790" spans="7:7" ht="12.75" customHeight="1" x14ac:dyDescent="0.2">
      <c r="G790" s="52"/>
    </row>
    <row r="791" spans="7:7" ht="12.75" customHeight="1" x14ac:dyDescent="0.2">
      <c r="G791" s="52"/>
    </row>
    <row r="792" spans="7:7" ht="12.75" customHeight="1" x14ac:dyDescent="0.2">
      <c r="G792" s="52"/>
    </row>
    <row r="793" spans="7:7" ht="12.75" customHeight="1" x14ac:dyDescent="0.2">
      <c r="G793" s="52"/>
    </row>
    <row r="794" spans="7:7" ht="12.75" customHeight="1" x14ac:dyDescent="0.2">
      <c r="G794" s="52"/>
    </row>
    <row r="795" spans="7:7" ht="12.75" customHeight="1" x14ac:dyDescent="0.2">
      <c r="G795" s="52"/>
    </row>
    <row r="796" spans="7:7" ht="12.75" customHeight="1" x14ac:dyDescent="0.2">
      <c r="G796" s="52"/>
    </row>
    <row r="797" spans="7:7" ht="12.75" customHeight="1" x14ac:dyDescent="0.2">
      <c r="G797" s="52"/>
    </row>
    <row r="798" spans="7:7" ht="12.75" customHeight="1" x14ac:dyDescent="0.2">
      <c r="G798" s="52"/>
    </row>
    <row r="799" spans="7:7" ht="12.75" customHeight="1" x14ac:dyDescent="0.2">
      <c r="G799" s="52"/>
    </row>
    <row r="800" spans="7:7" ht="12.75" customHeight="1" x14ac:dyDescent="0.2">
      <c r="G800" s="52"/>
    </row>
    <row r="801" spans="7:7" ht="12.75" customHeight="1" x14ac:dyDescent="0.2">
      <c r="G801" s="52"/>
    </row>
    <row r="802" spans="7:7" ht="12.75" customHeight="1" x14ac:dyDescent="0.2">
      <c r="G802" s="52"/>
    </row>
    <row r="803" spans="7:7" ht="12.75" customHeight="1" x14ac:dyDescent="0.2">
      <c r="G803" s="52"/>
    </row>
    <row r="804" spans="7:7" ht="12.75" customHeight="1" x14ac:dyDescent="0.2">
      <c r="G804" s="52"/>
    </row>
    <row r="805" spans="7:7" ht="12.75" customHeight="1" x14ac:dyDescent="0.2">
      <c r="G805" s="52"/>
    </row>
    <row r="806" spans="7:7" ht="12.75" customHeight="1" x14ac:dyDescent="0.2">
      <c r="G806" s="52"/>
    </row>
    <row r="807" spans="7:7" ht="12.75" customHeight="1" x14ac:dyDescent="0.2">
      <c r="G807" s="52"/>
    </row>
    <row r="808" spans="7:7" ht="12.75" customHeight="1" x14ac:dyDescent="0.2">
      <c r="G808" s="52"/>
    </row>
    <row r="809" spans="7:7" ht="12.75" customHeight="1" x14ac:dyDescent="0.2">
      <c r="G809" s="52"/>
    </row>
    <row r="810" spans="7:7" ht="12.75" customHeight="1" x14ac:dyDescent="0.2">
      <c r="G810" s="52"/>
    </row>
    <row r="811" spans="7:7" ht="12.75" customHeight="1" x14ac:dyDescent="0.2">
      <c r="G811" s="52"/>
    </row>
    <row r="812" spans="7:7" ht="12.75" customHeight="1" x14ac:dyDescent="0.2">
      <c r="G812" s="52"/>
    </row>
    <row r="813" spans="7:7" ht="12.75" customHeight="1" x14ac:dyDescent="0.2">
      <c r="G813" s="52"/>
    </row>
    <row r="814" spans="7:7" ht="12.75" customHeight="1" x14ac:dyDescent="0.2">
      <c r="G814" s="52"/>
    </row>
    <row r="815" spans="7:7" ht="12.75" customHeight="1" x14ac:dyDescent="0.2">
      <c r="G815" s="52"/>
    </row>
    <row r="816" spans="7:7" ht="12.75" customHeight="1" x14ac:dyDescent="0.2">
      <c r="G816" s="52"/>
    </row>
    <row r="817" spans="7:7" ht="12.75" customHeight="1" x14ac:dyDescent="0.2">
      <c r="G817" s="52"/>
    </row>
    <row r="818" spans="7:7" ht="12.75" customHeight="1" x14ac:dyDescent="0.2">
      <c r="G818" s="52"/>
    </row>
    <row r="819" spans="7:7" ht="12.75" customHeight="1" x14ac:dyDescent="0.2">
      <c r="G819" s="52"/>
    </row>
    <row r="820" spans="7:7" ht="12.75" customHeight="1" x14ac:dyDescent="0.2">
      <c r="G820" s="52"/>
    </row>
    <row r="821" spans="7:7" ht="12.75" customHeight="1" x14ac:dyDescent="0.2">
      <c r="G821" s="52"/>
    </row>
    <row r="822" spans="7:7" ht="12.75" customHeight="1" x14ac:dyDescent="0.2">
      <c r="G822" s="52"/>
    </row>
    <row r="823" spans="7:7" ht="12.75" customHeight="1" x14ac:dyDescent="0.2">
      <c r="G823" s="52"/>
    </row>
    <row r="824" spans="7:7" ht="12.75" customHeight="1" x14ac:dyDescent="0.2">
      <c r="G824" s="52"/>
    </row>
    <row r="825" spans="7:7" ht="12.75" customHeight="1" x14ac:dyDescent="0.2">
      <c r="G825" s="52"/>
    </row>
    <row r="826" spans="7:7" ht="12.75" customHeight="1" x14ac:dyDescent="0.2">
      <c r="G826" s="52"/>
    </row>
    <row r="827" spans="7:7" ht="12.75" customHeight="1" x14ac:dyDescent="0.2">
      <c r="G827" s="52"/>
    </row>
    <row r="828" spans="7:7" ht="12.75" customHeight="1" x14ac:dyDescent="0.2">
      <c r="G828" s="52"/>
    </row>
    <row r="829" spans="7:7" ht="12.75" customHeight="1" x14ac:dyDescent="0.2">
      <c r="G829" s="52"/>
    </row>
    <row r="830" spans="7:7" ht="12.75" customHeight="1" x14ac:dyDescent="0.2">
      <c r="G830" s="52"/>
    </row>
    <row r="831" spans="7:7" ht="12.75" customHeight="1" x14ac:dyDescent="0.2">
      <c r="G831" s="52"/>
    </row>
    <row r="832" spans="7:7" ht="12.75" customHeight="1" x14ac:dyDescent="0.2">
      <c r="G832" s="52"/>
    </row>
    <row r="833" spans="7:7" ht="12.75" customHeight="1" x14ac:dyDescent="0.2">
      <c r="G833" s="52"/>
    </row>
    <row r="834" spans="7:7" ht="12.75" customHeight="1" x14ac:dyDescent="0.2">
      <c r="G834" s="52"/>
    </row>
    <row r="835" spans="7:7" ht="12.75" customHeight="1" x14ac:dyDescent="0.2">
      <c r="G835" s="52"/>
    </row>
    <row r="836" spans="7:7" ht="12.75" customHeight="1" x14ac:dyDescent="0.2">
      <c r="G836" s="52"/>
    </row>
    <row r="837" spans="7:7" ht="12.75" customHeight="1" x14ac:dyDescent="0.2">
      <c r="G837" s="52"/>
    </row>
    <row r="838" spans="7:7" ht="12.75" customHeight="1" x14ac:dyDescent="0.2">
      <c r="G838" s="52"/>
    </row>
    <row r="839" spans="7:7" ht="12.75" customHeight="1" x14ac:dyDescent="0.2">
      <c r="G839" s="52"/>
    </row>
    <row r="840" spans="7:7" ht="12.75" customHeight="1" x14ac:dyDescent="0.2">
      <c r="G840" s="52"/>
    </row>
    <row r="841" spans="7:7" ht="12.75" customHeight="1" x14ac:dyDescent="0.2">
      <c r="G841" s="52"/>
    </row>
    <row r="842" spans="7:7" ht="12.75" customHeight="1" x14ac:dyDescent="0.2">
      <c r="G842" s="52"/>
    </row>
    <row r="843" spans="7:7" ht="12.75" customHeight="1" x14ac:dyDescent="0.2">
      <c r="G843" s="52"/>
    </row>
    <row r="844" spans="7:7" ht="12.75" customHeight="1" x14ac:dyDescent="0.2">
      <c r="G844" s="52"/>
    </row>
    <row r="845" spans="7:7" ht="12.75" customHeight="1" x14ac:dyDescent="0.2">
      <c r="G845" s="52"/>
    </row>
    <row r="846" spans="7:7" ht="12.75" customHeight="1" x14ac:dyDescent="0.2">
      <c r="G846" s="52"/>
    </row>
    <row r="847" spans="7:7" ht="12.75" customHeight="1" x14ac:dyDescent="0.2">
      <c r="G847" s="52"/>
    </row>
    <row r="848" spans="7:7" ht="12.75" customHeight="1" x14ac:dyDescent="0.2">
      <c r="G848" s="52"/>
    </row>
    <row r="849" spans="7:7" ht="12.75" customHeight="1" x14ac:dyDescent="0.2">
      <c r="G849" s="52"/>
    </row>
    <row r="850" spans="7:7" ht="12.75" customHeight="1" x14ac:dyDescent="0.2">
      <c r="G850" s="52"/>
    </row>
    <row r="851" spans="7:7" ht="12.75" customHeight="1" x14ac:dyDescent="0.2">
      <c r="G851" s="52"/>
    </row>
    <row r="852" spans="7:7" ht="12.75" customHeight="1" x14ac:dyDescent="0.2">
      <c r="G852" s="52"/>
    </row>
    <row r="853" spans="7:7" ht="12.75" customHeight="1" x14ac:dyDescent="0.2">
      <c r="G853" s="52"/>
    </row>
    <row r="854" spans="7:7" ht="12.75" customHeight="1" x14ac:dyDescent="0.2">
      <c r="G854" s="52"/>
    </row>
    <row r="855" spans="7:7" ht="12.75" customHeight="1" x14ac:dyDescent="0.2">
      <c r="G855" s="52"/>
    </row>
    <row r="856" spans="7:7" ht="12.75" customHeight="1" x14ac:dyDescent="0.2">
      <c r="G856" s="52"/>
    </row>
    <row r="857" spans="7:7" ht="12.75" customHeight="1" x14ac:dyDescent="0.2">
      <c r="G857" s="52"/>
    </row>
    <row r="858" spans="7:7" ht="12.75" customHeight="1" x14ac:dyDescent="0.2">
      <c r="G858" s="52"/>
    </row>
    <row r="859" spans="7:7" ht="12.75" customHeight="1" x14ac:dyDescent="0.2">
      <c r="G859" s="52"/>
    </row>
    <row r="860" spans="7:7" ht="12.75" customHeight="1" x14ac:dyDescent="0.2">
      <c r="G860" s="52"/>
    </row>
    <row r="861" spans="7:7" ht="12.75" customHeight="1" x14ac:dyDescent="0.2">
      <c r="G861" s="52"/>
    </row>
    <row r="862" spans="7:7" ht="12.75" customHeight="1" x14ac:dyDescent="0.2">
      <c r="G862" s="52"/>
    </row>
    <row r="863" spans="7:7" ht="12.75" customHeight="1" x14ac:dyDescent="0.2">
      <c r="G863" s="52"/>
    </row>
    <row r="864" spans="7:7" ht="12.75" customHeight="1" x14ac:dyDescent="0.2">
      <c r="G864" s="52"/>
    </row>
    <row r="865" spans="7:7" ht="12.75" customHeight="1" x14ac:dyDescent="0.2">
      <c r="G865" s="52"/>
    </row>
    <row r="866" spans="7:7" ht="12.75" customHeight="1" x14ac:dyDescent="0.2">
      <c r="G866" s="52"/>
    </row>
    <row r="867" spans="7:7" ht="12.75" customHeight="1" x14ac:dyDescent="0.2">
      <c r="G867" s="52"/>
    </row>
    <row r="868" spans="7:7" ht="12.75" customHeight="1" x14ac:dyDescent="0.2">
      <c r="G868" s="52"/>
    </row>
    <row r="869" spans="7:7" ht="12.75" customHeight="1" x14ac:dyDescent="0.2">
      <c r="G869" s="52"/>
    </row>
    <row r="870" spans="7:7" ht="12.75" customHeight="1" x14ac:dyDescent="0.2">
      <c r="G870" s="52"/>
    </row>
    <row r="871" spans="7:7" ht="12.75" customHeight="1" x14ac:dyDescent="0.2">
      <c r="G871" s="52"/>
    </row>
    <row r="872" spans="7:7" ht="12.75" customHeight="1" x14ac:dyDescent="0.2">
      <c r="G872" s="52"/>
    </row>
    <row r="873" spans="7:7" ht="12.75" customHeight="1" x14ac:dyDescent="0.2">
      <c r="G873" s="52"/>
    </row>
    <row r="874" spans="7:7" ht="12.75" customHeight="1" x14ac:dyDescent="0.2">
      <c r="G874" s="52"/>
    </row>
    <row r="875" spans="7:7" ht="12.75" customHeight="1" x14ac:dyDescent="0.2">
      <c r="G875" s="52"/>
    </row>
    <row r="876" spans="7:7" ht="12.75" customHeight="1" x14ac:dyDescent="0.2">
      <c r="G876" s="52"/>
    </row>
    <row r="877" spans="7:7" ht="12.75" customHeight="1" x14ac:dyDescent="0.2">
      <c r="G877" s="52"/>
    </row>
    <row r="878" spans="7:7" ht="12.75" customHeight="1" x14ac:dyDescent="0.2">
      <c r="G878" s="52"/>
    </row>
    <row r="879" spans="7:7" ht="12.75" customHeight="1" x14ac:dyDescent="0.2">
      <c r="G879" s="52"/>
    </row>
    <row r="880" spans="7:7" ht="12.75" customHeight="1" x14ac:dyDescent="0.2">
      <c r="G880" s="52"/>
    </row>
    <row r="881" spans="7:7" ht="12.75" customHeight="1" x14ac:dyDescent="0.2">
      <c r="G881" s="52"/>
    </row>
    <row r="882" spans="7:7" ht="12.75" customHeight="1" x14ac:dyDescent="0.2">
      <c r="G882" s="52"/>
    </row>
    <row r="883" spans="7:7" ht="12.75" customHeight="1" x14ac:dyDescent="0.2">
      <c r="G883" s="52"/>
    </row>
    <row r="884" spans="7:7" ht="12.75" customHeight="1" x14ac:dyDescent="0.2">
      <c r="G884" s="52"/>
    </row>
    <row r="885" spans="7:7" ht="12.75" customHeight="1" x14ac:dyDescent="0.2">
      <c r="G885" s="52"/>
    </row>
    <row r="886" spans="7:7" ht="12.75" customHeight="1" x14ac:dyDescent="0.2">
      <c r="G886" s="52"/>
    </row>
    <row r="887" spans="7:7" ht="12.75" customHeight="1" x14ac:dyDescent="0.2">
      <c r="G887" s="52"/>
    </row>
    <row r="888" spans="7:7" ht="12.75" customHeight="1" x14ac:dyDescent="0.2">
      <c r="G888" s="52"/>
    </row>
    <row r="889" spans="7:7" ht="12.75" customHeight="1" x14ac:dyDescent="0.2">
      <c r="G889" s="52"/>
    </row>
    <row r="890" spans="7:7" ht="12.75" customHeight="1" x14ac:dyDescent="0.2">
      <c r="G890" s="52"/>
    </row>
    <row r="891" spans="7:7" ht="12.75" customHeight="1" x14ac:dyDescent="0.2">
      <c r="G891" s="52"/>
    </row>
    <row r="892" spans="7:7" ht="12.75" customHeight="1" x14ac:dyDescent="0.2">
      <c r="G892" s="52"/>
    </row>
    <row r="893" spans="7:7" ht="12.75" customHeight="1" x14ac:dyDescent="0.2">
      <c r="G893" s="52"/>
    </row>
    <row r="894" spans="7:7" ht="12.75" customHeight="1" x14ac:dyDescent="0.2">
      <c r="G894" s="52"/>
    </row>
    <row r="895" spans="7:7" ht="12.75" customHeight="1" x14ac:dyDescent="0.2">
      <c r="G895" s="52"/>
    </row>
    <row r="896" spans="7:7" ht="12.75" customHeight="1" x14ac:dyDescent="0.2">
      <c r="G896" s="52"/>
    </row>
    <row r="897" spans="7:7" ht="12.75" customHeight="1" x14ac:dyDescent="0.2">
      <c r="G897" s="52"/>
    </row>
    <row r="898" spans="7:7" ht="12.75" customHeight="1" x14ac:dyDescent="0.2">
      <c r="G898" s="52"/>
    </row>
    <row r="899" spans="7:7" ht="12.75" customHeight="1" x14ac:dyDescent="0.2">
      <c r="G899" s="52"/>
    </row>
    <row r="900" spans="7:7" ht="12.75" customHeight="1" x14ac:dyDescent="0.2">
      <c r="G900" s="52"/>
    </row>
    <row r="901" spans="7:7" ht="12.75" customHeight="1" x14ac:dyDescent="0.2">
      <c r="G901" s="52"/>
    </row>
    <row r="902" spans="7:7" ht="12.75" customHeight="1" x14ac:dyDescent="0.2">
      <c r="G902" s="52"/>
    </row>
    <row r="903" spans="7:7" ht="12.75" customHeight="1" x14ac:dyDescent="0.2">
      <c r="G903" s="52"/>
    </row>
    <row r="904" spans="7:7" ht="12.75" customHeight="1" x14ac:dyDescent="0.2">
      <c r="G904" s="52"/>
    </row>
    <row r="905" spans="7:7" ht="12.75" customHeight="1" x14ac:dyDescent="0.2">
      <c r="G905" s="52"/>
    </row>
    <row r="906" spans="7:7" ht="12.75" customHeight="1" x14ac:dyDescent="0.2">
      <c r="G906" s="52"/>
    </row>
    <row r="907" spans="7:7" ht="12.75" customHeight="1" x14ac:dyDescent="0.2">
      <c r="G907" s="52"/>
    </row>
    <row r="908" spans="7:7" ht="12.75" customHeight="1" x14ac:dyDescent="0.2">
      <c r="G908" s="52"/>
    </row>
    <row r="909" spans="7:7" ht="12.75" customHeight="1" x14ac:dyDescent="0.2">
      <c r="G909" s="52"/>
    </row>
    <row r="910" spans="7:7" ht="12.75" customHeight="1" x14ac:dyDescent="0.2">
      <c r="G910" s="52"/>
    </row>
    <row r="911" spans="7:7" ht="12.75" customHeight="1" x14ac:dyDescent="0.2">
      <c r="G911" s="52"/>
    </row>
    <row r="912" spans="7:7" ht="12.75" customHeight="1" x14ac:dyDescent="0.2">
      <c r="G912" s="52"/>
    </row>
    <row r="913" spans="7:7" ht="12.75" customHeight="1" x14ac:dyDescent="0.2">
      <c r="G913" s="52"/>
    </row>
    <row r="914" spans="7:7" ht="12.75" customHeight="1" x14ac:dyDescent="0.2">
      <c r="G914" s="52"/>
    </row>
    <row r="915" spans="7:7" ht="12.75" customHeight="1" x14ac:dyDescent="0.2">
      <c r="G915" s="52"/>
    </row>
    <row r="916" spans="7:7" ht="12.75" customHeight="1" x14ac:dyDescent="0.2">
      <c r="G916" s="52"/>
    </row>
    <row r="917" spans="7:7" ht="12.75" customHeight="1" x14ac:dyDescent="0.2">
      <c r="G917" s="52"/>
    </row>
    <row r="918" spans="7:7" ht="12.75" customHeight="1" x14ac:dyDescent="0.2">
      <c r="G918" s="52"/>
    </row>
    <row r="919" spans="7:7" ht="12.75" customHeight="1" x14ac:dyDescent="0.2">
      <c r="G919" s="52"/>
    </row>
    <row r="920" spans="7:7" ht="12.75" customHeight="1" x14ac:dyDescent="0.2">
      <c r="G920" s="52"/>
    </row>
    <row r="921" spans="7:7" ht="12.75" customHeight="1" x14ac:dyDescent="0.2">
      <c r="G921" s="52"/>
    </row>
    <row r="922" spans="7:7" ht="12.75" customHeight="1" x14ac:dyDescent="0.2">
      <c r="G922" s="52"/>
    </row>
    <row r="923" spans="7:7" ht="12.75" customHeight="1" x14ac:dyDescent="0.2">
      <c r="G923" s="52"/>
    </row>
    <row r="924" spans="7:7" ht="12.75" customHeight="1" x14ac:dyDescent="0.2">
      <c r="G924" s="52"/>
    </row>
    <row r="925" spans="7:7" ht="12.75" customHeight="1" x14ac:dyDescent="0.2">
      <c r="G925" s="52"/>
    </row>
    <row r="926" spans="7:7" ht="12.75" customHeight="1" x14ac:dyDescent="0.2">
      <c r="G926" s="52"/>
    </row>
    <row r="927" spans="7:7" ht="12.75" customHeight="1" x14ac:dyDescent="0.2">
      <c r="G927" s="52"/>
    </row>
    <row r="928" spans="7:7" ht="12.75" customHeight="1" x14ac:dyDescent="0.2">
      <c r="G928" s="52"/>
    </row>
    <row r="929" spans="7:7" ht="12.75" customHeight="1" x14ac:dyDescent="0.2">
      <c r="G929" s="52"/>
    </row>
    <row r="930" spans="7:7" ht="12.75" customHeight="1" x14ac:dyDescent="0.2">
      <c r="G930" s="52"/>
    </row>
    <row r="931" spans="7:7" ht="12.75" customHeight="1" x14ac:dyDescent="0.2">
      <c r="G931" s="52"/>
    </row>
    <row r="932" spans="7:7" ht="12.75" customHeight="1" x14ac:dyDescent="0.2">
      <c r="G932" s="52"/>
    </row>
    <row r="933" spans="7:7" ht="12.75" customHeight="1" x14ac:dyDescent="0.2">
      <c r="G933" s="52"/>
    </row>
    <row r="934" spans="7:7" ht="12.75" customHeight="1" x14ac:dyDescent="0.2">
      <c r="G934" s="52"/>
    </row>
    <row r="935" spans="7:7" ht="12.75" customHeight="1" x14ac:dyDescent="0.2">
      <c r="G935" s="52"/>
    </row>
    <row r="936" spans="7:7" ht="12.75" customHeight="1" x14ac:dyDescent="0.2">
      <c r="G936" s="52"/>
    </row>
    <row r="937" spans="7:7" ht="12.75" customHeight="1" x14ac:dyDescent="0.2">
      <c r="G937" s="52"/>
    </row>
    <row r="938" spans="7:7" ht="12.75" customHeight="1" x14ac:dyDescent="0.2">
      <c r="G938" s="52"/>
    </row>
    <row r="939" spans="7:7" ht="12.75" customHeight="1" x14ac:dyDescent="0.2">
      <c r="G939" s="52"/>
    </row>
    <row r="940" spans="7:7" ht="12.75" customHeight="1" x14ac:dyDescent="0.2">
      <c r="G940" s="52"/>
    </row>
    <row r="941" spans="7:7" ht="12.75" customHeight="1" x14ac:dyDescent="0.2">
      <c r="G941" s="52"/>
    </row>
    <row r="942" spans="7:7" ht="12.75" customHeight="1" x14ac:dyDescent="0.2">
      <c r="G942" s="52"/>
    </row>
    <row r="943" spans="7:7" ht="12.75" customHeight="1" x14ac:dyDescent="0.2">
      <c r="G943" s="52"/>
    </row>
    <row r="944" spans="7:7" ht="12.75" customHeight="1" x14ac:dyDescent="0.2">
      <c r="G944" s="52"/>
    </row>
    <row r="945" spans="7:7" ht="12.75" customHeight="1" x14ac:dyDescent="0.2">
      <c r="G945" s="52"/>
    </row>
    <row r="946" spans="7:7" ht="12.75" customHeight="1" x14ac:dyDescent="0.2">
      <c r="G946" s="52"/>
    </row>
    <row r="947" spans="7:7" ht="12.75" customHeight="1" x14ac:dyDescent="0.2">
      <c r="G947" s="52"/>
    </row>
    <row r="948" spans="7:7" ht="12.75" customHeight="1" x14ac:dyDescent="0.2">
      <c r="G948" s="52"/>
    </row>
    <row r="949" spans="7:7" ht="12.75" customHeight="1" x14ac:dyDescent="0.2">
      <c r="G949" s="52"/>
    </row>
    <row r="950" spans="7:7" ht="12.75" customHeight="1" x14ac:dyDescent="0.2">
      <c r="G950" s="52"/>
    </row>
    <row r="951" spans="7:7" ht="12.75" customHeight="1" x14ac:dyDescent="0.2">
      <c r="G951" s="52"/>
    </row>
    <row r="952" spans="7:7" ht="12.75" customHeight="1" x14ac:dyDescent="0.2">
      <c r="G952" s="52"/>
    </row>
    <row r="953" spans="7:7" ht="12.75" customHeight="1" x14ac:dyDescent="0.2">
      <c r="G953" s="52"/>
    </row>
    <row r="954" spans="7:7" ht="12.75" customHeight="1" x14ac:dyDescent="0.2">
      <c r="G954" s="52"/>
    </row>
    <row r="955" spans="7:7" ht="12.75" customHeight="1" x14ac:dyDescent="0.2">
      <c r="G955" s="52"/>
    </row>
    <row r="956" spans="7:7" ht="12.75" customHeight="1" x14ac:dyDescent="0.2">
      <c r="G956" s="52"/>
    </row>
    <row r="957" spans="7:7" ht="12.75" customHeight="1" x14ac:dyDescent="0.2">
      <c r="G957" s="52"/>
    </row>
    <row r="958" spans="7:7" ht="12.75" customHeight="1" x14ac:dyDescent="0.2">
      <c r="G958" s="52"/>
    </row>
    <row r="959" spans="7:7" ht="12.75" customHeight="1" x14ac:dyDescent="0.2">
      <c r="G959" s="52"/>
    </row>
    <row r="960" spans="7:7" ht="12.75" customHeight="1" x14ac:dyDescent="0.2">
      <c r="G960" s="52"/>
    </row>
    <row r="961" spans="7:7" ht="12.75" customHeight="1" x14ac:dyDescent="0.2">
      <c r="G961" s="52"/>
    </row>
    <row r="962" spans="7:7" ht="12.75" customHeight="1" x14ac:dyDescent="0.2">
      <c r="G962" s="52"/>
    </row>
    <row r="963" spans="7:7" ht="12.75" customHeight="1" x14ac:dyDescent="0.2">
      <c r="G963" s="52"/>
    </row>
    <row r="964" spans="7:7" ht="12.75" customHeight="1" x14ac:dyDescent="0.2">
      <c r="G964" s="52"/>
    </row>
    <row r="965" spans="7:7" ht="12.75" customHeight="1" x14ac:dyDescent="0.2">
      <c r="G965" s="52"/>
    </row>
    <row r="966" spans="7:7" ht="12.75" customHeight="1" x14ac:dyDescent="0.2">
      <c r="G966" s="52"/>
    </row>
    <row r="967" spans="7:7" ht="12.75" customHeight="1" x14ac:dyDescent="0.2">
      <c r="G967" s="52"/>
    </row>
    <row r="968" spans="7:7" ht="12.75" customHeight="1" x14ac:dyDescent="0.2">
      <c r="G968" s="52"/>
    </row>
    <row r="969" spans="7:7" ht="12.75" customHeight="1" x14ac:dyDescent="0.2">
      <c r="G969" s="52"/>
    </row>
    <row r="970" spans="7:7" ht="12.75" customHeight="1" x14ac:dyDescent="0.2">
      <c r="G970" s="52"/>
    </row>
    <row r="971" spans="7:7" ht="12.75" customHeight="1" x14ac:dyDescent="0.2">
      <c r="G971" s="52"/>
    </row>
    <row r="972" spans="7:7" ht="12.75" customHeight="1" x14ac:dyDescent="0.2">
      <c r="G972" s="52"/>
    </row>
    <row r="973" spans="7:7" ht="12.75" customHeight="1" x14ac:dyDescent="0.2">
      <c r="G973" s="52"/>
    </row>
    <row r="974" spans="7:7" ht="12.75" customHeight="1" x14ac:dyDescent="0.2">
      <c r="G974" s="52"/>
    </row>
    <row r="975" spans="7:7" ht="12.75" customHeight="1" x14ac:dyDescent="0.2">
      <c r="G975" s="52"/>
    </row>
    <row r="976" spans="7:7" ht="12.75" customHeight="1" x14ac:dyDescent="0.2">
      <c r="G976" s="52"/>
    </row>
    <row r="977" spans="7:7" ht="12.75" customHeight="1" x14ac:dyDescent="0.2">
      <c r="G977" s="52"/>
    </row>
    <row r="978" spans="7:7" ht="12.75" customHeight="1" x14ac:dyDescent="0.2">
      <c r="G978" s="52"/>
    </row>
    <row r="979" spans="7:7" ht="12.75" customHeight="1" x14ac:dyDescent="0.2">
      <c r="G979" s="52"/>
    </row>
    <row r="980" spans="7:7" ht="12.75" customHeight="1" x14ac:dyDescent="0.2">
      <c r="G980" s="52"/>
    </row>
    <row r="981" spans="7:7" ht="12.75" customHeight="1" x14ac:dyDescent="0.2">
      <c r="G981" s="52"/>
    </row>
    <row r="982" spans="7:7" ht="12.75" customHeight="1" x14ac:dyDescent="0.2">
      <c r="G982" s="52"/>
    </row>
    <row r="983" spans="7:7" ht="12.75" customHeight="1" x14ac:dyDescent="0.2">
      <c r="G983" s="52"/>
    </row>
    <row r="984" spans="7:7" ht="12.75" customHeight="1" x14ac:dyDescent="0.2">
      <c r="G984" s="52"/>
    </row>
    <row r="985" spans="7:7" ht="12.75" customHeight="1" x14ac:dyDescent="0.2">
      <c r="G985" s="52"/>
    </row>
    <row r="986" spans="7:7" ht="12.75" customHeight="1" x14ac:dyDescent="0.2">
      <c r="G986" s="52"/>
    </row>
    <row r="987" spans="7:7" ht="12.75" customHeight="1" x14ac:dyDescent="0.2">
      <c r="G987" s="52"/>
    </row>
    <row r="988" spans="7:7" ht="12.75" customHeight="1" x14ac:dyDescent="0.2">
      <c r="G988" s="52"/>
    </row>
    <row r="989" spans="7:7" ht="12.75" customHeight="1" x14ac:dyDescent="0.2">
      <c r="G989" s="52"/>
    </row>
    <row r="990" spans="7:7" ht="12.75" customHeight="1" x14ac:dyDescent="0.2">
      <c r="G990" s="52"/>
    </row>
    <row r="991" spans="7:7" ht="12.75" customHeight="1" x14ac:dyDescent="0.2">
      <c r="G991" s="52"/>
    </row>
    <row r="992" spans="7:7" ht="12.75" customHeight="1" x14ac:dyDescent="0.2">
      <c r="G992" s="52"/>
    </row>
    <row r="993" spans="7:7" ht="12.75" customHeight="1" x14ac:dyDescent="0.2">
      <c r="G993" s="52"/>
    </row>
    <row r="994" spans="7:7" ht="12.75" customHeight="1" x14ac:dyDescent="0.2">
      <c r="G994" s="52"/>
    </row>
    <row r="995" spans="7:7" ht="12.75" customHeight="1" x14ac:dyDescent="0.2">
      <c r="G995" s="52"/>
    </row>
    <row r="996" spans="7:7" ht="12.75" customHeight="1" x14ac:dyDescent="0.2">
      <c r="G996" s="52"/>
    </row>
    <row r="997" spans="7:7" ht="12.75" customHeight="1" x14ac:dyDescent="0.2">
      <c r="G997" s="52"/>
    </row>
    <row r="998" spans="7:7" ht="12.75" customHeight="1" x14ac:dyDescent="0.2">
      <c r="G998" s="52"/>
    </row>
    <row r="999" spans="7:7" ht="12.75" customHeight="1" x14ac:dyDescent="0.2">
      <c r="G999" s="52"/>
    </row>
    <row r="1000" spans="7:7" ht="12.75" customHeight="1" x14ac:dyDescent="0.2">
      <c r="G1000" s="52"/>
    </row>
  </sheetData>
  <mergeCells count="31">
    <mergeCell ref="A26:Q27"/>
    <mergeCell ref="O18:P18"/>
    <mergeCell ref="O19:P19"/>
    <mergeCell ref="O20:P20"/>
    <mergeCell ref="O21:P21"/>
    <mergeCell ref="O22:P22"/>
    <mergeCell ref="A23:P23"/>
    <mergeCell ref="A24:Q24"/>
    <mergeCell ref="O15:P15"/>
    <mergeCell ref="O16:P16"/>
    <mergeCell ref="O17:P17"/>
    <mergeCell ref="A25:F25"/>
    <mergeCell ref="G25:Q25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2020-07-17T23:44:49Z</dcterms:created>
  <dcterms:modified xsi:type="dcterms:W3CDTF">2022-05-27T11:37:45Z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