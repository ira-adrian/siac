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155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Gastar'!$A$1:$Q$24</definedName>
    <definedName name="_xlnm.Print_Area" localSheetId="0">'Necesidades Trimestrales'!$A$1:$I$11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K12" i="2" l="1"/>
  <c r="J12" i="2"/>
  <c r="I12" i="2"/>
  <c r="C12" i="2"/>
  <c r="B12" i="2"/>
  <c r="I10" i="1" l="1"/>
  <c r="Q15" i="3" s="1"/>
  <c r="Q20" i="3" l="1"/>
  <c r="D7" i="2" l="1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<sst xmlns="http://schemas.openxmlformats.org/spreadsheetml/2006/main" count="86" uniqueCount="80">
  <si>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</si>
  <si>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</si>
  <si>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</si>
  <si>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</si>
  <si>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</si>
  <si>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</si>
  <si>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</si>
  <si>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</si>
  <si>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</si>
  <si>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</si>
  <si>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</si>
  <si>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</si>
  <si>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</si>
  <si>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</si>
  <si>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</si>
  <si>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</si>
  <si>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</si>
  <si>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</si>
  <si>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</si>
  <si>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</si>
  <si>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</si>
  <si>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</si>
  <si>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</si>
  <si>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</si>
  <si>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</si>
  <si>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</si>
  <si>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</si>
  <si>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</si>
  <si>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</si>
  <si>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</si>
  <si>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</si>
  <si>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</si>
  <si>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</si>
  <si>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</si>
  <si>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</si>
  <si>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</si>
  <si>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</si>
  <si>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</si>
  <si>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</si>
  <si>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</si>
  <si>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</si>
  <si>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</si>
  <si>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</si>
  <si>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</si>
  <si>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</si>
  <si>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</si>
  <si>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</si>
  <si>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</si>
  <si>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</si>
  <si>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</si>
  <si>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</si>
  <si>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</si>
  <si>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</si>
  <si>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</si>
  <si>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</si>
  <si>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</si>
  <si>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Administrativa y RRHH</t>
  </si>
  <si>
    <t>Alta</t>
  </si>
  <si>
    <t>S/E</t>
  </si>
  <si>
    <t>UNIDADES</t>
  </si>
  <si>
    <t>FERRETERIA</t>
  </si>
  <si>
    <t>2.5.8</t>
  </si>
  <si>
    <t>16- Direccion Provincial de Accion Social Directa-</t>
  </si>
  <si>
    <t>02- Programa Vivir Mejor- PRO.VI.ME</t>
  </si>
  <si>
    <t>Plazo de Mantinimiento 60 dias</t>
  </si>
  <si>
    <t>Productos de Material Plastico</t>
  </si>
  <si>
    <t>45- Ministerio de Desarrollo Social</t>
  </si>
  <si>
    <t>Especificidades Item N° 1.</t>
  </si>
  <si>
    <t>SI</t>
  </si>
  <si>
    <t>16- Direccion Provincial de Accion Social Directa</t>
  </si>
  <si>
    <r>
      <t>Plazo de Entrega</t>
    </r>
    <r>
      <rPr>
        <sz val="10"/>
        <rFont val="Times New Roman"/>
        <family val="1"/>
      </rPr>
      <t>:</t>
    </r>
    <r>
      <rPr>
        <u/>
        <sz val="10"/>
        <rFont val="Times New Roman"/>
        <family val="1"/>
      </rPr>
      <t xml:space="preserve"> </t>
    </r>
    <r>
      <rPr>
        <sz val="10"/>
        <rFont val="Times New Roman"/>
        <family val="1"/>
      </rPr>
      <t>Dentro de los 05 (cinco) dias habiles de Notificada la Orden de Compra.</t>
    </r>
  </si>
  <si>
    <t>110/2022</t>
  </si>
  <si>
    <t>Costo total estimado: OCHO MILLONES CON 00/100.-</t>
  </si>
  <si>
    <t>TOTAL DE PESOS:  OCHO MILLONES CON 00/100.-</t>
  </si>
  <si>
    <r>
      <rPr>
        <u/>
        <sz val="10"/>
        <rFont val="Times New Roman"/>
        <family val="1"/>
      </rPr>
      <t>Lugar y Forma de Entrega</t>
    </r>
    <r>
      <rPr>
        <sz val="10"/>
        <rFont val="Times New Roman"/>
        <family val="1"/>
      </rPr>
      <t>: Se Entregara en el Area Industrial El Pantanillo Deposito perteneciente al Ministerio de Desarrollo Social - San Fernando del Valle de Catamarca (CP 4700) , corriendo los gastos de flete, acarreo, carga, descarga y seguros por cuenta del adjudicatario.-</t>
    </r>
  </si>
  <si>
    <t xml:space="preserve">2.5.8-1922.47 </t>
  </si>
  <si>
    <t>NAILON; ANCHO: 4 M, ESPESOR: 200 Mn</t>
  </si>
  <si>
    <t>Rollo de nailon, por 4 metros de ancho, 50 metros de largo y 200 micrones de espesor.</t>
  </si>
  <si>
    <t>Adquisición de Nailon para Asistir a Personas de Escasos Recursos</t>
  </si>
  <si>
    <t>Adquisición de  Nailon  para Asistir a Personas de Escasos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</si>
</sst>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4" fillId="0" borderId="42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46" xfId="3" applyNumberFormat="1" applyFont="1" applyBorder="1" applyAlignment="1" applyProtection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166" fontId="16" fillId="0" borderId="0" xfId="0" applyNumberFormat="1" applyFont="1" applyFill="1"/>
    <xf numFmtId="0" fontId="23" fillId="0" borderId="3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16" fillId="0" borderId="0" xfId="0" applyFont="1" applyFill="1" applyBorder="1"/>
    <xf numFmtId="0" fontId="16" fillId="0" borderId="7" xfId="0" applyFont="1" applyFill="1" applyBorder="1"/>
    <xf numFmtId="0" fontId="23" fillId="0" borderId="6" xfId="0" applyFont="1" applyFill="1" applyBorder="1" applyAlignment="1">
      <alignment horizontal="left" indent="3"/>
    </xf>
    <xf numFmtId="0" fontId="16" fillId="0" borderId="6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left" indent="3"/>
    </xf>
    <xf numFmtId="0" fontId="16" fillId="0" borderId="9" xfId="0" applyFont="1" applyFill="1" applyBorder="1"/>
    <xf numFmtId="0" fontId="16" fillId="0" borderId="10" xfId="0" applyFont="1" applyFill="1" applyBorder="1"/>
    <xf numFmtId="0" fontId="20" fillId="0" borderId="47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9" fillId="0" borderId="21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horizontal="center" vertical="center"/>
    </xf>
    <xf numFmtId="0" fontId="0" fillId="0" borderId="51" xfId="0" applyFill="1" applyBorder="1"/>
    <xf numFmtId="0" fontId="0" fillId="0" borderId="51" xfId="0" applyFill="1" applyBorder="1" applyAlignment="1">
      <alignment horizontal="center"/>
    </xf>
    <xf numFmtId="0" fontId="22" fillId="0" borderId="51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166" fontId="21" fillId="0" borderId="52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7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167" fontId="25" fillId="0" borderId="15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26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0" fillId="0" borderId="42" xfId="0" applyFont="1" applyBorder="1" applyAlignment="1">
      <alignment horizontal="left" vertical="center" wrapText="1"/>
    </xf>
    <xf numFmtId="0" fontId="0" fillId="0" borderId="2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C19" sqref="C19:E19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6.7109375" style="32" customWidth="1"/>
    <col min="4" max="4" width="12.28515625" style="32" bestFit="1" customWidth="1"/>
    <col min="5" max="5" width="135.42578125" style="32" customWidth="1"/>
    <col min="6" max="6" width="11" style="32"/>
    <col min="7" max="8" width="10.42578125" style="32" bestFit="1" customWidth="1"/>
    <col min="9" max="9" width="15.7109375" style="32" bestFit="1" customWidth="1"/>
    <col min="10" max="16384" width="11" style="32"/>
  </cols>
  <sheetData>
    <row r="1" spans="1:9" x14ac:dyDescent="0.2">
      <c r="A1" s="34"/>
      <c r="B1" s="34"/>
      <c r="C1" s="34"/>
      <c r="D1" s="34"/>
      <c r="E1" s="34"/>
      <c r="F1" s="34"/>
      <c r="G1" s="34"/>
      <c r="H1" s="34"/>
      <c r="I1" s="34"/>
    </row>
    <row r="2" spans="1:9" ht="27" x14ac:dyDescent="0.35">
      <c r="A2" s="34"/>
      <c r="B2" s="81" t="s">
        <v>0</v>
      </c>
      <c r="C2" s="81"/>
      <c r="D2" s="81"/>
      <c r="E2" s="81"/>
      <c r="F2" s="81"/>
      <c r="G2" s="81"/>
      <c r="H2" s="81"/>
      <c r="I2" s="34"/>
    </row>
    <row r="3" spans="1:9" x14ac:dyDescent="0.2">
      <c r="A3" s="34"/>
      <c r="B3" s="34"/>
      <c r="C3" s="34"/>
      <c r="D3" s="34"/>
      <c r="E3" s="34"/>
      <c r="F3" s="34"/>
      <c r="G3" s="34"/>
      <c r="H3" s="34"/>
      <c r="I3" s="34"/>
    </row>
    <row r="4" spans="1:9" ht="18" customHeight="1" x14ac:dyDescent="0.25">
      <c r="A4" s="82" t="s">
        <v>1</v>
      </c>
      <c r="B4" s="82"/>
      <c r="C4" s="83" t="s">
        <v>66</v>
      </c>
      <c r="D4" s="83"/>
      <c r="E4" s="83"/>
      <c r="F4" s="35"/>
      <c r="G4" s="36"/>
      <c r="H4" s="35"/>
      <c r="I4" s="34"/>
    </row>
    <row r="5" spans="1:9" ht="18" customHeight="1" x14ac:dyDescent="0.25">
      <c r="A5" s="82" t="s">
        <v>2</v>
      </c>
      <c r="B5" s="82"/>
      <c r="C5" s="83" t="s">
        <v>56</v>
      </c>
      <c r="D5" s="83"/>
      <c r="E5" s="83"/>
      <c r="F5" s="35"/>
      <c r="G5" s="36"/>
      <c r="H5" s="35"/>
      <c r="I5" s="34"/>
    </row>
    <row r="6" spans="1:9" ht="16.5" customHeight="1" x14ac:dyDescent="0.25">
      <c r="A6" s="82" t="s">
        <v>3</v>
      </c>
      <c r="B6" s="82"/>
      <c r="C6" s="37">
        <v>2022</v>
      </c>
      <c r="D6" s="38"/>
      <c r="E6" s="38"/>
      <c r="F6" s="35"/>
      <c r="G6" s="36"/>
      <c r="H6" s="35"/>
      <c r="I6" s="34"/>
    </row>
    <row r="7" spans="1:9" ht="16.5" customHeight="1" x14ac:dyDescent="0.25">
      <c r="A7" s="82" t="s">
        <v>4</v>
      </c>
      <c r="B7" s="82"/>
      <c r="C7" s="37">
        <v>1</v>
      </c>
      <c r="D7" s="38"/>
      <c r="E7" s="38"/>
      <c r="F7" s="35"/>
      <c r="G7" s="36"/>
      <c r="H7" s="35"/>
      <c r="I7" s="34"/>
    </row>
    <row r="8" spans="1:9" ht="13.5" thickBot="1" x14ac:dyDescent="0.25">
      <c r="A8" s="34"/>
      <c r="B8" s="35"/>
      <c r="C8" s="36"/>
      <c r="D8" s="35"/>
      <c r="E8" s="35"/>
      <c r="F8" s="35"/>
      <c r="G8" s="36"/>
      <c r="H8" s="35"/>
      <c r="I8" s="34"/>
    </row>
    <row r="9" spans="1:9" ht="39" thickBot="1" x14ac:dyDescent="0.25">
      <c r="A9" s="39" t="s">
        <v>5</v>
      </c>
      <c r="B9" s="40" t="s">
        <v>6</v>
      </c>
      <c r="C9" s="40" t="s">
        <v>7</v>
      </c>
      <c r="D9" s="40" t="s">
        <v>8</v>
      </c>
      <c r="E9" s="40" t="s">
        <v>9</v>
      </c>
      <c r="F9" s="57" t="s">
        <v>10</v>
      </c>
      <c r="G9" s="58" t="s">
        <v>11</v>
      </c>
      <c r="H9" s="58" t="s">
        <v>12</v>
      </c>
      <c r="I9" s="59" t="s">
        <v>13</v>
      </c>
    </row>
    <row r="10" spans="1:9" ht="13.5" thickBot="1" x14ac:dyDescent="0.25">
      <c r="A10" s="74">
        <v>1</v>
      </c>
      <c r="B10" s="75" t="s">
        <v>75</v>
      </c>
      <c r="C10" s="75" t="s">
        <v>60</v>
      </c>
      <c r="D10" s="76" t="s">
        <v>61</v>
      </c>
      <c r="E10" s="75" t="s">
        <v>76</v>
      </c>
      <c r="F10" s="77" t="s">
        <v>59</v>
      </c>
      <c r="G10" s="78">
        <v>400</v>
      </c>
      <c r="H10" s="79">
        <v>20000</v>
      </c>
      <c r="I10" s="80">
        <f t="shared" ref="I10" si="0">+H10*G10</f>
        <v>8000000</v>
      </c>
    </row>
    <row r="11" spans="1:9" x14ac:dyDescent="0.2">
      <c r="A11" s="34"/>
      <c r="B11" s="34"/>
      <c r="C11" s="34"/>
      <c r="D11" s="34"/>
      <c r="E11" s="34"/>
      <c r="F11" s="34"/>
      <c r="G11" s="34"/>
      <c r="H11" s="34"/>
      <c r="I11" s="41"/>
    </row>
    <row r="12" spans="1:9" x14ac:dyDescent="0.2">
      <c r="A12" s="34"/>
      <c r="B12" s="34"/>
      <c r="C12" s="34"/>
      <c r="D12" s="34"/>
      <c r="E12" s="34"/>
      <c r="F12" s="34"/>
      <c r="G12" s="34"/>
      <c r="H12" s="34"/>
      <c r="I12" s="41"/>
    </row>
    <row r="13" spans="1:9" x14ac:dyDescent="0.2">
      <c r="A13" s="34"/>
      <c r="B13" s="42" t="s">
        <v>67</v>
      </c>
      <c r="C13" s="43"/>
      <c r="D13" s="43"/>
      <c r="E13" s="44"/>
      <c r="F13" s="34"/>
      <c r="G13" s="34"/>
      <c r="H13" s="34"/>
      <c r="I13" s="34"/>
    </row>
    <row r="14" spans="1:9" ht="5.25" customHeight="1" x14ac:dyDescent="0.2">
      <c r="A14" s="34"/>
      <c r="B14" s="45"/>
      <c r="C14" s="46"/>
      <c r="D14" s="46"/>
      <c r="E14" s="47"/>
      <c r="F14" s="34"/>
      <c r="G14" s="34"/>
      <c r="H14" s="34"/>
      <c r="I14" s="34"/>
    </row>
    <row r="15" spans="1:9" x14ac:dyDescent="0.2">
      <c r="A15" s="34"/>
      <c r="B15" s="48" t="s">
        <v>14</v>
      </c>
      <c r="C15" s="46" t="s">
        <v>77</v>
      </c>
      <c r="D15" s="46"/>
      <c r="E15" s="47"/>
      <c r="F15" s="34"/>
      <c r="G15" s="34"/>
      <c r="H15" s="34"/>
      <c r="I15" s="34"/>
    </row>
    <row r="16" spans="1:9" x14ac:dyDescent="0.2">
      <c r="A16" s="34"/>
      <c r="B16" s="48"/>
      <c r="C16" s="84"/>
      <c r="D16" s="84"/>
      <c r="E16" s="84"/>
      <c r="F16" s="34"/>
      <c r="G16" s="34"/>
      <c r="H16" s="34"/>
      <c r="I16" s="34"/>
    </row>
    <row r="17" spans="1:9" x14ac:dyDescent="0.2">
      <c r="A17" s="34"/>
      <c r="B17" s="48" t="s">
        <v>15</v>
      </c>
      <c r="C17" s="46"/>
      <c r="D17" s="46"/>
      <c r="E17" s="47"/>
      <c r="F17" s="34"/>
      <c r="G17" s="34"/>
      <c r="H17" s="34"/>
      <c r="I17" s="34"/>
    </row>
    <row r="18" spans="1:9" x14ac:dyDescent="0.2">
      <c r="A18" s="34"/>
      <c r="B18" s="49"/>
      <c r="C18" s="86" t="s">
        <v>70</v>
      </c>
      <c r="D18" s="87"/>
      <c r="E18" s="88"/>
      <c r="F18" s="34"/>
      <c r="G18" s="34"/>
      <c r="H18" s="34"/>
      <c r="I18" s="34"/>
    </row>
    <row r="19" spans="1:9" ht="50.25" customHeight="1" x14ac:dyDescent="0.2">
      <c r="A19" s="34"/>
      <c r="B19" s="49"/>
      <c r="C19" s="89" t="s">
        <v>74</v>
      </c>
      <c r="D19" s="89"/>
      <c r="E19" s="90"/>
      <c r="F19" s="34"/>
      <c r="G19" s="34"/>
      <c r="H19" s="34"/>
      <c r="I19" s="34"/>
    </row>
    <row r="20" spans="1:9" x14ac:dyDescent="0.2">
      <c r="A20" s="34"/>
      <c r="B20" s="49"/>
      <c r="C20" s="50"/>
      <c r="D20" s="50"/>
      <c r="E20" s="51"/>
      <c r="F20" s="34"/>
      <c r="G20" s="34"/>
      <c r="H20" s="34"/>
      <c r="I20" s="34"/>
    </row>
    <row r="21" spans="1:9" x14ac:dyDescent="0.2">
      <c r="A21" s="34"/>
      <c r="B21" s="48" t="s">
        <v>16</v>
      </c>
      <c r="C21" s="46"/>
      <c r="D21" s="46"/>
      <c r="E21" s="47"/>
      <c r="F21" s="34"/>
      <c r="G21" s="34"/>
      <c r="H21" s="34"/>
      <c r="I21" s="34"/>
    </row>
    <row r="22" spans="1:9" ht="26.25" customHeight="1" x14ac:dyDescent="0.2">
      <c r="A22" s="34"/>
      <c r="B22" s="49"/>
      <c r="C22" s="84" t="s">
        <v>57</v>
      </c>
      <c r="D22" s="84"/>
      <c r="E22" s="84"/>
      <c r="F22" s="34"/>
      <c r="G22" s="34"/>
      <c r="H22" s="34"/>
      <c r="I22" s="34"/>
    </row>
    <row r="23" spans="1:9" x14ac:dyDescent="0.2">
      <c r="A23" s="34"/>
      <c r="B23" s="48" t="s">
        <v>17</v>
      </c>
      <c r="C23" s="52"/>
      <c r="D23" s="52"/>
      <c r="E23" s="53"/>
      <c r="F23" s="34"/>
      <c r="G23" s="34"/>
      <c r="H23" s="34"/>
      <c r="I23" s="34"/>
    </row>
    <row r="24" spans="1:9" ht="26.25" customHeight="1" x14ac:dyDescent="0.2">
      <c r="A24" s="34"/>
      <c r="B24" s="49"/>
      <c r="C24" s="84" t="s">
        <v>64</v>
      </c>
      <c r="D24" s="84"/>
      <c r="E24" s="84"/>
      <c r="F24" s="34"/>
      <c r="G24" s="34"/>
      <c r="H24" s="34"/>
      <c r="I24" s="34"/>
    </row>
    <row r="25" spans="1:9" x14ac:dyDescent="0.2">
      <c r="A25" s="34"/>
      <c r="B25" s="48" t="s">
        <v>18</v>
      </c>
      <c r="C25" s="46"/>
      <c r="D25" s="46"/>
      <c r="E25" s="47"/>
      <c r="F25" s="34"/>
      <c r="G25" s="34"/>
      <c r="H25" s="34"/>
      <c r="I25" s="34"/>
    </row>
    <row r="26" spans="1:9" ht="23.25" customHeight="1" x14ac:dyDescent="0.2">
      <c r="A26" s="34"/>
      <c r="B26" s="48"/>
      <c r="C26" s="85" t="s">
        <v>58</v>
      </c>
      <c r="D26" s="85"/>
      <c r="E26" s="85"/>
      <c r="F26" s="34"/>
      <c r="G26" s="34"/>
      <c r="H26" s="34"/>
      <c r="I26" s="34"/>
    </row>
    <row r="27" spans="1:9" x14ac:dyDescent="0.2">
      <c r="A27" s="34"/>
      <c r="B27" s="54"/>
      <c r="C27" s="55"/>
      <c r="D27" s="55"/>
      <c r="E27" s="56"/>
      <c r="F27" s="34"/>
      <c r="G27" s="34"/>
      <c r="H27" s="34"/>
      <c r="I27" s="34"/>
    </row>
    <row r="28" spans="1:9" ht="36.75" customHeight="1" x14ac:dyDescent="0.2">
      <c r="A28" s="34"/>
      <c r="B28" s="34"/>
      <c r="C28" s="34"/>
      <c r="D28" s="34"/>
      <c r="E28" s="34"/>
      <c r="F28" s="34"/>
      <c r="G28" s="34"/>
      <c r="H28" s="34"/>
      <c r="I28" s="34"/>
    </row>
  </sheetData>
  <mergeCells count="13">
    <mergeCell ref="C22:E22"/>
    <mergeCell ref="C24:E24"/>
    <mergeCell ref="C26:E26"/>
    <mergeCell ref="A6:B6"/>
    <mergeCell ref="A7:B7"/>
    <mergeCell ref="C16:E16"/>
    <mergeCell ref="C18:E18"/>
    <mergeCell ref="C19:E19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8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110" zoomScaleNormal="110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1" t="s">
        <v>19</v>
      </c>
      <c r="B1" s="91"/>
      <c r="C1" s="91"/>
      <c r="D1" s="91"/>
      <c r="E1" s="91"/>
      <c r="F1" s="91"/>
      <c r="G1" s="91"/>
      <c r="H1" s="91"/>
      <c r="I1" s="91"/>
      <c r="J1" s="60" t="s">
        <v>20</v>
      </c>
      <c r="K1" s="61" t="s">
        <v>71</v>
      </c>
    </row>
    <row r="2" spans="1:11" ht="18.75" customHeight="1" thickBot="1" x14ac:dyDescent="0.25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</row>
    <row r="3" spans="1:11" ht="18.75" customHeight="1" thickBot="1" x14ac:dyDescent="0.25">
      <c r="A3" s="92" t="s">
        <v>53</v>
      </c>
      <c r="B3" s="92"/>
      <c r="C3" s="92"/>
      <c r="D3" s="93" t="str">
        <f>'Necesidades Trimestrales'!C4</f>
        <v>45- Ministerio de Desarrollo Social</v>
      </c>
      <c r="E3" s="93"/>
      <c r="F3" s="93"/>
      <c r="G3" s="93"/>
      <c r="H3" s="93"/>
      <c r="I3" s="93"/>
      <c r="J3" s="93"/>
      <c r="K3" s="93"/>
    </row>
    <row r="4" spans="1:11" ht="18.75" customHeight="1" thickBot="1" x14ac:dyDescent="0.25">
      <c r="A4" s="94" t="s">
        <v>54</v>
      </c>
      <c r="B4" s="94"/>
      <c r="C4" s="94"/>
      <c r="D4" s="93" t="str">
        <f>'Necesidades Trimestrales'!C5</f>
        <v>25- Direccion Provincial de Gestion Administrativa y RRHH</v>
      </c>
      <c r="E4" s="93"/>
      <c r="F4" s="93"/>
      <c r="G4" s="93"/>
      <c r="H4" s="93"/>
      <c r="I4" s="93"/>
      <c r="J4" s="93"/>
      <c r="K4" s="93"/>
    </row>
    <row r="5" spans="1:11" ht="18.75" customHeight="1" thickBot="1" x14ac:dyDescent="0.25">
      <c r="A5" s="94" t="s">
        <v>32</v>
      </c>
      <c r="B5" s="94"/>
      <c r="C5" s="94"/>
      <c r="D5" s="93" t="s">
        <v>62</v>
      </c>
      <c r="E5" s="93"/>
      <c r="F5" s="93"/>
      <c r="G5" s="93"/>
      <c r="H5" s="93"/>
      <c r="I5" s="93"/>
      <c r="J5" s="93"/>
      <c r="K5" s="93"/>
    </row>
    <row r="6" spans="1:11" ht="16.5" customHeight="1" thickBot="1" x14ac:dyDescent="0.25">
      <c r="A6" s="92" t="s">
        <v>55</v>
      </c>
      <c r="B6" s="92"/>
      <c r="C6" s="92"/>
      <c r="D6" s="93" t="s">
        <v>63</v>
      </c>
      <c r="E6" s="93"/>
      <c r="F6" s="93"/>
      <c r="G6" s="93"/>
      <c r="H6" s="93"/>
      <c r="I6" s="93"/>
      <c r="J6" s="93"/>
      <c r="K6" s="93"/>
    </row>
    <row r="7" spans="1:11" ht="16.5" customHeight="1" x14ac:dyDescent="0.2">
      <c r="A7" s="94" t="s">
        <v>21</v>
      </c>
      <c r="B7" s="94"/>
      <c r="C7" s="94"/>
      <c r="D7" s="93" t="str">
        <f>'Necesidades Trimestrales'!C7 &amp; "° Trimestre - Año " &amp; 'Necesidades Trimestrales'!C6</f>
        <v>1° Trimestre - Año 2022</v>
      </c>
      <c r="E7" s="93"/>
      <c r="F7" s="93"/>
      <c r="G7" s="93"/>
      <c r="H7" s="93"/>
      <c r="I7" s="93"/>
      <c r="J7" s="93"/>
      <c r="K7" s="93"/>
    </row>
    <row r="8" spans="1:11" ht="15.75" x14ac:dyDescent="0.2">
      <c r="A8" s="97" t="s">
        <v>22</v>
      </c>
      <c r="B8" s="97"/>
      <c r="C8" s="97"/>
      <c r="D8" s="98" t="s">
        <v>79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</row>
    <row r="10" spans="1:11" ht="18.75" customHeight="1" x14ac:dyDescent="0.2">
      <c r="A10" s="99" t="s">
        <v>23</v>
      </c>
      <c r="B10" s="100" t="s">
        <v>24</v>
      </c>
      <c r="C10" s="100" t="s">
        <v>25</v>
      </c>
      <c r="D10" s="100"/>
      <c r="E10" s="100"/>
      <c r="F10" s="100"/>
      <c r="G10" s="100"/>
      <c r="H10" s="100" t="s">
        <v>26</v>
      </c>
      <c r="I10" s="100" t="s">
        <v>27</v>
      </c>
      <c r="J10" s="100" t="s">
        <v>28</v>
      </c>
      <c r="K10" s="101" t="s">
        <v>29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20.25" customHeight="1" thickBot="1" x14ac:dyDescent="0.25">
      <c r="A12" s="66">
        <v>1</v>
      </c>
      <c r="B12" s="67" t="str">
        <f>'Necesidades Trimestrales'!B10</f>
        <v xml:space="preserve">2.5.8-1922.47 </v>
      </c>
      <c r="C12" s="96" t="str">
        <f>'Necesidades Trimestrales'!E10</f>
        <v>NAILON; ANCHO: 4 M, ESPESOR: 200 Mn</v>
      </c>
      <c r="D12" s="96"/>
      <c r="E12" s="96"/>
      <c r="F12" s="96"/>
      <c r="G12" s="96"/>
      <c r="H12" s="68" t="s">
        <v>68</v>
      </c>
      <c r="I12" s="69" t="str">
        <f>'Necesidades Trimestrales'!F10</f>
        <v>UNIDADES</v>
      </c>
      <c r="J12" s="70">
        <f>'Necesidades Trimestrales'!H10</f>
        <v>20000</v>
      </c>
      <c r="K12" s="71">
        <f>'Necesidades Trimestrales'!G10</f>
        <v>400</v>
      </c>
    </row>
    <row r="13" spans="1:11" ht="26.25" customHeight="1" thickBot="1" x14ac:dyDescent="0.25">
      <c r="A13" s="93" t="s">
        <v>72</v>
      </c>
      <c r="B13" s="93"/>
      <c r="C13" s="93"/>
      <c r="D13" s="93"/>
      <c r="E13" s="93"/>
      <c r="F13" s="93"/>
      <c r="G13" s="93"/>
      <c r="H13" s="93"/>
      <c r="I13" s="93"/>
      <c r="J13" s="95">
        <f>+J12*K12</f>
        <v>8000000</v>
      </c>
      <c r="K13" s="95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zoomScale="130" zoomScaleNormal="130" workbookViewId="0">
      <selection activeCell="A23" sqref="A23:Q24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28515625" bestFit="1" customWidth="1"/>
  </cols>
  <sheetData>
    <row r="1" spans="1:17" ht="15.75" customHeight="1" x14ac:dyDescent="0.25">
      <c r="A1" s="102" t="s">
        <v>3</v>
      </c>
      <c r="B1" s="102"/>
      <c r="C1" s="102"/>
      <c r="D1" s="103">
        <f>'Necesidades Trimestrales'!C6</f>
        <v>2022</v>
      </c>
      <c r="E1" s="103"/>
      <c r="F1" s="4"/>
      <c r="G1" s="4"/>
      <c r="H1" s="5"/>
      <c r="I1" s="5"/>
      <c r="J1" s="5"/>
      <c r="K1" s="5"/>
      <c r="L1" s="5"/>
      <c r="M1" s="5"/>
      <c r="N1" s="5"/>
      <c r="P1" s="104" t="s">
        <v>30</v>
      </c>
      <c r="Q1" s="104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04"/>
      <c r="Q2" s="104"/>
    </row>
    <row r="4" spans="1:17" s="6" customFormat="1" ht="18" customHeight="1" thickBot="1" x14ac:dyDescent="0.25">
      <c r="A4" s="105" t="s">
        <v>31</v>
      </c>
      <c r="B4" s="105"/>
      <c r="C4" s="105"/>
      <c r="D4" s="105"/>
      <c r="E4" s="105"/>
      <c r="F4" s="105"/>
      <c r="G4" s="106" t="str">
        <f>' NotaPedido'!D3</f>
        <v>45- Ministerio de Desarrollo Social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s="6" customFormat="1" ht="18" customHeight="1" thickBot="1" x14ac:dyDescent="0.25">
      <c r="A5" s="107" t="s">
        <v>54</v>
      </c>
      <c r="B5" s="108"/>
      <c r="C5" s="108"/>
      <c r="D5" s="108"/>
      <c r="E5" s="108"/>
      <c r="F5" s="109"/>
      <c r="G5" s="106" t="str">
        <f>' NotaPedido'!D4</f>
        <v>25- Direccion Provincial de Gestion Administrativa y RRHH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s="6" customFormat="1" ht="18" customHeight="1" thickBot="1" x14ac:dyDescent="0.25">
      <c r="A6" s="107" t="s">
        <v>32</v>
      </c>
      <c r="B6" s="108"/>
      <c r="C6" s="108"/>
      <c r="D6" s="108"/>
      <c r="E6" s="108"/>
      <c r="F6" s="109"/>
      <c r="G6" s="106" t="s">
        <v>69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s="6" customFormat="1" ht="18" customHeight="1" thickBot="1" x14ac:dyDescent="0.25">
      <c r="A7" s="107" t="s">
        <v>55</v>
      </c>
      <c r="B7" s="108"/>
      <c r="C7" s="108"/>
      <c r="D7" s="108"/>
      <c r="E7" s="108"/>
      <c r="F7" s="109"/>
      <c r="G7" s="106" t="s">
        <v>63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25">
      <c r="A8" s="110" t="s">
        <v>33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7" ht="18" customHeight="1" x14ac:dyDescent="0.2">
      <c r="A9" s="114" t="s">
        <v>34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7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110/2022,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16" t="s">
        <v>35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36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37</v>
      </c>
      <c r="P13" s="118"/>
      <c r="Q13" s="119" t="s">
        <v>38</v>
      </c>
    </row>
    <row r="14" spans="1:17" ht="15.75" customHeight="1" x14ac:dyDescent="0.2">
      <c r="A14" s="12" t="s">
        <v>39</v>
      </c>
      <c r="B14" s="13" t="s">
        <v>40</v>
      </c>
      <c r="C14" s="13" t="s">
        <v>41</v>
      </c>
      <c r="D14" s="13" t="s">
        <v>42</v>
      </c>
      <c r="E14" s="13" t="s">
        <v>43</v>
      </c>
      <c r="F14" s="13" t="s">
        <v>44</v>
      </c>
      <c r="G14" s="14" t="s">
        <v>45</v>
      </c>
      <c r="H14" s="13" t="s">
        <v>46</v>
      </c>
      <c r="I14" s="13" t="s">
        <v>47</v>
      </c>
      <c r="J14" s="13" t="s">
        <v>48</v>
      </c>
      <c r="K14" s="13" t="s">
        <v>48</v>
      </c>
      <c r="L14" s="13" t="s">
        <v>49</v>
      </c>
      <c r="M14" s="15" t="s">
        <v>50</v>
      </c>
      <c r="N14" s="16" t="s">
        <v>51</v>
      </c>
      <c r="O14" s="118"/>
      <c r="P14" s="118"/>
      <c r="Q14" s="119"/>
    </row>
    <row r="15" spans="1:17" ht="17.25" customHeight="1" x14ac:dyDescent="0.2">
      <c r="A15" s="72">
        <v>16</v>
      </c>
      <c r="B15" s="72"/>
      <c r="C15" s="72"/>
      <c r="D15" s="72">
        <v>2</v>
      </c>
      <c r="E15" s="72"/>
      <c r="F15" s="72">
        <v>4901</v>
      </c>
      <c r="G15" s="73">
        <v>3</v>
      </c>
      <c r="H15" s="73">
        <v>2</v>
      </c>
      <c r="I15" s="72">
        <v>2</v>
      </c>
      <c r="J15" s="72">
        <v>5</v>
      </c>
      <c r="K15" s="72">
        <v>8</v>
      </c>
      <c r="L15" s="72"/>
      <c r="M15" s="72">
        <v>1</v>
      </c>
      <c r="N15" s="72">
        <v>1.1000000000000001</v>
      </c>
      <c r="O15" s="111" t="s">
        <v>65</v>
      </c>
      <c r="P15" s="112"/>
      <c r="Q15" s="33">
        <f>+'Necesidades Trimestrales'!I10</f>
        <v>8000000</v>
      </c>
    </row>
    <row r="16" spans="1:17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13"/>
      <c r="P16" s="113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13"/>
      <c r="P17" s="113"/>
      <c r="Q17" s="21"/>
    </row>
    <row r="18" spans="1:18" ht="17.25" customHeight="1" x14ac:dyDescent="0.2">
      <c r="A18" s="22"/>
      <c r="B18" s="23"/>
      <c r="C18" s="23"/>
      <c r="D18" s="23"/>
      <c r="E18" s="23"/>
      <c r="F18" s="24"/>
      <c r="G18" s="23"/>
      <c r="H18" s="23"/>
      <c r="I18" s="23"/>
      <c r="J18" s="23"/>
      <c r="K18" s="23"/>
      <c r="L18" s="23"/>
      <c r="M18" s="25"/>
      <c r="N18" s="26"/>
      <c r="O18" s="125"/>
      <c r="P18" s="125"/>
      <c r="Q18" s="21"/>
      <c r="R18" s="1"/>
    </row>
    <row r="19" spans="1:18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28"/>
      <c r="O19" s="126"/>
      <c r="P19" s="126"/>
      <c r="Q19" s="30"/>
    </row>
    <row r="20" spans="1:18" ht="20.25" customHeight="1" x14ac:dyDescent="0.2">
      <c r="A20" s="127" t="s">
        <v>73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31">
        <f>SUM(Q15:Q19)</f>
        <v>8000000</v>
      </c>
    </row>
    <row r="21" spans="1:18" ht="18" customHeight="1" thickBot="1" x14ac:dyDescent="0.25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</row>
    <row r="22" spans="1:18" ht="17.25" customHeight="1" thickBot="1" x14ac:dyDescent="0.25">
      <c r="A22" s="120" t="s">
        <v>52</v>
      </c>
      <c r="B22" s="121"/>
      <c r="C22" s="121"/>
      <c r="D22" s="121"/>
      <c r="E22" s="121"/>
      <c r="F22" s="122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</row>
    <row r="23" spans="1:18" ht="18" customHeight="1" thickBot="1" x14ac:dyDescent="0.25">
      <c r="A23" s="124" t="s">
        <v>78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</row>
    <row r="24" spans="1:18" x14ac:dyDescent="0.2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</sheetData>
  <mergeCells count="28">
    <mergeCell ref="A22:F22"/>
    <mergeCell ref="G22:Q22"/>
    <mergeCell ref="A23:Q24"/>
    <mergeCell ref="O17:P17"/>
    <mergeCell ref="O18:P18"/>
    <mergeCell ref="O19:P19"/>
    <mergeCell ref="A20:P20"/>
    <mergeCell ref="A21:Q21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2022-03-10T12:52:52Z</cp:lastPrinted>
  <dcterms:created xsi:type="dcterms:W3CDTF">2020-07-17T23:44:49Z</dcterms:created>
  <dcterms:modified xsi:type="dcterms:W3CDTF">2022-03-10T12:55:38Z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