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NotaPedido'!$A$1:$K$66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C62" i="2" l="1"/>
  <c r="C63" i="2"/>
  <c r="C64" i="2"/>
  <c r="C65" i="2"/>
  <c r="C55" i="2"/>
  <c r="C56" i="2"/>
  <c r="C57" i="2"/>
  <c r="C58" i="2"/>
  <c r="C59" i="2"/>
  <c r="C60" i="2"/>
  <c r="C61" i="2"/>
  <c r="C48" i="2"/>
  <c r="C49" i="2"/>
  <c r="C50" i="2"/>
  <c r="C51" i="2"/>
  <c r="C52" i="2"/>
  <c r="C53" i="2"/>
  <c r="C54" i="2"/>
  <c r="C40" i="2"/>
  <c r="C41" i="2"/>
  <c r="C42" i="2"/>
  <c r="C43" i="2"/>
  <c r="C44" i="2"/>
  <c r="C45" i="2"/>
  <c r="C46" i="2"/>
  <c r="C47" i="2"/>
  <c r="C34" i="2"/>
  <c r="C35" i="2"/>
  <c r="C36" i="2"/>
  <c r="C37" i="2"/>
  <c r="C38" i="2"/>
  <c r="C39" i="2"/>
  <c r="C29" i="2"/>
  <c r="C30" i="2"/>
  <c r="C31" i="2"/>
  <c r="C32" i="2"/>
  <c r="C33" i="2"/>
  <c r="C27" i="2"/>
  <c r="C28" i="2"/>
  <c r="C26" i="2"/>
  <c r="C25" i="2"/>
  <c r="C20" i="2"/>
  <c r="C21" i="2"/>
  <c r="C22" i="2"/>
  <c r="C23" i="2"/>
  <c r="C24" i="2"/>
  <c r="C16" i="2"/>
  <c r="C17" i="2"/>
  <c r="C18" i="2"/>
  <c r="C19" i="2"/>
  <c r="C14" i="2"/>
  <c r="C15" i="2"/>
  <c r="C13" i="2"/>
  <c r="C12" i="2"/>
  <c r="I58" i="1"/>
  <c r="I59" i="1"/>
  <c r="I60" i="1"/>
  <c r="I61" i="1"/>
  <c r="I62" i="1"/>
  <c r="I63" i="1"/>
  <c r="I50" i="1"/>
  <c r="I51" i="1"/>
  <c r="I52" i="1"/>
  <c r="I53" i="1"/>
  <c r="I54" i="1"/>
  <c r="I55" i="1"/>
  <c r="I56" i="1"/>
  <c r="I57" i="1"/>
  <c r="I40" i="1"/>
  <c r="I41" i="1"/>
  <c r="I42" i="1"/>
  <c r="I43" i="1"/>
  <c r="I44" i="1"/>
  <c r="I45" i="1"/>
  <c r="I46" i="1"/>
  <c r="I47" i="1"/>
  <c r="I48" i="1"/>
  <c r="I49" i="1"/>
  <c r="I31" i="1"/>
  <c r="I32" i="1"/>
  <c r="I33" i="1"/>
  <c r="I34" i="1"/>
  <c r="I35" i="1"/>
  <c r="I36" i="1"/>
  <c r="I37" i="1"/>
  <c r="I38" i="1"/>
  <c r="I39" i="1"/>
  <c r="I25" i="1"/>
  <c r="I26" i="1"/>
  <c r="I27" i="1"/>
  <c r="I28" i="1"/>
  <c r="I29" i="1"/>
  <c r="I30" i="1"/>
  <c r="I21" i="1"/>
  <c r="I22" i="1"/>
  <c r="I23" i="1"/>
  <c r="I24" i="1"/>
  <c r="I15" i="1"/>
  <c r="I16" i="1"/>
  <c r="I17" i="1"/>
  <c r="I18" i="1"/>
  <c r="I19" i="1"/>
  <c r="I20" i="1"/>
  <c r="I11" i="1"/>
  <c r="I12" i="1"/>
  <c r="I13" i="1"/>
  <c r="I14" i="1"/>
  <c r="I10" i="1"/>
  <c r="D3" i="2" l="1"/>
  <c r="G6" i="3" l="1"/>
  <c r="G7" i="3"/>
  <c r="D7" i="2"/>
  <c r="G4" i="3"/>
  <c r="D4" i="2"/>
  <c r="G5" i="3" s="1"/>
  <c r="A10" i="3" l="1"/>
  <c r="D1" i="3"/>
  <c r="J66" i="2"/>
  <c r="Q23" i="3"/>
</calcChain>
</file>

<file path=xl/sharedStrings.xml><?xml version="1.0" encoding="utf-8"?>
<sst xmlns="http://schemas.openxmlformats.org/spreadsheetml/2006/main" count="403" uniqueCount="131">
  <si>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</si>
  <si>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</si>
  <si>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</si>
  <si>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</si>
  <si>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</si>
  <si>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</si>
  <si>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</si>
  <si>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</si>
  <si>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</si>
  <si>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</si>
  <si>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</si>
  <si>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</si>
  <si>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</si>
  <si>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</si>
  <si>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</si>
  <si>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</si>
  <si>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</si>
  <si>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</si>
  <si>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</si>
  <si>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</si>
  <si>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</si>
  <si>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</si>
  <si>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</si>
  <si>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</si>
  <si>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</si>
  <si>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</si>
  <si>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</si>
  <si>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</si>
  <si>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</si>
  <si>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</si>
  <si>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</si>
  <si>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</si>
  <si>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</si>
  <si>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</si>
  <si>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</si>
  <si>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</si>
  <si>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</si>
  <si>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</si>
  <si>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</si>
  <si>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</si>
  <si>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</si>
  <si>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</si>
  <si>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</si>
  <si>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</si>
  <si>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</si>
  <si>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</si>
  <si>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</si>
  <si>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</si>
  <si>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</si>
  <si>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</si>
  <si>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</si>
  <si>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</si>
  <si>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</si>
  <si>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</si>
  <si>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</si>
  <si>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</si>
  <si>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</si>
  <si>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AGUJA DESCARTABLE 40/8</t>
  </si>
  <si>
    <t>AGUJA DESCARTABLE 50/8</t>
  </si>
  <si>
    <t>ALGODÓN  x 500 GRS.TIPO DONCELLA</t>
  </si>
  <si>
    <t>APO ADHESIVO 10 X 12  TIPO TEGADERM</t>
  </si>
  <si>
    <t>APO ADHESIVO 6 X 7 TIPO TEGADERM</t>
  </si>
  <si>
    <t>BAJALENGUA X 100 UNIDADES</t>
  </si>
  <si>
    <t>BOTAS ALTAS DESCARTABLES DE 30 GRAMOS CON TIRA EL PAR</t>
  </si>
  <si>
    <t>CANULAS NASALES PARA OXIGENOTERAPIA -  ADULTOS</t>
  </si>
  <si>
    <t>CANULAS NASALES PARA OXIGENOTERAPIA - PEDIATRICOS</t>
  </si>
  <si>
    <t>CATETER INTRAVENOSO Nº 22 TIPO HOSPIRA/BD</t>
  </si>
  <si>
    <t>CATETER INTRAVENOSO Nº 24 TIPO HOSPIRA/BD</t>
  </si>
  <si>
    <t>CLORHEXIDINA 2 % SOLUCION x 250 ml.</t>
  </si>
  <si>
    <t>CLORHEXIDINA 4% JABON x 500 ML CON VALVULA DISPENSADORA TIPO NOVARA</t>
  </si>
  <si>
    <t>ELECTRODOS DESCARTABLES ADULTO TIPO 3M</t>
  </si>
  <si>
    <t xml:space="preserve">EQUIPO PARA ADM. SOLUC. MICROGOTERO TIPO V-17c/ ROLLER  </t>
  </si>
  <si>
    <t>EQUIPO PARA ADMINISTRACION DE SOLUCIONES  MACROGOTERO TIPO V-14 CON ROLLER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</si>
  <si>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</si>
  <si>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</si>
  <si>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</si>
  <si>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</si>
  <si>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</si>
  <si>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HILO DE LINO N°20 BOVINA</t>
  </si>
  <si>
    <t>HILO DE LINO N°30 BOVINA</t>
  </si>
  <si>
    <t>HILO DE LINO N°40 BOVINA</t>
  </si>
  <si>
    <t>HILO DE SUTURA N1 CON AGUJA TIPO VICRYL CODIGO J341</t>
  </si>
  <si>
    <t>HILO DE SUTURA TIPO VICRYL N2-0 CODIGO J317 CON AGUJA</t>
  </si>
  <si>
    <t>HOJA DE BISTURI N° 24</t>
  </si>
  <si>
    <t>HOJA DE BISTURI Nº 11</t>
  </si>
  <si>
    <t>HOJA DE BISTURI Nº 15</t>
  </si>
  <si>
    <t>JERINGA DE 60 CC S/ AGUJA</t>
  </si>
  <si>
    <t>JERINGA P/INSULINA 100 UI CON AGUJA TIPO TERUMO</t>
  </si>
  <si>
    <t>JERINGAS DE 20CC  S/AGUJA</t>
  </si>
  <si>
    <t>LLAVE 3 VIAS ESTERIL 360° LUERLOCK C/PROLONG. 15CM</t>
  </si>
  <si>
    <t>LLAVE 3 VIAS ESTERIL 360° LUERLOCK C/PROLONG. 30 CM</t>
  </si>
  <si>
    <t>LLAVE DE TRES VIA</t>
  </si>
  <si>
    <t>MASCARA CON BOLSA RESERVORIO</t>
  </si>
  <si>
    <t>SET DE VIA CENTRAL DOBLE LUMEN  7 FRENCH TIPO ARROW</t>
  </si>
  <si>
    <t>SET DE VIA CENTRAL SIMPLE LUMEN VIA 7 FRENCH TIPO ARROW</t>
  </si>
  <si>
    <t>SET PARA NEBULIZAR COMPLETO PIPETA+ MASCARA + TUBULADURA</t>
  </si>
  <si>
    <t>SONDA FOLEY DOBLE VIA Nº 14 DE PVC RECUBIERTO CON SILICONA</t>
  </si>
  <si>
    <t>SONDA FOLEY DOBLE VIA Nº 16 DE PVC RECUBIERTO CON SILICONA</t>
  </si>
  <si>
    <t>SONDA FOLEY DOBLE VIA Nº 18 DE PVC RECUBIERTO CON SILICONA</t>
  </si>
  <si>
    <t>SONDA INTUB.GASTRICA K 9</t>
  </si>
  <si>
    <t>SONDA INTUB.GASTRICA K10</t>
  </si>
  <si>
    <t>SONDA INTUB.GASTRICA K11</t>
  </si>
  <si>
    <t>SONDA NASOGASTRICA K 33</t>
  </si>
  <si>
    <t>SONDA NASOGASTRICA K 35</t>
  </si>
  <si>
    <t>SONDA NELATON PVC N° 12 T/K93</t>
  </si>
  <si>
    <t>SONDA P/ASPIRACION MUCUS T/K29P C/REGULADOR</t>
  </si>
  <si>
    <t>SONDA P/ASPIRACION MUCUS T/K35P C/REGULADOR</t>
  </si>
  <si>
    <t>TELA ADHESIVA 2,5 MM X 9,00 MTS TIPO ADHESUR</t>
  </si>
  <si>
    <t>TELA ADHESIVA 5 MM X 9,00 MTS TIPO ADHESUR</t>
  </si>
  <si>
    <t>TELA ADHESIVA HIPOALERGENICA MICROPORE 2,5 CM TIPO 3 M</t>
  </si>
  <si>
    <t>TELA ADHESIVA HIPOALERGENICA TRANSPORE 2,5 CM TIPO 3 M</t>
  </si>
  <si>
    <t>UTILES MENORES, MEDICOS, QUIRURGICOS Y DE LABORATORIO</t>
  </si>
  <si>
    <t>2.9.5</t>
  </si>
  <si>
    <t>1.1</t>
  </si>
  <si>
    <t xml:space="preserve">Ministerio de Salud </t>
  </si>
  <si>
    <t>Chacabuco N° 169</t>
  </si>
  <si>
    <t>Plazo de entrega 10 dias habiles</t>
  </si>
  <si>
    <t>Cuarto Trimestre</t>
  </si>
  <si>
    <t>59-2020</t>
  </si>
  <si>
    <t>DIRECCION PROVINCIAL DE FARMACIA E INSUMOS</t>
  </si>
  <si>
    <t>SI</t>
  </si>
  <si>
    <t>Costo total estimado: DIECINUEVE MILLONES NOVECIENTOS VEINTIDOS MIL DOSCIENTOS CUATRO CON 00/100.-</t>
  </si>
  <si>
    <t>TOTAL DE PESOS: DIECINUEVE MILLONES NOVECIENTOS VEINTIDOS MIL DOSCIENTOS CUATRO CON 00/100.-</t>
  </si>
  <si>
    <t>ADQUISICION DE INSUMOS DESCARTABLES PARA LA DIRECCION PROV. DE FARMACIA E INSUMOS.-</t>
  </si>
  <si>
    <t>UNIDAD</t>
  </si>
  <si>
    <t>Adquisicion de descartables</t>
  </si>
  <si>
    <t>2.5.1</t>
  </si>
  <si>
    <t>CAJA</t>
  </si>
  <si>
    <t>Especificidades Item N° 1 al 54:</t>
  </si>
  <si>
    <t>VER ANEXO "A"</t>
  </si>
  <si>
    <t>COMPUESTOS 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</si>
</sst>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sz val="9"/>
      <color rgb="FF000000"/>
      <name val="Calibri"/>
      <family val="2"/>
      <scheme val="minor"/>
    </font>
    <font>
      <sz val="8"/>
      <name val="Arial"/>
      <family val="2"/>
    </font>
    <font>
      <sz val="9"/>
      <name val="Calibri"/>
      <family val="2"/>
      <scheme val="minor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29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0" xfId="0" applyBorder="1"/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166" fontId="14" fillId="0" borderId="4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0" xfId="0" applyFont="1" applyBorder="1"/>
    <xf numFmtId="0" fontId="16" fillId="0" borderId="10" xfId="0" applyFont="1" applyBorder="1"/>
    <xf numFmtId="0" fontId="23" fillId="0" borderId="9" xfId="0" applyFont="1" applyBorder="1" applyAlignment="1">
      <alignment horizontal="left" indent="3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0" fontId="23" fillId="4" borderId="9" xfId="0" applyFont="1" applyFill="1" applyBorder="1" applyAlignment="1">
      <alignment horizontal="left" indent="3"/>
    </xf>
    <xf numFmtId="0" fontId="16" fillId="4" borderId="0" xfId="0" applyFont="1" applyFill="1" applyBorder="1"/>
    <xf numFmtId="0" fontId="16" fillId="4" borderId="10" xfId="0" applyFont="1" applyFill="1" applyBorder="1"/>
    <xf numFmtId="0" fontId="16" fillId="4" borderId="9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0" xfId="0" applyFont="1" applyFill="1" applyBorder="1" applyAlignment="1">
      <alignment horizontal="center" wrapText="1"/>
    </xf>
    <xf numFmtId="0" fontId="16" fillId="4" borderId="11" xfId="0" applyFont="1" applyFill="1" applyBorder="1" applyAlignment="1">
      <alignment horizontal="left" indent="3"/>
    </xf>
    <xf numFmtId="0" fontId="16" fillId="4" borderId="12" xfId="0" applyFont="1" applyFill="1" applyBorder="1"/>
    <xf numFmtId="0" fontId="16" fillId="4" borderId="13" xfId="0" applyFont="1" applyFill="1" applyBorder="1"/>
    <xf numFmtId="0" fontId="16" fillId="4" borderId="0" xfId="0" applyFont="1" applyFill="1"/>
    <xf numFmtId="0" fontId="6" fillId="3" borderId="1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left" vertical="center"/>
    </xf>
    <xf numFmtId="0" fontId="0" fillId="3" borderId="35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166" fontId="0" fillId="4" borderId="38" xfId="3" applyNumberFormat="1" applyFont="1" applyFill="1" applyBorder="1" applyAlignment="1" applyProtection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2" fillId="3" borderId="53" xfId="0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 vertical="center" wrapText="1"/>
    </xf>
    <xf numFmtId="0" fontId="25" fillId="0" borderId="5" xfId="0" applyFont="1" applyBorder="1" applyAlignment="1">
      <alignment vertical="center" wrapText="1"/>
    </xf>
    <xf numFmtId="0" fontId="25" fillId="0" borderId="5" xfId="0" applyFont="1" applyBorder="1" applyAlignment="1">
      <alignment horizontal="left" vertical="center" wrapText="1"/>
    </xf>
    <xf numFmtId="0" fontId="0" fillId="0" borderId="54" xfId="0" applyBorder="1" applyAlignment="1">
      <alignment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169" fontId="0" fillId="0" borderId="18" xfId="0" applyNumberFormat="1" applyBorder="1"/>
    <xf numFmtId="0" fontId="0" fillId="0" borderId="56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57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15" fillId="3" borderId="36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169" fontId="0" fillId="0" borderId="53" xfId="0" applyNumberFormat="1" applyBorder="1"/>
    <xf numFmtId="169" fontId="0" fillId="0" borderId="5" xfId="0" applyNumberFormat="1" applyBorder="1"/>
    <xf numFmtId="0" fontId="26" fillId="0" borderId="53" xfId="0" applyFont="1" applyBorder="1" applyAlignment="1">
      <alignment horizontal="left" vertical="center" wrapText="1"/>
    </xf>
    <xf numFmtId="0" fontId="25" fillId="0" borderId="53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0" fontId="20" fillId="0" borderId="61" xfId="0" applyFont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4" borderId="58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 indent="1"/>
    </xf>
    <xf numFmtId="167" fontId="29" fillId="0" borderId="24" xfId="0" applyNumberFormat="1" applyFont="1" applyBorder="1" applyAlignment="1">
      <alignment horizontal="center" vertical="center"/>
    </xf>
    <xf numFmtId="167" fontId="29" fillId="0" borderId="25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3" borderId="48" xfId="0" applyFont="1" applyFill="1" applyBorder="1" applyAlignment="1">
      <alignment horizontal="left" vertical="center" wrapText="1" indent="1"/>
    </xf>
    <xf numFmtId="0" fontId="0" fillId="0" borderId="42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10" fillId="0" borderId="48" xfId="0" applyFont="1" applyBorder="1" applyAlignment="1">
      <alignment horizontal="left" vertical="center" wrapText="1"/>
    </xf>
    <xf numFmtId="0" fontId="0" fillId="0" borderId="26" xfId="0" applyBorder="1"/>
    <xf numFmtId="0" fontId="28" fillId="4" borderId="36" xfId="0" applyFont="1" applyFill="1" applyBorder="1" applyAlignment="1">
      <alignment horizontal="left" vertical="center" wrapText="1"/>
    </xf>
    <xf numFmtId="0" fontId="12" fillId="0" borderId="27" xfId="0" applyFont="1" applyBorder="1"/>
    <xf numFmtId="0" fontId="12" fillId="0" borderId="28" xfId="0" applyFont="1" applyBorder="1" applyAlignment="1">
      <alignment horizontal="left" vertical="center" wrapText="1" indent="1"/>
    </xf>
    <xf numFmtId="0" fontId="14" fillId="0" borderId="2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indent="1"/>
    </xf>
    <xf numFmtId="0" fontId="13" fillId="0" borderId="15" xfId="0" applyFont="1" applyBorder="1" applyAlignment="1">
      <alignment horizontal="left"/>
    </xf>
    <xf numFmtId="0" fontId="0" fillId="0" borderId="24" xfId="0" applyFont="1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2" fillId="0" borderId="15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1"/>
  <sheetViews>
    <sheetView zoomScale="130" zoomScaleNormal="130" workbookViewId="0">
      <selection activeCell="C64" sqref="C64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32.4257812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02" t="s">
        <v>0</v>
      </c>
      <c r="C2" s="102"/>
      <c r="D2" s="102"/>
      <c r="E2" s="102"/>
      <c r="F2" s="102"/>
      <c r="G2" s="102"/>
      <c r="H2" s="102"/>
    </row>
    <row r="4" spans="1:9" ht="18" customHeight="1" x14ac:dyDescent="0.25">
      <c r="A4" s="103" t="s">
        <v>1</v>
      </c>
      <c r="B4" s="103"/>
      <c r="C4" s="104" t="s">
        <v>56</v>
      </c>
      <c r="D4" s="104"/>
      <c r="E4" s="104"/>
      <c r="F4" s="38"/>
      <c r="G4" s="39"/>
      <c r="H4" s="38"/>
    </row>
    <row r="5" spans="1:9" ht="18" customHeight="1" x14ac:dyDescent="0.25">
      <c r="A5" s="103" t="s">
        <v>2</v>
      </c>
      <c r="B5" s="103"/>
      <c r="C5" s="104">
        <v>11</v>
      </c>
      <c r="D5" s="104"/>
      <c r="E5" s="104"/>
      <c r="F5" s="38"/>
      <c r="G5" s="39"/>
      <c r="H5" s="38"/>
    </row>
    <row r="6" spans="1:9" ht="16.5" customHeight="1" x14ac:dyDescent="0.25">
      <c r="A6" s="103" t="s">
        <v>3</v>
      </c>
      <c r="B6" s="103"/>
      <c r="C6" s="49">
        <v>2020</v>
      </c>
      <c r="D6" s="50"/>
      <c r="E6" s="50"/>
      <c r="F6" s="38"/>
      <c r="G6" s="39"/>
      <c r="H6" s="38"/>
    </row>
    <row r="7" spans="1:9" ht="16.5" customHeight="1" x14ac:dyDescent="0.25">
      <c r="A7" s="103" t="s">
        <v>4</v>
      </c>
      <c r="B7" s="103"/>
      <c r="C7" s="49" t="s">
        <v>117</v>
      </c>
      <c r="D7" s="50"/>
      <c r="E7" s="50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95" t="s">
        <v>5</v>
      </c>
      <c r="B9" s="96" t="s">
        <v>6</v>
      </c>
      <c r="C9" s="96" t="s">
        <v>7</v>
      </c>
      <c r="D9" s="96" t="s">
        <v>8</v>
      </c>
      <c r="E9" s="96" t="s">
        <v>9</v>
      </c>
      <c r="F9" s="96" t="s">
        <v>10</v>
      </c>
      <c r="G9" s="97" t="s">
        <v>11</v>
      </c>
      <c r="H9" s="88" t="s">
        <v>12</v>
      </c>
      <c r="I9" s="98" t="s">
        <v>13</v>
      </c>
    </row>
    <row r="10" spans="1:9" ht="24.75" thickBot="1" x14ac:dyDescent="0.25">
      <c r="A10" s="70">
        <v>1</v>
      </c>
      <c r="B10" s="71"/>
      <c r="C10" s="91" t="s">
        <v>111</v>
      </c>
      <c r="D10" s="72" t="s">
        <v>112</v>
      </c>
      <c r="E10" s="92" t="s">
        <v>57</v>
      </c>
      <c r="F10" s="71" t="s">
        <v>124</v>
      </c>
      <c r="G10" s="93">
        <v>500000</v>
      </c>
      <c r="H10" s="89">
        <v>1.98</v>
      </c>
      <c r="I10" s="94">
        <f>SUM(G10*H10)</f>
        <v>990000</v>
      </c>
    </row>
    <row r="11" spans="1:9" ht="24.75" thickBot="1" x14ac:dyDescent="0.25">
      <c r="A11" s="70">
        <v>2</v>
      </c>
      <c r="B11" s="71"/>
      <c r="C11" s="86" t="s">
        <v>111</v>
      </c>
      <c r="D11" s="72" t="s">
        <v>112</v>
      </c>
      <c r="E11" s="73" t="s">
        <v>58</v>
      </c>
      <c r="F11" s="71" t="s">
        <v>124</v>
      </c>
      <c r="G11" s="75">
        <v>5000</v>
      </c>
      <c r="H11" s="90">
        <v>1.98</v>
      </c>
      <c r="I11" s="51">
        <f t="shared" ref="I11:I63" si="0">SUM(G11*H11)</f>
        <v>9900</v>
      </c>
    </row>
    <row r="12" spans="1:9" ht="24.75" thickBot="1" x14ac:dyDescent="0.25">
      <c r="A12" s="40">
        <v>3</v>
      </c>
      <c r="B12" s="71"/>
      <c r="C12" s="86" t="s">
        <v>111</v>
      </c>
      <c r="D12" s="41" t="s">
        <v>112</v>
      </c>
      <c r="E12" s="73" t="s">
        <v>59</v>
      </c>
      <c r="F12" s="71" t="s">
        <v>124</v>
      </c>
      <c r="G12" s="75">
        <v>6000</v>
      </c>
      <c r="H12" s="90">
        <v>348</v>
      </c>
      <c r="I12" s="51">
        <f t="shared" si="0"/>
        <v>2088000</v>
      </c>
    </row>
    <row r="13" spans="1:9" ht="24.75" thickBot="1" x14ac:dyDescent="0.25">
      <c r="A13" s="70">
        <v>4</v>
      </c>
      <c r="B13" s="71"/>
      <c r="C13" s="86" t="s">
        <v>111</v>
      </c>
      <c r="D13" s="72" t="s">
        <v>112</v>
      </c>
      <c r="E13" s="74" t="s">
        <v>60</v>
      </c>
      <c r="F13" s="71" t="s">
        <v>124</v>
      </c>
      <c r="G13" s="75">
        <v>1000</v>
      </c>
      <c r="H13" s="90">
        <v>105</v>
      </c>
      <c r="I13" s="51">
        <f t="shared" si="0"/>
        <v>105000</v>
      </c>
    </row>
    <row r="14" spans="1:9" ht="24.75" thickBot="1" x14ac:dyDescent="0.25">
      <c r="A14" s="40">
        <v>5</v>
      </c>
      <c r="B14" s="71"/>
      <c r="C14" s="86" t="s">
        <v>111</v>
      </c>
      <c r="D14" s="41" t="s">
        <v>112</v>
      </c>
      <c r="E14" s="74" t="s">
        <v>61</v>
      </c>
      <c r="F14" s="71" t="s">
        <v>124</v>
      </c>
      <c r="G14" s="75">
        <v>1000</v>
      </c>
      <c r="H14" s="90">
        <v>125</v>
      </c>
      <c r="I14" s="51">
        <f t="shared" si="0"/>
        <v>125000</v>
      </c>
    </row>
    <row r="15" spans="1:9" ht="24.75" thickBot="1" x14ac:dyDescent="0.25">
      <c r="A15" s="70">
        <v>6</v>
      </c>
      <c r="B15" s="71"/>
      <c r="C15" s="86" t="s">
        <v>111</v>
      </c>
      <c r="D15" s="72" t="s">
        <v>112</v>
      </c>
      <c r="E15" s="73" t="s">
        <v>62</v>
      </c>
      <c r="F15" s="71" t="s">
        <v>127</v>
      </c>
      <c r="G15" s="75">
        <v>3000</v>
      </c>
      <c r="H15" s="90">
        <v>148</v>
      </c>
      <c r="I15" s="51">
        <f t="shared" si="0"/>
        <v>444000</v>
      </c>
    </row>
    <row r="16" spans="1:9" ht="24.75" thickBot="1" x14ac:dyDescent="0.25">
      <c r="A16" s="40">
        <v>7</v>
      </c>
      <c r="B16" s="71"/>
      <c r="C16" s="86" t="s">
        <v>111</v>
      </c>
      <c r="D16" s="41" t="s">
        <v>112</v>
      </c>
      <c r="E16" s="73" t="s">
        <v>63</v>
      </c>
      <c r="F16" s="71" t="s">
        <v>124</v>
      </c>
      <c r="G16" s="75">
        <v>100000</v>
      </c>
      <c r="H16" s="90">
        <v>6.9</v>
      </c>
      <c r="I16" s="51">
        <f t="shared" si="0"/>
        <v>690000</v>
      </c>
    </row>
    <row r="17" spans="1:9" ht="24.75" thickBot="1" x14ac:dyDescent="0.25">
      <c r="A17" s="70">
        <v>8</v>
      </c>
      <c r="B17" s="71"/>
      <c r="C17" s="86" t="s">
        <v>111</v>
      </c>
      <c r="D17" s="72" t="s">
        <v>112</v>
      </c>
      <c r="E17" s="73" t="s">
        <v>64</v>
      </c>
      <c r="F17" s="71" t="s">
        <v>124</v>
      </c>
      <c r="G17" s="75">
        <v>1000</v>
      </c>
      <c r="H17" s="90">
        <v>19</v>
      </c>
      <c r="I17" s="51">
        <f t="shared" si="0"/>
        <v>19000</v>
      </c>
    </row>
    <row r="18" spans="1:9" ht="24.75" thickBot="1" x14ac:dyDescent="0.25">
      <c r="A18" s="40">
        <v>9</v>
      </c>
      <c r="B18" s="71"/>
      <c r="C18" s="86" t="s">
        <v>111</v>
      </c>
      <c r="D18" s="41" t="s">
        <v>112</v>
      </c>
      <c r="E18" s="73" t="s">
        <v>65</v>
      </c>
      <c r="F18" s="71" t="s">
        <v>124</v>
      </c>
      <c r="G18" s="75">
        <v>1000</v>
      </c>
      <c r="H18" s="90">
        <v>23</v>
      </c>
      <c r="I18" s="51">
        <f t="shared" si="0"/>
        <v>23000</v>
      </c>
    </row>
    <row r="19" spans="1:9" ht="24.75" thickBot="1" x14ac:dyDescent="0.25">
      <c r="A19" s="70">
        <v>10</v>
      </c>
      <c r="B19" s="71"/>
      <c r="C19" s="86" t="s">
        <v>111</v>
      </c>
      <c r="D19" s="72" t="s">
        <v>112</v>
      </c>
      <c r="E19" s="73" t="s">
        <v>66</v>
      </c>
      <c r="F19" s="71" t="s">
        <v>124</v>
      </c>
      <c r="G19" s="75">
        <v>30000</v>
      </c>
      <c r="H19" s="90">
        <v>56</v>
      </c>
      <c r="I19" s="51">
        <f t="shared" si="0"/>
        <v>1680000</v>
      </c>
    </row>
    <row r="20" spans="1:9" ht="24.75" thickBot="1" x14ac:dyDescent="0.25">
      <c r="A20" s="40">
        <v>11</v>
      </c>
      <c r="B20" s="71"/>
      <c r="C20" s="86" t="s">
        <v>111</v>
      </c>
      <c r="D20" s="41" t="s">
        <v>112</v>
      </c>
      <c r="E20" s="73" t="s">
        <v>67</v>
      </c>
      <c r="F20" s="71" t="s">
        <v>124</v>
      </c>
      <c r="G20" s="75">
        <v>18000</v>
      </c>
      <c r="H20" s="90">
        <v>56</v>
      </c>
      <c r="I20" s="51">
        <f t="shared" si="0"/>
        <v>1008000</v>
      </c>
    </row>
    <row r="21" spans="1:9" ht="24.75" thickBot="1" x14ac:dyDescent="0.25">
      <c r="A21" s="70">
        <v>12</v>
      </c>
      <c r="B21" s="71"/>
      <c r="C21" s="86" t="s">
        <v>111</v>
      </c>
      <c r="D21" s="72" t="s">
        <v>126</v>
      </c>
      <c r="E21" s="73" t="s">
        <v>68</v>
      </c>
      <c r="F21" s="71" t="s">
        <v>124</v>
      </c>
      <c r="G21" s="75">
        <v>500</v>
      </c>
      <c r="H21" s="90">
        <v>623</v>
      </c>
      <c r="I21" s="51">
        <f t="shared" si="0"/>
        <v>311500</v>
      </c>
    </row>
    <row r="22" spans="1:9" ht="24.75" thickBot="1" x14ac:dyDescent="0.25">
      <c r="A22" s="40">
        <v>13</v>
      </c>
      <c r="B22" s="71"/>
      <c r="C22" s="86" t="s">
        <v>111</v>
      </c>
      <c r="D22" s="41" t="s">
        <v>126</v>
      </c>
      <c r="E22" s="73" t="s">
        <v>69</v>
      </c>
      <c r="F22" s="71" t="s">
        <v>124</v>
      </c>
      <c r="G22" s="75">
        <v>700</v>
      </c>
      <c r="H22" s="90">
        <v>826</v>
      </c>
      <c r="I22" s="51">
        <f t="shared" si="0"/>
        <v>578200</v>
      </c>
    </row>
    <row r="23" spans="1:9" ht="24.75" thickBot="1" x14ac:dyDescent="0.25">
      <c r="A23" s="70">
        <v>14</v>
      </c>
      <c r="B23" s="71"/>
      <c r="C23" s="86" t="s">
        <v>111</v>
      </c>
      <c r="D23" s="72" t="s">
        <v>112</v>
      </c>
      <c r="E23" s="73" t="s">
        <v>70</v>
      </c>
      <c r="F23" s="71" t="s">
        <v>124</v>
      </c>
      <c r="G23" s="75">
        <v>10000</v>
      </c>
      <c r="H23" s="90">
        <v>12</v>
      </c>
      <c r="I23" s="51">
        <f t="shared" si="0"/>
        <v>120000</v>
      </c>
    </row>
    <row r="24" spans="1:9" ht="24.75" thickBot="1" x14ac:dyDescent="0.25">
      <c r="A24" s="40">
        <v>15</v>
      </c>
      <c r="B24" s="71"/>
      <c r="C24" s="86" t="s">
        <v>111</v>
      </c>
      <c r="D24" s="41" t="s">
        <v>112</v>
      </c>
      <c r="E24" s="73" t="s">
        <v>71</v>
      </c>
      <c r="F24" s="71" t="s">
        <v>124</v>
      </c>
      <c r="G24" s="75">
        <v>4000</v>
      </c>
      <c r="H24" s="90">
        <v>29</v>
      </c>
      <c r="I24" s="51">
        <f t="shared" si="0"/>
        <v>116000</v>
      </c>
    </row>
    <row r="25" spans="1:9" ht="32.25" thickBot="1" x14ac:dyDescent="0.25">
      <c r="A25" s="70">
        <v>16</v>
      </c>
      <c r="B25" s="71"/>
      <c r="C25" s="86" t="s">
        <v>111</v>
      </c>
      <c r="D25" s="72" t="s">
        <v>112</v>
      </c>
      <c r="E25" s="73" t="s">
        <v>72</v>
      </c>
      <c r="F25" s="71" t="s">
        <v>124</v>
      </c>
      <c r="G25" s="75">
        <v>50000</v>
      </c>
      <c r="H25" s="90">
        <v>31</v>
      </c>
      <c r="I25" s="51">
        <f t="shared" si="0"/>
        <v>1550000</v>
      </c>
    </row>
    <row r="26" spans="1:9" ht="24.75" thickBot="1" x14ac:dyDescent="0.25">
      <c r="A26" s="40">
        <v>17</v>
      </c>
      <c r="B26" s="71"/>
      <c r="C26" s="86" t="s">
        <v>111</v>
      </c>
      <c r="D26" s="41" t="s">
        <v>126</v>
      </c>
      <c r="E26" s="73" t="s">
        <v>73</v>
      </c>
      <c r="F26" s="71" t="s">
        <v>124</v>
      </c>
      <c r="G26" s="75">
        <v>150</v>
      </c>
      <c r="H26" s="90">
        <v>256</v>
      </c>
      <c r="I26" s="51">
        <f t="shared" si="0"/>
        <v>38400</v>
      </c>
    </row>
    <row r="27" spans="1:9" ht="24.75" thickBot="1" x14ac:dyDescent="0.25">
      <c r="A27" s="70">
        <v>18</v>
      </c>
      <c r="B27" s="71"/>
      <c r="C27" s="86" t="s">
        <v>111</v>
      </c>
      <c r="D27" s="72" t="s">
        <v>112</v>
      </c>
      <c r="E27" s="73" t="s">
        <v>74</v>
      </c>
      <c r="F27" s="71" t="s">
        <v>124</v>
      </c>
      <c r="G27" s="75">
        <v>9500</v>
      </c>
      <c r="H27" s="90">
        <v>21</v>
      </c>
      <c r="I27" s="51">
        <f t="shared" si="0"/>
        <v>199500</v>
      </c>
    </row>
    <row r="28" spans="1:9" ht="24.75" thickBot="1" x14ac:dyDescent="0.25">
      <c r="A28" s="40">
        <v>19</v>
      </c>
      <c r="B28" s="71"/>
      <c r="C28" s="86" t="s">
        <v>111</v>
      </c>
      <c r="D28" s="41" t="s">
        <v>112</v>
      </c>
      <c r="E28" s="73" t="s">
        <v>75</v>
      </c>
      <c r="F28" s="71" t="s">
        <v>124</v>
      </c>
      <c r="G28" s="75">
        <v>15000</v>
      </c>
      <c r="H28" s="90">
        <v>21</v>
      </c>
      <c r="I28" s="51">
        <f t="shared" si="0"/>
        <v>315000</v>
      </c>
    </row>
    <row r="29" spans="1:9" ht="24.75" thickBot="1" x14ac:dyDescent="0.25">
      <c r="A29" s="70">
        <v>20</v>
      </c>
      <c r="B29" s="71"/>
      <c r="C29" s="86" t="s">
        <v>111</v>
      </c>
      <c r="D29" s="72" t="s">
        <v>112</v>
      </c>
      <c r="E29" s="73" t="s">
        <v>76</v>
      </c>
      <c r="F29" s="71" t="s">
        <v>124</v>
      </c>
      <c r="G29" s="75">
        <v>15000</v>
      </c>
      <c r="H29" s="90">
        <v>21</v>
      </c>
      <c r="I29" s="51">
        <f t="shared" si="0"/>
        <v>315000</v>
      </c>
    </row>
    <row r="30" spans="1:9" ht="24.75" thickBot="1" x14ac:dyDescent="0.25">
      <c r="A30" s="40">
        <v>21</v>
      </c>
      <c r="B30" s="71"/>
      <c r="C30" s="86" t="s">
        <v>111</v>
      </c>
      <c r="D30" s="41" t="s">
        <v>112</v>
      </c>
      <c r="E30" s="73" t="s">
        <v>77</v>
      </c>
      <c r="F30" s="71" t="s">
        <v>124</v>
      </c>
      <c r="G30" s="75">
        <v>12000</v>
      </c>
      <c r="H30" s="90">
        <v>20</v>
      </c>
      <c r="I30" s="51">
        <f t="shared" si="0"/>
        <v>240000</v>
      </c>
    </row>
    <row r="31" spans="1:9" ht="24.75" thickBot="1" x14ac:dyDescent="0.25">
      <c r="A31" s="70">
        <v>22</v>
      </c>
      <c r="B31" s="71"/>
      <c r="C31" s="86" t="s">
        <v>111</v>
      </c>
      <c r="D31" s="72" t="s">
        <v>112</v>
      </c>
      <c r="E31" s="74" t="s">
        <v>78</v>
      </c>
      <c r="F31" s="71" t="s">
        <v>124</v>
      </c>
      <c r="G31" s="75">
        <v>15</v>
      </c>
      <c r="H31" s="90">
        <v>459</v>
      </c>
      <c r="I31" s="51">
        <f t="shared" si="0"/>
        <v>6885</v>
      </c>
    </row>
    <row r="32" spans="1:9" ht="24.75" thickBot="1" x14ac:dyDescent="0.25">
      <c r="A32" s="40">
        <v>23</v>
      </c>
      <c r="B32" s="71"/>
      <c r="C32" s="86" t="s">
        <v>111</v>
      </c>
      <c r="D32" s="41" t="s">
        <v>112</v>
      </c>
      <c r="E32" s="74" t="s">
        <v>79</v>
      </c>
      <c r="F32" s="71" t="s">
        <v>124</v>
      </c>
      <c r="G32" s="75">
        <v>15</v>
      </c>
      <c r="H32" s="90">
        <v>459</v>
      </c>
      <c r="I32" s="51">
        <f t="shared" si="0"/>
        <v>6885</v>
      </c>
    </row>
    <row r="33" spans="1:9" ht="24.75" thickBot="1" x14ac:dyDescent="0.25">
      <c r="A33" s="70">
        <v>24</v>
      </c>
      <c r="B33" s="71"/>
      <c r="C33" s="86" t="s">
        <v>111</v>
      </c>
      <c r="D33" s="72" t="s">
        <v>112</v>
      </c>
      <c r="E33" s="74" t="s">
        <v>80</v>
      </c>
      <c r="F33" s="71" t="s">
        <v>124</v>
      </c>
      <c r="G33" s="75">
        <v>10</v>
      </c>
      <c r="H33" s="90">
        <v>459</v>
      </c>
      <c r="I33" s="51">
        <f t="shared" si="0"/>
        <v>4590</v>
      </c>
    </row>
    <row r="34" spans="1:9" ht="24.75" thickBot="1" x14ac:dyDescent="0.25">
      <c r="A34" s="40">
        <v>25</v>
      </c>
      <c r="B34" s="71"/>
      <c r="C34" s="86" t="s">
        <v>111</v>
      </c>
      <c r="D34" s="41" t="s">
        <v>112</v>
      </c>
      <c r="E34" s="74" t="s">
        <v>81</v>
      </c>
      <c r="F34" s="71" t="s">
        <v>124</v>
      </c>
      <c r="G34" s="75">
        <v>480</v>
      </c>
      <c r="H34" s="90">
        <v>456</v>
      </c>
      <c r="I34" s="51">
        <f t="shared" si="0"/>
        <v>218880</v>
      </c>
    </row>
    <row r="35" spans="1:9" ht="24.75" thickBot="1" x14ac:dyDescent="0.25">
      <c r="A35" s="70">
        <v>26</v>
      </c>
      <c r="B35" s="71"/>
      <c r="C35" s="86" t="s">
        <v>111</v>
      </c>
      <c r="D35" s="72" t="s">
        <v>112</v>
      </c>
      <c r="E35" s="74" t="s">
        <v>82</v>
      </c>
      <c r="F35" s="71" t="s">
        <v>124</v>
      </c>
      <c r="G35" s="75">
        <v>144</v>
      </c>
      <c r="H35" s="90">
        <v>456</v>
      </c>
      <c r="I35" s="51">
        <f t="shared" si="0"/>
        <v>65664</v>
      </c>
    </row>
    <row r="36" spans="1:9" ht="24.75" thickBot="1" x14ac:dyDescent="0.25">
      <c r="A36" s="40">
        <v>27</v>
      </c>
      <c r="B36" s="71"/>
      <c r="C36" s="86" t="s">
        <v>111</v>
      </c>
      <c r="D36" s="41" t="s">
        <v>112</v>
      </c>
      <c r="E36" s="73" t="s">
        <v>83</v>
      </c>
      <c r="F36" s="71" t="s">
        <v>124</v>
      </c>
      <c r="G36" s="75">
        <v>10000</v>
      </c>
      <c r="H36" s="90">
        <v>8</v>
      </c>
      <c r="I36" s="51">
        <f t="shared" si="0"/>
        <v>80000</v>
      </c>
    </row>
    <row r="37" spans="1:9" ht="24.75" thickBot="1" x14ac:dyDescent="0.25">
      <c r="A37" s="70">
        <v>28</v>
      </c>
      <c r="B37" s="71"/>
      <c r="C37" s="86" t="s">
        <v>111</v>
      </c>
      <c r="D37" s="72" t="s">
        <v>112</v>
      </c>
      <c r="E37" s="73" t="s">
        <v>84</v>
      </c>
      <c r="F37" s="71" t="s">
        <v>124</v>
      </c>
      <c r="G37" s="75">
        <v>2000</v>
      </c>
      <c r="H37" s="90">
        <v>8</v>
      </c>
      <c r="I37" s="51">
        <f t="shared" si="0"/>
        <v>16000</v>
      </c>
    </row>
    <row r="38" spans="1:9" ht="24.75" thickBot="1" x14ac:dyDescent="0.25">
      <c r="A38" s="40">
        <v>29</v>
      </c>
      <c r="B38" s="71"/>
      <c r="C38" s="86" t="s">
        <v>111</v>
      </c>
      <c r="D38" s="41" t="s">
        <v>112</v>
      </c>
      <c r="E38" s="73" t="s">
        <v>85</v>
      </c>
      <c r="F38" s="71" t="s">
        <v>124</v>
      </c>
      <c r="G38" s="75">
        <v>6000</v>
      </c>
      <c r="H38" s="90">
        <v>8</v>
      </c>
      <c r="I38" s="51">
        <f t="shared" si="0"/>
        <v>48000</v>
      </c>
    </row>
    <row r="39" spans="1:9" ht="24.75" thickBot="1" x14ac:dyDescent="0.25">
      <c r="A39" s="70">
        <v>30</v>
      </c>
      <c r="B39" s="71"/>
      <c r="C39" s="86" t="s">
        <v>111</v>
      </c>
      <c r="D39" s="72" t="s">
        <v>112</v>
      </c>
      <c r="E39" s="73" t="s">
        <v>86</v>
      </c>
      <c r="F39" s="71" t="s">
        <v>124</v>
      </c>
      <c r="G39" s="75">
        <v>2000</v>
      </c>
      <c r="H39" s="90">
        <v>25</v>
      </c>
      <c r="I39" s="51">
        <f t="shared" si="0"/>
        <v>50000</v>
      </c>
    </row>
    <row r="40" spans="1:9" ht="24.75" thickBot="1" x14ac:dyDescent="0.25">
      <c r="A40" s="40">
        <v>31</v>
      </c>
      <c r="B40" s="71"/>
      <c r="C40" s="86" t="s">
        <v>111</v>
      </c>
      <c r="D40" s="41" t="s">
        <v>112</v>
      </c>
      <c r="E40" s="73" t="s">
        <v>87</v>
      </c>
      <c r="F40" s="71" t="s">
        <v>124</v>
      </c>
      <c r="G40" s="75">
        <v>150000</v>
      </c>
      <c r="H40" s="90">
        <v>7.9</v>
      </c>
      <c r="I40" s="51">
        <f t="shared" si="0"/>
        <v>1185000</v>
      </c>
    </row>
    <row r="41" spans="1:9" ht="24.75" thickBot="1" x14ac:dyDescent="0.25">
      <c r="A41" s="70">
        <v>32</v>
      </c>
      <c r="B41" s="71"/>
      <c r="C41" s="86" t="s">
        <v>111</v>
      </c>
      <c r="D41" s="72" t="s">
        <v>112</v>
      </c>
      <c r="E41" s="73" t="s">
        <v>88</v>
      </c>
      <c r="F41" s="71" t="s">
        <v>124</v>
      </c>
      <c r="G41" s="75">
        <v>10000</v>
      </c>
      <c r="H41" s="90">
        <v>18</v>
      </c>
      <c r="I41" s="51">
        <f t="shared" si="0"/>
        <v>180000</v>
      </c>
    </row>
    <row r="42" spans="1:9" ht="24.75" thickBot="1" x14ac:dyDescent="0.25">
      <c r="A42" s="40">
        <v>33</v>
      </c>
      <c r="B42" s="71"/>
      <c r="C42" s="86" t="s">
        <v>111</v>
      </c>
      <c r="D42" s="41" t="s">
        <v>112</v>
      </c>
      <c r="E42" s="73" t="s">
        <v>89</v>
      </c>
      <c r="F42" s="71" t="s">
        <v>124</v>
      </c>
      <c r="G42" s="75">
        <v>1000</v>
      </c>
      <c r="H42" s="90">
        <v>16</v>
      </c>
      <c r="I42" s="51">
        <f t="shared" si="0"/>
        <v>16000</v>
      </c>
    </row>
    <row r="43" spans="1:9" ht="24.75" thickBot="1" x14ac:dyDescent="0.25">
      <c r="A43" s="70">
        <v>34</v>
      </c>
      <c r="B43" s="71"/>
      <c r="C43" s="86" t="s">
        <v>111</v>
      </c>
      <c r="D43" s="72" t="s">
        <v>112</v>
      </c>
      <c r="E43" s="73" t="s">
        <v>90</v>
      </c>
      <c r="F43" s="71" t="s">
        <v>124</v>
      </c>
      <c r="G43" s="75">
        <v>200</v>
      </c>
      <c r="H43" s="90">
        <v>19</v>
      </c>
      <c r="I43" s="51">
        <f t="shared" si="0"/>
        <v>3800</v>
      </c>
    </row>
    <row r="44" spans="1:9" ht="24.75" thickBot="1" x14ac:dyDescent="0.25">
      <c r="A44" s="40">
        <v>35</v>
      </c>
      <c r="B44" s="71"/>
      <c r="C44" s="86" t="s">
        <v>111</v>
      </c>
      <c r="D44" s="41" t="s">
        <v>112</v>
      </c>
      <c r="E44" s="73" t="s">
        <v>91</v>
      </c>
      <c r="F44" s="71" t="s">
        <v>124</v>
      </c>
      <c r="G44" s="75">
        <v>5000</v>
      </c>
      <c r="H44" s="90">
        <v>13</v>
      </c>
      <c r="I44" s="51">
        <f t="shared" si="0"/>
        <v>65000</v>
      </c>
    </row>
    <row r="45" spans="1:9" ht="24.75" thickBot="1" x14ac:dyDescent="0.25">
      <c r="A45" s="70">
        <v>36</v>
      </c>
      <c r="B45" s="71"/>
      <c r="C45" s="86" t="s">
        <v>111</v>
      </c>
      <c r="D45" s="72" t="s">
        <v>112</v>
      </c>
      <c r="E45" s="73" t="s">
        <v>92</v>
      </c>
      <c r="F45" s="71" t="s">
        <v>124</v>
      </c>
      <c r="G45" s="75">
        <v>1000</v>
      </c>
      <c r="H45" s="90">
        <v>189</v>
      </c>
      <c r="I45" s="51">
        <f t="shared" si="0"/>
        <v>189000</v>
      </c>
    </row>
    <row r="46" spans="1:9" ht="24.75" thickBot="1" x14ac:dyDescent="0.25">
      <c r="A46" s="40">
        <v>37</v>
      </c>
      <c r="B46" s="71"/>
      <c r="C46" s="86" t="s">
        <v>111</v>
      </c>
      <c r="D46" s="41" t="s">
        <v>112</v>
      </c>
      <c r="E46" s="73" t="s">
        <v>93</v>
      </c>
      <c r="F46" s="71" t="s">
        <v>124</v>
      </c>
      <c r="G46" s="75">
        <v>200</v>
      </c>
      <c r="H46" s="90">
        <v>2690</v>
      </c>
      <c r="I46" s="51">
        <f t="shared" si="0"/>
        <v>538000</v>
      </c>
    </row>
    <row r="47" spans="1:9" ht="24.75" thickBot="1" x14ac:dyDescent="0.25">
      <c r="A47" s="70">
        <v>38</v>
      </c>
      <c r="B47" s="71"/>
      <c r="C47" s="86" t="s">
        <v>111</v>
      </c>
      <c r="D47" s="72" t="s">
        <v>112</v>
      </c>
      <c r="E47" s="74" t="s">
        <v>94</v>
      </c>
      <c r="F47" s="71" t="s">
        <v>124</v>
      </c>
      <c r="G47" s="75">
        <v>500</v>
      </c>
      <c r="H47" s="90">
        <v>8980</v>
      </c>
      <c r="I47" s="51">
        <f t="shared" si="0"/>
        <v>4490000</v>
      </c>
    </row>
    <row r="48" spans="1:9" ht="24.75" thickBot="1" x14ac:dyDescent="0.25">
      <c r="A48" s="40">
        <v>39</v>
      </c>
      <c r="B48" s="71"/>
      <c r="C48" s="86" t="s">
        <v>111</v>
      </c>
      <c r="D48" s="41" t="s">
        <v>112</v>
      </c>
      <c r="E48" s="73" t="s">
        <v>95</v>
      </c>
      <c r="F48" s="71" t="s">
        <v>124</v>
      </c>
      <c r="G48" s="75">
        <v>200</v>
      </c>
      <c r="H48" s="90">
        <v>1690</v>
      </c>
      <c r="I48" s="51">
        <f t="shared" si="0"/>
        <v>338000</v>
      </c>
    </row>
    <row r="49" spans="1:9" ht="24.75" thickBot="1" x14ac:dyDescent="0.25">
      <c r="A49" s="70">
        <v>40</v>
      </c>
      <c r="B49" s="71"/>
      <c r="C49" s="86" t="s">
        <v>111</v>
      </c>
      <c r="D49" s="72" t="s">
        <v>112</v>
      </c>
      <c r="E49" s="74" t="s">
        <v>96</v>
      </c>
      <c r="F49" s="71" t="s">
        <v>124</v>
      </c>
      <c r="G49" s="75">
        <v>50</v>
      </c>
      <c r="H49" s="90">
        <v>560</v>
      </c>
      <c r="I49" s="51">
        <f t="shared" si="0"/>
        <v>28000</v>
      </c>
    </row>
    <row r="50" spans="1:9" ht="24.75" thickBot="1" x14ac:dyDescent="0.25">
      <c r="A50" s="40">
        <v>41</v>
      </c>
      <c r="B50" s="71"/>
      <c r="C50" s="86" t="s">
        <v>111</v>
      </c>
      <c r="D50" s="41" t="s">
        <v>112</v>
      </c>
      <c r="E50" s="74" t="s">
        <v>97</v>
      </c>
      <c r="F50" s="71" t="s">
        <v>124</v>
      </c>
      <c r="G50" s="75">
        <v>200</v>
      </c>
      <c r="H50" s="90">
        <v>560</v>
      </c>
      <c r="I50" s="51">
        <f t="shared" si="0"/>
        <v>112000</v>
      </c>
    </row>
    <row r="51" spans="1:9" ht="24.75" thickBot="1" x14ac:dyDescent="0.25">
      <c r="A51" s="70">
        <v>42</v>
      </c>
      <c r="B51" s="71"/>
      <c r="C51" s="86" t="s">
        <v>111</v>
      </c>
      <c r="D51" s="72" t="s">
        <v>112</v>
      </c>
      <c r="E51" s="74" t="s">
        <v>98</v>
      </c>
      <c r="F51" s="71" t="s">
        <v>124</v>
      </c>
      <c r="G51" s="75">
        <v>200</v>
      </c>
      <c r="H51" s="90">
        <v>560</v>
      </c>
      <c r="I51" s="51">
        <f t="shared" si="0"/>
        <v>112000</v>
      </c>
    </row>
    <row r="52" spans="1:9" ht="24.75" thickBot="1" x14ac:dyDescent="0.25">
      <c r="A52" s="40">
        <v>43</v>
      </c>
      <c r="B52" s="71"/>
      <c r="C52" s="86" t="s">
        <v>111</v>
      </c>
      <c r="D52" s="41" t="s">
        <v>112</v>
      </c>
      <c r="E52" s="73" t="s">
        <v>99</v>
      </c>
      <c r="F52" s="71" t="s">
        <v>124</v>
      </c>
      <c r="G52" s="75">
        <v>500</v>
      </c>
      <c r="H52" s="90">
        <v>36</v>
      </c>
      <c r="I52" s="51">
        <f t="shared" si="0"/>
        <v>18000</v>
      </c>
    </row>
    <row r="53" spans="1:9" ht="24.75" thickBot="1" x14ac:dyDescent="0.25">
      <c r="A53" s="70">
        <v>44</v>
      </c>
      <c r="B53" s="71"/>
      <c r="C53" s="86" t="s">
        <v>111</v>
      </c>
      <c r="D53" s="72" t="s">
        <v>112</v>
      </c>
      <c r="E53" s="73" t="s">
        <v>100</v>
      </c>
      <c r="F53" s="71" t="s">
        <v>124</v>
      </c>
      <c r="G53" s="75">
        <v>1000</v>
      </c>
      <c r="H53" s="90">
        <v>36</v>
      </c>
      <c r="I53" s="51">
        <f t="shared" si="0"/>
        <v>36000</v>
      </c>
    </row>
    <row r="54" spans="1:9" ht="24.75" thickBot="1" x14ac:dyDescent="0.25">
      <c r="A54" s="40">
        <v>45</v>
      </c>
      <c r="B54" s="71"/>
      <c r="C54" s="86" t="s">
        <v>111</v>
      </c>
      <c r="D54" s="41" t="s">
        <v>112</v>
      </c>
      <c r="E54" s="73" t="s">
        <v>101</v>
      </c>
      <c r="F54" s="71" t="s">
        <v>124</v>
      </c>
      <c r="G54" s="75">
        <v>1000</v>
      </c>
      <c r="H54" s="90">
        <v>36</v>
      </c>
      <c r="I54" s="51">
        <f t="shared" si="0"/>
        <v>36000</v>
      </c>
    </row>
    <row r="55" spans="1:9" ht="24.75" thickBot="1" x14ac:dyDescent="0.25">
      <c r="A55" s="70">
        <v>46</v>
      </c>
      <c r="B55" s="71"/>
      <c r="C55" s="86" t="s">
        <v>111</v>
      </c>
      <c r="D55" s="72" t="s">
        <v>112</v>
      </c>
      <c r="E55" s="73" t="s">
        <v>102</v>
      </c>
      <c r="F55" s="71" t="s">
        <v>124</v>
      </c>
      <c r="G55" s="75">
        <v>500</v>
      </c>
      <c r="H55" s="90">
        <v>36</v>
      </c>
      <c r="I55" s="51">
        <f t="shared" si="0"/>
        <v>18000</v>
      </c>
    </row>
    <row r="56" spans="1:9" ht="24.75" thickBot="1" x14ac:dyDescent="0.25">
      <c r="A56" s="40">
        <v>47</v>
      </c>
      <c r="B56" s="71"/>
      <c r="C56" s="86" t="s">
        <v>111</v>
      </c>
      <c r="D56" s="41" t="s">
        <v>112</v>
      </c>
      <c r="E56" s="73" t="s">
        <v>103</v>
      </c>
      <c r="F56" s="71" t="s">
        <v>124</v>
      </c>
      <c r="G56" s="75">
        <v>100</v>
      </c>
      <c r="H56" s="90">
        <v>36</v>
      </c>
      <c r="I56" s="51">
        <f t="shared" si="0"/>
        <v>3600</v>
      </c>
    </row>
    <row r="57" spans="1:9" ht="24.75" thickBot="1" x14ac:dyDescent="0.25">
      <c r="A57" s="70">
        <v>48</v>
      </c>
      <c r="B57" s="71"/>
      <c r="C57" s="86" t="s">
        <v>111</v>
      </c>
      <c r="D57" s="72" t="s">
        <v>112</v>
      </c>
      <c r="E57" s="73" t="s">
        <v>104</v>
      </c>
      <c r="F57" s="71" t="s">
        <v>124</v>
      </c>
      <c r="G57" s="75">
        <v>500</v>
      </c>
      <c r="H57" s="90">
        <v>56</v>
      </c>
      <c r="I57" s="51">
        <f t="shared" si="0"/>
        <v>28000</v>
      </c>
    </row>
    <row r="58" spans="1:9" ht="24.75" thickBot="1" x14ac:dyDescent="0.25">
      <c r="A58" s="40">
        <v>49</v>
      </c>
      <c r="B58" s="71"/>
      <c r="C58" s="86" t="s">
        <v>111</v>
      </c>
      <c r="D58" s="41" t="s">
        <v>112</v>
      </c>
      <c r="E58" s="73" t="s">
        <v>105</v>
      </c>
      <c r="F58" s="71" t="s">
        <v>124</v>
      </c>
      <c r="G58" s="75">
        <v>500</v>
      </c>
      <c r="H58" s="90">
        <v>38</v>
      </c>
      <c r="I58" s="51">
        <f t="shared" si="0"/>
        <v>19000</v>
      </c>
    </row>
    <row r="59" spans="1:9" ht="24.75" thickBot="1" x14ac:dyDescent="0.25">
      <c r="A59" s="70">
        <v>50</v>
      </c>
      <c r="B59" s="71"/>
      <c r="C59" s="86" t="s">
        <v>111</v>
      </c>
      <c r="D59" s="72" t="s">
        <v>112</v>
      </c>
      <c r="E59" s="73" t="s">
        <v>106</v>
      </c>
      <c r="F59" s="71" t="s">
        <v>124</v>
      </c>
      <c r="G59" s="75">
        <v>300</v>
      </c>
      <c r="H59" s="90">
        <v>38</v>
      </c>
      <c r="I59" s="51">
        <f t="shared" si="0"/>
        <v>11400</v>
      </c>
    </row>
    <row r="60" spans="1:9" ht="24.75" thickBot="1" x14ac:dyDescent="0.25">
      <c r="A60" s="40">
        <v>51</v>
      </c>
      <c r="B60" s="71"/>
      <c r="C60" s="86" t="s">
        <v>111</v>
      </c>
      <c r="D60" s="41" t="s">
        <v>112</v>
      </c>
      <c r="E60" s="74" t="s">
        <v>107</v>
      </c>
      <c r="F60" s="71" t="s">
        <v>124</v>
      </c>
      <c r="G60" s="75">
        <v>2000</v>
      </c>
      <c r="H60" s="90">
        <v>115</v>
      </c>
      <c r="I60" s="51">
        <f t="shared" si="0"/>
        <v>230000</v>
      </c>
    </row>
    <row r="61" spans="1:9" ht="24.75" thickBot="1" x14ac:dyDescent="0.25">
      <c r="A61" s="70">
        <v>52</v>
      </c>
      <c r="B61" s="71"/>
      <c r="C61" s="86" t="s">
        <v>111</v>
      </c>
      <c r="D61" s="72" t="s">
        <v>112</v>
      </c>
      <c r="E61" s="74" t="s">
        <v>108</v>
      </c>
      <c r="F61" s="71" t="s">
        <v>124</v>
      </c>
      <c r="G61" s="75">
        <v>1000</v>
      </c>
      <c r="H61" s="90">
        <v>198</v>
      </c>
      <c r="I61" s="51">
        <f t="shared" si="0"/>
        <v>198000</v>
      </c>
    </row>
    <row r="62" spans="1:9" ht="24.75" thickBot="1" x14ac:dyDescent="0.25">
      <c r="A62" s="40">
        <v>53</v>
      </c>
      <c r="B62" s="71"/>
      <c r="C62" s="86" t="s">
        <v>111</v>
      </c>
      <c r="D62" s="41" t="s">
        <v>112</v>
      </c>
      <c r="E62" s="73" t="s">
        <v>109</v>
      </c>
      <c r="F62" s="71" t="s">
        <v>124</v>
      </c>
      <c r="G62" s="75">
        <v>2000</v>
      </c>
      <c r="H62" s="90">
        <v>168</v>
      </c>
      <c r="I62" s="51">
        <f t="shared" si="0"/>
        <v>336000</v>
      </c>
    </row>
    <row r="63" spans="1:9" ht="24" x14ac:dyDescent="0.2">
      <c r="A63" s="70">
        <v>54</v>
      </c>
      <c r="B63" s="71"/>
      <c r="C63" s="86" t="s">
        <v>111</v>
      </c>
      <c r="D63" s="72" t="s">
        <v>112</v>
      </c>
      <c r="E63" s="74" t="s">
        <v>110</v>
      </c>
      <c r="F63" s="71" t="s">
        <v>124</v>
      </c>
      <c r="G63" s="75">
        <v>1000</v>
      </c>
      <c r="H63" s="90">
        <v>269</v>
      </c>
      <c r="I63" s="51">
        <f t="shared" si="0"/>
        <v>269000</v>
      </c>
    </row>
    <row r="66" spans="2:5" x14ac:dyDescent="0.2">
      <c r="B66" s="42" t="s">
        <v>128</v>
      </c>
      <c r="C66" s="43"/>
      <c r="D66" s="43"/>
      <c r="E66" s="44"/>
    </row>
    <row r="67" spans="2:5" ht="5.25" customHeight="1" x14ac:dyDescent="0.2">
      <c r="B67" s="45"/>
      <c r="C67" s="46"/>
      <c r="D67" s="46"/>
      <c r="E67" s="47"/>
    </row>
    <row r="68" spans="2:5" x14ac:dyDescent="0.2">
      <c r="B68" s="48" t="s">
        <v>14</v>
      </c>
      <c r="C68" s="46"/>
      <c r="D68" s="46"/>
      <c r="E68" s="47"/>
    </row>
    <row r="69" spans="2:5" ht="41.25" customHeight="1" x14ac:dyDescent="0.2">
      <c r="B69" s="52"/>
      <c r="C69" s="105" t="s">
        <v>129</v>
      </c>
      <c r="D69" s="105"/>
      <c r="E69" s="106"/>
    </row>
    <row r="70" spans="2:5" x14ac:dyDescent="0.2">
      <c r="B70" s="52" t="s">
        <v>15</v>
      </c>
      <c r="C70" s="53"/>
      <c r="D70" s="53"/>
      <c r="E70" s="54"/>
    </row>
    <row r="71" spans="2:5" x14ac:dyDescent="0.2">
      <c r="B71" s="55"/>
      <c r="C71" s="101" t="s">
        <v>114</v>
      </c>
      <c r="D71" s="101"/>
      <c r="E71" s="101"/>
    </row>
    <row r="72" spans="2:5" x14ac:dyDescent="0.2">
      <c r="B72" s="55"/>
      <c r="C72" s="101" t="s">
        <v>115</v>
      </c>
      <c r="D72" s="101"/>
      <c r="E72" s="101"/>
    </row>
    <row r="73" spans="2:5" x14ac:dyDescent="0.2">
      <c r="B73" s="55"/>
      <c r="C73" s="101" t="s">
        <v>116</v>
      </c>
      <c r="D73" s="101"/>
      <c r="E73" s="101"/>
    </row>
    <row r="74" spans="2:5" x14ac:dyDescent="0.2">
      <c r="B74" s="52" t="s">
        <v>16</v>
      </c>
      <c r="C74" s="53"/>
      <c r="D74" s="53"/>
      <c r="E74" s="54"/>
    </row>
    <row r="75" spans="2:5" ht="26.25" customHeight="1" x14ac:dyDescent="0.2">
      <c r="B75" s="55"/>
      <c r="C75" s="99"/>
      <c r="D75" s="99"/>
      <c r="E75" s="99"/>
    </row>
    <row r="76" spans="2:5" x14ac:dyDescent="0.2">
      <c r="B76" s="52" t="s">
        <v>17</v>
      </c>
      <c r="C76" s="56"/>
      <c r="D76" s="56"/>
      <c r="E76" s="57"/>
    </row>
    <row r="77" spans="2:5" ht="26.25" customHeight="1" x14ac:dyDescent="0.2">
      <c r="B77" s="55"/>
      <c r="C77" s="99"/>
      <c r="D77" s="99"/>
      <c r="E77" s="99"/>
    </row>
    <row r="78" spans="2:5" x14ac:dyDescent="0.2">
      <c r="B78" s="52" t="s">
        <v>18</v>
      </c>
      <c r="C78" s="53"/>
      <c r="D78" s="53"/>
      <c r="E78" s="54"/>
    </row>
    <row r="79" spans="2:5" ht="23.25" customHeight="1" x14ac:dyDescent="0.2">
      <c r="B79" s="52"/>
      <c r="C79" s="100"/>
      <c r="D79" s="100"/>
      <c r="E79" s="100"/>
    </row>
    <row r="80" spans="2:5" x14ac:dyDescent="0.2">
      <c r="B80" s="58"/>
      <c r="C80" s="59"/>
      <c r="D80" s="59"/>
      <c r="E80" s="60"/>
    </row>
    <row r="81" spans="2:5" x14ac:dyDescent="0.2">
      <c r="B81" s="61"/>
      <c r="C81" s="61"/>
      <c r="D81" s="61"/>
      <c r="E81" s="61"/>
    </row>
  </sheetData>
  <mergeCells count="14">
    <mergeCell ref="C75:E75"/>
    <mergeCell ref="C77:E77"/>
    <mergeCell ref="C79:E79"/>
    <mergeCell ref="C73:E73"/>
    <mergeCell ref="B2:H2"/>
    <mergeCell ref="A4:B4"/>
    <mergeCell ref="C4:E4"/>
    <mergeCell ref="A5:B5"/>
    <mergeCell ref="C5:E5"/>
    <mergeCell ref="A6:B6"/>
    <mergeCell ref="A7:B7"/>
    <mergeCell ref="C69:E69"/>
    <mergeCell ref="C71:E71"/>
    <mergeCell ref="C72:E72"/>
  </mergeCells>
  <phoneticPr fontId="27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6"/>
  <sheetViews>
    <sheetView topLeftCell="A43" zoomScale="110" zoomScaleNormal="110" workbookViewId="0">
      <selection activeCell="O20" sqref="O2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6" width="17.28515625" style="2" customWidth="1"/>
    <col min="17" max="1024" width="9.140625" style="2"/>
  </cols>
  <sheetData>
    <row r="1" spans="1:11" ht="18" customHeight="1" x14ac:dyDescent="0.2">
      <c r="A1" s="118" t="s">
        <v>19</v>
      </c>
      <c r="B1" s="118"/>
      <c r="C1" s="118"/>
      <c r="D1" s="118"/>
      <c r="E1" s="118"/>
      <c r="F1" s="118"/>
      <c r="G1" s="118"/>
      <c r="H1" s="118"/>
      <c r="I1" s="118"/>
      <c r="J1" s="3" t="s">
        <v>20</v>
      </c>
      <c r="K1" s="62" t="s">
        <v>118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9" t="s">
        <v>53</v>
      </c>
      <c r="B3" s="119"/>
      <c r="C3" s="119"/>
      <c r="D3" s="120" t="str">
        <f>'Necesidades Trimestrales'!C4</f>
        <v>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54</v>
      </c>
      <c r="B4" s="121"/>
      <c r="C4" s="121"/>
      <c r="D4" s="120">
        <f>'Necesidades Trimestrales'!C5</f>
        <v>11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32</v>
      </c>
      <c r="B5" s="121"/>
      <c r="C5" s="121"/>
      <c r="D5" s="120" t="s">
        <v>119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55</v>
      </c>
      <c r="B6" s="119"/>
      <c r="C6" s="119"/>
      <c r="D6" s="120" t="s">
        <v>119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21" t="s">
        <v>21</v>
      </c>
      <c r="B7" s="121"/>
      <c r="C7" s="121"/>
      <c r="D7" s="120" t="str">
        <f>'Necesidades Trimestrales'!C7 &amp; "° Trimestre - Año " &amp; 'Necesidades Trimestrales'!C6</f>
        <v>Cuarto Trimestre° Trimestre - Año 2020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13" t="s">
        <v>22</v>
      </c>
      <c r="B8" s="113"/>
      <c r="C8" s="113"/>
      <c r="D8" s="114" t="s">
        <v>125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5" t="s">
        <v>23</v>
      </c>
      <c r="B10" s="116" t="s">
        <v>24</v>
      </c>
      <c r="C10" s="116" t="s">
        <v>25</v>
      </c>
      <c r="D10" s="116"/>
      <c r="E10" s="116"/>
      <c r="F10" s="116"/>
      <c r="G10" s="116"/>
      <c r="H10" s="116" t="s">
        <v>26</v>
      </c>
      <c r="I10" s="116" t="s">
        <v>27</v>
      </c>
      <c r="J10" s="116" t="s">
        <v>28</v>
      </c>
      <c r="K10" s="117" t="s">
        <v>29</v>
      </c>
    </row>
    <row r="11" spans="1:11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20.25" customHeight="1" thickBot="1" x14ac:dyDescent="0.25">
      <c r="A12" s="63">
        <v>1</v>
      </c>
      <c r="B12" s="64"/>
      <c r="C12" s="108" t="str">
        <f>'Necesidades Trimestrales'!E10</f>
        <v>AGUJA DESCARTABLE 40/8</v>
      </c>
      <c r="D12" s="108"/>
      <c r="E12" s="108"/>
      <c r="F12" s="108"/>
      <c r="G12" s="108"/>
      <c r="H12" s="78" t="s">
        <v>120</v>
      </c>
      <c r="I12" s="79" t="s">
        <v>124</v>
      </c>
      <c r="J12" s="80">
        <v>1.98</v>
      </c>
      <c r="K12" s="81">
        <v>500000</v>
      </c>
    </row>
    <row r="13" spans="1:11" ht="20.25" customHeight="1" thickBot="1" x14ac:dyDescent="0.25">
      <c r="A13" s="76">
        <v>2</v>
      </c>
      <c r="B13" s="77"/>
      <c r="C13" s="108" t="str">
        <f>'Necesidades Trimestrales'!E11</f>
        <v>AGUJA DESCARTABLE 50/8</v>
      </c>
      <c r="D13" s="108"/>
      <c r="E13" s="108"/>
      <c r="F13" s="108"/>
      <c r="G13" s="108"/>
      <c r="H13" s="78" t="s">
        <v>120</v>
      </c>
      <c r="I13" s="79" t="s">
        <v>124</v>
      </c>
      <c r="J13" s="80">
        <v>1.98</v>
      </c>
      <c r="K13" s="81">
        <v>5000</v>
      </c>
    </row>
    <row r="14" spans="1:11" ht="20.25" customHeight="1" thickBot="1" x14ac:dyDescent="0.25">
      <c r="A14" s="63">
        <v>3</v>
      </c>
      <c r="B14" s="77"/>
      <c r="C14" s="108" t="str">
        <f>'Necesidades Trimestrales'!E12</f>
        <v>ALGODÓN  x 500 GRS.TIPO DONCELLA</v>
      </c>
      <c r="D14" s="108"/>
      <c r="E14" s="108"/>
      <c r="F14" s="108"/>
      <c r="G14" s="108"/>
      <c r="H14" s="78" t="s">
        <v>120</v>
      </c>
      <c r="I14" s="79" t="s">
        <v>124</v>
      </c>
      <c r="J14" s="80">
        <v>348</v>
      </c>
      <c r="K14" s="81">
        <v>6000</v>
      </c>
    </row>
    <row r="15" spans="1:11" ht="20.25" customHeight="1" thickBot="1" x14ac:dyDescent="0.25">
      <c r="A15" s="76">
        <v>4</v>
      </c>
      <c r="B15" s="77"/>
      <c r="C15" s="108" t="str">
        <f>'Necesidades Trimestrales'!E13</f>
        <v>APO ADHESIVO 10 X 12  TIPO TEGADERM</v>
      </c>
      <c r="D15" s="108"/>
      <c r="E15" s="108"/>
      <c r="F15" s="108"/>
      <c r="G15" s="108"/>
      <c r="H15" s="78" t="s">
        <v>120</v>
      </c>
      <c r="I15" s="79" t="s">
        <v>124</v>
      </c>
      <c r="J15" s="80">
        <v>105</v>
      </c>
      <c r="K15" s="81">
        <v>1000</v>
      </c>
    </row>
    <row r="16" spans="1:11" ht="20.25" customHeight="1" thickBot="1" x14ac:dyDescent="0.25">
      <c r="A16" s="63">
        <v>5</v>
      </c>
      <c r="B16" s="77"/>
      <c r="C16" s="108" t="str">
        <f>'Necesidades Trimestrales'!E14</f>
        <v>APO ADHESIVO 6 X 7 TIPO TEGADERM</v>
      </c>
      <c r="D16" s="108"/>
      <c r="E16" s="108"/>
      <c r="F16" s="108"/>
      <c r="G16" s="108"/>
      <c r="H16" s="78" t="s">
        <v>120</v>
      </c>
      <c r="I16" s="79" t="s">
        <v>124</v>
      </c>
      <c r="J16" s="80">
        <v>125</v>
      </c>
      <c r="K16" s="81">
        <v>1000</v>
      </c>
    </row>
    <row r="17" spans="1:11" ht="20.25" customHeight="1" thickBot="1" x14ac:dyDescent="0.25">
      <c r="A17" s="76">
        <v>6</v>
      </c>
      <c r="B17" s="77"/>
      <c r="C17" s="108" t="str">
        <f>'Necesidades Trimestrales'!E15</f>
        <v>BAJALENGUA X 100 UNIDADES</v>
      </c>
      <c r="D17" s="108"/>
      <c r="E17" s="108"/>
      <c r="F17" s="108"/>
      <c r="G17" s="108"/>
      <c r="H17" s="78" t="s">
        <v>120</v>
      </c>
      <c r="I17" s="79" t="s">
        <v>127</v>
      </c>
      <c r="J17" s="80">
        <v>148</v>
      </c>
      <c r="K17" s="81">
        <v>3000</v>
      </c>
    </row>
    <row r="18" spans="1:11" ht="20.25" customHeight="1" thickBot="1" x14ac:dyDescent="0.25">
      <c r="A18" s="63">
        <v>7</v>
      </c>
      <c r="B18" s="77"/>
      <c r="C18" s="108" t="str">
        <f>'Necesidades Trimestrales'!E16</f>
        <v>BOTAS ALTAS DESCARTABLES DE 30 GRAMOS CON TIRA EL PAR</v>
      </c>
      <c r="D18" s="108"/>
      <c r="E18" s="108"/>
      <c r="F18" s="108"/>
      <c r="G18" s="108"/>
      <c r="H18" s="78" t="s">
        <v>120</v>
      </c>
      <c r="I18" s="79" t="s">
        <v>124</v>
      </c>
      <c r="J18" s="80">
        <v>6.9</v>
      </c>
      <c r="K18" s="81">
        <v>100000</v>
      </c>
    </row>
    <row r="19" spans="1:11" ht="20.25" customHeight="1" thickBot="1" x14ac:dyDescent="0.25">
      <c r="A19" s="76">
        <v>8</v>
      </c>
      <c r="B19" s="77"/>
      <c r="C19" s="108" t="str">
        <f>'Necesidades Trimestrales'!E17</f>
        <v>CANULAS NASALES PARA OXIGENOTERAPIA -  ADULTOS</v>
      </c>
      <c r="D19" s="108"/>
      <c r="E19" s="108"/>
      <c r="F19" s="108"/>
      <c r="G19" s="108"/>
      <c r="H19" s="78" t="s">
        <v>120</v>
      </c>
      <c r="I19" s="79" t="s">
        <v>124</v>
      </c>
      <c r="J19" s="80">
        <v>19</v>
      </c>
      <c r="K19" s="81">
        <v>1000</v>
      </c>
    </row>
    <row r="20" spans="1:11" ht="20.25" customHeight="1" thickBot="1" x14ac:dyDescent="0.25">
      <c r="A20" s="63">
        <v>9</v>
      </c>
      <c r="B20" s="77"/>
      <c r="C20" s="108" t="str">
        <f>'Necesidades Trimestrales'!E18</f>
        <v>CANULAS NASALES PARA OXIGENOTERAPIA - PEDIATRICOS</v>
      </c>
      <c r="D20" s="108"/>
      <c r="E20" s="108"/>
      <c r="F20" s="108"/>
      <c r="G20" s="108"/>
      <c r="H20" s="78" t="s">
        <v>120</v>
      </c>
      <c r="I20" s="79" t="s">
        <v>124</v>
      </c>
      <c r="J20" s="80">
        <v>23</v>
      </c>
      <c r="K20" s="81">
        <v>1000</v>
      </c>
    </row>
    <row r="21" spans="1:11" ht="20.25" customHeight="1" thickBot="1" x14ac:dyDescent="0.25">
      <c r="A21" s="76">
        <v>10</v>
      </c>
      <c r="B21" s="77"/>
      <c r="C21" s="108" t="str">
        <f>'Necesidades Trimestrales'!E19</f>
        <v>CATETER INTRAVENOSO Nº 22 TIPO HOSPIRA/BD</v>
      </c>
      <c r="D21" s="108"/>
      <c r="E21" s="108"/>
      <c r="F21" s="108"/>
      <c r="G21" s="108"/>
      <c r="H21" s="78" t="s">
        <v>120</v>
      </c>
      <c r="I21" s="79" t="s">
        <v>124</v>
      </c>
      <c r="J21" s="80">
        <v>56</v>
      </c>
      <c r="K21" s="81">
        <v>30000</v>
      </c>
    </row>
    <row r="22" spans="1:11" ht="20.25" customHeight="1" thickBot="1" x14ac:dyDescent="0.25">
      <c r="A22" s="63">
        <v>11</v>
      </c>
      <c r="B22" s="77"/>
      <c r="C22" s="108" t="str">
        <f>'Necesidades Trimestrales'!E20</f>
        <v>CATETER INTRAVENOSO Nº 24 TIPO HOSPIRA/BD</v>
      </c>
      <c r="D22" s="108"/>
      <c r="E22" s="108"/>
      <c r="F22" s="108"/>
      <c r="G22" s="108"/>
      <c r="H22" s="78" t="s">
        <v>120</v>
      </c>
      <c r="I22" s="79" t="s">
        <v>124</v>
      </c>
      <c r="J22" s="80">
        <v>56</v>
      </c>
      <c r="K22" s="81">
        <v>18000</v>
      </c>
    </row>
    <row r="23" spans="1:11" ht="20.25" customHeight="1" thickBot="1" x14ac:dyDescent="0.25">
      <c r="A23" s="76">
        <v>12</v>
      </c>
      <c r="B23" s="83"/>
      <c r="C23" s="109" t="str">
        <f>'Necesidades Trimestrales'!E21</f>
        <v>CLORHEXIDINA 2 % SOLUCION x 250 ml.</v>
      </c>
      <c r="D23" s="109"/>
      <c r="E23" s="109"/>
      <c r="F23" s="109"/>
      <c r="G23" s="109"/>
      <c r="H23" s="78" t="s">
        <v>120</v>
      </c>
      <c r="I23" s="79" t="s">
        <v>124</v>
      </c>
      <c r="J23" s="80">
        <v>623</v>
      </c>
      <c r="K23" s="81">
        <v>500</v>
      </c>
    </row>
    <row r="24" spans="1:11" ht="20.25" customHeight="1" thickBot="1" x14ac:dyDescent="0.25">
      <c r="A24" s="63">
        <v>13</v>
      </c>
      <c r="B24" s="84"/>
      <c r="C24" s="107" t="str">
        <f>'Necesidades Trimestrales'!E22</f>
        <v>CLORHEXIDINA 4% JABON x 500 ML CON VALVULA DISPENSADORA TIPO NOVARA</v>
      </c>
      <c r="D24" s="107"/>
      <c r="E24" s="107"/>
      <c r="F24" s="107"/>
      <c r="G24" s="107"/>
      <c r="H24" s="78" t="s">
        <v>120</v>
      </c>
      <c r="I24" s="79" t="s">
        <v>124</v>
      </c>
      <c r="J24" s="80">
        <v>826</v>
      </c>
      <c r="K24" s="81">
        <v>700</v>
      </c>
    </row>
    <row r="25" spans="1:11" ht="20.25" customHeight="1" thickBot="1" x14ac:dyDescent="0.25">
      <c r="A25" s="76">
        <v>14</v>
      </c>
      <c r="B25" s="84"/>
      <c r="C25" s="107" t="str">
        <f>'Necesidades Trimestrales'!E23</f>
        <v>ELECTRODOS DESCARTABLES ADULTO TIPO 3M</v>
      </c>
      <c r="D25" s="107"/>
      <c r="E25" s="107"/>
      <c r="F25" s="107"/>
      <c r="G25" s="107"/>
      <c r="H25" s="78" t="s">
        <v>120</v>
      </c>
      <c r="I25" s="79" t="s">
        <v>124</v>
      </c>
      <c r="J25" s="80">
        <v>12</v>
      </c>
      <c r="K25" s="81">
        <v>10000</v>
      </c>
    </row>
    <row r="26" spans="1:11" ht="20.25" customHeight="1" thickBot="1" x14ac:dyDescent="0.25">
      <c r="A26" s="63">
        <v>15</v>
      </c>
      <c r="B26" s="84"/>
      <c r="C26" s="107" t="str">
        <f>'Necesidades Trimestrales'!E24</f>
        <v xml:space="preserve">EQUIPO PARA ADM. SOLUC. MICROGOTERO TIPO V-17c/ ROLLER  </v>
      </c>
      <c r="D26" s="107"/>
      <c r="E26" s="107"/>
      <c r="F26" s="107"/>
      <c r="G26" s="107"/>
      <c r="H26" s="78" t="s">
        <v>120</v>
      </c>
      <c r="I26" s="79" t="s">
        <v>124</v>
      </c>
      <c r="J26" s="80">
        <v>29</v>
      </c>
      <c r="K26" s="81">
        <v>4000</v>
      </c>
    </row>
    <row r="27" spans="1:11" ht="20.25" customHeight="1" thickBot="1" x14ac:dyDescent="0.25">
      <c r="A27" s="76">
        <v>16</v>
      </c>
      <c r="B27" s="84"/>
      <c r="C27" s="107" t="str">
        <f>'Necesidades Trimestrales'!E25</f>
        <v>EQUIPO PARA ADMINISTRACION DE SOLUCIONES  MACROGOTERO TIPO V-14 CON ROLLER</v>
      </c>
      <c r="D27" s="107"/>
      <c r="E27" s="107"/>
      <c r="F27" s="107"/>
      <c r="G27" s="107"/>
      <c r="H27" s="78" t="s">
        <v>120</v>
      </c>
      <c r="I27" s="79" t="s">
        <v>124</v>
      </c>
      <c r="J27" s="80">
        <v>31</v>
      </c>
      <c r="K27" s="81">
        <v>50000</v>
      </c>
    </row>
    <row r="28" spans="1:11" ht="20.25" customHeight="1" thickBot="1" x14ac:dyDescent="0.25">
      <c r="A28" s="63">
        <v>17</v>
      </c>
      <c r="B28" s="84"/>
      <c r="C28" s="107" t="str">
        <f>'Necesidades Trimestrales'!E26</f>
        <v>GEL BASE PARA ECOGRAFIA  x 1kg</v>
      </c>
      <c r="D28" s="107"/>
      <c r="E28" s="107"/>
      <c r="F28" s="107"/>
      <c r="G28" s="107"/>
      <c r="H28" s="78" t="s">
        <v>120</v>
      </c>
      <c r="I28" s="79" t="s">
        <v>124</v>
      </c>
      <c r="J28" s="80">
        <v>256</v>
      </c>
      <c r="K28" s="81">
        <v>150</v>
      </c>
    </row>
    <row r="29" spans="1:11" ht="20.25" customHeight="1" thickBot="1" x14ac:dyDescent="0.25">
      <c r="A29" s="76">
        <v>18</v>
      </c>
      <c r="B29" s="84"/>
      <c r="C29" s="107" t="str">
        <f>'Necesidades Trimestrales'!E27</f>
        <v>GUANTES DE CIRUGIA ESTERIL Nº 6 1/2  ANATOMICOS , CAÑA LARGA SIN TALCO</v>
      </c>
      <c r="D29" s="107"/>
      <c r="E29" s="107"/>
      <c r="F29" s="107"/>
      <c r="G29" s="107"/>
      <c r="H29" s="78" t="s">
        <v>120</v>
      </c>
      <c r="I29" s="79" t="s">
        <v>124</v>
      </c>
      <c r="J29" s="80">
        <v>21</v>
      </c>
      <c r="K29" s="81">
        <v>9500</v>
      </c>
    </row>
    <row r="30" spans="1:11" ht="20.25" customHeight="1" thickBot="1" x14ac:dyDescent="0.25">
      <c r="A30" s="63">
        <v>19</v>
      </c>
      <c r="B30" s="84"/>
      <c r="C30" s="107" t="str">
        <f>'Necesidades Trimestrales'!E28</f>
        <v>GUANTES DE CIRUGIA ESTERIL Nº 7   ANATOMICOS , CAÑA LARGA SIN TALCO</v>
      </c>
      <c r="D30" s="107"/>
      <c r="E30" s="107"/>
      <c r="F30" s="107"/>
      <c r="G30" s="107"/>
      <c r="H30" s="78" t="s">
        <v>120</v>
      </c>
      <c r="I30" s="79" t="s">
        <v>124</v>
      </c>
      <c r="J30" s="80">
        <v>21</v>
      </c>
      <c r="K30" s="81">
        <v>15000</v>
      </c>
    </row>
    <row r="31" spans="1:11" ht="20.25" customHeight="1" thickBot="1" x14ac:dyDescent="0.25">
      <c r="A31" s="76">
        <v>20</v>
      </c>
      <c r="B31" s="84"/>
      <c r="C31" s="107" t="str">
        <f>'Necesidades Trimestrales'!E29</f>
        <v>GUANTES DE CIRUGIA ESTERIL Nº 7 1/2  ANATOMICOS , CAÑA LARGA SIN TALCO</v>
      </c>
      <c r="D31" s="107"/>
      <c r="E31" s="107"/>
      <c r="F31" s="107"/>
      <c r="G31" s="107"/>
      <c r="H31" s="78" t="s">
        <v>120</v>
      </c>
      <c r="I31" s="79" t="s">
        <v>124</v>
      </c>
      <c r="J31" s="80">
        <v>21</v>
      </c>
      <c r="K31" s="81">
        <v>15000</v>
      </c>
    </row>
    <row r="32" spans="1:11" ht="20.25" customHeight="1" thickBot="1" x14ac:dyDescent="0.25">
      <c r="A32" s="63">
        <v>21</v>
      </c>
      <c r="B32" s="84"/>
      <c r="C32" s="107" t="str">
        <f>'Necesidades Trimestrales'!E30</f>
        <v>GUANTES DE CIRUGIA ESTERIL Nº 8   ANATOMICOS , CAÑA LARGA SIN TALCO</v>
      </c>
      <c r="D32" s="107"/>
      <c r="E32" s="107"/>
      <c r="F32" s="107"/>
      <c r="G32" s="107"/>
      <c r="H32" s="78" t="s">
        <v>120</v>
      </c>
      <c r="I32" s="79" t="s">
        <v>124</v>
      </c>
      <c r="J32" s="80">
        <v>20</v>
      </c>
      <c r="K32" s="81">
        <v>12000</v>
      </c>
    </row>
    <row r="33" spans="1:11" ht="20.25" customHeight="1" thickBot="1" x14ac:dyDescent="0.25">
      <c r="A33" s="76">
        <v>22</v>
      </c>
      <c r="B33" s="84"/>
      <c r="C33" s="107" t="str">
        <f>'Necesidades Trimestrales'!E31</f>
        <v>HILO DE LINO N°20 BOVINA</v>
      </c>
      <c r="D33" s="107"/>
      <c r="E33" s="107"/>
      <c r="F33" s="107"/>
      <c r="G33" s="107"/>
      <c r="H33" s="78" t="s">
        <v>120</v>
      </c>
      <c r="I33" s="79" t="s">
        <v>124</v>
      </c>
      <c r="J33" s="80">
        <v>459</v>
      </c>
      <c r="K33" s="81">
        <v>15</v>
      </c>
    </row>
    <row r="34" spans="1:11" ht="20.25" customHeight="1" thickBot="1" x14ac:dyDescent="0.25">
      <c r="A34" s="63">
        <v>23</v>
      </c>
      <c r="B34" s="84"/>
      <c r="C34" s="107" t="str">
        <f>'Necesidades Trimestrales'!E32</f>
        <v>HILO DE LINO N°30 BOVINA</v>
      </c>
      <c r="D34" s="107"/>
      <c r="E34" s="107"/>
      <c r="F34" s="107"/>
      <c r="G34" s="107"/>
      <c r="H34" s="78" t="s">
        <v>120</v>
      </c>
      <c r="I34" s="79" t="s">
        <v>124</v>
      </c>
      <c r="J34" s="80">
        <v>459</v>
      </c>
      <c r="K34" s="81">
        <v>15</v>
      </c>
    </row>
    <row r="35" spans="1:11" ht="20.25" customHeight="1" thickBot="1" x14ac:dyDescent="0.25">
      <c r="A35" s="76">
        <v>24</v>
      </c>
      <c r="B35" s="84"/>
      <c r="C35" s="107" t="str">
        <f>'Necesidades Trimestrales'!E33</f>
        <v>HILO DE LINO N°40 BOVINA</v>
      </c>
      <c r="D35" s="107"/>
      <c r="E35" s="107"/>
      <c r="F35" s="107"/>
      <c r="G35" s="107"/>
      <c r="H35" s="78" t="s">
        <v>120</v>
      </c>
      <c r="I35" s="79" t="s">
        <v>124</v>
      </c>
      <c r="J35" s="80">
        <v>459</v>
      </c>
      <c r="K35" s="81">
        <v>10</v>
      </c>
    </row>
    <row r="36" spans="1:11" ht="20.25" customHeight="1" thickBot="1" x14ac:dyDescent="0.25">
      <c r="A36" s="63">
        <v>25</v>
      </c>
      <c r="B36" s="84"/>
      <c r="C36" s="107" t="str">
        <f>'Necesidades Trimestrales'!E34</f>
        <v>HILO DE SUTURA N1 CON AGUJA TIPO VICRYL CODIGO J341</v>
      </c>
      <c r="D36" s="107"/>
      <c r="E36" s="107"/>
      <c r="F36" s="107"/>
      <c r="G36" s="107"/>
      <c r="H36" s="78" t="s">
        <v>120</v>
      </c>
      <c r="I36" s="79" t="s">
        <v>124</v>
      </c>
      <c r="J36" s="80">
        <v>456</v>
      </c>
      <c r="K36" s="81">
        <v>480</v>
      </c>
    </row>
    <row r="37" spans="1:11" ht="20.25" customHeight="1" thickBot="1" x14ac:dyDescent="0.25">
      <c r="A37" s="76">
        <v>26</v>
      </c>
      <c r="B37" s="84"/>
      <c r="C37" s="107" t="str">
        <f>'Necesidades Trimestrales'!E35</f>
        <v>HILO DE SUTURA TIPO VICRYL N2-0 CODIGO J317 CON AGUJA</v>
      </c>
      <c r="D37" s="107"/>
      <c r="E37" s="107"/>
      <c r="F37" s="107"/>
      <c r="G37" s="107"/>
      <c r="H37" s="78" t="s">
        <v>120</v>
      </c>
      <c r="I37" s="79" t="s">
        <v>124</v>
      </c>
      <c r="J37" s="80">
        <v>456</v>
      </c>
      <c r="K37" s="81">
        <v>144</v>
      </c>
    </row>
    <row r="38" spans="1:11" ht="20.25" customHeight="1" thickBot="1" x14ac:dyDescent="0.25">
      <c r="A38" s="63">
        <v>27</v>
      </c>
      <c r="B38" s="84"/>
      <c r="C38" s="107" t="str">
        <f>'Necesidades Trimestrales'!E36</f>
        <v>HOJA DE BISTURI N° 24</v>
      </c>
      <c r="D38" s="107"/>
      <c r="E38" s="107"/>
      <c r="F38" s="107"/>
      <c r="G38" s="107"/>
      <c r="H38" s="78" t="s">
        <v>120</v>
      </c>
      <c r="I38" s="79" t="s">
        <v>124</v>
      </c>
      <c r="J38" s="80">
        <v>8</v>
      </c>
      <c r="K38" s="81">
        <v>10000</v>
      </c>
    </row>
    <row r="39" spans="1:11" ht="20.25" customHeight="1" thickBot="1" x14ac:dyDescent="0.25">
      <c r="A39" s="76">
        <v>28</v>
      </c>
      <c r="B39" s="84"/>
      <c r="C39" s="107" t="str">
        <f>'Necesidades Trimestrales'!E37</f>
        <v>HOJA DE BISTURI Nº 11</v>
      </c>
      <c r="D39" s="107"/>
      <c r="E39" s="107"/>
      <c r="F39" s="107"/>
      <c r="G39" s="107"/>
      <c r="H39" s="78" t="s">
        <v>120</v>
      </c>
      <c r="I39" s="79" t="s">
        <v>124</v>
      </c>
      <c r="J39" s="80">
        <v>8</v>
      </c>
      <c r="K39" s="81">
        <v>2000</v>
      </c>
    </row>
    <row r="40" spans="1:11" ht="20.25" customHeight="1" thickBot="1" x14ac:dyDescent="0.25">
      <c r="A40" s="63">
        <v>29</v>
      </c>
      <c r="B40" s="84"/>
      <c r="C40" s="107" t="str">
        <f>'Necesidades Trimestrales'!E38</f>
        <v>HOJA DE BISTURI Nº 15</v>
      </c>
      <c r="D40" s="107"/>
      <c r="E40" s="107"/>
      <c r="F40" s="107"/>
      <c r="G40" s="107"/>
      <c r="H40" s="78" t="s">
        <v>120</v>
      </c>
      <c r="I40" s="79" t="s">
        <v>124</v>
      </c>
      <c r="J40" s="80">
        <v>8</v>
      </c>
      <c r="K40" s="81">
        <v>6000</v>
      </c>
    </row>
    <row r="41" spans="1:11" ht="20.25" customHeight="1" thickBot="1" x14ac:dyDescent="0.25">
      <c r="A41" s="76">
        <v>30</v>
      </c>
      <c r="B41" s="84"/>
      <c r="C41" s="107" t="str">
        <f>'Necesidades Trimestrales'!E39</f>
        <v>JERINGA DE 60 CC S/ AGUJA</v>
      </c>
      <c r="D41" s="107"/>
      <c r="E41" s="107"/>
      <c r="F41" s="107"/>
      <c r="G41" s="107"/>
      <c r="H41" s="78" t="s">
        <v>120</v>
      </c>
      <c r="I41" s="79" t="s">
        <v>124</v>
      </c>
      <c r="J41" s="80">
        <v>25</v>
      </c>
      <c r="K41" s="81">
        <v>2000</v>
      </c>
    </row>
    <row r="42" spans="1:11" ht="20.25" customHeight="1" thickBot="1" x14ac:dyDescent="0.25">
      <c r="A42" s="63">
        <v>31</v>
      </c>
      <c r="B42" s="84"/>
      <c r="C42" s="107" t="str">
        <f>'Necesidades Trimestrales'!E40</f>
        <v>JERINGA P/INSULINA 100 UI CON AGUJA TIPO TERUMO</v>
      </c>
      <c r="D42" s="107"/>
      <c r="E42" s="107"/>
      <c r="F42" s="107"/>
      <c r="G42" s="107"/>
      <c r="H42" s="78" t="s">
        <v>120</v>
      </c>
      <c r="I42" s="79" t="s">
        <v>124</v>
      </c>
      <c r="J42" s="80">
        <v>7.9</v>
      </c>
      <c r="K42" s="81">
        <v>150000</v>
      </c>
    </row>
    <row r="43" spans="1:11" ht="20.25" customHeight="1" thickBot="1" x14ac:dyDescent="0.25">
      <c r="A43" s="76">
        <v>32</v>
      </c>
      <c r="B43" s="84"/>
      <c r="C43" s="107" t="str">
        <f>'Necesidades Trimestrales'!E41</f>
        <v>JERINGAS DE 20CC  S/AGUJA</v>
      </c>
      <c r="D43" s="107"/>
      <c r="E43" s="107"/>
      <c r="F43" s="107"/>
      <c r="G43" s="107"/>
      <c r="H43" s="78" t="s">
        <v>120</v>
      </c>
      <c r="I43" s="79" t="s">
        <v>124</v>
      </c>
      <c r="J43" s="80">
        <v>18</v>
      </c>
      <c r="K43" s="81">
        <v>10000</v>
      </c>
    </row>
    <row r="44" spans="1:11" ht="20.25" customHeight="1" thickBot="1" x14ac:dyDescent="0.25">
      <c r="A44" s="63">
        <v>33</v>
      </c>
      <c r="B44" s="84"/>
      <c r="C44" s="107" t="str">
        <f>'Necesidades Trimestrales'!E42</f>
        <v>LLAVE 3 VIAS ESTERIL 360° LUERLOCK C/PROLONG. 15CM</v>
      </c>
      <c r="D44" s="107"/>
      <c r="E44" s="107"/>
      <c r="F44" s="107"/>
      <c r="G44" s="107"/>
      <c r="H44" s="78" t="s">
        <v>120</v>
      </c>
      <c r="I44" s="79" t="s">
        <v>124</v>
      </c>
      <c r="J44" s="80">
        <v>16</v>
      </c>
      <c r="K44" s="81">
        <v>1000</v>
      </c>
    </row>
    <row r="45" spans="1:11" ht="20.25" customHeight="1" thickBot="1" x14ac:dyDescent="0.25">
      <c r="A45" s="76">
        <v>34</v>
      </c>
      <c r="B45" s="84"/>
      <c r="C45" s="107" t="str">
        <f>'Necesidades Trimestrales'!E43</f>
        <v>LLAVE 3 VIAS ESTERIL 360° LUERLOCK C/PROLONG. 30 CM</v>
      </c>
      <c r="D45" s="107"/>
      <c r="E45" s="107"/>
      <c r="F45" s="107"/>
      <c r="G45" s="107"/>
      <c r="H45" s="78" t="s">
        <v>120</v>
      </c>
      <c r="I45" s="79" t="s">
        <v>124</v>
      </c>
      <c r="J45" s="80">
        <v>19</v>
      </c>
      <c r="K45" s="81">
        <v>200</v>
      </c>
    </row>
    <row r="46" spans="1:11" ht="20.25" customHeight="1" thickBot="1" x14ac:dyDescent="0.25">
      <c r="A46" s="63">
        <v>35</v>
      </c>
      <c r="B46" s="84"/>
      <c r="C46" s="107" t="str">
        <f>'Necesidades Trimestrales'!E44</f>
        <v>LLAVE DE TRES VIA</v>
      </c>
      <c r="D46" s="107"/>
      <c r="E46" s="107"/>
      <c r="F46" s="107"/>
      <c r="G46" s="107"/>
      <c r="H46" s="78" t="s">
        <v>120</v>
      </c>
      <c r="I46" s="79" t="s">
        <v>124</v>
      </c>
      <c r="J46" s="80">
        <v>13</v>
      </c>
      <c r="K46" s="81">
        <v>5000</v>
      </c>
    </row>
    <row r="47" spans="1:11" ht="20.25" customHeight="1" thickBot="1" x14ac:dyDescent="0.25">
      <c r="A47" s="76">
        <v>36</v>
      </c>
      <c r="B47" s="84"/>
      <c r="C47" s="107" t="str">
        <f>'Necesidades Trimestrales'!E45</f>
        <v>MASCARA CON BOLSA RESERVORIO</v>
      </c>
      <c r="D47" s="107"/>
      <c r="E47" s="107"/>
      <c r="F47" s="107"/>
      <c r="G47" s="107"/>
      <c r="H47" s="78" t="s">
        <v>120</v>
      </c>
      <c r="I47" s="79" t="s">
        <v>124</v>
      </c>
      <c r="J47" s="80">
        <v>189</v>
      </c>
      <c r="K47" s="81">
        <v>1000</v>
      </c>
    </row>
    <row r="48" spans="1:11" ht="20.25" customHeight="1" thickBot="1" x14ac:dyDescent="0.25">
      <c r="A48" s="63">
        <v>37</v>
      </c>
      <c r="B48" s="84"/>
      <c r="C48" s="107" t="str">
        <f>'Necesidades Trimestrales'!E46</f>
        <v>SET DE VIA CENTRAL DOBLE LUMEN  7 FRENCH TIPO ARROW</v>
      </c>
      <c r="D48" s="107"/>
      <c r="E48" s="107"/>
      <c r="F48" s="107"/>
      <c r="G48" s="107"/>
      <c r="H48" s="78" t="s">
        <v>120</v>
      </c>
      <c r="I48" s="79" t="s">
        <v>124</v>
      </c>
      <c r="J48" s="80">
        <v>2690</v>
      </c>
      <c r="K48" s="81">
        <v>200</v>
      </c>
    </row>
    <row r="49" spans="1:11" ht="20.25" customHeight="1" thickBot="1" x14ac:dyDescent="0.25">
      <c r="A49" s="76">
        <v>38</v>
      </c>
      <c r="B49" s="84"/>
      <c r="C49" s="107" t="str">
        <f>'Necesidades Trimestrales'!E47</f>
        <v>SET DE VIA CENTRAL SIMPLE LUMEN VIA 7 FRENCH TIPO ARROW</v>
      </c>
      <c r="D49" s="107"/>
      <c r="E49" s="107"/>
      <c r="F49" s="107"/>
      <c r="G49" s="107"/>
      <c r="H49" s="78" t="s">
        <v>120</v>
      </c>
      <c r="I49" s="79" t="s">
        <v>124</v>
      </c>
      <c r="J49" s="80">
        <v>8980</v>
      </c>
      <c r="K49" s="81">
        <v>500</v>
      </c>
    </row>
    <row r="50" spans="1:11" ht="20.25" customHeight="1" thickBot="1" x14ac:dyDescent="0.25">
      <c r="A50" s="63">
        <v>39</v>
      </c>
      <c r="B50" s="84"/>
      <c r="C50" s="107" t="str">
        <f>'Necesidades Trimestrales'!E48</f>
        <v>SET PARA NEBULIZAR COMPLETO PIPETA+ MASCARA + TUBULADURA</v>
      </c>
      <c r="D50" s="107"/>
      <c r="E50" s="107"/>
      <c r="F50" s="107"/>
      <c r="G50" s="107"/>
      <c r="H50" s="78" t="s">
        <v>120</v>
      </c>
      <c r="I50" s="79" t="s">
        <v>124</v>
      </c>
      <c r="J50" s="80">
        <v>1690</v>
      </c>
      <c r="K50" s="81">
        <v>200</v>
      </c>
    </row>
    <row r="51" spans="1:11" ht="20.25" customHeight="1" thickBot="1" x14ac:dyDescent="0.25">
      <c r="A51" s="76">
        <v>40</v>
      </c>
      <c r="B51" s="84"/>
      <c r="C51" s="107" t="str">
        <f>'Necesidades Trimestrales'!E49</f>
        <v>SONDA FOLEY DOBLE VIA Nº 14 DE PVC RECUBIERTO CON SILICONA</v>
      </c>
      <c r="D51" s="107"/>
      <c r="E51" s="107"/>
      <c r="F51" s="107"/>
      <c r="G51" s="107"/>
      <c r="H51" s="78" t="s">
        <v>120</v>
      </c>
      <c r="I51" s="79" t="s">
        <v>124</v>
      </c>
      <c r="J51" s="80">
        <v>560</v>
      </c>
      <c r="K51" s="81">
        <v>50</v>
      </c>
    </row>
    <row r="52" spans="1:11" ht="20.25" customHeight="1" thickBot="1" x14ac:dyDescent="0.25">
      <c r="A52" s="63">
        <v>41</v>
      </c>
      <c r="B52" s="84"/>
      <c r="C52" s="107" t="str">
        <f>'Necesidades Trimestrales'!E50</f>
        <v>SONDA FOLEY DOBLE VIA Nº 16 DE PVC RECUBIERTO CON SILICONA</v>
      </c>
      <c r="D52" s="107"/>
      <c r="E52" s="107"/>
      <c r="F52" s="107"/>
      <c r="G52" s="107"/>
      <c r="H52" s="78" t="s">
        <v>120</v>
      </c>
      <c r="I52" s="79" t="s">
        <v>124</v>
      </c>
      <c r="J52" s="80">
        <v>560</v>
      </c>
      <c r="K52" s="81">
        <v>200</v>
      </c>
    </row>
    <row r="53" spans="1:11" ht="20.25" customHeight="1" thickBot="1" x14ac:dyDescent="0.25">
      <c r="A53" s="76">
        <v>42</v>
      </c>
      <c r="B53" s="84"/>
      <c r="C53" s="107" t="str">
        <f>'Necesidades Trimestrales'!E51</f>
        <v>SONDA FOLEY DOBLE VIA Nº 18 DE PVC RECUBIERTO CON SILICONA</v>
      </c>
      <c r="D53" s="107"/>
      <c r="E53" s="107"/>
      <c r="F53" s="107"/>
      <c r="G53" s="107"/>
      <c r="H53" s="78" t="s">
        <v>120</v>
      </c>
      <c r="I53" s="79" t="s">
        <v>124</v>
      </c>
      <c r="J53" s="80">
        <v>560</v>
      </c>
      <c r="K53" s="81">
        <v>200</v>
      </c>
    </row>
    <row r="54" spans="1:11" ht="20.25" customHeight="1" thickBot="1" x14ac:dyDescent="0.25">
      <c r="A54" s="63">
        <v>43</v>
      </c>
      <c r="B54" s="84"/>
      <c r="C54" s="107" t="str">
        <f>'Necesidades Trimestrales'!E52</f>
        <v>SONDA INTUB.GASTRICA K 9</v>
      </c>
      <c r="D54" s="107"/>
      <c r="E54" s="107"/>
      <c r="F54" s="107"/>
      <c r="G54" s="107"/>
      <c r="H54" s="78" t="s">
        <v>120</v>
      </c>
      <c r="I54" s="79" t="s">
        <v>124</v>
      </c>
      <c r="J54" s="80">
        <v>36</v>
      </c>
      <c r="K54" s="81">
        <v>500</v>
      </c>
    </row>
    <row r="55" spans="1:11" ht="20.25" customHeight="1" thickBot="1" x14ac:dyDescent="0.25">
      <c r="A55" s="76">
        <v>44</v>
      </c>
      <c r="B55" s="84"/>
      <c r="C55" s="107" t="str">
        <f>'Necesidades Trimestrales'!E53</f>
        <v>SONDA INTUB.GASTRICA K10</v>
      </c>
      <c r="D55" s="107"/>
      <c r="E55" s="107"/>
      <c r="F55" s="107"/>
      <c r="G55" s="107"/>
      <c r="H55" s="78" t="s">
        <v>120</v>
      </c>
      <c r="I55" s="79" t="s">
        <v>124</v>
      </c>
      <c r="J55" s="80">
        <v>36</v>
      </c>
      <c r="K55" s="81">
        <v>1000</v>
      </c>
    </row>
    <row r="56" spans="1:11" ht="20.25" customHeight="1" thickBot="1" x14ac:dyDescent="0.25">
      <c r="A56" s="63">
        <v>45</v>
      </c>
      <c r="B56" s="84"/>
      <c r="C56" s="107" t="str">
        <f>'Necesidades Trimestrales'!E54</f>
        <v>SONDA INTUB.GASTRICA K11</v>
      </c>
      <c r="D56" s="107"/>
      <c r="E56" s="107"/>
      <c r="F56" s="107"/>
      <c r="G56" s="107"/>
      <c r="H56" s="78" t="s">
        <v>120</v>
      </c>
      <c r="I56" s="79" t="s">
        <v>124</v>
      </c>
      <c r="J56" s="80">
        <v>36</v>
      </c>
      <c r="K56" s="81">
        <v>1000</v>
      </c>
    </row>
    <row r="57" spans="1:11" ht="20.25" customHeight="1" thickBot="1" x14ac:dyDescent="0.25">
      <c r="A57" s="76">
        <v>46</v>
      </c>
      <c r="B57" s="84"/>
      <c r="C57" s="107" t="str">
        <f>'Necesidades Trimestrales'!E55</f>
        <v>SONDA NASOGASTRICA K 33</v>
      </c>
      <c r="D57" s="107"/>
      <c r="E57" s="107"/>
      <c r="F57" s="107"/>
      <c r="G57" s="107"/>
      <c r="H57" s="78" t="s">
        <v>120</v>
      </c>
      <c r="I57" s="79" t="s">
        <v>124</v>
      </c>
      <c r="J57" s="80">
        <v>36</v>
      </c>
      <c r="K57" s="81">
        <v>500</v>
      </c>
    </row>
    <row r="58" spans="1:11" ht="20.25" customHeight="1" thickBot="1" x14ac:dyDescent="0.25">
      <c r="A58" s="63">
        <v>47</v>
      </c>
      <c r="B58" s="84"/>
      <c r="C58" s="107" t="str">
        <f>'Necesidades Trimestrales'!E56</f>
        <v>SONDA NASOGASTRICA K 35</v>
      </c>
      <c r="D58" s="107"/>
      <c r="E58" s="107"/>
      <c r="F58" s="107"/>
      <c r="G58" s="107"/>
      <c r="H58" s="78" t="s">
        <v>120</v>
      </c>
      <c r="I58" s="79" t="s">
        <v>124</v>
      </c>
      <c r="J58" s="80">
        <v>36</v>
      </c>
      <c r="K58" s="81">
        <v>100</v>
      </c>
    </row>
    <row r="59" spans="1:11" ht="20.25" customHeight="1" thickBot="1" x14ac:dyDescent="0.25">
      <c r="A59" s="76">
        <v>48</v>
      </c>
      <c r="B59" s="84"/>
      <c r="C59" s="107" t="str">
        <f>'Necesidades Trimestrales'!E57</f>
        <v>SONDA NELATON PVC N° 12 T/K93</v>
      </c>
      <c r="D59" s="107"/>
      <c r="E59" s="107"/>
      <c r="F59" s="107"/>
      <c r="G59" s="107"/>
      <c r="H59" s="78" t="s">
        <v>120</v>
      </c>
      <c r="I59" s="79" t="s">
        <v>124</v>
      </c>
      <c r="J59" s="80">
        <v>56</v>
      </c>
      <c r="K59" s="81">
        <v>500</v>
      </c>
    </row>
    <row r="60" spans="1:11" ht="20.25" customHeight="1" thickBot="1" x14ac:dyDescent="0.25">
      <c r="A60" s="63">
        <v>49</v>
      </c>
      <c r="B60" s="84"/>
      <c r="C60" s="107" t="str">
        <f>'Necesidades Trimestrales'!E58</f>
        <v>SONDA P/ASPIRACION MUCUS T/K29P C/REGULADOR</v>
      </c>
      <c r="D60" s="107"/>
      <c r="E60" s="107"/>
      <c r="F60" s="107"/>
      <c r="G60" s="107"/>
      <c r="H60" s="78" t="s">
        <v>120</v>
      </c>
      <c r="I60" s="79" t="s">
        <v>124</v>
      </c>
      <c r="J60" s="80">
        <v>38</v>
      </c>
      <c r="K60" s="81">
        <v>500</v>
      </c>
    </row>
    <row r="61" spans="1:11" ht="20.25" customHeight="1" thickBot="1" x14ac:dyDescent="0.25">
      <c r="A61" s="76">
        <v>50</v>
      </c>
      <c r="B61" s="85"/>
      <c r="C61" s="107" t="str">
        <f>'Necesidades Trimestrales'!E59</f>
        <v>SONDA P/ASPIRACION MUCUS T/K35P C/REGULADOR</v>
      </c>
      <c r="D61" s="107"/>
      <c r="E61" s="107"/>
      <c r="F61" s="107"/>
      <c r="G61" s="107"/>
      <c r="H61" s="82" t="s">
        <v>120</v>
      </c>
      <c r="I61" s="79" t="s">
        <v>124</v>
      </c>
      <c r="J61" s="80">
        <v>38</v>
      </c>
      <c r="K61" s="81">
        <v>300</v>
      </c>
    </row>
    <row r="62" spans="1:11" ht="20.25" customHeight="1" thickBot="1" x14ac:dyDescent="0.25">
      <c r="A62" s="63">
        <v>51</v>
      </c>
      <c r="B62" s="85"/>
      <c r="C62" s="107" t="str">
        <f>'Necesidades Trimestrales'!E60</f>
        <v>TELA ADHESIVA 2,5 MM X 9,00 MTS TIPO ADHESUR</v>
      </c>
      <c r="D62" s="107"/>
      <c r="E62" s="107"/>
      <c r="F62" s="107"/>
      <c r="G62" s="107"/>
      <c r="H62" s="82" t="s">
        <v>120</v>
      </c>
      <c r="I62" s="79" t="s">
        <v>124</v>
      </c>
      <c r="J62" s="80">
        <v>115</v>
      </c>
      <c r="K62" s="81">
        <v>2000</v>
      </c>
    </row>
    <row r="63" spans="1:11" ht="20.25" customHeight="1" thickBot="1" x14ac:dyDescent="0.25">
      <c r="A63" s="76">
        <v>52</v>
      </c>
      <c r="B63" s="85"/>
      <c r="C63" s="107" t="str">
        <f>'Necesidades Trimestrales'!E61</f>
        <v>TELA ADHESIVA 5 MM X 9,00 MTS TIPO ADHESUR</v>
      </c>
      <c r="D63" s="107"/>
      <c r="E63" s="107"/>
      <c r="F63" s="107"/>
      <c r="G63" s="107"/>
      <c r="H63" s="82" t="s">
        <v>120</v>
      </c>
      <c r="I63" s="79" t="s">
        <v>124</v>
      </c>
      <c r="J63" s="80">
        <v>198</v>
      </c>
      <c r="K63" s="81">
        <v>1000</v>
      </c>
    </row>
    <row r="64" spans="1:11" ht="20.25" customHeight="1" thickBot="1" x14ac:dyDescent="0.25">
      <c r="A64" s="63">
        <v>53</v>
      </c>
      <c r="B64" s="85"/>
      <c r="C64" s="107" t="str">
        <f>'Necesidades Trimestrales'!E62</f>
        <v>TELA ADHESIVA HIPOALERGENICA MICROPORE 2,5 CM TIPO 3 M</v>
      </c>
      <c r="D64" s="107"/>
      <c r="E64" s="107"/>
      <c r="F64" s="107"/>
      <c r="G64" s="107"/>
      <c r="H64" s="82" t="s">
        <v>120</v>
      </c>
      <c r="I64" s="79" t="s">
        <v>124</v>
      </c>
      <c r="J64" s="80">
        <v>168</v>
      </c>
      <c r="K64" s="81">
        <v>2000</v>
      </c>
    </row>
    <row r="65" spans="1:11" ht="20.25" customHeight="1" thickBot="1" x14ac:dyDescent="0.25">
      <c r="A65" s="76">
        <v>54</v>
      </c>
      <c r="B65" s="85"/>
      <c r="C65" s="107" t="str">
        <f>'Necesidades Trimestrales'!E63</f>
        <v>TELA ADHESIVA HIPOALERGENICA TRANSPORE 2,5 CM TIPO 3 M</v>
      </c>
      <c r="D65" s="107"/>
      <c r="E65" s="107"/>
      <c r="F65" s="107"/>
      <c r="G65" s="107"/>
      <c r="H65" s="82" t="s">
        <v>120</v>
      </c>
      <c r="I65" s="79" t="s">
        <v>124</v>
      </c>
      <c r="J65" s="80">
        <v>269</v>
      </c>
      <c r="K65" s="81">
        <v>1000</v>
      </c>
    </row>
    <row r="66" spans="1:11" ht="20.25" customHeight="1" thickBot="1" x14ac:dyDescent="0.25">
      <c r="A66" s="110" t="s">
        <v>121</v>
      </c>
      <c r="B66" s="110"/>
      <c r="C66" s="110"/>
      <c r="D66" s="110"/>
      <c r="E66" s="110"/>
      <c r="F66" s="110"/>
      <c r="G66" s="110"/>
      <c r="H66" s="110"/>
      <c r="I66" s="110"/>
      <c r="J66" s="111">
        <f>SUMPRODUCT(J12:J65,K12:K65)</f>
        <v>19922204</v>
      </c>
      <c r="K66" s="112"/>
    </row>
  </sheetData>
  <mergeCells count="7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66:I66"/>
    <mergeCell ref="J66:K66"/>
    <mergeCell ref="C12:G12"/>
    <mergeCell ref="C61:G61"/>
    <mergeCell ref="C62:G62"/>
    <mergeCell ref="C64:G64"/>
    <mergeCell ref="C65:G65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53:G53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63:G63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54:G54"/>
    <mergeCell ref="C55:G55"/>
    <mergeCell ref="C50:G50"/>
    <mergeCell ref="C51:G51"/>
    <mergeCell ref="C52:G52"/>
    <mergeCell ref="C59:G59"/>
    <mergeCell ref="C60:G60"/>
    <mergeCell ref="C56:G56"/>
    <mergeCell ref="C57:G57"/>
    <mergeCell ref="C58:G5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13" zoomScale="130" zoomScaleNormal="130" workbookViewId="0">
      <selection activeCell="Q17" sqref="Q17"/>
    </sheetView>
  </sheetViews>
  <sheetFormatPr baseColWidth="10" defaultColWidth="11" defaultRowHeight="12.75" x14ac:dyDescent="0.2"/>
  <cols>
    <col min="1" max="5" width="4.42578125" customWidth="1"/>
    <col min="6" max="6" width="6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2020</v>
      </c>
      <c r="E1" s="145"/>
      <c r="F1" s="9"/>
      <c r="G1" s="9"/>
      <c r="H1" s="10"/>
      <c r="I1" s="10"/>
      <c r="J1" s="10"/>
      <c r="K1" s="10"/>
      <c r="L1" s="10"/>
      <c r="M1" s="10"/>
      <c r="N1" s="10"/>
      <c r="P1" s="146" t="s">
        <v>30</v>
      </c>
      <c r="Q1" s="146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46"/>
      <c r="Q2" s="146"/>
    </row>
    <row r="4" spans="1:17" s="11" customFormat="1" ht="18" customHeight="1" thickBot="1" x14ac:dyDescent="0.25">
      <c r="A4" s="147" t="s">
        <v>31</v>
      </c>
      <c r="B4" s="147"/>
      <c r="C4" s="147"/>
      <c r="D4" s="147"/>
      <c r="E4" s="147"/>
      <c r="F4" s="147"/>
      <c r="G4" s="142" t="str">
        <f>' NotaPedido'!D3</f>
        <v>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11" customFormat="1" ht="18" customHeight="1" thickBot="1" x14ac:dyDescent="0.25">
      <c r="A5" s="139" t="s">
        <v>54</v>
      </c>
      <c r="B5" s="140"/>
      <c r="C5" s="140"/>
      <c r="D5" s="140"/>
      <c r="E5" s="140"/>
      <c r="F5" s="141"/>
      <c r="G5" s="142">
        <f>' NotaPedido'!D4</f>
        <v>11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11" customFormat="1" ht="18" customHeight="1" thickBot="1" x14ac:dyDescent="0.25">
      <c r="A6" s="139" t="s">
        <v>32</v>
      </c>
      <c r="B6" s="140"/>
      <c r="C6" s="140"/>
      <c r="D6" s="140"/>
      <c r="E6" s="140"/>
      <c r="F6" s="141"/>
      <c r="G6" s="142" t="str">
        <f>' NotaPedido'!D5</f>
        <v>DIRECCION PROVINCIAL DE FARMACIA E INSUMOS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11" customFormat="1" ht="18" customHeight="1" thickBot="1" x14ac:dyDescent="0.25">
      <c r="A7" s="139" t="s">
        <v>55</v>
      </c>
      <c r="B7" s="140"/>
      <c r="C7" s="140"/>
      <c r="D7" s="140"/>
      <c r="E7" s="140"/>
      <c r="F7" s="141"/>
      <c r="G7" s="142" t="str">
        <f>' NotaPedido'!D6</f>
        <v>DIRECCION PROVINCIAL DE FARMACIA E INSUMOS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3" t="s">
        <v>34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12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59-2020,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35" t="s">
        <v>35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36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37</v>
      </c>
      <c r="P13" s="137"/>
      <c r="Q13" s="138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37"/>
      <c r="P14" s="137"/>
      <c r="Q14" s="138"/>
    </row>
    <row r="15" spans="1:17" ht="23.25" customHeight="1" thickBot="1" x14ac:dyDescent="0.25">
      <c r="A15" s="65">
        <v>30</v>
      </c>
      <c r="B15" s="66"/>
      <c r="C15" s="66"/>
      <c r="D15" s="66">
        <v>1</v>
      </c>
      <c r="E15" s="66"/>
      <c r="F15" s="66">
        <v>4901</v>
      </c>
      <c r="G15" s="66">
        <v>3</v>
      </c>
      <c r="H15" s="66">
        <v>1</v>
      </c>
      <c r="I15" s="67">
        <v>2</v>
      </c>
      <c r="J15" s="67">
        <v>5</v>
      </c>
      <c r="K15" s="67">
        <v>1</v>
      </c>
      <c r="L15" s="66"/>
      <c r="M15" s="68">
        <v>1</v>
      </c>
      <c r="N15" s="87" t="s">
        <v>113</v>
      </c>
      <c r="O15" s="132" t="s">
        <v>130</v>
      </c>
      <c r="P15" s="132"/>
      <c r="Q15" s="69">
        <v>928100</v>
      </c>
    </row>
    <row r="16" spans="1:17" ht="23.25" customHeight="1" x14ac:dyDescent="0.2">
      <c r="A16" s="65">
        <v>30</v>
      </c>
      <c r="B16" s="66"/>
      <c r="C16" s="66"/>
      <c r="D16" s="66">
        <v>1</v>
      </c>
      <c r="E16" s="66"/>
      <c r="F16" s="66">
        <v>4901</v>
      </c>
      <c r="G16" s="66">
        <v>3</v>
      </c>
      <c r="H16" s="66">
        <v>1</v>
      </c>
      <c r="I16" s="67">
        <v>2</v>
      </c>
      <c r="J16" s="67">
        <v>9</v>
      </c>
      <c r="K16" s="67">
        <v>5</v>
      </c>
      <c r="L16" s="66"/>
      <c r="M16" s="68">
        <v>1</v>
      </c>
      <c r="N16" s="87" t="s">
        <v>113</v>
      </c>
      <c r="O16" s="132" t="s">
        <v>111</v>
      </c>
      <c r="P16" s="132"/>
      <c r="Q16" s="26">
        <v>18994104</v>
      </c>
    </row>
    <row r="17" spans="1:18" ht="23.25" customHeight="1" x14ac:dyDescent="0.2">
      <c r="A17" s="22"/>
      <c r="B17" s="23"/>
      <c r="C17" s="23"/>
      <c r="D17" s="23"/>
      <c r="E17" s="23"/>
      <c r="F17" s="25"/>
      <c r="G17" s="23"/>
      <c r="H17" s="23"/>
      <c r="I17" s="23"/>
      <c r="J17" s="23"/>
      <c r="K17" s="23"/>
      <c r="L17" s="23"/>
      <c r="M17" s="24"/>
      <c r="N17" s="25"/>
      <c r="O17" s="127"/>
      <c r="P17" s="127"/>
      <c r="Q17" s="26"/>
    </row>
    <row r="18" spans="1:18" ht="23.25" customHeight="1" x14ac:dyDescent="0.2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4"/>
      <c r="N18" s="25"/>
      <c r="O18" s="127"/>
      <c r="P18" s="127"/>
      <c r="Q18" s="26"/>
    </row>
    <row r="19" spans="1:18" ht="23.25" customHeight="1" x14ac:dyDescent="0.2">
      <c r="A19" s="22"/>
      <c r="B19" s="23"/>
      <c r="C19" s="23"/>
      <c r="D19" s="23"/>
      <c r="E19" s="23"/>
      <c r="F19" s="25"/>
      <c r="G19" s="23"/>
      <c r="H19" s="23"/>
      <c r="I19" s="23"/>
      <c r="J19" s="23"/>
      <c r="K19" s="23"/>
      <c r="L19" s="23"/>
      <c r="M19" s="24"/>
      <c r="N19" s="25"/>
      <c r="O19" s="127"/>
      <c r="P19" s="127"/>
      <c r="Q19" s="26"/>
    </row>
    <row r="20" spans="1:18" ht="23.25" customHeight="1" x14ac:dyDescent="0.2">
      <c r="A20" s="22"/>
      <c r="B20" s="23"/>
      <c r="C20" s="23"/>
      <c r="D20" s="23"/>
      <c r="E20" s="23"/>
      <c r="F20" s="25"/>
      <c r="G20" s="23"/>
      <c r="H20" s="23"/>
      <c r="I20" s="23"/>
      <c r="J20" s="23"/>
      <c r="K20" s="23"/>
      <c r="L20" s="23"/>
      <c r="M20" s="24"/>
      <c r="N20" s="25"/>
      <c r="O20" s="127"/>
      <c r="P20" s="127"/>
      <c r="Q20" s="26"/>
    </row>
    <row r="21" spans="1:18" ht="23.25" customHeight="1" x14ac:dyDescent="0.2">
      <c r="A21" s="27"/>
      <c r="B21" s="28"/>
      <c r="C21" s="28"/>
      <c r="D21" s="28"/>
      <c r="E21" s="28"/>
      <c r="F21" s="29"/>
      <c r="G21" s="28"/>
      <c r="H21" s="28"/>
      <c r="I21" s="28"/>
      <c r="J21" s="28"/>
      <c r="K21" s="28"/>
      <c r="L21" s="28"/>
      <c r="M21" s="30"/>
      <c r="N21" s="31"/>
      <c r="O21" s="128"/>
      <c r="P21" s="128"/>
      <c r="Q21" s="26"/>
      <c r="R21" s="1"/>
    </row>
    <row r="22" spans="1:18" ht="23.25" customHeight="1" x14ac:dyDescent="0.2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33"/>
      <c r="O22" s="129"/>
      <c r="P22" s="129"/>
      <c r="Q22" s="35"/>
    </row>
    <row r="23" spans="1:18" ht="39.75" customHeight="1" x14ac:dyDescent="0.2">
      <c r="A23" s="130" t="s">
        <v>122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36">
        <f>SUM(Q15:Q22)</f>
        <v>19922204</v>
      </c>
    </row>
    <row r="24" spans="1:18" ht="18" customHeight="1" thickBot="1" x14ac:dyDescent="0.25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8" ht="17.25" customHeight="1" thickBot="1" x14ac:dyDescent="0.25">
      <c r="A25" s="122" t="s">
        <v>52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8" ht="18" customHeight="1" thickBot="1" x14ac:dyDescent="0.25">
      <c r="A26" s="126" t="s">
        <v>123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8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2</cp:revision>
  <cp:lastPrinted>2020-07-17T22:18:48Z</cp:lastPrinted>
  <dcterms:created xsi:type="dcterms:W3CDTF">2020-07-17T23:44:49Z</dcterms:created>
  <dcterms:modified xsi:type="dcterms:W3CDTF">2020-11-11T13:55:44Z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