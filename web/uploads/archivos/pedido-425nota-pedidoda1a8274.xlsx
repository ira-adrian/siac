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checkCompatibility="1" defaultThemeVersion="124226"/>
  <bookViews>
    <workbookView xWindow="-105" yWindow="255" windowWidth="15600" windowHeight="11400" tabRatio="500"/>
  </bookViews>
  <sheets>
    <sheet name="Necesidades Trimestrales" sheetId="1" r:id="rId1"/>
    <sheet name=" NotaPedido" sheetId="2" r:id="rId2"/>
    <sheet name="Autor Gastar" sheetId="3" r:id="rId3"/>
  </sheets>
  <externalReferences>
    <externalReference r:id="rId4"/>
  </externalReferences>
  <definedNames>
    <definedName name="_xlnm._FilterDatabase" localSheetId="0" hidden="1">'Necesidades Trimestrales'!$A$9:$H$73</definedName>
    <definedName name="_xlnm.Print_Area" localSheetId="1">' NotaPedido'!$A$1:$G$74</definedName>
    <definedName name="_xlnm.Print_Area" localSheetId="2">'Autor Gastar'!$A$1:$Q$27</definedName>
    <definedName name="_xlnm.Print_Area" localSheetId="0">'Necesidades Trimestrales'!$D$9:$D$41</definedName>
  </definedName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75" i="2"/>
  <c r="F75"/>
  <c r="E75"/>
  <c r="C75"/>
  <c r="H73" i="1"/>
  <c r="B38" i="2"/>
  <c r="B39"/>
  <c r="B40"/>
  <c r="B41"/>
  <c r="B42"/>
  <c r="B43"/>
  <c r="B44"/>
  <c r="B45"/>
  <c r="B46"/>
  <c r="B47"/>
  <c r="B48"/>
  <c r="B49"/>
  <c r="B50"/>
  <c r="B51"/>
  <c r="B52"/>
  <c r="B53"/>
  <c r="B54"/>
  <c r="B55"/>
  <c r="B56"/>
  <c r="B57"/>
  <c r="B58"/>
  <c r="B59"/>
  <c r="B60"/>
  <c r="B61"/>
  <c r="B62"/>
  <c r="B63"/>
  <c r="B64"/>
  <c r="B65"/>
  <c r="B66"/>
  <c r="B67"/>
  <c r="B68"/>
  <c r="B69"/>
  <c r="B70"/>
  <c r="B71"/>
  <c r="B72"/>
  <c r="E38"/>
  <c r="E39"/>
  <c r="E40"/>
  <c r="E41"/>
  <c r="E42"/>
  <c r="E43"/>
  <c r="E44"/>
  <c r="E45"/>
  <c r="E46"/>
  <c r="E47"/>
  <c r="E48"/>
  <c r="E49"/>
  <c r="E50"/>
  <c r="E51"/>
  <c r="E52"/>
  <c r="E53"/>
  <c r="E54"/>
  <c r="E55"/>
  <c r="E56"/>
  <c r="E57"/>
  <c r="E58"/>
  <c r="E59"/>
  <c r="E60"/>
  <c r="E61"/>
  <c r="E62"/>
  <c r="E63"/>
  <c r="E64"/>
  <c r="E65"/>
  <c r="E66"/>
  <c r="E67"/>
  <c r="E68"/>
  <c r="E69"/>
  <c r="E70"/>
  <c r="E71"/>
  <c r="E72"/>
  <c r="H72" i="1" l="1"/>
  <c r="H42" l="1"/>
  <c r="H43"/>
  <c r="H44"/>
  <c r="H45"/>
  <c r="H46"/>
  <c r="H47"/>
  <c r="H48"/>
  <c r="H49"/>
  <c r="H50"/>
  <c r="H51"/>
  <c r="H52"/>
  <c r="H53"/>
  <c r="H54"/>
  <c r="H55"/>
  <c r="H56"/>
  <c r="H57"/>
  <c r="H58"/>
  <c r="H59"/>
  <c r="H60"/>
  <c r="H61"/>
  <c r="H62"/>
  <c r="H63"/>
  <c r="H64"/>
  <c r="H65"/>
  <c r="H66"/>
  <c r="H67"/>
  <c r="H68"/>
  <c r="H69"/>
  <c r="H70"/>
  <c r="H71"/>
  <c r="D7" i="2"/>
  <c r="D4"/>
  <c r="D3"/>
  <c r="G13" l="1"/>
  <c r="G14"/>
  <c r="G15"/>
  <c r="G16"/>
  <c r="G17"/>
  <c r="G18"/>
  <c r="G19"/>
  <c r="G20"/>
  <c r="G21"/>
  <c r="G22"/>
  <c r="G23"/>
  <c r="G24"/>
  <c r="G25"/>
  <c r="G26"/>
  <c r="G27"/>
  <c r="G28"/>
  <c r="G29"/>
  <c r="G30"/>
  <c r="G31"/>
  <c r="G32"/>
  <c r="G33"/>
  <c r="G34"/>
  <c r="G35"/>
  <c r="G36"/>
  <c r="G37"/>
  <c r="G38"/>
  <c r="G39"/>
  <c r="G40"/>
  <c r="G41"/>
  <c r="G42"/>
  <c r="G43"/>
  <c r="G44"/>
  <c r="G45"/>
  <c r="G46"/>
  <c r="G47"/>
  <c r="G48"/>
  <c r="G49"/>
  <c r="G50"/>
  <c r="G51"/>
  <c r="G52"/>
  <c r="G53"/>
  <c r="G54"/>
  <c r="G55"/>
  <c r="G56"/>
  <c r="G57"/>
  <c r="G58"/>
  <c r="G59"/>
  <c r="G60"/>
  <c r="G61"/>
  <c r="G62"/>
  <c r="G63"/>
  <c r="G64"/>
  <c r="G65"/>
  <c r="G66"/>
  <c r="G67"/>
  <c r="G68"/>
  <c r="G69"/>
  <c r="G70"/>
  <c r="G71"/>
  <c r="G72"/>
  <c r="G73"/>
  <c r="G74"/>
  <c r="F13"/>
  <c r="F14"/>
  <c r="F15"/>
  <c r="F16"/>
  <c r="F17"/>
  <c r="F18"/>
  <c r="F19"/>
  <c r="F20"/>
  <c r="F21"/>
  <c r="F22"/>
  <c r="F23"/>
  <c r="F24"/>
  <c r="F25"/>
  <c r="F26"/>
  <c r="F27"/>
  <c r="F28"/>
  <c r="F29"/>
  <c r="F30"/>
  <c r="F31"/>
  <c r="F32"/>
  <c r="F33"/>
  <c r="F34"/>
  <c r="F35"/>
  <c r="F36"/>
  <c r="F37"/>
  <c r="F38"/>
  <c r="F39"/>
  <c r="F40"/>
  <c r="F41"/>
  <c r="F42"/>
  <c r="F43"/>
  <c r="F44"/>
  <c r="F45"/>
  <c r="F46"/>
  <c r="F47"/>
  <c r="F48"/>
  <c r="F49"/>
  <c r="F50"/>
  <c r="F51"/>
  <c r="F52"/>
  <c r="F53"/>
  <c r="F54"/>
  <c r="F55"/>
  <c r="F56"/>
  <c r="F57"/>
  <c r="F58"/>
  <c r="F59"/>
  <c r="F60"/>
  <c r="F61"/>
  <c r="F62"/>
  <c r="F63"/>
  <c r="F64"/>
  <c r="F65"/>
  <c r="F66"/>
  <c r="F67"/>
  <c r="F68"/>
  <c r="F69"/>
  <c r="F70"/>
  <c r="F71"/>
  <c r="F72"/>
  <c r="F73"/>
  <c r="F74"/>
  <c r="C13" l="1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36"/>
  <c r="C37"/>
  <c r="C38"/>
  <c r="C39"/>
  <c r="C40"/>
  <c r="C41"/>
  <c r="C42"/>
  <c r="C43"/>
  <c r="C44"/>
  <c r="C45"/>
  <c r="C46"/>
  <c r="C47"/>
  <c r="C48"/>
  <c r="C49"/>
  <c r="C50"/>
  <c r="C51"/>
  <c r="C52"/>
  <c r="C53"/>
  <c r="C54"/>
  <c r="C55"/>
  <c r="C56"/>
  <c r="C57"/>
  <c r="C58"/>
  <c r="C59"/>
  <c r="C60"/>
  <c r="C61"/>
  <c r="C62"/>
  <c r="C63"/>
  <c r="C64"/>
  <c r="C65"/>
  <c r="C66"/>
  <c r="C67"/>
  <c r="C68"/>
  <c r="C69"/>
  <c r="C70"/>
  <c r="C71"/>
  <c r="C72"/>
  <c r="C73"/>
  <c r="C74"/>
  <c r="A10" i="3" l="1"/>
  <c r="B14" i="2" l="1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37"/>
  <c r="B73"/>
  <c r="B74"/>
  <c r="E14"/>
  <c r="E15"/>
  <c r="E16"/>
  <c r="E17"/>
  <c r="E18"/>
  <c r="E19"/>
  <c r="E20"/>
  <c r="E21"/>
  <c r="E22"/>
  <c r="E23"/>
  <c r="E24"/>
  <c r="E25"/>
  <c r="E26"/>
  <c r="E27"/>
  <c r="E28"/>
  <c r="E29"/>
  <c r="E30"/>
  <c r="E31"/>
  <c r="E32"/>
  <c r="E33"/>
  <c r="E34"/>
  <c r="E35"/>
  <c r="E36"/>
  <c r="E37"/>
  <c r="E73"/>
  <c r="E74"/>
  <c r="E13"/>
  <c r="B13"/>
  <c r="H12" i="1" l="1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33"/>
  <c r="H34"/>
  <c r="H35"/>
  <c r="H36"/>
  <c r="H37"/>
  <c r="H38"/>
  <c r="H39"/>
  <c r="H40"/>
  <c r="H41"/>
  <c r="H11"/>
  <c r="D1" i="3" l="1"/>
  <c r="G12" i="2"/>
  <c r="F12"/>
  <c r="F76" s="1"/>
  <c r="E12"/>
  <c r="C12"/>
  <c r="H10" i="1"/>
  <c r="Q23" i="3" l="1"/>
</calcChain>
</file>

<file path=xl/sharedStrings.xml><?xml version="1.0" encoding="utf-8"?>
<sst xmlns="http://schemas.openxmlformats.org/spreadsheetml/2006/main" count="334" uniqueCount="138">
  <si>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</si>
  <si>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</si>
  <si>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</si>
  <si>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</si>
  <si>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</si>
  <si>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</si>
  <si>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</si>
  <si>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</si>
  <si>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>DESCRIPCION</t>
  </si>
  <si>
    <t>UNIDAD DE MEDIDA</t>
  </si>
  <si>
    <t>CANTIDAD</t>
  </si>
  <si>
    <t>PRECIO UNITARIO ESTIMADO</t>
  </si>
  <si>
    <t xml:space="preserve">IMPORTE TOTAL ESTIMADO </t>
  </si>
  <si>
    <t>UNIDAD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</si>
  <si>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</si>
  <si>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</si>
  <si>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</si>
  <si>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</si>
  <si>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</si>
  <si>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</si>
  <si>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</si>
  <si>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</si>
  <si>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</si>
  <si>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</si>
  <si>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</si>
  <si>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SI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</si>
  <si>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</si>
  <si>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</si>
  <si>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</si>
  <si>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</si>
  <si>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</si>
  <si>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</si>
  <si>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</si>
  <si>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</si>
  <si>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</si>
  <si>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</si>
  <si>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</si>
  <si>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</si>
  <si>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</si>
  <si>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</si>
  <si>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</si>
  <si>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</si>
  <si>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</si>
  <si>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</si>
  <si>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</si>
  <si>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</si>
  <si>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</si>
  <si>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</si>
  <si>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</si>
  <si>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</si>
  <si>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</si>
  <si>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</si>
  <si>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024 - Hospital Interzonal de Niños</t>
  </si>
  <si>
    <t>040 - Ministerio de Salud</t>
  </si>
  <si>
    <t>1.1</t>
  </si>
  <si>
    <t>NO</t>
  </si>
  <si>
    <t>PROD. MEDICO/FARMACEUTICOS/LAB</t>
  </si>
  <si>
    <t>AGUA OXIGENADA</t>
  </si>
  <si>
    <t>ALBUMINA 20% X 50 ML</t>
  </si>
  <si>
    <t>AGUA DESTILADA AMPOLLAS</t>
  </si>
  <si>
    <t>AGUA DESTILADA SACHET X 500 ML</t>
  </si>
  <si>
    <t>AMOXICILINA 500 MG JARABE</t>
  </si>
  <si>
    <t>AMPICILINA + SULBACTAM 1,5 MG FCO AMPOLLA</t>
  </si>
  <si>
    <t>AMPICILINA 1G FCO AMPOLLA</t>
  </si>
  <si>
    <t>BICARBONATO 1 MOLAR SACHET X 100 ML</t>
  </si>
  <si>
    <t>CLORURO DE POTASIO 223 MG/ML AMPOLLA</t>
  </si>
  <si>
    <t>CLORURO DE SODIO AL 20% AMPOLLAS</t>
  </si>
  <si>
    <t>DEXAMETASONA 8 MG. AMPOLLA</t>
  </si>
  <si>
    <t xml:space="preserve">DICLOFENAC 75 MG. AMPOLLA </t>
  </si>
  <si>
    <t>ENOXAPARINA 40 MG AMPOLLA PRELLENA</t>
  </si>
  <si>
    <t>FENOBARBITAL 100 MG. AMPOLLAS</t>
  </si>
  <si>
    <t>FENTANILO 250 MCG INYECTABLE</t>
  </si>
  <si>
    <t>GENTAMICINA 80 MG AMPOLLA</t>
  </si>
  <si>
    <t>GLUCONATO DE CALCIO 10%  AMPOLLA</t>
  </si>
  <si>
    <t>HEPARINA SODICA 5000 UI FCO AMPOLLA</t>
  </si>
  <si>
    <t>HIDROCORTISONA 500 MG FCO AMPOLLA</t>
  </si>
  <si>
    <t>HIDROCORTIZONA 100 MG FCO AMPOLLA</t>
  </si>
  <si>
    <t>LIDOCAINA SIN EPINEFRINA FCO X 5ML</t>
  </si>
  <si>
    <t>METRONIDAZOL 500 MG SACHET</t>
  </si>
  <si>
    <t>MIDAZOLAM 15 MG AMPOLLA</t>
  </si>
  <si>
    <t>PARACETAMOL 100 ML FRASCO</t>
  </si>
  <si>
    <t>PROPOFOL 2% X 20 ML</t>
  </si>
  <si>
    <t>RANITIDINA 50 MG AMPOLLA</t>
  </si>
  <si>
    <t>SEVOFLUORANO X 250 ML TIPO ABBOTT</t>
  </si>
  <si>
    <t>ALPRAZOLAM 1MG. COMP</t>
  </si>
  <si>
    <t>CLONAZEPAM 1MG COMP</t>
  </si>
  <si>
    <t>CLONAZEPAM 2MG COMP</t>
  </si>
  <si>
    <t>DIAZEPAN 10MG COMP</t>
  </si>
  <si>
    <t>DIAZEPAN 5MG COMP</t>
  </si>
  <si>
    <t>PREGABALINA 75 MG COMP</t>
  </si>
  <si>
    <t>VALPROATO DE MAGNESIO 400MG COMP</t>
  </si>
  <si>
    <t xml:space="preserve">ALUM, HIDR +MG.HIDR SUSP X 175 ML </t>
  </si>
  <si>
    <t>BACLOFENO 10 MG COMP</t>
  </si>
  <si>
    <t>BUDESONIDE AEROSOL X 200 DOSIS</t>
  </si>
  <si>
    <t>BUPIVACAINA 0,5% C/E FCO/AMP x 20MLx1</t>
  </si>
  <si>
    <t>BUPIVACAINA 0,5% S/E FCO/AMPx20ML x1</t>
  </si>
  <si>
    <t>CINCLOPENTOLATO 1% GOTAS X5ML</t>
  </si>
  <si>
    <t>COLISTINA F/A X2ML</t>
  </si>
  <si>
    <t>COTRIMOXAZOL 800/160MG COMP</t>
  </si>
  <si>
    <t>COTRIMOXAZOL AMP. I.V. x 5ML</t>
  </si>
  <si>
    <t>DOMPERIDONA GOTAS X 20ML</t>
  </si>
  <si>
    <t>DOPAMINA CLORH 100MG AMP X 5ML</t>
  </si>
  <si>
    <t>ESPIRONOLACTONA 100 MG COMP</t>
  </si>
  <si>
    <t>FENOBARBITAL 15 MG COMP</t>
  </si>
  <si>
    <t>FOTORRETIN SOL. OFT. ESTERIL X 5ML</t>
  </si>
  <si>
    <t>HIOSCINA BULTIBROMURO 20 MG AMP. X1 ML</t>
  </si>
  <si>
    <t>INSULINA CORRIENTE 100 UI F/A X 10ML</t>
  </si>
  <si>
    <t>KETAMINA 50MG F/A X 10ML</t>
  </si>
  <si>
    <t>LIDOCAINA 2% C/E FCO/AMP X 20 ML</t>
  </si>
  <si>
    <t>LIDOCAINA 2% S/E FCO/AMP X20 ML</t>
  </si>
  <si>
    <t>MEPREDNISONA B 8MG</t>
  </si>
  <si>
    <t>METOCLOPRAMIDA 10MG AMP X 1X 2ML</t>
  </si>
  <si>
    <t>METRONIDAZOL 500MG COMP</t>
  </si>
  <si>
    <t>MORFINA CLORH 1% AMP X 1ML</t>
  </si>
  <si>
    <t>OMEPRAZOL 4MG FCO/AMP</t>
  </si>
  <si>
    <t>PROPARACAINA COL. X 10ML</t>
  </si>
  <si>
    <t>RANITIDINA 150MG/10ML JBE. X 120ML</t>
  </si>
  <si>
    <t>RESINA COLOFON/ADHESOLX92ML</t>
  </si>
  <si>
    <t>RIFAMPICINA 600MG F/A</t>
  </si>
  <si>
    <t>VALPROICO ACIDO 500 MG X 5ML AMP X 1</t>
  </si>
  <si>
    <t>VECURONIO BROMURO 4MG/AMP X 1ML X1</t>
  </si>
  <si>
    <t>COSTO TOTAL ESTIMADO</t>
  </si>
  <si>
    <t>Servicio de Farmacia</t>
  </si>
  <si>
    <t xml:space="preserve">Adquisición de Medicamentos </t>
  </si>
  <si>
    <t>Productos Farmaceuticos y Medicinales</t>
  </si>
  <si>
    <t>Plazos y lugares de entrega</t>
  </si>
  <si>
    <r>
      <rPr>
        <u/>
        <sz val="10"/>
        <rFont val="Times New Roman"/>
        <family val="1"/>
      </rPr>
      <t xml:space="preserve">Lugar de Entrega: </t>
    </r>
    <r>
      <rPr>
        <sz val="10"/>
        <rFont val="Times New Roman"/>
        <family val="1"/>
      </rPr>
      <t>SERVICIO DE FARMACIA -HOSPITAL INT. DE NIÑOS – AV. VIRGEN DEL VALLE N° 1050-CATAMARCA DE 8:00 A 12:00HS., DEBIENDO CORRER LOS GASTOS DE FLETES, ACARREO, CARGA, DESCARGA Y SEGURO A CARGO DEL ADJUDICATARIO.</t>
    </r>
  </si>
  <si>
    <r>
      <rPr>
        <u/>
        <sz val="10"/>
        <rFont val="Times New Roman"/>
        <family val="1"/>
      </rPr>
      <t>Plazo de entrega:</t>
    </r>
    <r>
      <rPr>
        <sz val="10"/>
        <rFont val="Times New Roman"/>
        <family val="1"/>
      </rPr>
      <t xml:space="preserve"> Dentro de los 7 días de notificada la Orden de Compra</t>
    </r>
  </si>
  <si>
    <t xml:space="preserve">45 dias habiles </t>
  </si>
  <si>
    <t>548/2020</t>
  </si>
  <si>
    <t>Compuestos Quimicos</t>
  </si>
  <si>
    <t>Servicio De Farmacia</t>
  </si>
  <si>
    <t>Para la adquisición de Medicamentos destinados al servico de Farmacia del Hospital Interzonal de Niños Eva Peron, para el normal funcionamiento del organismo.</t>
  </si>
  <si>
    <t>COMP QUIMICOS</t>
  </si>
  <si>
    <t>LT8 PLUS I Limpiador Desinfectante de Alto Nivel para áreas críticas para 1 litro. Envase Monodosis 20 gr/litro</t>
  </si>
  <si>
    <t>TOTAL DE PESOS: Cuatro Millones Novecientos Dos mil Quinientos cincuenta y ocho CON 85/100.</t>
  </si>
  <si>
    <t>Mantenimiento de Oferta:</t>
  </si>
  <si>
    <r>
      <rPr>
        <u/>
        <sz val="10"/>
        <rFont val="Times New Roman"/>
        <family val="1"/>
      </rPr>
      <t>Plazo de vencimiento de los bienes ofrecidos:</t>
    </r>
    <r>
      <rPr>
        <sz val="10"/>
        <rFont val="Times New Roman"/>
        <family val="1"/>
      </rPr>
      <t xml:space="preserve"> No podrán ser inferior a los 12 meses.</t>
    </r>
  </si>
</sst>
</file>

<file path=xl/styles.xml><?xml version="1.0" encoding="utf-8"?>
<styleSheet xmlns="http://schemas.openxmlformats.org/spreadsheetml/2006/main">
  <numFmts count="6"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  <numFmt numFmtId="169" formatCode="_ [$$-2C0A]\ * #,##0.00_ ;_ [$$-2C0A]\ * \-#,##0.00_ ;_ [$$-2C0A]\ * &quot;-&quot;??_ ;_ @_ "/>
  </numFmts>
  <fonts count="26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b/>
      <sz val="12"/>
      <color rgb="FF000000"/>
      <name val="Times New Roman"/>
      <family val="1"/>
    </font>
    <font>
      <sz val="11"/>
      <name val="Calibri"/>
      <family val="2"/>
      <scheme val="minor"/>
    </font>
    <font>
      <b/>
      <sz val="10"/>
      <name val="Arial"/>
      <family val="2"/>
    </font>
    <font>
      <u/>
      <sz val="1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rgb="FFFFFF00"/>
        <bgColor rgb="FFFFFF00"/>
      </patternFill>
    </fill>
  </fills>
  <borders count="62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thick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6">
    <xf numFmtId="0" fontId="0" fillId="0" borderId="0"/>
    <xf numFmtId="165" fontId="14" fillId="0" borderId="0" applyBorder="0" applyProtection="0"/>
    <xf numFmtId="0" fontId="1" fillId="0" borderId="1" applyProtection="0"/>
    <xf numFmtId="164" fontId="2" fillId="0" borderId="0" applyBorder="0" applyProtection="0"/>
    <xf numFmtId="0" fontId="3" fillId="2" borderId="0" applyBorder="0" applyProtection="0"/>
    <xf numFmtId="0" fontId="14" fillId="0" borderId="0"/>
  </cellStyleXfs>
  <cellXfs count="148">
    <xf numFmtId="0" fontId="0" fillId="0" borderId="0" xfId="0"/>
    <xf numFmtId="0" fontId="0" fillId="0" borderId="0" xfId="0" applyBorder="1"/>
    <xf numFmtId="0" fontId="0" fillId="0" borderId="0" xfId="0" applyAlignment="1">
      <alignment horizontal="left"/>
    </xf>
    <xf numFmtId="3" fontId="9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2" fillId="0" borderId="0" xfId="0" applyFont="1"/>
    <xf numFmtId="0" fontId="0" fillId="0" borderId="5" xfId="0" applyBorder="1"/>
    <xf numFmtId="0" fontId="0" fillId="0" borderId="20" xfId="0" applyBorder="1"/>
    <xf numFmtId="0" fontId="0" fillId="0" borderId="7" xfId="0" applyBorder="1"/>
    <xf numFmtId="0" fontId="0" fillId="0" borderId="7" xfId="0" applyBorder="1" applyAlignment="1">
      <alignment horizontal="left"/>
    </xf>
    <xf numFmtId="0" fontId="0" fillId="0" borderId="21" xfId="0" applyBorder="1"/>
    <xf numFmtId="0" fontId="13" fillId="0" borderId="23" xfId="0" applyFont="1" applyBorder="1" applyAlignment="1">
      <alignment horizontal="center" vertical="center"/>
    </xf>
    <xf numFmtId="0" fontId="13" fillId="0" borderId="24" xfId="0" applyFont="1" applyBorder="1" applyAlignment="1">
      <alignment horizontal="center" vertical="center"/>
    </xf>
    <xf numFmtId="0" fontId="13" fillId="0" borderId="24" xfId="0" applyFont="1" applyBorder="1" applyAlignment="1">
      <alignment horizontal="left" vertical="center"/>
    </xf>
    <xf numFmtId="0" fontId="13" fillId="0" borderId="25" xfId="0" applyFont="1" applyBorder="1" applyAlignment="1">
      <alignment horizontal="center" vertical="center"/>
    </xf>
    <xf numFmtId="0" fontId="13" fillId="0" borderId="19" xfId="0" applyFont="1" applyBorder="1" applyAlignment="1">
      <alignment horizontal="center" vertical="center"/>
    </xf>
    <xf numFmtId="166" fontId="0" fillId="0" borderId="29" xfId="3" applyNumberFormat="1" applyFont="1" applyBorder="1" applyAlignment="1" applyProtection="1">
      <alignment horizontal="center" vertical="center"/>
    </xf>
    <xf numFmtId="0" fontId="0" fillId="0" borderId="30" xfId="0" applyFont="1" applyBorder="1" applyAlignment="1">
      <alignment horizontal="center" vertical="center"/>
    </xf>
    <xf numFmtId="0" fontId="0" fillId="0" borderId="31" xfId="0" applyFont="1" applyBorder="1" applyAlignment="1">
      <alignment horizontal="center" vertical="center"/>
    </xf>
    <xf numFmtId="0" fontId="0" fillId="0" borderId="32" xfId="0" applyFont="1" applyBorder="1" applyAlignment="1">
      <alignment horizontal="center" vertical="center"/>
    </xf>
    <xf numFmtId="0" fontId="0" fillId="0" borderId="33" xfId="0" applyFont="1" applyBorder="1" applyAlignment="1">
      <alignment horizontal="center" vertical="center"/>
    </xf>
    <xf numFmtId="166" fontId="0" fillId="0" borderId="34" xfId="3" applyNumberFormat="1" applyFont="1" applyBorder="1" applyAlignment="1" applyProtection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11" fillId="0" borderId="32" xfId="0" applyFont="1" applyBorder="1" applyAlignment="1">
      <alignment horizontal="center" vertical="center"/>
    </xf>
    <xf numFmtId="0" fontId="11" fillId="0" borderId="33" xfId="0" applyFont="1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166" fontId="0" fillId="0" borderId="38" xfId="3" applyNumberFormat="1" applyFont="1" applyBorder="1" applyAlignment="1" applyProtection="1">
      <alignment horizontal="center" vertical="center"/>
    </xf>
    <xf numFmtId="166" fontId="13" fillId="0" borderId="39" xfId="0" applyNumberFormat="1" applyFont="1" applyBorder="1" applyAlignment="1">
      <alignment horizontal="center" vertical="center"/>
    </xf>
    <xf numFmtId="0" fontId="15" fillId="0" borderId="0" xfId="0" applyFont="1"/>
    <xf numFmtId="0" fontId="18" fillId="0" borderId="0" xfId="0" applyFont="1" applyAlignment="1">
      <alignment horizontal="left" wrapText="1"/>
    </xf>
    <xf numFmtId="0" fontId="18" fillId="0" borderId="0" xfId="0" applyFont="1" applyAlignment="1">
      <alignment horizontal="center" wrapText="1"/>
    </xf>
    <xf numFmtId="0" fontId="19" fillId="0" borderId="2" xfId="0" applyFont="1" applyBorder="1" applyAlignment="1">
      <alignment horizontal="center" vertical="center" wrapText="1"/>
    </xf>
    <xf numFmtId="0" fontId="20" fillId="0" borderId="43" xfId="0" applyFont="1" applyBorder="1" applyAlignment="1">
      <alignment horizontal="center" vertical="center"/>
    </xf>
    <xf numFmtId="0" fontId="19" fillId="0" borderId="46" xfId="0" applyFont="1" applyBorder="1" applyAlignment="1">
      <alignment horizontal="center" vertical="center" wrapText="1"/>
    </xf>
    <xf numFmtId="0" fontId="19" fillId="0" borderId="47" xfId="0" applyFont="1" applyBorder="1" applyAlignment="1">
      <alignment horizontal="center" vertical="center" wrapText="1"/>
    </xf>
    <xf numFmtId="0" fontId="0" fillId="0" borderId="48" xfId="0" applyBorder="1"/>
    <xf numFmtId="0" fontId="5" fillId="3" borderId="5" xfId="0" applyFont="1" applyFill="1" applyBorder="1" applyAlignment="1">
      <alignment horizontal="right" vertical="center"/>
    </xf>
    <xf numFmtId="0" fontId="2" fillId="3" borderId="0" xfId="0" applyFont="1" applyFill="1" applyBorder="1" applyAlignment="1">
      <alignment vertical="center"/>
    </xf>
    <xf numFmtId="0" fontId="0" fillId="3" borderId="0" xfId="0" applyFill="1"/>
    <xf numFmtId="0" fontId="5" fillId="3" borderId="7" xfId="0" applyFont="1" applyFill="1" applyBorder="1" applyAlignment="1">
      <alignment vertical="center"/>
    </xf>
    <xf numFmtId="0" fontId="5" fillId="3" borderId="0" xfId="0" applyFont="1" applyFill="1" applyBorder="1" applyAlignment="1">
      <alignment vertical="center"/>
    </xf>
    <xf numFmtId="0" fontId="7" fillId="3" borderId="0" xfId="0" applyFont="1" applyFill="1" applyBorder="1" applyAlignment="1">
      <alignment horizontal="left" vertical="center"/>
    </xf>
    <xf numFmtId="0" fontId="6" fillId="3" borderId="0" xfId="0" applyFont="1" applyFill="1" applyBorder="1" applyAlignment="1">
      <alignment horizontal="left" vertical="center" wrapText="1" indent="1"/>
    </xf>
    <xf numFmtId="0" fontId="4" fillId="3" borderId="49" xfId="0" applyFont="1" applyFill="1" applyBorder="1" applyAlignment="1">
      <alignment horizontal="center" vertical="center"/>
    </xf>
    <xf numFmtId="0" fontId="4" fillId="3" borderId="49" xfId="0" applyFont="1" applyFill="1" applyBorder="1" applyAlignment="1">
      <alignment horizontal="left" vertical="center"/>
    </xf>
    <xf numFmtId="0" fontId="4" fillId="4" borderId="49" xfId="0" applyFont="1" applyFill="1" applyBorder="1" applyAlignment="1">
      <alignment horizontal="center" vertical="center"/>
    </xf>
    <xf numFmtId="0" fontId="4" fillId="3" borderId="49" xfId="0" applyFont="1" applyFill="1" applyBorder="1" applyAlignment="1">
      <alignment horizontal="center" vertical="center" wrapText="1"/>
    </xf>
    <xf numFmtId="166" fontId="4" fillId="3" borderId="49" xfId="1" applyNumberFormat="1" applyFont="1" applyFill="1" applyBorder="1" applyAlignment="1" applyProtection="1">
      <alignment horizontal="right" vertical="center" wrapText="1"/>
    </xf>
    <xf numFmtId="3" fontId="4" fillId="3" borderId="49" xfId="0" applyNumberFormat="1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left" vertical="center"/>
    </xf>
    <xf numFmtId="0" fontId="4" fillId="4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 wrapText="1"/>
    </xf>
    <xf numFmtId="0" fontId="22" fillId="4" borderId="0" xfId="0" applyFont="1" applyFill="1" applyAlignment="1">
      <alignment horizontal="left" wrapText="1" indent="1"/>
    </xf>
    <xf numFmtId="0" fontId="19" fillId="3" borderId="0" xfId="0" applyFont="1" applyFill="1" applyAlignment="1">
      <alignment horizontal="left" wrapText="1"/>
    </xf>
    <xf numFmtId="166" fontId="20" fillId="4" borderId="4" xfId="1" applyNumberFormat="1" applyFont="1" applyFill="1" applyBorder="1" applyAlignment="1" applyProtection="1">
      <alignment horizontal="right" vertical="center" wrapText="1"/>
    </xf>
    <xf numFmtId="166" fontId="20" fillId="4" borderId="45" xfId="1" applyNumberFormat="1" applyFont="1" applyFill="1" applyBorder="1" applyAlignment="1" applyProtection="1">
      <alignment horizontal="right" vertical="center" wrapText="1"/>
    </xf>
    <xf numFmtId="0" fontId="0" fillId="4" borderId="26" xfId="0" applyFont="1" applyFill="1" applyBorder="1" applyAlignment="1">
      <alignment horizontal="center" vertical="center"/>
    </xf>
    <xf numFmtId="0" fontId="0" fillId="4" borderId="27" xfId="0" applyFont="1" applyFill="1" applyBorder="1" applyAlignment="1">
      <alignment horizontal="center" vertical="center"/>
    </xf>
    <xf numFmtId="0" fontId="0" fillId="3" borderId="27" xfId="0" applyFont="1" applyFill="1" applyBorder="1" applyAlignment="1">
      <alignment horizontal="center" vertical="center"/>
    </xf>
    <xf numFmtId="0" fontId="0" fillId="4" borderId="28" xfId="0" applyFont="1" applyFill="1" applyBorder="1" applyAlignment="1">
      <alignment horizontal="center" vertical="center"/>
    </xf>
    <xf numFmtId="0" fontId="14" fillId="4" borderId="27" xfId="0" applyFont="1" applyFill="1" applyBorder="1" applyAlignment="1">
      <alignment horizontal="center" vertical="center"/>
    </xf>
    <xf numFmtId="166" fontId="20" fillId="4" borderId="51" xfId="1" applyNumberFormat="1" applyFont="1" applyFill="1" applyBorder="1" applyAlignment="1" applyProtection="1">
      <alignment horizontal="right" vertical="center" wrapText="1"/>
    </xf>
    <xf numFmtId="0" fontId="21" fillId="4" borderId="48" xfId="0" applyFont="1" applyFill="1" applyBorder="1" applyAlignment="1">
      <alignment horizontal="center" vertical="center" wrapText="1"/>
    </xf>
    <xf numFmtId="0" fontId="19" fillId="0" borderId="52" xfId="0" applyFont="1" applyBorder="1" applyAlignment="1">
      <alignment horizontal="center" vertical="center" wrapText="1"/>
    </xf>
    <xf numFmtId="0" fontId="0" fillId="0" borderId="48" xfId="0" applyBorder="1" applyAlignment="1"/>
    <xf numFmtId="166" fontId="20" fillId="4" borderId="48" xfId="1" applyNumberFormat="1" applyFont="1" applyFill="1" applyBorder="1" applyAlignment="1" applyProtection="1">
      <alignment horizontal="right" vertical="center"/>
    </xf>
    <xf numFmtId="0" fontId="23" fillId="3" borderId="48" xfId="0" applyFont="1" applyFill="1" applyBorder="1" applyAlignment="1">
      <alignment vertical="center" wrapText="1"/>
    </xf>
    <xf numFmtId="0" fontId="25" fillId="0" borderId="54" xfId="0" applyFont="1" applyBorder="1" applyAlignment="1">
      <alignment horizontal="left" indent="3"/>
    </xf>
    <xf numFmtId="0" fontId="15" fillId="0" borderId="55" xfId="0" applyFont="1" applyBorder="1"/>
    <xf numFmtId="0" fontId="15" fillId="0" borderId="56" xfId="0" applyFont="1" applyBorder="1"/>
    <xf numFmtId="0" fontId="25" fillId="0" borderId="57" xfId="0" applyFont="1" applyBorder="1" applyAlignment="1"/>
    <xf numFmtId="0" fontId="15" fillId="0" borderId="0" xfId="0" applyFont="1" applyBorder="1" applyAlignment="1">
      <alignment horizontal="center" wrapText="1"/>
    </xf>
    <xf numFmtId="0" fontId="15" fillId="0" borderId="0" xfId="0" applyFont="1" applyFill="1" applyBorder="1" applyAlignment="1">
      <alignment horizontal="center" wrapText="1"/>
    </xf>
    <xf numFmtId="0" fontId="15" fillId="0" borderId="58" xfId="0" applyFont="1" applyBorder="1" applyAlignment="1">
      <alignment horizontal="center" wrapText="1"/>
    </xf>
    <xf numFmtId="0" fontId="15" fillId="0" borderId="57" xfId="0" applyFont="1" applyBorder="1" applyAlignment="1">
      <alignment horizontal="left" indent="3"/>
    </xf>
    <xf numFmtId="0" fontId="15" fillId="0" borderId="59" xfId="0" applyFont="1" applyBorder="1" applyAlignment="1">
      <alignment horizontal="left" indent="3"/>
    </xf>
    <xf numFmtId="0" fontId="15" fillId="0" borderId="60" xfId="0" applyFont="1" applyBorder="1"/>
    <xf numFmtId="0" fontId="15" fillId="0" borderId="61" xfId="0" applyFont="1" applyBorder="1"/>
    <xf numFmtId="0" fontId="6" fillId="5" borderId="6" xfId="0" applyFont="1" applyFill="1" applyBorder="1" applyAlignment="1">
      <alignment horizontal="center" vertical="center"/>
    </xf>
    <xf numFmtId="169" fontId="14" fillId="0" borderId="0" xfId="1" applyNumberFormat="1" applyFill="1"/>
    <xf numFmtId="169" fontId="14" fillId="0" borderId="2" xfId="1" applyNumberFormat="1" applyFill="1" applyBorder="1"/>
    <xf numFmtId="169" fontId="14" fillId="0" borderId="3" xfId="1" applyNumberFormat="1" applyFill="1" applyBorder="1" applyProtection="1"/>
    <xf numFmtId="169" fontId="14" fillId="0" borderId="44" xfId="1" applyNumberFormat="1" applyFill="1" applyBorder="1" applyProtection="1"/>
    <xf numFmtId="169" fontId="14" fillId="0" borderId="50" xfId="1" applyNumberFormat="1" applyFill="1" applyBorder="1" applyProtection="1"/>
    <xf numFmtId="169" fontId="14" fillId="0" borderId="48" xfId="1" applyNumberFormat="1" applyFill="1" applyBorder="1" applyProtection="1"/>
    <xf numFmtId="0" fontId="15" fillId="0" borderId="0" xfId="0" applyFont="1" applyFill="1"/>
    <xf numFmtId="167" fontId="2" fillId="3" borderId="0" xfId="0" applyNumberFormat="1" applyFont="1" applyFill="1" applyBorder="1" applyAlignment="1">
      <alignment vertical="center"/>
    </xf>
    <xf numFmtId="166" fontId="0" fillId="0" borderId="0" xfId="0" applyNumberFormat="1"/>
    <xf numFmtId="0" fontId="15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 wrapText="1"/>
    </xf>
    <xf numFmtId="0" fontId="21" fillId="4" borderId="3" xfId="0" applyFont="1" applyFill="1" applyBorder="1" applyAlignment="1">
      <alignment horizontal="center" vertical="center" wrapText="1"/>
    </xf>
    <xf numFmtId="0" fontId="21" fillId="4" borderId="44" xfId="0" applyFont="1" applyFill="1" applyBorder="1" applyAlignment="1">
      <alignment horizontal="center" vertical="center" wrapText="1"/>
    </xf>
    <xf numFmtId="0" fontId="21" fillId="4" borderId="50" xfId="0" applyFont="1" applyFill="1" applyBorder="1" applyAlignment="1">
      <alignment horizontal="center" vertical="center" wrapText="1"/>
    </xf>
    <xf numFmtId="0" fontId="21" fillId="4" borderId="48" xfId="0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15" fillId="4" borderId="57" xfId="5" applyFont="1" applyFill="1" applyBorder="1" applyAlignment="1">
      <alignment horizontal="left" wrapText="1"/>
    </xf>
    <xf numFmtId="0" fontId="15" fillId="4" borderId="0" xfId="5" applyFont="1" applyFill="1" applyBorder="1" applyAlignment="1">
      <alignment horizontal="left" wrapText="1"/>
    </xf>
    <xf numFmtId="0" fontId="15" fillId="4" borderId="58" xfId="5" applyFont="1" applyFill="1" applyBorder="1" applyAlignment="1">
      <alignment horizontal="left" wrapText="1"/>
    </xf>
    <xf numFmtId="0" fontId="15" fillId="4" borderId="58" xfId="0" applyFont="1" applyFill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0" fontId="16" fillId="0" borderId="0" xfId="0" applyFont="1" applyBorder="1" applyAlignment="1">
      <alignment horizontal="center"/>
    </xf>
    <xf numFmtId="0" fontId="22" fillId="4" borderId="0" xfId="0" applyFont="1" applyFill="1" applyBorder="1" applyAlignment="1">
      <alignment horizontal="left" wrapText="1" indent="1"/>
    </xf>
    <xf numFmtId="0" fontId="24" fillId="3" borderId="15" xfId="0" applyFont="1" applyFill="1" applyBorder="1" applyAlignment="1">
      <alignment horizontal="left" vertical="center"/>
    </xf>
    <xf numFmtId="0" fontId="24" fillId="3" borderId="53" xfId="0" applyFont="1" applyFill="1" applyBorder="1" applyAlignment="1">
      <alignment horizontal="left" vertical="center"/>
    </xf>
    <xf numFmtId="167" fontId="7" fillId="3" borderId="9" xfId="0" applyNumberFormat="1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left" vertical="center" wrapText="1" indent="1"/>
    </xf>
    <xf numFmtId="0" fontId="6" fillId="4" borderId="12" xfId="0" applyFont="1" applyFill="1" applyBorder="1" applyAlignment="1">
      <alignment horizontal="left" vertical="center" wrapText="1" indent="1"/>
    </xf>
    <xf numFmtId="0" fontId="7" fillId="3" borderId="11" xfId="0" applyFont="1" applyFill="1" applyBorder="1" applyAlignment="1">
      <alignment horizontal="left" vertical="center"/>
    </xf>
    <xf numFmtId="0" fontId="8" fillId="3" borderId="11" xfId="0" applyFont="1" applyFill="1" applyBorder="1" applyAlignment="1">
      <alignment horizontal="center" vertical="center"/>
    </xf>
    <xf numFmtId="0" fontId="8" fillId="3" borderId="13" xfId="0" applyFont="1" applyFill="1" applyBorder="1" applyAlignment="1">
      <alignment horizontal="center" vertical="center" wrapText="1"/>
    </xf>
    <xf numFmtId="0" fontId="8" fillId="3" borderId="12" xfId="0" applyFont="1" applyFill="1" applyBorder="1" applyAlignment="1">
      <alignment horizontal="center" vertical="center" wrapText="1"/>
    </xf>
    <xf numFmtId="0" fontId="5" fillId="3" borderId="0" xfId="0" applyFont="1" applyFill="1" applyBorder="1" applyAlignment="1">
      <alignment horizontal="center" vertical="center"/>
    </xf>
    <xf numFmtId="0" fontId="7" fillId="3" borderId="8" xfId="0" applyFont="1" applyFill="1" applyBorder="1" applyAlignment="1">
      <alignment horizontal="left" vertical="center" wrapText="1"/>
    </xf>
    <xf numFmtId="0" fontId="7" fillId="3" borderId="10" xfId="0" applyFont="1" applyFill="1" applyBorder="1" applyAlignment="1">
      <alignment horizontal="left" vertical="center" wrapText="1"/>
    </xf>
    <xf numFmtId="0" fontId="6" fillId="3" borderId="15" xfId="0" applyFont="1" applyFill="1" applyBorder="1" applyAlignment="1">
      <alignment horizontal="left" vertical="center" wrapText="1"/>
    </xf>
    <xf numFmtId="0" fontId="6" fillId="3" borderId="53" xfId="0" applyFont="1" applyFill="1" applyBorder="1" applyAlignment="1">
      <alignment horizontal="left" vertical="center" wrapText="1"/>
    </xf>
    <xf numFmtId="0" fontId="6" fillId="3" borderId="16" xfId="0" applyFont="1" applyFill="1" applyBorder="1" applyAlignment="1">
      <alignment horizontal="left" vertical="center" wrapText="1"/>
    </xf>
    <xf numFmtId="0" fontId="0" fillId="0" borderId="15" xfId="0" applyFont="1" applyBorder="1" applyAlignment="1">
      <alignment horizontal="center"/>
    </xf>
    <xf numFmtId="3" fontId="9" fillId="0" borderId="16" xfId="0" applyNumberFormat="1" applyFont="1" applyBorder="1" applyAlignment="1">
      <alignment horizontal="center"/>
    </xf>
    <xf numFmtId="0" fontId="10" fillId="0" borderId="6" xfId="0" applyFont="1" applyBorder="1" applyAlignment="1">
      <alignment horizontal="center" vertical="center" wrapText="1"/>
    </xf>
    <xf numFmtId="0" fontId="2" fillId="0" borderId="6" xfId="0" applyFont="1" applyBorder="1"/>
    <xf numFmtId="0" fontId="11" fillId="0" borderId="6" xfId="0" applyFont="1" applyBorder="1" applyAlignment="1">
      <alignment horizontal="left" indent="1"/>
    </xf>
    <xf numFmtId="0" fontId="4" fillId="0" borderId="8" xfId="0" applyFont="1" applyBorder="1" applyAlignment="1">
      <alignment horizontal="left" vertical="center" wrapText="1"/>
    </xf>
    <xf numFmtId="0" fontId="4" fillId="0" borderId="41" xfId="0" applyFont="1" applyBorder="1" applyAlignment="1">
      <alignment horizontal="left" vertical="center" wrapText="1"/>
    </xf>
    <xf numFmtId="0" fontId="4" fillId="0" borderId="42" xfId="0" applyFont="1" applyBorder="1" applyAlignment="1">
      <alignment horizontal="left" vertical="center" wrapText="1"/>
    </xf>
    <xf numFmtId="0" fontId="12" fillId="0" borderId="6" xfId="0" applyFont="1" applyBorder="1" applyAlignment="1">
      <alignment horizontal="left"/>
    </xf>
    <xf numFmtId="0" fontId="11" fillId="0" borderId="18" xfId="0" applyFont="1" applyBorder="1"/>
    <xf numFmtId="0" fontId="11" fillId="0" borderId="19" xfId="0" applyFont="1" applyBorder="1" applyAlignment="1">
      <alignment horizontal="left" vertical="center" wrapText="1" indent="1"/>
    </xf>
    <xf numFmtId="0" fontId="13" fillId="0" borderId="17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3" fillId="0" borderId="17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/>
    </xf>
    <xf numFmtId="0" fontId="14" fillId="0" borderId="27" xfId="0" applyFont="1" applyBorder="1" applyAlignment="1">
      <alignment horizontal="left" vertical="center" wrapText="1"/>
    </xf>
    <xf numFmtId="0" fontId="0" fillId="0" borderId="27" xfId="0" applyFont="1" applyBorder="1" applyAlignment="1">
      <alignment horizontal="left" vertical="center" wrapText="1"/>
    </xf>
    <xf numFmtId="0" fontId="0" fillId="0" borderId="33" xfId="0" applyBorder="1" applyAlignment="1">
      <alignment horizontal="left" vertical="center"/>
    </xf>
    <xf numFmtId="0" fontId="0" fillId="0" borderId="33" xfId="0" applyFont="1" applyBorder="1" applyAlignment="1">
      <alignment horizontal="left" vertical="center"/>
    </xf>
    <xf numFmtId="0" fontId="9" fillId="0" borderId="15" xfId="0" applyFont="1" applyBorder="1" applyAlignment="1">
      <alignment vertical="center" wrapText="1"/>
    </xf>
    <xf numFmtId="0" fontId="9" fillId="0" borderId="40" xfId="0" applyFont="1" applyBorder="1" applyAlignment="1">
      <alignment vertical="center" wrapText="1"/>
    </xf>
    <xf numFmtId="0" fontId="9" fillId="0" borderId="12" xfId="0" applyFont="1" applyBorder="1" applyAlignment="1">
      <alignment vertical="center" wrapText="1"/>
    </xf>
    <xf numFmtId="0" fontId="11" fillId="0" borderId="22" xfId="0" applyFont="1" applyBorder="1" applyAlignment="1">
      <alignment vertical="center" wrapText="1"/>
    </xf>
    <xf numFmtId="0" fontId="11" fillId="4" borderId="39" xfId="0" applyFont="1" applyFill="1" applyBorder="1" applyAlignment="1">
      <alignment horizontal="left" vertical="center" wrapText="1" indent="1"/>
    </xf>
    <xf numFmtId="0" fontId="0" fillId="0" borderId="36" xfId="0" applyBorder="1" applyAlignment="1">
      <alignment horizontal="left" vertical="center"/>
    </xf>
    <xf numFmtId="0" fontId="9" fillId="0" borderId="39" xfId="0" applyFont="1" applyBorder="1" applyAlignment="1">
      <alignment horizontal="left" vertical="center" wrapText="1"/>
    </xf>
    <xf numFmtId="0" fontId="0" fillId="0" borderId="17" xfId="0" applyBorder="1"/>
  </cellXfs>
  <cellStyles count="6">
    <cellStyle name="Encabezado 1" xfId="2"/>
    <cellStyle name="Moneda" xfId="1" builtinId="4"/>
    <cellStyle name="Moneda_AUTORIZACION Y NOTA DE PEDIDO" xfId="3"/>
    <cellStyle name="Neutral 1" xfId="4"/>
    <cellStyle name="Normal" xfId="0" builtinId="0"/>
    <cellStyle name="Normal 2" xf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=""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=""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=""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uario\descargas\pedido\PEDIDO%20medicamentos%20caidos%20-%20SAF%2024%20-%203&#186;%20TRIMESTRE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Necesidades Trimestrales"/>
      <sheetName val=" NotaPedido"/>
      <sheetName val="Autor Gastar"/>
    </sheetNames>
    <sheetDataSet>
      <sheetData sheetId="0">
        <row r="4">
          <cell r="C4" t="str">
            <v>040 - Ministerio de Salud</v>
          </cell>
        </row>
        <row r="5">
          <cell r="C5" t="str">
            <v>024 - Hospital Interzonal de Niños</v>
          </cell>
        </row>
        <row r="6">
          <cell r="C6">
            <v>2020</v>
          </cell>
        </row>
        <row r="7">
          <cell r="C7">
            <v>4</v>
          </cell>
        </row>
      </sheetData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2:H84"/>
  <sheetViews>
    <sheetView tabSelected="1" topLeftCell="A63" zoomScaleNormal="100" workbookViewId="0">
      <selection activeCell="C82" sqref="C82:E82"/>
    </sheetView>
  </sheetViews>
  <sheetFormatPr baseColWidth="10" defaultColWidth="11" defaultRowHeight="12.75"/>
  <cols>
    <col min="1" max="1" width="4.5703125" style="32" customWidth="1"/>
    <col min="2" max="2" width="14" style="32" customWidth="1"/>
    <col min="3" max="3" width="13.28515625" style="32" customWidth="1"/>
    <col min="4" max="4" width="86.28515625" style="32" customWidth="1"/>
    <col min="5" max="5" width="11" style="32"/>
    <col min="6" max="6" width="10.42578125" style="92" bestFit="1" customWidth="1"/>
    <col min="7" max="7" width="13.85546875" style="83" customWidth="1"/>
    <col min="8" max="8" width="18.5703125" style="32" customWidth="1"/>
    <col min="9" max="16384" width="11" style="32"/>
  </cols>
  <sheetData>
    <row r="2" spans="1:8" ht="27">
      <c r="B2" s="104" t="s">
        <v>0</v>
      </c>
      <c r="C2" s="104"/>
      <c r="D2" s="104"/>
      <c r="E2" s="104"/>
      <c r="F2" s="104"/>
      <c r="G2" s="104"/>
    </row>
    <row r="3" spans="1:8" ht="12" customHeight="1"/>
    <row r="4" spans="1:8" ht="18" customHeight="1">
      <c r="A4" s="103" t="s">
        <v>1</v>
      </c>
      <c r="B4" s="103"/>
      <c r="C4" s="105" t="s">
        <v>53</v>
      </c>
      <c r="D4" s="105"/>
      <c r="E4" s="33"/>
      <c r="F4" s="93"/>
    </row>
    <row r="5" spans="1:8" ht="18" customHeight="1">
      <c r="A5" s="103" t="s">
        <v>2</v>
      </c>
      <c r="B5" s="103"/>
      <c r="C5" s="105" t="s">
        <v>52</v>
      </c>
      <c r="D5" s="105"/>
      <c r="E5" s="33"/>
      <c r="F5" s="93"/>
    </row>
    <row r="6" spans="1:8" ht="16.5" customHeight="1">
      <c r="A6" s="103" t="s">
        <v>3</v>
      </c>
      <c r="B6" s="103"/>
      <c r="C6" s="56">
        <v>2020</v>
      </c>
      <c r="D6" s="57"/>
      <c r="E6" s="33"/>
      <c r="F6" s="93"/>
    </row>
    <row r="7" spans="1:8" ht="16.5" customHeight="1">
      <c r="A7" s="103" t="s">
        <v>4</v>
      </c>
      <c r="B7" s="103"/>
      <c r="C7" s="56">
        <v>4</v>
      </c>
      <c r="D7" s="57"/>
      <c r="E7" s="33"/>
      <c r="F7" s="93"/>
    </row>
    <row r="8" spans="1:8" ht="13.5" thickBot="1">
      <c r="B8" s="33"/>
      <c r="C8" s="34"/>
      <c r="D8" s="33"/>
      <c r="E8" s="33"/>
      <c r="F8" s="93"/>
    </row>
    <row r="9" spans="1:8" ht="27" thickTop="1" thickBot="1">
      <c r="A9" s="37" t="s">
        <v>5</v>
      </c>
      <c r="B9" s="35" t="s">
        <v>6</v>
      </c>
      <c r="C9" s="35" t="s">
        <v>7</v>
      </c>
      <c r="D9" s="67" t="s">
        <v>8</v>
      </c>
      <c r="E9" s="38" t="s">
        <v>9</v>
      </c>
      <c r="F9" s="35" t="s">
        <v>10</v>
      </c>
      <c r="G9" s="84" t="s">
        <v>11</v>
      </c>
      <c r="H9" s="35" t="s">
        <v>12</v>
      </c>
    </row>
    <row r="10" spans="1:8" ht="15.75" thickTop="1">
      <c r="A10" s="36">
        <v>1</v>
      </c>
      <c r="B10" s="39">
        <v>252</v>
      </c>
      <c r="C10" s="39" t="s">
        <v>56</v>
      </c>
      <c r="D10" s="70" t="s">
        <v>58</v>
      </c>
      <c r="E10" s="66" t="s">
        <v>13</v>
      </c>
      <c r="F10" s="94">
        <v>6000</v>
      </c>
      <c r="G10" s="85">
        <v>30</v>
      </c>
      <c r="H10" s="58">
        <f>G10*F10</f>
        <v>180000</v>
      </c>
    </row>
    <row r="11" spans="1:8" ht="15">
      <c r="A11" s="36">
        <v>2</v>
      </c>
      <c r="B11" s="39">
        <v>251</v>
      </c>
      <c r="C11" s="39" t="s">
        <v>56</v>
      </c>
      <c r="D11" s="70" t="s">
        <v>59</v>
      </c>
      <c r="E11" s="66" t="s">
        <v>13</v>
      </c>
      <c r="F11" s="95">
        <v>2000</v>
      </c>
      <c r="G11" s="86">
        <v>68</v>
      </c>
      <c r="H11" s="59">
        <f>F11*G11</f>
        <v>136000</v>
      </c>
    </row>
    <row r="12" spans="1:8" ht="15">
      <c r="A12" s="36">
        <v>3</v>
      </c>
      <c r="B12" s="39">
        <v>251</v>
      </c>
      <c r="C12" s="39" t="s">
        <v>56</v>
      </c>
      <c r="D12" s="70" t="s">
        <v>60</v>
      </c>
      <c r="E12" s="66" t="s">
        <v>13</v>
      </c>
      <c r="F12" s="95">
        <v>6000</v>
      </c>
      <c r="G12" s="86">
        <v>65.099999999999994</v>
      </c>
      <c r="H12" s="59">
        <f t="shared" ref="H12:H35" si="0">F12*G12</f>
        <v>390599.99999999994</v>
      </c>
    </row>
    <row r="13" spans="1:8" ht="15">
      <c r="A13" s="36">
        <v>4</v>
      </c>
      <c r="B13" s="39">
        <v>252</v>
      </c>
      <c r="C13" s="39" t="s">
        <v>56</v>
      </c>
      <c r="D13" s="70" t="s">
        <v>61</v>
      </c>
      <c r="E13" s="66" t="s">
        <v>13</v>
      </c>
      <c r="F13" s="95">
        <v>200</v>
      </c>
      <c r="G13" s="86">
        <v>198</v>
      </c>
      <c r="H13" s="59">
        <f t="shared" si="0"/>
        <v>39600</v>
      </c>
    </row>
    <row r="14" spans="1:8" ht="15">
      <c r="A14" s="36">
        <v>5</v>
      </c>
      <c r="B14" s="39">
        <v>252</v>
      </c>
      <c r="C14" s="39" t="s">
        <v>56</v>
      </c>
      <c r="D14" s="70" t="s">
        <v>62</v>
      </c>
      <c r="E14" s="66" t="s">
        <v>13</v>
      </c>
      <c r="F14" s="95">
        <v>300</v>
      </c>
      <c r="G14" s="86">
        <v>65</v>
      </c>
      <c r="H14" s="59">
        <f t="shared" si="0"/>
        <v>19500</v>
      </c>
    </row>
    <row r="15" spans="1:8" ht="15">
      <c r="A15" s="36">
        <v>6</v>
      </c>
      <c r="B15" s="39">
        <v>252</v>
      </c>
      <c r="C15" s="39" t="s">
        <v>56</v>
      </c>
      <c r="D15" s="70" t="s">
        <v>63</v>
      </c>
      <c r="E15" s="66" t="s">
        <v>13</v>
      </c>
      <c r="F15" s="95">
        <v>300</v>
      </c>
      <c r="G15" s="86">
        <v>358</v>
      </c>
      <c r="H15" s="59">
        <f t="shared" si="0"/>
        <v>107400</v>
      </c>
    </row>
    <row r="16" spans="1:8" ht="15">
      <c r="A16" s="36">
        <v>7</v>
      </c>
      <c r="B16" s="39">
        <v>252</v>
      </c>
      <c r="C16" s="39" t="s">
        <v>56</v>
      </c>
      <c r="D16" s="70" t="s">
        <v>64</v>
      </c>
      <c r="E16" s="66" t="s">
        <v>13</v>
      </c>
      <c r="F16" s="95">
        <v>500</v>
      </c>
      <c r="G16" s="86">
        <v>50</v>
      </c>
      <c r="H16" s="59">
        <f t="shared" si="0"/>
        <v>25000</v>
      </c>
    </row>
    <row r="17" spans="1:8" ht="15">
      <c r="A17" s="36">
        <v>8</v>
      </c>
      <c r="B17" s="39">
        <v>252</v>
      </c>
      <c r="C17" s="39" t="s">
        <v>56</v>
      </c>
      <c r="D17" s="70" t="s">
        <v>65</v>
      </c>
      <c r="E17" s="66" t="s">
        <v>13</v>
      </c>
      <c r="F17" s="95">
        <v>200</v>
      </c>
      <c r="G17" s="86">
        <v>132.5</v>
      </c>
      <c r="H17" s="59">
        <f t="shared" si="0"/>
        <v>26500</v>
      </c>
    </row>
    <row r="18" spans="1:8" ht="15">
      <c r="A18" s="36">
        <v>9</v>
      </c>
      <c r="B18" s="39">
        <v>252</v>
      </c>
      <c r="C18" s="39" t="s">
        <v>56</v>
      </c>
      <c r="D18" s="70" t="s">
        <v>66</v>
      </c>
      <c r="E18" s="66" t="s">
        <v>13</v>
      </c>
      <c r="F18" s="95">
        <v>2000</v>
      </c>
      <c r="G18" s="86">
        <v>45</v>
      </c>
      <c r="H18" s="59">
        <f t="shared" si="0"/>
        <v>90000</v>
      </c>
    </row>
    <row r="19" spans="1:8" ht="15">
      <c r="A19" s="36">
        <v>10</v>
      </c>
      <c r="B19" s="39">
        <v>252</v>
      </c>
      <c r="C19" s="39" t="s">
        <v>56</v>
      </c>
      <c r="D19" s="70" t="s">
        <v>67</v>
      </c>
      <c r="E19" s="66" t="s">
        <v>13</v>
      </c>
      <c r="F19" s="95">
        <v>6000</v>
      </c>
      <c r="G19" s="86">
        <v>82</v>
      </c>
      <c r="H19" s="59">
        <f t="shared" si="0"/>
        <v>492000</v>
      </c>
    </row>
    <row r="20" spans="1:8" ht="15">
      <c r="A20" s="36">
        <v>11</v>
      </c>
      <c r="B20" s="39">
        <v>252</v>
      </c>
      <c r="C20" s="39" t="s">
        <v>56</v>
      </c>
      <c r="D20" s="70" t="s">
        <v>68</v>
      </c>
      <c r="E20" s="66" t="s">
        <v>13</v>
      </c>
      <c r="F20" s="95">
        <v>150</v>
      </c>
      <c r="G20" s="86">
        <v>220</v>
      </c>
      <c r="H20" s="59">
        <f t="shared" si="0"/>
        <v>33000</v>
      </c>
    </row>
    <row r="21" spans="1:8" ht="15">
      <c r="A21" s="36">
        <v>12</v>
      </c>
      <c r="B21" s="39">
        <v>252</v>
      </c>
      <c r="C21" s="39" t="s">
        <v>56</v>
      </c>
      <c r="D21" s="70" t="s">
        <v>69</v>
      </c>
      <c r="E21" s="66" t="s">
        <v>13</v>
      </c>
      <c r="F21" s="95">
        <v>3000</v>
      </c>
      <c r="G21" s="86">
        <v>43</v>
      </c>
      <c r="H21" s="59">
        <f t="shared" si="0"/>
        <v>129000</v>
      </c>
    </row>
    <row r="22" spans="1:8" ht="15">
      <c r="A22" s="36">
        <v>13</v>
      </c>
      <c r="B22" s="39">
        <v>252</v>
      </c>
      <c r="C22" s="39" t="s">
        <v>56</v>
      </c>
      <c r="D22" s="70" t="s">
        <v>70</v>
      </c>
      <c r="E22" s="66" t="s">
        <v>13</v>
      </c>
      <c r="F22" s="95">
        <v>5000</v>
      </c>
      <c r="G22" s="86">
        <v>79</v>
      </c>
      <c r="H22" s="59">
        <f t="shared" si="0"/>
        <v>395000</v>
      </c>
    </row>
    <row r="23" spans="1:8" ht="15">
      <c r="A23" s="36">
        <v>14</v>
      </c>
      <c r="B23" s="39">
        <v>252</v>
      </c>
      <c r="C23" s="39" t="s">
        <v>56</v>
      </c>
      <c r="D23" s="70" t="s">
        <v>71</v>
      </c>
      <c r="E23" s="66" t="s">
        <v>13</v>
      </c>
      <c r="F23" s="95">
        <v>2000</v>
      </c>
      <c r="G23" s="86">
        <v>64</v>
      </c>
      <c r="H23" s="59">
        <f t="shared" si="0"/>
        <v>128000</v>
      </c>
    </row>
    <row r="24" spans="1:8" ht="15">
      <c r="A24" s="36">
        <v>15</v>
      </c>
      <c r="B24" s="39">
        <v>252</v>
      </c>
      <c r="C24" s="39" t="s">
        <v>56</v>
      </c>
      <c r="D24" s="70" t="s">
        <v>72</v>
      </c>
      <c r="E24" s="66" t="s">
        <v>13</v>
      </c>
      <c r="F24" s="95">
        <v>150</v>
      </c>
      <c r="G24" s="86">
        <v>102</v>
      </c>
      <c r="H24" s="59">
        <f t="shared" si="0"/>
        <v>15300</v>
      </c>
    </row>
    <row r="25" spans="1:8" ht="15">
      <c r="A25" s="36">
        <v>16</v>
      </c>
      <c r="B25" s="39">
        <v>252</v>
      </c>
      <c r="C25" s="39" t="s">
        <v>57</v>
      </c>
      <c r="D25" s="70" t="s">
        <v>73</v>
      </c>
      <c r="E25" s="66" t="s">
        <v>13</v>
      </c>
      <c r="F25" s="66">
        <v>300</v>
      </c>
      <c r="G25" s="86">
        <v>94</v>
      </c>
      <c r="H25" s="59">
        <f t="shared" si="0"/>
        <v>28200</v>
      </c>
    </row>
    <row r="26" spans="1:8" ht="15">
      <c r="A26" s="36">
        <v>17</v>
      </c>
      <c r="B26" s="39">
        <v>252</v>
      </c>
      <c r="C26" s="39" t="s">
        <v>56</v>
      </c>
      <c r="D26" s="70" t="s">
        <v>74</v>
      </c>
      <c r="E26" s="66" t="s">
        <v>13</v>
      </c>
      <c r="F26" s="66">
        <v>2000</v>
      </c>
      <c r="G26" s="86">
        <v>315</v>
      </c>
      <c r="H26" s="59">
        <f t="shared" si="0"/>
        <v>630000</v>
      </c>
    </row>
    <row r="27" spans="1:8" ht="15">
      <c r="A27" s="36">
        <v>18</v>
      </c>
      <c r="B27" s="39">
        <v>252</v>
      </c>
      <c r="C27" s="39" t="s">
        <v>56</v>
      </c>
      <c r="D27" s="70" t="s">
        <v>75</v>
      </c>
      <c r="E27" s="66" t="s">
        <v>13</v>
      </c>
      <c r="F27" s="66">
        <v>1000</v>
      </c>
      <c r="G27" s="86">
        <v>299</v>
      </c>
      <c r="H27" s="59">
        <f t="shared" si="0"/>
        <v>299000</v>
      </c>
    </row>
    <row r="28" spans="1:8" ht="15">
      <c r="A28" s="36">
        <v>19</v>
      </c>
      <c r="B28" s="39">
        <v>252</v>
      </c>
      <c r="C28" s="39" t="s">
        <v>56</v>
      </c>
      <c r="D28" s="70" t="s">
        <v>76</v>
      </c>
      <c r="E28" s="66" t="s">
        <v>13</v>
      </c>
      <c r="F28" s="66">
        <v>1000</v>
      </c>
      <c r="G28" s="86">
        <v>125</v>
      </c>
      <c r="H28" s="59">
        <f t="shared" si="0"/>
        <v>125000</v>
      </c>
    </row>
    <row r="29" spans="1:8" ht="15">
      <c r="A29" s="36">
        <v>20</v>
      </c>
      <c r="B29" s="39">
        <v>252</v>
      </c>
      <c r="C29" s="39" t="s">
        <v>56</v>
      </c>
      <c r="D29" s="70" t="s">
        <v>77</v>
      </c>
      <c r="E29" s="66" t="s">
        <v>13</v>
      </c>
      <c r="F29" s="66">
        <v>1000</v>
      </c>
      <c r="G29" s="86">
        <v>250</v>
      </c>
      <c r="H29" s="59">
        <f t="shared" si="0"/>
        <v>250000</v>
      </c>
    </row>
    <row r="30" spans="1:8" ht="15">
      <c r="A30" s="36">
        <v>21</v>
      </c>
      <c r="B30" s="39">
        <v>252</v>
      </c>
      <c r="C30" s="39" t="s">
        <v>56</v>
      </c>
      <c r="D30" s="70" t="s">
        <v>78</v>
      </c>
      <c r="E30" s="66" t="s">
        <v>13</v>
      </c>
      <c r="F30" s="66">
        <v>40</v>
      </c>
      <c r="G30" s="86">
        <v>980</v>
      </c>
      <c r="H30" s="59">
        <f t="shared" si="0"/>
        <v>39200</v>
      </c>
    </row>
    <row r="31" spans="1:8" ht="15">
      <c r="A31" s="36">
        <v>22</v>
      </c>
      <c r="B31" s="39">
        <v>252</v>
      </c>
      <c r="C31" s="39" t="s">
        <v>56</v>
      </c>
      <c r="D31" s="70" t="s">
        <v>79</v>
      </c>
      <c r="E31" s="66" t="s">
        <v>13</v>
      </c>
      <c r="F31" s="66">
        <v>10</v>
      </c>
      <c r="G31" s="86">
        <v>3800</v>
      </c>
      <c r="H31" s="59">
        <f t="shared" si="0"/>
        <v>38000</v>
      </c>
    </row>
    <row r="32" spans="1:8" ht="15">
      <c r="A32" s="36">
        <v>23</v>
      </c>
      <c r="B32" s="39">
        <v>252</v>
      </c>
      <c r="C32" s="39" t="s">
        <v>56</v>
      </c>
      <c r="D32" s="70" t="s">
        <v>80</v>
      </c>
      <c r="E32" s="66" t="s">
        <v>13</v>
      </c>
      <c r="F32" s="66">
        <v>30</v>
      </c>
      <c r="G32" s="86">
        <v>580</v>
      </c>
      <c r="H32" s="59">
        <f t="shared" si="0"/>
        <v>17400</v>
      </c>
    </row>
    <row r="33" spans="1:8" ht="15">
      <c r="A33" s="36">
        <v>24</v>
      </c>
      <c r="B33" s="39">
        <v>252</v>
      </c>
      <c r="C33" s="39" t="s">
        <v>56</v>
      </c>
      <c r="D33" s="70" t="s">
        <v>81</v>
      </c>
      <c r="E33" s="66" t="s">
        <v>13</v>
      </c>
      <c r="F33" s="66">
        <v>100</v>
      </c>
      <c r="G33" s="86">
        <v>381</v>
      </c>
      <c r="H33" s="59">
        <f t="shared" si="0"/>
        <v>38100</v>
      </c>
    </row>
    <row r="34" spans="1:8" ht="15">
      <c r="A34" s="36">
        <v>25</v>
      </c>
      <c r="B34" s="39">
        <v>252</v>
      </c>
      <c r="C34" s="39" t="s">
        <v>56</v>
      </c>
      <c r="D34" s="70" t="s">
        <v>82</v>
      </c>
      <c r="E34" s="66" t="s">
        <v>13</v>
      </c>
      <c r="F34" s="66">
        <v>200</v>
      </c>
      <c r="G34" s="86">
        <v>450</v>
      </c>
      <c r="H34" s="59">
        <f t="shared" si="0"/>
        <v>90000</v>
      </c>
    </row>
    <row r="35" spans="1:8" ht="15">
      <c r="A35" s="36">
        <v>26</v>
      </c>
      <c r="B35" s="39">
        <v>252</v>
      </c>
      <c r="C35" s="39" t="s">
        <v>56</v>
      </c>
      <c r="D35" s="70" t="s">
        <v>83</v>
      </c>
      <c r="E35" s="66" t="s">
        <v>13</v>
      </c>
      <c r="F35" s="66">
        <v>20</v>
      </c>
      <c r="G35" s="86">
        <v>2600</v>
      </c>
      <c r="H35" s="59">
        <f t="shared" si="0"/>
        <v>52000</v>
      </c>
    </row>
    <row r="36" spans="1:8" ht="15">
      <c r="A36" s="36">
        <v>27</v>
      </c>
      <c r="B36" s="39">
        <v>252</v>
      </c>
      <c r="C36" t="s">
        <v>56</v>
      </c>
      <c r="D36" s="70" t="s">
        <v>84</v>
      </c>
      <c r="E36" s="66" t="s">
        <v>13</v>
      </c>
      <c r="F36" s="96">
        <v>200</v>
      </c>
      <c r="G36" s="87">
        <v>4.75</v>
      </c>
      <c r="H36" s="65">
        <f t="shared" ref="H36:H41" si="1">F36*G36</f>
        <v>950</v>
      </c>
    </row>
    <row r="37" spans="1:8" ht="15">
      <c r="A37" s="36">
        <v>28</v>
      </c>
      <c r="B37" s="39">
        <v>252</v>
      </c>
      <c r="C37" s="68" t="s">
        <v>56</v>
      </c>
      <c r="D37" s="70" t="s">
        <v>85</v>
      </c>
      <c r="E37" s="66" t="s">
        <v>13</v>
      </c>
      <c r="F37" s="97">
        <v>200</v>
      </c>
      <c r="G37" s="88">
        <v>9.9700000000000006</v>
      </c>
      <c r="H37" s="69">
        <f t="shared" si="1"/>
        <v>1994.0000000000002</v>
      </c>
    </row>
    <row r="38" spans="1:8" ht="15">
      <c r="A38" s="36">
        <v>29</v>
      </c>
      <c r="B38" s="39">
        <v>252</v>
      </c>
      <c r="C38" s="68" t="s">
        <v>56</v>
      </c>
      <c r="D38" s="70" t="s">
        <v>86</v>
      </c>
      <c r="E38" s="66" t="s">
        <v>13</v>
      </c>
      <c r="F38" s="97">
        <v>200</v>
      </c>
      <c r="G38" s="88">
        <v>4.9800000000000004</v>
      </c>
      <c r="H38" s="69">
        <f t="shared" si="1"/>
        <v>996.00000000000011</v>
      </c>
    </row>
    <row r="39" spans="1:8" ht="15">
      <c r="A39" s="36">
        <v>30</v>
      </c>
      <c r="B39" s="39">
        <v>252</v>
      </c>
      <c r="C39" s="68" t="s">
        <v>56</v>
      </c>
      <c r="D39" s="70" t="s">
        <v>87</v>
      </c>
      <c r="E39" s="66" t="s">
        <v>13</v>
      </c>
      <c r="F39" s="97">
        <v>300</v>
      </c>
      <c r="G39" s="88">
        <v>6.46</v>
      </c>
      <c r="H39" s="69">
        <f t="shared" si="1"/>
        <v>1938</v>
      </c>
    </row>
    <row r="40" spans="1:8" ht="15">
      <c r="A40" s="36">
        <v>31</v>
      </c>
      <c r="B40" s="39">
        <v>252</v>
      </c>
      <c r="C40" s="68" t="s">
        <v>56</v>
      </c>
      <c r="D40" s="70" t="s">
        <v>88</v>
      </c>
      <c r="E40" s="66" t="s">
        <v>13</v>
      </c>
      <c r="F40" s="97">
        <v>300</v>
      </c>
      <c r="G40" s="88">
        <v>8.15</v>
      </c>
      <c r="H40" s="69">
        <f t="shared" si="1"/>
        <v>2445</v>
      </c>
    </row>
    <row r="41" spans="1:8" ht="15">
      <c r="A41" s="36">
        <v>32</v>
      </c>
      <c r="B41" s="39">
        <v>252</v>
      </c>
      <c r="C41" s="68" t="s">
        <v>56</v>
      </c>
      <c r="D41" s="70" t="s">
        <v>89</v>
      </c>
      <c r="E41" s="66" t="s">
        <v>13</v>
      </c>
      <c r="F41" s="97">
        <v>150</v>
      </c>
      <c r="G41" s="88">
        <v>27.54</v>
      </c>
      <c r="H41" s="69">
        <f t="shared" si="1"/>
        <v>4131</v>
      </c>
    </row>
    <row r="42" spans="1:8" ht="15">
      <c r="A42" s="36">
        <v>33</v>
      </c>
      <c r="B42" s="39">
        <v>252</v>
      </c>
      <c r="C42" s="68" t="s">
        <v>56</v>
      </c>
      <c r="D42" s="70" t="s">
        <v>90</v>
      </c>
      <c r="E42" s="66" t="s">
        <v>13</v>
      </c>
      <c r="F42" s="97">
        <v>120</v>
      </c>
      <c r="G42" s="88">
        <v>94.65</v>
      </c>
      <c r="H42" s="69">
        <f t="shared" ref="H42:H71" si="2">F42*G42</f>
        <v>11358</v>
      </c>
    </row>
    <row r="43" spans="1:8" ht="15">
      <c r="A43" s="36">
        <v>34</v>
      </c>
      <c r="B43" s="39">
        <v>252</v>
      </c>
      <c r="C43" s="68" t="s">
        <v>56</v>
      </c>
      <c r="D43" s="70" t="s">
        <v>91</v>
      </c>
      <c r="E43" s="66" t="s">
        <v>13</v>
      </c>
      <c r="F43" s="97">
        <v>100</v>
      </c>
      <c r="G43" s="88">
        <v>700.76</v>
      </c>
      <c r="H43" s="69">
        <f t="shared" si="2"/>
        <v>70076</v>
      </c>
    </row>
    <row r="44" spans="1:8" ht="15">
      <c r="A44" s="36">
        <v>35</v>
      </c>
      <c r="B44" s="39">
        <v>252</v>
      </c>
      <c r="C44" s="68" t="s">
        <v>56</v>
      </c>
      <c r="D44" s="70" t="s">
        <v>92</v>
      </c>
      <c r="E44" s="66" t="s">
        <v>13</v>
      </c>
      <c r="F44" s="97">
        <v>500</v>
      </c>
      <c r="G44" s="88">
        <v>7.2</v>
      </c>
      <c r="H44" s="69">
        <f t="shared" si="2"/>
        <v>3600</v>
      </c>
    </row>
    <row r="45" spans="1:8" ht="15">
      <c r="A45" s="36">
        <v>36</v>
      </c>
      <c r="B45" s="39">
        <v>252</v>
      </c>
      <c r="C45" s="68" t="s">
        <v>56</v>
      </c>
      <c r="D45" s="70" t="s">
        <v>93</v>
      </c>
      <c r="E45" s="66" t="s">
        <v>13</v>
      </c>
      <c r="F45" s="97">
        <v>50</v>
      </c>
      <c r="G45" s="88">
        <v>740</v>
      </c>
      <c r="H45" s="69">
        <f t="shared" si="2"/>
        <v>37000</v>
      </c>
    </row>
    <row r="46" spans="1:8" ht="15">
      <c r="A46" s="36">
        <v>37</v>
      </c>
      <c r="B46" s="39">
        <v>252</v>
      </c>
      <c r="C46" s="68" t="s">
        <v>56</v>
      </c>
      <c r="D46" s="70" t="s">
        <v>94</v>
      </c>
      <c r="E46" s="66" t="s">
        <v>13</v>
      </c>
      <c r="F46" s="97">
        <v>30</v>
      </c>
      <c r="G46" s="88">
        <v>314.93</v>
      </c>
      <c r="H46" s="69">
        <f t="shared" si="2"/>
        <v>9447.9</v>
      </c>
    </row>
    <row r="47" spans="1:8" ht="15">
      <c r="A47" s="36">
        <v>38</v>
      </c>
      <c r="B47" s="39">
        <v>252</v>
      </c>
      <c r="C47" s="68" t="s">
        <v>56</v>
      </c>
      <c r="D47" s="70" t="s">
        <v>95</v>
      </c>
      <c r="E47" s="66" t="s">
        <v>13</v>
      </c>
      <c r="F47" s="97">
        <v>30</v>
      </c>
      <c r="G47" s="88">
        <v>565</v>
      </c>
      <c r="H47" s="69">
        <f t="shared" si="2"/>
        <v>16950</v>
      </c>
    </row>
    <row r="48" spans="1:8" ht="15">
      <c r="A48" s="36">
        <v>39</v>
      </c>
      <c r="B48" s="39">
        <v>252</v>
      </c>
      <c r="C48" s="68" t="s">
        <v>56</v>
      </c>
      <c r="D48" s="70" t="s">
        <v>96</v>
      </c>
      <c r="E48" s="66" t="s">
        <v>13</v>
      </c>
      <c r="F48" s="97">
        <v>30</v>
      </c>
      <c r="G48" s="88">
        <v>524</v>
      </c>
      <c r="H48" s="69">
        <f t="shared" si="2"/>
        <v>15720</v>
      </c>
    </row>
    <row r="49" spans="1:8" ht="15">
      <c r="A49" s="36">
        <v>40</v>
      </c>
      <c r="B49" s="39">
        <v>252</v>
      </c>
      <c r="C49" s="68" t="s">
        <v>56</v>
      </c>
      <c r="D49" s="70" t="s">
        <v>97</v>
      </c>
      <c r="E49" s="66" t="s">
        <v>13</v>
      </c>
      <c r="F49" s="97">
        <v>30</v>
      </c>
      <c r="G49" s="88">
        <v>841.5</v>
      </c>
      <c r="H49" s="69">
        <f t="shared" si="2"/>
        <v>25245</v>
      </c>
    </row>
    <row r="50" spans="1:8" ht="15">
      <c r="A50" s="36">
        <v>41</v>
      </c>
      <c r="B50" s="39">
        <v>252</v>
      </c>
      <c r="C50" s="68" t="s">
        <v>56</v>
      </c>
      <c r="D50" s="70" t="s">
        <v>98</v>
      </c>
      <c r="E50" s="66" t="s">
        <v>13</v>
      </c>
      <c r="F50" s="97">
        <v>100</v>
      </c>
      <c r="G50" s="88">
        <v>21.75</v>
      </c>
      <c r="H50" s="69">
        <f t="shared" si="2"/>
        <v>2175</v>
      </c>
    </row>
    <row r="51" spans="1:8" ht="15">
      <c r="A51" s="36">
        <v>42</v>
      </c>
      <c r="B51" s="39">
        <v>252</v>
      </c>
      <c r="C51" s="68" t="s">
        <v>56</v>
      </c>
      <c r="D51" s="70" t="s">
        <v>99</v>
      </c>
      <c r="E51" s="66" t="s">
        <v>13</v>
      </c>
      <c r="F51" s="97">
        <v>300</v>
      </c>
      <c r="G51" s="88">
        <v>242.35</v>
      </c>
      <c r="H51" s="69">
        <f t="shared" si="2"/>
        <v>72705</v>
      </c>
    </row>
    <row r="52" spans="1:8" ht="15">
      <c r="A52" s="36">
        <v>43</v>
      </c>
      <c r="B52" s="39">
        <v>252</v>
      </c>
      <c r="C52" s="68" t="s">
        <v>56</v>
      </c>
      <c r="D52" s="70" t="s">
        <v>100</v>
      </c>
      <c r="E52" s="66" t="s">
        <v>13</v>
      </c>
      <c r="F52" s="97">
        <v>50</v>
      </c>
      <c r="G52" s="88">
        <v>220</v>
      </c>
      <c r="H52" s="69">
        <f t="shared" si="2"/>
        <v>11000</v>
      </c>
    </row>
    <row r="53" spans="1:8" ht="15">
      <c r="A53" s="36">
        <v>44</v>
      </c>
      <c r="B53" s="39">
        <v>252</v>
      </c>
      <c r="C53" s="68" t="s">
        <v>56</v>
      </c>
      <c r="D53" s="70" t="s">
        <v>101</v>
      </c>
      <c r="E53" s="66" t="s">
        <v>13</v>
      </c>
      <c r="F53" s="97">
        <v>100</v>
      </c>
      <c r="G53" s="88">
        <v>247.81</v>
      </c>
      <c r="H53" s="69">
        <f t="shared" si="2"/>
        <v>24781</v>
      </c>
    </row>
    <row r="54" spans="1:8" ht="15">
      <c r="A54" s="36">
        <v>45</v>
      </c>
      <c r="B54" s="39">
        <v>252</v>
      </c>
      <c r="C54" s="68" t="s">
        <v>56</v>
      </c>
      <c r="D54" s="70" t="s">
        <v>102</v>
      </c>
      <c r="E54" s="66" t="s">
        <v>13</v>
      </c>
      <c r="F54" s="97">
        <v>200</v>
      </c>
      <c r="G54" s="88">
        <v>36.229999999999997</v>
      </c>
      <c r="H54" s="69">
        <f t="shared" si="2"/>
        <v>7245.9999999999991</v>
      </c>
    </row>
    <row r="55" spans="1:8" ht="15">
      <c r="A55" s="36">
        <v>46</v>
      </c>
      <c r="B55" s="39">
        <v>252</v>
      </c>
      <c r="C55" s="68" t="s">
        <v>56</v>
      </c>
      <c r="D55" s="70" t="s">
        <v>103</v>
      </c>
      <c r="E55" s="66" t="s">
        <v>13</v>
      </c>
      <c r="F55" s="97">
        <v>500</v>
      </c>
      <c r="G55" s="88">
        <v>3.1</v>
      </c>
      <c r="H55" s="69">
        <f t="shared" si="2"/>
        <v>1550</v>
      </c>
    </row>
    <row r="56" spans="1:8" ht="15">
      <c r="A56" s="36">
        <v>47</v>
      </c>
      <c r="B56" s="39">
        <v>252</v>
      </c>
      <c r="C56" s="68" t="s">
        <v>56</v>
      </c>
      <c r="D56" s="70" t="s">
        <v>104</v>
      </c>
      <c r="E56" s="66" t="s">
        <v>13</v>
      </c>
      <c r="F56" s="97">
        <v>20</v>
      </c>
      <c r="G56" s="88">
        <v>561.20000000000005</v>
      </c>
      <c r="H56" s="69">
        <f t="shared" si="2"/>
        <v>11224</v>
      </c>
    </row>
    <row r="57" spans="1:8" ht="15">
      <c r="A57" s="36">
        <v>48</v>
      </c>
      <c r="B57" s="39">
        <v>252</v>
      </c>
      <c r="C57" s="68" t="s">
        <v>56</v>
      </c>
      <c r="D57" s="70" t="s">
        <v>105</v>
      </c>
      <c r="E57" s="66" t="s">
        <v>13</v>
      </c>
      <c r="F57" s="97">
        <v>300</v>
      </c>
      <c r="G57" s="88">
        <v>120.45</v>
      </c>
      <c r="H57" s="69">
        <f t="shared" si="2"/>
        <v>36135</v>
      </c>
    </row>
    <row r="58" spans="1:8" ht="15">
      <c r="A58" s="36">
        <v>49</v>
      </c>
      <c r="B58" s="39">
        <v>252</v>
      </c>
      <c r="C58" s="68" t="s">
        <v>56</v>
      </c>
      <c r="D58" s="70" t="s">
        <v>106</v>
      </c>
      <c r="E58" s="66" t="s">
        <v>13</v>
      </c>
      <c r="F58" s="97">
        <v>5</v>
      </c>
      <c r="G58" s="88">
        <v>1990</v>
      </c>
      <c r="H58" s="69">
        <f t="shared" si="2"/>
        <v>9950</v>
      </c>
    </row>
    <row r="59" spans="1:8" ht="15">
      <c r="A59" s="36">
        <v>50</v>
      </c>
      <c r="B59" s="39">
        <v>252</v>
      </c>
      <c r="C59" s="68" t="s">
        <v>56</v>
      </c>
      <c r="D59" s="70" t="s">
        <v>107</v>
      </c>
      <c r="E59" s="66" t="s">
        <v>13</v>
      </c>
      <c r="F59" s="97">
        <v>25</v>
      </c>
      <c r="G59" s="88">
        <v>1524.6</v>
      </c>
      <c r="H59" s="69">
        <f t="shared" si="2"/>
        <v>38115</v>
      </c>
    </row>
    <row r="60" spans="1:8" ht="15">
      <c r="A60" s="36">
        <v>51</v>
      </c>
      <c r="B60" s="39">
        <v>252</v>
      </c>
      <c r="C60" s="68" t="s">
        <v>56</v>
      </c>
      <c r="D60" s="70" t="s">
        <v>108</v>
      </c>
      <c r="E60" s="66" t="s">
        <v>13</v>
      </c>
      <c r="F60" s="97">
        <v>30</v>
      </c>
      <c r="G60" s="88">
        <v>565</v>
      </c>
      <c r="H60" s="69">
        <f t="shared" si="2"/>
        <v>16950</v>
      </c>
    </row>
    <row r="61" spans="1:8" ht="15">
      <c r="A61" s="36">
        <v>52</v>
      </c>
      <c r="B61" s="39">
        <v>252</v>
      </c>
      <c r="C61" s="68" t="s">
        <v>56</v>
      </c>
      <c r="D61" s="70" t="s">
        <v>109</v>
      </c>
      <c r="E61" s="66" t="s">
        <v>13</v>
      </c>
      <c r="F61" s="97">
        <v>200</v>
      </c>
      <c r="G61" s="88">
        <v>470</v>
      </c>
      <c r="H61" s="69">
        <f t="shared" si="2"/>
        <v>94000</v>
      </c>
    </row>
    <row r="62" spans="1:8" ht="15">
      <c r="A62" s="36">
        <v>53</v>
      </c>
      <c r="B62" s="39">
        <v>252</v>
      </c>
      <c r="C62" s="68" t="s">
        <v>56</v>
      </c>
      <c r="D62" s="70" t="s">
        <v>110</v>
      </c>
      <c r="E62" s="66" t="s">
        <v>13</v>
      </c>
      <c r="F62" s="97">
        <v>300</v>
      </c>
      <c r="G62" s="88">
        <v>25.3</v>
      </c>
      <c r="H62" s="69">
        <f t="shared" si="2"/>
        <v>7590</v>
      </c>
    </row>
    <row r="63" spans="1:8" ht="15">
      <c r="A63" s="36">
        <v>54</v>
      </c>
      <c r="B63" s="39">
        <v>252</v>
      </c>
      <c r="C63" s="68" t="s">
        <v>56</v>
      </c>
      <c r="D63" s="70" t="s">
        <v>111</v>
      </c>
      <c r="E63" s="66" t="s">
        <v>13</v>
      </c>
      <c r="F63" s="97">
        <v>1000</v>
      </c>
      <c r="G63" s="88">
        <v>39</v>
      </c>
      <c r="H63" s="69">
        <f t="shared" si="2"/>
        <v>39000</v>
      </c>
    </row>
    <row r="64" spans="1:8" ht="15">
      <c r="A64" s="36">
        <v>55</v>
      </c>
      <c r="B64" s="39">
        <v>252</v>
      </c>
      <c r="C64" s="68" t="s">
        <v>56</v>
      </c>
      <c r="D64" s="70" t="s">
        <v>112</v>
      </c>
      <c r="E64" s="66" t="s">
        <v>13</v>
      </c>
      <c r="F64" s="97">
        <v>100</v>
      </c>
      <c r="G64" s="88">
        <v>19.399999999999999</v>
      </c>
      <c r="H64" s="69">
        <f t="shared" si="2"/>
        <v>1939.9999999999998</v>
      </c>
    </row>
    <row r="65" spans="1:8" ht="15">
      <c r="A65" s="36">
        <v>56</v>
      </c>
      <c r="B65" s="39">
        <v>252</v>
      </c>
      <c r="C65" s="68" t="s">
        <v>56</v>
      </c>
      <c r="D65" s="70" t="s">
        <v>113</v>
      </c>
      <c r="E65" s="66" t="s">
        <v>13</v>
      </c>
      <c r="F65" s="97">
        <v>300</v>
      </c>
      <c r="G65" s="88">
        <v>170</v>
      </c>
      <c r="H65" s="69">
        <f t="shared" si="2"/>
        <v>51000</v>
      </c>
    </row>
    <row r="66" spans="1:8" ht="15">
      <c r="A66" s="36">
        <v>57</v>
      </c>
      <c r="B66" s="39">
        <v>252</v>
      </c>
      <c r="C66" s="68" t="s">
        <v>56</v>
      </c>
      <c r="D66" s="70" t="s">
        <v>114</v>
      </c>
      <c r="E66" s="66" t="s">
        <v>13</v>
      </c>
      <c r="F66" s="97">
        <v>100</v>
      </c>
      <c r="G66" s="88">
        <v>307.8</v>
      </c>
      <c r="H66" s="69">
        <f t="shared" si="2"/>
        <v>30780</v>
      </c>
    </row>
    <row r="67" spans="1:8" ht="15">
      <c r="A67" s="36">
        <v>58</v>
      </c>
      <c r="B67" s="39">
        <v>252</v>
      </c>
      <c r="C67" s="68" t="s">
        <v>56</v>
      </c>
      <c r="D67" s="70" t="s">
        <v>115</v>
      </c>
      <c r="E67" s="66" t="s">
        <v>13</v>
      </c>
      <c r="F67" s="97">
        <v>20</v>
      </c>
      <c r="G67" s="88">
        <v>412.65</v>
      </c>
      <c r="H67" s="69">
        <f t="shared" si="2"/>
        <v>8253</v>
      </c>
    </row>
    <row r="68" spans="1:8" ht="15">
      <c r="A68" s="36">
        <v>59</v>
      </c>
      <c r="B68" s="39">
        <v>252</v>
      </c>
      <c r="C68" s="68" t="s">
        <v>56</v>
      </c>
      <c r="D68" s="70" t="s">
        <v>116</v>
      </c>
      <c r="E68" s="66" t="s">
        <v>13</v>
      </c>
      <c r="F68" s="97">
        <v>100</v>
      </c>
      <c r="G68" s="88">
        <v>560.77</v>
      </c>
      <c r="H68" s="69">
        <f t="shared" si="2"/>
        <v>56077</v>
      </c>
    </row>
    <row r="69" spans="1:8" ht="15">
      <c r="A69" s="36">
        <v>60</v>
      </c>
      <c r="B69" s="39">
        <v>252</v>
      </c>
      <c r="C69" s="68" t="s">
        <v>56</v>
      </c>
      <c r="D69" s="70" t="s">
        <v>117</v>
      </c>
      <c r="E69" s="66" t="s">
        <v>13</v>
      </c>
      <c r="F69" s="97">
        <v>5</v>
      </c>
      <c r="G69" s="88">
        <v>833.63</v>
      </c>
      <c r="H69" s="69">
        <f t="shared" si="2"/>
        <v>4168.1499999999996</v>
      </c>
    </row>
    <row r="70" spans="1:8" ht="15">
      <c r="A70" s="36">
        <v>61</v>
      </c>
      <c r="B70" s="39">
        <v>252</v>
      </c>
      <c r="C70" s="68" t="s">
        <v>56</v>
      </c>
      <c r="D70" s="70" t="s">
        <v>118</v>
      </c>
      <c r="E70" s="66" t="s">
        <v>13</v>
      </c>
      <c r="F70" s="97">
        <v>20</v>
      </c>
      <c r="G70" s="88">
        <v>2204.14</v>
      </c>
      <c r="H70" s="69">
        <f t="shared" si="2"/>
        <v>44082.799999999996</v>
      </c>
    </row>
    <row r="71" spans="1:8" ht="15">
      <c r="A71" s="36">
        <v>62</v>
      </c>
      <c r="B71" s="39">
        <v>252</v>
      </c>
      <c r="C71" s="68" t="s">
        <v>56</v>
      </c>
      <c r="D71" s="70" t="s">
        <v>119</v>
      </c>
      <c r="E71" s="66" t="s">
        <v>13</v>
      </c>
      <c r="F71" s="97">
        <v>150</v>
      </c>
      <c r="G71" s="88">
        <v>848.52</v>
      </c>
      <c r="H71" s="69">
        <f t="shared" si="2"/>
        <v>127278</v>
      </c>
    </row>
    <row r="72" spans="1:8" ht="15">
      <c r="A72" s="36">
        <v>63</v>
      </c>
      <c r="B72" s="39">
        <v>252</v>
      </c>
      <c r="C72" s="68" t="s">
        <v>56</v>
      </c>
      <c r="D72" s="70" t="s">
        <v>120</v>
      </c>
      <c r="E72" s="66" t="s">
        <v>13</v>
      </c>
      <c r="F72" s="97">
        <v>200</v>
      </c>
      <c r="G72" s="88">
        <v>500.79</v>
      </c>
      <c r="H72" s="69">
        <f>F72*G72</f>
        <v>100158</v>
      </c>
    </row>
    <row r="73" spans="1:8" ht="30">
      <c r="A73" s="36">
        <v>64</v>
      </c>
      <c r="B73" s="39">
        <v>251</v>
      </c>
      <c r="C73" s="68" t="s">
        <v>133</v>
      </c>
      <c r="D73" s="70" t="s">
        <v>134</v>
      </c>
      <c r="E73" s="66" t="s">
        <v>13</v>
      </c>
      <c r="F73" s="97">
        <v>600</v>
      </c>
      <c r="G73" s="88">
        <v>151.25</v>
      </c>
      <c r="H73" s="69">
        <f>F73*G73</f>
        <v>90750</v>
      </c>
    </row>
    <row r="75" spans="1:8" ht="13.5" thickBot="1"/>
    <row r="76" spans="1:8">
      <c r="B76" s="71" t="s">
        <v>125</v>
      </c>
      <c r="C76" s="72"/>
      <c r="D76" s="72"/>
      <c r="E76" s="73"/>
      <c r="F76" s="98"/>
      <c r="G76" s="89"/>
    </row>
    <row r="77" spans="1:8" ht="12.75" customHeight="1">
      <c r="B77" s="99" t="s">
        <v>126</v>
      </c>
      <c r="C77" s="100"/>
      <c r="D77" s="100"/>
      <c r="E77" s="101"/>
      <c r="F77" s="98"/>
      <c r="G77" s="89"/>
    </row>
    <row r="78" spans="1:8" ht="26.25" customHeight="1">
      <c r="B78" s="99"/>
      <c r="C78" s="100"/>
      <c r="D78" s="100"/>
      <c r="E78" s="101"/>
      <c r="F78" s="98"/>
      <c r="G78" s="89"/>
    </row>
    <row r="79" spans="1:8" ht="26.25" customHeight="1">
      <c r="B79" s="99" t="s">
        <v>137</v>
      </c>
      <c r="C79" s="100"/>
      <c r="D79" s="100"/>
      <c r="E79" s="101"/>
      <c r="F79" s="98"/>
      <c r="G79" s="89"/>
    </row>
    <row r="80" spans="1:8" ht="26.25" customHeight="1">
      <c r="B80" s="99" t="s">
        <v>127</v>
      </c>
      <c r="C80" s="100"/>
      <c r="D80" s="100"/>
      <c r="E80" s="101"/>
      <c r="F80" s="98"/>
      <c r="G80" s="89"/>
    </row>
    <row r="81" spans="2:7">
      <c r="B81" s="74" t="s">
        <v>136</v>
      </c>
      <c r="C81" s="75"/>
      <c r="D81" s="76"/>
      <c r="E81" s="77"/>
      <c r="F81" s="98"/>
      <c r="G81" s="89"/>
    </row>
    <row r="82" spans="2:7" ht="26.25" customHeight="1">
      <c r="B82" s="78"/>
      <c r="C82" s="102" t="s">
        <v>128</v>
      </c>
      <c r="D82" s="102"/>
      <c r="E82" s="102"/>
      <c r="F82" s="98"/>
      <c r="G82" s="89"/>
    </row>
    <row r="83" spans="2:7" ht="13.5" thickBot="1">
      <c r="B83" s="79"/>
      <c r="C83" s="80"/>
      <c r="D83" s="80"/>
      <c r="E83" s="81"/>
      <c r="F83" s="98"/>
      <c r="G83" s="89"/>
    </row>
    <row r="84" spans="2:7">
      <c r="F84" s="98"/>
      <c r="G84" s="89"/>
    </row>
  </sheetData>
  <autoFilter ref="A9:H73"/>
  <sortState ref="D454:H576">
    <sortCondition ref="H576"/>
  </sortState>
  <mergeCells count="11">
    <mergeCell ref="B2:G2"/>
    <mergeCell ref="A4:B4"/>
    <mergeCell ref="C4:D4"/>
    <mergeCell ref="A5:B5"/>
    <mergeCell ref="C5:D5"/>
    <mergeCell ref="B77:E78"/>
    <mergeCell ref="B80:E80"/>
    <mergeCell ref="C82:E82"/>
    <mergeCell ref="A6:B6"/>
    <mergeCell ref="A7:B7"/>
    <mergeCell ref="B79:E79"/>
  </mergeCells>
  <printOptions horizontalCentered="1"/>
  <pageMargins left="0.11811023622047245" right="0.11811023622047245" top="0.74803149606299213" bottom="0.35433070866141736" header="0.11811023622047245" footer="0"/>
  <pageSetup paperSize="5" firstPageNumber="0" fitToWidth="2" fitToHeight="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MB76"/>
  <sheetViews>
    <sheetView zoomScaleNormal="100" workbookViewId="0">
      <selection activeCell="J72" sqref="J72"/>
    </sheetView>
  </sheetViews>
  <sheetFormatPr baseColWidth="10" defaultColWidth="9.140625" defaultRowHeight="12.75"/>
  <cols>
    <col min="1" max="1" width="5.5703125" style="41" customWidth="1"/>
    <col min="2" max="2" width="15.140625" style="41" customWidth="1"/>
    <col min="3" max="3" width="54.5703125" style="41" customWidth="1"/>
    <col min="4" max="4" width="9.28515625" style="41" customWidth="1"/>
    <col min="5" max="5" width="15.5703125" style="41" customWidth="1"/>
    <col min="6" max="6" width="14.7109375" style="41" customWidth="1"/>
    <col min="7" max="7" width="15.5703125" style="41" customWidth="1"/>
    <col min="8" max="8" width="9.140625" style="41"/>
    <col min="9" max="9" width="13.85546875" style="41" bestFit="1" customWidth="1"/>
    <col min="10" max="1016" width="9.140625" style="41"/>
    <col min="1017" max="16384" width="9.140625" style="42"/>
  </cols>
  <sheetData>
    <row r="1" spans="1:7" ht="18" customHeight="1" thickBot="1">
      <c r="A1" s="115" t="s">
        <v>14</v>
      </c>
      <c r="B1" s="115"/>
      <c r="C1" s="115"/>
      <c r="D1" s="115"/>
      <c r="E1" s="115"/>
      <c r="F1" s="40" t="s">
        <v>15</v>
      </c>
      <c r="G1" s="82" t="s">
        <v>129</v>
      </c>
    </row>
    <row r="2" spans="1:7" ht="18.75" customHeight="1" thickBot="1">
      <c r="A2" s="43"/>
      <c r="B2" s="43"/>
      <c r="C2" s="43"/>
      <c r="D2" s="44"/>
      <c r="E2" s="44"/>
      <c r="F2" s="44"/>
      <c r="G2" s="44"/>
    </row>
    <row r="3" spans="1:7" ht="18.75" customHeight="1" thickBot="1">
      <c r="A3" s="116" t="s">
        <v>49</v>
      </c>
      <c r="B3" s="116"/>
      <c r="C3" s="116"/>
      <c r="D3" s="118" t="str">
        <f>'[1]Necesidades Trimestrales'!C4</f>
        <v>040 - Ministerio de Salud</v>
      </c>
      <c r="E3" s="119"/>
      <c r="F3" s="119"/>
      <c r="G3" s="120"/>
    </row>
    <row r="4" spans="1:7" ht="18.75" customHeight="1" thickBot="1">
      <c r="A4" s="117" t="s">
        <v>50</v>
      </c>
      <c r="B4" s="117"/>
      <c r="C4" s="117"/>
      <c r="D4" s="109" t="str">
        <f>'[1]Necesidades Trimestrales'!C5</f>
        <v>024 - Hospital Interzonal de Niños</v>
      </c>
      <c r="E4" s="109"/>
      <c r="F4" s="109"/>
      <c r="G4" s="109"/>
    </row>
    <row r="5" spans="1:7" ht="18.75" customHeight="1" thickBot="1">
      <c r="A5" s="117" t="s">
        <v>28</v>
      </c>
      <c r="B5" s="117"/>
      <c r="C5" s="117"/>
      <c r="D5" s="109" t="s">
        <v>52</v>
      </c>
      <c r="E5" s="109"/>
      <c r="F5" s="109"/>
      <c r="G5" s="109"/>
    </row>
    <row r="6" spans="1:7" ht="16.5" customHeight="1" thickBot="1">
      <c r="A6" s="116" t="s">
        <v>51</v>
      </c>
      <c r="B6" s="116"/>
      <c r="C6" s="116"/>
      <c r="D6" s="109" t="s">
        <v>122</v>
      </c>
      <c r="E6" s="109"/>
      <c r="F6" s="109"/>
      <c r="G6" s="109"/>
    </row>
    <row r="7" spans="1:7" ht="16.5" customHeight="1" thickBot="1">
      <c r="A7" s="117" t="s">
        <v>16</v>
      </c>
      <c r="B7" s="117"/>
      <c r="C7" s="117"/>
      <c r="D7" s="109" t="str">
        <f>'[1]Necesidades Trimestrales'!C7 &amp; "° Trimestre - Año " &amp; '[1]Necesidades Trimestrales'!C6</f>
        <v>4° Trimestre - Año 2020</v>
      </c>
      <c r="E7" s="109"/>
      <c r="F7" s="109"/>
      <c r="G7" s="109"/>
    </row>
    <row r="8" spans="1:7" ht="16.5" customHeight="1" thickBot="1">
      <c r="A8" s="111" t="s">
        <v>17</v>
      </c>
      <c r="B8" s="111"/>
      <c r="C8" s="111"/>
      <c r="D8" s="110" t="s">
        <v>123</v>
      </c>
      <c r="E8" s="110"/>
      <c r="F8" s="110"/>
      <c r="G8" s="110"/>
    </row>
    <row r="9" spans="1:7" ht="16.5" thickBot="1">
      <c r="A9" s="45"/>
      <c r="B9" s="45"/>
      <c r="C9" s="45"/>
      <c r="D9" s="46"/>
      <c r="E9" s="46"/>
      <c r="F9" s="46"/>
      <c r="G9" s="46"/>
    </row>
    <row r="10" spans="1:7" ht="18.75" customHeight="1" thickBot="1">
      <c r="A10" s="112" t="s">
        <v>18</v>
      </c>
      <c r="B10" s="113" t="s">
        <v>19</v>
      </c>
      <c r="C10" s="113" t="s">
        <v>20</v>
      </c>
      <c r="D10" s="113" t="s">
        <v>21</v>
      </c>
      <c r="E10" s="113" t="s">
        <v>22</v>
      </c>
      <c r="F10" s="113" t="s">
        <v>23</v>
      </c>
      <c r="G10" s="114" t="s">
        <v>24</v>
      </c>
    </row>
    <row r="11" spans="1:7" ht="24" customHeight="1" thickBot="1">
      <c r="A11" s="112"/>
      <c r="B11" s="113"/>
      <c r="C11" s="113"/>
      <c r="D11" s="113"/>
      <c r="E11" s="113"/>
      <c r="F11" s="113"/>
      <c r="G11" s="114"/>
    </row>
    <row r="12" spans="1:7" ht="27.75" customHeight="1" thickBot="1">
      <c r="A12" s="47">
        <v>1</v>
      </c>
      <c r="B12" s="48">
        <v>252</v>
      </c>
      <c r="C12" s="48" t="str">
        <f>'Necesidades Trimestrales'!D10</f>
        <v>ALBUMINA 20% X 50 ML</v>
      </c>
      <c r="D12" s="49" t="s">
        <v>55</v>
      </c>
      <c r="E12" s="50" t="str">
        <f>'Necesidades Trimestrales'!E10</f>
        <v>UNIDAD</v>
      </c>
      <c r="F12" s="51">
        <f>'Necesidades Trimestrales'!G10</f>
        <v>30</v>
      </c>
      <c r="G12" s="52">
        <f>'Necesidades Trimestrales'!F10</f>
        <v>6000</v>
      </c>
    </row>
    <row r="13" spans="1:7" ht="20.25" customHeight="1" thickBot="1">
      <c r="A13" s="47">
        <v>2</v>
      </c>
      <c r="B13" s="53">
        <f>'Necesidades Trimestrales'!B11</f>
        <v>251</v>
      </c>
      <c r="C13" s="48" t="str">
        <f>'Necesidades Trimestrales'!D11</f>
        <v>AGUA DESTILADA AMPOLLAS</v>
      </c>
      <c r="D13" s="54" t="s">
        <v>55</v>
      </c>
      <c r="E13" s="55" t="str">
        <f>'Necesidades Trimestrales'!E11</f>
        <v>UNIDAD</v>
      </c>
      <c r="F13" s="51">
        <f>'Necesidades Trimestrales'!G11</f>
        <v>68</v>
      </c>
      <c r="G13" s="52">
        <f>'Necesidades Trimestrales'!F11</f>
        <v>2000</v>
      </c>
    </row>
    <row r="14" spans="1:7" ht="20.25" customHeight="1" thickBot="1">
      <c r="A14" s="47">
        <v>3</v>
      </c>
      <c r="B14" s="53">
        <f>'Necesidades Trimestrales'!B12</f>
        <v>251</v>
      </c>
      <c r="C14" s="48" t="str">
        <f>'Necesidades Trimestrales'!D12</f>
        <v>AGUA DESTILADA SACHET X 500 ML</v>
      </c>
      <c r="D14" s="54" t="s">
        <v>55</v>
      </c>
      <c r="E14" s="55" t="str">
        <f>'Necesidades Trimestrales'!E12</f>
        <v>UNIDAD</v>
      </c>
      <c r="F14" s="51">
        <f>'Necesidades Trimestrales'!G12</f>
        <v>65.099999999999994</v>
      </c>
      <c r="G14" s="52">
        <f>'Necesidades Trimestrales'!F12</f>
        <v>6000</v>
      </c>
    </row>
    <row r="15" spans="1:7" ht="20.25" customHeight="1" thickBot="1">
      <c r="A15" s="47">
        <v>4</v>
      </c>
      <c r="B15" s="53">
        <v>252</v>
      </c>
      <c r="C15" s="48" t="str">
        <f>'Necesidades Trimestrales'!D13</f>
        <v>AMOXICILINA 500 MG JARABE</v>
      </c>
      <c r="D15" s="54" t="s">
        <v>55</v>
      </c>
      <c r="E15" s="55" t="str">
        <f>'Necesidades Trimestrales'!E13</f>
        <v>UNIDAD</v>
      </c>
      <c r="F15" s="51">
        <f>'Necesidades Trimestrales'!G13</f>
        <v>198</v>
      </c>
      <c r="G15" s="52">
        <f>'Necesidades Trimestrales'!F13</f>
        <v>200</v>
      </c>
    </row>
    <row r="16" spans="1:7" ht="20.25" customHeight="1" thickBot="1">
      <c r="A16" s="47">
        <v>5</v>
      </c>
      <c r="B16" s="53">
        <f>'Necesidades Trimestrales'!B14</f>
        <v>252</v>
      </c>
      <c r="C16" s="48" t="str">
        <f>'Necesidades Trimestrales'!D14</f>
        <v>AMPICILINA + SULBACTAM 1,5 MG FCO AMPOLLA</v>
      </c>
      <c r="D16" s="54" t="s">
        <v>55</v>
      </c>
      <c r="E16" s="55" t="str">
        <f>'Necesidades Trimestrales'!E14</f>
        <v>UNIDAD</v>
      </c>
      <c r="F16" s="51">
        <f>'Necesidades Trimestrales'!G14</f>
        <v>65</v>
      </c>
      <c r="G16" s="52">
        <f>'Necesidades Trimestrales'!F14</f>
        <v>300</v>
      </c>
    </row>
    <row r="17" spans="1:7" ht="20.25" customHeight="1" thickBot="1">
      <c r="A17" s="47">
        <v>6</v>
      </c>
      <c r="B17" s="53">
        <f>'Necesidades Trimestrales'!B15</f>
        <v>252</v>
      </c>
      <c r="C17" s="48" t="str">
        <f>'Necesidades Trimestrales'!D15</f>
        <v>AMPICILINA 1G FCO AMPOLLA</v>
      </c>
      <c r="D17" s="54" t="s">
        <v>55</v>
      </c>
      <c r="E17" s="55" t="str">
        <f>'Necesidades Trimestrales'!E15</f>
        <v>UNIDAD</v>
      </c>
      <c r="F17" s="51">
        <f>'Necesidades Trimestrales'!G15</f>
        <v>358</v>
      </c>
      <c r="G17" s="52">
        <f>'Necesidades Trimestrales'!F15</f>
        <v>300</v>
      </c>
    </row>
    <row r="18" spans="1:7" ht="20.25" customHeight="1" thickBot="1">
      <c r="A18" s="47">
        <v>7</v>
      </c>
      <c r="B18" s="53">
        <f>'Necesidades Trimestrales'!B16</f>
        <v>252</v>
      </c>
      <c r="C18" s="48" t="str">
        <f>'Necesidades Trimestrales'!D16</f>
        <v>BICARBONATO 1 MOLAR SACHET X 100 ML</v>
      </c>
      <c r="D18" s="54" t="s">
        <v>55</v>
      </c>
      <c r="E18" s="55" t="str">
        <f>'Necesidades Trimestrales'!E16</f>
        <v>UNIDAD</v>
      </c>
      <c r="F18" s="51">
        <f>'Necesidades Trimestrales'!G16</f>
        <v>50</v>
      </c>
      <c r="G18" s="52">
        <f>'Necesidades Trimestrales'!F16</f>
        <v>500</v>
      </c>
    </row>
    <row r="19" spans="1:7" ht="20.25" customHeight="1" thickBot="1">
      <c r="A19" s="47">
        <v>8</v>
      </c>
      <c r="B19" s="53">
        <f>'Necesidades Trimestrales'!B17</f>
        <v>252</v>
      </c>
      <c r="C19" s="48" t="str">
        <f>'Necesidades Trimestrales'!D17</f>
        <v>CLORURO DE POTASIO 223 MG/ML AMPOLLA</v>
      </c>
      <c r="D19" s="54" t="s">
        <v>55</v>
      </c>
      <c r="E19" s="55" t="str">
        <f>'Necesidades Trimestrales'!E17</f>
        <v>UNIDAD</v>
      </c>
      <c r="F19" s="51">
        <f>'Necesidades Trimestrales'!G17</f>
        <v>132.5</v>
      </c>
      <c r="G19" s="52">
        <f>'Necesidades Trimestrales'!F17</f>
        <v>200</v>
      </c>
    </row>
    <row r="20" spans="1:7" ht="20.25" customHeight="1" thickBot="1">
      <c r="A20" s="47">
        <v>9</v>
      </c>
      <c r="B20" s="53">
        <f>'Necesidades Trimestrales'!B18</f>
        <v>252</v>
      </c>
      <c r="C20" s="48" t="str">
        <f>'Necesidades Trimestrales'!D18</f>
        <v>CLORURO DE SODIO AL 20% AMPOLLAS</v>
      </c>
      <c r="D20" s="54" t="s">
        <v>55</v>
      </c>
      <c r="E20" s="55" t="str">
        <f>'Necesidades Trimestrales'!E18</f>
        <v>UNIDAD</v>
      </c>
      <c r="F20" s="51">
        <f>'Necesidades Trimestrales'!G18</f>
        <v>45</v>
      </c>
      <c r="G20" s="52">
        <f>'Necesidades Trimestrales'!F18</f>
        <v>2000</v>
      </c>
    </row>
    <row r="21" spans="1:7" ht="20.25" customHeight="1" thickBot="1">
      <c r="A21" s="47">
        <v>10</v>
      </c>
      <c r="B21" s="53">
        <f>'Necesidades Trimestrales'!B19</f>
        <v>252</v>
      </c>
      <c r="C21" s="48" t="str">
        <f>'Necesidades Trimestrales'!D19</f>
        <v>DEXAMETASONA 8 MG. AMPOLLA</v>
      </c>
      <c r="D21" s="54" t="s">
        <v>55</v>
      </c>
      <c r="E21" s="55" t="str">
        <f>'Necesidades Trimestrales'!E19</f>
        <v>UNIDAD</v>
      </c>
      <c r="F21" s="51">
        <f>'Necesidades Trimestrales'!G19</f>
        <v>82</v>
      </c>
      <c r="G21" s="52">
        <f>'Necesidades Trimestrales'!F19</f>
        <v>6000</v>
      </c>
    </row>
    <row r="22" spans="1:7" ht="20.25" customHeight="1" thickBot="1">
      <c r="A22" s="47">
        <v>11</v>
      </c>
      <c r="B22" s="53">
        <f>'Necesidades Trimestrales'!B20</f>
        <v>252</v>
      </c>
      <c r="C22" s="48" t="str">
        <f>'Necesidades Trimestrales'!D20</f>
        <v xml:space="preserve">DICLOFENAC 75 MG. AMPOLLA </v>
      </c>
      <c r="D22" s="54" t="s">
        <v>55</v>
      </c>
      <c r="E22" s="55" t="str">
        <f>'Necesidades Trimestrales'!E20</f>
        <v>UNIDAD</v>
      </c>
      <c r="F22" s="51">
        <f>'Necesidades Trimestrales'!G20</f>
        <v>220</v>
      </c>
      <c r="G22" s="52">
        <f>'Necesidades Trimestrales'!F20</f>
        <v>150</v>
      </c>
    </row>
    <row r="23" spans="1:7" ht="20.25" customHeight="1" thickBot="1">
      <c r="A23" s="47">
        <v>12</v>
      </c>
      <c r="B23" s="53">
        <f>'Necesidades Trimestrales'!B21</f>
        <v>252</v>
      </c>
      <c r="C23" s="48" t="str">
        <f>'Necesidades Trimestrales'!D21</f>
        <v>ENOXAPARINA 40 MG AMPOLLA PRELLENA</v>
      </c>
      <c r="D23" s="54" t="s">
        <v>55</v>
      </c>
      <c r="E23" s="55" t="str">
        <f>'Necesidades Trimestrales'!E21</f>
        <v>UNIDAD</v>
      </c>
      <c r="F23" s="51">
        <f>'Necesidades Trimestrales'!G21</f>
        <v>43</v>
      </c>
      <c r="G23" s="52">
        <f>'Necesidades Trimestrales'!F21</f>
        <v>3000</v>
      </c>
    </row>
    <row r="24" spans="1:7" ht="20.25" customHeight="1" thickBot="1">
      <c r="A24" s="47">
        <v>13</v>
      </c>
      <c r="B24" s="53">
        <f>'Necesidades Trimestrales'!B22</f>
        <v>252</v>
      </c>
      <c r="C24" s="48" t="str">
        <f>'Necesidades Trimestrales'!D22</f>
        <v>FENOBARBITAL 100 MG. AMPOLLAS</v>
      </c>
      <c r="D24" s="54" t="s">
        <v>55</v>
      </c>
      <c r="E24" s="55" t="str">
        <f>'Necesidades Trimestrales'!E22</f>
        <v>UNIDAD</v>
      </c>
      <c r="F24" s="51">
        <f>'Necesidades Trimestrales'!G22</f>
        <v>79</v>
      </c>
      <c r="G24" s="52">
        <f>'Necesidades Trimestrales'!F22</f>
        <v>5000</v>
      </c>
    </row>
    <row r="25" spans="1:7" ht="20.25" customHeight="1" thickBot="1">
      <c r="A25" s="47">
        <v>14</v>
      </c>
      <c r="B25" s="53">
        <f>'Necesidades Trimestrales'!B23</f>
        <v>252</v>
      </c>
      <c r="C25" s="48" t="str">
        <f>'Necesidades Trimestrales'!D23</f>
        <v>FENTANILO 250 MCG INYECTABLE</v>
      </c>
      <c r="D25" s="54" t="s">
        <v>55</v>
      </c>
      <c r="E25" s="55" t="str">
        <f>'Necesidades Trimestrales'!E23</f>
        <v>UNIDAD</v>
      </c>
      <c r="F25" s="51">
        <f>'Necesidades Trimestrales'!G23</f>
        <v>64</v>
      </c>
      <c r="G25" s="52">
        <f>'Necesidades Trimestrales'!F23</f>
        <v>2000</v>
      </c>
    </row>
    <row r="26" spans="1:7" ht="20.25" customHeight="1" thickBot="1">
      <c r="A26" s="47">
        <v>15</v>
      </c>
      <c r="B26" s="53">
        <f>'Necesidades Trimestrales'!B24</f>
        <v>252</v>
      </c>
      <c r="C26" s="48" t="str">
        <f>'Necesidades Trimestrales'!D24</f>
        <v>GENTAMICINA 80 MG AMPOLLA</v>
      </c>
      <c r="D26" s="54" t="s">
        <v>55</v>
      </c>
      <c r="E26" s="55" t="str">
        <f>'Necesidades Trimestrales'!E24</f>
        <v>UNIDAD</v>
      </c>
      <c r="F26" s="51">
        <f>'Necesidades Trimestrales'!G24</f>
        <v>102</v>
      </c>
      <c r="G26" s="52">
        <f>'Necesidades Trimestrales'!F24</f>
        <v>150</v>
      </c>
    </row>
    <row r="27" spans="1:7" ht="20.25" customHeight="1" thickBot="1">
      <c r="A27" s="47">
        <v>16</v>
      </c>
      <c r="B27" s="53">
        <f>'Necesidades Trimestrales'!B25</f>
        <v>252</v>
      </c>
      <c r="C27" s="48" t="str">
        <f>'Necesidades Trimestrales'!D25</f>
        <v>GLUCONATO DE CALCIO 10%  AMPOLLA</v>
      </c>
      <c r="D27" s="54" t="s">
        <v>55</v>
      </c>
      <c r="E27" s="55" t="str">
        <f>'Necesidades Trimestrales'!E25</f>
        <v>UNIDAD</v>
      </c>
      <c r="F27" s="51">
        <f>'Necesidades Trimestrales'!G25</f>
        <v>94</v>
      </c>
      <c r="G27" s="52">
        <f>'Necesidades Trimestrales'!F25</f>
        <v>300</v>
      </c>
    </row>
    <row r="28" spans="1:7" ht="20.25" customHeight="1" thickBot="1">
      <c r="A28" s="47">
        <v>17</v>
      </c>
      <c r="B28" s="53">
        <f>'Necesidades Trimestrales'!B26</f>
        <v>252</v>
      </c>
      <c r="C28" s="48" t="str">
        <f>'Necesidades Trimestrales'!D26</f>
        <v>HEPARINA SODICA 5000 UI FCO AMPOLLA</v>
      </c>
      <c r="D28" s="54" t="s">
        <v>55</v>
      </c>
      <c r="E28" s="55" t="str">
        <f>'Necesidades Trimestrales'!E26</f>
        <v>UNIDAD</v>
      </c>
      <c r="F28" s="51">
        <f>'Necesidades Trimestrales'!G26</f>
        <v>315</v>
      </c>
      <c r="G28" s="52">
        <f>'Necesidades Trimestrales'!F26</f>
        <v>2000</v>
      </c>
    </row>
    <row r="29" spans="1:7" ht="20.25" customHeight="1" thickBot="1">
      <c r="A29" s="47">
        <v>18</v>
      </c>
      <c r="B29" s="53">
        <f>'Necesidades Trimestrales'!B27</f>
        <v>252</v>
      </c>
      <c r="C29" s="48" t="str">
        <f>'Necesidades Trimestrales'!D27</f>
        <v>HIDROCORTISONA 500 MG FCO AMPOLLA</v>
      </c>
      <c r="D29" s="54" t="s">
        <v>55</v>
      </c>
      <c r="E29" s="55" t="str">
        <f>'Necesidades Trimestrales'!E27</f>
        <v>UNIDAD</v>
      </c>
      <c r="F29" s="51">
        <f>'Necesidades Trimestrales'!G27</f>
        <v>299</v>
      </c>
      <c r="G29" s="52">
        <f>'Necesidades Trimestrales'!F27</f>
        <v>1000</v>
      </c>
    </row>
    <row r="30" spans="1:7" ht="20.25" customHeight="1" thickBot="1">
      <c r="A30" s="47">
        <v>19</v>
      </c>
      <c r="B30" s="53">
        <f>'Necesidades Trimestrales'!B28</f>
        <v>252</v>
      </c>
      <c r="C30" s="48" t="str">
        <f>'Necesidades Trimestrales'!D28</f>
        <v>HIDROCORTIZONA 100 MG FCO AMPOLLA</v>
      </c>
      <c r="D30" s="54" t="s">
        <v>55</v>
      </c>
      <c r="E30" s="55" t="str">
        <f>'Necesidades Trimestrales'!E28</f>
        <v>UNIDAD</v>
      </c>
      <c r="F30" s="51">
        <f>'Necesidades Trimestrales'!G28</f>
        <v>125</v>
      </c>
      <c r="G30" s="52">
        <f>'Necesidades Trimestrales'!F28</f>
        <v>1000</v>
      </c>
    </row>
    <row r="31" spans="1:7" ht="20.25" customHeight="1" thickBot="1">
      <c r="A31" s="47">
        <v>20</v>
      </c>
      <c r="B31" s="53">
        <f>'Necesidades Trimestrales'!B29</f>
        <v>252</v>
      </c>
      <c r="C31" s="48" t="str">
        <f>'Necesidades Trimestrales'!D29</f>
        <v>LIDOCAINA SIN EPINEFRINA FCO X 5ML</v>
      </c>
      <c r="D31" s="54" t="s">
        <v>55</v>
      </c>
      <c r="E31" s="55" t="str">
        <f>'Necesidades Trimestrales'!E29</f>
        <v>UNIDAD</v>
      </c>
      <c r="F31" s="51">
        <f>'Necesidades Trimestrales'!G29</f>
        <v>250</v>
      </c>
      <c r="G31" s="52">
        <f>'Necesidades Trimestrales'!F29</f>
        <v>1000</v>
      </c>
    </row>
    <row r="32" spans="1:7" ht="20.25" customHeight="1" thickBot="1">
      <c r="A32" s="47">
        <v>21</v>
      </c>
      <c r="B32" s="53">
        <f>'Necesidades Trimestrales'!B30</f>
        <v>252</v>
      </c>
      <c r="C32" s="48" t="str">
        <f>'Necesidades Trimestrales'!D30</f>
        <v>METRONIDAZOL 500 MG SACHET</v>
      </c>
      <c r="D32" s="54" t="s">
        <v>55</v>
      </c>
      <c r="E32" s="55" t="str">
        <f>'Necesidades Trimestrales'!E30</f>
        <v>UNIDAD</v>
      </c>
      <c r="F32" s="51">
        <f>'Necesidades Trimestrales'!G30</f>
        <v>980</v>
      </c>
      <c r="G32" s="52">
        <f>'Necesidades Trimestrales'!F30</f>
        <v>40</v>
      </c>
    </row>
    <row r="33" spans="1:7" ht="20.25" customHeight="1" thickBot="1">
      <c r="A33" s="47">
        <v>22</v>
      </c>
      <c r="B33" s="53">
        <f>'Necesidades Trimestrales'!B31</f>
        <v>252</v>
      </c>
      <c r="C33" s="48" t="str">
        <f>'Necesidades Trimestrales'!D31</f>
        <v>MIDAZOLAM 15 MG AMPOLLA</v>
      </c>
      <c r="D33" s="54" t="s">
        <v>55</v>
      </c>
      <c r="E33" s="55" t="str">
        <f>'Necesidades Trimestrales'!E31</f>
        <v>UNIDAD</v>
      </c>
      <c r="F33" s="51">
        <f>'Necesidades Trimestrales'!G31</f>
        <v>3800</v>
      </c>
      <c r="G33" s="52">
        <f>'Necesidades Trimestrales'!F31</f>
        <v>10</v>
      </c>
    </row>
    <row r="34" spans="1:7" ht="20.25" customHeight="1" thickBot="1">
      <c r="A34" s="47">
        <v>23</v>
      </c>
      <c r="B34" s="53">
        <f>'Necesidades Trimestrales'!B32</f>
        <v>252</v>
      </c>
      <c r="C34" s="48" t="str">
        <f>'Necesidades Trimestrales'!D32</f>
        <v>PARACETAMOL 100 ML FRASCO</v>
      </c>
      <c r="D34" s="54" t="s">
        <v>55</v>
      </c>
      <c r="E34" s="55" t="str">
        <f>'Necesidades Trimestrales'!E32</f>
        <v>UNIDAD</v>
      </c>
      <c r="F34" s="51">
        <f>'Necesidades Trimestrales'!G32</f>
        <v>580</v>
      </c>
      <c r="G34" s="52">
        <f>'Necesidades Trimestrales'!F32</f>
        <v>30</v>
      </c>
    </row>
    <row r="35" spans="1:7" ht="20.25" customHeight="1" thickBot="1">
      <c r="A35" s="47">
        <v>24</v>
      </c>
      <c r="B35" s="53">
        <f>'Necesidades Trimestrales'!B33</f>
        <v>252</v>
      </c>
      <c r="C35" s="48" t="str">
        <f>'Necesidades Trimestrales'!D33</f>
        <v>PROPOFOL 2% X 20 ML</v>
      </c>
      <c r="D35" s="54" t="s">
        <v>55</v>
      </c>
      <c r="E35" s="55" t="str">
        <f>'Necesidades Trimestrales'!E33</f>
        <v>UNIDAD</v>
      </c>
      <c r="F35" s="51">
        <f>'Necesidades Trimestrales'!G33</f>
        <v>381</v>
      </c>
      <c r="G35" s="52">
        <f>'Necesidades Trimestrales'!F33</f>
        <v>100</v>
      </c>
    </row>
    <row r="36" spans="1:7" ht="20.25" customHeight="1" thickBot="1">
      <c r="A36" s="47">
        <v>25</v>
      </c>
      <c r="B36" s="53">
        <f>'Necesidades Trimestrales'!B34</f>
        <v>252</v>
      </c>
      <c r="C36" s="48" t="str">
        <f>'Necesidades Trimestrales'!D34</f>
        <v>RANITIDINA 50 MG AMPOLLA</v>
      </c>
      <c r="D36" s="54" t="s">
        <v>55</v>
      </c>
      <c r="E36" s="55" t="str">
        <f>'Necesidades Trimestrales'!E34</f>
        <v>UNIDAD</v>
      </c>
      <c r="F36" s="51">
        <f>'Necesidades Trimestrales'!G34</f>
        <v>450</v>
      </c>
      <c r="G36" s="52">
        <f>'Necesidades Trimestrales'!F34</f>
        <v>200</v>
      </c>
    </row>
    <row r="37" spans="1:7" ht="20.25" customHeight="1" thickBot="1">
      <c r="A37" s="47">
        <v>26</v>
      </c>
      <c r="B37" s="53">
        <f>'Necesidades Trimestrales'!B35</f>
        <v>252</v>
      </c>
      <c r="C37" s="48" t="str">
        <f>'Necesidades Trimestrales'!D35</f>
        <v>SEVOFLUORANO X 250 ML TIPO ABBOTT</v>
      </c>
      <c r="D37" s="54" t="s">
        <v>55</v>
      </c>
      <c r="E37" s="55" t="str">
        <f>'Necesidades Trimestrales'!E35</f>
        <v>UNIDAD</v>
      </c>
      <c r="F37" s="51">
        <f>'Necesidades Trimestrales'!G35</f>
        <v>2600</v>
      </c>
      <c r="G37" s="52">
        <f>'Necesidades Trimestrales'!F35</f>
        <v>20</v>
      </c>
    </row>
    <row r="38" spans="1:7" ht="20.25" customHeight="1" thickBot="1">
      <c r="A38" s="47">
        <v>27</v>
      </c>
      <c r="B38" s="53">
        <f>'Necesidades Trimestrales'!B36</f>
        <v>252</v>
      </c>
      <c r="C38" s="48" t="str">
        <f>'Necesidades Trimestrales'!D36</f>
        <v>ALPRAZOLAM 1MG. COMP</v>
      </c>
      <c r="D38" s="54" t="s">
        <v>55</v>
      </c>
      <c r="E38" s="55" t="str">
        <f>'Necesidades Trimestrales'!E36</f>
        <v>UNIDAD</v>
      </c>
      <c r="F38" s="51">
        <f>'Necesidades Trimestrales'!G36</f>
        <v>4.75</v>
      </c>
      <c r="G38" s="52">
        <f>'Necesidades Trimestrales'!F36</f>
        <v>200</v>
      </c>
    </row>
    <row r="39" spans="1:7" ht="20.25" customHeight="1" thickBot="1">
      <c r="A39" s="47">
        <v>28</v>
      </c>
      <c r="B39" s="53">
        <f>'Necesidades Trimestrales'!B37</f>
        <v>252</v>
      </c>
      <c r="C39" s="48" t="str">
        <f>'Necesidades Trimestrales'!D37</f>
        <v>CLONAZEPAM 1MG COMP</v>
      </c>
      <c r="D39" s="54" t="s">
        <v>55</v>
      </c>
      <c r="E39" s="55" t="str">
        <f>'Necesidades Trimestrales'!E37</f>
        <v>UNIDAD</v>
      </c>
      <c r="F39" s="51">
        <f>'Necesidades Trimestrales'!G37</f>
        <v>9.9700000000000006</v>
      </c>
      <c r="G39" s="52">
        <f>'Necesidades Trimestrales'!F37</f>
        <v>200</v>
      </c>
    </row>
    <row r="40" spans="1:7" ht="20.25" customHeight="1" thickBot="1">
      <c r="A40" s="47">
        <v>29</v>
      </c>
      <c r="B40" s="53">
        <f>'Necesidades Trimestrales'!B38</f>
        <v>252</v>
      </c>
      <c r="C40" s="48" t="str">
        <f>'Necesidades Trimestrales'!D38</f>
        <v>CLONAZEPAM 2MG COMP</v>
      </c>
      <c r="D40" s="54" t="s">
        <v>55</v>
      </c>
      <c r="E40" s="55" t="str">
        <f>'Necesidades Trimestrales'!E38</f>
        <v>UNIDAD</v>
      </c>
      <c r="F40" s="51">
        <f>'Necesidades Trimestrales'!G38</f>
        <v>4.9800000000000004</v>
      </c>
      <c r="G40" s="52">
        <f>'Necesidades Trimestrales'!F38</f>
        <v>200</v>
      </c>
    </row>
    <row r="41" spans="1:7" ht="20.25" customHeight="1" thickBot="1">
      <c r="A41" s="47">
        <v>30</v>
      </c>
      <c r="B41" s="53">
        <f>'Necesidades Trimestrales'!B39</f>
        <v>252</v>
      </c>
      <c r="C41" s="48" t="str">
        <f>'Necesidades Trimestrales'!D39</f>
        <v>DIAZEPAN 10MG COMP</v>
      </c>
      <c r="D41" s="54" t="s">
        <v>55</v>
      </c>
      <c r="E41" s="55" t="str">
        <f>'Necesidades Trimestrales'!E39</f>
        <v>UNIDAD</v>
      </c>
      <c r="F41" s="51">
        <f>'Necesidades Trimestrales'!G39</f>
        <v>6.46</v>
      </c>
      <c r="G41" s="52">
        <f>'Necesidades Trimestrales'!F39</f>
        <v>300</v>
      </c>
    </row>
    <row r="42" spans="1:7" ht="20.25" customHeight="1" thickBot="1">
      <c r="A42" s="47">
        <v>31</v>
      </c>
      <c r="B42" s="53">
        <f>'Necesidades Trimestrales'!B40</f>
        <v>252</v>
      </c>
      <c r="C42" s="48" t="str">
        <f>'Necesidades Trimestrales'!D40</f>
        <v>DIAZEPAN 5MG COMP</v>
      </c>
      <c r="D42" s="54" t="s">
        <v>55</v>
      </c>
      <c r="E42" s="55" t="str">
        <f>'Necesidades Trimestrales'!E40</f>
        <v>UNIDAD</v>
      </c>
      <c r="F42" s="51">
        <f>'Necesidades Trimestrales'!G40</f>
        <v>8.15</v>
      </c>
      <c r="G42" s="52">
        <f>'Necesidades Trimestrales'!F40</f>
        <v>300</v>
      </c>
    </row>
    <row r="43" spans="1:7" ht="20.25" customHeight="1" thickBot="1">
      <c r="A43" s="47">
        <v>32</v>
      </c>
      <c r="B43" s="53">
        <f>'Necesidades Trimestrales'!B41</f>
        <v>252</v>
      </c>
      <c r="C43" s="48" t="str">
        <f>'Necesidades Trimestrales'!D41</f>
        <v>PREGABALINA 75 MG COMP</v>
      </c>
      <c r="D43" s="54" t="s">
        <v>55</v>
      </c>
      <c r="E43" s="55" t="str">
        <f>'Necesidades Trimestrales'!E41</f>
        <v>UNIDAD</v>
      </c>
      <c r="F43" s="51">
        <f>'Necesidades Trimestrales'!G41</f>
        <v>27.54</v>
      </c>
      <c r="G43" s="52">
        <f>'Necesidades Trimestrales'!F41</f>
        <v>150</v>
      </c>
    </row>
    <row r="44" spans="1:7" ht="20.25" customHeight="1" thickBot="1">
      <c r="A44" s="47">
        <v>33</v>
      </c>
      <c r="B44" s="53">
        <f>'Necesidades Trimestrales'!B42</f>
        <v>252</v>
      </c>
      <c r="C44" s="48" t="str">
        <f>'Necesidades Trimestrales'!D42</f>
        <v>VALPROATO DE MAGNESIO 400MG COMP</v>
      </c>
      <c r="D44" s="54" t="s">
        <v>55</v>
      </c>
      <c r="E44" s="55" t="str">
        <f>'Necesidades Trimestrales'!E42</f>
        <v>UNIDAD</v>
      </c>
      <c r="F44" s="51">
        <f>'Necesidades Trimestrales'!G42</f>
        <v>94.65</v>
      </c>
      <c r="G44" s="52">
        <f>'Necesidades Trimestrales'!F42</f>
        <v>120</v>
      </c>
    </row>
    <row r="45" spans="1:7" ht="20.25" customHeight="1" thickBot="1">
      <c r="A45" s="47">
        <v>34</v>
      </c>
      <c r="B45" s="53">
        <f>'Necesidades Trimestrales'!B43</f>
        <v>252</v>
      </c>
      <c r="C45" s="48" t="str">
        <f>'Necesidades Trimestrales'!D43</f>
        <v xml:space="preserve">ALUM, HIDR +MG.HIDR SUSP X 175 ML </v>
      </c>
      <c r="D45" s="54" t="s">
        <v>55</v>
      </c>
      <c r="E45" s="55" t="str">
        <f>'Necesidades Trimestrales'!E43</f>
        <v>UNIDAD</v>
      </c>
      <c r="F45" s="51">
        <f>'Necesidades Trimestrales'!G43</f>
        <v>700.76</v>
      </c>
      <c r="G45" s="52">
        <f>'Necesidades Trimestrales'!F43</f>
        <v>100</v>
      </c>
    </row>
    <row r="46" spans="1:7" ht="20.25" customHeight="1" thickBot="1">
      <c r="A46" s="47">
        <v>35</v>
      </c>
      <c r="B46" s="53">
        <f>'Necesidades Trimestrales'!B44</f>
        <v>252</v>
      </c>
      <c r="C46" s="48" t="str">
        <f>'Necesidades Trimestrales'!D44</f>
        <v>BACLOFENO 10 MG COMP</v>
      </c>
      <c r="D46" s="54" t="s">
        <v>55</v>
      </c>
      <c r="E46" s="55" t="str">
        <f>'Necesidades Trimestrales'!E44</f>
        <v>UNIDAD</v>
      </c>
      <c r="F46" s="51">
        <f>'Necesidades Trimestrales'!G44</f>
        <v>7.2</v>
      </c>
      <c r="G46" s="52">
        <f>'Necesidades Trimestrales'!F44</f>
        <v>500</v>
      </c>
    </row>
    <row r="47" spans="1:7" ht="20.25" customHeight="1" thickBot="1">
      <c r="A47" s="47">
        <v>36</v>
      </c>
      <c r="B47" s="53">
        <f>'Necesidades Trimestrales'!B45</f>
        <v>252</v>
      </c>
      <c r="C47" s="48" t="str">
        <f>'Necesidades Trimestrales'!D45</f>
        <v>BUDESONIDE AEROSOL X 200 DOSIS</v>
      </c>
      <c r="D47" s="54" t="s">
        <v>55</v>
      </c>
      <c r="E47" s="55" t="str">
        <f>'Necesidades Trimestrales'!E45</f>
        <v>UNIDAD</v>
      </c>
      <c r="F47" s="51">
        <f>'Necesidades Trimestrales'!G45</f>
        <v>740</v>
      </c>
      <c r="G47" s="52">
        <f>'Necesidades Trimestrales'!F45</f>
        <v>50</v>
      </c>
    </row>
    <row r="48" spans="1:7" ht="20.25" customHeight="1" thickBot="1">
      <c r="A48" s="47">
        <v>37</v>
      </c>
      <c r="B48" s="53">
        <f>'Necesidades Trimestrales'!B46</f>
        <v>252</v>
      </c>
      <c r="C48" s="48" t="str">
        <f>'Necesidades Trimestrales'!D46</f>
        <v>BUPIVACAINA 0,5% C/E FCO/AMP x 20MLx1</v>
      </c>
      <c r="D48" s="54" t="s">
        <v>55</v>
      </c>
      <c r="E48" s="55" t="str">
        <f>'Necesidades Trimestrales'!E46</f>
        <v>UNIDAD</v>
      </c>
      <c r="F48" s="51">
        <f>'Necesidades Trimestrales'!G46</f>
        <v>314.93</v>
      </c>
      <c r="G48" s="52">
        <f>'Necesidades Trimestrales'!F46</f>
        <v>30</v>
      </c>
    </row>
    <row r="49" spans="1:7" ht="20.25" customHeight="1" thickBot="1">
      <c r="A49" s="47">
        <v>38</v>
      </c>
      <c r="B49" s="53">
        <f>'Necesidades Trimestrales'!B47</f>
        <v>252</v>
      </c>
      <c r="C49" s="48" t="str">
        <f>'Necesidades Trimestrales'!D47</f>
        <v>BUPIVACAINA 0,5% S/E FCO/AMPx20ML x1</v>
      </c>
      <c r="D49" s="54" t="s">
        <v>55</v>
      </c>
      <c r="E49" s="55" t="str">
        <f>'Necesidades Trimestrales'!E47</f>
        <v>UNIDAD</v>
      </c>
      <c r="F49" s="51">
        <f>'Necesidades Trimestrales'!G47</f>
        <v>565</v>
      </c>
      <c r="G49" s="52">
        <f>'Necesidades Trimestrales'!F47</f>
        <v>30</v>
      </c>
    </row>
    <row r="50" spans="1:7" ht="20.25" customHeight="1" thickBot="1">
      <c r="A50" s="47">
        <v>39</v>
      </c>
      <c r="B50" s="53">
        <f>'Necesidades Trimestrales'!B48</f>
        <v>252</v>
      </c>
      <c r="C50" s="48" t="str">
        <f>'Necesidades Trimestrales'!D48</f>
        <v>CINCLOPENTOLATO 1% GOTAS X5ML</v>
      </c>
      <c r="D50" s="54" t="s">
        <v>55</v>
      </c>
      <c r="E50" s="55" t="str">
        <f>'Necesidades Trimestrales'!E48</f>
        <v>UNIDAD</v>
      </c>
      <c r="F50" s="51">
        <f>'Necesidades Trimestrales'!G48</f>
        <v>524</v>
      </c>
      <c r="G50" s="52">
        <f>'Necesidades Trimestrales'!F48</f>
        <v>30</v>
      </c>
    </row>
    <row r="51" spans="1:7" ht="20.25" customHeight="1" thickBot="1">
      <c r="A51" s="47">
        <v>40</v>
      </c>
      <c r="B51" s="53">
        <f>'Necesidades Trimestrales'!B49</f>
        <v>252</v>
      </c>
      <c r="C51" s="48" t="str">
        <f>'Necesidades Trimestrales'!D49</f>
        <v>COLISTINA F/A X2ML</v>
      </c>
      <c r="D51" s="54" t="s">
        <v>55</v>
      </c>
      <c r="E51" s="55" t="str">
        <f>'Necesidades Trimestrales'!E49</f>
        <v>UNIDAD</v>
      </c>
      <c r="F51" s="51">
        <f>'Necesidades Trimestrales'!G49</f>
        <v>841.5</v>
      </c>
      <c r="G51" s="52">
        <f>'Necesidades Trimestrales'!F49</f>
        <v>30</v>
      </c>
    </row>
    <row r="52" spans="1:7" ht="20.25" customHeight="1" thickBot="1">
      <c r="A52" s="47">
        <v>41</v>
      </c>
      <c r="B52" s="53">
        <f>'Necesidades Trimestrales'!B50</f>
        <v>252</v>
      </c>
      <c r="C52" s="48" t="str">
        <f>'Necesidades Trimestrales'!D50</f>
        <v>COTRIMOXAZOL 800/160MG COMP</v>
      </c>
      <c r="D52" s="54" t="s">
        <v>55</v>
      </c>
      <c r="E52" s="55" t="str">
        <f>'Necesidades Trimestrales'!E50</f>
        <v>UNIDAD</v>
      </c>
      <c r="F52" s="51">
        <f>'Necesidades Trimestrales'!G50</f>
        <v>21.75</v>
      </c>
      <c r="G52" s="52">
        <f>'Necesidades Trimestrales'!F50</f>
        <v>100</v>
      </c>
    </row>
    <row r="53" spans="1:7" ht="20.25" customHeight="1" thickBot="1">
      <c r="A53" s="47">
        <v>42</v>
      </c>
      <c r="B53" s="53">
        <f>'Necesidades Trimestrales'!B51</f>
        <v>252</v>
      </c>
      <c r="C53" s="48" t="str">
        <f>'Necesidades Trimestrales'!D51</f>
        <v>COTRIMOXAZOL AMP. I.V. x 5ML</v>
      </c>
      <c r="D53" s="54" t="s">
        <v>55</v>
      </c>
      <c r="E53" s="55" t="str">
        <f>'Necesidades Trimestrales'!E51</f>
        <v>UNIDAD</v>
      </c>
      <c r="F53" s="51">
        <f>'Necesidades Trimestrales'!G51</f>
        <v>242.35</v>
      </c>
      <c r="G53" s="52">
        <f>'Necesidades Trimestrales'!F51</f>
        <v>300</v>
      </c>
    </row>
    <row r="54" spans="1:7" ht="20.25" customHeight="1" thickBot="1">
      <c r="A54" s="47">
        <v>43</v>
      </c>
      <c r="B54" s="53">
        <f>'Necesidades Trimestrales'!B52</f>
        <v>252</v>
      </c>
      <c r="C54" s="48" t="str">
        <f>'Necesidades Trimestrales'!D52</f>
        <v>DOMPERIDONA GOTAS X 20ML</v>
      </c>
      <c r="D54" s="54" t="s">
        <v>55</v>
      </c>
      <c r="E54" s="55" t="str">
        <f>'Necesidades Trimestrales'!E52</f>
        <v>UNIDAD</v>
      </c>
      <c r="F54" s="51">
        <f>'Necesidades Trimestrales'!G52</f>
        <v>220</v>
      </c>
      <c r="G54" s="52">
        <f>'Necesidades Trimestrales'!F52</f>
        <v>50</v>
      </c>
    </row>
    <row r="55" spans="1:7" ht="20.25" customHeight="1" thickBot="1">
      <c r="A55" s="47">
        <v>44</v>
      </c>
      <c r="B55" s="53">
        <f>'Necesidades Trimestrales'!B53</f>
        <v>252</v>
      </c>
      <c r="C55" s="48" t="str">
        <f>'Necesidades Trimestrales'!D53</f>
        <v>DOPAMINA CLORH 100MG AMP X 5ML</v>
      </c>
      <c r="D55" s="54" t="s">
        <v>55</v>
      </c>
      <c r="E55" s="55" t="str">
        <f>'Necesidades Trimestrales'!E53</f>
        <v>UNIDAD</v>
      </c>
      <c r="F55" s="51">
        <f>'Necesidades Trimestrales'!G53</f>
        <v>247.81</v>
      </c>
      <c r="G55" s="52">
        <f>'Necesidades Trimestrales'!F53</f>
        <v>100</v>
      </c>
    </row>
    <row r="56" spans="1:7" ht="20.25" customHeight="1" thickBot="1">
      <c r="A56" s="47">
        <v>45</v>
      </c>
      <c r="B56" s="53">
        <f>'Necesidades Trimestrales'!B54</f>
        <v>252</v>
      </c>
      <c r="C56" s="48" t="str">
        <f>'Necesidades Trimestrales'!D54</f>
        <v>ESPIRONOLACTONA 100 MG COMP</v>
      </c>
      <c r="D56" s="54" t="s">
        <v>55</v>
      </c>
      <c r="E56" s="55" t="str">
        <f>'Necesidades Trimestrales'!E54</f>
        <v>UNIDAD</v>
      </c>
      <c r="F56" s="51">
        <f>'Necesidades Trimestrales'!G54</f>
        <v>36.229999999999997</v>
      </c>
      <c r="G56" s="52">
        <f>'Necesidades Trimestrales'!F54</f>
        <v>200</v>
      </c>
    </row>
    <row r="57" spans="1:7" ht="20.25" customHeight="1" thickBot="1">
      <c r="A57" s="47">
        <v>46</v>
      </c>
      <c r="B57" s="53">
        <f>'Necesidades Trimestrales'!B55</f>
        <v>252</v>
      </c>
      <c r="C57" s="48" t="str">
        <f>'Necesidades Trimestrales'!D55</f>
        <v>FENOBARBITAL 15 MG COMP</v>
      </c>
      <c r="D57" s="54" t="s">
        <v>55</v>
      </c>
      <c r="E57" s="55" t="str">
        <f>'Necesidades Trimestrales'!E55</f>
        <v>UNIDAD</v>
      </c>
      <c r="F57" s="51">
        <f>'Necesidades Trimestrales'!G55</f>
        <v>3.1</v>
      </c>
      <c r="G57" s="52">
        <f>'Necesidades Trimestrales'!F55</f>
        <v>500</v>
      </c>
    </row>
    <row r="58" spans="1:7" ht="20.25" customHeight="1" thickBot="1">
      <c r="A58" s="47">
        <v>47</v>
      </c>
      <c r="B58" s="53">
        <f>'Necesidades Trimestrales'!B56</f>
        <v>252</v>
      </c>
      <c r="C58" s="48" t="str">
        <f>'Necesidades Trimestrales'!D56</f>
        <v>FOTORRETIN SOL. OFT. ESTERIL X 5ML</v>
      </c>
      <c r="D58" s="54" t="s">
        <v>55</v>
      </c>
      <c r="E58" s="55" t="str">
        <f>'Necesidades Trimestrales'!E56</f>
        <v>UNIDAD</v>
      </c>
      <c r="F58" s="51">
        <f>'Necesidades Trimestrales'!G56</f>
        <v>561.20000000000005</v>
      </c>
      <c r="G58" s="52">
        <f>'Necesidades Trimestrales'!F56</f>
        <v>20</v>
      </c>
    </row>
    <row r="59" spans="1:7" ht="20.25" customHeight="1" thickBot="1">
      <c r="A59" s="47">
        <v>48</v>
      </c>
      <c r="B59" s="53">
        <f>'Necesidades Trimestrales'!B57</f>
        <v>252</v>
      </c>
      <c r="C59" s="48" t="str">
        <f>'Necesidades Trimestrales'!D57</f>
        <v>HIOSCINA BULTIBROMURO 20 MG AMP. X1 ML</v>
      </c>
      <c r="D59" s="54" t="s">
        <v>25</v>
      </c>
      <c r="E59" s="55" t="str">
        <f>'Necesidades Trimestrales'!E57</f>
        <v>UNIDAD</v>
      </c>
      <c r="F59" s="51">
        <f>'Necesidades Trimestrales'!G57</f>
        <v>120.45</v>
      </c>
      <c r="G59" s="52">
        <f>'Necesidades Trimestrales'!F57</f>
        <v>300</v>
      </c>
    </row>
    <row r="60" spans="1:7" ht="20.25" customHeight="1" thickBot="1">
      <c r="A60" s="47">
        <v>49</v>
      </c>
      <c r="B60" s="53">
        <f>'Necesidades Trimestrales'!B58</f>
        <v>252</v>
      </c>
      <c r="C60" s="48" t="str">
        <f>'Necesidades Trimestrales'!D58</f>
        <v>INSULINA CORRIENTE 100 UI F/A X 10ML</v>
      </c>
      <c r="D60" s="54" t="s">
        <v>55</v>
      </c>
      <c r="E60" s="55" t="str">
        <f>'Necesidades Trimestrales'!E58</f>
        <v>UNIDAD</v>
      </c>
      <c r="F60" s="51">
        <f>'Necesidades Trimestrales'!G58</f>
        <v>1990</v>
      </c>
      <c r="G60" s="52">
        <f>'Necesidades Trimestrales'!F58</f>
        <v>5</v>
      </c>
    </row>
    <row r="61" spans="1:7" ht="20.25" customHeight="1" thickBot="1">
      <c r="A61" s="47">
        <v>50</v>
      </c>
      <c r="B61" s="53">
        <f>'Necesidades Trimestrales'!B59</f>
        <v>252</v>
      </c>
      <c r="C61" s="48" t="str">
        <f>'Necesidades Trimestrales'!D59</f>
        <v>KETAMINA 50MG F/A X 10ML</v>
      </c>
      <c r="D61" s="54" t="s">
        <v>55</v>
      </c>
      <c r="E61" s="55" t="str">
        <f>'Necesidades Trimestrales'!E59</f>
        <v>UNIDAD</v>
      </c>
      <c r="F61" s="51">
        <f>'Necesidades Trimestrales'!G59</f>
        <v>1524.6</v>
      </c>
      <c r="G61" s="52">
        <f>'Necesidades Trimestrales'!F59</f>
        <v>25</v>
      </c>
    </row>
    <row r="62" spans="1:7" ht="20.25" customHeight="1" thickBot="1">
      <c r="A62" s="47">
        <v>51</v>
      </c>
      <c r="B62" s="53">
        <f>'Necesidades Trimestrales'!B60</f>
        <v>252</v>
      </c>
      <c r="C62" s="48" t="str">
        <f>'Necesidades Trimestrales'!D60</f>
        <v>LIDOCAINA 2% C/E FCO/AMP X 20 ML</v>
      </c>
      <c r="D62" s="54" t="s">
        <v>55</v>
      </c>
      <c r="E62" s="55" t="str">
        <f>'Necesidades Trimestrales'!E60</f>
        <v>UNIDAD</v>
      </c>
      <c r="F62" s="51">
        <f>'Necesidades Trimestrales'!G60</f>
        <v>565</v>
      </c>
      <c r="G62" s="52">
        <f>'Necesidades Trimestrales'!F60</f>
        <v>30</v>
      </c>
    </row>
    <row r="63" spans="1:7" ht="20.25" customHeight="1" thickBot="1">
      <c r="A63" s="47">
        <v>52</v>
      </c>
      <c r="B63" s="53">
        <f>'Necesidades Trimestrales'!B61</f>
        <v>252</v>
      </c>
      <c r="C63" s="48" t="str">
        <f>'Necesidades Trimestrales'!D61</f>
        <v>LIDOCAINA 2% S/E FCO/AMP X20 ML</v>
      </c>
      <c r="D63" s="54" t="s">
        <v>55</v>
      </c>
      <c r="E63" s="55" t="str">
        <f>'Necesidades Trimestrales'!E61</f>
        <v>UNIDAD</v>
      </c>
      <c r="F63" s="51">
        <f>'Necesidades Trimestrales'!G61</f>
        <v>470</v>
      </c>
      <c r="G63" s="52">
        <f>'Necesidades Trimestrales'!F61</f>
        <v>200</v>
      </c>
    </row>
    <row r="64" spans="1:7" ht="20.25" customHeight="1" thickBot="1">
      <c r="A64" s="47">
        <v>53</v>
      </c>
      <c r="B64" s="53">
        <f>'Necesidades Trimestrales'!B62</f>
        <v>252</v>
      </c>
      <c r="C64" s="48" t="str">
        <f>'Necesidades Trimestrales'!D62</f>
        <v>MEPREDNISONA B 8MG</v>
      </c>
      <c r="D64" s="54" t="s">
        <v>55</v>
      </c>
      <c r="E64" s="55" t="str">
        <f>'Necesidades Trimestrales'!E62</f>
        <v>UNIDAD</v>
      </c>
      <c r="F64" s="51">
        <f>'Necesidades Trimestrales'!G62</f>
        <v>25.3</v>
      </c>
      <c r="G64" s="52">
        <f>'Necesidades Trimestrales'!F62</f>
        <v>300</v>
      </c>
    </row>
    <row r="65" spans="1:9" ht="20.25" customHeight="1" thickBot="1">
      <c r="A65" s="47">
        <v>54</v>
      </c>
      <c r="B65" s="53">
        <f>'Necesidades Trimestrales'!B63</f>
        <v>252</v>
      </c>
      <c r="C65" s="48" t="str">
        <f>'Necesidades Trimestrales'!D63</f>
        <v>METOCLOPRAMIDA 10MG AMP X 1X 2ML</v>
      </c>
      <c r="D65" s="54" t="s">
        <v>55</v>
      </c>
      <c r="E65" s="55" t="str">
        <f>'Necesidades Trimestrales'!E63</f>
        <v>UNIDAD</v>
      </c>
      <c r="F65" s="51">
        <f>'Necesidades Trimestrales'!G63</f>
        <v>39</v>
      </c>
      <c r="G65" s="52">
        <f>'Necesidades Trimestrales'!F63</f>
        <v>1000</v>
      </c>
    </row>
    <row r="66" spans="1:9" ht="20.25" customHeight="1" thickBot="1">
      <c r="A66" s="47">
        <v>55</v>
      </c>
      <c r="B66" s="53">
        <f>'Necesidades Trimestrales'!B64</f>
        <v>252</v>
      </c>
      <c r="C66" s="48" t="str">
        <f>'Necesidades Trimestrales'!D64</f>
        <v>METRONIDAZOL 500MG COMP</v>
      </c>
      <c r="D66" s="54" t="s">
        <v>55</v>
      </c>
      <c r="E66" s="55" t="str">
        <f>'Necesidades Trimestrales'!E64</f>
        <v>UNIDAD</v>
      </c>
      <c r="F66" s="51">
        <f>'Necesidades Trimestrales'!G64</f>
        <v>19.399999999999999</v>
      </c>
      <c r="G66" s="52">
        <f>'Necesidades Trimestrales'!F64</f>
        <v>100</v>
      </c>
    </row>
    <row r="67" spans="1:9" ht="20.25" customHeight="1" thickBot="1">
      <c r="A67" s="47">
        <v>56</v>
      </c>
      <c r="B67" s="53">
        <f>'Necesidades Trimestrales'!B65</f>
        <v>252</v>
      </c>
      <c r="C67" s="48" t="str">
        <f>'Necesidades Trimestrales'!D65</f>
        <v>MORFINA CLORH 1% AMP X 1ML</v>
      </c>
      <c r="D67" s="54" t="s">
        <v>55</v>
      </c>
      <c r="E67" s="55" t="str">
        <f>'Necesidades Trimestrales'!E65</f>
        <v>UNIDAD</v>
      </c>
      <c r="F67" s="51">
        <f>'Necesidades Trimestrales'!G65</f>
        <v>170</v>
      </c>
      <c r="G67" s="52">
        <f>'Necesidades Trimestrales'!F65</f>
        <v>300</v>
      </c>
    </row>
    <row r="68" spans="1:9" ht="20.25" customHeight="1" thickBot="1">
      <c r="A68" s="47">
        <v>57</v>
      </c>
      <c r="B68" s="53">
        <f>'Necesidades Trimestrales'!B66</f>
        <v>252</v>
      </c>
      <c r="C68" s="48" t="str">
        <f>'Necesidades Trimestrales'!D66</f>
        <v>OMEPRAZOL 4MG FCO/AMP</v>
      </c>
      <c r="D68" s="54" t="s">
        <v>55</v>
      </c>
      <c r="E68" s="55" t="str">
        <f>'Necesidades Trimestrales'!E66</f>
        <v>UNIDAD</v>
      </c>
      <c r="F68" s="51">
        <f>'Necesidades Trimestrales'!G66</f>
        <v>307.8</v>
      </c>
      <c r="G68" s="52">
        <f>'Necesidades Trimestrales'!F66</f>
        <v>100</v>
      </c>
    </row>
    <row r="69" spans="1:9" ht="20.25" customHeight="1" thickBot="1">
      <c r="A69" s="47">
        <v>58</v>
      </c>
      <c r="B69" s="53">
        <f>'Necesidades Trimestrales'!B67</f>
        <v>252</v>
      </c>
      <c r="C69" s="48" t="str">
        <f>'Necesidades Trimestrales'!D67</f>
        <v>PROPARACAINA COL. X 10ML</v>
      </c>
      <c r="D69" s="54" t="s">
        <v>55</v>
      </c>
      <c r="E69" s="55" t="str">
        <f>'Necesidades Trimestrales'!E67</f>
        <v>UNIDAD</v>
      </c>
      <c r="F69" s="51">
        <f>'Necesidades Trimestrales'!G67</f>
        <v>412.65</v>
      </c>
      <c r="G69" s="52">
        <f>'Necesidades Trimestrales'!F67</f>
        <v>20</v>
      </c>
    </row>
    <row r="70" spans="1:9" ht="20.25" customHeight="1" thickBot="1">
      <c r="A70" s="47">
        <v>59</v>
      </c>
      <c r="B70" s="53">
        <f>'Necesidades Trimestrales'!B68</f>
        <v>252</v>
      </c>
      <c r="C70" s="48" t="str">
        <f>'Necesidades Trimestrales'!D68</f>
        <v>RANITIDINA 150MG/10ML JBE. X 120ML</v>
      </c>
      <c r="D70" s="54" t="s">
        <v>55</v>
      </c>
      <c r="E70" s="55" t="str">
        <f>'Necesidades Trimestrales'!E68</f>
        <v>UNIDAD</v>
      </c>
      <c r="F70" s="51">
        <f>'Necesidades Trimestrales'!G68</f>
        <v>560.77</v>
      </c>
      <c r="G70" s="52">
        <f>'Necesidades Trimestrales'!F68</f>
        <v>100</v>
      </c>
    </row>
    <row r="71" spans="1:9" ht="20.25" customHeight="1" thickBot="1">
      <c r="A71" s="47">
        <v>60</v>
      </c>
      <c r="B71" s="53">
        <f>'Necesidades Trimestrales'!B69</f>
        <v>252</v>
      </c>
      <c r="C71" s="48" t="str">
        <f>'Necesidades Trimestrales'!D69</f>
        <v>RESINA COLOFON/ADHESOLX92ML</v>
      </c>
      <c r="D71" s="54" t="s">
        <v>55</v>
      </c>
      <c r="E71" s="55" t="str">
        <f>'Necesidades Trimestrales'!E69</f>
        <v>UNIDAD</v>
      </c>
      <c r="F71" s="51">
        <f>'Necesidades Trimestrales'!G69</f>
        <v>833.63</v>
      </c>
      <c r="G71" s="52">
        <f>'Necesidades Trimestrales'!F69</f>
        <v>5</v>
      </c>
    </row>
    <row r="72" spans="1:9" ht="20.25" customHeight="1" thickBot="1">
      <c r="A72" s="47">
        <v>61</v>
      </c>
      <c r="B72" s="53">
        <f>'Necesidades Trimestrales'!B70</f>
        <v>252</v>
      </c>
      <c r="C72" s="48" t="str">
        <f>'Necesidades Trimestrales'!D70</f>
        <v>RIFAMPICINA 600MG F/A</v>
      </c>
      <c r="D72" s="54" t="s">
        <v>55</v>
      </c>
      <c r="E72" s="55" t="str">
        <f>'Necesidades Trimestrales'!E70</f>
        <v>UNIDAD</v>
      </c>
      <c r="F72" s="51">
        <f>'Necesidades Trimestrales'!G70</f>
        <v>2204.14</v>
      </c>
      <c r="G72" s="52">
        <f>'Necesidades Trimestrales'!F70</f>
        <v>20</v>
      </c>
    </row>
    <row r="73" spans="1:9" ht="20.25" customHeight="1" thickBot="1">
      <c r="A73" s="47">
        <v>62</v>
      </c>
      <c r="B73" s="53">
        <f>'Necesidades Trimestrales'!B36</f>
        <v>252</v>
      </c>
      <c r="C73" s="48" t="str">
        <f>'Necesidades Trimestrales'!D71</f>
        <v>VALPROICO ACIDO 500 MG X 5ML AMP X 1</v>
      </c>
      <c r="D73" s="54" t="s">
        <v>55</v>
      </c>
      <c r="E73" s="55" t="str">
        <f>'Necesidades Trimestrales'!E36</f>
        <v>UNIDAD</v>
      </c>
      <c r="F73" s="51">
        <f>'Necesidades Trimestrales'!G71</f>
        <v>848.52</v>
      </c>
      <c r="G73" s="52">
        <f>'Necesidades Trimestrales'!F71</f>
        <v>150</v>
      </c>
      <c r="I73" s="90"/>
    </row>
    <row r="74" spans="1:9" ht="20.25" customHeight="1" thickBot="1">
      <c r="A74" s="47">
        <v>63</v>
      </c>
      <c r="B74" s="53">
        <f>'Necesidades Trimestrales'!B37</f>
        <v>252</v>
      </c>
      <c r="C74" s="48" t="str">
        <f>'Necesidades Trimestrales'!D72</f>
        <v>VECURONIO BROMURO 4MG/AMP X 1ML X1</v>
      </c>
      <c r="D74" s="54" t="s">
        <v>55</v>
      </c>
      <c r="E74" s="55" t="str">
        <f>'Necesidades Trimestrales'!E37</f>
        <v>UNIDAD</v>
      </c>
      <c r="F74" s="51">
        <f>'Necesidades Trimestrales'!G72</f>
        <v>500.79</v>
      </c>
      <c r="G74" s="52">
        <f>'Necesidades Trimestrales'!F72</f>
        <v>200</v>
      </c>
    </row>
    <row r="75" spans="1:9" ht="20.25" customHeight="1" thickBot="1">
      <c r="A75" s="47">
        <v>64</v>
      </c>
      <c r="B75" s="53">
        <v>251</v>
      </c>
      <c r="C75" s="48" t="str">
        <f>'Necesidades Trimestrales'!D73</f>
        <v>LT8 PLUS I Limpiador Desinfectante de Alto Nivel para áreas críticas para 1 litro. Envase Monodosis 20 gr/litro</v>
      </c>
      <c r="D75" s="54" t="s">
        <v>55</v>
      </c>
      <c r="E75" s="55" t="str">
        <f>'Necesidades Trimestrales'!E38</f>
        <v>UNIDAD</v>
      </c>
      <c r="F75" s="51">
        <f>'Necesidades Trimestrales'!G73</f>
        <v>151.25</v>
      </c>
      <c r="G75" s="52">
        <f>'Necesidades Trimestrales'!F73</f>
        <v>600</v>
      </c>
    </row>
    <row r="76" spans="1:9" ht="25.5" customHeight="1" thickBot="1">
      <c r="A76" s="106" t="s">
        <v>121</v>
      </c>
      <c r="B76" s="107"/>
      <c r="C76" s="107"/>
      <c r="D76" s="107"/>
      <c r="E76" s="107"/>
      <c r="F76" s="108">
        <f>SUMPRODUCT(F12:F75,G12:G75)</f>
        <v>4902558.8500000006</v>
      </c>
      <c r="G76" s="108"/>
      <c r="I76" s="90"/>
    </row>
  </sheetData>
  <mergeCells count="22">
    <mergeCell ref="A1:E1"/>
    <mergeCell ref="A6:C6"/>
    <mergeCell ref="A7:C7"/>
    <mergeCell ref="A3:C3"/>
    <mergeCell ref="D3:G3"/>
    <mergeCell ref="A4:C4"/>
    <mergeCell ref="A5:C5"/>
    <mergeCell ref="A76:E76"/>
    <mergeCell ref="F76:G76"/>
    <mergeCell ref="D4:G4"/>
    <mergeCell ref="D5:G5"/>
    <mergeCell ref="D6:G6"/>
    <mergeCell ref="D7:G7"/>
    <mergeCell ref="D8:G8"/>
    <mergeCell ref="A8:C8"/>
    <mergeCell ref="A10:A11"/>
    <mergeCell ref="B10:B11"/>
    <mergeCell ref="C10:C11"/>
    <mergeCell ref="D10:D11"/>
    <mergeCell ref="E10:E11"/>
    <mergeCell ref="F10:F11"/>
    <mergeCell ref="G10:G11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S27"/>
  <sheetViews>
    <sheetView zoomScale="130" zoomScaleNormal="130" workbookViewId="0">
      <selection activeCell="T21" sqref="T21"/>
    </sheetView>
  </sheetViews>
  <sheetFormatPr baseColWidth="10" defaultColWidth="11" defaultRowHeight="12.75"/>
  <cols>
    <col min="1" max="5" width="4.42578125" customWidth="1"/>
    <col min="6" max="6" width="5" customWidth="1"/>
    <col min="7" max="7" width="4.42578125" style="2" customWidth="1"/>
    <col min="8" max="14" width="4.42578125" customWidth="1"/>
    <col min="15" max="16" width="14.85546875" customWidth="1"/>
    <col min="17" max="17" width="14.7109375" customWidth="1"/>
    <col min="19" max="19" width="13.28515625" bestFit="1" customWidth="1"/>
  </cols>
  <sheetData>
    <row r="1" spans="1:19" ht="15.75" customHeight="1">
      <c r="A1" s="121" t="s">
        <v>3</v>
      </c>
      <c r="B1" s="121"/>
      <c r="C1" s="121"/>
      <c r="D1" s="122">
        <f>'Necesidades Trimestrales'!C6</f>
        <v>2020</v>
      </c>
      <c r="E1" s="122"/>
      <c r="F1" s="3"/>
      <c r="G1" s="3"/>
      <c r="H1" s="4"/>
      <c r="I1" s="4"/>
      <c r="J1" s="4"/>
      <c r="K1" s="4"/>
      <c r="L1" s="4"/>
      <c r="M1" s="4"/>
      <c r="N1" s="4"/>
      <c r="P1" s="123" t="s">
        <v>26</v>
      </c>
      <c r="Q1" s="123"/>
    </row>
    <row r="2" spans="1:19" ht="15.75" customHeight="1">
      <c r="H2" s="4"/>
      <c r="I2" s="4"/>
      <c r="J2" s="4"/>
      <c r="K2" s="4"/>
      <c r="L2" s="4"/>
      <c r="M2" s="4"/>
      <c r="N2" s="4"/>
      <c r="P2" s="123"/>
      <c r="Q2" s="123"/>
    </row>
    <row r="4" spans="1:19" s="5" customFormat="1" ht="18" customHeight="1" thickBot="1">
      <c r="A4" s="124" t="s">
        <v>27</v>
      </c>
      <c r="B4" s="124"/>
      <c r="C4" s="124"/>
      <c r="D4" s="124"/>
      <c r="E4" s="124"/>
      <c r="F4" s="124"/>
      <c r="G4" s="125" t="s">
        <v>53</v>
      </c>
      <c r="H4" s="125"/>
      <c r="I4" s="125"/>
      <c r="J4" s="125"/>
      <c r="K4" s="125"/>
      <c r="L4" s="125"/>
      <c r="M4" s="125"/>
      <c r="N4" s="125"/>
      <c r="O4" s="125"/>
      <c r="P4" s="125"/>
      <c r="Q4" s="125"/>
    </row>
    <row r="5" spans="1:19" s="5" customFormat="1" ht="18" customHeight="1" thickBot="1">
      <c r="A5" s="126" t="s">
        <v>50</v>
      </c>
      <c r="B5" s="127"/>
      <c r="C5" s="127"/>
      <c r="D5" s="127"/>
      <c r="E5" s="127"/>
      <c r="F5" s="128"/>
      <c r="G5" s="125" t="s">
        <v>52</v>
      </c>
      <c r="H5" s="125"/>
      <c r="I5" s="125"/>
      <c r="J5" s="125"/>
      <c r="K5" s="125"/>
      <c r="L5" s="125"/>
      <c r="M5" s="125"/>
      <c r="N5" s="125"/>
      <c r="O5" s="125"/>
      <c r="P5" s="125"/>
      <c r="Q5" s="125"/>
    </row>
    <row r="6" spans="1:19" s="5" customFormat="1" ht="18" customHeight="1" thickBot="1">
      <c r="A6" s="126" t="s">
        <v>28</v>
      </c>
      <c r="B6" s="127"/>
      <c r="C6" s="127"/>
      <c r="D6" s="127"/>
      <c r="E6" s="127"/>
      <c r="F6" s="128"/>
      <c r="G6" s="125" t="s">
        <v>52</v>
      </c>
      <c r="H6" s="125"/>
      <c r="I6" s="125"/>
      <c r="J6" s="125"/>
      <c r="K6" s="125"/>
      <c r="L6" s="125"/>
      <c r="M6" s="125"/>
      <c r="N6" s="125"/>
      <c r="O6" s="125"/>
      <c r="P6" s="125"/>
      <c r="Q6" s="125"/>
    </row>
    <row r="7" spans="1:19" s="5" customFormat="1" ht="18" customHeight="1" thickBot="1">
      <c r="A7" s="126" t="s">
        <v>51</v>
      </c>
      <c r="B7" s="127"/>
      <c r="C7" s="127"/>
      <c r="D7" s="127"/>
      <c r="E7" s="127"/>
      <c r="F7" s="128"/>
      <c r="G7" s="125" t="s">
        <v>131</v>
      </c>
      <c r="H7" s="125"/>
      <c r="I7" s="125"/>
      <c r="J7" s="125"/>
      <c r="K7" s="125"/>
      <c r="L7" s="125"/>
      <c r="M7" s="125"/>
      <c r="N7" s="125"/>
      <c r="O7" s="125"/>
      <c r="P7" s="125"/>
      <c r="Q7" s="125"/>
    </row>
    <row r="8" spans="1:19" ht="18" customHeight="1" thickBot="1">
      <c r="A8" s="129" t="s">
        <v>29</v>
      </c>
      <c r="B8" s="129"/>
      <c r="C8" s="129"/>
      <c r="D8" s="129"/>
      <c r="E8" s="129"/>
      <c r="F8" s="129"/>
      <c r="G8" s="129"/>
      <c r="H8" s="129"/>
      <c r="I8" s="129"/>
      <c r="J8" s="129"/>
      <c r="K8" s="129"/>
      <c r="L8" s="129"/>
      <c r="M8" s="129"/>
      <c r="N8" s="129"/>
      <c r="O8" s="129"/>
      <c r="P8" s="129"/>
      <c r="Q8" s="129"/>
    </row>
    <row r="9" spans="1:19" ht="18" customHeight="1">
      <c r="A9" s="130" t="s">
        <v>30</v>
      </c>
      <c r="B9" s="130"/>
      <c r="C9" s="130"/>
      <c r="D9" s="130"/>
      <c r="E9" s="130"/>
      <c r="F9" s="130"/>
      <c r="G9" s="130"/>
      <c r="H9" s="130"/>
      <c r="I9" s="130"/>
      <c r="J9" s="130"/>
      <c r="K9" s="130"/>
      <c r="L9" s="130"/>
      <c r="M9" s="130"/>
      <c r="N9" s="130"/>
      <c r="O9" s="1"/>
      <c r="P9" s="1"/>
      <c r="Q9" s="6"/>
    </row>
    <row r="10" spans="1:19" ht="54.75" customHeight="1">
      <c r="A10" s="131" t="str">
        <f>"Autorizo la realización de los  trámites correspondientes, a fin de proveer a  este Organismo los bienes y/o servicios que se detallan en Nota  de Pedido N° " &amp; ' NotaPedido'!G1&amp;",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548/2020,  afectando la erogación resultante a los créditos presupuestarios aprobados a favor de esta Unidad Ejecutora, conforme al siguiente detalle:</v>
      </c>
      <c r="B10" s="131"/>
      <c r="C10" s="131"/>
      <c r="D10" s="131"/>
      <c r="E10" s="131"/>
      <c r="F10" s="131"/>
      <c r="G10" s="131"/>
      <c r="H10" s="131"/>
      <c r="I10" s="131"/>
      <c r="J10" s="131"/>
      <c r="K10" s="131"/>
      <c r="L10" s="131"/>
      <c r="M10" s="131"/>
      <c r="N10" s="131"/>
      <c r="O10" s="131"/>
      <c r="P10" s="131"/>
      <c r="Q10" s="131"/>
    </row>
    <row r="11" spans="1:19" ht="9" customHeight="1">
      <c r="A11" s="7"/>
      <c r="B11" s="8"/>
      <c r="C11" s="8"/>
      <c r="D11" s="8"/>
      <c r="E11" s="8"/>
      <c r="F11" s="8"/>
      <c r="G11" s="9"/>
      <c r="H11" s="8"/>
      <c r="I11" s="8"/>
      <c r="J11" s="8"/>
      <c r="K11" s="8"/>
      <c r="L11" s="8"/>
      <c r="M11" s="8"/>
      <c r="N11" s="8"/>
      <c r="O11" s="8"/>
      <c r="P11" s="8"/>
      <c r="Q11" s="10"/>
    </row>
    <row r="12" spans="1:19" ht="15.75" customHeight="1">
      <c r="A12" s="132" t="s">
        <v>31</v>
      </c>
      <c r="B12" s="132"/>
      <c r="C12" s="132"/>
      <c r="D12" s="132"/>
      <c r="E12" s="132"/>
      <c r="F12" s="132"/>
      <c r="G12" s="132"/>
      <c r="H12" s="132"/>
      <c r="I12" s="132"/>
      <c r="J12" s="132"/>
      <c r="K12" s="132"/>
      <c r="L12" s="132"/>
      <c r="M12" s="132"/>
      <c r="N12" s="132"/>
      <c r="O12" s="132"/>
      <c r="P12" s="132"/>
      <c r="Q12" s="132"/>
    </row>
    <row r="13" spans="1:19" ht="15.75" customHeight="1">
      <c r="A13" s="133" t="s">
        <v>32</v>
      </c>
      <c r="B13" s="133"/>
      <c r="C13" s="133"/>
      <c r="D13" s="133"/>
      <c r="E13" s="133"/>
      <c r="F13" s="133"/>
      <c r="G13" s="133"/>
      <c r="H13" s="133"/>
      <c r="I13" s="133"/>
      <c r="J13" s="133"/>
      <c r="K13" s="133"/>
      <c r="L13" s="133"/>
      <c r="M13" s="133"/>
      <c r="N13" s="133"/>
      <c r="O13" s="134" t="s">
        <v>33</v>
      </c>
      <c r="P13" s="134"/>
      <c r="Q13" s="135" t="s">
        <v>34</v>
      </c>
    </row>
    <row r="14" spans="1:19" ht="15.75" customHeight="1">
      <c r="A14" s="11" t="s">
        <v>35</v>
      </c>
      <c r="B14" s="12" t="s">
        <v>36</v>
      </c>
      <c r="C14" s="12" t="s">
        <v>37</v>
      </c>
      <c r="D14" s="12" t="s">
        <v>38</v>
      </c>
      <c r="E14" s="12" t="s">
        <v>39</v>
      </c>
      <c r="F14" s="12" t="s">
        <v>40</v>
      </c>
      <c r="G14" s="13" t="s">
        <v>41</v>
      </c>
      <c r="H14" s="12" t="s">
        <v>42</v>
      </c>
      <c r="I14" s="12" t="s">
        <v>43</v>
      </c>
      <c r="J14" s="12" t="s">
        <v>44</v>
      </c>
      <c r="K14" s="12" t="s">
        <v>44</v>
      </c>
      <c r="L14" s="12" t="s">
        <v>45</v>
      </c>
      <c r="M14" s="14" t="s">
        <v>46</v>
      </c>
      <c r="N14" s="15" t="s">
        <v>47</v>
      </c>
      <c r="O14" s="134"/>
      <c r="P14" s="134"/>
      <c r="Q14" s="135"/>
    </row>
    <row r="15" spans="1:19" ht="27.75" customHeight="1">
      <c r="A15" s="60">
        <v>36</v>
      </c>
      <c r="B15" s="61"/>
      <c r="C15" s="61"/>
      <c r="D15" s="61">
        <v>1</v>
      </c>
      <c r="E15" s="61"/>
      <c r="F15" s="61">
        <v>4901</v>
      </c>
      <c r="G15" s="61">
        <v>3</v>
      </c>
      <c r="H15" s="61">
        <v>310</v>
      </c>
      <c r="I15" s="62">
        <v>2</v>
      </c>
      <c r="J15" s="62">
        <v>5</v>
      </c>
      <c r="K15" s="62">
        <v>2</v>
      </c>
      <c r="L15" s="61"/>
      <c r="M15" s="63">
        <v>1</v>
      </c>
      <c r="N15" s="64" t="s">
        <v>54</v>
      </c>
      <c r="O15" s="136" t="s">
        <v>124</v>
      </c>
      <c r="P15" s="137"/>
      <c r="Q15" s="16">
        <v>4285208.8499999996</v>
      </c>
      <c r="S15" s="91"/>
    </row>
    <row r="16" spans="1:19" ht="17.25" customHeight="1">
      <c r="A16" s="17">
        <v>36</v>
      </c>
      <c r="B16" s="18"/>
      <c r="C16" s="18"/>
      <c r="D16" s="18">
        <v>1</v>
      </c>
      <c r="E16" s="18"/>
      <c r="F16" s="18">
        <v>4901</v>
      </c>
      <c r="G16" s="18">
        <v>3</v>
      </c>
      <c r="H16" s="18">
        <v>310</v>
      </c>
      <c r="I16" s="18">
        <v>2</v>
      </c>
      <c r="J16" s="18">
        <v>5</v>
      </c>
      <c r="K16" s="18">
        <v>1</v>
      </c>
      <c r="L16" s="18"/>
      <c r="M16" s="19">
        <v>1</v>
      </c>
      <c r="N16" s="24" t="s">
        <v>54</v>
      </c>
      <c r="O16" s="138" t="s">
        <v>130</v>
      </c>
      <c r="P16" s="139"/>
      <c r="Q16" s="21">
        <v>617350</v>
      </c>
    </row>
    <row r="17" spans="1:18" ht="17.25" customHeight="1">
      <c r="A17" s="17"/>
      <c r="B17" s="18"/>
      <c r="C17" s="18"/>
      <c r="D17" s="18"/>
      <c r="E17" s="18"/>
      <c r="F17" s="20"/>
      <c r="G17" s="18"/>
      <c r="H17" s="18"/>
      <c r="I17" s="18"/>
      <c r="J17" s="18"/>
      <c r="K17" s="18"/>
      <c r="L17" s="18"/>
      <c r="M17" s="19"/>
      <c r="N17" s="20"/>
      <c r="O17" s="139"/>
      <c r="P17" s="139"/>
      <c r="Q17" s="21"/>
    </row>
    <row r="18" spans="1:18" ht="17.25" customHeight="1">
      <c r="A18" s="17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9"/>
      <c r="N18" s="20"/>
      <c r="O18" s="139"/>
      <c r="P18" s="139"/>
      <c r="Q18" s="21"/>
    </row>
    <row r="19" spans="1:18" ht="17.25" customHeight="1">
      <c r="A19" s="17"/>
      <c r="B19" s="18"/>
      <c r="C19" s="18"/>
      <c r="D19" s="18"/>
      <c r="E19" s="18"/>
      <c r="F19" s="20"/>
      <c r="G19" s="18"/>
      <c r="H19" s="18"/>
      <c r="I19" s="18"/>
      <c r="J19" s="18"/>
      <c r="K19" s="18"/>
      <c r="L19" s="18"/>
      <c r="M19" s="19"/>
      <c r="N19" s="20"/>
      <c r="O19" s="139"/>
      <c r="P19" s="139"/>
      <c r="Q19" s="21"/>
    </row>
    <row r="20" spans="1:18" ht="17.25" customHeight="1">
      <c r="A20" s="17"/>
      <c r="B20" s="18"/>
      <c r="C20" s="18"/>
      <c r="D20" s="18"/>
      <c r="E20" s="18"/>
      <c r="F20" s="20"/>
      <c r="G20" s="18"/>
      <c r="H20" s="18"/>
      <c r="I20" s="18"/>
      <c r="J20" s="18"/>
      <c r="K20" s="18"/>
      <c r="L20" s="18"/>
      <c r="M20" s="19"/>
      <c r="N20" s="20"/>
      <c r="O20" s="139"/>
      <c r="P20" s="139"/>
      <c r="Q20" s="21"/>
    </row>
    <row r="21" spans="1:18" ht="17.25" customHeight="1">
      <c r="A21" s="22"/>
      <c r="B21" s="23"/>
      <c r="C21" s="23"/>
      <c r="D21" s="23"/>
      <c r="E21" s="23"/>
      <c r="F21" s="24"/>
      <c r="G21" s="23"/>
      <c r="H21" s="23"/>
      <c r="I21" s="23"/>
      <c r="J21" s="23"/>
      <c r="K21" s="23"/>
      <c r="L21" s="23"/>
      <c r="M21" s="25"/>
      <c r="N21" s="26"/>
      <c r="O21" s="138"/>
      <c r="P21" s="138"/>
      <c r="Q21" s="21"/>
      <c r="R21" s="1"/>
    </row>
    <row r="22" spans="1:18" ht="17.25" customHeight="1">
      <c r="A22" s="27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9"/>
      <c r="N22" s="28"/>
      <c r="O22" s="145"/>
      <c r="P22" s="145"/>
      <c r="Q22" s="30"/>
    </row>
    <row r="23" spans="1:18" ht="29.25" customHeight="1">
      <c r="A23" s="146" t="s">
        <v>135</v>
      </c>
      <c r="B23" s="146"/>
      <c r="C23" s="146"/>
      <c r="D23" s="146"/>
      <c r="E23" s="146"/>
      <c r="F23" s="146"/>
      <c r="G23" s="146"/>
      <c r="H23" s="146"/>
      <c r="I23" s="146"/>
      <c r="J23" s="146"/>
      <c r="K23" s="146"/>
      <c r="L23" s="146"/>
      <c r="M23" s="146"/>
      <c r="N23" s="146"/>
      <c r="O23" s="146"/>
      <c r="P23" s="146"/>
      <c r="Q23" s="31">
        <f>SUM(Q15:Q22)</f>
        <v>4902558.8499999996</v>
      </c>
    </row>
    <row r="24" spans="1:18" ht="18" customHeight="1" thickBot="1">
      <c r="A24" s="147"/>
      <c r="B24" s="147"/>
      <c r="C24" s="147"/>
      <c r="D24" s="147"/>
      <c r="E24" s="147"/>
      <c r="F24" s="147"/>
      <c r="G24" s="147"/>
      <c r="H24" s="147"/>
      <c r="I24" s="147"/>
      <c r="J24" s="147"/>
      <c r="K24" s="147"/>
      <c r="L24" s="147"/>
      <c r="M24" s="147"/>
      <c r="N24" s="147"/>
      <c r="O24" s="147"/>
      <c r="P24" s="147"/>
      <c r="Q24" s="147"/>
    </row>
    <row r="25" spans="1:18" ht="17.25" customHeight="1" thickBot="1">
      <c r="A25" s="140" t="s">
        <v>48</v>
      </c>
      <c r="B25" s="141"/>
      <c r="C25" s="141"/>
      <c r="D25" s="141"/>
      <c r="E25" s="141"/>
      <c r="F25" s="142"/>
      <c r="G25" s="143"/>
      <c r="H25" s="143"/>
      <c r="I25" s="143"/>
      <c r="J25" s="143"/>
      <c r="K25" s="143"/>
      <c r="L25" s="143"/>
      <c r="M25" s="143"/>
      <c r="N25" s="143"/>
      <c r="O25" s="143"/>
      <c r="P25" s="143"/>
      <c r="Q25" s="143"/>
    </row>
    <row r="26" spans="1:18" ht="18" customHeight="1" thickBot="1">
      <c r="A26" s="144" t="s">
        <v>132</v>
      </c>
      <c r="B26" s="144"/>
      <c r="C26" s="144"/>
      <c r="D26" s="144"/>
      <c r="E26" s="144"/>
      <c r="F26" s="144"/>
      <c r="G26" s="144"/>
      <c r="H26" s="144"/>
      <c r="I26" s="144"/>
      <c r="J26" s="144"/>
      <c r="K26" s="144"/>
      <c r="L26" s="144"/>
      <c r="M26" s="144"/>
      <c r="N26" s="144"/>
      <c r="O26" s="144"/>
      <c r="P26" s="144"/>
      <c r="Q26" s="144"/>
    </row>
    <row r="27" spans="1:18" ht="15" customHeight="1">
      <c r="A27" s="144"/>
      <c r="B27" s="144"/>
      <c r="C27" s="144"/>
      <c r="D27" s="144"/>
      <c r="E27" s="144"/>
      <c r="F27" s="144"/>
      <c r="G27" s="144"/>
      <c r="H27" s="144"/>
      <c r="I27" s="144"/>
      <c r="J27" s="144"/>
      <c r="K27" s="144"/>
      <c r="L27" s="144"/>
      <c r="M27" s="144"/>
      <c r="N27" s="144"/>
      <c r="O27" s="144"/>
      <c r="P27" s="144"/>
      <c r="Q27" s="144"/>
    </row>
  </sheetData>
  <mergeCells count="31">
    <mergeCell ref="A25:F25"/>
    <mergeCell ref="G25:Q25"/>
    <mergeCell ref="A26:Q27"/>
    <mergeCell ref="O20:P20"/>
    <mergeCell ref="O21:P21"/>
    <mergeCell ref="O22:P22"/>
    <mergeCell ref="A23:P23"/>
    <mergeCell ref="A24:Q24"/>
    <mergeCell ref="O15:P15"/>
    <mergeCell ref="O16:P16"/>
    <mergeCell ref="O17:P17"/>
    <mergeCell ref="O18:P18"/>
    <mergeCell ref="O19:P19"/>
    <mergeCell ref="A9:N9"/>
    <mergeCell ref="A10:Q10"/>
    <mergeCell ref="A12:Q12"/>
    <mergeCell ref="A13:N13"/>
    <mergeCell ref="O13:P14"/>
    <mergeCell ref="Q13:Q14"/>
    <mergeCell ref="A5:F5"/>
    <mergeCell ref="G5:Q5"/>
    <mergeCell ref="A8:Q8"/>
    <mergeCell ref="A6:F6"/>
    <mergeCell ref="G6:Q6"/>
    <mergeCell ref="A7:F7"/>
    <mergeCell ref="G7:Q7"/>
    <mergeCell ref="A1:C1"/>
    <mergeCell ref="D1:E1"/>
    <mergeCell ref="P1:Q2"/>
    <mergeCell ref="A4:F4"/>
    <mergeCell ref="G4:Q4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Necesidades Trimestrales</vt:lpstr>
      <vt:lpstr> NotaPedido</vt:lpstr>
      <vt:lpstr>Autor Gastar</vt:lpstr>
      <vt:lpstr>' NotaPedido'!Área_de_impresión</vt:lpstr>
      <vt:lpstr>'Autor Gastar'!Área_de_impresión</vt:lpstr>
      <vt:lpstr>'Necesidades Trimestrales'!Área_de_impresión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Lorena Ponce</cp:lastModifiedBy>
  <cp:revision>2</cp:revision>
  <cp:lastPrinted>2020-07-23T13:47:13Z</cp:lastPrinted>
  <dcterms:created xsi:type="dcterms:W3CDTF">2020-07-17T23:44:49Z</dcterms:created>
  <dcterms:modified xsi:type="dcterms:W3CDTF">2020-12-16T17:58:08Z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