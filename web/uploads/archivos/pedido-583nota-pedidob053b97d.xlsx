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AG\Carro Vaquero\"/>
    </mc:Choice>
  </mc:AlternateContent>
  <xr:revisionPtr revIDLastSave="0" documentId="8_{DD07F57C-16DB-4AF9-B0D4-BC9EAF730D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.Trim." sheetId="1" r:id="rId1"/>
    <sheet name="NP 56-2021" sheetId="5" r:id="rId2"/>
    <sheet name="APG" sheetId="6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5" l="1"/>
  <c r="I11" i="5"/>
  <c r="K9" i="1"/>
</calcChain>
</file>

<file path=xl/sharedStrings.xml><?xml version="1.0" encoding="utf-8"?>
<sst xmlns="http://schemas.openxmlformats.org/spreadsheetml/2006/main" count="93" uniqueCount="89">
  <si>
    <r>
      <rPr>
        <b/>
        <sz val="8"/>
        <rFont val="Arial"/>
        <family val="2"/>
      </rPr>
      <t>ID</t>
    </r>
  </si>
  <si>
    <r>
      <rPr>
        <b/>
        <sz val="8"/>
        <rFont val="Arial"/>
        <family val="2"/>
      </rPr>
      <t>CODIGO ITEM</t>
    </r>
  </si>
  <si>
    <r>
      <rPr>
        <b/>
        <sz val="8"/>
        <rFont val="Arial"/>
        <family val="2"/>
      </rPr>
      <t>RUBRO DE LA COMPRA</t>
    </r>
  </si>
  <si>
    <r>
      <rPr>
        <b/>
        <sz val="8"/>
        <rFont val="Arial"/>
        <family val="2"/>
      </rPr>
      <t>I.P.P</t>
    </r>
  </si>
  <si>
    <r>
      <rPr>
        <b/>
        <sz val="8"/>
        <rFont val="Arial"/>
        <family val="2"/>
      </rPr>
      <t>DESCRIPCION</t>
    </r>
  </si>
  <si>
    <r>
      <rPr>
        <b/>
        <sz val="8"/>
        <rFont val="Arial"/>
        <family val="2"/>
      </rPr>
      <t>UNIDAD DE MEDIDA</t>
    </r>
  </si>
  <si>
    <r>
      <rPr>
        <b/>
        <sz val="8"/>
        <rFont val="Arial"/>
        <family val="2"/>
      </rPr>
      <t>CANTIDAD</t>
    </r>
  </si>
  <si>
    <r>
      <rPr>
        <b/>
        <sz val="8"/>
        <rFont val="Arial"/>
        <family val="2"/>
      </rPr>
      <t xml:space="preserve">PRECIO
</t>
    </r>
    <r>
      <rPr>
        <b/>
        <sz val="8"/>
        <rFont val="Arial"/>
        <family val="2"/>
      </rPr>
      <t>UNITARIO ESTIMADO</t>
    </r>
  </si>
  <si>
    <r>
      <rPr>
        <b/>
        <sz val="8"/>
        <rFont val="Arial"/>
        <family val="2"/>
      </rPr>
      <t xml:space="preserve">IMPORTE
</t>
    </r>
    <r>
      <rPr>
        <b/>
        <sz val="8"/>
        <rFont val="Arial"/>
        <family val="2"/>
      </rPr>
      <t>TOTAL ESTIMADO</t>
    </r>
  </si>
  <si>
    <r>
      <rPr>
        <sz val="8"/>
        <rFont val="Arial MT"/>
        <family val="2"/>
      </rPr>
      <t>4.3.2-8393.44</t>
    </r>
  </si>
  <si>
    <r>
      <rPr>
        <sz val="8"/>
        <rFont val="Arial MT"/>
        <family val="2"/>
      </rPr>
      <t>EQUIPOS</t>
    </r>
  </si>
  <si>
    <r>
      <rPr>
        <sz val="8"/>
        <rFont val="Arial MT"/>
        <family val="2"/>
      </rPr>
      <t>4.3.2.</t>
    </r>
  </si>
  <si>
    <r>
      <rPr>
        <sz val="8"/>
        <rFont val="Arial MT"/>
        <family val="2"/>
      </rPr>
      <t>UNIDAD</t>
    </r>
  </si>
  <si>
    <t>JURISDICCION:</t>
  </si>
  <si>
    <t xml:space="preserve">SAF N°: </t>
  </si>
  <si>
    <t>EJERCICIO:</t>
  </si>
  <si>
    <t>TRIMESTRE:</t>
  </si>
  <si>
    <t>33- DIRECCION PROVINVIAL DE GESTION ADMINISTRATIVA Y R.R.H.H.</t>
  </si>
  <si>
    <t>62- MINISTERIO DE AGRICULTURA Y GANADERIA</t>
  </si>
  <si>
    <t>Pedido de Necesidades Trimestrales</t>
  </si>
  <si>
    <t>Especialidades item N° 1</t>
  </si>
  <si>
    <t>Descripcion Técnica</t>
  </si>
  <si>
    <t>ACOPLADO JAULA PARA 6 ANIMALES CON 2 EJES TIPO BALANCIN, DE 4 RUEDAS 650X16. PUERTA TRASERA REVATIBLE Y PUERTA TIPO GUILLOTINA CON PISO ANTIDESLIZANTE. ALTURA 2MTS</t>
  </si>
  <si>
    <t>Plazos y lugares de entrega:</t>
  </si>
  <si>
    <t>PLAZO DE ENTREGA: 20 DIAS</t>
  </si>
  <si>
    <t>AV. VENEZUELA S/N - C.A.P.E - PABELLON N° 28 -SAN FERNANDO DEL VALLE DE CATAMARCA- CATAMARCA</t>
  </si>
  <si>
    <t>Garantia</t>
  </si>
  <si>
    <t xml:space="preserve">Canlidad Minima esperada </t>
  </si>
  <si>
    <t>SEGÚN DESCRIPCION DE ITEM</t>
  </si>
  <si>
    <t>Mantenimiento</t>
  </si>
  <si>
    <t>30 dias</t>
  </si>
  <si>
    <t>ACOPLADOS; DIMENSION: 3,3 X 1,9 X 2 M, CAPACIDAD: 4 TON, USO: TRASLADO DE BOBINO, MATERIAL: CHAPA METAL</t>
  </si>
  <si>
    <r>
      <rPr>
        <b/>
        <u/>
        <sz val="21.5"/>
        <rFont val="Times New Roman"/>
        <family val="1"/>
      </rPr>
      <t>NOTA DE PEDIDO</t>
    </r>
    <r>
      <rPr>
        <b/>
        <sz val="21.5"/>
        <rFont val="Times New Roman"/>
        <family val="1"/>
      </rPr>
      <t xml:space="preserve">                                                      </t>
    </r>
    <r>
      <rPr>
        <b/>
        <u/>
        <vertAlign val="superscript"/>
        <sz val="10.5"/>
        <rFont val="Times New Roman"/>
        <family val="1"/>
      </rPr>
      <t>N°</t>
    </r>
  </si>
  <si>
    <r>
      <rPr>
        <sz val="10.5"/>
        <rFont val="Times New Roman"/>
        <family val="1"/>
      </rPr>
      <t>JURISDICCIÓN:</t>
    </r>
  </si>
  <si>
    <r>
      <rPr>
        <b/>
        <sz val="10.5"/>
        <rFont val="Times New Roman"/>
        <family val="1"/>
      </rPr>
      <t>62- MINISTERIO DE AGRICULTURA Y GANADERIA</t>
    </r>
  </si>
  <si>
    <r>
      <rPr>
        <sz val="10.5"/>
        <rFont val="Times New Roman"/>
        <family val="1"/>
      </rPr>
      <t>SAF:</t>
    </r>
  </si>
  <si>
    <r>
      <rPr>
        <b/>
        <sz val="10.5"/>
        <rFont val="Times New Roman"/>
        <family val="1"/>
      </rPr>
      <t>33- DIRECCION PROVINCIAL DE GESTION ADMINISTRATIVA Y R.R.H.H</t>
    </r>
  </si>
  <si>
    <r>
      <rPr>
        <sz val="10.5"/>
        <rFont val="Times New Roman"/>
        <family val="1"/>
      </rPr>
      <t>UNIDAD EJECUTORA:</t>
    </r>
  </si>
  <si>
    <r>
      <rPr>
        <b/>
        <sz val="10.5"/>
        <rFont val="Times New Roman"/>
        <family val="1"/>
      </rPr>
      <t>MINISTERIO DE AGRICULTURA Y GANADERIA</t>
    </r>
  </si>
  <si>
    <r>
      <rPr>
        <sz val="10.5"/>
        <rFont val="Times New Roman"/>
        <family val="1"/>
      </rPr>
      <t>DEPENDENCIA SOLICITANTE:</t>
    </r>
  </si>
  <si>
    <r>
      <rPr>
        <sz val="10.5"/>
        <rFont val="Times New Roman"/>
        <family val="1"/>
      </rPr>
      <t>PERIODO UTILIZACIÓN:</t>
    </r>
  </si>
  <si>
    <r>
      <rPr>
        <b/>
        <sz val="10.5"/>
        <rFont val="Times New Roman"/>
        <family val="1"/>
      </rPr>
      <t>4 - TRIMESTRE 2021</t>
    </r>
  </si>
  <si>
    <r>
      <rPr>
        <sz val="10.5"/>
        <rFont val="Times New Roman"/>
        <family val="1"/>
      </rPr>
      <t>OBJETO:</t>
    </r>
  </si>
  <si>
    <r>
      <rPr>
        <b/>
        <sz val="10.5"/>
        <rFont val="Times New Roman"/>
        <family val="1"/>
      </rPr>
      <t>Adquisicion de Carro Vaquero para traslado de animales desde areas dependientes del Ministerio de Agricultura y Ganaderia.</t>
    </r>
  </si>
  <si>
    <r>
      <rPr>
        <b/>
        <sz val="10"/>
        <rFont val="Times New Roman"/>
        <family val="1"/>
      </rPr>
      <t>Ítem</t>
    </r>
  </si>
  <si>
    <r>
      <rPr>
        <b/>
        <sz val="10"/>
        <rFont val="Times New Roman"/>
        <family val="1"/>
      </rPr>
      <t>Codigo Item</t>
    </r>
  </si>
  <si>
    <r>
      <rPr>
        <b/>
        <sz val="10"/>
        <rFont val="Times New Roman"/>
        <family val="1"/>
      </rPr>
      <t>DESCRIPCIÓN</t>
    </r>
  </si>
  <si>
    <r>
      <rPr>
        <b/>
        <sz val="10"/>
        <rFont val="Times New Roman"/>
        <family val="1"/>
      </rPr>
      <t xml:space="preserve">Adjunta
</t>
    </r>
    <r>
      <rPr>
        <b/>
        <sz val="10"/>
        <rFont val="Times New Roman"/>
        <family val="1"/>
      </rPr>
      <t>Detalle Técnico</t>
    </r>
  </si>
  <si>
    <r>
      <rPr>
        <b/>
        <sz val="10"/>
        <rFont val="Times New Roman"/>
        <family val="1"/>
      </rPr>
      <t>Unidad Medida</t>
    </r>
  </si>
  <si>
    <r>
      <rPr>
        <b/>
        <sz val="10"/>
        <rFont val="Times New Roman"/>
        <family val="1"/>
      </rPr>
      <t>Precio Unitario Estimado</t>
    </r>
  </si>
  <si>
    <r>
      <rPr>
        <b/>
        <sz val="10"/>
        <rFont val="Times New Roman"/>
        <family val="1"/>
      </rPr>
      <t>Cantidad Solicitada</t>
    </r>
  </si>
  <si>
    <r>
      <rPr>
        <sz val="9"/>
        <rFont val="Arial MT"/>
        <family val="2"/>
      </rPr>
      <t>4.3.2-8393.44</t>
    </r>
  </si>
  <si>
    <r>
      <rPr>
        <sz val="10"/>
        <rFont val="Calibri"/>
        <family val="1"/>
      </rPr>
      <t>ACOPLADOS; DIMENSION: 3,3 X 1,9 X 2 M, CAPACIDAD: 4 TON, USO: TRASLADO DE BOBINO, MATERIAL: CHAPA METAL</t>
    </r>
  </si>
  <si>
    <r>
      <rPr>
        <sz val="9"/>
        <rFont val="Calibri"/>
        <family val="1"/>
      </rPr>
      <t>SI</t>
    </r>
  </si>
  <si>
    <r>
      <rPr>
        <sz val="9"/>
        <rFont val="Arial MT"/>
        <family val="2"/>
      </rPr>
      <t>UNIDAD</t>
    </r>
  </si>
  <si>
    <r>
      <rPr>
        <b/>
        <sz val="12.5"/>
        <rFont val="Times New Roman"/>
        <family val="1"/>
      </rPr>
      <t>Costo total estimado: OCHOCIENTOS TREINTA Y OCHO MIL CON 00/100</t>
    </r>
  </si>
  <si>
    <r>
      <rPr>
        <sz val="9"/>
        <rFont val="Arial MT"/>
        <family val="2"/>
      </rPr>
      <t xml:space="preserve">EJERCICIO:       </t>
    </r>
    <r>
      <rPr>
        <b/>
        <sz val="10"/>
        <rFont val="Arial"/>
        <family val="2"/>
      </rPr>
      <t>2.021</t>
    </r>
  </si>
  <si>
    <r>
      <rPr>
        <b/>
        <sz val="10.5"/>
        <rFont val="Arial"/>
        <family val="2"/>
      </rPr>
      <t xml:space="preserve">AUTORIZACION PARA
</t>
    </r>
    <r>
      <rPr>
        <b/>
        <sz val="10.5"/>
        <rFont val="Arial"/>
        <family val="2"/>
      </rPr>
      <t>GASTAR</t>
    </r>
  </si>
  <si>
    <r>
      <rPr>
        <sz val="9"/>
        <rFont val="Arial MT"/>
        <family val="2"/>
      </rPr>
      <t>JURISDICCIÓN:</t>
    </r>
  </si>
  <si>
    <r>
      <rPr>
        <sz val="9"/>
        <rFont val="Times New Roman"/>
        <family val="1"/>
      </rPr>
      <t>62- MINISTERIO DE AGRICULTURA Y GANADERIA</t>
    </r>
  </si>
  <si>
    <r>
      <rPr>
        <sz val="9"/>
        <rFont val="Times New Roman"/>
        <family val="1"/>
      </rPr>
      <t>SAF:</t>
    </r>
  </si>
  <si>
    <r>
      <rPr>
        <sz val="9"/>
        <rFont val="Times New Roman"/>
        <family val="1"/>
      </rPr>
      <t>33- DIRECCION PROVINCIAL DE GESTION ADMINISTRATIVA Y R.R.H.H.</t>
    </r>
  </si>
  <si>
    <r>
      <rPr>
        <sz val="9"/>
        <rFont val="Times New Roman"/>
        <family val="1"/>
      </rPr>
      <t>UNIDAD EJECUTORA:</t>
    </r>
  </si>
  <si>
    <r>
      <rPr>
        <sz val="9"/>
        <rFont val="Times New Roman"/>
        <family val="1"/>
      </rPr>
      <t>MINISTERIO DE AGRICULTURA Y GANADERIA</t>
    </r>
  </si>
  <si>
    <r>
      <rPr>
        <sz val="9"/>
        <rFont val="Times New Roman"/>
        <family val="1"/>
      </rPr>
      <t>DEPENDENCIA SOLICITANTE:</t>
    </r>
  </si>
  <si>
    <r>
      <rPr>
        <b/>
        <u/>
        <sz val="9"/>
        <rFont val="Arial"/>
        <family val="2"/>
      </rPr>
      <t>AUTORIZACIÓN</t>
    </r>
    <r>
      <rPr>
        <b/>
        <sz val="9"/>
        <rFont val="Arial"/>
        <family val="2"/>
      </rPr>
      <t>:</t>
    </r>
  </si>
  <si>
    <r>
      <rPr>
        <sz val="10"/>
        <rFont val="Arial MT"/>
        <family val="2"/>
      </rPr>
      <t xml:space="preserve">Señor Director de Administración o Titular del Servicio Administrativo Financiero:
</t>
    </r>
    <r>
      <rPr>
        <sz val="10"/>
        <rFont val="Arial MT"/>
        <family val="2"/>
      </rPr>
      <t>Autorizo  la  realización  de  los   trámites  correspondientes,  a  fin  de  proveer  a  este  Organismo  los bienes,  servicios o ejecución de obras públicas que se detallan en Nota  de Pedido N° 56 / 2021 afectando la erogación resultante a los créditos presupuestarios aprobados a favor de esta Unidad Ejecutora, conforme al siguiente detalle:</t>
    </r>
  </si>
  <si>
    <r>
      <rPr>
        <b/>
        <sz val="9"/>
        <rFont val="Arial"/>
        <family val="2"/>
      </rPr>
      <t>IMPUTACIÓN PRESUPUESTARIA</t>
    </r>
  </si>
  <si>
    <r>
      <rPr>
        <b/>
        <sz val="9"/>
        <rFont val="Arial"/>
        <family val="2"/>
      </rPr>
      <t>CÓDIGO</t>
    </r>
  </si>
  <si>
    <r>
      <rPr>
        <b/>
        <sz val="9"/>
        <rFont val="Arial"/>
        <family val="2"/>
      </rPr>
      <t>DENOMINACIÓN DE LA PARTIDA PRESUPUESTARIA</t>
    </r>
  </si>
  <si>
    <r>
      <rPr>
        <b/>
        <sz val="9"/>
        <rFont val="Arial"/>
        <family val="2"/>
      </rPr>
      <t>IMPORTE</t>
    </r>
  </si>
  <si>
    <r>
      <rPr>
        <b/>
        <sz val="9"/>
        <rFont val="Arial"/>
        <family val="2"/>
      </rPr>
      <t>PR</t>
    </r>
  </si>
  <si>
    <r>
      <rPr>
        <b/>
        <sz val="9"/>
        <rFont val="Arial"/>
        <family val="2"/>
      </rPr>
      <t>SB</t>
    </r>
  </si>
  <si>
    <r>
      <rPr>
        <b/>
        <sz val="9"/>
        <rFont val="Arial"/>
        <family val="2"/>
      </rPr>
      <t>PY</t>
    </r>
  </si>
  <si>
    <r>
      <rPr>
        <b/>
        <sz val="9"/>
        <rFont val="Arial"/>
        <family val="2"/>
      </rPr>
      <t>AC</t>
    </r>
  </si>
  <si>
    <r>
      <rPr>
        <b/>
        <sz val="9"/>
        <rFont val="Arial"/>
        <family val="2"/>
      </rPr>
      <t>OB</t>
    </r>
  </si>
  <si>
    <r>
      <rPr>
        <b/>
        <sz val="9"/>
        <rFont val="Arial"/>
        <family val="2"/>
      </rPr>
      <t>UG</t>
    </r>
  </si>
  <si>
    <r>
      <rPr>
        <b/>
        <sz val="9"/>
        <rFont val="Arial"/>
        <family val="2"/>
      </rPr>
      <t>FIN</t>
    </r>
  </si>
  <si>
    <r>
      <rPr>
        <b/>
        <sz val="9"/>
        <rFont val="Arial"/>
        <family val="2"/>
      </rPr>
      <t>FUN</t>
    </r>
  </si>
  <si>
    <r>
      <rPr>
        <b/>
        <sz val="9"/>
        <rFont val="Arial"/>
        <family val="2"/>
      </rPr>
      <t>I</t>
    </r>
  </si>
  <si>
    <r>
      <rPr>
        <b/>
        <sz val="9"/>
        <rFont val="Arial"/>
        <family val="2"/>
      </rPr>
      <t>P</t>
    </r>
  </si>
  <si>
    <r>
      <rPr>
        <b/>
        <sz val="9"/>
        <rFont val="Arial"/>
        <family val="2"/>
      </rPr>
      <t>SubP</t>
    </r>
  </si>
  <si>
    <r>
      <rPr>
        <b/>
        <sz val="9"/>
        <rFont val="Arial"/>
        <family val="2"/>
      </rPr>
      <t>M</t>
    </r>
  </si>
  <si>
    <r>
      <rPr>
        <b/>
        <sz val="9"/>
        <rFont val="Arial"/>
        <family val="2"/>
      </rPr>
      <t>FF</t>
    </r>
  </si>
  <si>
    <r>
      <rPr>
        <sz val="9"/>
        <rFont val="Times New Roman"/>
        <family val="1"/>
      </rPr>
      <t>1.1</t>
    </r>
  </si>
  <si>
    <r>
      <rPr>
        <sz val="10"/>
        <rFont val="Times New Roman"/>
        <family val="1"/>
      </rPr>
      <t xml:space="preserve">Equipo de Transporte, Tracción y
</t>
    </r>
    <r>
      <rPr>
        <sz val="10"/>
        <rFont val="Times New Roman"/>
        <family val="1"/>
      </rPr>
      <t>Elevación</t>
    </r>
  </si>
  <si>
    <r>
      <rPr>
        <b/>
        <sz val="10"/>
        <rFont val="Arial"/>
        <family val="2"/>
      </rPr>
      <t>TOTAL DE PESOS: OCHOCIENTOS TREINTA Y OCHO MIL CON 00/100</t>
    </r>
  </si>
  <si>
    <r>
      <rPr>
        <b/>
        <sz val="10"/>
        <rFont val="Arial"/>
        <family val="2"/>
      </rPr>
      <t>JUSTIFICACIÓN:</t>
    </r>
  </si>
  <si>
    <r>
      <rPr>
        <b/>
        <sz val="10"/>
        <rFont val="Arial"/>
        <family val="2"/>
      </rPr>
      <t>Adquisicion de Carro Vaquero para traslado de animales desde areas dependientes del Ministerio de Agricultura y Ganaderia.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</si>
</sst>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[$$-2C0A]\ * #,##0.00_-;\-[$$-2C0A]\ * #,##0.00_-;_-[$$-2C0A]\ * &quot;-&quot;??_-;_-@_-"/>
    <numFmt numFmtId="171" formatCode="\$\ #,##0.00"/>
  </numFmts>
  <fonts count="39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sz val="8"/>
      <name val="Arial MT"/>
    </font>
    <font>
      <b/>
      <sz val="8"/>
      <name val="Arial"/>
      <family val="2"/>
    </font>
    <font>
      <sz val="8"/>
      <name val="Arial MT"/>
      <family val="2"/>
    </font>
    <font>
      <sz val="8.5"/>
      <name val="Calibri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b/>
      <sz val="12"/>
      <color rgb="FF333333"/>
      <name val="Arial"/>
      <family val="2"/>
    </font>
    <font>
      <sz val="10"/>
      <color rgb="FF000000"/>
      <name val="Times New Roman"/>
      <family val="1"/>
    </font>
    <font>
      <b/>
      <u/>
      <sz val="21.5"/>
      <name val="Times New Roman"/>
      <family val="1"/>
    </font>
    <font>
      <b/>
      <sz val="21.5"/>
      <name val="Times New Roman"/>
      <family val="1"/>
    </font>
    <font>
      <b/>
      <u/>
      <vertAlign val="superscript"/>
      <sz val="10.5"/>
      <name val="Times New Roman"/>
      <family val="1"/>
    </font>
    <font>
      <b/>
      <sz val="10.5"/>
      <color rgb="FF000000"/>
      <name val="Times New Roman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10"/>
      <color rgb="FF000000"/>
      <name val="Calibri"/>
      <family val="2"/>
    </font>
    <font>
      <sz val="9"/>
      <name val="Arial MT"/>
    </font>
    <font>
      <sz val="9"/>
      <name val="Arial MT"/>
      <family val="2"/>
    </font>
    <font>
      <sz val="10"/>
      <name val="Calibri"/>
      <family val="2"/>
    </font>
    <font>
      <sz val="10"/>
      <name val="Calibri"/>
      <family val="1"/>
    </font>
    <font>
      <sz val="9"/>
      <name val="Calibri"/>
      <family val="2"/>
    </font>
    <font>
      <sz val="9"/>
      <name val="Calibri"/>
      <family val="1"/>
    </font>
    <font>
      <sz val="9"/>
      <color rgb="FF000000"/>
      <name val="Calibri"/>
      <family val="2"/>
    </font>
    <font>
      <b/>
      <sz val="12.5"/>
      <name val="Times New Roman"/>
      <family val="1"/>
    </font>
    <font>
      <b/>
      <sz val="10"/>
      <color rgb="FF000000"/>
      <name val="Calibri"/>
      <family val="2"/>
    </font>
    <font>
      <b/>
      <sz val="10"/>
      <name val="Arial"/>
      <family val="2"/>
    </font>
    <font>
      <b/>
      <sz val="10.5"/>
      <name val="Arial"/>
      <family val="2"/>
    </font>
    <font>
      <sz val="9"/>
      <name val="Times New Roman"/>
      <family val="1"/>
    </font>
    <font>
      <b/>
      <u/>
      <sz val="9"/>
      <name val="Arial"/>
      <family val="2"/>
    </font>
    <font>
      <b/>
      <sz val="9"/>
      <name val="Arial"/>
      <family val="2"/>
    </font>
    <font>
      <sz val="10"/>
      <name val="Arial MT"/>
      <family val="2"/>
    </font>
    <font>
      <sz val="9"/>
      <color rgb="FF000000"/>
      <name val="Times New Roman"/>
      <family val="2"/>
    </font>
    <font>
      <sz val="10"/>
      <name val="Times New Roman"/>
      <family val="1"/>
    </font>
    <font>
      <sz val="9"/>
      <color rgb="FF000000"/>
      <name val="Arial MT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3C3C3C"/>
      </right>
      <top style="thin">
        <color rgb="FF000000"/>
      </top>
      <bottom/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3C3C3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3C3C3C"/>
      </top>
      <bottom style="thin">
        <color rgb="FF3C3C3C"/>
      </bottom>
      <diagonal/>
    </border>
    <border>
      <left/>
      <right/>
      <top style="thin">
        <color rgb="FF3C3C3C"/>
      </top>
      <bottom style="thin">
        <color rgb="FF3C3C3C"/>
      </bottom>
      <diagonal/>
    </border>
    <border>
      <left/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3C3C3C"/>
      </top>
      <bottom style="thin">
        <color rgb="FF000000"/>
      </bottom>
      <diagonal/>
    </border>
    <border>
      <left/>
      <right/>
      <top style="thin">
        <color rgb="FF3C3C3C"/>
      </top>
      <bottom style="thin">
        <color rgb="FF000000"/>
      </bottom>
      <diagonal/>
    </border>
    <border>
      <left/>
      <right style="thin">
        <color rgb="FF000000"/>
      </right>
      <top style="thin">
        <color rgb="FF3C3C3C"/>
      </top>
      <bottom style="thin">
        <color rgb="FF000000"/>
      </bottom>
      <diagonal/>
    </border>
    <border>
      <left/>
      <right style="thin">
        <color rgb="FF3C3C3C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C3C3C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3C3C3C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C3C3C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3C3C3C"/>
      </right>
      <top/>
      <bottom/>
      <diagonal/>
    </border>
    <border>
      <left style="thin">
        <color rgb="FF3C3C3C"/>
      </left>
      <right/>
      <top/>
      <bottom style="thin">
        <color rgb="FF3C3C3C"/>
      </bottom>
      <diagonal/>
    </border>
    <border>
      <left/>
      <right style="thin">
        <color rgb="FF000000"/>
      </right>
      <top/>
      <bottom style="thin">
        <color rgb="FF3C3C3C"/>
      </bottom>
      <diagonal/>
    </border>
    <border>
      <left style="thin">
        <color rgb="FF000000"/>
      </left>
      <right/>
      <top/>
      <bottom style="thin">
        <color rgb="FF3C3C3C"/>
      </bottom>
      <diagonal/>
    </border>
    <border>
      <left/>
      <right/>
      <top/>
      <bottom style="thin">
        <color rgb="FF3C3C3C"/>
      </bottom>
      <diagonal/>
    </border>
    <border>
      <left/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 style="thin">
        <color rgb="FF3C3C3C"/>
      </bottom>
      <diagonal/>
    </border>
    <border>
      <left style="thin">
        <color rgb="FF3C3C3C"/>
      </left>
      <right/>
      <top style="thin">
        <color rgb="FF3C3C3C"/>
      </top>
      <bottom/>
      <diagonal/>
    </border>
    <border>
      <left/>
      <right style="thin">
        <color rgb="FF3C3C3C"/>
      </right>
      <top style="thin">
        <color rgb="FF3C3C3C"/>
      </top>
      <bottom/>
      <diagonal/>
    </border>
    <border>
      <left style="thin">
        <color rgb="FF3C3C3C"/>
      </left>
      <right style="thin">
        <color rgb="FF000000"/>
      </right>
      <top style="thin">
        <color rgb="FF3C3C3C"/>
      </top>
      <bottom/>
      <diagonal/>
    </border>
    <border>
      <left style="thin">
        <color rgb="FF000000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/>
      <right style="thin">
        <color rgb="FF3C3C3C"/>
      </right>
      <top/>
      <bottom style="thin">
        <color rgb="FF3C3C3C"/>
      </bottom>
      <diagonal/>
    </border>
    <border>
      <left style="thin">
        <color rgb="FF3C3C3C"/>
      </left>
      <right style="thin">
        <color rgb="FF000000"/>
      </right>
      <top/>
      <bottom style="thin">
        <color rgb="FF000000"/>
      </bottom>
      <diagonal/>
    </border>
    <border>
      <left style="thin">
        <color rgb="FF3C3C3C"/>
      </left>
      <right style="thin">
        <color rgb="FF000000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/>
      <top style="thin">
        <color rgb="FF3C3C3C"/>
      </top>
      <bottom/>
      <diagonal/>
    </border>
    <border>
      <left/>
      <right/>
      <top style="thin">
        <color rgb="FF3C3C3C"/>
      </top>
      <bottom/>
      <diagonal/>
    </border>
    <border>
      <left/>
      <right style="thin">
        <color rgb="FF000000"/>
      </right>
      <top style="thin">
        <color rgb="FF3C3C3C"/>
      </top>
      <bottom/>
      <diagonal/>
    </border>
  </borders>
  <cellStyleXfs count="2">
    <xf numFmtId="0" fontId="0" fillId="0" borderId="0"/>
    <xf numFmtId="0" fontId="11" fillId="0" borderId="0"/>
  </cellStyleXfs>
  <cellXfs count="156">
    <xf numFmtId="0" fontId="0" fillId="0" borderId="0" xfId="0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Alignment="1">
      <alignment horizontal="left" vertical="center" wrapText="1"/>
    </xf>
    <xf numFmtId="0" fontId="9" fillId="0" borderId="0" xfId="0" applyFont="1"/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 shrinkToFit="1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11" fillId="0" borderId="0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 wrapText="1" shrinkToFit="1"/>
    </xf>
    <xf numFmtId="166" fontId="2" fillId="2" borderId="1" xfId="0" applyNumberFormat="1" applyFont="1" applyFill="1" applyBorder="1" applyAlignment="1">
      <alignment horizontal="center" vertical="center" wrapText="1" shrinkToFit="1"/>
    </xf>
    <xf numFmtId="0" fontId="10" fillId="2" borderId="0" xfId="0" applyFont="1" applyFill="1" applyAlignment="1">
      <alignment horizontal="left" vertical="center" wrapText="1"/>
    </xf>
    <xf numFmtId="0" fontId="9" fillId="2" borderId="0" xfId="0" applyFont="1" applyFill="1"/>
    <xf numFmtId="0" fontId="9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center" wrapText="1"/>
    </xf>
    <xf numFmtId="0" fontId="11" fillId="0" borderId="10" xfId="1" applyBorder="1" applyAlignment="1">
      <alignment horizontal="left" vertical="top" wrapText="1" indent="30"/>
    </xf>
    <xf numFmtId="0" fontId="11" fillId="0" borderId="11" xfId="1" applyBorder="1" applyAlignment="1">
      <alignment horizontal="left" vertical="top" wrapText="1" indent="30"/>
    </xf>
    <xf numFmtId="0" fontId="11" fillId="0" borderId="12" xfId="1" applyBorder="1" applyAlignment="1">
      <alignment horizontal="left" vertical="top" wrapText="1" indent="30"/>
    </xf>
    <xf numFmtId="1" fontId="15" fillId="0" borderId="13" xfId="1" applyNumberFormat="1" applyFont="1" applyBorder="1" applyAlignment="1">
      <alignment horizontal="left" vertical="top" indent="4" shrinkToFit="1"/>
    </xf>
    <xf numFmtId="0" fontId="11" fillId="0" borderId="0" xfId="1" applyAlignment="1">
      <alignment horizontal="left" vertical="top"/>
    </xf>
    <xf numFmtId="0" fontId="11" fillId="0" borderId="14" xfId="1" applyBorder="1" applyAlignment="1">
      <alignment horizontal="left" wrapText="1"/>
    </xf>
    <xf numFmtId="0" fontId="11" fillId="0" borderId="15" xfId="1" applyBorder="1" applyAlignment="1">
      <alignment horizontal="left" wrapText="1"/>
    </xf>
    <xf numFmtId="0" fontId="11" fillId="0" borderId="16" xfId="1" applyBorder="1" applyAlignment="1">
      <alignment horizontal="left" wrapText="1"/>
    </xf>
    <xf numFmtId="0" fontId="16" fillId="0" borderId="17" xfId="1" applyFont="1" applyBorder="1" applyAlignment="1">
      <alignment horizontal="left" vertical="top" wrapText="1"/>
    </xf>
    <xf numFmtId="0" fontId="16" fillId="0" borderId="18" xfId="1" applyFont="1" applyBorder="1" applyAlignment="1">
      <alignment horizontal="left" vertical="top" wrapText="1"/>
    </xf>
    <xf numFmtId="0" fontId="16" fillId="0" borderId="19" xfId="1" applyFont="1" applyBorder="1" applyAlignment="1">
      <alignment horizontal="left" vertical="top" wrapText="1"/>
    </xf>
    <xf numFmtId="0" fontId="17" fillId="0" borderId="20" xfId="1" applyFont="1" applyBorder="1" applyAlignment="1">
      <alignment horizontal="left" vertical="top" wrapText="1" indent="1"/>
    </xf>
    <xf numFmtId="0" fontId="17" fillId="0" borderId="21" xfId="1" applyFont="1" applyBorder="1" applyAlignment="1">
      <alignment horizontal="left" vertical="top" wrapText="1" indent="1"/>
    </xf>
    <xf numFmtId="0" fontId="17" fillId="0" borderId="22" xfId="1" applyFont="1" applyBorder="1" applyAlignment="1">
      <alignment horizontal="left" vertical="top" wrapText="1" indent="1"/>
    </xf>
    <xf numFmtId="0" fontId="11" fillId="0" borderId="20" xfId="1" applyBorder="1" applyAlignment="1">
      <alignment horizontal="left" wrapText="1"/>
    </xf>
    <xf numFmtId="0" fontId="11" fillId="0" borderId="21" xfId="1" applyBorder="1" applyAlignment="1">
      <alignment horizontal="left" wrapText="1"/>
    </xf>
    <xf numFmtId="0" fontId="11" fillId="0" borderId="22" xfId="1" applyBorder="1" applyAlignment="1">
      <alignment horizontal="left" wrapText="1"/>
    </xf>
    <xf numFmtId="0" fontId="18" fillId="0" borderId="28" xfId="1" applyFont="1" applyBorder="1" applyAlignment="1">
      <alignment horizontal="center" vertical="center" wrapText="1"/>
    </xf>
    <xf numFmtId="0" fontId="18" fillId="0" borderId="29" xfId="1" applyFont="1" applyBorder="1" applyAlignment="1">
      <alignment horizontal="center" vertical="center" wrapText="1"/>
    </xf>
    <xf numFmtId="0" fontId="18" fillId="0" borderId="27" xfId="1" applyFont="1" applyBorder="1" applyAlignment="1">
      <alignment horizontal="center" vertical="center" wrapText="1"/>
    </xf>
    <xf numFmtId="0" fontId="18" fillId="0" borderId="26" xfId="1" applyFont="1" applyBorder="1" applyAlignment="1">
      <alignment horizontal="center" vertical="center" wrapText="1"/>
    </xf>
    <xf numFmtId="0" fontId="11" fillId="0" borderId="29" xfId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0" xfId="1" applyFont="1" applyBorder="1" applyAlignment="1">
      <alignment horizontal="left" vertical="top" wrapText="1" indent="2"/>
    </xf>
    <xf numFmtId="1" fontId="19" fillId="2" borderId="1" xfId="1" applyNumberFormat="1" applyFont="1" applyFill="1" applyBorder="1" applyAlignment="1">
      <alignment horizontal="center" vertical="center" shrinkToFit="1"/>
    </xf>
    <xf numFmtId="0" fontId="20" fillId="2" borderId="1" xfId="1" applyFont="1" applyFill="1" applyBorder="1" applyAlignment="1">
      <alignment horizontal="center" vertical="center" wrapText="1"/>
    </xf>
    <xf numFmtId="0" fontId="22" fillId="2" borderId="20" xfId="1" applyFont="1" applyFill="1" applyBorder="1" applyAlignment="1">
      <alignment horizontal="left" vertical="top" wrapText="1"/>
    </xf>
    <xf numFmtId="0" fontId="22" fillId="2" borderId="22" xfId="1" applyFont="1" applyFill="1" applyBorder="1" applyAlignment="1">
      <alignment horizontal="left" vertical="top" wrapText="1"/>
    </xf>
    <xf numFmtId="0" fontId="24" fillId="2" borderId="1" xfId="1" applyFont="1" applyFill="1" applyBorder="1" applyAlignment="1">
      <alignment horizontal="center" vertical="top" wrapText="1"/>
    </xf>
    <xf numFmtId="171" fontId="26" fillId="2" borderId="1" xfId="1" applyNumberFormat="1" applyFont="1" applyFill="1" applyBorder="1" applyAlignment="1">
      <alignment horizontal="left" vertical="top" indent="1" shrinkToFit="1"/>
    </xf>
    <xf numFmtId="1" fontId="26" fillId="2" borderId="1" xfId="1" applyNumberFormat="1" applyFont="1" applyFill="1" applyBorder="1" applyAlignment="1">
      <alignment horizontal="left" vertical="top" indent="4" shrinkToFit="1"/>
    </xf>
    <xf numFmtId="0" fontId="27" fillId="2" borderId="20" xfId="1" applyFont="1" applyFill="1" applyBorder="1" applyAlignment="1">
      <alignment horizontal="center" vertical="top" wrapText="1"/>
    </xf>
    <xf numFmtId="0" fontId="27" fillId="2" borderId="21" xfId="1" applyFont="1" applyFill="1" applyBorder="1" applyAlignment="1">
      <alignment horizontal="center" vertical="top" wrapText="1"/>
    </xf>
    <xf numFmtId="0" fontId="27" fillId="2" borderId="22" xfId="1" applyFont="1" applyFill="1" applyBorder="1" applyAlignment="1">
      <alignment horizontal="center" vertical="top" wrapText="1"/>
    </xf>
    <xf numFmtId="171" fontId="28" fillId="2" borderId="20" xfId="1" applyNumberFormat="1" applyFont="1" applyFill="1" applyBorder="1" applyAlignment="1">
      <alignment horizontal="left" vertical="top" shrinkToFit="1"/>
    </xf>
    <xf numFmtId="171" fontId="28" fillId="2" borderId="22" xfId="1" applyNumberFormat="1" applyFont="1" applyFill="1" applyBorder="1" applyAlignment="1">
      <alignment horizontal="left" vertical="top" shrinkToFit="1"/>
    </xf>
    <xf numFmtId="0" fontId="16" fillId="2" borderId="17" xfId="1" applyFont="1" applyFill="1" applyBorder="1" applyAlignment="1">
      <alignment horizontal="left" vertical="top" wrapText="1"/>
    </xf>
    <xf numFmtId="0" fontId="16" fillId="2" borderId="18" xfId="1" applyFont="1" applyFill="1" applyBorder="1" applyAlignment="1">
      <alignment horizontal="left" vertical="top" wrapText="1"/>
    </xf>
    <xf numFmtId="0" fontId="16" fillId="2" borderId="19" xfId="1" applyFont="1" applyFill="1" applyBorder="1" applyAlignment="1">
      <alignment horizontal="left" vertical="top" wrapText="1"/>
    </xf>
    <xf numFmtId="0" fontId="17" fillId="2" borderId="20" xfId="1" applyFont="1" applyFill="1" applyBorder="1" applyAlignment="1">
      <alignment horizontal="left" vertical="top" wrapText="1" indent="1"/>
    </xf>
    <xf numFmtId="0" fontId="17" fillId="2" borderId="21" xfId="1" applyFont="1" applyFill="1" applyBorder="1" applyAlignment="1">
      <alignment horizontal="left" vertical="top" wrapText="1" indent="1"/>
    </xf>
    <xf numFmtId="0" fontId="17" fillId="2" borderId="22" xfId="1" applyFont="1" applyFill="1" applyBorder="1" applyAlignment="1">
      <alignment horizontal="left" vertical="top" wrapText="1" indent="1"/>
    </xf>
    <xf numFmtId="0" fontId="16" fillId="2" borderId="23" xfId="1" applyFont="1" applyFill="1" applyBorder="1" applyAlignment="1">
      <alignment horizontal="left" vertical="top" wrapText="1"/>
    </xf>
    <xf numFmtId="0" fontId="16" fillId="2" borderId="24" xfId="1" applyFont="1" applyFill="1" applyBorder="1" applyAlignment="1">
      <alignment horizontal="left" vertical="top" wrapText="1"/>
    </xf>
    <xf numFmtId="0" fontId="16" fillId="2" borderId="25" xfId="1" applyFont="1" applyFill="1" applyBorder="1" applyAlignment="1">
      <alignment horizontal="left" vertical="top" wrapText="1"/>
    </xf>
    <xf numFmtId="0" fontId="16" fillId="2" borderId="20" xfId="1" applyFont="1" applyFill="1" applyBorder="1" applyAlignment="1">
      <alignment horizontal="left" vertical="top" wrapText="1"/>
    </xf>
    <xf numFmtId="0" fontId="16" fillId="2" borderId="21" xfId="1" applyFont="1" applyFill="1" applyBorder="1" applyAlignment="1">
      <alignment horizontal="left" vertical="top" wrapText="1"/>
    </xf>
    <xf numFmtId="0" fontId="16" fillId="2" borderId="26" xfId="1" applyFont="1" applyFill="1" applyBorder="1" applyAlignment="1">
      <alignment horizontal="left" vertical="top" wrapText="1"/>
    </xf>
    <xf numFmtId="0" fontId="17" fillId="2" borderId="27" xfId="1" applyFont="1" applyFill="1" applyBorder="1" applyAlignment="1">
      <alignment horizontal="left" vertical="top" wrapText="1" indent="1"/>
    </xf>
    <xf numFmtId="0" fontId="11" fillId="0" borderId="10" xfId="1" applyBorder="1" applyAlignment="1">
      <alignment horizontal="left" wrapText="1"/>
    </xf>
    <xf numFmtId="0" fontId="11" fillId="0" borderId="11" xfId="1" applyBorder="1" applyAlignment="1">
      <alignment horizontal="left" wrapText="1"/>
    </xf>
    <xf numFmtId="0" fontId="11" fillId="0" borderId="12" xfId="1" applyBorder="1" applyAlignment="1">
      <alignment horizontal="left" wrapText="1"/>
    </xf>
    <xf numFmtId="0" fontId="11" fillId="0" borderId="31" xfId="1" applyBorder="1" applyAlignment="1">
      <alignment horizontal="center" vertical="top" wrapText="1"/>
    </xf>
    <xf numFmtId="0" fontId="11" fillId="0" borderId="32" xfId="1" applyBorder="1" applyAlignment="1">
      <alignment horizontal="center" vertical="top" wrapText="1"/>
    </xf>
    <xf numFmtId="0" fontId="11" fillId="0" borderId="33" xfId="1" applyBorder="1" applyAlignment="1">
      <alignment horizontal="left" wrapText="1"/>
    </xf>
    <xf numFmtId="0" fontId="11" fillId="0" borderId="0" xfId="1" applyAlignment="1">
      <alignment horizontal="left" wrapText="1"/>
    </xf>
    <xf numFmtId="0" fontId="11" fillId="0" borderId="34" xfId="1" applyBorder="1" applyAlignment="1">
      <alignment horizontal="left" wrapText="1"/>
    </xf>
    <xf numFmtId="0" fontId="11" fillId="0" borderId="35" xfId="1" applyBorder="1" applyAlignment="1">
      <alignment horizontal="center" vertical="top" wrapText="1"/>
    </xf>
    <xf numFmtId="0" fontId="11" fillId="0" borderId="36" xfId="1" applyBorder="1" applyAlignment="1">
      <alignment horizontal="center" vertical="top" wrapText="1"/>
    </xf>
    <xf numFmtId="0" fontId="11" fillId="0" borderId="37" xfId="1" applyBorder="1" applyAlignment="1">
      <alignment horizontal="left" wrapText="1"/>
    </xf>
    <xf numFmtId="0" fontId="11" fillId="0" borderId="38" xfId="1" applyBorder="1" applyAlignment="1">
      <alignment horizontal="left" wrapText="1"/>
    </xf>
    <xf numFmtId="0" fontId="11" fillId="0" borderId="36" xfId="1" applyBorder="1" applyAlignment="1">
      <alignment horizontal="left" wrapText="1"/>
    </xf>
    <xf numFmtId="0" fontId="20" fillId="0" borderId="17" xfId="1" applyFont="1" applyBorder="1" applyAlignment="1">
      <alignment horizontal="left" vertical="top" wrapText="1"/>
    </xf>
    <xf numFmtId="0" fontId="20" fillId="0" borderId="18" xfId="1" applyFont="1" applyBorder="1" applyAlignment="1">
      <alignment horizontal="left" vertical="top" wrapText="1"/>
    </xf>
    <xf numFmtId="0" fontId="20" fillId="0" borderId="39" xfId="1" applyFont="1" applyBorder="1" applyAlignment="1">
      <alignment horizontal="left" vertical="top" wrapText="1"/>
    </xf>
    <xf numFmtId="0" fontId="31" fillId="0" borderId="40" xfId="1" applyFont="1" applyBorder="1" applyAlignment="1">
      <alignment horizontal="left" vertical="top" wrapText="1" indent="1"/>
    </xf>
    <xf numFmtId="0" fontId="31" fillId="0" borderId="18" xfId="1" applyFont="1" applyBorder="1" applyAlignment="1">
      <alignment horizontal="left" vertical="top" wrapText="1" indent="1"/>
    </xf>
    <xf numFmtId="0" fontId="31" fillId="0" borderId="19" xfId="1" applyFont="1" applyBorder="1" applyAlignment="1">
      <alignment horizontal="left" vertical="top" wrapText="1" indent="1"/>
    </xf>
    <xf numFmtId="0" fontId="31" fillId="0" borderId="17" xfId="1" applyFont="1" applyBorder="1" applyAlignment="1">
      <alignment horizontal="left" vertical="top" wrapText="1"/>
    </xf>
    <xf numFmtId="0" fontId="31" fillId="0" borderId="18" xfId="1" applyFont="1" applyBorder="1" applyAlignment="1">
      <alignment horizontal="left" vertical="top" wrapText="1"/>
    </xf>
    <xf numFmtId="0" fontId="31" fillId="0" borderId="39" xfId="1" applyFont="1" applyBorder="1" applyAlignment="1">
      <alignment horizontal="left" vertical="top" wrapText="1"/>
    </xf>
    <xf numFmtId="0" fontId="11" fillId="0" borderId="17" xfId="1" applyBorder="1" applyAlignment="1">
      <alignment horizontal="left" vertical="top" wrapText="1"/>
    </xf>
    <xf numFmtId="0" fontId="11" fillId="0" borderId="18" xfId="1" applyBorder="1" applyAlignment="1">
      <alignment horizontal="left" vertical="top" wrapText="1"/>
    </xf>
    <xf numFmtId="0" fontId="11" fillId="0" borderId="19" xfId="1" applyBorder="1" applyAlignment="1">
      <alignment horizontal="left" vertical="top" wrapText="1"/>
    </xf>
    <xf numFmtId="0" fontId="33" fillId="0" borderId="17" xfId="1" applyFont="1" applyBorder="1" applyAlignment="1">
      <alignment horizontal="center" vertical="top" wrapText="1"/>
    </xf>
    <xf numFmtId="0" fontId="33" fillId="0" borderId="18" xfId="1" applyFont="1" applyBorder="1" applyAlignment="1">
      <alignment horizontal="center" vertical="top" wrapText="1"/>
    </xf>
    <xf numFmtId="0" fontId="33" fillId="0" borderId="19" xfId="1" applyFont="1" applyBorder="1" applyAlignment="1">
      <alignment horizontal="center" vertical="top" wrapText="1"/>
    </xf>
    <xf numFmtId="0" fontId="33" fillId="0" borderId="39" xfId="1" applyFont="1" applyBorder="1" applyAlignment="1">
      <alignment horizontal="center" vertical="top" wrapText="1"/>
    </xf>
    <xf numFmtId="0" fontId="33" fillId="0" borderId="41" xfId="1" applyFont="1" applyBorder="1" applyAlignment="1">
      <alignment horizontal="left" vertical="top" wrapText="1" indent="1"/>
    </xf>
    <xf numFmtId="0" fontId="33" fillId="0" borderId="42" xfId="1" applyFont="1" applyBorder="1" applyAlignment="1">
      <alignment horizontal="left" vertical="top" wrapText="1" indent="1"/>
    </xf>
    <xf numFmtId="0" fontId="33" fillId="0" borderId="43" xfId="1" applyFont="1" applyBorder="1" applyAlignment="1">
      <alignment horizontal="left" vertical="top" wrapText="1" indent="2"/>
    </xf>
    <xf numFmtId="0" fontId="33" fillId="0" borderId="44" xfId="1" applyFont="1" applyBorder="1" applyAlignment="1">
      <alignment horizontal="center" vertical="top" wrapText="1"/>
    </xf>
    <xf numFmtId="0" fontId="33" fillId="0" borderId="45" xfId="1" applyFont="1" applyBorder="1" applyAlignment="1">
      <alignment horizontal="center" vertical="top" wrapText="1"/>
    </xf>
    <xf numFmtId="0" fontId="33" fillId="0" borderId="45" xfId="1" applyFont="1" applyBorder="1" applyAlignment="1">
      <alignment horizontal="left" vertical="top" wrapText="1"/>
    </xf>
    <xf numFmtId="0" fontId="33" fillId="0" borderId="45" xfId="1" applyFont="1" applyBorder="1" applyAlignment="1">
      <alignment horizontal="right" vertical="top" wrapText="1"/>
    </xf>
    <xf numFmtId="0" fontId="33" fillId="0" borderId="35" xfId="1" applyFont="1" applyBorder="1" applyAlignment="1">
      <alignment horizontal="left" vertical="top" wrapText="1" indent="1"/>
    </xf>
    <xf numFmtId="0" fontId="33" fillId="0" borderId="46" xfId="1" applyFont="1" applyBorder="1" applyAlignment="1">
      <alignment horizontal="left" vertical="top" wrapText="1" indent="1"/>
    </xf>
    <xf numFmtId="0" fontId="33" fillId="0" borderId="47" xfId="1" applyFont="1" applyBorder="1" applyAlignment="1">
      <alignment horizontal="left" vertical="top" wrapText="1" indent="2"/>
    </xf>
    <xf numFmtId="1" fontId="35" fillId="0" borderId="44" xfId="1" applyNumberFormat="1" applyFont="1" applyBorder="1" applyAlignment="1">
      <alignment horizontal="center" vertical="top" shrinkToFit="1"/>
    </xf>
    <xf numFmtId="0" fontId="11" fillId="0" borderId="44" xfId="1" applyBorder="1" applyAlignment="1">
      <alignment horizontal="left" vertical="center" wrapText="1"/>
    </xf>
    <xf numFmtId="0" fontId="11" fillId="0" borderId="45" xfId="1" applyBorder="1" applyAlignment="1">
      <alignment horizontal="left" vertical="center" wrapText="1"/>
    </xf>
    <xf numFmtId="0" fontId="11" fillId="0" borderId="40" xfId="1" applyBorder="1" applyAlignment="1">
      <alignment horizontal="left" vertical="center" wrapText="1"/>
    </xf>
    <xf numFmtId="0" fontId="11" fillId="0" borderId="39" xfId="1" applyBorder="1" applyAlignment="1">
      <alignment horizontal="left" vertical="center" wrapText="1"/>
    </xf>
    <xf numFmtId="0" fontId="11" fillId="0" borderId="13" xfId="1" applyBorder="1" applyAlignment="1">
      <alignment horizontal="left" vertical="center" wrapText="1"/>
    </xf>
    <xf numFmtId="0" fontId="11" fillId="0" borderId="44" xfId="1" applyBorder="1" applyAlignment="1">
      <alignment horizontal="left" wrapText="1"/>
    </xf>
    <xf numFmtId="0" fontId="11" fillId="0" borderId="45" xfId="1" applyBorder="1" applyAlignment="1">
      <alignment horizontal="left" wrapText="1"/>
    </xf>
    <xf numFmtId="0" fontId="11" fillId="0" borderId="40" xfId="1" applyBorder="1" applyAlignment="1">
      <alignment horizontal="left" wrapText="1"/>
    </xf>
    <xf numFmtId="0" fontId="11" fillId="0" borderId="39" xfId="1" applyBorder="1" applyAlignment="1">
      <alignment horizontal="left" wrapText="1"/>
    </xf>
    <xf numFmtId="0" fontId="11" fillId="0" borderId="48" xfId="1" applyBorder="1" applyAlignment="1">
      <alignment horizontal="left" wrapText="1"/>
    </xf>
    <xf numFmtId="0" fontId="11" fillId="0" borderId="17" xfId="1" applyBorder="1" applyAlignment="1">
      <alignment horizontal="left" wrapText="1"/>
    </xf>
    <xf numFmtId="0" fontId="11" fillId="0" borderId="18" xfId="1" applyBorder="1" applyAlignment="1">
      <alignment horizontal="left" wrapText="1"/>
    </xf>
    <xf numFmtId="0" fontId="11" fillId="0" borderId="19" xfId="1" applyBorder="1" applyAlignment="1">
      <alignment horizontal="left" wrapText="1"/>
    </xf>
    <xf numFmtId="0" fontId="29" fillId="0" borderId="20" xfId="1" applyFont="1" applyBorder="1" applyAlignment="1">
      <alignment horizontal="left" vertical="top" wrapText="1"/>
    </xf>
    <xf numFmtId="0" fontId="29" fillId="0" borderId="21" xfId="1" applyFont="1" applyBorder="1" applyAlignment="1">
      <alignment horizontal="left" vertical="top" wrapText="1"/>
    </xf>
    <xf numFmtId="0" fontId="29" fillId="0" borderId="22" xfId="1" applyFont="1" applyBorder="1" applyAlignment="1">
      <alignment horizontal="left" vertical="top" wrapText="1"/>
    </xf>
    <xf numFmtId="0" fontId="11" fillId="0" borderId="49" xfId="1" applyBorder="1" applyAlignment="1">
      <alignment horizontal="left" wrapText="1"/>
    </xf>
    <xf numFmtId="0" fontId="11" fillId="0" borderId="50" xfId="1" applyBorder="1" applyAlignment="1">
      <alignment horizontal="left" wrapText="1"/>
    </xf>
    <xf numFmtId="0" fontId="11" fillId="0" borderId="51" xfId="1" applyBorder="1" applyAlignment="1">
      <alignment horizontal="left" wrapText="1"/>
    </xf>
    <xf numFmtId="0" fontId="11" fillId="2" borderId="17" xfId="1" applyFill="1" applyBorder="1" applyAlignment="1">
      <alignment horizontal="left" vertical="top" wrapText="1"/>
    </xf>
    <xf numFmtId="0" fontId="11" fillId="2" borderId="18" xfId="1" applyFill="1" applyBorder="1" applyAlignment="1">
      <alignment horizontal="left" vertical="top" wrapText="1"/>
    </xf>
    <xf numFmtId="0" fontId="11" fillId="2" borderId="19" xfId="1" applyFill="1" applyBorder="1" applyAlignment="1">
      <alignment horizontal="left" vertical="top" wrapText="1"/>
    </xf>
    <xf numFmtId="1" fontId="35" fillId="2" borderId="45" xfId="1" applyNumberFormat="1" applyFont="1" applyFill="1" applyBorder="1" applyAlignment="1">
      <alignment horizontal="center" vertical="top" shrinkToFit="1"/>
    </xf>
    <xf numFmtId="1" fontId="35" fillId="2" borderId="45" xfId="1" applyNumberFormat="1" applyFont="1" applyFill="1" applyBorder="1" applyAlignment="1">
      <alignment horizontal="left" vertical="top" shrinkToFit="1"/>
    </xf>
    <xf numFmtId="1" fontId="35" fillId="2" borderId="45" xfId="1" applyNumberFormat="1" applyFont="1" applyFill="1" applyBorder="1" applyAlignment="1">
      <alignment horizontal="right" vertical="top" indent="1" shrinkToFit="1"/>
    </xf>
    <xf numFmtId="0" fontId="31" fillId="2" borderId="45" xfId="1" applyFont="1" applyFill="1" applyBorder="1" applyAlignment="1">
      <alignment horizontal="right" vertical="top" wrapText="1"/>
    </xf>
    <xf numFmtId="0" fontId="11" fillId="2" borderId="40" xfId="1" applyFill="1" applyBorder="1" applyAlignment="1">
      <alignment horizontal="center" vertical="top" wrapText="1"/>
    </xf>
    <xf numFmtId="0" fontId="11" fillId="2" borderId="19" xfId="1" applyFill="1" applyBorder="1" applyAlignment="1">
      <alignment horizontal="center" vertical="top" wrapText="1"/>
    </xf>
    <xf numFmtId="171" fontId="37" fillId="2" borderId="1" xfId="1" applyNumberFormat="1" applyFont="1" applyFill="1" applyBorder="1" applyAlignment="1">
      <alignment horizontal="left" vertical="top" indent="2" shrinkToFit="1"/>
    </xf>
    <xf numFmtId="0" fontId="29" fillId="2" borderId="14" xfId="1" applyFont="1" applyFill="1" applyBorder="1" applyAlignment="1">
      <alignment horizontal="left" vertical="top" wrapText="1" indent="1"/>
    </xf>
    <xf numFmtId="0" fontId="29" fillId="2" borderId="15" xfId="1" applyFont="1" applyFill="1" applyBorder="1" applyAlignment="1">
      <alignment horizontal="left" vertical="top" wrapText="1" indent="1"/>
    </xf>
    <xf numFmtId="0" fontId="29" fillId="2" borderId="16" xfId="1" applyFont="1" applyFill="1" applyBorder="1" applyAlignment="1">
      <alignment horizontal="left" vertical="top" wrapText="1" indent="1"/>
    </xf>
    <xf numFmtId="0" fontId="29" fillId="2" borderId="17" xfId="1" applyFont="1" applyFill="1" applyBorder="1" applyAlignment="1">
      <alignment horizontal="left" vertical="top" wrapText="1"/>
    </xf>
    <xf numFmtId="0" fontId="29" fillId="2" borderId="18" xfId="1" applyFont="1" applyFill="1" applyBorder="1" applyAlignment="1">
      <alignment horizontal="left" vertical="top" wrapText="1"/>
    </xf>
    <xf numFmtId="0" fontId="29" fillId="2" borderId="39" xfId="1" applyFont="1" applyFill="1" applyBorder="1" applyAlignment="1">
      <alignment horizontal="left" vertical="top" wrapText="1"/>
    </xf>
    <xf numFmtId="171" fontId="38" fillId="2" borderId="48" xfId="1" applyNumberFormat="1" applyFont="1" applyFill="1" applyBorder="1" applyAlignment="1">
      <alignment horizontal="left" vertical="top" indent="1" shrinkToFit="1"/>
    </xf>
    <xf numFmtId="0" fontId="11" fillId="2" borderId="20" xfId="1" applyFill="1" applyBorder="1" applyAlignment="1">
      <alignment horizontal="left" vertical="top" wrapText="1" indent="1"/>
    </xf>
    <xf numFmtId="0" fontId="11" fillId="2" borderId="21" xfId="1" applyFill="1" applyBorder="1" applyAlignment="1">
      <alignment horizontal="left" vertical="top" wrapText="1" indent="1"/>
    </xf>
    <xf numFmtId="0" fontId="11" fillId="2" borderId="22" xfId="1" applyFill="1" applyBorder="1" applyAlignment="1">
      <alignment horizontal="left" vertical="top" wrapText="1" indent="1"/>
    </xf>
  </cellXfs>
  <cellStyles count="2">
    <cellStyle name="Normal" xfId="0" builtinId="0"/>
    <cellStyle name="Normal 2" xfId="1" xr:uid="{D356ADC9-1089-4945-A564-1AEDBD58CB4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E16" sqref="E16:F16"/>
    </sheetView>
  </sheetViews>
  <sheetFormatPr baseColWidth="10" defaultColWidth="9.33203125" defaultRowHeight="12.75"/>
  <cols>
    <col min="1" max="1" width="2.83203125" bestFit="1" customWidth="1"/>
    <col min="2" max="2" width="17.1640625" customWidth="1"/>
    <col min="3" max="3" width="13.33203125" customWidth="1"/>
    <col min="4" max="4" width="13.83203125" customWidth="1"/>
    <col min="5" max="5" width="63.33203125" bestFit="1" customWidth="1"/>
    <col min="6" max="6" width="13.1640625" customWidth="1"/>
    <col min="7" max="7" width="14" customWidth="1"/>
    <col min="8" max="8" width="14.6640625" customWidth="1"/>
    <col min="9" max="9" width="13.1640625" customWidth="1"/>
    <col min="10" max="10" width="122.1640625" bestFit="1" customWidth="1"/>
    <col min="11" max="11" width="13.6640625" bestFit="1" customWidth="1"/>
  </cols>
  <sheetData>
    <row r="1" spans="1:11" ht="15.75" customHeight="1">
      <c r="A1" s="2" t="s">
        <v>19</v>
      </c>
      <c r="B1" s="2"/>
      <c r="C1" s="2"/>
      <c r="D1" s="2"/>
      <c r="E1" s="2"/>
      <c r="F1" s="2"/>
      <c r="G1" s="2"/>
      <c r="H1" s="2"/>
    </row>
    <row r="2" spans="1:11" ht="15">
      <c r="A2" s="3"/>
      <c r="B2" s="3"/>
      <c r="C2" s="3"/>
      <c r="D2" s="3"/>
      <c r="E2" s="3"/>
      <c r="F2" s="3"/>
      <c r="G2" s="3"/>
      <c r="H2" s="3"/>
    </row>
    <row r="3" spans="1:11" ht="15">
      <c r="A3" s="4" t="s">
        <v>13</v>
      </c>
      <c r="B3" s="5"/>
      <c r="C3" s="6" t="s">
        <v>18</v>
      </c>
      <c r="D3" s="6"/>
      <c r="E3" s="6"/>
      <c r="F3" s="3"/>
      <c r="G3" s="3"/>
      <c r="H3" s="3"/>
    </row>
    <row r="4" spans="1:11" ht="15">
      <c r="A4" s="4" t="s">
        <v>14</v>
      </c>
      <c r="B4" s="5"/>
      <c r="C4" s="7" t="s">
        <v>17</v>
      </c>
      <c r="D4" s="7"/>
      <c r="E4" s="7"/>
      <c r="F4" s="3"/>
      <c r="G4" s="3"/>
      <c r="H4" s="3"/>
    </row>
    <row r="5" spans="1:11" ht="15">
      <c r="A5" s="24" t="s">
        <v>15</v>
      </c>
      <c r="B5" s="25"/>
      <c r="C5" s="26">
        <v>2021</v>
      </c>
      <c r="D5" s="3"/>
      <c r="E5" s="3"/>
      <c r="F5" s="3"/>
      <c r="G5" s="3"/>
      <c r="H5" s="3"/>
    </row>
    <row r="6" spans="1:11" ht="15">
      <c r="A6" s="24" t="s">
        <v>16</v>
      </c>
      <c r="B6" s="25"/>
      <c r="C6" s="26">
        <v>4</v>
      </c>
      <c r="D6" s="3"/>
      <c r="E6" s="3"/>
      <c r="F6" s="3"/>
      <c r="G6" s="3"/>
      <c r="H6" s="3"/>
    </row>
    <row r="8" spans="1:11" ht="33.75">
      <c r="A8" s="8" t="s">
        <v>0</v>
      </c>
      <c r="B8" s="8" t="s">
        <v>1</v>
      </c>
      <c r="C8" s="8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9" t="s">
        <v>7</v>
      </c>
      <c r="I8" s="9" t="s">
        <v>8</v>
      </c>
    </row>
    <row r="9" spans="1:11" ht="22.5">
      <c r="A9" s="10">
        <v>1</v>
      </c>
      <c r="B9" s="20" t="s">
        <v>9</v>
      </c>
      <c r="C9" s="20" t="s">
        <v>10</v>
      </c>
      <c r="D9" s="20" t="s">
        <v>11</v>
      </c>
      <c r="E9" s="21" t="s">
        <v>31</v>
      </c>
      <c r="F9" s="20" t="s">
        <v>12</v>
      </c>
      <c r="G9" s="22">
        <v>1</v>
      </c>
      <c r="H9" s="23">
        <v>838000</v>
      </c>
      <c r="I9" s="23">
        <v>838000</v>
      </c>
      <c r="J9" s="19" t="s">
        <v>31</v>
      </c>
      <c r="K9" t="b">
        <f>E9=J9</f>
        <v>1</v>
      </c>
    </row>
    <row r="10" spans="1:11" ht="13.5" thickBot="1"/>
    <row r="11" spans="1:11" ht="13.5" thickTop="1">
      <c r="A11" s="11"/>
      <c r="B11" s="12"/>
      <c r="C11" s="12"/>
      <c r="D11" s="12"/>
      <c r="E11" s="12"/>
      <c r="F11" s="12"/>
      <c r="G11" s="12"/>
      <c r="H11" s="12"/>
      <c r="I11" s="13"/>
    </row>
    <row r="12" spans="1:11">
      <c r="A12" s="14"/>
      <c r="B12" s="1" t="s">
        <v>20</v>
      </c>
      <c r="C12" s="1"/>
      <c r="D12" s="1"/>
      <c r="E12" s="1"/>
      <c r="F12" s="1"/>
      <c r="I12" s="15"/>
    </row>
    <row r="13" spans="1:11">
      <c r="A13" s="14"/>
      <c r="B13" s="1"/>
      <c r="C13" s="1"/>
      <c r="D13" s="1"/>
      <c r="E13" s="1"/>
      <c r="F13" s="1"/>
      <c r="I13" s="15"/>
    </row>
    <row r="14" spans="1:11">
      <c r="A14" s="14"/>
      <c r="B14" s="1"/>
      <c r="C14" s="1" t="s">
        <v>21</v>
      </c>
      <c r="D14" s="1"/>
      <c r="E14" s="1"/>
      <c r="F14" s="1"/>
      <c r="I14" s="15"/>
    </row>
    <row r="15" spans="1:11">
      <c r="A15" s="14"/>
      <c r="B15" s="1"/>
      <c r="C15" s="1"/>
      <c r="D15" s="1"/>
      <c r="E15" s="1"/>
      <c r="F15" s="1"/>
      <c r="I15" s="15"/>
    </row>
    <row r="16" spans="1:11" ht="51" customHeight="1">
      <c r="A16" s="14"/>
      <c r="B16" s="1"/>
      <c r="C16" s="1"/>
      <c r="D16" s="1"/>
      <c r="E16" s="27" t="s">
        <v>22</v>
      </c>
      <c r="F16" s="27"/>
      <c r="I16" s="15"/>
    </row>
    <row r="17" spans="1:9">
      <c r="A17" s="14"/>
      <c r="B17" s="1"/>
      <c r="C17" s="1"/>
      <c r="D17" s="1"/>
      <c r="E17" s="1"/>
      <c r="F17" s="1"/>
      <c r="I17" s="15"/>
    </row>
    <row r="18" spans="1:9">
      <c r="A18" s="14"/>
      <c r="B18" s="1"/>
      <c r="C18" s="1" t="s">
        <v>23</v>
      </c>
      <c r="D18" s="1"/>
      <c r="E18" s="1"/>
      <c r="F18" s="1"/>
      <c r="I18" s="15"/>
    </row>
    <row r="19" spans="1:9">
      <c r="A19" s="14"/>
      <c r="B19" s="1"/>
      <c r="C19" s="1"/>
      <c r="D19" s="1"/>
      <c r="E19" s="1" t="s">
        <v>24</v>
      </c>
      <c r="F19" s="1"/>
      <c r="I19" s="15"/>
    </row>
    <row r="20" spans="1:9">
      <c r="A20" s="14"/>
      <c r="B20" s="1"/>
      <c r="C20" s="1"/>
      <c r="D20" s="1"/>
      <c r="E20" s="1" t="s">
        <v>25</v>
      </c>
      <c r="F20" s="1"/>
      <c r="I20" s="15"/>
    </row>
    <row r="21" spans="1:9">
      <c r="A21" s="14"/>
      <c r="B21" s="1"/>
      <c r="C21" s="1" t="s">
        <v>27</v>
      </c>
      <c r="D21" s="1"/>
      <c r="E21" s="1" t="s">
        <v>28</v>
      </c>
      <c r="F21" s="1"/>
      <c r="I21" s="15"/>
    </row>
    <row r="22" spans="1:9">
      <c r="A22" s="14"/>
      <c r="B22" s="1"/>
      <c r="C22" s="1" t="s">
        <v>29</v>
      </c>
      <c r="D22" s="1"/>
      <c r="E22" s="1" t="s">
        <v>30</v>
      </c>
      <c r="F22" s="1"/>
      <c r="I22" s="15"/>
    </row>
    <row r="23" spans="1:9">
      <c r="A23" s="14"/>
      <c r="B23" s="1"/>
      <c r="C23" s="1" t="s">
        <v>26</v>
      </c>
      <c r="D23" s="1"/>
      <c r="E23" s="1"/>
      <c r="F23" s="1"/>
      <c r="I23" s="15"/>
    </row>
    <row r="24" spans="1:9" ht="13.5" thickBot="1">
      <c r="A24" s="16"/>
      <c r="B24" s="17"/>
      <c r="C24" s="17"/>
      <c r="D24" s="17"/>
      <c r="E24" s="17"/>
      <c r="F24" s="17"/>
      <c r="G24" s="17"/>
      <c r="H24" s="17"/>
      <c r="I24" s="18"/>
    </row>
    <row r="25" spans="1:9" ht="13.5" thickTop="1"/>
  </sheetData>
  <mergeCells count="8">
    <mergeCell ref="E16:F16"/>
    <mergeCell ref="A1:H1"/>
    <mergeCell ref="A3:B3"/>
    <mergeCell ref="A4:B4"/>
    <mergeCell ref="A5:B5"/>
    <mergeCell ref="A6:B6"/>
    <mergeCell ref="C3:E3"/>
    <mergeCell ref="C4:E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2883-6239-418D-AD4C-2E2673AAED13}">
  <dimension ref="A1:J12"/>
  <sheetViews>
    <sheetView workbookViewId="0">
      <selection activeCell="G17" sqref="G17"/>
    </sheetView>
  </sheetViews>
  <sheetFormatPr baseColWidth="10" defaultColWidth="9.33203125" defaultRowHeight="12.75"/>
  <cols>
    <col min="1" max="1" width="6.1640625" style="32" customWidth="1"/>
    <col min="2" max="2" width="17.33203125" style="32" customWidth="1"/>
    <col min="3" max="3" width="16.5" style="32" customWidth="1"/>
    <col min="4" max="4" width="81.5" style="32" customWidth="1"/>
    <col min="5" max="5" width="10.6640625" style="32" customWidth="1"/>
    <col min="6" max="6" width="17.83203125" style="32" customWidth="1"/>
    <col min="7" max="7" width="16.83203125" style="32" customWidth="1"/>
    <col min="8" max="8" width="17.83203125" style="32" customWidth="1"/>
    <col min="9" max="10" width="13.6640625" style="32" bestFit="1" customWidth="1"/>
    <col min="11" max="16384" width="9.33203125" style="32"/>
  </cols>
  <sheetData>
    <row r="1" spans="1:10" ht="30" customHeight="1">
      <c r="A1" s="28" t="s">
        <v>32</v>
      </c>
      <c r="B1" s="29"/>
      <c r="C1" s="29"/>
      <c r="D1" s="29"/>
      <c r="E1" s="29"/>
      <c r="F1" s="29"/>
      <c r="G1" s="30"/>
      <c r="H1" s="31">
        <v>56</v>
      </c>
    </row>
    <row r="2" spans="1:10" ht="16.350000000000001" customHeight="1">
      <c r="A2" s="33"/>
      <c r="B2" s="34"/>
      <c r="C2" s="34"/>
      <c r="D2" s="34"/>
      <c r="E2" s="34"/>
      <c r="F2" s="34"/>
      <c r="G2" s="34"/>
      <c r="H2" s="35"/>
    </row>
    <row r="3" spans="1:10" ht="16.350000000000001" customHeight="1">
      <c r="A3" s="36" t="s">
        <v>33</v>
      </c>
      <c r="B3" s="37"/>
      <c r="C3" s="38"/>
      <c r="D3" s="39" t="s">
        <v>34</v>
      </c>
      <c r="E3" s="40"/>
      <c r="F3" s="40"/>
      <c r="G3" s="40"/>
      <c r="H3" s="41"/>
    </row>
    <row r="4" spans="1:10" ht="16.350000000000001" customHeight="1">
      <c r="A4" s="36" t="s">
        <v>35</v>
      </c>
      <c r="B4" s="37"/>
      <c r="C4" s="38"/>
      <c r="D4" s="39" t="s">
        <v>36</v>
      </c>
      <c r="E4" s="40"/>
      <c r="F4" s="40"/>
      <c r="G4" s="40"/>
      <c r="H4" s="41"/>
    </row>
    <row r="5" spans="1:10" ht="16.350000000000001" customHeight="1">
      <c r="A5" s="36" t="s">
        <v>37</v>
      </c>
      <c r="B5" s="37"/>
      <c r="C5" s="38"/>
      <c r="D5" s="39" t="s">
        <v>38</v>
      </c>
      <c r="E5" s="40"/>
      <c r="F5" s="40"/>
      <c r="G5" s="40"/>
      <c r="H5" s="41"/>
    </row>
    <row r="6" spans="1:10" ht="15" customHeight="1">
      <c r="A6" s="64" t="s">
        <v>39</v>
      </c>
      <c r="B6" s="65"/>
      <c r="C6" s="66"/>
      <c r="D6" s="67" t="s">
        <v>38</v>
      </c>
      <c r="E6" s="68"/>
      <c r="F6" s="68"/>
      <c r="G6" s="68"/>
      <c r="H6" s="69"/>
    </row>
    <row r="7" spans="1:10" ht="15" customHeight="1">
      <c r="A7" s="70" t="s">
        <v>40</v>
      </c>
      <c r="B7" s="71"/>
      <c r="C7" s="72"/>
      <c r="D7" s="67" t="s">
        <v>41</v>
      </c>
      <c r="E7" s="68"/>
      <c r="F7" s="68"/>
      <c r="G7" s="68"/>
      <c r="H7" s="69"/>
    </row>
    <row r="8" spans="1:10" ht="35.25" customHeight="1">
      <c r="A8" s="73" t="s">
        <v>42</v>
      </c>
      <c r="B8" s="74"/>
      <c r="C8" s="75"/>
      <c r="D8" s="76" t="s">
        <v>43</v>
      </c>
      <c r="E8" s="68"/>
      <c r="F8" s="68"/>
      <c r="G8" s="68"/>
      <c r="H8" s="69"/>
    </row>
    <row r="9" spans="1:10" ht="13.7" customHeight="1">
      <c r="A9" s="42"/>
      <c r="B9" s="43"/>
      <c r="C9" s="43"/>
      <c r="D9" s="43"/>
      <c r="E9" s="43"/>
      <c r="F9" s="43"/>
      <c r="G9" s="43"/>
      <c r="H9" s="44"/>
    </row>
    <row r="10" spans="1:10" ht="37.35" customHeight="1">
      <c r="A10" s="45" t="s">
        <v>44</v>
      </c>
      <c r="B10" s="46" t="s">
        <v>45</v>
      </c>
      <c r="C10" s="47" t="s">
        <v>46</v>
      </c>
      <c r="D10" s="48"/>
      <c r="E10" s="49" t="s">
        <v>47</v>
      </c>
      <c r="F10" s="46" t="s">
        <v>48</v>
      </c>
      <c r="G10" s="50" t="s">
        <v>49</v>
      </c>
      <c r="H10" s="51" t="s">
        <v>50</v>
      </c>
    </row>
    <row r="11" spans="1:10" ht="45.2" customHeight="1">
      <c r="A11" s="52">
        <v>1</v>
      </c>
      <c r="B11" s="53" t="s">
        <v>51</v>
      </c>
      <c r="C11" s="54" t="s">
        <v>52</v>
      </c>
      <c r="D11" s="55"/>
      <c r="E11" s="56" t="s">
        <v>53</v>
      </c>
      <c r="F11" s="53" t="s">
        <v>54</v>
      </c>
      <c r="G11" s="57">
        <v>838000</v>
      </c>
      <c r="H11" s="58">
        <v>1</v>
      </c>
      <c r="I11" s="32" t="b">
        <f>B11='Nec.Trim.'!B9</f>
        <v>1</v>
      </c>
      <c r="J11" s="32" t="b">
        <f>C11='Nec.Trim.'!E9</f>
        <v>1</v>
      </c>
    </row>
    <row r="12" spans="1:10" ht="22.35" customHeight="1">
      <c r="A12" s="59" t="s">
        <v>55</v>
      </c>
      <c r="B12" s="60"/>
      <c r="C12" s="60"/>
      <c r="D12" s="60"/>
      <c r="E12" s="60"/>
      <c r="F12" s="61"/>
      <c r="G12" s="62">
        <v>838000</v>
      </c>
      <c r="H12" s="63"/>
    </row>
  </sheetData>
  <mergeCells count="19">
    <mergeCell ref="A8:C8"/>
    <mergeCell ref="D8:H8"/>
    <mergeCell ref="A9:H9"/>
    <mergeCell ref="C10:D10"/>
    <mergeCell ref="C11:D11"/>
    <mergeCell ref="A12:F12"/>
    <mergeCell ref="G12:H12"/>
    <mergeCell ref="A5:C5"/>
    <mergeCell ref="D5:H5"/>
    <mergeCell ref="A6:C6"/>
    <mergeCell ref="D6:H6"/>
    <mergeCell ref="A7:C7"/>
    <mergeCell ref="D7:H7"/>
    <mergeCell ref="A1:G1"/>
    <mergeCell ref="A2:H2"/>
    <mergeCell ref="A3:C3"/>
    <mergeCell ref="D3:H3"/>
    <mergeCell ref="A4:C4"/>
    <mergeCell ref="D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6A18-6E6E-4B07-8EC0-F52B60D348C3}">
  <dimension ref="A1:Q36"/>
  <sheetViews>
    <sheetView topLeftCell="A4" workbookViewId="0">
      <selection sqref="A1:E1"/>
    </sheetView>
  </sheetViews>
  <sheetFormatPr baseColWidth="10" defaultColWidth="9.33203125" defaultRowHeight="12.75"/>
  <cols>
    <col min="1" max="5" width="5.1640625" style="32" customWidth="1"/>
    <col min="6" max="6" width="5.83203125" style="32" customWidth="1"/>
    <col min="7" max="7" width="5.1640625" style="32" customWidth="1"/>
    <col min="8" max="8" width="5.33203125" style="32" customWidth="1"/>
    <col min="9" max="14" width="5.1640625" style="32" customWidth="1"/>
    <col min="15" max="15" width="16.83203125" style="32" customWidth="1"/>
    <col min="16" max="16" width="17.1640625" style="32" customWidth="1"/>
    <col min="17" max="17" width="16.83203125" style="32" customWidth="1"/>
    <col min="18" max="16384" width="9.33203125" style="32"/>
  </cols>
  <sheetData>
    <row r="1" spans="1:17" ht="16.350000000000001" customHeight="1">
      <c r="A1" s="153" t="s">
        <v>56</v>
      </c>
      <c r="B1" s="154"/>
      <c r="C1" s="154"/>
      <c r="D1" s="154"/>
      <c r="E1" s="155"/>
      <c r="F1" s="77"/>
      <c r="G1" s="78"/>
      <c r="H1" s="78"/>
      <c r="I1" s="78"/>
      <c r="J1" s="78"/>
      <c r="K1" s="78"/>
      <c r="L1" s="78"/>
      <c r="M1" s="78"/>
      <c r="N1" s="78"/>
      <c r="O1" s="79"/>
      <c r="P1" s="80" t="s">
        <v>57</v>
      </c>
      <c r="Q1" s="81"/>
    </row>
    <row r="2" spans="1:17" ht="13.7" customHeight="1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4"/>
      <c r="P2" s="85"/>
      <c r="Q2" s="86"/>
    </row>
    <row r="3" spans="1:17" ht="11.25" customHeight="1">
      <c r="A3" s="87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9"/>
    </row>
    <row r="4" spans="1:17" ht="15.75" customHeight="1">
      <c r="A4" s="90" t="s">
        <v>58</v>
      </c>
      <c r="B4" s="91"/>
      <c r="C4" s="91"/>
      <c r="D4" s="91"/>
      <c r="E4" s="91"/>
      <c r="F4" s="92"/>
      <c r="G4" s="93" t="s">
        <v>59</v>
      </c>
      <c r="H4" s="94"/>
      <c r="I4" s="94"/>
      <c r="J4" s="94"/>
      <c r="K4" s="94"/>
      <c r="L4" s="94"/>
      <c r="M4" s="94"/>
      <c r="N4" s="94"/>
      <c r="O4" s="94"/>
      <c r="P4" s="94"/>
      <c r="Q4" s="95"/>
    </row>
    <row r="5" spans="1:17" ht="15.75" customHeight="1">
      <c r="A5" s="96" t="s">
        <v>60</v>
      </c>
      <c r="B5" s="97"/>
      <c r="C5" s="97"/>
      <c r="D5" s="97"/>
      <c r="E5" s="97"/>
      <c r="F5" s="98"/>
      <c r="G5" s="93" t="s">
        <v>61</v>
      </c>
      <c r="H5" s="94"/>
      <c r="I5" s="94"/>
      <c r="J5" s="94"/>
      <c r="K5" s="94"/>
      <c r="L5" s="94"/>
      <c r="M5" s="94"/>
      <c r="N5" s="94"/>
      <c r="O5" s="94"/>
      <c r="P5" s="94"/>
      <c r="Q5" s="95"/>
    </row>
    <row r="6" spans="1:17" ht="15.75" customHeight="1">
      <c r="A6" s="96" t="s">
        <v>62</v>
      </c>
      <c r="B6" s="97"/>
      <c r="C6" s="97"/>
      <c r="D6" s="97"/>
      <c r="E6" s="97"/>
      <c r="F6" s="98"/>
      <c r="G6" s="93" t="s">
        <v>63</v>
      </c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1:17" ht="19.5" customHeight="1">
      <c r="A7" s="96" t="s">
        <v>64</v>
      </c>
      <c r="B7" s="97"/>
      <c r="C7" s="97"/>
      <c r="D7" s="97"/>
      <c r="E7" s="97"/>
      <c r="F7" s="98"/>
      <c r="G7" s="93" t="s">
        <v>63</v>
      </c>
      <c r="H7" s="94"/>
      <c r="I7" s="94"/>
      <c r="J7" s="94"/>
      <c r="K7" s="94"/>
      <c r="L7" s="94"/>
      <c r="M7" s="94"/>
      <c r="N7" s="94"/>
      <c r="O7" s="94"/>
      <c r="P7" s="94"/>
      <c r="Q7" s="95"/>
    </row>
    <row r="8" spans="1:17" ht="15.75" customHeight="1">
      <c r="A8" s="99" t="s">
        <v>65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1"/>
    </row>
    <row r="9" spans="1:17" ht="81" customHeight="1">
      <c r="A9" s="136" t="s">
        <v>66</v>
      </c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8"/>
    </row>
    <row r="10" spans="1:17" ht="13.7" customHeight="1">
      <c r="A10" s="102" t="s">
        <v>67</v>
      </c>
      <c r="B10" s="103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</row>
    <row r="11" spans="1:17" ht="13.7" customHeight="1">
      <c r="A11" s="102" t="s">
        <v>68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5"/>
      <c r="O11" s="106" t="s">
        <v>69</v>
      </c>
      <c r="P11" s="107"/>
      <c r="Q11" s="108" t="s">
        <v>70</v>
      </c>
    </row>
    <row r="12" spans="1:17" ht="13.7" customHeight="1">
      <c r="A12" s="109" t="s">
        <v>71</v>
      </c>
      <c r="B12" s="110" t="s">
        <v>72</v>
      </c>
      <c r="C12" s="110" t="s">
        <v>73</v>
      </c>
      <c r="D12" s="110" t="s">
        <v>74</v>
      </c>
      <c r="E12" s="110" t="s">
        <v>75</v>
      </c>
      <c r="F12" s="111" t="s">
        <v>76</v>
      </c>
      <c r="G12" s="112" t="s">
        <v>77</v>
      </c>
      <c r="H12" s="110" t="s">
        <v>78</v>
      </c>
      <c r="I12" s="110" t="s">
        <v>79</v>
      </c>
      <c r="J12" s="110" t="s">
        <v>80</v>
      </c>
      <c r="K12" s="110" t="s">
        <v>80</v>
      </c>
      <c r="L12" s="110" t="s">
        <v>81</v>
      </c>
      <c r="M12" s="110" t="s">
        <v>82</v>
      </c>
      <c r="N12" s="112" t="s">
        <v>83</v>
      </c>
      <c r="O12" s="113"/>
      <c r="P12" s="114"/>
      <c r="Q12" s="115"/>
    </row>
    <row r="13" spans="1:17" ht="28.5" customHeight="1">
      <c r="A13" s="116">
        <v>1</v>
      </c>
      <c r="B13" s="139">
        <v>0</v>
      </c>
      <c r="C13" s="139">
        <v>0</v>
      </c>
      <c r="D13" s="139">
        <v>1</v>
      </c>
      <c r="E13" s="139">
        <v>0</v>
      </c>
      <c r="F13" s="140">
        <v>4901</v>
      </c>
      <c r="G13" s="141">
        <v>1</v>
      </c>
      <c r="H13" s="139">
        <v>3</v>
      </c>
      <c r="I13" s="139">
        <v>4</v>
      </c>
      <c r="J13" s="139">
        <v>3</v>
      </c>
      <c r="K13" s="139">
        <v>2</v>
      </c>
      <c r="L13" s="139">
        <v>0</v>
      </c>
      <c r="M13" s="139">
        <v>1</v>
      </c>
      <c r="N13" s="142" t="s">
        <v>84</v>
      </c>
      <c r="O13" s="143" t="s">
        <v>85</v>
      </c>
      <c r="P13" s="144"/>
      <c r="Q13" s="145">
        <v>838000</v>
      </c>
    </row>
    <row r="14" spans="1:17" ht="24.95" customHeight="1">
      <c r="A14" s="117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9"/>
      <c r="P14" s="120"/>
      <c r="Q14" s="121"/>
    </row>
    <row r="15" spans="1:17" ht="15" customHeigh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4"/>
      <c r="P15" s="125"/>
      <c r="Q15" s="126"/>
    </row>
    <row r="16" spans="1:17" ht="15" customHeight="1">
      <c r="A16" s="122"/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4"/>
      <c r="P16" s="125"/>
      <c r="Q16" s="126"/>
    </row>
    <row r="17" spans="1:17" ht="15" customHeight="1">
      <c r="A17" s="122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4"/>
      <c r="P17" s="125"/>
      <c r="Q17" s="126"/>
    </row>
    <row r="18" spans="1:17" ht="15" customHeight="1">
      <c r="A18" s="122"/>
      <c r="B18" s="123"/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4"/>
      <c r="P18" s="125"/>
      <c r="Q18" s="126"/>
    </row>
    <row r="19" spans="1:17" ht="15" customHeight="1">
      <c r="A19" s="122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4"/>
      <c r="P19" s="125"/>
      <c r="Q19" s="126"/>
    </row>
    <row r="20" spans="1:17" ht="15" customHeight="1">
      <c r="A20" s="122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4"/>
      <c r="P20" s="125"/>
      <c r="Q20" s="126"/>
    </row>
    <row r="21" spans="1:17" ht="15" customHeight="1">
      <c r="A21" s="122"/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4"/>
      <c r="P21" s="125"/>
      <c r="Q21" s="126"/>
    </row>
    <row r="22" spans="1:17" ht="15" customHeight="1">
      <c r="A22" s="122"/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4"/>
      <c r="P22" s="125"/>
      <c r="Q22" s="126"/>
    </row>
    <row r="23" spans="1:17" ht="15" customHeight="1">
      <c r="A23" s="122"/>
      <c r="B23" s="123"/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4"/>
      <c r="P23" s="125"/>
      <c r="Q23" s="126"/>
    </row>
    <row r="24" spans="1:17" ht="15" customHeight="1">
      <c r="A24" s="122"/>
      <c r="B24" s="123"/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4"/>
      <c r="P24" s="125"/>
      <c r="Q24" s="126"/>
    </row>
    <row r="25" spans="1:17" ht="15" customHeight="1">
      <c r="A25" s="122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4"/>
      <c r="P25" s="125"/>
      <c r="Q25" s="126"/>
    </row>
    <row r="26" spans="1:17" ht="15" customHeight="1">
      <c r="A26" s="122"/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4"/>
      <c r="P26" s="125"/>
      <c r="Q26" s="126"/>
    </row>
    <row r="27" spans="1:17" ht="15" customHeight="1">
      <c r="A27" s="122"/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4"/>
      <c r="P27" s="125"/>
      <c r="Q27" s="126"/>
    </row>
    <row r="28" spans="1:17" ht="15" customHeight="1">
      <c r="A28" s="122"/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4"/>
      <c r="P28" s="125"/>
      <c r="Q28" s="126"/>
    </row>
    <row r="29" spans="1:17" ht="15" customHeight="1">
      <c r="A29" s="122"/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4"/>
      <c r="P29" s="125"/>
      <c r="Q29" s="126"/>
    </row>
    <row r="30" spans="1:17" ht="15" customHeight="1">
      <c r="A30" s="122"/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4"/>
      <c r="P30" s="125"/>
      <c r="Q30" s="126"/>
    </row>
    <row r="31" spans="1:17" ht="15" customHeight="1">
      <c r="A31" s="122"/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4"/>
      <c r="P31" s="125"/>
      <c r="Q31" s="126"/>
    </row>
    <row r="32" spans="1:17" ht="15" customHeight="1">
      <c r="A32" s="122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4"/>
      <c r="P32" s="125"/>
      <c r="Q32" s="126"/>
    </row>
    <row r="33" spans="1:17" ht="17.850000000000001" customHeight="1">
      <c r="A33" s="149" t="s">
        <v>86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1"/>
      <c r="Q33" s="152">
        <v>838000</v>
      </c>
    </row>
    <row r="34" spans="1:17" ht="15.7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9"/>
    </row>
    <row r="35" spans="1:17" ht="15" customHeight="1">
      <c r="A35" s="130" t="s">
        <v>87</v>
      </c>
      <c r="B35" s="131"/>
      <c r="C35" s="131"/>
      <c r="D35" s="131"/>
      <c r="E35" s="131"/>
      <c r="F35" s="132"/>
      <c r="G35" s="133"/>
      <c r="H35" s="134"/>
      <c r="I35" s="134"/>
      <c r="J35" s="134"/>
      <c r="K35" s="134"/>
      <c r="L35" s="134"/>
      <c r="M35" s="134"/>
      <c r="N35" s="134"/>
      <c r="O35" s="134"/>
      <c r="P35" s="134"/>
      <c r="Q35" s="135"/>
    </row>
    <row r="36" spans="1:17" ht="71.45" customHeight="1">
      <c r="A36" s="146" t="s">
        <v>88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8"/>
    </row>
  </sheetData>
  <mergeCells count="44">
    <mergeCell ref="A36:Q36"/>
    <mergeCell ref="O31:P31"/>
    <mergeCell ref="O32:P32"/>
    <mergeCell ref="A33:P33"/>
    <mergeCell ref="A34:Q34"/>
    <mergeCell ref="A35:F35"/>
    <mergeCell ref="G35:Q35"/>
    <mergeCell ref="O25:P25"/>
    <mergeCell ref="O26:P26"/>
    <mergeCell ref="O27:P27"/>
    <mergeCell ref="O28:P28"/>
    <mergeCell ref="O29:P29"/>
    <mergeCell ref="O30:P30"/>
    <mergeCell ref="O19:P19"/>
    <mergeCell ref="O20:P20"/>
    <mergeCell ref="O21:P21"/>
    <mergeCell ref="O22:P22"/>
    <mergeCell ref="O23:P23"/>
    <mergeCell ref="O24:P24"/>
    <mergeCell ref="O13:P13"/>
    <mergeCell ref="O14:P14"/>
    <mergeCell ref="O15:P15"/>
    <mergeCell ref="O16:P16"/>
    <mergeCell ref="O17:P17"/>
    <mergeCell ref="O18:P18"/>
    <mergeCell ref="A8:Q8"/>
    <mergeCell ref="A9:Q9"/>
    <mergeCell ref="A10:Q10"/>
    <mergeCell ref="A11:N11"/>
    <mergeCell ref="O11:P12"/>
    <mergeCell ref="Q11:Q12"/>
    <mergeCell ref="A5:F5"/>
    <mergeCell ref="G5:Q5"/>
    <mergeCell ref="A6:F6"/>
    <mergeCell ref="G6:Q6"/>
    <mergeCell ref="A7:F7"/>
    <mergeCell ref="G7:Q7"/>
    <mergeCell ref="A1:E1"/>
    <mergeCell ref="F1:O1"/>
    <mergeCell ref="P1:Q2"/>
    <mergeCell ref="A2:O2"/>
    <mergeCell ref="A3:Q3"/>
    <mergeCell ref="A4:F4"/>
    <mergeCell ref="G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Nec.Trim.</vt:lpstr>
      <vt:lpstr>NP 56-2021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COMPRAR</cp:lastModifiedBy>
  <dcterms:created xsi:type="dcterms:W3CDTF">2021-10-22T15:10:16Z</dcterms:created>
  <dcterms:modified xsi:type="dcterms:W3CDTF">2021-10-22T15:49:43Z</dcterms:modified>
</cp:coreProperties>
</file>