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ALUD\UT . LABORATORIO\nuevo\final\"/>
    </mc:Choice>
  </mc:AlternateContent>
  <xr:revisionPtr revIDLastSave="0" documentId="13_ncr:1_{7494DE14-38E1-478D-8DA0-8256EDF16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</sheets>
  <definedNames>
    <definedName name="_xlnm._FilterDatabase" localSheetId="0" hidden="1">'SAF 011 - NECESIDAD TRIMESTRAL'!$A$9:$J$61</definedName>
  </definedNames>
  <calcPr calcId="181029"/>
</workbook>
</file>

<file path=xl/calcChain.xml><?xml version="1.0" encoding="utf-8"?>
<calcChain xmlns="http://schemas.openxmlformats.org/spreadsheetml/2006/main">
  <c r="I61" i="1" l="1"/>
</calcChain>
</file>

<file path=xl/sharedStrings.xml><?xml version="1.0" encoding="utf-8"?>
<sst xmlns="http://schemas.openxmlformats.org/spreadsheetml/2006/main" count="234" uniqueCount="93">
  <si>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</si>
  <si>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</si>
  <si>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</si>
  <si>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</si>
  <si>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</si>
  <si>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</si>
  <si>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</si>
  <si>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</si>
  <si>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</si>
  <si>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</si>
  <si>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</si>
  <si>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</si>
  <si>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</si>
  <si>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</si>
  <si>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</si>
  <si>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</si>
  <si>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</si>
  <si>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CAJA</t>
  </si>
  <si>
    <t xml:space="preserve">UNIDAD </t>
  </si>
  <si>
    <t>UNIDAD</t>
  </si>
  <si>
    <t>BOLSA</t>
  </si>
  <si>
    <t>PROD. MEDICO/FARMACEUTICOS/LAB.</t>
  </si>
  <si>
    <t>BOTELLA</t>
  </si>
  <si>
    <t>APOSITOS; TIPO: POST EXTRACCION SANGUINEA, TAMAÑO: 40 X 40 mm</t>
  </si>
  <si>
    <t xml:space="preserve">BOLSAS DE SANGRE TRIPLE KS </t>
  </si>
  <si>
    <t>CEPILLO LIMPIA PIPETA DE CERDA NATURAL DE 10 MM</t>
  </si>
  <si>
    <t>PLACA PARA VDRL CON POCILLO PROFUNDO 12HOYOS</t>
  </si>
  <si>
    <t>TIP; TIPO: AMARILLO, PRESENTACION: ENVASE X 1000 UN, CAPACIDAD: 5 A 200 µl</t>
  </si>
  <si>
    <t>TOTAL RUBRO DESCARTABLE PARA LABORATORIO</t>
  </si>
  <si>
    <t>2.9.5.</t>
  </si>
  <si>
    <t>ANSA CALIBRADA PS DE 10 ul ESTERIL-ENVASE INDIVIDUAL X 20 U Tipo DELTALAB</t>
  </si>
  <si>
    <t>BOLSAS DE SANGRE TRIPLE KS TIPO GRIFOLS</t>
  </si>
  <si>
    <t>CUBETA PARA FIBRINTIMER x 500 UN. Tipo WIENER</t>
  </si>
  <si>
    <t>CUBETAS SERIE X 500 UN Tipo TECO GMBH (ALEMANIA)</t>
  </si>
  <si>
    <t>ERITUBO CON CITRATO 3,8% + PIPETA PARA ERITROSEDIMENTACION 1 ML (BOLSA X 100 UN) Tipo VITIS</t>
  </si>
  <si>
    <t>GRADILLAS PARA TUBOS DE KAHN</t>
  </si>
  <si>
    <t>MANOPLAS DE POLIETILENO x 100 U</t>
  </si>
  <si>
    <t>2.3.4</t>
  </si>
  <si>
    <t>PISETA 500 Ml</t>
  </si>
  <si>
    <t>TIMER DIGITAL 5 ALARMAS Tipo KINDER</t>
  </si>
  <si>
    <t>TUBO DE KAHN DE VIDRIO</t>
  </si>
  <si>
    <t>TUBOS DE ENSAYO; TIPO: CONICO P/CENTRIFUGA, MATERIAL: POLIPROPILENO, DIMENSION: 0,5 A 15 mL, ACCESORIO: SIN VALOR - A ROSCA 15ML NO ETERIL, BOLSA X 100 UNID TIPO BIOLIX</t>
  </si>
  <si>
    <t>TUBOS VACUTAINER P/SUERO DE 4ML, TAPA ROJA C/ETIQUETA CODIGO 367812 (1000 TUBOS)</t>
  </si>
  <si>
    <t>SEGUNDO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</si>
  <si>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</si>
  <si>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</si>
  <si>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</si>
  <si>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</si>
  <si>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</si>
  <si>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</si>
  <si>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</si>
  <si>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</si>
  <si>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PROD. MEDICO/FARMACEUTICOS/LAB</t>
  </si>
  <si>
    <t>2.9.5</t>
  </si>
  <si>
    <t>BOLSAS PARA DIGESTOR 1000 ML. 18 X 29 CM CON CIERRE X 100 UNIDADES TIPO GAMAFIL</t>
  </si>
  <si>
    <t>EQUIPO AQASSAY ARSENICO DISPOSITIVO BURBUJEADOR TIPO GT LAB</t>
  </si>
  <si>
    <t>ERLENMEYER; TIPO: BOCA COMUN, CAPACIDAD: 500 mL, GRADUADO: SI, GRADUACION: SI TIPO GLASSCO</t>
  </si>
  <si>
    <t>FILTRO DE MEMBRANA DE CN ESTERIL, Ø47MM (045ɥm X 1.000 U).</t>
  </si>
  <si>
    <t>FRASCO GRADUADO C/TAPA A ROSCA AUTOCLAVABLE X  250 ML TIPO GLASSCO</t>
  </si>
  <si>
    <t>MATRAZ AFORADO MATRAZ AFORADO; ESTADO: SOLIDO, MATERIAL: POLIPROPILENO, PRESENTACION: UNIDAD, CAPACIDAD: 100 mL</t>
  </si>
  <si>
    <t>MATRAZ AFORADO MATRAZ AFORADO; ESTADO: SOLIDO, MATERIAL: POLIPROPILENO, PRESENTACION: UNIDAD, CAPACIDAD: 250 mL</t>
  </si>
  <si>
    <t>PAPEL FILTRO; FORMA: CIRCULAR, DIMENSION: 110 mm, PORO: WATMAN 40/41, PRESENTACION: ENVASE X 100</t>
  </si>
  <si>
    <t>PICNÓMETRO DE VIDRIO C/TERMÓMETRO INCLUIDO C/TAPA ESMERILADA TIPO FITE X 5 ml</t>
  </si>
  <si>
    <t>PINZA PMP C/EXTREMO EN PUNTA AUTOCLAVABLE TIPO BRAND</t>
  </si>
  <si>
    <t>PLACAS DE PETRI PLACAS DE PETRI; MATERIAL: SOLIDO, DIAMETRO: 100 mm, ALTURA: 15 mm</t>
  </si>
  <si>
    <t>SOPLA DE GOMA P/BURETA TIPO DAIGGER</t>
  </si>
  <si>
    <t>TIPS AMARILLOS C/CORONA 5-200 UL X 1000 UNIDADES TIPO PARALWALL</t>
  </si>
  <si>
    <t>TUBO DE ENSAYO SIN SELLO TIPO PYREX ( Ø 16 X 150 MM)</t>
  </si>
  <si>
    <t xml:space="preserve">GUIA V20 C/RUEDITA *SANGRE* </t>
  </si>
  <si>
    <t>TUBOS DE ENSAYO; TIPO: VACUTAINER UN, MATERIAL: VIDRIO, DIMENSION: 10 mL, ACCESORIOS: SIN, ACCESORIO: SIN (X100 UNIDADES)</t>
  </si>
  <si>
    <t>PLACAS DE PETRI PLACAS DE PETRI; MATERIAL: PLASTICO ESTERIL, DIAMETRO: 5 Cm, ALTURA: SIN VALOR</t>
  </si>
  <si>
    <t>TUBOS DE HEMOLISIS; MATERIAL: VIDRIO, PRESENTACION: CAJA, DIMENSION: 100 X 13 DIAM. EXT., MEDIDAS: 100 X 13 DIAM. EXT., FORMA DE PRESENTACION: SOLIDO, ESTADO: SOLIDO (1000 TUBOS)</t>
  </si>
  <si>
    <t>GARRAFA</t>
  </si>
  <si>
    <t>TIPS AMARILLO CON CORONA X 1000 UNIDADES</t>
  </si>
  <si>
    <t>TIPS AMARILLO SIN CORONA X 1000 UNIDADES</t>
  </si>
  <si>
    <t>BOLSAS COLECTORAS; TIPO: ESTERIL, USO: MUESTREO, CAPACIDAD: 400 mL - CAJA X 10 UNID</t>
  </si>
  <si>
    <t>CONEXIÓN POR RADIOFRECUENCIA Y GR PARA AUTOMATIZACION, PARA CONECTOR ESTERIL-TIPO GRIFOLS</t>
  </si>
  <si>
    <t>KIT PLAQUETAS CON FILTRO-PARA EQUIPO DE AFERESIS MCS+.TIPO HAEMONETICS</t>
  </si>
  <si>
    <t>MICROPIPETAS REGULABLES; CAPACIDAD: 100 - 1000 µl (microlitros), DIVISIONES: CADA 5 µL, MATERIAL: PLASTICO - CAJA X 100 UNIDADES</t>
  </si>
  <si>
    <t>MICROPIPETAS REGULABLES; CAPACIDAD: 10-100 µL (microlitros), DIVISIONES: CADA 1 µL, MATERIAL: PLASTICO - CAJA X 100 UNIDADES</t>
  </si>
  <si>
    <t>TUBO  DE CALIBRACION DE GASES P/TS2 - DESCARTABLE - Tipo OPTI MEDICAL (USA)</t>
  </si>
  <si>
    <t>TIPS AZUL AUTOCLAVABLE X 1000 UNIDADES</t>
  </si>
  <si>
    <t>TUBOS DE ENSAYO; TIPO: EPPENDORF, MATERIAL: PLASTICO, DIMENSION: 1.5 mL, ACCESORIOS: SIN, ACCESORIO: SIN (X 1000 UNIDADES)</t>
  </si>
  <si>
    <t xml:space="preserve">CINTA DE SILICONA PARA EXTRACCION DE MUESTRAS DE SANGRE - CAJA X 10 U DE 0,50 M TIPO DELTALAB </t>
  </si>
  <si>
    <t>PAPEL para contador MINDRAY; Medidas: 50 mm x 25 metros.</t>
  </si>
  <si>
    <t>PROD. MEDICO/
FARMACEUTICOS/LAB</t>
  </si>
  <si>
    <t>KITASATOS DE BOCA ESMERILADA X 1000 ML TIPO: GLASSCO</t>
  </si>
  <si>
    <t>INTERMEDIARIOS CON DISCO SINTERIZADO DE Ø 47MM TIPO: GLASSCO</t>
  </si>
  <si>
    <t>VASOS GRADUADOS X 300 ML  TIPO: GLASSCO</t>
  </si>
  <si>
    <t>PINZAS METÁLICAS TIPO: GLASSCO</t>
  </si>
  <si>
    <t>ITEMS 1, 8, 10, 11, 13, 17, 22, 28, 32, 37, 43, 45 - DIR. PROV. DE LABORATORIO - CHACABUCO N° 169 - en el horario de 8:00hs a 12:00hs de lunes a viernes</t>
  </si>
  <si>
    <t>ITEMS 2, 4, 5, 7, 9, 18, 20, 25, 26, 33, 38 al 40, 42, 46 al 50 - DIR. PROV. BANCO DE SANGRE - BOTO GARAY N° 500 - en el horario de 8:00hs a 12:00hs de lunes a viernes</t>
  </si>
  <si>
    <t>ITEMS 3, 6, 12, 14 al 16, 19, 21, 23, 24, 27, 29 al 31, 34 al 36, 41, 44, 51 - DIR. PROV. SALUD Y MEDIO AMBIENTE - OCAMPO N° 257 - en el horario de 8:00hs a 12:00hs de lunes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</si>
</sst>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70" formatCode="_(\$* #,##0.00_);_(\$* \(#,##0.00\);_(\$* \-??_);_(@_)"/>
    <numFmt numFmtId="171" formatCode="_-&quot;$&quot;\ * #,##0.00_-;\-&quot;$&quot;\ * #,##0.00_-;_-&quot;$&quot;\ * &quot;-&quot;??_-;_-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Arial"/>
      <family val="2"/>
      <charset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</cellStyleXfs>
  <cellXfs count="87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0" fontId="9" fillId="0" borderId="0" xfId="0" applyFont="1" applyFill="1"/>
    <xf numFmtId="0" fontId="9" fillId="0" borderId="0" xfId="0" applyFont="1" applyBorder="1"/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7" fontId="9" fillId="0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6" xfId="0" applyFont="1" applyBorder="1" applyAlignment="1">
      <alignment horizontal="center" vertical="center" wrapText="1"/>
    </xf>
    <xf numFmtId="167" fontId="9" fillId="0" borderId="1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3" fontId="7" fillId="0" borderId="1" xfId="2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167" fontId="10" fillId="0" borderId="6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wrapText="1"/>
    </xf>
    <xf numFmtId="0" fontId="10" fillId="0" borderId="0" xfId="0" applyFont="1" applyFill="1"/>
    <xf numFmtId="3" fontId="7" fillId="0" borderId="7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18" fillId="0" borderId="9" xfId="5" applyFont="1" applyFill="1" applyBorder="1" applyAlignment="1">
      <alignment horizontal="center" vertical="center" wrapText="1"/>
    </xf>
    <xf numFmtId="0" fontId="18" fillId="0" borderId="1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18" fillId="0" borderId="11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18" fillId="0" borderId="11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18" fillId="0" borderId="13" xfId="5" applyFont="1" applyBorder="1" applyAlignment="1">
      <alignment horizontal="center" wrapText="1"/>
    </xf>
    <xf numFmtId="0" fontId="3" fillId="0" borderId="14" xfId="5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5" xfId="0" applyFont="1" applyFill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/>
    </xf>
    <xf numFmtId="171" fontId="7" fillId="0" borderId="2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7" fontId="7" fillId="0" borderId="1" xfId="0" applyNumberFormat="1" applyFont="1" applyFill="1" applyBorder="1" applyAlignment="1">
      <alignment horizontal="center" vertical="center"/>
    </xf>
    <xf numFmtId="167" fontId="7" fillId="0" borderId="2" xfId="0" applyNumberFormat="1" applyFont="1" applyFill="1" applyBorder="1" applyAlignment="1">
      <alignment horizontal="center" vertical="center"/>
    </xf>
    <xf numFmtId="167" fontId="7" fillId="0" borderId="2" xfId="1" applyNumberFormat="1" applyFont="1" applyFill="1" applyBorder="1" applyAlignment="1">
      <alignment vertical="center" wrapText="1"/>
    </xf>
    <xf numFmtId="171" fontId="7" fillId="0" borderId="2" xfId="0" applyNumberFormat="1" applyFont="1" applyFill="1" applyBorder="1" applyAlignment="1">
      <alignment horizontal="center" vertical="center"/>
    </xf>
    <xf numFmtId="3" fontId="7" fillId="0" borderId="17" xfId="2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8" fillId="0" borderId="1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0" xfId="5" applyFont="1" applyFill="1" applyBorder="1" applyAlignment="1">
      <alignment horizontal="left" vertical="center" wrapText="1"/>
    </xf>
    <xf numFmtId="0" fontId="3" fillId="0" borderId="12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6"/>
  <sheetViews>
    <sheetView tabSelected="1" topLeftCell="C55" zoomScale="80" zoomScaleNormal="80" workbookViewId="0">
      <selection activeCell="I70" sqref="I70"/>
    </sheetView>
  </sheetViews>
  <sheetFormatPr baseColWidth="10" defaultRowHeight="15" x14ac:dyDescent="0.25"/>
  <cols>
    <col min="1" max="1" width="6.85546875" style="13" customWidth="1"/>
    <col min="2" max="2" width="13.85546875" style="13" bestFit="1" customWidth="1"/>
    <col min="3" max="3" width="37.140625" style="13" customWidth="1"/>
    <col min="4" max="4" width="5.5703125" style="13" bestFit="1" customWidth="1"/>
    <col min="5" max="5" width="91.85546875" style="14" customWidth="1"/>
    <col min="6" max="6" width="20" style="13" bestFit="1" customWidth="1"/>
    <col min="7" max="7" width="12.28515625" style="15" customWidth="1"/>
    <col min="8" max="8" width="15.5703125" style="16" bestFit="1" customWidth="1"/>
    <col min="9" max="9" width="16.7109375" style="16" bestFit="1" customWidth="1"/>
    <col min="10" max="10" width="60.5703125" style="30" bestFit="1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ht="18.75" x14ac:dyDescent="0.25">
      <c r="A2" s="3"/>
      <c r="B2" s="79" t="s">
        <v>0</v>
      </c>
      <c r="C2" s="79"/>
      <c r="D2" s="79"/>
      <c r="E2" s="79"/>
      <c r="F2" s="79"/>
      <c r="G2" s="79"/>
      <c r="H2" s="79"/>
      <c r="I2" s="7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78" t="s">
        <v>1</v>
      </c>
      <c r="B4" s="78"/>
      <c r="C4" s="80" t="s">
        <v>2</v>
      </c>
      <c r="D4" s="80"/>
      <c r="E4" s="80"/>
      <c r="F4" s="8"/>
      <c r="G4" s="9"/>
      <c r="H4" s="6"/>
      <c r="I4" s="7"/>
    </row>
    <row r="5" spans="1:11" x14ac:dyDescent="0.25">
      <c r="A5" s="78" t="s">
        <v>3</v>
      </c>
      <c r="B5" s="78"/>
      <c r="C5" s="81" t="s">
        <v>4</v>
      </c>
      <c r="D5" s="81"/>
      <c r="E5" s="81"/>
      <c r="F5" s="8"/>
      <c r="G5" s="9"/>
      <c r="H5" s="6"/>
      <c r="I5" s="7"/>
    </row>
    <row r="6" spans="1:11" x14ac:dyDescent="0.25">
      <c r="A6" s="78" t="s">
        <v>5</v>
      </c>
      <c r="B6" s="78"/>
      <c r="C6" s="10">
        <v>2022</v>
      </c>
      <c r="D6" s="11"/>
      <c r="E6" s="10"/>
      <c r="F6" s="8"/>
      <c r="G6" s="9"/>
      <c r="H6" s="6"/>
      <c r="I6" s="7"/>
    </row>
    <row r="7" spans="1:11" x14ac:dyDescent="0.25">
      <c r="A7" s="78" t="s">
        <v>6</v>
      </c>
      <c r="B7" s="78"/>
      <c r="C7" s="10" t="s">
        <v>43</v>
      </c>
      <c r="D7" s="11"/>
      <c r="E7" s="10"/>
      <c r="F7" s="8"/>
      <c r="G7" s="9"/>
      <c r="H7" s="6"/>
      <c r="I7" s="7"/>
    </row>
    <row r="8" spans="1:11" ht="15.75" thickBot="1" x14ac:dyDescent="0.3">
      <c r="A8" s="3"/>
      <c r="B8" s="8"/>
      <c r="C8" s="8"/>
      <c r="D8" s="8"/>
      <c r="E8" s="12"/>
      <c r="F8" s="8"/>
      <c r="G8" s="9"/>
      <c r="H8" s="6"/>
      <c r="I8" s="7"/>
    </row>
    <row r="9" spans="1:11" ht="39" thickBot="1" x14ac:dyDescent="0.3">
      <c r="A9" s="23" t="s">
        <v>7</v>
      </c>
      <c r="B9" s="24" t="s">
        <v>8</v>
      </c>
      <c r="C9" s="25" t="s">
        <v>9</v>
      </c>
      <c r="D9" s="24" t="s">
        <v>10</v>
      </c>
      <c r="E9" s="26" t="s">
        <v>11</v>
      </c>
      <c r="F9" s="25" t="s">
        <v>12</v>
      </c>
      <c r="G9" s="27" t="s">
        <v>13</v>
      </c>
      <c r="H9" s="29" t="s">
        <v>14</v>
      </c>
      <c r="I9" s="28" t="s">
        <v>15</v>
      </c>
      <c r="J9" s="31" t="s">
        <v>16</v>
      </c>
      <c r="K9" s="17"/>
    </row>
    <row r="10" spans="1:11" s="18" customFormat="1" ht="12.75" x14ac:dyDescent="0.2">
      <c r="A10" s="20">
        <v>1</v>
      </c>
      <c r="B10" s="20"/>
      <c r="C10" s="20" t="s">
        <v>21</v>
      </c>
      <c r="D10" s="20" t="s">
        <v>29</v>
      </c>
      <c r="E10" s="21" t="s">
        <v>30</v>
      </c>
      <c r="F10" s="20" t="s">
        <v>20</v>
      </c>
      <c r="G10" s="33">
        <v>50</v>
      </c>
      <c r="H10" s="22">
        <v>640</v>
      </c>
      <c r="I10" s="22">
        <v>32000</v>
      </c>
      <c r="J10" s="34"/>
    </row>
    <row r="11" spans="1:11" s="18" customFormat="1" ht="12.75" x14ac:dyDescent="0.2">
      <c r="A11" s="35">
        <v>2</v>
      </c>
      <c r="B11" s="35"/>
      <c r="C11" s="35" t="s">
        <v>21</v>
      </c>
      <c r="D11" s="35" t="s">
        <v>29</v>
      </c>
      <c r="E11" s="36" t="s">
        <v>23</v>
      </c>
      <c r="F11" s="35" t="s">
        <v>17</v>
      </c>
      <c r="G11" s="33">
        <v>50</v>
      </c>
      <c r="H11" s="22">
        <v>702</v>
      </c>
      <c r="I11" s="22">
        <v>35100</v>
      </c>
      <c r="J11" s="34"/>
    </row>
    <row r="12" spans="1:11" s="18" customFormat="1" ht="12.75" x14ac:dyDescent="0.2">
      <c r="A12" s="35">
        <v>3</v>
      </c>
      <c r="B12" s="35"/>
      <c r="C12" s="71" t="s">
        <v>52</v>
      </c>
      <c r="D12" s="71" t="s">
        <v>53</v>
      </c>
      <c r="E12" s="72" t="s">
        <v>75</v>
      </c>
      <c r="F12" s="71" t="s">
        <v>17</v>
      </c>
      <c r="G12" s="33">
        <v>10</v>
      </c>
      <c r="H12" s="74">
        <v>4450</v>
      </c>
      <c r="I12" s="22">
        <v>44500</v>
      </c>
      <c r="J12" s="34"/>
    </row>
    <row r="13" spans="1:11" s="18" customFormat="1" ht="12.75" x14ac:dyDescent="0.2">
      <c r="A13" s="35">
        <v>4</v>
      </c>
      <c r="B13" s="35"/>
      <c r="C13" s="35" t="s">
        <v>21</v>
      </c>
      <c r="D13" s="35" t="s">
        <v>29</v>
      </c>
      <c r="E13" s="36" t="s">
        <v>24</v>
      </c>
      <c r="F13" s="35" t="s">
        <v>18</v>
      </c>
      <c r="G13" s="33">
        <v>1794</v>
      </c>
      <c r="H13" s="22">
        <v>1095</v>
      </c>
      <c r="I13" s="22">
        <v>1964430</v>
      </c>
      <c r="J13" s="34"/>
    </row>
    <row r="14" spans="1:11" s="18" customFormat="1" ht="12.75" x14ac:dyDescent="0.2">
      <c r="A14" s="35">
        <v>5</v>
      </c>
      <c r="B14" s="35"/>
      <c r="C14" s="35" t="s">
        <v>21</v>
      </c>
      <c r="D14" s="35" t="s">
        <v>29</v>
      </c>
      <c r="E14" s="36" t="s">
        <v>31</v>
      </c>
      <c r="F14" s="35" t="s">
        <v>19</v>
      </c>
      <c r="G14" s="33">
        <v>3594</v>
      </c>
      <c r="H14" s="22">
        <v>1190</v>
      </c>
      <c r="I14" s="22">
        <v>4276860</v>
      </c>
      <c r="J14" s="34"/>
    </row>
    <row r="15" spans="1:11" s="18" customFormat="1" ht="12.75" x14ac:dyDescent="0.2">
      <c r="A15" s="35">
        <v>6</v>
      </c>
      <c r="B15" s="35"/>
      <c r="C15" s="71" t="s">
        <v>52</v>
      </c>
      <c r="D15" s="71" t="s">
        <v>53</v>
      </c>
      <c r="E15" s="72" t="s">
        <v>54</v>
      </c>
      <c r="F15" s="71" t="s">
        <v>17</v>
      </c>
      <c r="G15" s="33">
        <v>1</v>
      </c>
      <c r="H15" s="75">
        <v>16500</v>
      </c>
      <c r="I15" s="22">
        <v>16500</v>
      </c>
      <c r="J15" s="34"/>
    </row>
    <row r="16" spans="1:11" s="18" customFormat="1" ht="12.75" x14ac:dyDescent="0.2">
      <c r="A16" s="35">
        <v>7</v>
      </c>
      <c r="B16" s="35"/>
      <c r="C16" s="35" t="s">
        <v>21</v>
      </c>
      <c r="D16" s="35" t="s">
        <v>29</v>
      </c>
      <c r="E16" s="36" t="s">
        <v>25</v>
      </c>
      <c r="F16" s="35" t="s">
        <v>19</v>
      </c>
      <c r="G16" s="33">
        <v>10</v>
      </c>
      <c r="H16" s="22">
        <v>125</v>
      </c>
      <c r="I16" s="22">
        <v>1250</v>
      </c>
      <c r="J16" s="34"/>
    </row>
    <row r="17" spans="1:10" s="18" customFormat="1" ht="15" customHeight="1" x14ac:dyDescent="0.2">
      <c r="A17" s="35">
        <v>8</v>
      </c>
      <c r="B17" s="35"/>
      <c r="C17" s="35" t="s">
        <v>21</v>
      </c>
      <c r="D17" s="35" t="s">
        <v>29</v>
      </c>
      <c r="E17" s="36" t="s">
        <v>83</v>
      </c>
      <c r="F17" s="35" t="s">
        <v>17</v>
      </c>
      <c r="G17" s="33">
        <v>20</v>
      </c>
      <c r="H17" s="22">
        <v>300</v>
      </c>
      <c r="I17" s="22">
        <v>6000</v>
      </c>
      <c r="J17" s="34"/>
    </row>
    <row r="18" spans="1:10" s="18" customFormat="1" ht="12.75" x14ac:dyDescent="0.2">
      <c r="A18" s="35">
        <v>9</v>
      </c>
      <c r="B18" s="35"/>
      <c r="C18" s="35" t="s">
        <v>21</v>
      </c>
      <c r="D18" s="35" t="s">
        <v>29</v>
      </c>
      <c r="E18" s="36" t="s">
        <v>76</v>
      </c>
      <c r="F18" s="35" t="s">
        <v>19</v>
      </c>
      <c r="G18" s="33">
        <v>900</v>
      </c>
      <c r="H18" s="22">
        <v>3950</v>
      </c>
      <c r="I18" s="22">
        <v>3555000</v>
      </c>
      <c r="J18" s="34"/>
    </row>
    <row r="19" spans="1:10" s="18" customFormat="1" ht="12.75" x14ac:dyDescent="0.2">
      <c r="A19" s="35">
        <v>10</v>
      </c>
      <c r="B19" s="35"/>
      <c r="C19" s="35" t="s">
        <v>21</v>
      </c>
      <c r="D19" s="35" t="s">
        <v>29</v>
      </c>
      <c r="E19" s="36" t="s">
        <v>32</v>
      </c>
      <c r="F19" s="35" t="s">
        <v>17</v>
      </c>
      <c r="G19" s="33">
        <v>10</v>
      </c>
      <c r="H19" s="22">
        <v>25860</v>
      </c>
      <c r="I19" s="22">
        <v>258600</v>
      </c>
      <c r="J19" s="34"/>
    </row>
    <row r="20" spans="1:10" s="18" customFormat="1" ht="12.75" x14ac:dyDescent="0.2">
      <c r="A20" s="35">
        <v>11</v>
      </c>
      <c r="B20" s="35"/>
      <c r="C20" s="35" t="s">
        <v>21</v>
      </c>
      <c r="D20" s="35" t="s">
        <v>29</v>
      </c>
      <c r="E20" s="36" t="s">
        <v>33</v>
      </c>
      <c r="F20" s="35" t="s">
        <v>17</v>
      </c>
      <c r="G20" s="33">
        <v>20</v>
      </c>
      <c r="H20" s="22">
        <v>14372</v>
      </c>
      <c r="I20" s="22">
        <v>287440</v>
      </c>
      <c r="J20" s="34"/>
    </row>
    <row r="21" spans="1:10" s="18" customFormat="1" ht="12.75" x14ac:dyDescent="0.2">
      <c r="A21" s="35">
        <v>12</v>
      </c>
      <c r="B21" s="35"/>
      <c r="C21" s="65" t="s">
        <v>52</v>
      </c>
      <c r="D21" s="65" t="s">
        <v>53</v>
      </c>
      <c r="E21" s="66" t="s">
        <v>55</v>
      </c>
      <c r="F21" s="65" t="s">
        <v>19</v>
      </c>
      <c r="G21" s="33">
        <v>1</v>
      </c>
      <c r="H21" s="70">
        <v>18300</v>
      </c>
      <c r="I21" s="22">
        <v>18300</v>
      </c>
      <c r="J21" s="34"/>
    </row>
    <row r="22" spans="1:10" s="18" customFormat="1" ht="12.75" x14ac:dyDescent="0.2">
      <c r="A22" s="35">
        <v>13</v>
      </c>
      <c r="B22" s="35"/>
      <c r="C22" s="35" t="s">
        <v>21</v>
      </c>
      <c r="D22" s="35" t="s">
        <v>29</v>
      </c>
      <c r="E22" s="36" t="s">
        <v>34</v>
      </c>
      <c r="F22" s="35" t="s">
        <v>20</v>
      </c>
      <c r="G22" s="33">
        <v>5</v>
      </c>
      <c r="H22" s="22">
        <v>6229</v>
      </c>
      <c r="I22" s="22">
        <v>31145</v>
      </c>
      <c r="J22" s="34"/>
    </row>
    <row r="23" spans="1:10" s="18" customFormat="1" ht="12.75" x14ac:dyDescent="0.2">
      <c r="A23" s="35">
        <v>14</v>
      </c>
      <c r="B23" s="35"/>
      <c r="C23" s="65" t="s">
        <v>52</v>
      </c>
      <c r="D23" s="67" t="s">
        <v>53</v>
      </c>
      <c r="E23" s="66" t="s">
        <v>56</v>
      </c>
      <c r="F23" s="68" t="s">
        <v>19</v>
      </c>
      <c r="G23" s="33">
        <v>10</v>
      </c>
      <c r="H23" s="70">
        <v>1300</v>
      </c>
      <c r="I23" s="22">
        <v>13000</v>
      </c>
      <c r="J23" s="34"/>
    </row>
    <row r="24" spans="1:10" s="18" customFormat="1" ht="12.75" x14ac:dyDescent="0.2">
      <c r="A24" s="35">
        <v>15</v>
      </c>
      <c r="B24" s="35"/>
      <c r="C24" s="65" t="s">
        <v>52</v>
      </c>
      <c r="D24" s="65" t="s">
        <v>53</v>
      </c>
      <c r="E24" s="66" t="s">
        <v>57</v>
      </c>
      <c r="F24" s="65" t="s">
        <v>19</v>
      </c>
      <c r="G24" s="33">
        <v>1</v>
      </c>
      <c r="H24" s="69">
        <v>45300</v>
      </c>
      <c r="I24" s="22">
        <v>45300</v>
      </c>
      <c r="J24" s="34"/>
    </row>
    <row r="25" spans="1:10" s="18" customFormat="1" ht="12.75" x14ac:dyDescent="0.2">
      <c r="A25" s="35">
        <v>16</v>
      </c>
      <c r="B25" s="35"/>
      <c r="C25" s="65" t="s">
        <v>52</v>
      </c>
      <c r="D25" s="65" t="s">
        <v>53</v>
      </c>
      <c r="E25" s="66" t="s">
        <v>58</v>
      </c>
      <c r="F25" s="65" t="s">
        <v>19</v>
      </c>
      <c r="G25" s="33">
        <v>20</v>
      </c>
      <c r="H25" s="69">
        <v>820</v>
      </c>
      <c r="I25" s="22">
        <v>16400</v>
      </c>
      <c r="J25" s="34"/>
    </row>
    <row r="26" spans="1:10" s="18" customFormat="1" ht="12.75" x14ac:dyDescent="0.2">
      <c r="A26" s="35">
        <v>17</v>
      </c>
      <c r="B26" s="35"/>
      <c r="C26" s="35" t="s">
        <v>21</v>
      </c>
      <c r="D26" s="35" t="s">
        <v>29</v>
      </c>
      <c r="E26" s="36" t="s">
        <v>35</v>
      </c>
      <c r="F26" s="35" t="s">
        <v>19</v>
      </c>
      <c r="G26" s="33">
        <v>50</v>
      </c>
      <c r="H26" s="22">
        <v>3866</v>
      </c>
      <c r="I26" s="22">
        <v>193300</v>
      </c>
      <c r="J26" s="34"/>
    </row>
    <row r="27" spans="1:10" s="18" customFormat="1" ht="12.75" x14ac:dyDescent="0.2">
      <c r="A27" s="35">
        <v>18</v>
      </c>
      <c r="B27" s="35"/>
      <c r="C27" s="71" t="s">
        <v>52</v>
      </c>
      <c r="D27" s="71" t="s">
        <v>53</v>
      </c>
      <c r="E27" s="36" t="s">
        <v>68</v>
      </c>
      <c r="F27" s="35" t="s">
        <v>19</v>
      </c>
      <c r="G27" s="33">
        <v>1200</v>
      </c>
      <c r="H27" s="22">
        <v>92</v>
      </c>
      <c r="I27" s="22">
        <v>110400</v>
      </c>
      <c r="J27" s="34"/>
    </row>
    <row r="28" spans="1:10" s="18" customFormat="1" ht="12.75" x14ac:dyDescent="0.2">
      <c r="A28" s="35">
        <v>19</v>
      </c>
      <c r="B28" s="35"/>
      <c r="C28" s="71" t="s">
        <v>85</v>
      </c>
      <c r="D28" s="71" t="s">
        <v>53</v>
      </c>
      <c r="E28" s="72" t="s">
        <v>87</v>
      </c>
      <c r="F28" s="71" t="s">
        <v>19</v>
      </c>
      <c r="G28" s="33">
        <v>10</v>
      </c>
      <c r="H28" s="74">
        <v>17900</v>
      </c>
      <c r="I28" s="22">
        <v>179000</v>
      </c>
      <c r="J28" s="34"/>
    </row>
    <row r="29" spans="1:10" s="18" customFormat="1" ht="12.75" x14ac:dyDescent="0.2">
      <c r="A29" s="35">
        <v>20</v>
      </c>
      <c r="B29" s="35"/>
      <c r="C29" s="35" t="s">
        <v>21</v>
      </c>
      <c r="D29" s="35" t="s">
        <v>29</v>
      </c>
      <c r="E29" s="36" t="s">
        <v>77</v>
      </c>
      <c r="F29" s="35" t="s">
        <v>19</v>
      </c>
      <c r="G29" s="33">
        <v>48</v>
      </c>
      <c r="H29" s="22">
        <v>41019</v>
      </c>
      <c r="I29" s="22">
        <v>1968912</v>
      </c>
      <c r="J29" s="34"/>
    </row>
    <row r="30" spans="1:10" s="18" customFormat="1" ht="12.75" x14ac:dyDescent="0.2">
      <c r="A30" s="35">
        <v>21</v>
      </c>
      <c r="B30" s="35"/>
      <c r="C30" s="71" t="s">
        <v>85</v>
      </c>
      <c r="D30" s="71" t="s">
        <v>53</v>
      </c>
      <c r="E30" s="72" t="s">
        <v>86</v>
      </c>
      <c r="F30" s="71" t="s">
        <v>19</v>
      </c>
      <c r="G30" s="33">
        <v>10</v>
      </c>
      <c r="H30" s="74">
        <v>17900</v>
      </c>
      <c r="I30" s="22">
        <v>179000</v>
      </c>
      <c r="J30" s="34"/>
    </row>
    <row r="31" spans="1:10" s="18" customFormat="1" ht="12.75" x14ac:dyDescent="0.2">
      <c r="A31" s="35">
        <v>22</v>
      </c>
      <c r="B31" s="35"/>
      <c r="C31" s="35" t="s">
        <v>21</v>
      </c>
      <c r="D31" s="35" t="s">
        <v>29</v>
      </c>
      <c r="E31" s="36" t="s">
        <v>36</v>
      </c>
      <c r="F31" s="35" t="s">
        <v>20</v>
      </c>
      <c r="G31" s="33">
        <v>200</v>
      </c>
      <c r="H31" s="22">
        <v>179</v>
      </c>
      <c r="I31" s="22">
        <v>35800</v>
      </c>
      <c r="J31" s="34"/>
    </row>
    <row r="32" spans="1:10" s="18" customFormat="1" ht="24" customHeight="1" x14ac:dyDescent="0.2">
      <c r="A32" s="35">
        <v>23</v>
      </c>
      <c r="B32" s="35"/>
      <c r="C32" s="71" t="s">
        <v>52</v>
      </c>
      <c r="D32" s="71" t="s">
        <v>53</v>
      </c>
      <c r="E32" s="72" t="s">
        <v>59</v>
      </c>
      <c r="F32" s="71" t="s">
        <v>19</v>
      </c>
      <c r="G32" s="33">
        <v>5</v>
      </c>
      <c r="H32" s="76">
        <v>950</v>
      </c>
      <c r="I32" s="22">
        <v>4750</v>
      </c>
      <c r="J32" s="34"/>
    </row>
    <row r="33" spans="1:10" s="18" customFormat="1" ht="25.5" x14ac:dyDescent="0.2">
      <c r="A33" s="35">
        <v>24</v>
      </c>
      <c r="B33" s="35"/>
      <c r="C33" s="71" t="s">
        <v>52</v>
      </c>
      <c r="D33" s="71" t="s">
        <v>53</v>
      </c>
      <c r="E33" s="72" t="s">
        <v>60</v>
      </c>
      <c r="F33" s="71" t="s">
        <v>19</v>
      </c>
      <c r="G33" s="33">
        <v>5</v>
      </c>
      <c r="H33" s="76">
        <v>1071.6400000000001</v>
      </c>
      <c r="I33" s="22">
        <v>5358.2000000000007</v>
      </c>
      <c r="J33" s="34"/>
    </row>
    <row r="34" spans="1:10" s="18" customFormat="1" ht="25.5" x14ac:dyDescent="0.2">
      <c r="A34" s="35">
        <v>25</v>
      </c>
      <c r="B34" s="35"/>
      <c r="C34" s="35" t="s">
        <v>21</v>
      </c>
      <c r="D34" s="35" t="s">
        <v>29</v>
      </c>
      <c r="E34" s="36" t="s">
        <v>78</v>
      </c>
      <c r="F34" s="35" t="s">
        <v>17</v>
      </c>
      <c r="G34" s="33">
        <v>2</v>
      </c>
      <c r="H34" s="22">
        <v>52350</v>
      </c>
      <c r="I34" s="22">
        <v>104700</v>
      </c>
      <c r="J34" s="34"/>
    </row>
    <row r="35" spans="1:10" s="18" customFormat="1" ht="25.5" x14ac:dyDescent="0.2">
      <c r="A35" s="35">
        <v>26</v>
      </c>
      <c r="B35" s="35"/>
      <c r="C35" s="35" t="s">
        <v>21</v>
      </c>
      <c r="D35" s="35" t="s">
        <v>29</v>
      </c>
      <c r="E35" s="36" t="s">
        <v>79</v>
      </c>
      <c r="F35" s="35" t="s">
        <v>17</v>
      </c>
      <c r="G35" s="33">
        <v>2</v>
      </c>
      <c r="H35" s="22">
        <v>50350</v>
      </c>
      <c r="I35" s="22">
        <v>100700</v>
      </c>
      <c r="J35" s="34"/>
    </row>
    <row r="36" spans="1:10" s="18" customFormat="1" ht="12.75" x14ac:dyDescent="0.2">
      <c r="A36" s="35">
        <v>27</v>
      </c>
      <c r="B36" s="35"/>
      <c r="C36" s="71" t="s">
        <v>52</v>
      </c>
      <c r="D36" s="71" t="s">
        <v>53</v>
      </c>
      <c r="E36" s="72" t="s">
        <v>61</v>
      </c>
      <c r="F36" s="71" t="s">
        <v>17</v>
      </c>
      <c r="G36" s="33">
        <v>1</v>
      </c>
      <c r="H36" s="74">
        <v>8791</v>
      </c>
      <c r="I36" s="22">
        <v>8791</v>
      </c>
      <c r="J36" s="34"/>
    </row>
    <row r="37" spans="1:10" s="18" customFormat="1" ht="12.75" x14ac:dyDescent="0.2">
      <c r="A37" s="35">
        <v>28</v>
      </c>
      <c r="B37" s="35"/>
      <c r="C37" s="35" t="s">
        <v>21</v>
      </c>
      <c r="D37" s="35" t="s">
        <v>37</v>
      </c>
      <c r="E37" s="36" t="s">
        <v>84</v>
      </c>
      <c r="F37" s="35" t="s">
        <v>19</v>
      </c>
      <c r="G37" s="37">
        <v>90</v>
      </c>
      <c r="H37" s="22">
        <v>714</v>
      </c>
      <c r="I37" s="22">
        <v>64260</v>
      </c>
      <c r="J37" s="34"/>
    </row>
    <row r="38" spans="1:10" s="18" customFormat="1" ht="12.75" x14ac:dyDescent="0.2">
      <c r="A38" s="35">
        <v>29</v>
      </c>
      <c r="B38" s="35"/>
      <c r="C38" s="71" t="s">
        <v>52</v>
      </c>
      <c r="D38" s="71" t="s">
        <v>53</v>
      </c>
      <c r="E38" s="72" t="s">
        <v>62</v>
      </c>
      <c r="F38" s="71" t="s">
        <v>19</v>
      </c>
      <c r="G38" s="37">
        <v>1</v>
      </c>
      <c r="H38" s="74">
        <v>65000</v>
      </c>
      <c r="I38" s="22">
        <v>65000</v>
      </c>
      <c r="J38" s="34"/>
    </row>
    <row r="39" spans="1:10" s="18" customFormat="1" ht="12.75" x14ac:dyDescent="0.2">
      <c r="A39" s="35">
        <v>30</v>
      </c>
      <c r="B39" s="35"/>
      <c r="C39" s="71" t="s">
        <v>52</v>
      </c>
      <c r="D39" s="71" t="s">
        <v>53</v>
      </c>
      <c r="E39" s="72" t="s">
        <v>63</v>
      </c>
      <c r="F39" s="71" t="s">
        <v>19</v>
      </c>
      <c r="G39" s="37">
        <v>5</v>
      </c>
      <c r="H39" s="74">
        <v>3700</v>
      </c>
      <c r="I39" s="22">
        <v>18500</v>
      </c>
      <c r="J39" s="34"/>
    </row>
    <row r="40" spans="1:10" s="18" customFormat="1" ht="12.75" x14ac:dyDescent="0.2">
      <c r="A40" s="35">
        <v>31</v>
      </c>
      <c r="B40" s="35"/>
      <c r="C40" s="71" t="s">
        <v>85</v>
      </c>
      <c r="D40" s="71" t="s">
        <v>53</v>
      </c>
      <c r="E40" s="72" t="s">
        <v>89</v>
      </c>
      <c r="F40" s="71" t="s">
        <v>19</v>
      </c>
      <c r="G40" s="37">
        <v>10</v>
      </c>
      <c r="H40" s="74">
        <v>9000</v>
      </c>
      <c r="I40" s="22">
        <v>90000</v>
      </c>
      <c r="J40" s="34"/>
    </row>
    <row r="41" spans="1:10" s="18" customFormat="1" ht="12.75" x14ac:dyDescent="0.2">
      <c r="A41" s="35">
        <v>32</v>
      </c>
      <c r="B41" s="35"/>
      <c r="C41" s="35" t="s">
        <v>21</v>
      </c>
      <c r="D41" s="35" t="s">
        <v>29</v>
      </c>
      <c r="E41" s="36" t="s">
        <v>38</v>
      </c>
      <c r="F41" s="35" t="s">
        <v>22</v>
      </c>
      <c r="G41" s="37">
        <v>30</v>
      </c>
      <c r="H41" s="32">
        <v>890</v>
      </c>
      <c r="I41" s="32">
        <v>26700</v>
      </c>
      <c r="J41" s="34"/>
    </row>
    <row r="42" spans="1:10" s="18" customFormat="1" ht="12.75" x14ac:dyDescent="0.2">
      <c r="A42" s="35">
        <v>33</v>
      </c>
      <c r="B42" s="35"/>
      <c r="C42" s="35" t="s">
        <v>21</v>
      </c>
      <c r="D42" s="35" t="s">
        <v>29</v>
      </c>
      <c r="E42" s="36" t="s">
        <v>26</v>
      </c>
      <c r="F42" s="35" t="s">
        <v>19</v>
      </c>
      <c r="G42" s="37">
        <v>20</v>
      </c>
      <c r="H42" s="32">
        <v>1220</v>
      </c>
      <c r="I42" s="32">
        <v>24400</v>
      </c>
      <c r="J42" s="64"/>
    </row>
    <row r="43" spans="1:10" s="18" customFormat="1" ht="12.75" x14ac:dyDescent="0.2">
      <c r="A43" s="35">
        <v>34</v>
      </c>
      <c r="B43" s="35"/>
      <c r="C43" s="71" t="s">
        <v>52</v>
      </c>
      <c r="D43" s="71" t="s">
        <v>53</v>
      </c>
      <c r="E43" s="72" t="s">
        <v>70</v>
      </c>
      <c r="F43" s="71" t="s">
        <v>19</v>
      </c>
      <c r="G43" s="37">
        <v>400</v>
      </c>
      <c r="H43" s="73">
        <v>32</v>
      </c>
      <c r="I43" s="32">
        <v>12800</v>
      </c>
      <c r="J43" s="64"/>
    </row>
    <row r="44" spans="1:10" s="18" customFormat="1" ht="12.75" x14ac:dyDescent="0.2">
      <c r="A44" s="35">
        <v>35</v>
      </c>
      <c r="B44" s="35"/>
      <c r="C44" s="71" t="s">
        <v>52</v>
      </c>
      <c r="D44" s="71" t="s">
        <v>53</v>
      </c>
      <c r="E44" s="72" t="s">
        <v>64</v>
      </c>
      <c r="F44" s="71" t="s">
        <v>19</v>
      </c>
      <c r="G44" s="37">
        <v>300</v>
      </c>
      <c r="H44" s="73">
        <v>34.15</v>
      </c>
      <c r="I44" s="32">
        <v>10245</v>
      </c>
      <c r="J44" s="64"/>
    </row>
    <row r="45" spans="1:10" s="18" customFormat="1" ht="12.75" x14ac:dyDescent="0.2">
      <c r="A45" s="35">
        <v>36</v>
      </c>
      <c r="B45" s="35"/>
      <c r="C45" s="71" t="s">
        <v>52</v>
      </c>
      <c r="D45" s="71" t="s">
        <v>53</v>
      </c>
      <c r="E45" s="72" t="s">
        <v>65</v>
      </c>
      <c r="F45" s="71" t="s">
        <v>19</v>
      </c>
      <c r="G45" s="37">
        <v>2</v>
      </c>
      <c r="H45" s="73">
        <v>22000</v>
      </c>
      <c r="I45" s="32">
        <v>44000</v>
      </c>
      <c r="J45" s="64"/>
    </row>
    <row r="46" spans="1:10" s="18" customFormat="1" ht="12.75" x14ac:dyDescent="0.2">
      <c r="A46" s="35">
        <v>37</v>
      </c>
      <c r="B46" s="35"/>
      <c r="C46" s="35" t="s">
        <v>21</v>
      </c>
      <c r="D46" s="35" t="s">
        <v>29</v>
      </c>
      <c r="E46" s="36" t="s">
        <v>39</v>
      </c>
      <c r="F46" s="35" t="s">
        <v>19</v>
      </c>
      <c r="G46" s="37">
        <v>20</v>
      </c>
      <c r="H46" s="32">
        <v>1781</v>
      </c>
      <c r="I46" s="32">
        <v>35620</v>
      </c>
      <c r="J46" s="64"/>
    </row>
    <row r="47" spans="1:10" s="18" customFormat="1" ht="12.75" x14ac:dyDescent="0.2">
      <c r="A47" s="35">
        <v>38</v>
      </c>
      <c r="B47" s="35"/>
      <c r="C47" s="35" t="s">
        <v>21</v>
      </c>
      <c r="D47" s="35" t="s">
        <v>29</v>
      </c>
      <c r="E47" s="36" t="s">
        <v>27</v>
      </c>
      <c r="F47" s="35" t="s">
        <v>20</v>
      </c>
      <c r="G47" s="37">
        <v>5</v>
      </c>
      <c r="H47" s="32">
        <v>2865</v>
      </c>
      <c r="I47" s="32">
        <v>14325</v>
      </c>
      <c r="J47" s="64"/>
    </row>
    <row r="48" spans="1:10" s="18" customFormat="1" ht="12.75" x14ac:dyDescent="0.2">
      <c r="A48" s="35">
        <v>39</v>
      </c>
      <c r="B48" s="35"/>
      <c r="C48" s="35" t="s">
        <v>21</v>
      </c>
      <c r="D48" s="35" t="s">
        <v>29</v>
      </c>
      <c r="E48" s="36" t="s">
        <v>73</v>
      </c>
      <c r="F48" s="35" t="s">
        <v>20</v>
      </c>
      <c r="G48" s="37">
        <v>2</v>
      </c>
      <c r="H48" s="32">
        <v>1540</v>
      </c>
      <c r="I48" s="32">
        <v>3080</v>
      </c>
      <c r="J48" s="64"/>
    </row>
    <row r="49" spans="1:10" s="18" customFormat="1" ht="12.75" x14ac:dyDescent="0.2">
      <c r="A49" s="35">
        <v>40</v>
      </c>
      <c r="B49" s="35"/>
      <c r="C49" s="35" t="s">
        <v>21</v>
      </c>
      <c r="D49" s="35" t="s">
        <v>29</v>
      </c>
      <c r="E49" s="36" t="s">
        <v>74</v>
      </c>
      <c r="F49" s="35" t="s">
        <v>20</v>
      </c>
      <c r="G49" s="37">
        <v>2</v>
      </c>
      <c r="H49" s="32">
        <v>1540</v>
      </c>
      <c r="I49" s="32">
        <v>3080</v>
      </c>
      <c r="J49" s="64"/>
    </row>
    <row r="50" spans="1:10" s="18" customFormat="1" ht="12.75" x14ac:dyDescent="0.2">
      <c r="A50" s="35">
        <v>41</v>
      </c>
      <c r="B50" s="35"/>
      <c r="C50" s="71" t="s">
        <v>52</v>
      </c>
      <c r="D50" s="71" t="s">
        <v>53</v>
      </c>
      <c r="E50" s="72" t="s">
        <v>66</v>
      </c>
      <c r="F50" s="71" t="s">
        <v>17</v>
      </c>
      <c r="G50" s="37">
        <v>2</v>
      </c>
      <c r="H50" s="73">
        <v>1230</v>
      </c>
      <c r="I50" s="32">
        <v>2460</v>
      </c>
      <c r="J50" s="64"/>
    </row>
    <row r="51" spans="1:10" s="18" customFormat="1" ht="12.75" x14ac:dyDescent="0.2">
      <c r="A51" s="35">
        <v>42</v>
      </c>
      <c r="B51" s="35"/>
      <c r="C51" s="35" t="s">
        <v>21</v>
      </c>
      <c r="D51" s="35" t="s">
        <v>29</v>
      </c>
      <c r="E51" s="36" t="s">
        <v>81</v>
      </c>
      <c r="F51" s="35" t="s">
        <v>20</v>
      </c>
      <c r="G51" s="37">
        <v>2</v>
      </c>
      <c r="H51" s="32">
        <v>2204</v>
      </c>
      <c r="I51" s="32">
        <v>4408</v>
      </c>
      <c r="J51" s="64"/>
    </row>
    <row r="52" spans="1:10" s="18" customFormat="1" ht="12.75" x14ac:dyDescent="0.2">
      <c r="A52" s="35">
        <v>43</v>
      </c>
      <c r="B52" s="35"/>
      <c r="C52" s="35" t="s">
        <v>21</v>
      </c>
      <c r="D52" s="35" t="s">
        <v>53</v>
      </c>
      <c r="E52" s="36" t="s">
        <v>80</v>
      </c>
      <c r="F52" s="35" t="s">
        <v>72</v>
      </c>
      <c r="G52" s="37">
        <v>10</v>
      </c>
      <c r="H52" s="32">
        <v>43657</v>
      </c>
      <c r="I52" s="32">
        <v>436570</v>
      </c>
      <c r="J52" s="64"/>
    </row>
    <row r="53" spans="1:10" s="18" customFormat="1" ht="12.75" x14ac:dyDescent="0.2">
      <c r="A53" s="35">
        <v>44</v>
      </c>
      <c r="B53" s="35"/>
      <c r="C53" s="71" t="s">
        <v>52</v>
      </c>
      <c r="D53" s="71" t="s">
        <v>53</v>
      </c>
      <c r="E53" s="72" t="s">
        <v>67</v>
      </c>
      <c r="F53" s="71" t="s">
        <v>19</v>
      </c>
      <c r="G53" s="33">
        <v>300</v>
      </c>
      <c r="H53" s="73">
        <v>38</v>
      </c>
      <c r="I53" s="32">
        <v>11400</v>
      </c>
      <c r="J53" s="64"/>
    </row>
    <row r="54" spans="1:10" s="18" customFormat="1" ht="12.75" x14ac:dyDescent="0.2">
      <c r="A54" s="35">
        <v>45</v>
      </c>
      <c r="B54" s="35"/>
      <c r="C54" s="35" t="s">
        <v>21</v>
      </c>
      <c r="D54" s="35" t="s">
        <v>29</v>
      </c>
      <c r="E54" s="36" t="s">
        <v>40</v>
      </c>
      <c r="F54" s="35" t="s">
        <v>19</v>
      </c>
      <c r="G54" s="37">
        <v>5000</v>
      </c>
      <c r="H54" s="32">
        <v>27</v>
      </c>
      <c r="I54" s="32">
        <v>135000</v>
      </c>
      <c r="J54" s="64"/>
    </row>
    <row r="55" spans="1:10" s="18" customFormat="1" ht="25.5" x14ac:dyDescent="0.2">
      <c r="A55" s="35">
        <v>46</v>
      </c>
      <c r="B55" s="35"/>
      <c r="C55" s="35" t="s">
        <v>21</v>
      </c>
      <c r="D55" s="35" t="s">
        <v>29</v>
      </c>
      <c r="E55" s="36" t="s">
        <v>41</v>
      </c>
      <c r="F55" s="35" t="s">
        <v>20</v>
      </c>
      <c r="G55" s="37">
        <v>10</v>
      </c>
      <c r="H55" s="32">
        <v>5353</v>
      </c>
      <c r="I55" s="32">
        <v>53530</v>
      </c>
      <c r="J55" s="64"/>
    </row>
    <row r="56" spans="1:10" s="18" customFormat="1" ht="25.5" x14ac:dyDescent="0.2">
      <c r="A56" s="35">
        <v>47</v>
      </c>
      <c r="B56" s="35"/>
      <c r="C56" s="35" t="s">
        <v>21</v>
      </c>
      <c r="D56" s="35" t="s">
        <v>29</v>
      </c>
      <c r="E56" s="36" t="s">
        <v>82</v>
      </c>
      <c r="F56" s="35" t="s">
        <v>20</v>
      </c>
      <c r="G56" s="37">
        <v>10</v>
      </c>
      <c r="H56" s="32">
        <v>3558</v>
      </c>
      <c r="I56" s="32">
        <v>35580</v>
      </c>
      <c r="J56" s="64"/>
    </row>
    <row r="57" spans="1:10" s="18" customFormat="1" ht="35.25" customHeight="1" x14ac:dyDescent="0.2">
      <c r="A57" s="35">
        <v>48</v>
      </c>
      <c r="B57" s="35"/>
      <c r="C57" s="35" t="s">
        <v>21</v>
      </c>
      <c r="D57" s="35" t="s">
        <v>29</v>
      </c>
      <c r="E57" s="36" t="s">
        <v>69</v>
      </c>
      <c r="F57" s="35" t="s">
        <v>17</v>
      </c>
      <c r="G57" s="37">
        <v>4</v>
      </c>
      <c r="H57" s="32">
        <v>13000</v>
      </c>
      <c r="I57" s="32">
        <v>52000</v>
      </c>
      <c r="J57" s="64"/>
    </row>
    <row r="58" spans="1:10" s="18" customFormat="1" ht="25.5" x14ac:dyDescent="0.2">
      <c r="A58" s="35">
        <v>49</v>
      </c>
      <c r="B58" s="35"/>
      <c r="C58" s="35" t="s">
        <v>21</v>
      </c>
      <c r="D58" s="35" t="s">
        <v>29</v>
      </c>
      <c r="E58" s="36" t="s">
        <v>71</v>
      </c>
      <c r="F58" s="35" t="s">
        <v>19</v>
      </c>
      <c r="G58" s="37">
        <v>1</v>
      </c>
      <c r="H58" s="32">
        <v>72000</v>
      </c>
      <c r="I58" s="32">
        <v>72000</v>
      </c>
      <c r="J58" s="64"/>
    </row>
    <row r="59" spans="1:10" s="18" customFormat="1" ht="12.75" x14ac:dyDescent="0.2">
      <c r="A59" s="35">
        <v>50</v>
      </c>
      <c r="B59" s="35"/>
      <c r="C59" s="35" t="s">
        <v>21</v>
      </c>
      <c r="D59" s="35" t="s">
        <v>29</v>
      </c>
      <c r="E59" s="36" t="s">
        <v>42</v>
      </c>
      <c r="F59" s="35" t="s">
        <v>17</v>
      </c>
      <c r="G59" s="37">
        <v>2</v>
      </c>
      <c r="H59" s="32">
        <v>13700</v>
      </c>
      <c r="I59" s="32">
        <v>27400</v>
      </c>
      <c r="J59" s="64"/>
    </row>
    <row r="60" spans="1:10" s="18" customFormat="1" ht="13.5" thickBot="1" x14ac:dyDescent="0.25">
      <c r="A60" s="35">
        <v>51</v>
      </c>
      <c r="B60" s="35"/>
      <c r="C60" s="71" t="s">
        <v>85</v>
      </c>
      <c r="D60" s="71" t="s">
        <v>53</v>
      </c>
      <c r="E60" s="72" t="s">
        <v>88</v>
      </c>
      <c r="F60" s="71" t="s">
        <v>19</v>
      </c>
      <c r="G60" s="77">
        <v>10</v>
      </c>
      <c r="H60" s="73">
        <v>1000</v>
      </c>
      <c r="I60" s="32">
        <v>10000</v>
      </c>
      <c r="J60" s="64"/>
    </row>
    <row r="61" spans="1:10" s="44" customFormat="1" ht="13.5" thickBot="1" x14ac:dyDescent="0.25">
      <c r="A61" s="38"/>
      <c r="B61" s="39"/>
      <c r="C61" s="39"/>
      <c r="D61" s="39"/>
      <c r="E61" s="40" t="s">
        <v>28</v>
      </c>
      <c r="F61" s="39"/>
      <c r="G61" s="45"/>
      <c r="H61" s="41"/>
      <c r="I61" s="42">
        <f>SUM(I10:I60)</f>
        <v>14744894.199999999</v>
      </c>
      <c r="J61" s="43"/>
    </row>
    <row r="62" spans="1:10" s="19" customFormat="1" ht="13.5" thickBot="1" x14ac:dyDescent="0.25">
      <c r="A62" s="46"/>
      <c r="B62" s="46"/>
      <c r="C62" s="46"/>
      <c r="D62" s="46"/>
      <c r="E62" s="47"/>
      <c r="F62" s="46"/>
      <c r="G62" s="48"/>
      <c r="H62" s="49"/>
      <c r="I62" s="49"/>
      <c r="J62" s="50"/>
    </row>
    <row r="63" spans="1:10" s="19" customFormat="1" ht="123.75" customHeight="1" x14ac:dyDescent="0.2">
      <c r="A63" s="46"/>
      <c r="B63" s="46"/>
      <c r="C63" s="51" t="s">
        <v>44</v>
      </c>
      <c r="D63" s="85" t="s">
        <v>45</v>
      </c>
      <c r="E63" s="86"/>
      <c r="F63" s="46"/>
      <c r="G63" s="48"/>
      <c r="H63" s="49"/>
      <c r="I63" s="49"/>
      <c r="J63" s="50"/>
    </row>
    <row r="64" spans="1:10" s="19" customFormat="1" x14ac:dyDescent="0.2">
      <c r="A64" s="46"/>
      <c r="B64" s="46"/>
      <c r="C64" s="52"/>
      <c r="D64" s="53"/>
      <c r="E64" s="62"/>
      <c r="F64" s="46"/>
      <c r="G64" s="48"/>
      <c r="H64" s="49"/>
      <c r="I64" s="49"/>
      <c r="J64" s="50"/>
    </row>
    <row r="65" spans="1:10" s="19" customFormat="1" x14ac:dyDescent="0.25">
      <c r="A65" s="46"/>
      <c r="B65" s="46"/>
      <c r="C65" s="54" t="s">
        <v>46</v>
      </c>
      <c r="D65" s="55" t="s">
        <v>47</v>
      </c>
      <c r="E65" s="62"/>
      <c r="F65" s="46"/>
      <c r="G65" s="48"/>
      <c r="H65" s="49"/>
      <c r="I65" s="49"/>
      <c r="J65" s="50"/>
    </row>
    <row r="66" spans="1:10" s="19" customFormat="1" x14ac:dyDescent="0.25">
      <c r="A66" s="46"/>
      <c r="B66" s="46"/>
      <c r="C66" s="54"/>
      <c r="D66" s="56"/>
      <c r="E66" s="62"/>
      <c r="F66" s="46"/>
      <c r="G66" s="48"/>
      <c r="H66" s="49"/>
      <c r="I66" s="49"/>
      <c r="J66" s="50"/>
    </row>
    <row r="67" spans="1:10" s="19" customFormat="1" ht="28.5" customHeight="1" x14ac:dyDescent="0.2">
      <c r="A67" s="46"/>
      <c r="B67" s="46"/>
      <c r="C67" s="82" t="s">
        <v>48</v>
      </c>
      <c r="D67" s="83" t="s">
        <v>90</v>
      </c>
      <c r="E67" s="84"/>
      <c r="F67" s="46"/>
      <c r="G67" s="48"/>
      <c r="H67" s="49"/>
      <c r="I67" s="49"/>
      <c r="J67" s="50"/>
    </row>
    <row r="68" spans="1:10" s="19" customFormat="1" ht="29.25" customHeight="1" x14ac:dyDescent="0.2">
      <c r="A68" s="46"/>
      <c r="B68" s="46"/>
      <c r="C68" s="82"/>
      <c r="D68" s="83" t="s">
        <v>91</v>
      </c>
      <c r="E68" s="84"/>
      <c r="F68" s="46"/>
      <c r="G68" s="48"/>
      <c r="H68" s="49"/>
      <c r="I68" s="49"/>
      <c r="J68" s="50"/>
    </row>
    <row r="69" spans="1:10" s="19" customFormat="1" ht="27.75" customHeight="1" x14ac:dyDescent="0.2">
      <c r="A69" s="46"/>
      <c r="B69" s="46"/>
      <c r="C69" s="82"/>
      <c r="D69" s="83" t="s">
        <v>92</v>
      </c>
      <c r="E69" s="84"/>
      <c r="F69" s="46"/>
      <c r="G69" s="48"/>
      <c r="H69" s="49"/>
      <c r="I69" s="49"/>
      <c r="J69" s="50"/>
    </row>
    <row r="70" spans="1:10" s="19" customFormat="1" x14ac:dyDescent="0.25">
      <c r="A70" s="46"/>
      <c r="B70" s="46"/>
      <c r="C70" s="54"/>
      <c r="D70" s="57"/>
      <c r="E70" s="62"/>
      <c r="F70" s="46"/>
      <c r="G70" s="48"/>
      <c r="H70" s="49"/>
      <c r="I70" s="49"/>
      <c r="J70" s="50"/>
    </row>
    <row r="71" spans="1:10" s="19" customFormat="1" x14ac:dyDescent="0.25">
      <c r="A71" s="46"/>
      <c r="B71" s="46"/>
      <c r="C71" s="58" t="s">
        <v>49</v>
      </c>
      <c r="D71" s="59"/>
      <c r="E71" s="62"/>
      <c r="F71" s="46"/>
      <c r="G71" s="48"/>
      <c r="H71" s="49"/>
      <c r="I71" s="49"/>
      <c r="J71" s="50"/>
    </row>
    <row r="72" spans="1:10" s="19" customFormat="1" x14ac:dyDescent="0.25">
      <c r="A72" s="46"/>
      <c r="B72" s="46"/>
      <c r="C72" s="58"/>
      <c r="D72" s="59"/>
      <c r="E72" s="62"/>
      <c r="F72" s="46"/>
      <c r="G72" s="48"/>
      <c r="H72" s="49"/>
      <c r="I72" s="49"/>
      <c r="J72" s="50"/>
    </row>
    <row r="73" spans="1:10" s="19" customFormat="1" ht="15.75" thickBot="1" x14ac:dyDescent="0.3">
      <c r="A73" s="46"/>
      <c r="B73" s="46"/>
      <c r="C73" s="60" t="s">
        <v>50</v>
      </c>
      <c r="D73" s="61" t="s">
        <v>51</v>
      </c>
      <c r="E73" s="63"/>
      <c r="F73" s="46"/>
      <c r="G73" s="48"/>
      <c r="H73" s="49"/>
      <c r="I73" s="49"/>
      <c r="J73" s="50"/>
    </row>
    <row r="74" spans="1:10" s="19" customFormat="1" ht="12.75" x14ac:dyDescent="0.2">
      <c r="A74" s="46"/>
      <c r="B74" s="46"/>
      <c r="C74" s="46"/>
      <c r="D74" s="46"/>
      <c r="E74" s="47"/>
      <c r="F74" s="46"/>
      <c r="G74" s="48"/>
      <c r="H74" s="49"/>
      <c r="I74" s="49"/>
      <c r="J74" s="50"/>
    </row>
    <row r="75" spans="1:10" s="19" customFormat="1" ht="12.75" x14ac:dyDescent="0.2">
      <c r="A75" s="46"/>
      <c r="B75" s="46"/>
      <c r="C75" s="46"/>
      <c r="D75" s="46"/>
      <c r="E75" s="47"/>
      <c r="F75" s="46"/>
      <c r="G75" s="48"/>
      <c r="H75" s="49"/>
      <c r="I75" s="49"/>
      <c r="J75" s="50"/>
    </row>
    <row r="76" spans="1:10" s="19" customFormat="1" ht="12.75" x14ac:dyDescent="0.2">
      <c r="A76" s="46"/>
      <c r="B76" s="46"/>
      <c r="C76" s="46"/>
      <c r="D76" s="46"/>
      <c r="E76" s="47"/>
      <c r="F76" s="46"/>
      <c r="G76" s="48"/>
      <c r="H76" s="49"/>
      <c r="I76" s="49"/>
      <c r="J76" s="50"/>
    </row>
  </sheetData>
  <sortState xmlns:xlrd2="http://schemas.microsoft.com/office/spreadsheetml/2017/richdata2" ref="A10:J60">
    <sortCondition ref="E10:E60"/>
  </sortState>
  <mergeCells count="12">
    <mergeCell ref="C67:C69"/>
    <mergeCell ref="D67:E67"/>
    <mergeCell ref="D68:E68"/>
    <mergeCell ref="D69:E69"/>
    <mergeCell ref="D63:E63"/>
    <mergeCell ref="A7:B7"/>
    <mergeCell ref="B2:H2"/>
    <mergeCell ref="A4:B4"/>
    <mergeCell ref="C4:E4"/>
    <mergeCell ref="A5:B5"/>
    <mergeCell ref="C5:E5"/>
    <mergeCell ref="A6:B6"/>
  </mergeCells>
  <conditionalFormatting sqref="B1:B9 E1:E9">
    <cfRule type="duplicateValues" dxfId="12" priority="238"/>
  </conditionalFormatting>
  <conditionalFormatting sqref="E1:E9 B1:B9">
    <cfRule type="duplicateValues" dxfId="11" priority="239"/>
  </conditionalFormatting>
  <conditionalFormatting sqref="B1:B9">
    <cfRule type="duplicateValues" dxfId="10" priority="442"/>
  </conditionalFormatting>
  <conditionalFormatting sqref="E1:E9">
    <cfRule type="duplicateValues" dxfId="9" priority="443"/>
  </conditionalFormatting>
  <conditionalFormatting sqref="E1:E9">
    <cfRule type="duplicateValues" dxfId="8" priority="444"/>
    <cfRule type="duplicateValues" dxfId="7" priority="445"/>
  </conditionalFormatting>
  <conditionalFormatting sqref="C65:C67 C70:C73">
    <cfRule type="duplicateValues" dxfId="6" priority="4"/>
  </conditionalFormatting>
  <conditionalFormatting sqref="C65:C67 C70:C73">
    <cfRule type="duplicateValues" dxfId="5" priority="5"/>
  </conditionalFormatting>
  <conditionalFormatting sqref="C65:C67">
    <cfRule type="duplicateValues" dxfId="4" priority="6"/>
  </conditionalFormatting>
  <conditionalFormatting sqref="C65:C67">
    <cfRule type="duplicateValues" dxfId="3" priority="7"/>
  </conditionalFormatting>
  <conditionalFormatting sqref="E56">
    <cfRule type="duplicateValues" dxfId="2" priority="1"/>
  </conditionalFormatting>
  <conditionalFormatting sqref="E56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SAF 011 - NECESIDAD TRIMESTRAL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2022-06-22T11:52:37Z</dcterms:modified>
</cp:coreProperties>
</file>