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13_ncr:1_{9827C2C5-22A3-4A8B-9772-3ABD21DAB7A6}" xr6:coauthVersionLast="47" xr6:coauthVersionMax="47" xr10:uidLastSave="{00000000-0000-0000-0000-000000000000}"/>
  <bookViews>
    <workbookView xWindow="-120" yWindow="-120" windowWidth="29040" windowHeight="15840" xr2:uid="{61D3B6EB-5ABA-46F1-AF66-41697883B628}"/>
  </bookViews>
  <sheets>
    <sheet name=" NotaPedido" sheetId="1" r:id="rId1"/>
  </sheets>
  <externalReferences>
    <externalReference r:id="rId2"/>
  </externalReferences>
  <definedNames>
    <definedName name="_xlnm.Print_Area" localSheetId="0">' NotaPedido'!$A$1:$M$46</definedName>
    <definedName name="_xlnm.Print_Titles" localSheetId="0">' NotaPedido'!$1:$9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5" i="1" l="1"/>
  <c r="K45" i="1"/>
  <c r="M45" i="1" s="1"/>
  <c r="J45" i="1"/>
  <c r="C45" i="1"/>
  <c r="B45" i="1"/>
  <c r="L44" i="1"/>
  <c r="K44" i="1"/>
  <c r="J44" i="1"/>
  <c r="C44" i="1"/>
  <c r="B44" i="1"/>
  <c r="L43" i="1"/>
  <c r="K43" i="1"/>
  <c r="M43" i="1" s="1"/>
  <c r="J43" i="1"/>
  <c r="C43" i="1"/>
  <c r="B43" i="1"/>
  <c r="L42" i="1"/>
  <c r="K42" i="1"/>
  <c r="M42" i="1" s="1"/>
  <c r="J42" i="1"/>
  <c r="C42" i="1"/>
  <c r="B42" i="1"/>
  <c r="L41" i="1"/>
  <c r="K41" i="1"/>
  <c r="J41" i="1"/>
  <c r="C41" i="1"/>
  <c r="B41" i="1"/>
  <c r="L40" i="1"/>
  <c r="K40" i="1"/>
  <c r="J40" i="1"/>
  <c r="C40" i="1"/>
  <c r="B40" i="1"/>
  <c r="L39" i="1"/>
  <c r="K39" i="1"/>
  <c r="J39" i="1"/>
  <c r="C39" i="1"/>
  <c r="B39" i="1"/>
  <c r="L38" i="1"/>
  <c r="K38" i="1"/>
  <c r="M38" i="1" s="1"/>
  <c r="J38" i="1"/>
  <c r="C38" i="1"/>
  <c r="B38" i="1"/>
  <c r="L37" i="1"/>
  <c r="K37" i="1"/>
  <c r="M37" i="1" s="1"/>
  <c r="J37" i="1"/>
  <c r="C37" i="1"/>
  <c r="B37" i="1"/>
  <c r="L36" i="1"/>
  <c r="K36" i="1"/>
  <c r="J36" i="1"/>
  <c r="C36" i="1"/>
  <c r="B36" i="1"/>
  <c r="L35" i="1"/>
  <c r="K35" i="1"/>
  <c r="M35" i="1" s="1"/>
  <c r="J35" i="1"/>
  <c r="C35" i="1"/>
  <c r="B35" i="1"/>
  <c r="L34" i="1"/>
  <c r="K34" i="1"/>
  <c r="M34" i="1" s="1"/>
  <c r="J34" i="1"/>
  <c r="C34" i="1"/>
  <c r="B34" i="1"/>
  <c r="L33" i="1"/>
  <c r="K33" i="1"/>
  <c r="M33" i="1" s="1"/>
  <c r="J33" i="1"/>
  <c r="C33" i="1"/>
  <c r="B33" i="1"/>
  <c r="L32" i="1"/>
  <c r="K32" i="1"/>
  <c r="M32" i="1" s="1"/>
  <c r="J32" i="1"/>
  <c r="C32" i="1"/>
  <c r="B32" i="1"/>
  <c r="L31" i="1"/>
  <c r="K31" i="1"/>
  <c r="J31" i="1"/>
  <c r="C31" i="1"/>
  <c r="B31" i="1"/>
  <c r="L30" i="1"/>
  <c r="K30" i="1"/>
  <c r="M30" i="1" s="1"/>
  <c r="J30" i="1"/>
  <c r="C30" i="1"/>
  <c r="B30" i="1"/>
  <c r="L29" i="1"/>
  <c r="K29" i="1"/>
  <c r="M29" i="1" s="1"/>
  <c r="J29" i="1"/>
  <c r="C29" i="1"/>
  <c r="B29" i="1"/>
  <c r="L28" i="1"/>
  <c r="K28" i="1"/>
  <c r="M28" i="1" s="1"/>
  <c r="J28" i="1"/>
  <c r="C28" i="1"/>
  <c r="B28" i="1"/>
  <c r="L27" i="1"/>
  <c r="K27" i="1"/>
  <c r="M27" i="1" s="1"/>
  <c r="J27" i="1"/>
  <c r="C27" i="1"/>
  <c r="B27" i="1"/>
  <c r="L26" i="1"/>
  <c r="K26" i="1"/>
  <c r="M26" i="1" s="1"/>
  <c r="J26" i="1"/>
  <c r="C26" i="1"/>
  <c r="B26" i="1"/>
  <c r="L25" i="1"/>
  <c r="K25" i="1"/>
  <c r="J25" i="1"/>
  <c r="C25" i="1"/>
  <c r="B25" i="1"/>
  <c r="L24" i="1"/>
  <c r="K24" i="1"/>
  <c r="M24" i="1" s="1"/>
  <c r="J24" i="1"/>
  <c r="C24" i="1"/>
  <c r="B24" i="1"/>
  <c r="L23" i="1"/>
  <c r="K23" i="1"/>
  <c r="M23" i="1" s="1"/>
  <c r="J23" i="1"/>
  <c r="C23" i="1"/>
  <c r="B23" i="1"/>
  <c r="L22" i="1"/>
  <c r="K22" i="1"/>
  <c r="M22" i="1" s="1"/>
  <c r="J22" i="1"/>
  <c r="C22" i="1"/>
  <c r="B22" i="1"/>
  <c r="L21" i="1"/>
  <c r="K21" i="1"/>
  <c r="M21" i="1" s="1"/>
  <c r="J21" i="1"/>
  <c r="C21" i="1"/>
  <c r="B21" i="1"/>
  <c r="L20" i="1"/>
  <c r="K20" i="1"/>
  <c r="M20" i="1" s="1"/>
  <c r="J20" i="1"/>
  <c r="C20" i="1"/>
  <c r="B20" i="1"/>
  <c r="L19" i="1"/>
  <c r="K19" i="1"/>
  <c r="J19" i="1"/>
  <c r="C19" i="1"/>
  <c r="B19" i="1"/>
  <c r="L18" i="1"/>
  <c r="K18" i="1"/>
  <c r="M18" i="1" s="1"/>
  <c r="J18" i="1"/>
  <c r="C18" i="1"/>
  <c r="B18" i="1"/>
  <c r="L17" i="1"/>
  <c r="K17" i="1"/>
  <c r="M17" i="1" s="1"/>
  <c r="J17" i="1"/>
  <c r="C17" i="1"/>
  <c r="B17" i="1"/>
  <c r="L16" i="1"/>
  <c r="K16" i="1"/>
  <c r="M16" i="1" s="1"/>
  <c r="J16" i="1"/>
  <c r="C16" i="1"/>
  <c r="B16" i="1"/>
  <c r="L15" i="1"/>
  <c r="K15" i="1"/>
  <c r="M15" i="1" s="1"/>
  <c r="J15" i="1"/>
  <c r="C15" i="1"/>
  <c r="B15" i="1"/>
  <c r="L14" i="1"/>
  <c r="K14" i="1"/>
  <c r="M14" i="1" s="1"/>
  <c r="J14" i="1"/>
  <c r="C14" i="1"/>
  <c r="B14" i="1"/>
  <c r="L13" i="1"/>
  <c r="K13" i="1"/>
  <c r="J13" i="1"/>
  <c r="C13" i="1"/>
  <c r="B13" i="1"/>
  <c r="L12" i="1"/>
  <c r="K12" i="1"/>
  <c r="M12" i="1" s="1"/>
  <c r="J12" i="1"/>
  <c r="C12" i="1"/>
  <c r="B12" i="1"/>
  <c r="D7" i="1"/>
  <c r="D4" i="1"/>
  <c r="M13" i="1" l="1"/>
  <c r="K46" i="1" s="1"/>
  <c r="M19" i="1"/>
  <c r="M25" i="1"/>
  <c r="M31" i="1"/>
  <c r="M36" i="1"/>
  <c r="M41" i="1"/>
  <c r="M40" i="1"/>
  <c r="M39" i="1"/>
  <c r="M44" i="1"/>
</calcChain>
</file>

<file path=xl/sharedStrings.xml><?xml version="1.0" encoding="utf-8"?>
<sst xmlns="http://schemas.openxmlformats.org/spreadsheetml/2006/main" count="91" uniqueCount="25">
  <si>
    <t>NOTA DE PEDIDO</t>
  </si>
  <si>
    <t>N°</t>
  </si>
  <si>
    <t>018/2022</t>
  </si>
  <si>
    <t xml:space="preserve">JURISDICCIÓN: </t>
  </si>
  <si>
    <t>45- Ministerio de Desarrollo Social.</t>
  </si>
  <si>
    <t>SAF:</t>
  </si>
  <si>
    <t>UNIDAD EJECUTORA:</t>
  </si>
  <si>
    <t>20-Promocion Socio Alimentaria - Ministerio de Desarrollo Social.</t>
  </si>
  <si>
    <t xml:space="preserve">DEPENDENCIA SOLICITANTE: </t>
  </si>
  <si>
    <t>01- Actividad Central</t>
  </si>
  <si>
    <t>PERIODO UTILIZACIÓN:</t>
  </si>
  <si>
    <t>OBJETO:</t>
  </si>
  <si>
    <t>Adquisición de Alimentos para asistir a Personas de escasos Recursos a través de los Comedores Emergentes.-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</si>
  <si>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</si>
  <si>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</si>
  <si>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</si>
  <si>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</si>
  <si>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</si>
  <si>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</si>
  <si>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Importe Estimado</t>
  </si>
  <si>
    <t>SI</t>
  </si>
  <si>
    <t>Costo total estimado: SETENTA MILLONES OCHOCIENTOS OCHENTA Y NUEVE MIL OCHENTA Y DOS CON 00/100.-</t>
  </si>
  <si>
    <t>ID</t>
  </si>
  <si>
    <t>IPP</t>
  </si>
  <si>
    <t>2.1.1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</si>
</sst>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"/>
    <numFmt numFmtId="167" formatCode="[$$-2C0A]\ #,##0.00"/>
  </numFmts>
  <fonts count="10" x14ac:knownFonts="1">
    <font>
      <sz val="10"/>
      <name val="Arial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sz val="10"/>
      <name val="Arial"/>
      <family val="2"/>
    </font>
    <font>
      <sz val="1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8"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/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/>
      <bottom style="medium">
        <color auto="1"/>
      </bottom>
      <diagonal/>
    </border>
  </borders>
  <cellStyleXfs count="2">
    <xf numFmtId="0" fontId="0" fillId="0" borderId="0"/>
    <xf numFmtId="164" fontId="8" fillId="0" borderId="0" applyBorder="0" applyProtection="0"/>
  </cellStyleXfs>
  <cellXfs count="44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6" fillId="0" borderId="9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165" fontId="6" fillId="2" borderId="9" xfId="1" applyNumberFormat="1" applyFont="1" applyFill="1" applyBorder="1" applyAlignment="1" applyProtection="1">
      <alignment horizontal="right" vertical="center" wrapText="1"/>
    </xf>
    <xf numFmtId="3" fontId="6" fillId="2" borderId="9" xfId="0" applyNumberFormat="1" applyFont="1" applyFill="1" applyBorder="1" applyAlignment="1">
      <alignment horizontal="center" vertical="center"/>
    </xf>
    <xf numFmtId="166" fontId="6" fillId="2" borderId="9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5" fontId="6" fillId="2" borderId="11" xfId="1" applyNumberFormat="1" applyFont="1" applyFill="1" applyBorder="1" applyAlignment="1" applyProtection="1">
      <alignment horizontal="right" vertical="center" wrapText="1"/>
    </xf>
    <xf numFmtId="3" fontId="6" fillId="2" borderId="11" xfId="0" applyNumberFormat="1" applyFont="1" applyFill="1" applyBorder="1" applyAlignment="1">
      <alignment horizontal="center" vertical="center"/>
    </xf>
    <xf numFmtId="166" fontId="6" fillId="2" borderId="11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1"/>
    </xf>
    <xf numFmtId="167" fontId="2" fillId="0" borderId="12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/Downloads/pedido-7nota-pedidof2d0248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mpieza"/>
      <sheetName val="alimento"/>
      <sheetName val=" NotaPedido"/>
      <sheetName val="ALIM-IMP"/>
      <sheetName val="Autor Gastar"/>
      <sheetName val="LIM-IMP"/>
    </sheetNames>
    <sheetDataSet>
      <sheetData sheetId="0"/>
      <sheetData sheetId="1">
        <row r="4">
          <cell r="C4" t="str">
            <v>25- Direccion Provincial de Gestion Administracion y RRHH</v>
          </cell>
        </row>
      </sheetData>
      <sheetData sheetId="2"/>
      <sheetData sheetId="3">
        <row r="5">
          <cell r="C5">
            <v>2022</v>
          </cell>
        </row>
        <row r="6">
          <cell r="C6">
            <v>1</v>
          </cell>
        </row>
        <row r="9">
          <cell r="B9" t="str">
            <v>2.1.1-2868.55</v>
          </cell>
          <cell r="E9" t="str">
            <v>FIDEOS SECOS; VARIEDAD: TALLARIN, RELLENO: SIN, PRESENTACION: ENVASE X 500 GR, MATERIAL ENVASE: PLASTICO 1 (PET), ELEM. TRANSPORTE: SIN, MATERIAL ELEM. TRANSPORTE: SIN, CERTIFICADO FORESTAL (GFS): SIN, LIBRE DE GLUTEN: NO</v>
          </cell>
          <cell r="F9" t="str">
            <v>PAQUETE</v>
          </cell>
          <cell r="G9">
            <v>15840</v>
          </cell>
          <cell r="H9">
            <v>63.800000000000004</v>
          </cell>
        </row>
        <row r="10">
          <cell r="B10" t="str">
            <v>2.1.1-541.49</v>
          </cell>
          <cell r="E10" t="str">
            <v>CARNES; ESPECIE: VACUNA, CORTE: NALGA, TIPO: VACUNA</v>
          </cell>
          <cell r="F10" t="str">
            <v>KG</v>
          </cell>
          <cell r="G10">
            <v>6600</v>
          </cell>
          <cell r="H10">
            <v>1375</v>
          </cell>
        </row>
        <row r="11">
          <cell r="B11" t="str">
            <v>2.1.1-541.7</v>
          </cell>
          <cell r="E11" t="str">
            <v>CARNES; ESPECIE: VACUNA, CORTE: PICADA ESPECIAL, TIPO: VACUNA</v>
          </cell>
          <cell r="F11" t="str">
            <v>KG</v>
          </cell>
          <cell r="G11">
            <v>13200</v>
          </cell>
          <cell r="H11">
            <v>1155</v>
          </cell>
        </row>
        <row r="12">
          <cell r="B12" t="str">
            <v>2.1.1-6546.46</v>
          </cell>
          <cell r="E12" t="str">
            <v>VERDURAS Y HORTALIZAS; VARIEDAD: CEBOLLA, ESTADO: NATURAL, PRESENTACION: GRANEL, PESO: SIN VALOR</v>
          </cell>
          <cell r="F12" t="str">
            <v>KG</v>
          </cell>
          <cell r="G12">
            <v>8628</v>
          </cell>
          <cell r="H12">
            <v>71.5</v>
          </cell>
        </row>
        <row r="13">
          <cell r="B13" t="str">
            <v>2.1.1-6546.403</v>
          </cell>
          <cell r="E13" t="str">
            <v>VERDURAS Y HORTALIZAS; VARIEDAD: ZANAHORIA, ESTADO: NATURAL, PRESENTACION: BOLSA, PESO: NO CORRESPONDE, ELEM. TRANSPORTE: SIN, MATERIAL ELEM. TRANSPORTE: SIN, LIBRE DE GLUTEN: SI, ORGANICO: NO</v>
          </cell>
          <cell r="F13" t="str">
            <v>BOLSA</v>
          </cell>
          <cell r="G13">
            <v>17868</v>
          </cell>
          <cell r="H13">
            <v>71.5</v>
          </cell>
        </row>
        <row r="14">
          <cell r="B14" t="str">
            <v>2.1.1-6546.95</v>
          </cell>
          <cell r="E14" t="str">
            <v>VERDURAS Y HORTALIZAS; VARIEDAD: MORRON VERDE, ESTADO: NATURAL, PRESENTACION: GRANEL, PESO: SIN VALOR</v>
          </cell>
          <cell r="F14" t="str">
            <v>UNIDAD</v>
          </cell>
          <cell r="G14">
            <v>17160</v>
          </cell>
          <cell r="H14">
            <v>71.5</v>
          </cell>
        </row>
        <row r="15">
          <cell r="B15" t="str">
            <v>2.1.1-6546.4</v>
          </cell>
          <cell r="E15" t="str">
            <v>VERDURAS Y HORTALIZAS; VARIEDAD: TOMATE PERITA, ESTADO: TRITURADO, PRESENTACION: BOTELLA, PESO: 950 GR</v>
          </cell>
          <cell r="F15" t="str">
            <v>BOTELLA</v>
          </cell>
          <cell r="G15">
            <v>10560</v>
          </cell>
          <cell r="H15">
            <v>269.5</v>
          </cell>
        </row>
        <row r="16">
          <cell r="B16" t="str">
            <v>2.1.1-439.67</v>
          </cell>
          <cell r="E16" t="str">
            <v>ACEITES COMESTIBLES; TIPO: GIRASOL, PRESENTACION: ENVASE X 900 CM3, MATERIAL ENVASE: PLASTICO 1 (PET), ELEM. TRANSPORTE: SIN, MATERIAL ELEM. TRANSPORTE : SIN, LIBRE DE GLUTEN: NO</v>
          </cell>
          <cell r="F16" t="str">
            <v>BOTELLA</v>
          </cell>
          <cell r="G16">
            <v>5988</v>
          </cell>
          <cell r="H16">
            <v>269.5</v>
          </cell>
        </row>
        <row r="17">
          <cell r="B17" t="str">
            <v>2.1.1-6546.132</v>
          </cell>
          <cell r="E17" t="str">
            <v>VERDURAS Y HORTALIZAS; VARIEDAD: PEREJIL, ESTADO: NATURAL, PRESENTACION: GRANEL, PESO: SIN VALOR</v>
          </cell>
          <cell r="F17" t="str">
            <v>ATADO</v>
          </cell>
          <cell r="G17">
            <v>2640</v>
          </cell>
          <cell r="H17">
            <v>71.5</v>
          </cell>
        </row>
        <row r="18">
          <cell r="B18" t="str">
            <v>2.1.1-435.60</v>
          </cell>
          <cell r="E18" t="str">
            <v>ARROZ; TIPO GRANO: LARGO-FINO, TIPO: BLANCO, PROCESO: SIN CASCARA, PRESENTACION: BOLSA X 1 Kg, MATERIAL ENVASE: PLASTICO, CERTIFICADO FORESTAL (GFS): SIN, ELEM. TRANSPORTE: SIN, MATERIAL ELEM. TRANSPORTE: SIN, LIBRE DE GLUTEN: SI</v>
          </cell>
          <cell r="F18" t="str">
            <v>BOLSA</v>
          </cell>
          <cell r="G18">
            <v>7920</v>
          </cell>
          <cell r="H18">
            <v>176</v>
          </cell>
        </row>
        <row r="19">
          <cell r="B19" t="str">
            <v>2.1.1-6546.2</v>
          </cell>
          <cell r="E19" t="str">
            <v>VERDURAS Y HORTALIZAS; VARIEDAD: TOMATE REDONDO, ESTADO: NATURAL, PRESENTACION: GRANEL, PESO: SIN VALOR</v>
          </cell>
          <cell r="F19" t="str">
            <v>KG</v>
          </cell>
          <cell r="G19">
            <v>6600</v>
          </cell>
          <cell r="H19">
            <v>291.5</v>
          </cell>
        </row>
        <row r="20">
          <cell r="B20" t="str">
            <v>2.1.1-621.3</v>
          </cell>
          <cell r="E20" t="str">
            <v>AVES; PRESENTACION: TROZADO SIN PIEL, ESPECIE: POLLO, EVISCERADO: SIN VALOR, TIPO: POLLO</v>
          </cell>
          <cell r="F20" t="str">
            <v>KG</v>
          </cell>
          <cell r="G20">
            <v>16548</v>
          </cell>
          <cell r="H20">
            <v>385.00000000000006</v>
          </cell>
        </row>
        <row r="21">
          <cell r="B21" t="str">
            <v>2.1.1-6546.100</v>
          </cell>
          <cell r="E21" t="str">
            <v>VERDURAS Y HORTALIZAS; ESTADO: NATURAL, PRESENTACION: GRANEL, VARIEDAD: PAPA BLANCA, PESO: SIN VALOR</v>
          </cell>
          <cell r="F21" t="str">
            <v>KG</v>
          </cell>
          <cell r="G21">
            <v>33000</v>
          </cell>
          <cell r="H21">
            <v>71.5</v>
          </cell>
        </row>
        <row r="22">
          <cell r="B22" t="str">
            <v>2.1.1-6547.17</v>
          </cell>
          <cell r="E22" t="str">
            <v>LEGUMBRES; VARIEDAD: ARVEJA, ESTADO: REMOJADO EN CONSERVA, PRESENTACION: LATA, PESO: 350 GR</v>
          </cell>
          <cell r="F22" t="str">
            <v>LATA</v>
          </cell>
          <cell r="G22">
            <v>17160</v>
          </cell>
          <cell r="H22">
            <v>69.300000000000011</v>
          </cell>
        </row>
        <row r="23">
          <cell r="B23" t="str">
            <v>2.1.1-483.33</v>
          </cell>
          <cell r="E23" t="str">
            <v>HUEVO DE GALLINA; TAMAÑO: MEDIANOS, COLOR: BLANCOS, PRESENTACION: 30</v>
          </cell>
          <cell r="F23" t="str">
            <v>MAPLE</v>
          </cell>
          <cell r="G23">
            <v>3960</v>
          </cell>
          <cell r="H23">
            <v>418.00000000000006</v>
          </cell>
        </row>
        <row r="24">
          <cell r="B24" t="str">
            <v>2.1.1-6546.401</v>
          </cell>
          <cell r="E24" t="str">
            <v>VERDURAS Y HORTALIZAS; VARIEDAD: AJO, ESTADO: NATURAL, PRESENTACION: UNIDAD, PESO: NO CORRESPONDE, ELEM. TRANSPORTE: SIN, MATERIAL ELEM. TRANSPORTE: SIN, LIBRE DE GLUTEN: SI, ORGANICO: NO</v>
          </cell>
          <cell r="F24" t="str">
            <v>CABEZA</v>
          </cell>
          <cell r="G24">
            <v>2640</v>
          </cell>
          <cell r="H24">
            <v>66</v>
          </cell>
        </row>
        <row r="25">
          <cell r="B25" t="str">
            <v>2.1.1-6546.158</v>
          </cell>
          <cell r="E25" t="str">
            <v>VERDURAS Y HORTALIZAS; ESTADO: NATURAL, VARIEDAD: ZAPALLO ANCO, PRESENTACION: GRANEL, PESO: SIN VALOR</v>
          </cell>
          <cell r="F25" t="str">
            <v>KG</v>
          </cell>
          <cell r="G25">
            <v>11880</v>
          </cell>
          <cell r="H25">
            <v>115.50000000000001</v>
          </cell>
        </row>
        <row r="26">
          <cell r="B26" t="str">
            <v>2.1.1-969.82</v>
          </cell>
          <cell r="E26" t="str">
            <v>FIAMBRES; TIPO: JAMON COCIDO, PRESENTACION: AL PESO</v>
          </cell>
          <cell r="F26" t="str">
            <v>KG</v>
          </cell>
          <cell r="G26">
            <v>3348</v>
          </cell>
          <cell r="H26">
            <v>1210</v>
          </cell>
        </row>
        <row r="27">
          <cell r="B27" t="str">
            <v>2.1.1-669.25</v>
          </cell>
          <cell r="E27" t="str">
            <v>PANES; TIPO: RALLADO, PRESENTACION: BOLSA DE 1000 GR</v>
          </cell>
          <cell r="F27" t="str">
            <v>BOLSA</v>
          </cell>
          <cell r="G27">
            <v>3348</v>
          </cell>
          <cell r="H27">
            <v>225.50000000000003</v>
          </cell>
        </row>
        <row r="28">
          <cell r="B28" t="str">
            <v>2.1.1-6546.374</v>
          </cell>
          <cell r="E28" t="str">
            <v>VERDURAS Y HORTALIZAS; VARIEDAD: LECHUGA ARREPOLLADA, ESTADO: NATURAL, PRESENTACION: A GRANEL, PESO: 300 GR CADA PLANTA, ELEM. TRANSPORTE: SIN, MATERIAL ELEM. TRANSPORTE: SIN, LIBRE DE GLUTEN: SI</v>
          </cell>
          <cell r="F28" t="str">
            <v>KG</v>
          </cell>
          <cell r="G28">
            <v>5280</v>
          </cell>
          <cell r="H28">
            <v>165</v>
          </cell>
        </row>
        <row r="29">
          <cell r="B29" t="str">
            <v>2.1.1-6546.242</v>
          </cell>
          <cell r="E29" t="str">
            <v>VERDURAS Y HORTALIZAS; VARIEDAD: CHOCLO EN GRANO, ESTADO: NATURAL, PRESENTACION: LATA, PESO: 380 GR</v>
          </cell>
          <cell r="F29" t="str">
            <v>LATA</v>
          </cell>
          <cell r="G29">
            <v>6600</v>
          </cell>
          <cell r="H29">
            <v>137.5</v>
          </cell>
        </row>
        <row r="30">
          <cell r="B30" t="str">
            <v>2.1.1-489.132</v>
          </cell>
          <cell r="E30" t="str">
            <v>ESPECIAS; TIPO: PIMIENTA BLANCA, PRESENTACION: ENVASE X 1 Kg</v>
          </cell>
          <cell r="F30" t="str">
            <v>BOLSA</v>
          </cell>
          <cell r="G30">
            <v>120</v>
          </cell>
          <cell r="H30">
            <v>3960.0000000000005</v>
          </cell>
        </row>
        <row r="31">
          <cell r="B31" t="str">
            <v>2.1.1-489.66</v>
          </cell>
          <cell r="E31" t="str">
            <v>ESPECIAS; TIPO: OREGANO, PRESENTACION: BOLSA DE 1 Kg</v>
          </cell>
          <cell r="F31" t="str">
            <v>BOLSA</v>
          </cell>
          <cell r="G31">
            <v>120</v>
          </cell>
          <cell r="H31">
            <v>1705.0000000000002</v>
          </cell>
        </row>
        <row r="32">
          <cell r="B32" t="str">
            <v>2.1.1-489.67</v>
          </cell>
          <cell r="E32" t="str">
            <v>ESPECIAS; TIPO: PIMENTON, PRESENTACION: BOLSA DE 1 Kg</v>
          </cell>
          <cell r="F32" t="str">
            <v>BOLSA</v>
          </cell>
          <cell r="G32">
            <v>120</v>
          </cell>
          <cell r="H32">
            <v>1705.0000000000002</v>
          </cell>
        </row>
        <row r="33">
          <cell r="B33" t="str">
            <v>2.1.1-489.109</v>
          </cell>
          <cell r="E33" t="str">
            <v>ESPECIAS; TIPO: PROVENZAL, PRESENTACION: PAQUETE X 1 Kg</v>
          </cell>
          <cell r="F33" t="str">
            <v>PAQUETE</v>
          </cell>
          <cell r="G33">
            <v>120</v>
          </cell>
          <cell r="H33">
            <v>1705.0000000000002</v>
          </cell>
        </row>
        <row r="34">
          <cell r="B34" t="str">
            <v>2.1.1-669.35</v>
          </cell>
          <cell r="E34" t="str">
            <v>PANES; TIPO: FRANCES, PRESENTACION: GRANEL</v>
          </cell>
          <cell r="F34" t="str">
            <v>KG</v>
          </cell>
          <cell r="G34">
            <v>39600</v>
          </cell>
          <cell r="H34">
            <v>187.00000000000003</v>
          </cell>
        </row>
        <row r="35">
          <cell r="B35" t="str">
            <v>2.1.1-514.2</v>
          </cell>
          <cell r="E35" t="str">
            <v>SAL DE MESA; CONSISTENCIA: FINA, PESO: 500 GR, TIPO: SIN VALOR, ENVASE: PAQUETE</v>
          </cell>
          <cell r="F35" t="str">
            <v>PAQUETE</v>
          </cell>
          <cell r="G35">
            <v>1320</v>
          </cell>
          <cell r="H35">
            <v>55.000000000000007</v>
          </cell>
        </row>
        <row r="36">
          <cell r="B36" t="str">
            <v>2.1.1-514.15</v>
          </cell>
          <cell r="E36" t="str">
            <v>SAL DE MESA; CONSISTENCIA: GRUESA, ENVASE: BOLSA, PESO: 1 Kg, TIPO: SIN VALOR</v>
          </cell>
          <cell r="F36" t="str">
            <v>BOLSA</v>
          </cell>
          <cell r="G36">
            <v>708</v>
          </cell>
          <cell r="H36">
            <v>66</v>
          </cell>
        </row>
        <row r="37">
          <cell r="B37" t="str">
            <v>2.1.1-489.9</v>
          </cell>
          <cell r="E37" t="str">
            <v>ESPECIAS; TIPO: AZAFRAN, PRESENTACION: POLVO</v>
          </cell>
          <cell r="F37" t="str">
            <v>BOLSA</v>
          </cell>
          <cell r="G37">
            <v>708</v>
          </cell>
          <cell r="H37">
            <v>495.00000000000006</v>
          </cell>
        </row>
        <row r="38">
          <cell r="B38" t="str">
            <v>2.1.1-6546.124</v>
          </cell>
          <cell r="E38" t="str">
            <v>VERDURAS Y HORTALIZAS; PESO: SIN VALOR, VARIEDAD: REMOLACHA, ESTADO: NATURAL, PRESENTACION: GRANEL</v>
          </cell>
          <cell r="F38" t="str">
            <v>ATADO</v>
          </cell>
          <cell r="G38">
            <v>2640</v>
          </cell>
          <cell r="H38">
            <v>198.00000000000003</v>
          </cell>
        </row>
        <row r="39">
          <cell r="B39" t="str">
            <v>2.1.1-6539.8</v>
          </cell>
          <cell r="E39" t="str">
            <v>FRUTAS; VARIEDAD: NARANJA ESPECIAL, ESTADO: NATURAL, PRESENTACION: CAJON, PESO: SIN VALOR</v>
          </cell>
          <cell r="F39" t="str">
            <v>CAJON</v>
          </cell>
          <cell r="G39">
            <v>384</v>
          </cell>
          <cell r="H39">
            <v>3080.0000000000005</v>
          </cell>
        </row>
        <row r="40">
          <cell r="B40" t="str">
            <v>2.1.1-6539.19</v>
          </cell>
          <cell r="E40" t="str">
            <v>FRUTAS; ESTADO: NATURAL, VARIEDAD: MANZANA RED ELEGIDA, PRESENTACION: CAJON, PESO: SIN VALOR</v>
          </cell>
          <cell r="F40" t="str">
            <v>CAJON</v>
          </cell>
          <cell r="G40">
            <v>342</v>
          </cell>
          <cell r="H40">
            <v>4565</v>
          </cell>
        </row>
        <row r="41">
          <cell r="B41" t="str">
            <v>2.1.1-6539.30</v>
          </cell>
          <cell r="E41" t="str">
            <v>FRUTAS; VARIEDAD: BANANA, PRESENTACION: CAJON, ESTADO: NATURAL, PESO: SIN VALOR</v>
          </cell>
          <cell r="F41" t="str">
            <v>CAJON</v>
          </cell>
          <cell r="G41">
            <v>342</v>
          </cell>
          <cell r="H41">
            <v>3520.0000000000005</v>
          </cell>
        </row>
        <row r="42">
          <cell r="B42" t="str">
            <v>2.1.1-6539.32</v>
          </cell>
          <cell r="E42" t="str">
            <v>FRUTAS; VARIEDAD: PERA AMARILLA, ESTADO: NATURAL, PRESENTACION: CAJON, PESO: SIN VALOR</v>
          </cell>
          <cell r="F42" t="str">
            <v>CAJON</v>
          </cell>
          <cell r="G42">
            <v>318</v>
          </cell>
          <cell r="H42">
            <v>4180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605B-792B-4633-954F-05575F0906D6}">
  <dimension ref="A1:AMK46"/>
  <sheetViews>
    <sheetView tabSelected="1" zoomScale="110" zoomScaleNormal="110" workbookViewId="0">
      <selection activeCell="H14" sqref="H14"/>
    </sheetView>
  </sheetViews>
  <sheetFormatPr baseColWidth="10" defaultColWidth="9.140625" defaultRowHeight="12.75" x14ac:dyDescent="0.2"/>
  <cols>
    <col min="1" max="1" width="5" style="3" customWidth="1"/>
    <col min="2" max="2" width="14.7109375" style="3" customWidth="1"/>
    <col min="3" max="3" width="14.140625" style="3" customWidth="1"/>
    <col min="4" max="4" width="26" style="3" customWidth="1"/>
    <col min="5" max="5" width="8" style="3" customWidth="1"/>
    <col min="6" max="6" width="7.85546875" style="3" customWidth="1"/>
    <col min="7" max="8" width="45" style="3" customWidth="1"/>
    <col min="9" max="9" width="9.28515625" style="3" customWidth="1"/>
    <col min="10" max="10" width="14.5703125" style="3" customWidth="1"/>
    <col min="11" max="11" width="14" style="3" customWidth="1"/>
    <col min="12" max="12" width="12.42578125" style="3" customWidth="1"/>
    <col min="13" max="13" width="14.140625" style="3" customWidth="1"/>
    <col min="14" max="15" width="5.85546875" style="3" customWidth="1"/>
    <col min="16" max="16" width="12.5703125" style="3" customWidth="1"/>
    <col min="17" max="1025" width="9.140625" style="3"/>
  </cols>
  <sheetData>
    <row r="1" spans="1:13" ht="18" customHeight="1" thickBot="1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1" t="s">
        <v>1</v>
      </c>
      <c r="L1" s="2" t="s">
        <v>2</v>
      </c>
    </row>
    <row r="2" spans="1:13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  <c r="L2" s="5"/>
    </row>
    <row r="3" spans="1:13" ht="18.75" customHeight="1" thickBot="1" x14ac:dyDescent="0.25">
      <c r="A3" s="25" t="s">
        <v>3</v>
      </c>
      <c r="B3" s="25"/>
      <c r="C3" s="25"/>
      <c r="D3" s="20" t="s">
        <v>4</v>
      </c>
      <c r="E3" s="20"/>
      <c r="F3" s="20"/>
      <c r="G3" s="20"/>
      <c r="H3" s="20"/>
      <c r="I3" s="20"/>
      <c r="J3" s="20"/>
      <c r="K3" s="20"/>
      <c r="L3" s="20"/>
    </row>
    <row r="4" spans="1:13" ht="18.75" customHeight="1" thickBot="1" x14ac:dyDescent="0.25">
      <c r="A4" s="26" t="s">
        <v>5</v>
      </c>
      <c r="B4" s="26"/>
      <c r="C4" s="26"/>
      <c r="D4" s="20" t="str">
        <f>[1]alimento!C4</f>
        <v>25- Direccion Provincial de Gestion Administracion y RRHH</v>
      </c>
      <c r="E4" s="20"/>
      <c r="F4" s="20"/>
      <c r="G4" s="20"/>
      <c r="H4" s="20"/>
      <c r="I4" s="20"/>
      <c r="J4" s="20"/>
      <c r="K4" s="20"/>
      <c r="L4" s="20"/>
    </row>
    <row r="5" spans="1:13" ht="18.75" customHeight="1" thickBot="1" x14ac:dyDescent="0.25">
      <c r="A5" s="26" t="s">
        <v>6</v>
      </c>
      <c r="B5" s="26"/>
      <c r="C5" s="26"/>
      <c r="D5" s="20" t="s">
        <v>7</v>
      </c>
      <c r="E5" s="20"/>
      <c r="F5" s="20"/>
      <c r="G5" s="20"/>
      <c r="H5" s="20"/>
      <c r="I5" s="20"/>
      <c r="J5" s="20"/>
      <c r="K5" s="20"/>
      <c r="L5" s="20"/>
    </row>
    <row r="6" spans="1:13" ht="16.5" customHeight="1" thickBot="1" x14ac:dyDescent="0.25">
      <c r="A6" s="25" t="s">
        <v>8</v>
      </c>
      <c r="B6" s="25"/>
      <c r="C6" s="25"/>
      <c r="D6" s="20" t="s">
        <v>9</v>
      </c>
      <c r="E6" s="20"/>
      <c r="F6" s="20"/>
      <c r="G6" s="20"/>
      <c r="H6" s="20"/>
      <c r="I6" s="20"/>
      <c r="J6" s="20"/>
      <c r="K6" s="20"/>
      <c r="L6" s="20"/>
    </row>
    <row r="7" spans="1:13" ht="16.5" customHeight="1" thickBot="1" x14ac:dyDescent="0.25">
      <c r="A7" s="26" t="s">
        <v>10</v>
      </c>
      <c r="B7" s="26"/>
      <c r="C7" s="26"/>
      <c r="D7" s="20" t="str">
        <f>'[1]ALIM-IMP'!C6&amp; "° Trimestre - Año " &amp; '[1]ALIM-IMP'!C5</f>
        <v>1° Trimestre - Año 2022</v>
      </c>
      <c r="E7" s="20"/>
      <c r="F7" s="20"/>
      <c r="G7" s="20"/>
      <c r="H7" s="20"/>
      <c r="I7" s="20"/>
      <c r="J7" s="20"/>
      <c r="K7" s="20"/>
      <c r="L7" s="20"/>
    </row>
    <row r="8" spans="1:13" ht="16.5" customHeight="1" thickBot="1" x14ac:dyDescent="0.25">
      <c r="A8" s="27" t="s">
        <v>11</v>
      </c>
      <c r="B8" s="27"/>
      <c r="C8" s="27"/>
      <c r="D8" s="28" t="s">
        <v>12</v>
      </c>
      <c r="E8" s="28"/>
      <c r="F8" s="28"/>
      <c r="G8" s="28"/>
      <c r="H8" s="28"/>
      <c r="I8" s="28"/>
      <c r="J8" s="28"/>
      <c r="K8" s="28"/>
      <c r="L8" s="28"/>
    </row>
    <row r="9" spans="1:13" ht="16.5" thickBot="1" x14ac:dyDescent="0.25">
      <c r="A9" s="6"/>
      <c r="B9" s="6"/>
      <c r="C9" s="6"/>
      <c r="D9" s="7"/>
      <c r="E9" s="7"/>
      <c r="F9" s="7"/>
      <c r="G9" s="7"/>
      <c r="H9" s="7"/>
      <c r="I9" s="7"/>
      <c r="J9" s="7"/>
      <c r="K9" s="7"/>
      <c r="L9" s="7"/>
    </row>
    <row r="10" spans="1:13" ht="18.75" customHeight="1" x14ac:dyDescent="0.2">
      <c r="A10" s="42" t="s">
        <v>22</v>
      </c>
      <c r="B10" s="30" t="s">
        <v>13</v>
      </c>
      <c r="C10" s="36" t="s">
        <v>14</v>
      </c>
      <c r="D10" s="37"/>
      <c r="E10" s="37"/>
      <c r="F10" s="37"/>
      <c r="G10" s="38"/>
      <c r="H10" s="30" t="s">
        <v>23</v>
      </c>
      <c r="I10" s="30" t="s">
        <v>15</v>
      </c>
      <c r="J10" s="30" t="s">
        <v>16</v>
      </c>
      <c r="K10" s="30" t="s">
        <v>17</v>
      </c>
      <c r="L10" s="34" t="s">
        <v>18</v>
      </c>
      <c r="M10" s="32" t="s">
        <v>19</v>
      </c>
    </row>
    <row r="11" spans="1:13" ht="24" customHeight="1" thickBot="1" x14ac:dyDescent="0.25">
      <c r="A11" s="43"/>
      <c r="B11" s="31"/>
      <c r="C11" s="39"/>
      <c r="D11" s="40"/>
      <c r="E11" s="40"/>
      <c r="F11" s="40"/>
      <c r="G11" s="41"/>
      <c r="H11" s="31"/>
      <c r="I11" s="31"/>
      <c r="J11" s="31"/>
      <c r="K11" s="31"/>
      <c r="L11" s="35"/>
      <c r="M11" s="33"/>
    </row>
    <row r="12" spans="1:13" ht="39.950000000000003" customHeight="1" thickBot="1" x14ac:dyDescent="0.25">
      <c r="A12" s="8">
        <v>1</v>
      </c>
      <c r="B12" s="9" t="str">
        <f>'[1]ALIM-IMP'!B9</f>
        <v>2.1.1-2868.55</v>
      </c>
      <c r="C12" s="24" t="str">
        <f>'[1]ALIM-IMP'!E9</f>
        <v>FIDEOS SECOS; VARIEDAD: TALLARIN, RELLENO: SIN, PRESENTACION: ENVASE X 500 GR, MATERIAL ENVASE: PLASTICO 1 (PET), ELEM. TRANSPORTE: SIN, MATERIAL ELEM. TRANSPORTE: SIN, CERTIFICADO FORESTAL (GFS): SIN, LIBRE DE GLUTEN: NO</v>
      </c>
      <c r="D12" s="24"/>
      <c r="E12" s="24"/>
      <c r="F12" s="24"/>
      <c r="G12" s="24"/>
      <c r="H12" s="10" t="s">
        <v>24</v>
      </c>
      <c r="I12" s="11" t="s">
        <v>20</v>
      </c>
      <c r="J12" s="12" t="str">
        <f>'[1]ALIM-IMP'!F9</f>
        <v>PAQUETE</v>
      </c>
      <c r="K12" s="13">
        <f>'[1]ALIM-IMP'!H9</f>
        <v>63.800000000000004</v>
      </c>
      <c r="L12" s="14">
        <f>'[1]ALIM-IMP'!G9</f>
        <v>15840</v>
      </c>
      <c r="M12" s="15">
        <f>K12*L12</f>
        <v>1010592.0000000001</v>
      </c>
    </row>
    <row r="13" spans="1:13" ht="39.950000000000003" customHeight="1" thickBot="1" x14ac:dyDescent="0.25">
      <c r="A13" s="16">
        <v>2</v>
      </c>
      <c r="B13" s="9" t="str">
        <f>'[1]ALIM-IMP'!B10</f>
        <v>2.1.1-541.49</v>
      </c>
      <c r="C13" s="24" t="str">
        <f>'[1]ALIM-IMP'!E10</f>
        <v>CARNES; ESPECIE: VACUNA, CORTE: NALGA, TIPO: VACUNA</v>
      </c>
      <c r="D13" s="24"/>
      <c r="E13" s="24"/>
      <c r="F13" s="24"/>
      <c r="G13" s="24"/>
      <c r="H13" s="10" t="s">
        <v>24</v>
      </c>
      <c r="I13" s="11" t="s">
        <v>20</v>
      </c>
      <c r="J13" s="12" t="str">
        <f>'[1]ALIM-IMP'!F10</f>
        <v>KG</v>
      </c>
      <c r="K13" s="13">
        <f>'[1]ALIM-IMP'!H10</f>
        <v>1375</v>
      </c>
      <c r="L13" s="14">
        <f>'[1]ALIM-IMP'!G10</f>
        <v>6600</v>
      </c>
      <c r="M13" s="15">
        <f t="shared" ref="M13:M45" si="0">K13*L13</f>
        <v>9075000</v>
      </c>
    </row>
    <row r="14" spans="1:13" ht="39.950000000000003" customHeight="1" thickBot="1" x14ac:dyDescent="0.25">
      <c r="A14" s="16">
        <v>3</v>
      </c>
      <c r="B14" s="9" t="str">
        <f>'[1]ALIM-IMP'!B11</f>
        <v>2.1.1-541.7</v>
      </c>
      <c r="C14" s="24" t="str">
        <f>'[1]ALIM-IMP'!E11</f>
        <v>CARNES; ESPECIE: VACUNA, CORTE: PICADA ESPECIAL, TIPO: VACUNA</v>
      </c>
      <c r="D14" s="24"/>
      <c r="E14" s="24"/>
      <c r="F14" s="24"/>
      <c r="G14" s="24"/>
      <c r="H14" s="10" t="s">
        <v>24</v>
      </c>
      <c r="I14" s="11" t="s">
        <v>20</v>
      </c>
      <c r="J14" s="12" t="str">
        <f>'[1]ALIM-IMP'!F11</f>
        <v>KG</v>
      </c>
      <c r="K14" s="13">
        <f>'[1]ALIM-IMP'!H11</f>
        <v>1155</v>
      </c>
      <c r="L14" s="14">
        <f>'[1]ALIM-IMP'!G11</f>
        <v>13200</v>
      </c>
      <c r="M14" s="15">
        <f t="shared" si="0"/>
        <v>15246000</v>
      </c>
    </row>
    <row r="15" spans="1:13" ht="39.950000000000003" customHeight="1" thickBot="1" x14ac:dyDescent="0.25">
      <c r="A15" s="16">
        <v>4</v>
      </c>
      <c r="B15" s="9" t="str">
        <f>'[1]ALIM-IMP'!B12</f>
        <v>2.1.1-6546.46</v>
      </c>
      <c r="C15" s="24" t="str">
        <f>'[1]ALIM-IMP'!E12</f>
        <v>VERDURAS Y HORTALIZAS; VARIEDAD: CEBOLLA, ESTADO: NATURAL, PRESENTACION: GRANEL, PESO: SIN VALOR</v>
      </c>
      <c r="D15" s="24"/>
      <c r="E15" s="24"/>
      <c r="F15" s="24"/>
      <c r="G15" s="24"/>
      <c r="H15" s="10" t="s">
        <v>24</v>
      </c>
      <c r="I15" s="11" t="s">
        <v>20</v>
      </c>
      <c r="J15" s="12" t="str">
        <f>'[1]ALIM-IMP'!F12</f>
        <v>KG</v>
      </c>
      <c r="K15" s="13">
        <f>'[1]ALIM-IMP'!H12</f>
        <v>71.5</v>
      </c>
      <c r="L15" s="14">
        <f>'[1]ALIM-IMP'!G12</f>
        <v>8628</v>
      </c>
      <c r="M15" s="15">
        <f t="shared" si="0"/>
        <v>616902</v>
      </c>
    </row>
    <row r="16" spans="1:13" ht="39.950000000000003" customHeight="1" thickBot="1" x14ac:dyDescent="0.25">
      <c r="A16" s="16">
        <v>5</v>
      </c>
      <c r="B16" s="9" t="str">
        <f>'[1]ALIM-IMP'!B13</f>
        <v>2.1.1-6546.403</v>
      </c>
      <c r="C16" s="24" t="str">
        <f>'[1]ALIM-IMP'!E13</f>
        <v>VERDURAS Y HORTALIZAS; VARIEDAD: ZANAHORIA, ESTADO: NATURAL, PRESENTACION: BOLSA, PESO: NO CORRESPONDE, ELEM. TRANSPORTE: SIN, MATERIAL ELEM. TRANSPORTE: SIN, LIBRE DE GLUTEN: SI, ORGANICO: NO</v>
      </c>
      <c r="D16" s="24"/>
      <c r="E16" s="24"/>
      <c r="F16" s="24"/>
      <c r="G16" s="24"/>
      <c r="H16" s="10" t="s">
        <v>24</v>
      </c>
      <c r="I16" s="11" t="s">
        <v>20</v>
      </c>
      <c r="J16" s="12" t="str">
        <f>'[1]ALIM-IMP'!F13</f>
        <v>BOLSA</v>
      </c>
      <c r="K16" s="13">
        <f>'[1]ALIM-IMP'!H13</f>
        <v>71.5</v>
      </c>
      <c r="L16" s="14">
        <f>'[1]ALIM-IMP'!G13</f>
        <v>17868</v>
      </c>
      <c r="M16" s="15">
        <f t="shared" si="0"/>
        <v>1277562</v>
      </c>
    </row>
    <row r="17" spans="1:13" ht="39.950000000000003" customHeight="1" thickBot="1" x14ac:dyDescent="0.25">
      <c r="A17" s="16">
        <v>6</v>
      </c>
      <c r="B17" s="9" t="str">
        <f>'[1]ALIM-IMP'!B14</f>
        <v>2.1.1-6546.95</v>
      </c>
      <c r="C17" s="24" t="str">
        <f>'[1]ALIM-IMP'!E14</f>
        <v>VERDURAS Y HORTALIZAS; VARIEDAD: MORRON VERDE, ESTADO: NATURAL, PRESENTACION: GRANEL, PESO: SIN VALOR</v>
      </c>
      <c r="D17" s="24"/>
      <c r="E17" s="24"/>
      <c r="F17" s="24"/>
      <c r="G17" s="24"/>
      <c r="H17" s="10" t="s">
        <v>24</v>
      </c>
      <c r="I17" s="11" t="s">
        <v>20</v>
      </c>
      <c r="J17" s="12" t="str">
        <f>'[1]ALIM-IMP'!F14</f>
        <v>UNIDAD</v>
      </c>
      <c r="K17" s="13">
        <f>'[1]ALIM-IMP'!H14</f>
        <v>71.5</v>
      </c>
      <c r="L17" s="14">
        <f>'[1]ALIM-IMP'!G14</f>
        <v>17160</v>
      </c>
      <c r="M17" s="15">
        <f t="shared" si="0"/>
        <v>1226940</v>
      </c>
    </row>
    <row r="18" spans="1:13" ht="39.950000000000003" customHeight="1" thickBot="1" x14ac:dyDescent="0.25">
      <c r="A18" s="16">
        <v>7</v>
      </c>
      <c r="B18" s="9" t="str">
        <f>'[1]ALIM-IMP'!B15</f>
        <v>2.1.1-6546.4</v>
      </c>
      <c r="C18" s="24" t="str">
        <f>'[1]ALIM-IMP'!E15</f>
        <v>VERDURAS Y HORTALIZAS; VARIEDAD: TOMATE PERITA, ESTADO: TRITURADO, PRESENTACION: BOTELLA, PESO: 950 GR</v>
      </c>
      <c r="D18" s="24"/>
      <c r="E18" s="24"/>
      <c r="F18" s="24"/>
      <c r="G18" s="24"/>
      <c r="H18" s="10" t="s">
        <v>24</v>
      </c>
      <c r="I18" s="11" t="s">
        <v>20</v>
      </c>
      <c r="J18" s="12" t="str">
        <f>'[1]ALIM-IMP'!F15</f>
        <v>BOTELLA</v>
      </c>
      <c r="K18" s="13">
        <f>'[1]ALIM-IMP'!H15</f>
        <v>269.5</v>
      </c>
      <c r="L18" s="14">
        <f>'[1]ALIM-IMP'!G15</f>
        <v>10560</v>
      </c>
      <c r="M18" s="15">
        <f t="shared" si="0"/>
        <v>2845920</v>
      </c>
    </row>
    <row r="19" spans="1:13" ht="39.950000000000003" customHeight="1" thickBot="1" x14ac:dyDescent="0.25">
      <c r="A19" s="16">
        <v>8</v>
      </c>
      <c r="B19" s="9" t="str">
        <f>'[1]ALIM-IMP'!B16</f>
        <v>2.1.1-439.67</v>
      </c>
      <c r="C19" s="24" t="str">
        <f>'[1]ALIM-IMP'!E16</f>
        <v>ACEITES COMESTIBLES; TIPO: GIRASOL, PRESENTACION: ENVASE X 900 CM3, MATERIAL ENVASE: PLASTICO 1 (PET), ELEM. TRANSPORTE: SIN, MATERIAL ELEM. TRANSPORTE : SIN, LIBRE DE GLUTEN: NO</v>
      </c>
      <c r="D19" s="24"/>
      <c r="E19" s="24"/>
      <c r="F19" s="24"/>
      <c r="G19" s="24"/>
      <c r="H19" s="10" t="s">
        <v>24</v>
      </c>
      <c r="I19" s="11" t="s">
        <v>20</v>
      </c>
      <c r="J19" s="12" t="str">
        <f>'[1]ALIM-IMP'!F16</f>
        <v>BOTELLA</v>
      </c>
      <c r="K19" s="13">
        <f>'[1]ALIM-IMP'!H16</f>
        <v>269.5</v>
      </c>
      <c r="L19" s="14">
        <f>'[1]ALIM-IMP'!G16</f>
        <v>5988</v>
      </c>
      <c r="M19" s="15">
        <f t="shared" si="0"/>
        <v>1613766</v>
      </c>
    </row>
    <row r="20" spans="1:13" ht="39.950000000000003" customHeight="1" thickBot="1" x14ac:dyDescent="0.25">
      <c r="A20" s="16">
        <v>9</v>
      </c>
      <c r="B20" s="9" t="str">
        <f>'[1]ALIM-IMP'!B17</f>
        <v>2.1.1-6546.132</v>
      </c>
      <c r="C20" s="24" t="str">
        <f>'[1]ALIM-IMP'!E17</f>
        <v>VERDURAS Y HORTALIZAS; VARIEDAD: PEREJIL, ESTADO: NATURAL, PRESENTACION: GRANEL, PESO: SIN VALOR</v>
      </c>
      <c r="D20" s="24"/>
      <c r="E20" s="24"/>
      <c r="F20" s="24"/>
      <c r="G20" s="24"/>
      <c r="H20" s="10" t="s">
        <v>24</v>
      </c>
      <c r="I20" s="11" t="s">
        <v>20</v>
      </c>
      <c r="J20" s="12" t="str">
        <f>'[1]ALIM-IMP'!F17</f>
        <v>ATADO</v>
      </c>
      <c r="K20" s="13">
        <f>'[1]ALIM-IMP'!H17</f>
        <v>71.5</v>
      </c>
      <c r="L20" s="14">
        <f>'[1]ALIM-IMP'!G17</f>
        <v>2640</v>
      </c>
      <c r="M20" s="15">
        <f t="shared" si="0"/>
        <v>188760</v>
      </c>
    </row>
    <row r="21" spans="1:13" ht="39.950000000000003" customHeight="1" thickBot="1" x14ac:dyDescent="0.25">
      <c r="A21" s="16">
        <v>10</v>
      </c>
      <c r="B21" s="9" t="str">
        <f>'[1]ALIM-IMP'!B18</f>
        <v>2.1.1-435.60</v>
      </c>
      <c r="C21" s="24" t="str">
        <f>'[1]ALIM-IMP'!E18</f>
        <v>ARROZ; TIPO GRANO: LARGO-FINO, TIPO: BLANCO, PROCESO: SIN CASCARA, PRESENTACION: BOLSA X 1 Kg, MATERIAL ENVASE: PLASTICO, CERTIFICADO FORESTAL (GFS): SIN, ELEM. TRANSPORTE: SIN, MATERIAL ELEM. TRANSPORTE: SIN, LIBRE DE GLUTEN: SI</v>
      </c>
      <c r="D21" s="24"/>
      <c r="E21" s="24"/>
      <c r="F21" s="24"/>
      <c r="G21" s="24"/>
      <c r="H21" s="10" t="s">
        <v>24</v>
      </c>
      <c r="I21" s="11" t="s">
        <v>20</v>
      </c>
      <c r="J21" s="12" t="str">
        <f>'[1]ALIM-IMP'!F18</f>
        <v>BOLSA</v>
      </c>
      <c r="K21" s="13">
        <f>'[1]ALIM-IMP'!H18</f>
        <v>176</v>
      </c>
      <c r="L21" s="14">
        <f>'[1]ALIM-IMP'!G18</f>
        <v>7920</v>
      </c>
      <c r="M21" s="15">
        <f t="shared" si="0"/>
        <v>1393920</v>
      </c>
    </row>
    <row r="22" spans="1:13" ht="39.950000000000003" customHeight="1" thickBot="1" x14ac:dyDescent="0.25">
      <c r="A22" s="16">
        <v>11</v>
      </c>
      <c r="B22" s="9" t="str">
        <f>'[1]ALIM-IMP'!B19</f>
        <v>2.1.1-6546.2</v>
      </c>
      <c r="C22" s="24" t="str">
        <f>'[1]ALIM-IMP'!E19</f>
        <v>VERDURAS Y HORTALIZAS; VARIEDAD: TOMATE REDONDO, ESTADO: NATURAL, PRESENTACION: GRANEL, PESO: SIN VALOR</v>
      </c>
      <c r="D22" s="24"/>
      <c r="E22" s="24"/>
      <c r="F22" s="24"/>
      <c r="G22" s="24"/>
      <c r="H22" s="10" t="s">
        <v>24</v>
      </c>
      <c r="I22" s="11" t="s">
        <v>20</v>
      </c>
      <c r="J22" s="12" t="str">
        <f>'[1]ALIM-IMP'!F19</f>
        <v>KG</v>
      </c>
      <c r="K22" s="13">
        <f>'[1]ALIM-IMP'!H19</f>
        <v>291.5</v>
      </c>
      <c r="L22" s="14">
        <f>'[1]ALIM-IMP'!G19</f>
        <v>6600</v>
      </c>
      <c r="M22" s="15">
        <f t="shared" si="0"/>
        <v>1923900</v>
      </c>
    </row>
    <row r="23" spans="1:13" ht="39.950000000000003" customHeight="1" thickBot="1" x14ac:dyDescent="0.25">
      <c r="A23" s="16">
        <v>12</v>
      </c>
      <c r="B23" s="9" t="str">
        <f>'[1]ALIM-IMP'!B20</f>
        <v>2.1.1-621.3</v>
      </c>
      <c r="C23" s="24" t="str">
        <f>'[1]ALIM-IMP'!E20</f>
        <v>AVES; PRESENTACION: TROZADO SIN PIEL, ESPECIE: POLLO, EVISCERADO: SIN VALOR, TIPO: POLLO</v>
      </c>
      <c r="D23" s="24"/>
      <c r="E23" s="24"/>
      <c r="F23" s="24"/>
      <c r="G23" s="24"/>
      <c r="H23" s="10" t="s">
        <v>24</v>
      </c>
      <c r="I23" s="11" t="s">
        <v>20</v>
      </c>
      <c r="J23" s="12" t="str">
        <f>'[1]ALIM-IMP'!F20</f>
        <v>KG</v>
      </c>
      <c r="K23" s="13">
        <f>'[1]ALIM-IMP'!H20</f>
        <v>385.00000000000006</v>
      </c>
      <c r="L23" s="14">
        <f>'[1]ALIM-IMP'!G20</f>
        <v>16548</v>
      </c>
      <c r="M23" s="15">
        <f t="shared" si="0"/>
        <v>6370980.0000000009</v>
      </c>
    </row>
    <row r="24" spans="1:13" ht="39.950000000000003" customHeight="1" thickBot="1" x14ac:dyDescent="0.25">
      <c r="A24" s="16">
        <v>13</v>
      </c>
      <c r="B24" s="9" t="str">
        <f>'[1]ALIM-IMP'!B21</f>
        <v>2.1.1-6546.100</v>
      </c>
      <c r="C24" s="24" t="str">
        <f>'[1]ALIM-IMP'!E21</f>
        <v>VERDURAS Y HORTALIZAS; ESTADO: NATURAL, PRESENTACION: GRANEL, VARIEDAD: PAPA BLANCA, PESO: SIN VALOR</v>
      </c>
      <c r="D24" s="24"/>
      <c r="E24" s="24"/>
      <c r="F24" s="24"/>
      <c r="G24" s="24"/>
      <c r="H24" s="10" t="s">
        <v>24</v>
      </c>
      <c r="I24" s="11" t="s">
        <v>20</v>
      </c>
      <c r="J24" s="12" t="str">
        <f>'[1]ALIM-IMP'!F21</f>
        <v>KG</v>
      </c>
      <c r="K24" s="13">
        <f>'[1]ALIM-IMP'!H21</f>
        <v>71.5</v>
      </c>
      <c r="L24" s="14">
        <f>'[1]ALIM-IMP'!G21</f>
        <v>33000</v>
      </c>
      <c r="M24" s="15">
        <f t="shared" si="0"/>
        <v>2359500</v>
      </c>
    </row>
    <row r="25" spans="1:13" ht="39.950000000000003" customHeight="1" thickBot="1" x14ac:dyDescent="0.25">
      <c r="A25" s="16">
        <v>14</v>
      </c>
      <c r="B25" s="9" t="str">
        <f>'[1]ALIM-IMP'!B22</f>
        <v>2.1.1-6547.17</v>
      </c>
      <c r="C25" s="24" t="str">
        <f>'[1]ALIM-IMP'!E22</f>
        <v>LEGUMBRES; VARIEDAD: ARVEJA, ESTADO: REMOJADO EN CONSERVA, PRESENTACION: LATA, PESO: 350 GR</v>
      </c>
      <c r="D25" s="24"/>
      <c r="E25" s="24"/>
      <c r="F25" s="24"/>
      <c r="G25" s="24"/>
      <c r="H25" s="10" t="s">
        <v>24</v>
      </c>
      <c r="I25" s="11" t="s">
        <v>20</v>
      </c>
      <c r="J25" s="12" t="str">
        <f>'[1]ALIM-IMP'!F22</f>
        <v>LATA</v>
      </c>
      <c r="K25" s="13">
        <f>'[1]ALIM-IMP'!H22</f>
        <v>69.300000000000011</v>
      </c>
      <c r="L25" s="14">
        <f>'[1]ALIM-IMP'!G22</f>
        <v>17160</v>
      </c>
      <c r="M25" s="15">
        <f t="shared" si="0"/>
        <v>1189188.0000000002</v>
      </c>
    </row>
    <row r="26" spans="1:13" ht="39.950000000000003" customHeight="1" thickBot="1" x14ac:dyDescent="0.25">
      <c r="A26" s="16">
        <v>15</v>
      </c>
      <c r="B26" s="9" t="str">
        <f>'[1]ALIM-IMP'!B23</f>
        <v>2.1.1-483.33</v>
      </c>
      <c r="C26" s="24" t="str">
        <f>'[1]ALIM-IMP'!E23</f>
        <v>HUEVO DE GALLINA; TAMAÑO: MEDIANOS, COLOR: BLANCOS, PRESENTACION: 30</v>
      </c>
      <c r="D26" s="24"/>
      <c r="E26" s="24"/>
      <c r="F26" s="24"/>
      <c r="G26" s="24"/>
      <c r="H26" s="10" t="s">
        <v>24</v>
      </c>
      <c r="I26" s="11" t="s">
        <v>20</v>
      </c>
      <c r="J26" s="12" t="str">
        <f>'[1]ALIM-IMP'!F23</f>
        <v>MAPLE</v>
      </c>
      <c r="K26" s="13">
        <f>'[1]ALIM-IMP'!H23</f>
        <v>418.00000000000006</v>
      </c>
      <c r="L26" s="14">
        <f>'[1]ALIM-IMP'!G23</f>
        <v>3960</v>
      </c>
      <c r="M26" s="15">
        <f t="shared" si="0"/>
        <v>1655280.0000000002</v>
      </c>
    </row>
    <row r="27" spans="1:13" ht="39.950000000000003" customHeight="1" thickBot="1" x14ac:dyDescent="0.25">
      <c r="A27" s="16">
        <v>16</v>
      </c>
      <c r="B27" s="9" t="str">
        <f>'[1]ALIM-IMP'!B24</f>
        <v>2.1.1-6546.401</v>
      </c>
      <c r="C27" s="24" t="str">
        <f>'[1]ALIM-IMP'!E24</f>
        <v>VERDURAS Y HORTALIZAS; VARIEDAD: AJO, ESTADO: NATURAL, PRESENTACION: UNIDAD, PESO: NO CORRESPONDE, ELEM. TRANSPORTE: SIN, MATERIAL ELEM. TRANSPORTE: SIN, LIBRE DE GLUTEN: SI, ORGANICO: NO</v>
      </c>
      <c r="D27" s="24"/>
      <c r="E27" s="24"/>
      <c r="F27" s="24"/>
      <c r="G27" s="24"/>
      <c r="H27" s="10" t="s">
        <v>24</v>
      </c>
      <c r="I27" s="11" t="s">
        <v>20</v>
      </c>
      <c r="J27" s="12" t="str">
        <f>'[1]ALIM-IMP'!F24</f>
        <v>CABEZA</v>
      </c>
      <c r="K27" s="13">
        <f>'[1]ALIM-IMP'!H24</f>
        <v>66</v>
      </c>
      <c r="L27" s="14">
        <f>'[1]ALIM-IMP'!G24</f>
        <v>2640</v>
      </c>
      <c r="M27" s="15">
        <f t="shared" si="0"/>
        <v>174240</v>
      </c>
    </row>
    <row r="28" spans="1:13" ht="39.950000000000003" customHeight="1" thickBot="1" x14ac:dyDescent="0.25">
      <c r="A28" s="16">
        <v>17</v>
      </c>
      <c r="B28" s="9" t="str">
        <f>'[1]ALIM-IMP'!B25</f>
        <v>2.1.1-6546.158</v>
      </c>
      <c r="C28" s="24" t="str">
        <f>'[1]ALIM-IMP'!E25</f>
        <v>VERDURAS Y HORTALIZAS; ESTADO: NATURAL, VARIEDAD: ZAPALLO ANCO, PRESENTACION: GRANEL, PESO: SIN VALOR</v>
      </c>
      <c r="D28" s="24"/>
      <c r="E28" s="24"/>
      <c r="F28" s="24"/>
      <c r="G28" s="24"/>
      <c r="H28" s="10" t="s">
        <v>24</v>
      </c>
      <c r="I28" s="11" t="s">
        <v>20</v>
      </c>
      <c r="J28" s="12" t="str">
        <f>'[1]ALIM-IMP'!F25</f>
        <v>KG</v>
      </c>
      <c r="K28" s="13">
        <f>'[1]ALIM-IMP'!H25</f>
        <v>115.50000000000001</v>
      </c>
      <c r="L28" s="14">
        <f>'[1]ALIM-IMP'!G25</f>
        <v>11880</v>
      </c>
      <c r="M28" s="15">
        <f t="shared" si="0"/>
        <v>1372140.0000000002</v>
      </c>
    </row>
    <row r="29" spans="1:13" ht="39.950000000000003" customHeight="1" thickBot="1" x14ac:dyDescent="0.25">
      <c r="A29" s="16">
        <v>18</v>
      </c>
      <c r="B29" s="9" t="str">
        <f>'[1]ALIM-IMP'!B26</f>
        <v>2.1.1-969.82</v>
      </c>
      <c r="C29" s="24" t="str">
        <f>'[1]ALIM-IMP'!E26</f>
        <v>FIAMBRES; TIPO: JAMON COCIDO, PRESENTACION: AL PESO</v>
      </c>
      <c r="D29" s="24"/>
      <c r="E29" s="24"/>
      <c r="F29" s="24"/>
      <c r="G29" s="24"/>
      <c r="H29" s="10" t="s">
        <v>24</v>
      </c>
      <c r="I29" s="11" t="s">
        <v>20</v>
      </c>
      <c r="J29" s="12" t="str">
        <f>'[1]ALIM-IMP'!F26</f>
        <v>KG</v>
      </c>
      <c r="K29" s="13">
        <f>'[1]ALIM-IMP'!H26</f>
        <v>1210</v>
      </c>
      <c r="L29" s="14">
        <f>'[1]ALIM-IMP'!G26</f>
        <v>3348</v>
      </c>
      <c r="M29" s="15">
        <f t="shared" si="0"/>
        <v>4051080</v>
      </c>
    </row>
    <row r="30" spans="1:13" ht="39.950000000000003" customHeight="1" thickBot="1" x14ac:dyDescent="0.25">
      <c r="A30" s="16">
        <v>19</v>
      </c>
      <c r="B30" s="9" t="str">
        <f>'[1]ALIM-IMP'!B27</f>
        <v>2.1.1-669.25</v>
      </c>
      <c r="C30" s="24" t="str">
        <f>'[1]ALIM-IMP'!E27</f>
        <v>PANES; TIPO: RALLADO, PRESENTACION: BOLSA DE 1000 GR</v>
      </c>
      <c r="D30" s="24"/>
      <c r="E30" s="24"/>
      <c r="F30" s="24"/>
      <c r="G30" s="24"/>
      <c r="H30" s="10" t="s">
        <v>24</v>
      </c>
      <c r="I30" s="11" t="s">
        <v>20</v>
      </c>
      <c r="J30" s="12" t="str">
        <f>'[1]ALIM-IMP'!F27</f>
        <v>BOLSA</v>
      </c>
      <c r="K30" s="13">
        <f>'[1]ALIM-IMP'!H27</f>
        <v>225.50000000000003</v>
      </c>
      <c r="L30" s="14">
        <f>'[1]ALIM-IMP'!G27</f>
        <v>3348</v>
      </c>
      <c r="M30" s="15">
        <f t="shared" si="0"/>
        <v>754974.00000000012</v>
      </c>
    </row>
    <row r="31" spans="1:13" ht="39.950000000000003" customHeight="1" thickBot="1" x14ac:dyDescent="0.25">
      <c r="A31" s="16">
        <v>20</v>
      </c>
      <c r="B31" s="9" t="str">
        <f>'[1]ALIM-IMP'!B28</f>
        <v>2.1.1-6546.374</v>
      </c>
      <c r="C31" s="24" t="str">
        <f>'[1]ALIM-IMP'!E28</f>
        <v>VERDURAS Y HORTALIZAS; VARIEDAD: LECHUGA ARREPOLLADA, ESTADO: NATURAL, PRESENTACION: A GRANEL, PESO: 300 GR CADA PLANTA, ELEM. TRANSPORTE: SIN, MATERIAL ELEM. TRANSPORTE: SIN, LIBRE DE GLUTEN: SI</v>
      </c>
      <c r="D31" s="24"/>
      <c r="E31" s="24"/>
      <c r="F31" s="24"/>
      <c r="G31" s="24"/>
      <c r="H31" s="10" t="s">
        <v>24</v>
      </c>
      <c r="I31" s="11" t="s">
        <v>20</v>
      </c>
      <c r="J31" s="12" t="str">
        <f>'[1]ALIM-IMP'!F28</f>
        <v>KG</v>
      </c>
      <c r="K31" s="13">
        <f>'[1]ALIM-IMP'!H28</f>
        <v>165</v>
      </c>
      <c r="L31" s="14">
        <f>'[1]ALIM-IMP'!G28</f>
        <v>5280</v>
      </c>
      <c r="M31" s="15">
        <f t="shared" si="0"/>
        <v>871200</v>
      </c>
    </row>
    <row r="32" spans="1:13" ht="39.950000000000003" customHeight="1" thickBot="1" x14ac:dyDescent="0.25">
      <c r="A32" s="16">
        <v>21</v>
      </c>
      <c r="B32" s="9" t="str">
        <f>'[1]ALIM-IMP'!B29</f>
        <v>2.1.1-6546.242</v>
      </c>
      <c r="C32" s="24" t="str">
        <f>'[1]ALIM-IMP'!E29</f>
        <v>VERDURAS Y HORTALIZAS; VARIEDAD: CHOCLO EN GRANO, ESTADO: NATURAL, PRESENTACION: LATA, PESO: 380 GR</v>
      </c>
      <c r="D32" s="24"/>
      <c r="E32" s="24"/>
      <c r="F32" s="24"/>
      <c r="G32" s="24"/>
      <c r="H32" s="10" t="s">
        <v>24</v>
      </c>
      <c r="I32" s="11" t="s">
        <v>20</v>
      </c>
      <c r="J32" s="12" t="str">
        <f>'[1]ALIM-IMP'!F29</f>
        <v>LATA</v>
      </c>
      <c r="K32" s="13">
        <f>'[1]ALIM-IMP'!H29</f>
        <v>137.5</v>
      </c>
      <c r="L32" s="14">
        <f>'[1]ALIM-IMP'!G29</f>
        <v>6600</v>
      </c>
      <c r="M32" s="15">
        <f t="shared" si="0"/>
        <v>907500</v>
      </c>
    </row>
    <row r="33" spans="1:13" ht="39.950000000000003" customHeight="1" thickBot="1" x14ac:dyDescent="0.25">
      <c r="A33" s="16">
        <v>22</v>
      </c>
      <c r="B33" s="9" t="str">
        <f>'[1]ALIM-IMP'!B30</f>
        <v>2.1.1-489.132</v>
      </c>
      <c r="C33" s="24" t="str">
        <f>'[1]ALIM-IMP'!E30</f>
        <v>ESPECIAS; TIPO: PIMIENTA BLANCA, PRESENTACION: ENVASE X 1 Kg</v>
      </c>
      <c r="D33" s="24"/>
      <c r="E33" s="24"/>
      <c r="F33" s="24"/>
      <c r="G33" s="24"/>
      <c r="H33" s="10" t="s">
        <v>24</v>
      </c>
      <c r="I33" s="11" t="s">
        <v>20</v>
      </c>
      <c r="J33" s="12" t="str">
        <f>'[1]ALIM-IMP'!F30</f>
        <v>BOLSA</v>
      </c>
      <c r="K33" s="13">
        <f>'[1]ALIM-IMP'!H30</f>
        <v>3960.0000000000005</v>
      </c>
      <c r="L33" s="14">
        <f>'[1]ALIM-IMP'!G30</f>
        <v>120</v>
      </c>
      <c r="M33" s="15">
        <f t="shared" si="0"/>
        <v>475200.00000000006</v>
      </c>
    </row>
    <row r="34" spans="1:13" ht="39.950000000000003" customHeight="1" thickBot="1" x14ac:dyDescent="0.25">
      <c r="A34" s="16">
        <v>23</v>
      </c>
      <c r="B34" s="9" t="str">
        <f>'[1]ALIM-IMP'!B31</f>
        <v>2.1.1-489.66</v>
      </c>
      <c r="C34" s="24" t="str">
        <f>'[1]ALIM-IMP'!E31</f>
        <v>ESPECIAS; TIPO: OREGANO, PRESENTACION: BOLSA DE 1 Kg</v>
      </c>
      <c r="D34" s="24"/>
      <c r="E34" s="24"/>
      <c r="F34" s="24"/>
      <c r="G34" s="24"/>
      <c r="H34" s="10" t="s">
        <v>24</v>
      </c>
      <c r="I34" s="11" t="s">
        <v>20</v>
      </c>
      <c r="J34" s="12" t="str">
        <f>'[1]ALIM-IMP'!F31</f>
        <v>BOLSA</v>
      </c>
      <c r="K34" s="13">
        <f>'[1]ALIM-IMP'!H31</f>
        <v>1705.0000000000002</v>
      </c>
      <c r="L34" s="14">
        <f>'[1]ALIM-IMP'!G31</f>
        <v>120</v>
      </c>
      <c r="M34" s="15">
        <f t="shared" si="0"/>
        <v>204600.00000000003</v>
      </c>
    </row>
    <row r="35" spans="1:13" ht="39.950000000000003" customHeight="1" thickBot="1" x14ac:dyDescent="0.25">
      <c r="A35" s="16">
        <v>24</v>
      </c>
      <c r="B35" s="9" t="str">
        <f>'[1]ALIM-IMP'!B32</f>
        <v>2.1.1-489.67</v>
      </c>
      <c r="C35" s="24" t="str">
        <f>'[1]ALIM-IMP'!E32</f>
        <v>ESPECIAS; TIPO: PIMENTON, PRESENTACION: BOLSA DE 1 Kg</v>
      </c>
      <c r="D35" s="24"/>
      <c r="E35" s="24"/>
      <c r="F35" s="24"/>
      <c r="G35" s="24"/>
      <c r="H35" s="10" t="s">
        <v>24</v>
      </c>
      <c r="I35" s="11" t="s">
        <v>20</v>
      </c>
      <c r="J35" s="12" t="str">
        <f>'[1]ALIM-IMP'!F32</f>
        <v>BOLSA</v>
      </c>
      <c r="K35" s="13">
        <f>'[1]ALIM-IMP'!H32</f>
        <v>1705.0000000000002</v>
      </c>
      <c r="L35" s="14">
        <f>'[1]ALIM-IMP'!G32</f>
        <v>120</v>
      </c>
      <c r="M35" s="15">
        <f t="shared" si="0"/>
        <v>204600.00000000003</v>
      </c>
    </row>
    <row r="36" spans="1:13" ht="39.950000000000003" customHeight="1" thickBot="1" x14ac:dyDescent="0.25">
      <c r="A36" s="16">
        <v>25</v>
      </c>
      <c r="B36" s="9" t="str">
        <f>'[1]ALIM-IMP'!B33</f>
        <v>2.1.1-489.109</v>
      </c>
      <c r="C36" s="24" t="str">
        <f>'[1]ALIM-IMP'!E33</f>
        <v>ESPECIAS; TIPO: PROVENZAL, PRESENTACION: PAQUETE X 1 Kg</v>
      </c>
      <c r="D36" s="24"/>
      <c r="E36" s="24"/>
      <c r="F36" s="24"/>
      <c r="G36" s="24"/>
      <c r="H36" s="10" t="s">
        <v>24</v>
      </c>
      <c r="I36" s="11" t="s">
        <v>20</v>
      </c>
      <c r="J36" s="12" t="str">
        <f>'[1]ALIM-IMP'!F33</f>
        <v>PAQUETE</v>
      </c>
      <c r="K36" s="13">
        <f>'[1]ALIM-IMP'!H33</f>
        <v>1705.0000000000002</v>
      </c>
      <c r="L36" s="14">
        <f>'[1]ALIM-IMP'!G33</f>
        <v>120</v>
      </c>
      <c r="M36" s="15">
        <f t="shared" si="0"/>
        <v>204600.00000000003</v>
      </c>
    </row>
    <row r="37" spans="1:13" ht="39.950000000000003" customHeight="1" thickBot="1" x14ac:dyDescent="0.25">
      <c r="A37" s="16">
        <v>26</v>
      </c>
      <c r="B37" s="9" t="str">
        <f>'[1]ALIM-IMP'!B34</f>
        <v>2.1.1-669.35</v>
      </c>
      <c r="C37" s="24" t="str">
        <f>'[1]ALIM-IMP'!E34</f>
        <v>PANES; TIPO: FRANCES, PRESENTACION: GRANEL</v>
      </c>
      <c r="D37" s="24"/>
      <c r="E37" s="24"/>
      <c r="F37" s="24"/>
      <c r="G37" s="24"/>
      <c r="H37" s="10" t="s">
        <v>24</v>
      </c>
      <c r="I37" s="11" t="s">
        <v>20</v>
      </c>
      <c r="J37" s="12" t="str">
        <f>'[1]ALIM-IMP'!F34</f>
        <v>KG</v>
      </c>
      <c r="K37" s="13">
        <f>'[1]ALIM-IMP'!H34</f>
        <v>187.00000000000003</v>
      </c>
      <c r="L37" s="14">
        <f>'[1]ALIM-IMP'!G34</f>
        <v>39600</v>
      </c>
      <c r="M37" s="15">
        <f t="shared" si="0"/>
        <v>7405200.0000000009</v>
      </c>
    </row>
    <row r="38" spans="1:13" ht="39.950000000000003" customHeight="1" thickBot="1" x14ac:dyDescent="0.25">
      <c r="A38" s="16">
        <v>27</v>
      </c>
      <c r="B38" s="9" t="str">
        <f>'[1]ALIM-IMP'!B35</f>
        <v>2.1.1-514.2</v>
      </c>
      <c r="C38" s="24" t="str">
        <f>'[1]ALIM-IMP'!E35</f>
        <v>SAL DE MESA; CONSISTENCIA: FINA, PESO: 500 GR, TIPO: SIN VALOR, ENVASE: PAQUETE</v>
      </c>
      <c r="D38" s="24"/>
      <c r="E38" s="24"/>
      <c r="F38" s="24"/>
      <c r="G38" s="24"/>
      <c r="H38" s="10" t="s">
        <v>24</v>
      </c>
      <c r="I38" s="11" t="s">
        <v>20</v>
      </c>
      <c r="J38" s="12" t="str">
        <f>'[1]ALIM-IMP'!F35</f>
        <v>PAQUETE</v>
      </c>
      <c r="K38" s="13">
        <f>'[1]ALIM-IMP'!H35</f>
        <v>55.000000000000007</v>
      </c>
      <c r="L38" s="14">
        <f>'[1]ALIM-IMP'!G35</f>
        <v>1320</v>
      </c>
      <c r="M38" s="15">
        <f t="shared" si="0"/>
        <v>72600.000000000015</v>
      </c>
    </row>
    <row r="39" spans="1:13" ht="39.950000000000003" customHeight="1" thickBot="1" x14ac:dyDescent="0.25">
      <c r="A39" s="16">
        <v>28</v>
      </c>
      <c r="B39" s="9" t="str">
        <f>'[1]ALIM-IMP'!B36</f>
        <v>2.1.1-514.15</v>
      </c>
      <c r="C39" s="24" t="str">
        <f>'[1]ALIM-IMP'!E36</f>
        <v>SAL DE MESA; CONSISTENCIA: GRUESA, ENVASE: BOLSA, PESO: 1 Kg, TIPO: SIN VALOR</v>
      </c>
      <c r="D39" s="24"/>
      <c r="E39" s="24"/>
      <c r="F39" s="24"/>
      <c r="G39" s="24"/>
      <c r="H39" s="10" t="s">
        <v>24</v>
      </c>
      <c r="I39" s="11" t="s">
        <v>20</v>
      </c>
      <c r="J39" s="12" t="str">
        <f>'[1]ALIM-IMP'!F36</f>
        <v>BOLSA</v>
      </c>
      <c r="K39" s="13">
        <f>'[1]ALIM-IMP'!H36</f>
        <v>66</v>
      </c>
      <c r="L39" s="14">
        <f>'[1]ALIM-IMP'!G36</f>
        <v>708</v>
      </c>
      <c r="M39" s="15">
        <f t="shared" si="0"/>
        <v>46728</v>
      </c>
    </row>
    <row r="40" spans="1:13" ht="39.950000000000003" customHeight="1" thickBot="1" x14ac:dyDescent="0.25">
      <c r="A40" s="16">
        <v>29</v>
      </c>
      <c r="B40" s="9" t="str">
        <f>'[1]ALIM-IMP'!B37</f>
        <v>2.1.1-489.9</v>
      </c>
      <c r="C40" s="24" t="str">
        <f>'[1]ALIM-IMP'!E37</f>
        <v>ESPECIAS; TIPO: AZAFRAN, PRESENTACION: POLVO</v>
      </c>
      <c r="D40" s="24"/>
      <c r="E40" s="24"/>
      <c r="F40" s="24"/>
      <c r="G40" s="24"/>
      <c r="H40" s="10" t="s">
        <v>24</v>
      </c>
      <c r="I40" s="11" t="s">
        <v>20</v>
      </c>
      <c r="J40" s="12" t="str">
        <f>'[1]ALIM-IMP'!F37</f>
        <v>BOLSA</v>
      </c>
      <c r="K40" s="13">
        <f>'[1]ALIM-IMP'!H37</f>
        <v>495.00000000000006</v>
      </c>
      <c r="L40" s="14">
        <f>'[1]ALIM-IMP'!G37</f>
        <v>708</v>
      </c>
      <c r="M40" s="15">
        <f t="shared" si="0"/>
        <v>350460.00000000006</v>
      </c>
    </row>
    <row r="41" spans="1:13" ht="39.950000000000003" customHeight="1" thickBot="1" x14ac:dyDescent="0.25">
      <c r="A41" s="16">
        <v>30</v>
      </c>
      <c r="B41" s="9" t="str">
        <f>'[1]ALIM-IMP'!B38</f>
        <v>2.1.1-6546.124</v>
      </c>
      <c r="C41" s="24" t="str">
        <f>'[1]ALIM-IMP'!E38</f>
        <v>VERDURAS Y HORTALIZAS; PESO: SIN VALOR, VARIEDAD: REMOLACHA, ESTADO: NATURAL, PRESENTACION: GRANEL</v>
      </c>
      <c r="D41" s="24"/>
      <c r="E41" s="24"/>
      <c r="F41" s="24"/>
      <c r="G41" s="24"/>
      <c r="H41" s="10" t="s">
        <v>24</v>
      </c>
      <c r="I41" s="11" t="s">
        <v>20</v>
      </c>
      <c r="J41" s="12" t="str">
        <f>'[1]ALIM-IMP'!F38</f>
        <v>ATADO</v>
      </c>
      <c r="K41" s="17">
        <f>'[1]ALIM-IMP'!H38</f>
        <v>198.00000000000003</v>
      </c>
      <c r="L41" s="18">
        <f>'[1]ALIM-IMP'!G38</f>
        <v>2640</v>
      </c>
      <c r="M41" s="19">
        <f t="shared" si="0"/>
        <v>522720.00000000006</v>
      </c>
    </row>
    <row r="42" spans="1:13" ht="39.950000000000003" customHeight="1" thickBot="1" x14ac:dyDescent="0.25">
      <c r="A42" s="16">
        <v>31</v>
      </c>
      <c r="B42" s="9" t="str">
        <f>'[1]ALIM-IMP'!B39</f>
        <v>2.1.1-6539.8</v>
      </c>
      <c r="C42" s="24" t="str">
        <f>'[1]ALIM-IMP'!E39</f>
        <v>FRUTAS; VARIEDAD: NARANJA ESPECIAL, ESTADO: NATURAL, PRESENTACION: CAJON, PESO: SIN VALOR</v>
      </c>
      <c r="D42" s="24"/>
      <c r="E42" s="24"/>
      <c r="F42" s="24"/>
      <c r="G42" s="24"/>
      <c r="H42" s="10" t="s">
        <v>24</v>
      </c>
      <c r="I42" s="11" t="s">
        <v>20</v>
      </c>
      <c r="J42" s="12" t="str">
        <f>'[1]ALIM-IMP'!F39</f>
        <v>CAJON</v>
      </c>
      <c r="K42" s="17">
        <f>'[1]ALIM-IMP'!H39</f>
        <v>3080.0000000000005</v>
      </c>
      <c r="L42" s="18">
        <f>'[1]ALIM-IMP'!G39</f>
        <v>384</v>
      </c>
      <c r="M42" s="19">
        <f t="shared" si="0"/>
        <v>1182720.0000000002</v>
      </c>
    </row>
    <row r="43" spans="1:13" ht="39.950000000000003" customHeight="1" thickBot="1" x14ac:dyDescent="0.25">
      <c r="A43" s="16">
        <v>32</v>
      </c>
      <c r="B43" s="9" t="str">
        <f>'[1]ALIM-IMP'!B40</f>
        <v>2.1.1-6539.19</v>
      </c>
      <c r="C43" s="24" t="str">
        <f>'[1]ALIM-IMP'!E40</f>
        <v>FRUTAS; ESTADO: NATURAL, VARIEDAD: MANZANA RED ELEGIDA, PRESENTACION: CAJON, PESO: SIN VALOR</v>
      </c>
      <c r="D43" s="24"/>
      <c r="E43" s="24"/>
      <c r="F43" s="24"/>
      <c r="G43" s="24"/>
      <c r="H43" s="10" t="s">
        <v>24</v>
      </c>
      <c r="I43" s="11" t="s">
        <v>20</v>
      </c>
      <c r="J43" s="12" t="str">
        <f>'[1]ALIM-IMP'!F40</f>
        <v>CAJON</v>
      </c>
      <c r="K43" s="17">
        <f>'[1]ALIM-IMP'!H40</f>
        <v>4565</v>
      </c>
      <c r="L43" s="18">
        <f>'[1]ALIM-IMP'!G40</f>
        <v>342</v>
      </c>
      <c r="M43" s="19">
        <f t="shared" si="0"/>
        <v>1561230</v>
      </c>
    </row>
    <row r="44" spans="1:13" ht="39.950000000000003" customHeight="1" thickBot="1" x14ac:dyDescent="0.25">
      <c r="A44" s="16">
        <v>33</v>
      </c>
      <c r="B44" s="9" t="str">
        <f>'[1]ALIM-IMP'!B41</f>
        <v>2.1.1-6539.30</v>
      </c>
      <c r="C44" s="24" t="str">
        <f>'[1]ALIM-IMP'!E41</f>
        <v>FRUTAS; VARIEDAD: BANANA, PRESENTACION: CAJON, ESTADO: NATURAL, PESO: SIN VALOR</v>
      </c>
      <c r="D44" s="24"/>
      <c r="E44" s="24"/>
      <c r="F44" s="24"/>
      <c r="G44" s="24"/>
      <c r="H44" s="10" t="s">
        <v>24</v>
      </c>
      <c r="I44" s="11" t="s">
        <v>20</v>
      </c>
      <c r="J44" s="12" t="str">
        <f>'[1]ALIM-IMP'!F41</f>
        <v>CAJON</v>
      </c>
      <c r="K44" s="17">
        <f>'[1]ALIM-IMP'!H41</f>
        <v>3520.0000000000005</v>
      </c>
      <c r="L44" s="18">
        <f>'[1]ALIM-IMP'!G41</f>
        <v>342</v>
      </c>
      <c r="M44" s="19">
        <f t="shared" si="0"/>
        <v>1203840.0000000002</v>
      </c>
    </row>
    <row r="45" spans="1:13" ht="39.950000000000003" customHeight="1" thickBot="1" x14ac:dyDescent="0.25">
      <c r="A45" s="16">
        <v>34</v>
      </c>
      <c r="B45" s="9" t="str">
        <f>'[1]ALIM-IMP'!B42</f>
        <v>2.1.1-6539.32</v>
      </c>
      <c r="C45" s="24" t="str">
        <f>'[1]ALIM-IMP'!E42</f>
        <v>FRUTAS; VARIEDAD: PERA AMARILLA, ESTADO: NATURAL, PRESENTACION: CAJON, PESO: SIN VALOR</v>
      </c>
      <c r="D45" s="24"/>
      <c r="E45" s="24"/>
      <c r="F45" s="24"/>
      <c r="G45" s="24"/>
      <c r="H45" s="10" t="s">
        <v>24</v>
      </c>
      <c r="I45" s="11" t="s">
        <v>20</v>
      </c>
      <c r="J45" s="12" t="str">
        <f>'[1]ALIM-IMP'!F42</f>
        <v>CAJON</v>
      </c>
      <c r="K45" s="17">
        <f>'[1]ALIM-IMP'!H42</f>
        <v>4180</v>
      </c>
      <c r="L45" s="18">
        <f>'[1]ALIM-IMP'!G42</f>
        <v>318</v>
      </c>
      <c r="M45" s="19">
        <f t="shared" si="0"/>
        <v>1329240</v>
      </c>
    </row>
    <row r="46" spans="1:13" ht="30" customHeight="1" thickBot="1" x14ac:dyDescent="0.25">
      <c r="A46" s="20" t="s">
        <v>21</v>
      </c>
      <c r="B46" s="20"/>
      <c r="C46" s="20"/>
      <c r="D46" s="20"/>
      <c r="E46" s="20"/>
      <c r="F46" s="20"/>
      <c r="G46" s="20"/>
      <c r="H46" s="20"/>
      <c r="I46" s="20"/>
      <c r="J46" s="20"/>
      <c r="K46" s="21">
        <f>SUM(M12:M45)</f>
        <v>70889082</v>
      </c>
      <c r="L46" s="22"/>
      <c r="M46" s="23"/>
    </row>
  </sheetData>
  <mergeCells count="58">
    <mergeCell ref="A5:C5"/>
    <mergeCell ref="D5:L5"/>
    <mergeCell ref="H10:H11"/>
    <mergeCell ref="A1:J1"/>
    <mergeCell ref="A3:C3"/>
    <mergeCell ref="D3:L3"/>
    <mergeCell ref="A4:C4"/>
    <mergeCell ref="D4:L4"/>
    <mergeCell ref="A6:C6"/>
    <mergeCell ref="D6:L6"/>
    <mergeCell ref="A7:C7"/>
    <mergeCell ref="D7:L7"/>
    <mergeCell ref="A8:C8"/>
    <mergeCell ref="D8:L8"/>
    <mergeCell ref="C15:G15"/>
    <mergeCell ref="A10:A11"/>
    <mergeCell ref="B10:B11"/>
    <mergeCell ref="C10:G11"/>
    <mergeCell ref="I10:I11"/>
    <mergeCell ref="L10:L11"/>
    <mergeCell ref="M10:M11"/>
    <mergeCell ref="C12:G12"/>
    <mergeCell ref="C13:G13"/>
    <mergeCell ref="C14:G14"/>
    <mergeCell ref="J10:J11"/>
    <mergeCell ref="K10:K11"/>
    <mergeCell ref="C27:G27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39:G39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A46:J46"/>
    <mergeCell ref="K46:M46"/>
    <mergeCell ref="C40:G40"/>
    <mergeCell ref="C41:G41"/>
    <mergeCell ref="C42:G42"/>
    <mergeCell ref="C43:G43"/>
    <mergeCell ref="C44:G44"/>
    <mergeCell ref="C45:G45"/>
  </mergeCells>
  <printOptions horizontalCentered="1"/>
  <pageMargins left="0.2" right="0.19685039370078741" top="0.23622047244094491" bottom="0.27559055118110237" header="0.19685039370078741" footer="0.15748031496062992"/>
  <pageSetup paperSize="7" scale="65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 NotaPedido</vt:lpstr>
      <vt:lpstr>' NotaPedido'!Área_de_impresión</vt:lpstr>
      <vt:lpstr>' NotaPedido'!Títulos_a_imprimir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2022-02-15T16:08:50Z</dcterms:created>
  <dcterms:modified xsi:type="dcterms:W3CDTF">2022-02-15T16:12:31Z</dcterms:modified>
</cp:coreProperties>
</file>