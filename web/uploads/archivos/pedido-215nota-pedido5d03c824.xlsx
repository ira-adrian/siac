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3901"/>
  <workbookPr defaultThemeVersion="124226"/>
  <mc:AlternateContent xmlns:mc="http://schemas.openxmlformats.org/markup-compatibility/2006">
    <mc:Choice Requires="x15">
      <x15ac:absPath xmlns:x15ac="http://schemas.microsoft.com/office/spreadsheetml/2010/11/ac" url="C:\Users\COMPRAS\Downloads\"/>
    </mc:Choice>
  </mc:AlternateContent>
  <xr:revisionPtr revIDLastSave="0" documentId="8_{1F60D8AA-1AE1-4EDA-A249-01CDDE9A5994}" xr6:coauthVersionLast="46" xr6:coauthVersionMax="46" xr10:uidLastSave="{00000000-0000-0000-0000-000000000000}"/>
  <bookViews>
    <workbookView xWindow="-120" yWindow="-120" windowWidth="29040" windowHeight="15840" tabRatio="500" activeTab="1" xr2:uid="{00000000-000D-0000-FFFF-FFFF00000000}"/>
  </bookViews>
  <sheets>
    <sheet name="Necesidades Trimestrales (2)" sheetId="3" r:id="rId1"/>
    <sheet name="NP" sheetId="5" r:id="rId2"/>
    <sheet name="APG" sheetId="4" r:id="rId3"/>
  </sheets>
  <definedNames>
    <definedName name="_xlnm._FilterDatabase" localSheetId="0" hidden="1">'Necesidades Trimestrales (2)'!$A$9:$AU$15</definedName>
  </definedNames>
  <calcPr calcId="181029"/>
</workbook>
</file>

<file path=xl/calcChain.xml><?xml version="1.0" encoding="utf-8"?>
<calcChain xmlns="http://schemas.openxmlformats.org/spreadsheetml/2006/main">
  <c r="G4" i="4" l="1"/>
  <c r="G5" i="4"/>
  <c r="A26" i="4" l="1"/>
  <c r="G7" i="4"/>
  <c r="G6" i="4"/>
  <c r="J12" i="5"/>
  <c r="J14" i="5"/>
  <c r="J16" i="5"/>
  <c r="J15" i="5"/>
  <c r="J13" i="5"/>
  <c r="I12" i="5"/>
  <c r="I14" i="5"/>
  <c r="I16" i="5"/>
  <c r="I15" i="5"/>
  <c r="I13" i="5"/>
  <c r="C12" i="5"/>
  <c r="C14" i="5"/>
  <c r="C16" i="5"/>
  <c r="C15" i="5"/>
  <c r="C13" i="5"/>
  <c r="AS10" i="3" l="1"/>
  <c r="AS12" i="3"/>
  <c r="AS14" i="3"/>
  <c r="AS13" i="3"/>
  <c r="T10" i="3"/>
  <c r="T12" i="3"/>
  <c r="T14" i="3"/>
  <c r="T13" i="3"/>
  <c r="AS11" i="3"/>
  <c r="T11" i="3"/>
  <c r="AU11" i="3" l="1"/>
  <c r="K13" i="5"/>
  <c r="AU10" i="3"/>
  <c r="K12" i="5"/>
  <c r="AU14" i="3"/>
  <c r="K16" i="5"/>
  <c r="AU12" i="3"/>
  <c r="K14" i="5"/>
  <c r="AU13" i="3"/>
  <c r="K15" i="5"/>
  <c r="M13" i="5" l="1"/>
  <c r="M18" i="5" s="1"/>
  <c r="L13" i="5"/>
  <c r="M16" i="5"/>
  <c r="L16" i="5"/>
  <c r="M15" i="5"/>
  <c r="L15" i="5"/>
  <c r="M12" i="5"/>
  <c r="L12" i="5"/>
  <c r="J18" i="5" s="1"/>
  <c r="M14" i="5"/>
  <c r="L14" i="5"/>
  <c r="AU15" i="3"/>
  <c r="Q15" i="4" s="1"/>
  <c r="Q23" i="4"/>
</calcChain>
</file>

<file path=xl/sharedStrings.xml><?xml version="1.0" encoding="utf-8"?>
<sst xmlns="http://schemas.openxmlformats.org/spreadsheetml/2006/main" count="140" uniqueCount="122">
  <si>
    <t>JURISDICCION:</t>
  </si>
  <si>
    <t xml:space="preserve">SAF N°: </t>
  </si>
  <si>
    <t>EJERCICIO:</t>
  </si>
  <si>
    <t>TRIMESTRE:</t>
  </si>
  <si>
    <t>ID</t>
  </si>
  <si>
    <t>CODIGO ITEM</t>
  </si>
  <si>
    <t>RUBRO DE COMPRA</t>
  </si>
  <si>
    <t xml:space="preserve">I.P.P. </t>
  </si>
  <si>
    <t>DESCRIPCION</t>
  </si>
  <si>
    <t>UNIDAD DE MEDIDA</t>
  </si>
  <si>
    <t>PRECIO UNITARIO ESTIMADO</t>
  </si>
  <si>
    <t xml:space="preserve">IMPORTE TOTAL ESTIMADO </t>
  </si>
  <si>
    <t>UNIDAD</t>
  </si>
  <si>
    <t>40 - MINISTERIO DE SALUD</t>
  </si>
  <si>
    <t>Pedido de Necesidades Trimestrales</t>
  </si>
  <si>
    <t>CANTIDAD TOTAL</t>
  </si>
  <si>
    <t>DIR. LAB. CENTRAL</t>
  </si>
  <si>
    <t>TOTAL DE LAB CENTRAL</t>
  </si>
  <si>
    <t xml:space="preserve">BCO DE SANGRE </t>
  </si>
  <si>
    <t xml:space="preserve">TOTAL BANCO DE SANGRE </t>
  </si>
  <si>
    <t>ESPECIFICACIONES TECNICAS</t>
  </si>
  <si>
    <t>ATENCION PRIMARIA</t>
  </si>
  <si>
    <t>TOTAL ATENCION PRI</t>
  </si>
  <si>
    <t xml:space="preserve">DIR DE CANCER </t>
  </si>
  <si>
    <t>TOTAL DE DIR DE CANCER</t>
  </si>
  <si>
    <t>FARMACIA</t>
  </si>
  <si>
    <t>TOTAL FARMACIA</t>
  </si>
  <si>
    <t>ODONTOLOGIA</t>
  </si>
  <si>
    <t>TOTAL DE ODONTOLOG</t>
  </si>
  <si>
    <t>SAME</t>
  </si>
  <si>
    <t>TOTAL DE SAME</t>
  </si>
  <si>
    <t>MALBRAN</t>
  </si>
  <si>
    <t>HOSPITAL MALBRAN</t>
  </si>
  <si>
    <t>maternidade e infancia</t>
  </si>
  <si>
    <t xml:space="preserve">total maternidad </t>
  </si>
  <si>
    <t>SEC DE ASIST EN SALUD PUB</t>
  </si>
  <si>
    <t>TOTAL SEC EN ASIS EN SAL</t>
  </si>
  <si>
    <t>SALUD Y MEDIO AMBIENTE</t>
  </si>
  <si>
    <t>TOTAL SALUD Y MEDIO AMBIENTE</t>
  </si>
  <si>
    <t>VECTORES Y ZOONOSIS</t>
  </si>
  <si>
    <t>TOTAL DE VECT Y ZOON</t>
  </si>
  <si>
    <t>SUMAR</t>
  </si>
  <si>
    <t xml:space="preserve">TOTAL SUMAR </t>
  </si>
  <si>
    <t>CUR</t>
  </si>
  <si>
    <t>TOTAL CUR</t>
  </si>
  <si>
    <t>PLANIFICACION</t>
  </si>
  <si>
    <t>TOTAL PLANIFICA</t>
  </si>
  <si>
    <t>SALUD MENTAL</t>
  </si>
  <si>
    <t>TOTAL SALUD MENTAL</t>
  </si>
  <si>
    <t>AREAS Y DPAS</t>
  </si>
  <si>
    <t>TOTAL DPAS</t>
  </si>
  <si>
    <t>PROD. MEDICO/FARMACEUTICOS/LAB</t>
  </si>
  <si>
    <t>GLIBENCLAMIDA 5 MG COMPRIMIDO</t>
  </si>
  <si>
    <t>METFORMINA 850 MG COMPRIMIDO</t>
  </si>
  <si>
    <t>METFORMINA 500 MG COMPRIMIDO</t>
  </si>
  <si>
    <t xml:space="preserve">TOTAL DE INSULINA </t>
  </si>
  <si>
    <t>INSULINA NPH HUMANA 100 UI JERINGA PRELLENADA TIPO INSULATARD FLEX PEND</t>
  </si>
  <si>
    <t>INSULINA ASPARTICA 100 UI  JERINGA PRE LLENADA</t>
  </si>
  <si>
    <t>SEC PREV</t>
  </si>
  <si>
    <t>TOTAL SEC PREVEN</t>
  </si>
  <si>
    <t>DIR DE ADM</t>
  </si>
  <si>
    <t>TOTAL DIR ADM</t>
  </si>
  <si>
    <t>NOTA DE PEDIDO</t>
  </si>
  <si>
    <t>N°</t>
  </si>
  <si>
    <t xml:space="preserve">JURISDICCIÓN: </t>
  </si>
  <si>
    <t>040 - Ministerio de Salud</t>
  </si>
  <si>
    <t>SAF:</t>
  </si>
  <si>
    <t>011 - Direccion Provincial de Administración - Ministerio de Salud</t>
  </si>
  <si>
    <t>UNIDAD EJECUTORA:</t>
  </si>
  <si>
    <t xml:space="preserve">DEPENDENCIA SOLICITANTE: </t>
  </si>
  <si>
    <t>PERIODO UTILIZACIÓN:</t>
  </si>
  <si>
    <t>OBJETO:</t>
  </si>
  <si>
    <t>Ítem</t>
  </si>
  <si>
    <t>Codigo Item</t>
  </si>
  <si>
    <t>DESCRIPCIÓN</t>
  </si>
  <si>
    <t>Adjunta Detalle Técnico</t>
  </si>
  <si>
    <t>Unidad Medida</t>
  </si>
  <si>
    <t>Precio Unitario Estimado</t>
  </si>
  <si>
    <t>Cantidad Solicitada</t>
  </si>
  <si>
    <t>AUTORIZACION PARA GASTAR</t>
  </si>
  <si>
    <t>JURISDICCIÓN:</t>
  </si>
  <si>
    <r>
      <rPr>
        <b/>
        <u/>
        <sz val="10"/>
        <rFont val="Arial"/>
        <family val="2"/>
        <charset val="1"/>
      </rPr>
      <t>AUTORIZACIÓN</t>
    </r>
    <r>
      <rPr>
        <b/>
        <sz val="10"/>
        <rFont val="Arial"/>
        <family val="2"/>
        <charset val="1"/>
      </rPr>
      <t>:</t>
    </r>
  </si>
  <si>
    <t>Señor Jefe de Servicio Administrativo Financiero:</t>
  </si>
  <si>
    <t>IMPUTACIÓN PRESUPUESTARIA</t>
  </si>
  <si>
    <t>CÓDIGO</t>
  </si>
  <si>
    <t xml:space="preserve"> DENOMINACIÓN DE LA PARTIDA PRESUPUESTARIA</t>
  </si>
  <si>
    <t>IMPORTE</t>
  </si>
  <si>
    <t>PR</t>
  </si>
  <si>
    <t>SB</t>
  </si>
  <si>
    <t>PY</t>
  </si>
  <si>
    <t>AC</t>
  </si>
  <si>
    <t>OB</t>
  </si>
  <si>
    <t>UG</t>
  </si>
  <si>
    <t>FIN</t>
  </si>
  <si>
    <t>FUN</t>
  </si>
  <si>
    <t>I</t>
  </si>
  <si>
    <t>P</t>
  </si>
  <si>
    <t>SubP</t>
  </si>
  <si>
    <t>M</t>
  </si>
  <si>
    <t>FF</t>
  </si>
  <si>
    <t>1.1</t>
  </si>
  <si>
    <t>Productos Farmacéuticos y Medicinales</t>
  </si>
  <si>
    <t>JUSTIFICACIÓN:</t>
  </si>
  <si>
    <t>11 - DIRECCION PROVINCIAL DE ADMINISTRACION - MINISTERIO DE SALUD</t>
  </si>
  <si>
    <t>DETALLE TECNICO Y ESPECIFICACIONES</t>
  </si>
  <si>
    <t>Plazos de entrega</t>
  </si>
  <si>
    <t>veinte (20) dias corridos</t>
  </si>
  <si>
    <t>Lugar de Entrega:</t>
  </si>
  <si>
    <t>DIR. PROV. DE FARMACIA E INSUMOS - CHACABUCO N° 169 - en el horario de 8:00hs a 12:00hs de lunes a viernes</t>
  </si>
  <si>
    <t>Calidad Minima esperada</t>
  </si>
  <si>
    <t>Mantenimiento</t>
  </si>
  <si>
    <t>cuarenta y cinco (45) días</t>
  </si>
  <si>
    <t>469 - DIRECCION PROVINCIAL DE FARMACIA E INSUMOS</t>
  </si>
  <si>
    <t>Adquisicion del  RUBRO INSULINAS</t>
  </si>
  <si>
    <t>TERCER TRIMESTRE</t>
  </si>
  <si>
    <t>3° TRIMESTRE 2021</t>
  </si>
  <si>
    <t>_37/21</t>
  </si>
  <si>
    <t>Autorizo la realización de los  trámites correspondientes, a fin de proveer a  este Organismo los bienes que se detallan en Nota de pedido y Entrega N° 37/2021,  afectando la erogación resultante a los créditos presupuestarios aprobados a favor de esta Unidad Ejecutora, conforme al siguiente detalle:</t>
  </si>
  <si>
    <t>NO</t>
  </si>
  <si>
    <t>Costo total estimado: SEIS MILLONES OCHOCIENTOS DIECISEIS MIL TRESCIENTOS DIEZ con 00/100</t>
  </si>
  <si>
    <t>TOTAL DE PESOS:  SEIS MILLONES OCHOCIENTOS DIECISEIS MIL TRESCIENTOS DIEZ con 00/100</t>
  </si>
  <si>
    <t>ANEXO
1-Para oferentes de la Provincia de Catamarca deberán presentar Habilitación Provincial para comercializar el producto que cotizan.
2-Para el resto de oferentes deberán presentar Certificado de Inscripción de ANMAT vigente al momento de la oferta, el mismo deberá ser correspondiente al objeto de la contratación y de encontrarse vencido adjuntar la solicitud de renovación.
3-No se aceptarán ofertas de productos no registrados y autorizada su venta por ANMAT. Se deberá especificar en cada ítem de la propuesta, marca y número de certificado otorgado por dicho ente regulador.
4-Los productos deberán tener un vencimiento posterior a doce (12) meses a partir de la fecha de su recepción.                                                                              5- En el caso de Medicamentos cuya forma farmaceutica Oral sea Comprimidos , y / o capsulas la presentacion del envase primario es decir los blister deberan contener la minima cantidad de comprimidos para poder realizar la administracion a pacientes ambulatorios, de acuerdo al tratamiento prescripto y considerando que se deben administrar blister completos .Podra ser el envase secundario de mayor tamaño sin probl ema, es decir una caja puede tener 100 comprimidos en blister de 10 comprimidos.-Existe la excepcion de algunos medicamentos que solo tienen una presentacion , que por supuesto debe ser esa.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</si>
</sst>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 #,##0.00_-;\-&quot;$&quot;\ * #,##0.00_-;_-&quot;$&quot;\ * &quot;-&quot;??_-;_-@_-"/>
    <numFmt numFmtId="43" formatCode="_-* #,##0.00_-;\-* #,##0.00_-;_-* &quot;-&quot;??_-;_-@_-"/>
    <numFmt numFmtId="164" formatCode="_ &quot;$&quot;\ * #,##0.00_ ;_ &quot;$&quot;\ * \-#,##0.00_ ;_ &quot;$&quot;\ * &quot;-&quot;??_ ;_ @_ "/>
    <numFmt numFmtId="165" formatCode="_-* #,##0.00&quot; €&quot;_-;\-* #,##0.00&quot; €&quot;_-;_-* \-??&quot; €&quot;_-;_-@_-"/>
    <numFmt numFmtId="166" formatCode="_-[$$-2C0A]\ * #,##0.00_-;\-[$$-2C0A]\ * #,##0.00_-;_-[$$-2C0A]\ * &quot;-&quot;??_-;_-@_-"/>
    <numFmt numFmtId="167" formatCode="[$$-2C0A]\ #,##0.00;[$$-2C0A]&quot; -&quot;#,##0.00"/>
    <numFmt numFmtId="168" formatCode="[$$-2C0A]\ #,##0.00"/>
    <numFmt numFmtId="169" formatCode="&quot;$&quot;\ #,##0.00"/>
    <numFmt numFmtId="170" formatCode="dd\-mm\-yy;@"/>
    <numFmt numFmtId="171" formatCode="_(\$* #,##0.00_);_(\$* \(#,##0.00\);_(\$* \-??_);_(@_)"/>
    <numFmt numFmtId="172" formatCode="#,##0.00_ ;\-#,##0.00\ "/>
  </numFmts>
  <fonts count="35" x14ac:knownFonts="1">
    <font>
      <sz val="10"/>
      <name val="Arial"/>
      <charset val="1"/>
    </font>
    <font>
      <sz val="11"/>
      <color theme="1"/>
      <name val="Calibri"/>
      <family val="2"/>
      <scheme val="minor"/>
    </font>
    <font>
      <sz val="11"/>
      <color theme="1"/>
      <name val="Calibri"/>
      <family val="2"/>
      <scheme val="minor"/>
    </font>
    <font>
      <sz val="11"/>
      <color theme="1"/>
      <name val="Calibri"/>
      <family val="2"/>
      <scheme val="minor"/>
    </font>
    <font>
      <b/>
      <sz val="15"/>
      <color rgb="FF666699"/>
      <name val="Calibri"/>
      <family val="2"/>
      <charset val="1"/>
    </font>
    <font>
      <sz val="11"/>
      <color rgb="FF993300"/>
      <name val="Calibri"/>
      <family val="2"/>
      <charset val="1"/>
    </font>
    <font>
      <sz val="10"/>
      <name val="Arial"/>
      <family val="2"/>
    </font>
    <font>
      <sz val="10"/>
      <name val="Times New Roman"/>
      <family val="1"/>
    </font>
    <font>
      <b/>
      <sz val="11"/>
      <color rgb="FF000000"/>
      <name val="Times New Roman"/>
      <family val="1"/>
    </font>
    <font>
      <sz val="10"/>
      <color rgb="FF000000"/>
      <name val="Times New Roman"/>
      <family val="1"/>
    </font>
    <font>
      <b/>
      <sz val="10"/>
      <color rgb="FF000000"/>
      <name val="Times New Roman"/>
      <family val="1"/>
    </font>
    <font>
      <b/>
      <sz val="12"/>
      <color rgb="FF000000"/>
      <name val="Times New Roman"/>
      <family val="1"/>
    </font>
    <font>
      <sz val="10"/>
      <name val="Arial"/>
      <family val="2"/>
    </font>
    <font>
      <sz val="11"/>
      <name val="Arial"/>
      <family val="2"/>
    </font>
    <font>
      <b/>
      <sz val="20"/>
      <name val="Times New Roman"/>
      <family val="1"/>
    </font>
    <font>
      <sz val="11"/>
      <name val="Times New Roman"/>
      <family val="1"/>
    </font>
    <font>
      <sz val="11"/>
      <color rgb="FF000000"/>
      <name val="Times New Roman"/>
      <family val="1"/>
    </font>
    <font>
      <b/>
      <sz val="11"/>
      <color theme="1"/>
      <name val="Times New Roman"/>
      <family val="1"/>
    </font>
    <font>
      <sz val="11"/>
      <color theme="1"/>
      <name val="Times New Roman"/>
      <family val="1"/>
    </font>
    <font>
      <b/>
      <sz val="11"/>
      <name val="Times New Roman"/>
      <family val="1"/>
    </font>
    <font>
      <b/>
      <sz val="11"/>
      <color rgb="FFFF0000"/>
      <name val="Times New Roman"/>
      <family val="1"/>
    </font>
    <font>
      <sz val="11"/>
      <color rgb="FFFF0000"/>
      <name val="Times New Roman"/>
      <family val="1"/>
    </font>
    <font>
      <b/>
      <u/>
      <sz val="12"/>
      <name val="Times New Roman"/>
      <family val="1"/>
      <charset val="1"/>
    </font>
    <font>
      <b/>
      <sz val="12"/>
      <name val="Times New Roman"/>
      <family val="1"/>
      <charset val="1"/>
    </font>
    <font>
      <sz val="10"/>
      <color theme="0"/>
      <name val="Arial"/>
      <family val="2"/>
    </font>
    <font>
      <sz val="12"/>
      <name val="Times New Roman"/>
      <family val="1"/>
      <charset val="1"/>
    </font>
    <font>
      <b/>
      <sz val="11"/>
      <name val="Times New Roman"/>
      <family val="1"/>
      <charset val="1"/>
    </font>
    <font>
      <sz val="10"/>
      <name val="Times New Roman"/>
      <family val="1"/>
      <charset val="1"/>
    </font>
    <font>
      <sz val="10"/>
      <name val="Arial"/>
      <family val="2"/>
      <charset val="1"/>
    </font>
    <font>
      <b/>
      <sz val="10"/>
      <name val="Arial"/>
      <family val="2"/>
    </font>
    <font>
      <b/>
      <sz val="11"/>
      <name val="Arial"/>
      <family val="2"/>
      <charset val="1"/>
    </font>
    <font>
      <b/>
      <sz val="12"/>
      <name val="Arial"/>
      <family val="2"/>
      <charset val="1"/>
    </font>
    <font>
      <sz val="11"/>
      <name val="Arial"/>
      <family val="2"/>
      <charset val="1"/>
    </font>
    <font>
      <b/>
      <u/>
      <sz val="10"/>
      <name val="Arial"/>
      <family val="2"/>
      <charset val="1"/>
    </font>
    <font>
      <b/>
      <sz val="10"/>
      <name val="Arial"/>
      <family val="2"/>
      <charset val="1"/>
    </font>
  </fonts>
  <fills count="6">
    <fill>
      <patternFill patternType="none"/>
    </fill>
    <fill>
      <patternFill patternType="gray125"/>
    </fill>
    <fill>
      <patternFill patternType="solid">
        <fgColor rgb="FFFFFF99"/>
        <bgColor rgb="FFFFFFCC"/>
      </patternFill>
    </fill>
    <fill>
      <patternFill patternType="solid">
        <fgColor theme="0"/>
        <bgColor rgb="FFFFFF00"/>
      </patternFill>
    </fill>
    <fill>
      <patternFill patternType="solid">
        <fgColor theme="0"/>
        <bgColor indexed="64"/>
      </patternFill>
    </fill>
    <fill>
      <patternFill patternType="solid">
        <fgColor rgb="FFFFFF00"/>
        <bgColor indexed="64"/>
      </patternFill>
    </fill>
  </fills>
  <borders count="64">
    <border>
      <left/>
      <right/>
      <top/>
      <bottom/>
      <diagonal/>
    </border>
    <border>
      <left/>
      <right/>
      <top/>
      <bottom style="thick">
        <color rgb="FF33CCCC"/>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medium">
        <color indexed="64"/>
      </right>
      <top/>
      <bottom style="thin">
        <color auto="1"/>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auto="1"/>
      </top>
      <bottom style="thin">
        <color auto="1"/>
      </bottom>
      <diagonal/>
    </border>
    <border>
      <left/>
      <right style="thin">
        <color auto="1"/>
      </right>
      <top style="thin">
        <color auto="1"/>
      </top>
      <bottom style="thin">
        <color auto="1"/>
      </bottom>
      <diagonal/>
    </border>
    <border>
      <left/>
      <right style="medium">
        <color rgb="FF3D3D3D"/>
      </right>
      <top/>
      <bottom/>
      <diagonal/>
    </border>
    <border>
      <left style="medium">
        <color rgb="FF3D3D3D"/>
      </left>
      <right style="medium">
        <color rgb="FF3D3D3D"/>
      </right>
      <top style="medium">
        <color rgb="FF3D3D3D"/>
      </top>
      <bottom style="medium">
        <color rgb="FF3D3D3D"/>
      </bottom>
      <diagonal/>
    </border>
    <border>
      <left/>
      <right/>
      <top/>
      <bottom style="medium">
        <color rgb="FF3D3D3D"/>
      </bottom>
      <diagonal/>
    </border>
    <border>
      <left style="medium">
        <color rgb="FF3D3D3D"/>
      </left>
      <right/>
      <top style="medium">
        <color rgb="FF3D3D3D"/>
      </top>
      <bottom style="medium">
        <color rgb="FF3D3D3D"/>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rgb="FF3D3D3D"/>
      </left>
      <right/>
      <top style="medium">
        <color rgb="FF3D3D3D"/>
      </top>
      <bottom/>
      <diagonal/>
    </border>
    <border>
      <left style="medium">
        <color indexed="64"/>
      </left>
      <right style="medium">
        <color indexed="64"/>
      </right>
      <top style="medium">
        <color indexed="64"/>
      </top>
      <bottom style="medium">
        <color indexed="64"/>
      </bottom>
      <diagonal/>
    </border>
    <border>
      <left style="medium">
        <color auto="1"/>
      </left>
      <right style="medium">
        <color rgb="FF3D3D3D"/>
      </right>
      <top style="medium">
        <color auto="1"/>
      </top>
      <bottom style="medium">
        <color auto="1"/>
      </bottom>
      <diagonal/>
    </border>
    <border>
      <left style="medium">
        <color rgb="FF3D3D3D"/>
      </left>
      <right style="medium">
        <color auto="1"/>
      </right>
      <top style="medium">
        <color auto="1"/>
      </top>
      <bottom style="medium">
        <color auto="1"/>
      </bottom>
      <diagonal/>
    </border>
    <border>
      <left style="medium">
        <color rgb="FF3D3D3D"/>
      </left>
      <right style="medium">
        <color rgb="FF3D3D3D"/>
      </right>
      <top style="medium">
        <color auto="1"/>
      </top>
      <bottom style="medium">
        <color auto="1"/>
      </bottom>
      <diagonal/>
    </border>
    <border>
      <left style="medium">
        <color rgb="FF3D3D3D"/>
      </left>
      <right/>
      <top style="medium">
        <color indexed="64"/>
      </top>
      <bottom style="medium">
        <color indexed="64"/>
      </bottom>
      <diagonal/>
    </border>
    <border>
      <left style="medium">
        <color auto="1"/>
      </left>
      <right style="medium">
        <color auto="1"/>
      </right>
      <top/>
      <bottom style="thin">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top style="thin">
        <color auto="1"/>
      </top>
      <bottom/>
      <diagonal/>
    </border>
    <border>
      <left/>
      <right/>
      <top style="medium">
        <color rgb="FF3D3D3D"/>
      </top>
      <bottom style="medium">
        <color rgb="FF3D3D3D"/>
      </bottom>
      <diagonal/>
    </border>
    <border>
      <left/>
      <right style="medium">
        <color rgb="FF3D3D3D"/>
      </right>
      <top style="medium">
        <color rgb="FF3D3D3D"/>
      </top>
      <bottom style="medium">
        <color rgb="FF3D3D3D"/>
      </bottom>
      <diagonal/>
    </border>
    <border>
      <left style="medium">
        <color rgb="FF3D3D3D"/>
      </left>
      <right/>
      <top/>
      <bottom/>
      <diagonal/>
    </border>
    <border>
      <left style="medium">
        <color rgb="FF3D3D3D"/>
      </left>
      <right/>
      <top/>
      <bottom style="medium">
        <color rgb="FF3D3D3D"/>
      </bottom>
      <diagonal/>
    </border>
    <border>
      <left/>
      <right style="medium">
        <color rgb="FF3D3D3D"/>
      </right>
      <top/>
      <bottom style="medium">
        <color rgb="FF3D3D3D"/>
      </bottom>
      <diagonal/>
    </border>
    <border>
      <left style="medium">
        <color rgb="FF3D3D3D"/>
      </left>
      <right style="medium">
        <color rgb="FF3D3D3D"/>
      </right>
      <top style="medium">
        <color rgb="FF3D3D3D"/>
      </top>
      <bottom/>
      <diagonal/>
    </border>
    <border>
      <left/>
      <right style="medium">
        <color rgb="FF3D3D3D"/>
      </right>
      <top style="medium">
        <color rgb="FF3D3D3D"/>
      </top>
      <bottom/>
      <diagonal/>
    </border>
    <border>
      <left style="medium">
        <color rgb="FF3D3D3D"/>
      </left>
      <right style="thin">
        <color rgb="FF3D3D3D"/>
      </right>
      <top/>
      <bottom/>
      <diagonal/>
    </border>
    <border>
      <left style="thin">
        <color rgb="FF3D3D3D"/>
      </left>
      <right style="thin">
        <color rgb="FF3D3D3D"/>
      </right>
      <top/>
      <bottom/>
      <diagonal/>
    </border>
    <border>
      <left style="thin">
        <color rgb="FF3D3D3D"/>
      </left>
      <right/>
      <top/>
      <bottom/>
      <diagonal/>
    </border>
    <border>
      <left style="medium">
        <color rgb="FF3D3D3D"/>
      </left>
      <right style="medium">
        <color rgb="FF3D3D3D"/>
      </right>
      <top/>
      <bottom/>
      <diagonal/>
    </border>
    <border>
      <left style="medium">
        <color rgb="FF3D3D3D"/>
      </left>
      <right style="thin">
        <color rgb="FF3D3D3D"/>
      </right>
      <top style="medium">
        <color rgb="FF3D3D3D"/>
      </top>
      <bottom style="thin">
        <color rgb="FF3D3D3D"/>
      </bottom>
      <diagonal/>
    </border>
    <border>
      <left style="thin">
        <color rgb="FF3D3D3D"/>
      </left>
      <right style="thin">
        <color rgb="FF3D3D3D"/>
      </right>
      <top style="medium">
        <color rgb="FF3D3D3D"/>
      </top>
      <bottom style="thin">
        <color rgb="FF3D3D3D"/>
      </bottom>
      <diagonal/>
    </border>
    <border>
      <left style="thin">
        <color rgb="FF3D3D3D"/>
      </left>
      <right/>
      <top style="medium">
        <color rgb="FF3D3D3D"/>
      </top>
      <bottom style="thin">
        <color rgb="FF3D3D3D"/>
      </bottom>
      <diagonal/>
    </border>
    <border>
      <left style="thin">
        <color rgb="FF3D3D3D"/>
      </left>
      <right style="medium">
        <color rgb="FF3D3D3D"/>
      </right>
      <top style="medium">
        <color rgb="FF3D3D3D"/>
      </top>
      <bottom style="thin">
        <color rgb="FF3D3D3D"/>
      </bottom>
      <diagonal/>
    </border>
    <border>
      <left style="medium">
        <color rgb="FF3D3D3D"/>
      </left>
      <right style="thin">
        <color rgb="FF3D3D3D"/>
      </right>
      <top/>
      <bottom style="thin">
        <color rgb="FF3D3D3D"/>
      </bottom>
      <diagonal/>
    </border>
    <border>
      <left style="thin">
        <color rgb="FF3D3D3D"/>
      </left>
      <right style="thin">
        <color rgb="FF3D3D3D"/>
      </right>
      <top/>
      <bottom style="thin">
        <color rgb="FF3D3D3D"/>
      </bottom>
      <diagonal/>
    </border>
    <border>
      <left style="thin">
        <color rgb="FF3D3D3D"/>
      </left>
      <right/>
      <top/>
      <bottom style="thin">
        <color rgb="FF3D3D3D"/>
      </bottom>
      <diagonal/>
    </border>
    <border>
      <left style="thin">
        <color rgb="FF3D3D3D"/>
      </left>
      <right style="thin">
        <color rgb="FF3D3D3D"/>
      </right>
      <top style="thin">
        <color rgb="FF3D3D3D"/>
      </top>
      <bottom style="thin">
        <color rgb="FF3D3D3D"/>
      </bottom>
      <diagonal/>
    </border>
    <border>
      <left style="thin">
        <color rgb="FF3D3D3D"/>
      </left>
      <right style="medium">
        <color rgb="FF3D3D3D"/>
      </right>
      <top style="thin">
        <color rgb="FF3D3D3D"/>
      </top>
      <bottom style="thin">
        <color rgb="FF3D3D3D"/>
      </bottom>
      <diagonal/>
    </border>
    <border>
      <left style="medium">
        <color rgb="FF3D3D3D"/>
      </left>
      <right style="thin">
        <color rgb="FF3D3D3D"/>
      </right>
      <top style="thin">
        <color rgb="FF3D3D3D"/>
      </top>
      <bottom style="medium">
        <color rgb="FF3D3D3D"/>
      </bottom>
      <diagonal/>
    </border>
    <border>
      <left style="thin">
        <color rgb="FF3D3D3D"/>
      </left>
      <right style="thin">
        <color rgb="FF3D3D3D"/>
      </right>
      <top style="thin">
        <color rgb="FF3D3D3D"/>
      </top>
      <bottom style="medium">
        <color rgb="FF3D3D3D"/>
      </bottom>
      <diagonal/>
    </border>
    <border>
      <left style="thin">
        <color rgb="FF3D3D3D"/>
      </left>
      <right/>
      <top style="thin">
        <color rgb="FF3D3D3D"/>
      </top>
      <bottom style="medium">
        <color rgb="FF3D3D3D"/>
      </bottom>
      <diagonal/>
    </border>
    <border>
      <left style="thin">
        <color rgb="FF3D3D3D"/>
      </left>
      <right style="medium">
        <color rgb="FF3D3D3D"/>
      </right>
      <top style="thin">
        <color rgb="FF3D3D3D"/>
      </top>
      <bottom style="medium">
        <color rgb="FF3D3D3D"/>
      </bottom>
      <diagonal/>
    </border>
    <border>
      <left style="medium">
        <color rgb="FF3D3D3D"/>
      </left>
      <right style="medium">
        <color rgb="FF3D3D3D"/>
      </right>
      <top/>
      <bottom style="medium">
        <color rgb="FF3D3D3D"/>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auto="1"/>
      </left>
      <right/>
      <top style="medium">
        <color auto="1"/>
      </top>
      <bottom style="thin">
        <color auto="1"/>
      </bottom>
      <diagonal/>
    </border>
  </borders>
  <cellStyleXfs count="26">
    <xf numFmtId="0" fontId="0" fillId="0" borderId="0"/>
    <xf numFmtId="165" fontId="6" fillId="0" borderId="0" applyBorder="0" applyProtection="0"/>
    <xf numFmtId="0" fontId="4" fillId="0" borderId="1" applyProtection="0"/>
    <xf numFmtId="0" fontId="5" fillId="2" borderId="0" applyBorder="0" applyProtection="0"/>
    <xf numFmtId="0" fontId="12" fillId="0" borderId="0"/>
    <xf numFmtId="164" fontId="12" fillId="0" borderId="0" applyBorder="0" applyAlignment="0" applyProtection="0"/>
    <xf numFmtId="0" fontId="12" fillId="0" borderId="0"/>
    <xf numFmtId="0" fontId="12" fillId="0" borderId="0"/>
    <xf numFmtId="0" fontId="12" fillId="0" borderId="0"/>
    <xf numFmtId="0" fontId="3" fillId="0" borderId="0"/>
    <xf numFmtId="0" fontId="6" fillId="0" borderId="0"/>
    <xf numFmtId="165" fontId="6" fillId="0" borderId="0" applyBorder="0" applyProtection="0"/>
    <xf numFmtId="0" fontId="4" fillId="0" borderId="1" applyProtection="0"/>
    <xf numFmtId="0" fontId="6" fillId="0" borderId="0"/>
    <xf numFmtId="164" fontId="6" fillId="0" borderId="0" applyBorder="0" applyAlignment="0" applyProtection="0"/>
    <xf numFmtId="0" fontId="6" fillId="0" borderId="0"/>
    <xf numFmtId="0" fontId="6" fillId="0" borderId="0"/>
    <xf numFmtId="0" fontId="6" fillId="0" borderId="0"/>
    <xf numFmtId="0" fontId="2" fillId="0" borderId="0"/>
    <xf numFmtId="43" fontId="2" fillId="0" borderId="0" applyFont="0" applyFill="0" applyBorder="0" applyAlignment="0" applyProtection="0"/>
    <xf numFmtId="0" fontId="2" fillId="0" borderId="0"/>
    <xf numFmtId="165" fontId="6" fillId="0" borderId="0" applyBorder="0" applyProtection="0"/>
    <xf numFmtId="0" fontId="2" fillId="0" borderId="0"/>
    <xf numFmtId="0" fontId="2" fillId="0" borderId="0"/>
    <xf numFmtId="0" fontId="1" fillId="0" borderId="0"/>
    <xf numFmtId="171" fontId="28" fillId="0" borderId="0" applyBorder="0" applyProtection="0"/>
  </cellStyleXfs>
  <cellXfs count="209">
    <xf numFmtId="0" fontId="0" fillId="0" borderId="0" xfId="0"/>
    <xf numFmtId="0" fontId="7" fillId="0" borderId="0" xfId="0" applyFont="1"/>
    <xf numFmtId="0" fontId="9" fillId="0" borderId="0" xfId="0" applyFont="1" applyAlignment="1">
      <alignment horizontal="center" wrapText="1"/>
    </xf>
    <xf numFmtId="0" fontId="7" fillId="0" borderId="0" xfId="0" applyFont="1" applyAlignment="1">
      <alignment horizontal="center"/>
    </xf>
    <xf numFmtId="166" fontId="7" fillId="0" borderId="0" xfId="0" applyNumberFormat="1" applyFont="1" applyAlignment="1">
      <alignment horizontal="right" vertical="center"/>
    </xf>
    <xf numFmtId="3" fontId="13" fillId="4" borderId="2" xfId="0" applyNumberFormat="1" applyFont="1" applyFill="1" applyBorder="1" applyAlignment="1">
      <alignment horizontal="center" vertical="center" wrapText="1"/>
    </xf>
    <xf numFmtId="1" fontId="9" fillId="0" borderId="0" xfId="0" applyNumberFormat="1" applyFont="1" applyAlignment="1">
      <alignment horizontal="center" wrapText="1"/>
    </xf>
    <xf numFmtId="1" fontId="7" fillId="0" borderId="0" xfId="0" applyNumberFormat="1" applyFont="1" applyAlignment="1">
      <alignment horizontal="center"/>
    </xf>
    <xf numFmtId="169" fontId="7" fillId="0" borderId="0" xfId="0" applyNumberFormat="1" applyFont="1" applyAlignment="1">
      <alignment horizontal="center"/>
    </xf>
    <xf numFmtId="169" fontId="9" fillId="0" borderId="0" xfId="0" applyNumberFormat="1" applyFont="1" applyAlignment="1">
      <alignment horizontal="center" wrapText="1"/>
    </xf>
    <xf numFmtId="3" fontId="7" fillId="0" borderId="0" xfId="0" applyNumberFormat="1" applyFont="1" applyAlignment="1">
      <alignment horizontal="center"/>
    </xf>
    <xf numFmtId="3" fontId="9" fillId="0" borderId="0" xfId="0" applyNumberFormat="1" applyFont="1" applyAlignment="1">
      <alignment horizontal="center" wrapText="1"/>
    </xf>
    <xf numFmtId="3" fontId="7" fillId="0" borderId="0" xfId="0" applyNumberFormat="1" applyFont="1" applyAlignment="1">
      <alignment horizontal="center" vertical="center"/>
    </xf>
    <xf numFmtId="3" fontId="9" fillId="0" borderId="0" xfId="0" applyNumberFormat="1" applyFont="1" applyAlignment="1">
      <alignment horizontal="center" vertical="center" wrapText="1"/>
    </xf>
    <xf numFmtId="166" fontId="7" fillId="0" borderId="0" xfId="0" applyNumberFormat="1" applyFont="1" applyAlignment="1">
      <alignment vertical="center"/>
    </xf>
    <xf numFmtId="0" fontId="15" fillId="0" borderId="0" xfId="0" applyFont="1" applyAlignment="1">
      <alignment horizontal="center" wrapText="1"/>
    </xf>
    <xf numFmtId="0" fontId="7" fillId="0" borderId="0" xfId="0" applyFont="1" applyAlignment="1">
      <alignment horizontal="center" vertical="center"/>
    </xf>
    <xf numFmtId="0" fontId="16" fillId="0" borderId="0" xfId="0" applyFont="1" applyAlignment="1">
      <alignment horizontal="center" wrapText="1"/>
    </xf>
    <xf numFmtId="0" fontId="9" fillId="0" borderId="0" xfId="0" applyFont="1" applyAlignment="1">
      <alignment horizontal="center" vertical="center" wrapText="1"/>
    </xf>
    <xf numFmtId="0" fontId="7" fillId="0" borderId="0" xfId="0" applyFont="1" applyAlignment="1">
      <alignment horizontal="center" vertical="center" wrapText="1"/>
    </xf>
    <xf numFmtId="0" fontId="15" fillId="0" borderId="6" xfId="0" applyFont="1" applyBorder="1" applyAlignment="1">
      <alignment horizontal="center" wrapText="1"/>
    </xf>
    <xf numFmtId="168" fontId="7" fillId="0" borderId="0" xfId="0" applyNumberFormat="1" applyFont="1" applyAlignment="1">
      <alignment horizontal="center"/>
    </xf>
    <xf numFmtId="0" fontId="15" fillId="0" borderId="6" xfId="0" applyFont="1" applyBorder="1" applyAlignment="1">
      <alignment horizontal="center" vertical="center"/>
    </xf>
    <xf numFmtId="0" fontId="15" fillId="0" borderId="6" xfId="0" applyFont="1" applyBorder="1" applyAlignment="1">
      <alignment horizontal="center"/>
    </xf>
    <xf numFmtId="3" fontId="15" fillId="0" borderId="6" xfId="0" applyNumberFormat="1" applyFont="1" applyBorder="1" applyAlignment="1">
      <alignment horizontal="center" vertical="center"/>
    </xf>
    <xf numFmtId="3" fontId="21" fillId="0" borderId="6" xfId="0" applyNumberFormat="1" applyFont="1" applyBorder="1" applyAlignment="1">
      <alignment horizontal="center" vertical="center"/>
    </xf>
    <xf numFmtId="0" fontId="17" fillId="4" borderId="6" xfId="0" applyFont="1" applyFill="1" applyBorder="1" applyAlignment="1">
      <alignment horizontal="center" vertical="center" wrapText="1"/>
    </xf>
    <xf numFmtId="168" fontId="9" fillId="0" borderId="0" xfId="0" applyNumberFormat="1" applyFont="1" applyAlignment="1">
      <alignment horizontal="center" wrapText="1"/>
    </xf>
    <xf numFmtId="0" fontId="18" fillId="4" borderId="6" xfId="13" applyFont="1" applyFill="1" applyBorder="1" applyAlignment="1">
      <alignment horizontal="left" vertical="center" wrapText="1"/>
    </xf>
    <xf numFmtId="0" fontId="19" fillId="0" borderId="0" xfId="0" applyFont="1" applyAlignment="1">
      <alignment wrapText="1"/>
    </xf>
    <xf numFmtId="0" fontId="15" fillId="0" borderId="0" xfId="0" applyFont="1"/>
    <xf numFmtId="0" fontId="19" fillId="0" borderId="0" xfId="0" applyFont="1"/>
    <xf numFmtId="0" fontId="8" fillId="0" borderId="6" xfId="0" applyFont="1" applyBorder="1" applyAlignment="1">
      <alignment horizontal="center" vertical="center"/>
    </xf>
    <xf numFmtId="0" fontId="8" fillId="0" borderId="6" xfId="0" applyFont="1" applyBorder="1" applyAlignment="1">
      <alignment horizontal="center" vertical="center" wrapText="1"/>
    </xf>
    <xf numFmtId="1" fontId="8" fillId="0" borderId="6" xfId="0" applyNumberFormat="1" applyFont="1" applyBorder="1" applyAlignment="1">
      <alignment horizontal="center" vertical="center" wrapText="1"/>
    </xf>
    <xf numFmtId="169" fontId="8" fillId="0" borderId="6" xfId="0" applyNumberFormat="1" applyFont="1" applyBorder="1" applyAlignment="1">
      <alignment horizontal="center" vertical="center" wrapText="1"/>
    </xf>
    <xf numFmtId="3" fontId="8" fillId="0" borderId="6" xfId="0" applyNumberFormat="1" applyFont="1" applyBorder="1" applyAlignment="1">
      <alignment horizontal="center" vertical="center" wrapText="1"/>
    </xf>
    <xf numFmtId="168" fontId="8" fillId="0" borderId="6" xfId="0" applyNumberFormat="1" applyFont="1" applyBorder="1" applyAlignment="1">
      <alignment horizontal="center" vertical="center" wrapText="1"/>
    </xf>
    <xf numFmtId="3" fontId="8" fillId="5" borderId="6" xfId="0" applyNumberFormat="1" applyFont="1" applyFill="1" applyBorder="1" applyAlignment="1">
      <alignment horizontal="center" vertical="center" wrapText="1"/>
    </xf>
    <xf numFmtId="166" fontId="8" fillId="0" borderId="6" xfId="0" applyNumberFormat="1" applyFont="1" applyBorder="1" applyAlignment="1">
      <alignment vertical="center" wrapText="1"/>
    </xf>
    <xf numFmtId="166" fontId="8" fillId="0" borderId="6" xfId="0" applyNumberFormat="1" applyFont="1" applyBorder="1" applyAlignment="1">
      <alignment horizontal="center" vertical="center" wrapText="1"/>
    </xf>
    <xf numFmtId="0" fontId="11" fillId="0" borderId="0" xfId="0" applyFont="1" applyFill="1" applyAlignment="1">
      <alignment horizontal="left" vertical="center" wrapText="1"/>
    </xf>
    <xf numFmtId="0" fontId="10" fillId="0" borderId="0" xfId="0" applyFont="1" applyFill="1" applyAlignment="1">
      <alignment horizontal="left" vertical="center" wrapText="1"/>
    </xf>
    <xf numFmtId="0" fontId="22" fillId="0" borderId="9" xfId="13" applyFont="1" applyBorder="1" applyAlignment="1">
      <alignment horizontal="right" vertical="center"/>
    </xf>
    <xf numFmtId="17" fontId="23" fillId="3" borderId="10" xfId="13" applyNumberFormat="1" applyFont="1" applyFill="1" applyBorder="1" applyAlignment="1">
      <alignment horizontal="center" vertical="center"/>
    </xf>
    <xf numFmtId="166" fontId="24" fillId="0" borderId="0" xfId="0" applyNumberFormat="1" applyFont="1"/>
    <xf numFmtId="0" fontId="22" fillId="0" borderId="11" xfId="13" applyFont="1" applyBorder="1" applyAlignment="1">
      <alignment vertical="center"/>
    </xf>
    <xf numFmtId="0" fontId="22" fillId="0" borderId="0" xfId="13" applyFont="1" applyBorder="1" applyAlignment="1">
      <alignment vertical="center"/>
    </xf>
    <xf numFmtId="0" fontId="23" fillId="0" borderId="13" xfId="13" applyFont="1" applyBorder="1" applyAlignment="1">
      <alignment vertical="center"/>
    </xf>
    <xf numFmtId="0" fontId="23" fillId="0" borderId="14" xfId="13" applyFont="1" applyBorder="1" applyAlignment="1">
      <alignment vertical="center"/>
    </xf>
    <xf numFmtId="0" fontId="23" fillId="0" borderId="15" xfId="13" applyFont="1" applyBorder="1" applyAlignment="1">
      <alignment vertical="center"/>
    </xf>
    <xf numFmtId="0" fontId="23" fillId="0" borderId="14" xfId="13" applyFont="1" applyBorder="1" applyAlignment="1">
      <alignment vertical="center" wrapText="1"/>
    </xf>
    <xf numFmtId="0" fontId="23" fillId="0" borderId="15" xfId="13" applyFont="1" applyBorder="1" applyAlignment="1">
      <alignment vertical="center" wrapText="1"/>
    </xf>
    <xf numFmtId="0" fontId="25" fillId="0" borderId="0" xfId="13" applyFont="1" applyBorder="1" applyAlignment="1">
      <alignment horizontal="left" vertical="center"/>
    </xf>
    <xf numFmtId="0" fontId="23" fillId="0" borderId="0" xfId="13" applyFont="1" applyBorder="1" applyAlignment="1">
      <alignment horizontal="left" vertical="center" wrapText="1" indent="1"/>
    </xf>
    <xf numFmtId="3" fontId="6" fillId="4" borderId="22" xfId="13" applyNumberFormat="1" applyFont="1" applyFill="1" applyBorder="1" applyAlignment="1">
      <alignment horizontal="center" vertical="center"/>
    </xf>
    <xf numFmtId="0" fontId="6" fillId="4" borderId="24" xfId="13" applyFont="1" applyFill="1" applyBorder="1" applyAlignment="1">
      <alignment vertical="center"/>
    </xf>
    <xf numFmtId="0" fontId="6" fillId="4" borderId="7" xfId="13" applyFont="1" applyFill="1" applyBorder="1" applyAlignment="1">
      <alignment vertical="center"/>
    </xf>
    <xf numFmtId="0" fontId="6" fillId="4" borderId="5" xfId="13" applyFont="1" applyFill="1" applyBorder="1" applyAlignment="1">
      <alignment vertical="center"/>
    </xf>
    <xf numFmtId="0" fontId="6" fillId="4" borderId="7" xfId="13" applyFont="1" applyFill="1" applyBorder="1" applyAlignment="1">
      <alignment vertical="center" wrapText="1"/>
    </xf>
    <xf numFmtId="0" fontId="6" fillId="4" borderId="5" xfId="13" applyFont="1" applyFill="1" applyBorder="1" applyAlignment="1">
      <alignment vertical="center" wrapText="1"/>
    </xf>
    <xf numFmtId="0" fontId="6" fillId="4" borderId="26" xfId="13" applyFont="1" applyFill="1" applyBorder="1" applyAlignment="1">
      <alignment vertical="center"/>
    </xf>
    <xf numFmtId="0" fontId="6" fillId="4" borderId="27" xfId="13" applyFont="1" applyFill="1" applyBorder="1" applyAlignment="1">
      <alignment vertical="center"/>
    </xf>
    <xf numFmtId="0" fontId="6" fillId="4" borderId="28" xfId="13" applyFont="1" applyFill="1" applyBorder="1" applyAlignment="1">
      <alignment vertical="center"/>
    </xf>
    <xf numFmtId="3" fontId="30" fillId="0" borderId="0" xfId="13" applyNumberFormat="1" applyFont="1" applyBorder="1" applyAlignment="1"/>
    <xf numFmtId="170" fontId="6" fillId="0" borderId="0" xfId="13" applyNumberFormat="1" applyAlignment="1">
      <alignment horizontal="left"/>
    </xf>
    <xf numFmtId="0" fontId="6" fillId="0" borderId="0" xfId="13"/>
    <xf numFmtId="0" fontId="6" fillId="0" borderId="0" xfId="13" applyAlignment="1">
      <alignment horizontal="left"/>
    </xf>
    <xf numFmtId="0" fontId="32" fillId="4" borderId="12" xfId="13" applyFont="1" applyFill="1" applyBorder="1" applyAlignment="1">
      <alignment vertical="center"/>
    </xf>
    <xf numFmtId="0" fontId="32" fillId="4" borderId="30" xfId="13" applyFont="1" applyFill="1" applyBorder="1" applyAlignment="1">
      <alignment vertical="center"/>
    </xf>
    <xf numFmtId="0" fontId="32" fillId="4" borderId="31" xfId="13" applyFont="1" applyFill="1" applyBorder="1" applyAlignment="1">
      <alignment vertical="center"/>
    </xf>
    <xf numFmtId="0" fontId="6" fillId="0" borderId="0" xfId="13" applyBorder="1"/>
    <xf numFmtId="0" fontId="6" fillId="0" borderId="9" xfId="13" applyBorder="1"/>
    <xf numFmtId="0" fontId="6" fillId="0" borderId="33" xfId="13" applyBorder="1"/>
    <xf numFmtId="0" fontId="6" fillId="0" borderId="11" xfId="13" applyBorder="1"/>
    <xf numFmtId="0" fontId="6" fillId="0" borderId="11" xfId="13" applyBorder="1" applyAlignment="1">
      <alignment horizontal="left"/>
    </xf>
    <xf numFmtId="0" fontId="6" fillId="0" borderId="34" xfId="13" applyBorder="1"/>
    <xf numFmtId="0" fontId="34" fillId="0" borderId="37" xfId="13" applyFont="1" applyBorder="1" applyAlignment="1">
      <alignment horizontal="center" vertical="center"/>
    </xf>
    <xf numFmtId="0" fontId="34" fillId="0" borderId="38" xfId="13" applyFont="1" applyBorder="1" applyAlignment="1">
      <alignment horizontal="center" vertical="center"/>
    </xf>
    <xf numFmtId="0" fontId="34" fillId="0" borderId="38" xfId="13" applyFont="1" applyBorder="1" applyAlignment="1">
      <alignment horizontal="left" vertical="center"/>
    </xf>
    <xf numFmtId="0" fontId="34" fillId="0" borderId="39" xfId="13" applyFont="1" applyBorder="1" applyAlignment="1">
      <alignment horizontal="center" vertical="center"/>
    </xf>
    <xf numFmtId="0" fontId="34" fillId="0" borderId="40" xfId="13" applyFont="1" applyBorder="1" applyAlignment="1">
      <alignment horizontal="center" vertical="center"/>
    </xf>
    <xf numFmtId="0" fontId="6" fillId="3" borderId="41" xfId="13" applyFont="1" applyFill="1" applyBorder="1" applyAlignment="1">
      <alignment horizontal="center" vertical="center"/>
    </xf>
    <xf numFmtId="0" fontId="6" fillId="3" borderId="42" xfId="13" applyFont="1" applyFill="1" applyBorder="1" applyAlignment="1">
      <alignment horizontal="center" vertical="center"/>
    </xf>
    <xf numFmtId="0" fontId="6" fillId="0" borderId="42" xfId="13" applyFont="1" applyBorder="1" applyAlignment="1">
      <alignment horizontal="center" vertical="center"/>
    </xf>
    <xf numFmtId="0" fontId="6" fillId="3" borderId="43" xfId="13" applyFont="1" applyFill="1" applyBorder="1" applyAlignment="1">
      <alignment horizontal="center" vertical="center"/>
    </xf>
    <xf numFmtId="0" fontId="6" fillId="3" borderId="42" xfId="13" applyFill="1" applyBorder="1" applyAlignment="1">
      <alignment horizontal="center" vertical="center"/>
    </xf>
    <xf numFmtId="167" fontId="0" fillId="0" borderId="44" xfId="25" applyNumberFormat="1" applyFont="1" applyBorder="1" applyAlignment="1" applyProtection="1">
      <alignment horizontal="center" vertical="center"/>
    </xf>
    <xf numFmtId="0" fontId="6" fillId="0" borderId="45" xfId="13" applyFont="1" applyBorder="1" applyAlignment="1">
      <alignment horizontal="center" vertical="center"/>
    </xf>
    <xf numFmtId="0" fontId="6" fillId="0" borderId="46" xfId="13" applyFont="1" applyBorder="1" applyAlignment="1">
      <alignment horizontal="center" vertical="center"/>
    </xf>
    <xf numFmtId="0" fontId="6" fillId="0" borderId="47" xfId="13" applyFont="1" applyBorder="1" applyAlignment="1">
      <alignment horizontal="center" vertical="center"/>
    </xf>
    <xf numFmtId="0" fontId="6" fillId="0" borderId="48" xfId="13" applyFont="1" applyBorder="1" applyAlignment="1">
      <alignment horizontal="center" vertical="center"/>
    </xf>
    <xf numFmtId="167" fontId="0" fillId="0" borderId="49" xfId="25" applyNumberFormat="1" applyFont="1" applyBorder="1" applyAlignment="1" applyProtection="1">
      <alignment horizontal="center" vertical="center"/>
    </xf>
    <xf numFmtId="0" fontId="32" fillId="0" borderId="45" xfId="13" applyFont="1" applyBorder="1" applyAlignment="1">
      <alignment horizontal="center" vertical="center"/>
    </xf>
    <xf numFmtId="0" fontId="32" fillId="0" borderId="46" xfId="13" applyFont="1" applyBorder="1" applyAlignment="1">
      <alignment horizontal="center" vertical="center"/>
    </xf>
    <xf numFmtId="0" fontId="6" fillId="0" borderId="48" xfId="13" applyBorder="1" applyAlignment="1">
      <alignment horizontal="center" vertical="center"/>
    </xf>
    <xf numFmtId="0" fontId="32" fillId="0" borderId="47" xfId="13" applyFont="1" applyBorder="1" applyAlignment="1">
      <alignment horizontal="center" vertical="center"/>
    </xf>
    <xf numFmtId="0" fontId="32" fillId="0" borderId="48" xfId="13" applyFont="1" applyBorder="1" applyAlignment="1">
      <alignment horizontal="center" vertical="center"/>
    </xf>
    <xf numFmtId="0" fontId="6" fillId="0" borderId="50" xfId="13" applyBorder="1" applyAlignment="1">
      <alignment horizontal="center" vertical="center"/>
    </xf>
    <xf numFmtId="0" fontId="6" fillId="0" borderId="51" xfId="13" applyBorder="1" applyAlignment="1">
      <alignment horizontal="center" vertical="center"/>
    </xf>
    <xf numFmtId="0" fontId="6" fillId="0" borderId="52" xfId="13" applyBorder="1" applyAlignment="1">
      <alignment horizontal="center" vertical="center"/>
    </xf>
    <xf numFmtId="167" fontId="0" fillId="0" borderId="53" xfId="25" applyNumberFormat="1" applyFont="1" applyBorder="1" applyAlignment="1" applyProtection="1">
      <alignment horizontal="center" vertical="center"/>
    </xf>
    <xf numFmtId="167" fontId="34" fillId="0" borderId="54" xfId="13" applyNumberFormat="1" applyFont="1" applyBorder="1" applyAlignment="1">
      <alignment horizontal="center" vertical="center"/>
    </xf>
    <xf numFmtId="0" fontId="32" fillId="3" borderId="32" xfId="13" applyFont="1" applyFill="1" applyBorder="1" applyAlignment="1">
      <alignment vertical="center"/>
    </xf>
    <xf numFmtId="0" fontId="32" fillId="3" borderId="0" xfId="13" applyFont="1" applyFill="1" applyBorder="1" applyAlignment="1">
      <alignment vertical="center" wrapText="1"/>
    </xf>
    <xf numFmtId="0" fontId="32" fillId="3" borderId="9" xfId="13" applyFont="1" applyFill="1" applyBorder="1" applyAlignment="1">
      <alignment vertical="center" wrapText="1"/>
    </xf>
    <xf numFmtId="0" fontId="32" fillId="3" borderId="33" xfId="13" applyFont="1" applyFill="1" applyBorder="1" applyAlignment="1">
      <alignment vertical="center" wrapText="1"/>
    </xf>
    <xf numFmtId="0" fontId="32" fillId="3" borderId="11" xfId="13" applyFont="1" applyFill="1" applyBorder="1" applyAlignment="1">
      <alignment vertical="center" wrapText="1"/>
    </xf>
    <xf numFmtId="0" fontId="32" fillId="3" borderId="34" xfId="13" applyFont="1" applyFill="1" applyBorder="1" applyAlignment="1">
      <alignment vertical="center" wrapText="1"/>
    </xf>
    <xf numFmtId="166" fontId="13" fillId="0" borderId="0" xfId="1" applyNumberFormat="1" applyFont="1" applyAlignment="1">
      <alignment vertical="center"/>
    </xf>
    <xf numFmtId="166" fontId="19" fillId="0" borderId="6" xfId="1" applyNumberFormat="1" applyFont="1" applyBorder="1" applyAlignment="1">
      <alignment vertical="center" wrapText="1"/>
    </xf>
    <xf numFmtId="166" fontId="15" fillId="0" borderId="6" xfId="0" applyNumberFormat="1" applyFont="1" applyBorder="1" applyAlignment="1">
      <alignment horizontal="center" vertical="center"/>
    </xf>
    <xf numFmtId="166" fontId="15" fillId="0" borderId="8" xfId="0" applyNumberFormat="1" applyFont="1" applyBorder="1" applyAlignment="1">
      <alignment horizontal="center" vertical="center"/>
    </xf>
    <xf numFmtId="166" fontId="21" fillId="0" borderId="6" xfId="1" applyNumberFormat="1" applyFont="1" applyBorder="1" applyAlignment="1">
      <alignment horizontal="center" vertical="center"/>
    </xf>
    <xf numFmtId="166" fontId="20" fillId="0" borderId="6" xfId="0" applyNumberFormat="1" applyFont="1" applyBorder="1" applyAlignment="1">
      <alignment horizontal="center" vertical="center"/>
    </xf>
    <xf numFmtId="0" fontId="15" fillId="0" borderId="55" xfId="13" applyFont="1" applyFill="1" applyBorder="1" applyAlignment="1">
      <alignment horizontal="center" vertical="center" wrapText="1"/>
    </xf>
    <xf numFmtId="0" fontId="15" fillId="0" borderId="58" xfId="13" applyFont="1" applyFill="1" applyBorder="1" applyAlignment="1">
      <alignment horizontal="center" wrapText="1"/>
    </xf>
    <xf numFmtId="0" fontId="7" fillId="0" borderId="0" xfId="13" applyFont="1" applyFill="1" applyBorder="1" applyAlignment="1">
      <alignment horizontal="left" vertical="center"/>
    </xf>
    <xf numFmtId="0" fontId="7" fillId="0" borderId="0" xfId="13" applyFont="1" applyFill="1" applyBorder="1" applyAlignment="1">
      <alignment horizontal="center"/>
    </xf>
    <xf numFmtId="0" fontId="7" fillId="0" borderId="0" xfId="13" applyFont="1" applyFill="1" applyBorder="1" applyAlignment="1">
      <alignment horizontal="center" vertical="center" wrapText="1"/>
    </xf>
    <xf numFmtId="0" fontId="7" fillId="0" borderId="59" xfId="13" applyFont="1" applyFill="1" applyBorder="1" applyAlignment="1">
      <alignment horizontal="center"/>
    </xf>
    <xf numFmtId="0" fontId="7" fillId="0" borderId="0" xfId="13" applyFont="1" applyFill="1" applyBorder="1" applyAlignment="1">
      <alignment horizontal="center" vertical="center"/>
    </xf>
    <xf numFmtId="0" fontId="15" fillId="0" borderId="58" xfId="13" applyFont="1" applyBorder="1" applyAlignment="1">
      <alignment horizontal="center" wrapText="1"/>
    </xf>
    <xf numFmtId="0" fontId="7" fillId="0" borderId="0" xfId="13" applyFont="1" applyBorder="1" applyAlignment="1">
      <alignment horizontal="center" vertical="center"/>
    </xf>
    <xf numFmtId="0" fontId="7" fillId="0" borderId="0" xfId="13" applyFont="1" applyBorder="1" applyAlignment="1">
      <alignment horizontal="center"/>
    </xf>
    <xf numFmtId="0" fontId="7" fillId="0" borderId="0" xfId="13" applyFont="1" applyBorder="1" applyAlignment="1">
      <alignment horizontal="center" vertical="center" wrapText="1"/>
    </xf>
    <xf numFmtId="0" fontId="7" fillId="0" borderId="59" xfId="13" applyFont="1" applyBorder="1" applyAlignment="1">
      <alignment horizontal="center"/>
    </xf>
    <xf numFmtId="0" fontId="15" fillId="0" borderId="60" xfId="13" applyFont="1" applyBorder="1" applyAlignment="1">
      <alignment horizontal="center" wrapText="1"/>
    </xf>
    <xf numFmtId="0" fontId="7" fillId="0" borderId="61" xfId="13" applyFont="1" applyBorder="1" applyAlignment="1">
      <alignment horizontal="left" vertical="center"/>
    </xf>
    <xf numFmtId="0" fontId="7" fillId="0" borderId="61" xfId="13" applyFont="1" applyBorder="1" applyAlignment="1">
      <alignment horizontal="center"/>
    </xf>
    <xf numFmtId="0" fontId="7" fillId="0" borderId="61" xfId="13" applyFont="1" applyBorder="1" applyAlignment="1">
      <alignment horizontal="center" vertical="center" wrapText="1"/>
    </xf>
    <xf numFmtId="0" fontId="7" fillId="0" borderId="62" xfId="13" applyFont="1" applyBorder="1" applyAlignment="1">
      <alignment horizontal="center"/>
    </xf>
    <xf numFmtId="0" fontId="15" fillId="0" borderId="6" xfId="0" applyFont="1" applyBorder="1" applyAlignment="1">
      <alignment horizontal="center" vertical="center" wrapText="1"/>
    </xf>
    <xf numFmtId="0" fontId="15" fillId="4" borderId="6" xfId="0" applyFont="1" applyFill="1" applyBorder="1" applyAlignment="1">
      <alignment horizontal="center" vertical="center"/>
    </xf>
    <xf numFmtId="1" fontId="15" fillId="0" borderId="6" xfId="0" applyNumberFormat="1" applyFont="1" applyBorder="1" applyAlignment="1">
      <alignment horizontal="center" vertical="center"/>
    </xf>
    <xf numFmtId="169" fontId="15" fillId="0" borderId="6" xfId="0" applyNumberFormat="1" applyFont="1" applyBorder="1" applyAlignment="1">
      <alignment horizontal="center" vertical="center"/>
    </xf>
    <xf numFmtId="3" fontId="18" fillId="4" borderId="6" xfId="13" applyNumberFormat="1" applyFont="1" applyFill="1" applyBorder="1" applyAlignment="1">
      <alignment horizontal="center" vertical="center" wrapText="1"/>
    </xf>
    <xf numFmtId="168" fontId="15" fillId="0" borderId="6" xfId="0" applyNumberFormat="1" applyFont="1" applyBorder="1" applyAlignment="1">
      <alignment horizontal="center" vertical="center"/>
    </xf>
    <xf numFmtId="166" fontId="18" fillId="4" borderId="6" xfId="13" applyNumberFormat="1" applyFont="1" applyFill="1" applyBorder="1" applyAlignment="1">
      <alignment horizontal="center" vertical="center" wrapText="1"/>
    </xf>
    <xf numFmtId="0" fontId="20" fillId="0" borderId="6" xfId="0" applyFont="1" applyBorder="1" applyAlignment="1">
      <alignment horizontal="center" vertical="center"/>
    </xf>
    <xf numFmtId="168" fontId="20" fillId="0" borderId="6" xfId="0" applyNumberFormat="1" applyFont="1" applyBorder="1" applyAlignment="1">
      <alignment horizontal="center" vertical="center"/>
    </xf>
    <xf numFmtId="0" fontId="21" fillId="0" borderId="6" xfId="0" applyFont="1" applyBorder="1" applyAlignment="1">
      <alignment horizontal="center" vertical="center"/>
    </xf>
    <xf numFmtId="0" fontId="6" fillId="4" borderId="22" xfId="13" applyFont="1" applyFill="1" applyBorder="1" applyAlignment="1">
      <alignment horizontal="center" vertical="center"/>
    </xf>
    <xf numFmtId="0" fontId="6" fillId="4" borderId="22" xfId="13" applyFont="1" applyFill="1" applyBorder="1" applyAlignment="1">
      <alignment horizontal="left" vertical="center"/>
    </xf>
    <xf numFmtId="0" fontId="6" fillId="4" borderId="63" xfId="13" applyFont="1" applyFill="1" applyBorder="1" applyAlignment="1">
      <alignment vertical="center"/>
    </xf>
    <xf numFmtId="0" fontId="6" fillId="4" borderId="0" xfId="13" applyFont="1" applyFill="1" applyBorder="1" applyAlignment="1">
      <alignment vertical="center"/>
    </xf>
    <xf numFmtId="0" fontId="6" fillId="3" borderId="23" xfId="13" applyFont="1" applyFill="1" applyBorder="1" applyAlignment="1">
      <alignment horizontal="center" vertical="center"/>
    </xf>
    <xf numFmtId="0" fontId="6" fillId="0" borderId="22" xfId="13" applyFont="1" applyBorder="1" applyAlignment="1">
      <alignment horizontal="center" vertical="center"/>
    </xf>
    <xf numFmtId="166" fontId="6" fillId="0" borderId="22" xfId="13" applyNumberFormat="1" applyFont="1" applyBorder="1" applyAlignment="1">
      <alignment horizontal="center" vertical="center"/>
    </xf>
    <xf numFmtId="0" fontId="13" fillId="4" borderId="3" xfId="13" applyFont="1" applyFill="1" applyBorder="1" applyAlignment="1">
      <alignment horizontal="left" vertical="center" wrapText="1"/>
    </xf>
    <xf numFmtId="0" fontId="13" fillId="4" borderId="4" xfId="13" applyFont="1" applyFill="1" applyBorder="1" applyAlignment="1">
      <alignment horizontal="left" vertical="center" wrapText="1"/>
    </xf>
    <xf numFmtId="0" fontId="13" fillId="0" borderId="25" xfId="13" applyFont="1" applyBorder="1" applyAlignment="1">
      <alignment horizontal="center" vertical="center"/>
    </xf>
    <xf numFmtId="0" fontId="13" fillId="0" borderId="25" xfId="13" applyFont="1" applyBorder="1" applyAlignment="1">
      <alignment horizontal="left" vertical="center"/>
    </xf>
    <xf numFmtId="0" fontId="6" fillId="0" borderId="29" xfId="13" applyFont="1" applyBorder="1" applyAlignment="1">
      <alignment horizontal="center" vertical="center"/>
    </xf>
    <xf numFmtId="0" fontId="6" fillId="0" borderId="25" xfId="13" applyFont="1" applyBorder="1" applyAlignment="1">
      <alignment horizontal="center" vertical="center" wrapText="1"/>
    </xf>
    <xf numFmtId="44" fontId="6" fillId="0" borderId="25" xfId="13" applyNumberFormat="1" applyFont="1" applyBorder="1" applyAlignment="1">
      <alignment horizontal="center" vertical="center" wrapText="1"/>
    </xf>
    <xf numFmtId="3" fontId="6" fillId="0" borderId="25" xfId="13" applyNumberFormat="1" applyFont="1" applyBorder="1" applyAlignment="1">
      <alignment horizontal="center" vertical="center"/>
    </xf>
    <xf numFmtId="0" fontId="24" fillId="0" borderId="0" xfId="0" applyFont="1"/>
    <xf numFmtId="0" fontId="8" fillId="0" borderId="0" xfId="0" applyFont="1" applyBorder="1" applyAlignment="1">
      <alignment horizontal="left" vertical="center" wrapText="1"/>
    </xf>
    <xf numFmtId="0" fontId="7" fillId="0" borderId="56" xfId="13" applyFont="1" applyFill="1" applyBorder="1" applyAlignment="1">
      <alignment horizontal="left" vertical="center" wrapText="1"/>
    </xf>
    <xf numFmtId="0" fontId="7" fillId="0" borderId="57" xfId="13" applyFont="1" applyFill="1" applyBorder="1" applyAlignment="1">
      <alignment horizontal="left" vertical="center" wrapText="1"/>
    </xf>
    <xf numFmtId="0" fontId="7" fillId="0" borderId="0" xfId="13" applyFont="1" applyFill="1" applyBorder="1" applyAlignment="1">
      <alignment horizontal="left" vertical="center"/>
    </xf>
    <xf numFmtId="0" fontId="7" fillId="0" borderId="59" xfId="13" applyFont="1" applyFill="1" applyBorder="1" applyAlignment="1">
      <alignment horizontal="left" vertical="center"/>
    </xf>
    <xf numFmtId="0" fontId="14" fillId="0" borderId="0" xfId="0" applyFont="1" applyBorder="1" applyAlignment="1">
      <alignment horizontal="center"/>
    </xf>
    <xf numFmtId="0" fontId="14" fillId="0" borderId="0" xfId="0" applyFont="1" applyBorder="1" applyAlignment="1">
      <alignment horizontal="center" vertical="center"/>
    </xf>
    <xf numFmtId="0" fontId="14" fillId="0" borderId="0" xfId="0" applyFont="1" applyBorder="1" applyAlignment="1">
      <alignment horizontal="right" vertical="center"/>
    </xf>
    <xf numFmtId="0" fontId="11" fillId="0" borderId="0" xfId="0" applyFont="1" applyFill="1" applyBorder="1" applyAlignment="1">
      <alignment horizontal="left" vertical="center" wrapText="1"/>
    </xf>
    <xf numFmtId="0" fontId="29" fillId="0" borderId="13" xfId="13" applyFont="1" applyBorder="1" applyAlignment="1">
      <alignment horizontal="left" vertical="center"/>
    </xf>
    <xf numFmtId="0" fontId="29" fillId="0" borderId="14" xfId="13" applyFont="1" applyBorder="1" applyAlignment="1">
      <alignment horizontal="left" vertical="center"/>
    </xf>
    <xf numFmtId="0" fontId="29" fillId="0" borderId="15" xfId="13" applyFont="1" applyBorder="1" applyAlignment="1">
      <alignment horizontal="left" vertical="center"/>
    </xf>
    <xf numFmtId="172" fontId="29" fillId="0" borderId="14" xfId="13" applyNumberFormat="1" applyFont="1" applyBorder="1" applyAlignment="1">
      <alignment horizontal="center" vertical="center" wrapText="1"/>
    </xf>
    <xf numFmtId="172" fontId="29" fillId="0" borderId="15" xfId="13" applyNumberFormat="1" applyFont="1" applyBorder="1" applyAlignment="1">
      <alignment horizontal="center" vertical="center" wrapText="1"/>
    </xf>
    <xf numFmtId="0" fontId="25" fillId="0" borderId="18" xfId="13" applyFont="1" applyBorder="1" applyAlignment="1">
      <alignment horizontal="left" vertical="center"/>
    </xf>
    <xf numFmtId="0" fontId="23" fillId="0" borderId="19" xfId="13" applyFont="1" applyBorder="1" applyAlignment="1">
      <alignment horizontal="left" vertical="center" wrapText="1" indent="1"/>
    </xf>
    <xf numFmtId="0" fontId="26" fillId="0" borderId="18" xfId="13" applyFont="1" applyBorder="1" applyAlignment="1">
      <alignment horizontal="center" vertical="center"/>
    </xf>
    <xf numFmtId="0" fontId="26" fillId="0" borderId="20" xfId="13" applyFont="1" applyBorder="1" applyAlignment="1">
      <alignment horizontal="center" vertical="center" wrapText="1"/>
    </xf>
    <xf numFmtId="0" fontId="26" fillId="0" borderId="21" xfId="13" applyFont="1" applyBorder="1" applyAlignment="1">
      <alignment horizontal="center" vertical="center" wrapText="1"/>
    </xf>
    <xf numFmtId="0" fontId="26" fillId="0" borderId="17" xfId="13" applyFont="1" applyBorder="1" applyAlignment="1">
      <alignment horizontal="center" vertical="center" wrapText="1"/>
    </xf>
    <xf numFmtId="0" fontId="25" fillId="0" borderId="16" xfId="13" applyFont="1" applyBorder="1" applyAlignment="1">
      <alignment horizontal="left" vertical="center" wrapText="1"/>
    </xf>
    <xf numFmtId="0" fontId="23" fillId="0" borderId="17" xfId="13" applyFont="1" applyBorder="1" applyAlignment="1">
      <alignment horizontal="left" vertical="center" wrapText="1" indent="1"/>
    </xf>
    <xf numFmtId="0" fontId="22" fillId="0" borderId="0" xfId="13" applyFont="1" applyBorder="1" applyAlignment="1">
      <alignment horizontal="center" vertical="center"/>
    </xf>
    <xf numFmtId="0" fontId="25" fillId="0" borderId="12" xfId="13" applyFont="1" applyBorder="1" applyAlignment="1">
      <alignment horizontal="left" vertical="center" wrapText="1"/>
    </xf>
    <xf numFmtId="0" fontId="6" fillId="0" borderId="48" xfId="13" applyBorder="1" applyAlignment="1">
      <alignment horizontal="left" vertical="center"/>
    </xf>
    <xf numFmtId="0" fontId="6" fillId="0" borderId="51" xfId="13" applyBorder="1" applyAlignment="1">
      <alignment horizontal="left" vertical="center"/>
    </xf>
    <xf numFmtId="0" fontId="30" fillId="0" borderId="54" xfId="13" applyFont="1" applyBorder="1" applyAlignment="1">
      <alignment horizontal="left" vertical="center" wrapText="1"/>
    </xf>
    <xf numFmtId="0" fontId="6" fillId="0" borderId="35" xfId="13" applyBorder="1"/>
    <xf numFmtId="0" fontId="30" fillId="0" borderId="13" xfId="13" applyFont="1" applyBorder="1" applyAlignment="1">
      <alignment vertical="center" wrapText="1"/>
    </xf>
    <xf numFmtId="0" fontId="30" fillId="0" borderId="21" xfId="13" applyFont="1" applyBorder="1" applyAlignment="1">
      <alignment vertical="center" wrapText="1"/>
    </xf>
    <xf numFmtId="0" fontId="30" fillId="0" borderId="19" xfId="13" applyFont="1" applyBorder="1" applyAlignment="1">
      <alignment vertical="center" wrapText="1"/>
    </xf>
    <xf numFmtId="0" fontId="32" fillId="0" borderId="36" xfId="13" applyFont="1" applyBorder="1" applyAlignment="1">
      <alignment vertical="center" wrapText="1"/>
    </xf>
    <xf numFmtId="0" fontId="6" fillId="0" borderId="48" xfId="13" applyFont="1" applyBorder="1" applyAlignment="1">
      <alignment horizontal="left" vertical="center"/>
    </xf>
    <xf numFmtId="0" fontId="27" fillId="0" borderId="12" xfId="13" applyFont="1" applyBorder="1" applyAlignment="1">
      <alignment horizontal="left" vertical="center" wrapText="1"/>
    </xf>
    <xf numFmtId="0" fontId="27" fillId="0" borderId="30" xfId="13" applyFont="1" applyBorder="1" applyAlignment="1">
      <alignment horizontal="left" vertical="center" wrapText="1"/>
    </xf>
    <xf numFmtId="0" fontId="27" fillId="0" borderId="31" xfId="13" applyFont="1" applyBorder="1" applyAlignment="1">
      <alignment horizontal="left" vertical="center" wrapText="1"/>
    </xf>
    <xf numFmtId="0" fontId="33" fillId="0" borderId="10" xfId="13" applyFont="1" applyBorder="1" applyAlignment="1">
      <alignment horizontal="left" vertical="center"/>
    </xf>
    <xf numFmtId="0" fontId="32" fillId="0" borderId="32" xfId="13" applyFont="1" applyBorder="1"/>
    <xf numFmtId="0" fontId="32" fillId="4" borderId="32" xfId="13" applyNumberFormat="1" applyFont="1" applyFill="1" applyBorder="1" applyAlignment="1">
      <alignment horizontal="left" vertical="justify" wrapText="1" indent="1"/>
    </xf>
    <xf numFmtId="0" fontId="32" fillId="4" borderId="0" xfId="13" applyNumberFormat="1" applyFont="1" applyFill="1" applyBorder="1" applyAlignment="1">
      <alignment horizontal="left" vertical="justify" wrapText="1" indent="1"/>
    </xf>
    <xf numFmtId="0" fontId="32" fillId="4" borderId="9" xfId="13" applyNumberFormat="1" applyFont="1" applyFill="1" applyBorder="1" applyAlignment="1">
      <alignment horizontal="left" vertical="justify" wrapText="1" indent="1"/>
    </xf>
    <xf numFmtId="0" fontId="34" fillId="0" borderId="35" xfId="13" applyFont="1" applyBorder="1" applyAlignment="1">
      <alignment horizontal="center" vertical="center"/>
    </xf>
    <xf numFmtId="0" fontId="34" fillId="0" borderId="10" xfId="13" applyFont="1" applyBorder="1" applyAlignment="1">
      <alignment horizontal="center" vertical="center"/>
    </xf>
    <xf numFmtId="0" fontId="34" fillId="0" borderId="35" xfId="13" applyFont="1" applyBorder="1" applyAlignment="1">
      <alignment horizontal="center" vertical="center" wrapText="1"/>
    </xf>
    <xf numFmtId="0" fontId="34" fillId="0" borderId="36" xfId="13" applyFont="1" applyBorder="1" applyAlignment="1">
      <alignment horizontal="center" vertical="center"/>
    </xf>
    <xf numFmtId="0" fontId="6" fillId="0" borderId="42" xfId="13" applyBorder="1" applyAlignment="1">
      <alignment horizontal="left" vertical="center" wrapText="1"/>
    </xf>
    <xf numFmtId="0" fontId="6" fillId="0" borderId="42" xfId="13" applyFont="1" applyBorder="1" applyAlignment="1">
      <alignment horizontal="left" vertical="center" wrapText="1"/>
    </xf>
    <xf numFmtId="0" fontId="6" fillId="0" borderId="13" xfId="13" applyFont="1" applyBorder="1" applyAlignment="1">
      <alignment horizontal="center"/>
    </xf>
    <xf numFmtId="0" fontId="30" fillId="0" borderId="15" xfId="13" applyNumberFormat="1" applyFont="1" applyBorder="1" applyAlignment="1">
      <alignment horizontal="center"/>
    </xf>
    <xf numFmtId="0" fontId="31" fillId="0" borderId="10" xfId="13" applyFont="1" applyBorder="1" applyAlignment="1">
      <alignment horizontal="center" vertical="center" wrapText="1"/>
    </xf>
    <xf numFmtId="0" fontId="28" fillId="0" borderId="10" xfId="13" applyFont="1" applyBorder="1" applyAlignment="1">
      <alignment vertical="center"/>
    </xf>
  </cellXfs>
  <cellStyles count="26">
    <cellStyle name="Encabezado 1" xfId="2" xr:uid="{00000000-0005-0000-0000-000000000000}"/>
    <cellStyle name="Encabezado 1 2" xfId="12" xr:uid="{00000000-0005-0000-0000-000001000000}"/>
    <cellStyle name="Millares 2" xfId="19" xr:uid="{00000000-0005-0000-0000-000002000000}"/>
    <cellStyle name="Moneda" xfId="1" builtinId="4"/>
    <cellStyle name="Moneda 2" xfId="5" xr:uid="{00000000-0005-0000-0000-000004000000}"/>
    <cellStyle name="Moneda 2 2" xfId="14" xr:uid="{00000000-0005-0000-0000-000005000000}"/>
    <cellStyle name="Moneda 3" xfId="11" xr:uid="{00000000-0005-0000-0000-000006000000}"/>
    <cellStyle name="Moneda 4" xfId="21" xr:uid="{00000000-0005-0000-0000-000007000000}"/>
    <cellStyle name="Moneda_AUTORIZACION Y NOTA DE PEDIDO" xfId="25" xr:uid="{00000000-0005-0000-0000-000008000000}"/>
    <cellStyle name="Neutral 1" xfId="3" xr:uid="{00000000-0005-0000-0000-000009000000}"/>
    <cellStyle name="Normal" xfId="0" builtinId="0"/>
    <cellStyle name="Normal 2" xfId="4" xr:uid="{00000000-0005-0000-0000-00000B000000}"/>
    <cellStyle name="Normal 2 2" xfId="13" xr:uid="{00000000-0005-0000-0000-00000C000000}"/>
    <cellStyle name="Normal 3" xfId="6" xr:uid="{00000000-0005-0000-0000-00000D000000}"/>
    <cellStyle name="Normal 3 2" xfId="7" xr:uid="{00000000-0005-0000-0000-00000E000000}"/>
    <cellStyle name="Normal 3 2 2" xfId="16" xr:uid="{00000000-0005-0000-0000-00000F000000}"/>
    <cellStyle name="Normal 3 3" xfId="15" xr:uid="{00000000-0005-0000-0000-000010000000}"/>
    <cellStyle name="Normal 3 4" xfId="22" xr:uid="{00000000-0005-0000-0000-000011000000}"/>
    <cellStyle name="Normal 4" xfId="8" xr:uid="{00000000-0005-0000-0000-000012000000}"/>
    <cellStyle name="Normal 4 2" xfId="17" xr:uid="{00000000-0005-0000-0000-000013000000}"/>
    <cellStyle name="Normal 4 3" xfId="23" xr:uid="{00000000-0005-0000-0000-000014000000}"/>
    <cellStyle name="Normal 5" xfId="9" xr:uid="{00000000-0005-0000-0000-000015000000}"/>
    <cellStyle name="Normal 5 2" xfId="20" xr:uid="{00000000-0005-0000-0000-000016000000}"/>
    <cellStyle name="Normal 5 3" xfId="24" xr:uid="{00000000-0005-0000-0000-000017000000}"/>
    <cellStyle name="Normal 6" xfId="10" xr:uid="{00000000-0005-0000-0000-000018000000}"/>
    <cellStyle name="Normal 7" xfId="18" xr:uid="{00000000-0005-0000-0000-000019000000}"/>
  </cellStyles>
  <dxfs count="24">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ndense val="0"/>
        <extend val="0"/>
        <color rgb="FF9C6500"/>
      </font>
      <fill>
        <patternFill>
          <bgColor rgb="FFFFEB9C"/>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ndense val="0"/>
        <extend val="0"/>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D3D3D"/>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W25"/>
  <sheetViews>
    <sheetView topLeftCell="A13" zoomScale="80" zoomScaleNormal="80" workbookViewId="0">
      <selection activeCell="C21" sqref="C21:F21"/>
    </sheetView>
  </sheetViews>
  <sheetFormatPr baseColWidth="10" defaultColWidth="10.85546875" defaultRowHeight="15" x14ac:dyDescent="0.25"/>
  <cols>
    <col min="1" max="1" width="9.140625" style="16" customWidth="1"/>
    <col min="2" max="2" width="16.140625" style="15" customWidth="1"/>
    <col min="3" max="3" width="41.28515625" style="16" customWidth="1"/>
    <col min="4" max="4" width="8.42578125" style="3" customWidth="1"/>
    <col min="5" max="5" width="40.140625" style="19" customWidth="1"/>
    <col min="6" max="6" width="11" style="3" customWidth="1"/>
    <col min="7" max="7" width="11" style="3" hidden="1" customWidth="1"/>
    <col min="8" max="8" width="14.85546875" style="3" hidden="1" customWidth="1"/>
    <col min="9" max="9" width="11" style="3" hidden="1" customWidth="1"/>
    <col min="10" max="11" width="14.85546875" style="3" hidden="1" customWidth="1"/>
    <col min="12" max="12" width="24" style="3" hidden="1" customWidth="1"/>
    <col min="13" max="13" width="12.85546875" style="7" hidden="1" customWidth="1"/>
    <col min="14" max="14" width="18.85546875" style="8" hidden="1" customWidth="1"/>
    <col min="15" max="15" width="18.85546875" style="10" hidden="1" customWidth="1"/>
    <col min="16" max="16" width="28.5703125" style="3" hidden="1" customWidth="1"/>
    <col min="17" max="17" width="18.85546875" style="7" hidden="1" customWidth="1"/>
    <col min="18" max="18" width="18.85546875" style="3" hidden="1" customWidth="1"/>
    <col min="19" max="19" width="18.85546875" style="10" hidden="1" customWidth="1"/>
    <col min="20" max="20" width="18.85546875" style="21" hidden="1" customWidth="1"/>
    <col min="21" max="21" width="18.85546875" style="7" hidden="1" customWidth="1"/>
    <col min="22" max="22" width="18.85546875" style="3" hidden="1" customWidth="1"/>
    <col min="23" max="23" width="18.85546875" style="10" hidden="1" customWidth="1"/>
    <col min="24" max="24" width="18.85546875" style="3" hidden="1" customWidth="1"/>
    <col min="25" max="25" width="18.85546875" style="10" hidden="1" customWidth="1"/>
    <col min="26" max="26" width="18.85546875" style="3" hidden="1" customWidth="1"/>
    <col min="27" max="27" width="18.85546875" style="10" hidden="1" customWidth="1"/>
    <col min="28" max="28" width="18.85546875" style="3" hidden="1" customWidth="1"/>
    <col min="29" max="29" width="18.85546875" style="10" hidden="1" customWidth="1"/>
    <col min="30" max="30" width="18.85546875" style="3" hidden="1" customWidth="1"/>
    <col min="31" max="31" width="19.85546875" style="10" hidden="1" customWidth="1"/>
    <col min="32" max="32" width="19.85546875" style="3" hidden="1" customWidth="1"/>
    <col min="33" max="33" width="19.85546875" style="10" hidden="1" customWidth="1"/>
    <col min="34" max="34" width="19.85546875" style="3" hidden="1" customWidth="1"/>
    <col min="35" max="35" width="19.85546875" style="10" hidden="1" customWidth="1"/>
    <col min="36" max="36" width="19.85546875" style="3" hidden="1" customWidth="1"/>
    <col min="37" max="37" width="18.85546875" style="10" hidden="1" customWidth="1"/>
    <col min="38" max="38" width="18.85546875" style="3" hidden="1" customWidth="1"/>
    <col min="39" max="39" width="18.85546875" style="10" hidden="1" customWidth="1"/>
    <col min="40" max="40" width="18.85546875" style="3" hidden="1" customWidth="1"/>
    <col min="41" max="41" width="18.85546875" style="10" hidden="1" customWidth="1"/>
    <col min="42" max="42" width="18.85546875" style="3" hidden="1" customWidth="1"/>
    <col min="43" max="43" width="18.85546875" style="10" hidden="1" customWidth="1"/>
    <col min="44" max="44" width="18.85546875" style="3" hidden="1" customWidth="1"/>
    <col min="45" max="45" width="16.42578125" style="12" customWidth="1"/>
    <col min="46" max="46" width="16.5703125" style="109" bestFit="1" customWidth="1"/>
    <col min="47" max="47" width="22.5703125" style="14" customWidth="1"/>
    <col min="48" max="48" width="69.140625" style="4" hidden="1" customWidth="1"/>
    <col min="49" max="49" width="23.5703125" style="1" customWidth="1"/>
    <col min="50" max="16384" width="10.85546875" style="1"/>
  </cols>
  <sheetData>
    <row r="1" spans="1:49" x14ac:dyDescent="0.25">
      <c r="A1" s="5">
        <v>2021</v>
      </c>
    </row>
    <row r="2" spans="1:49" ht="25.5" x14ac:dyDescent="0.35">
      <c r="B2" s="163" t="s">
        <v>14</v>
      </c>
      <c r="C2" s="163"/>
      <c r="D2" s="163"/>
      <c r="E2" s="163"/>
      <c r="F2" s="163"/>
      <c r="G2" s="163"/>
      <c r="H2" s="163"/>
      <c r="I2" s="163"/>
      <c r="J2" s="163"/>
      <c r="K2" s="163"/>
      <c r="L2" s="163"/>
      <c r="M2" s="163"/>
      <c r="N2" s="163"/>
      <c r="O2" s="163"/>
      <c r="P2" s="163"/>
      <c r="Q2" s="163"/>
      <c r="R2" s="163"/>
      <c r="S2" s="163"/>
      <c r="T2" s="163"/>
      <c r="U2" s="163"/>
      <c r="V2" s="163"/>
      <c r="W2" s="163"/>
      <c r="X2" s="163"/>
      <c r="Y2" s="163"/>
      <c r="Z2" s="163"/>
      <c r="AA2" s="163"/>
      <c r="AB2" s="163"/>
      <c r="AC2" s="163"/>
      <c r="AD2" s="163"/>
      <c r="AE2" s="163"/>
      <c r="AF2" s="163"/>
      <c r="AG2" s="163"/>
      <c r="AH2" s="163"/>
      <c r="AI2" s="163"/>
      <c r="AJ2" s="163"/>
      <c r="AK2" s="163"/>
      <c r="AL2" s="163"/>
      <c r="AM2" s="163"/>
      <c r="AN2" s="163"/>
      <c r="AO2" s="163"/>
      <c r="AP2" s="163"/>
      <c r="AQ2" s="163"/>
      <c r="AR2" s="163"/>
      <c r="AS2" s="164"/>
      <c r="AT2" s="165"/>
    </row>
    <row r="4" spans="1:49" ht="18" customHeight="1" x14ac:dyDescent="0.2">
      <c r="A4" s="158" t="s">
        <v>0</v>
      </c>
      <c r="B4" s="158"/>
      <c r="C4" s="166" t="s">
        <v>13</v>
      </c>
      <c r="D4" s="166"/>
      <c r="E4" s="166"/>
      <c r="F4" s="2"/>
      <c r="G4" s="2"/>
      <c r="H4" s="2"/>
      <c r="I4" s="2"/>
      <c r="J4" s="2"/>
      <c r="K4" s="2"/>
      <c r="L4" s="2"/>
      <c r="M4" s="6"/>
      <c r="N4" s="9"/>
      <c r="O4" s="11"/>
      <c r="P4" s="2"/>
      <c r="Q4" s="6"/>
      <c r="R4" s="2"/>
      <c r="S4" s="11"/>
      <c r="T4" s="27"/>
      <c r="U4" s="6"/>
      <c r="V4" s="2"/>
      <c r="W4" s="11"/>
      <c r="X4" s="2"/>
      <c r="Y4" s="11"/>
      <c r="Z4" s="2"/>
      <c r="AA4" s="11"/>
      <c r="AB4" s="2"/>
      <c r="AC4" s="11"/>
      <c r="AD4" s="2"/>
      <c r="AE4" s="11"/>
      <c r="AF4" s="2"/>
      <c r="AG4" s="11"/>
      <c r="AH4" s="2"/>
      <c r="AI4" s="11"/>
      <c r="AJ4" s="2"/>
      <c r="AK4" s="11"/>
      <c r="AL4" s="2"/>
      <c r="AM4" s="11"/>
      <c r="AN4" s="2"/>
      <c r="AO4" s="11"/>
      <c r="AP4" s="2"/>
      <c r="AQ4" s="11"/>
      <c r="AR4" s="2"/>
      <c r="AS4" s="13"/>
    </row>
    <row r="5" spans="1:49" ht="18" customHeight="1" x14ac:dyDescent="0.2">
      <c r="A5" s="158" t="s">
        <v>1</v>
      </c>
      <c r="B5" s="158"/>
      <c r="C5" s="166" t="s">
        <v>103</v>
      </c>
      <c r="D5" s="166"/>
      <c r="E5" s="166"/>
      <c r="F5" s="2"/>
      <c r="G5" s="2"/>
      <c r="H5" s="2"/>
      <c r="I5" s="2"/>
      <c r="J5" s="2"/>
      <c r="K5" s="2"/>
      <c r="L5" s="2"/>
      <c r="M5" s="6"/>
      <c r="N5" s="9"/>
      <c r="O5" s="11"/>
      <c r="P5" s="2"/>
      <c r="Q5" s="6"/>
      <c r="R5" s="2"/>
      <c r="S5" s="11"/>
      <c r="T5" s="27"/>
      <c r="U5" s="6"/>
      <c r="V5" s="2"/>
      <c r="W5" s="11"/>
      <c r="X5" s="2"/>
      <c r="Y5" s="11"/>
      <c r="Z5" s="2"/>
      <c r="AA5" s="11"/>
      <c r="AB5" s="2"/>
      <c r="AC5" s="11"/>
      <c r="AD5" s="2"/>
      <c r="AE5" s="11"/>
      <c r="AF5" s="2"/>
      <c r="AG5" s="11"/>
      <c r="AH5" s="2"/>
      <c r="AI5" s="11"/>
      <c r="AJ5" s="2"/>
      <c r="AK5" s="11"/>
      <c r="AL5" s="2"/>
      <c r="AM5" s="11"/>
      <c r="AN5" s="2"/>
      <c r="AO5" s="11"/>
      <c r="AP5" s="2"/>
      <c r="AQ5" s="11"/>
      <c r="AR5" s="2"/>
      <c r="AS5" s="13"/>
    </row>
    <row r="6" spans="1:49" ht="16.5" customHeight="1" x14ac:dyDescent="0.2">
      <c r="A6" s="158" t="s">
        <v>2</v>
      </c>
      <c r="B6" s="158"/>
      <c r="C6" s="41">
        <v>2021</v>
      </c>
      <c r="D6" s="42"/>
      <c r="E6" s="42"/>
      <c r="F6" s="2"/>
      <c r="G6" s="2"/>
      <c r="H6" s="2"/>
      <c r="I6" s="2"/>
      <c r="J6" s="2"/>
      <c r="K6" s="2"/>
      <c r="L6" s="2"/>
      <c r="M6" s="6"/>
      <c r="N6" s="9"/>
      <c r="O6" s="11"/>
      <c r="P6" s="2"/>
      <c r="Q6" s="6"/>
      <c r="R6" s="2"/>
      <c r="S6" s="11"/>
      <c r="T6" s="27"/>
      <c r="U6" s="6"/>
      <c r="V6" s="2"/>
      <c r="W6" s="11"/>
      <c r="X6" s="2"/>
      <c r="Y6" s="11"/>
      <c r="Z6" s="2"/>
      <c r="AA6" s="11"/>
      <c r="AB6" s="2"/>
      <c r="AC6" s="11"/>
      <c r="AD6" s="2"/>
      <c r="AE6" s="11"/>
      <c r="AF6" s="2"/>
      <c r="AG6" s="11"/>
      <c r="AH6" s="2"/>
      <c r="AI6" s="11"/>
      <c r="AJ6" s="2"/>
      <c r="AK6" s="11"/>
      <c r="AL6" s="2"/>
      <c r="AM6" s="11"/>
      <c r="AN6" s="2"/>
      <c r="AO6" s="11"/>
      <c r="AP6" s="2"/>
      <c r="AQ6" s="11"/>
      <c r="AR6" s="2"/>
      <c r="AS6" s="13"/>
    </row>
    <row r="7" spans="1:49" ht="31.5" customHeight="1" x14ac:dyDescent="0.2">
      <c r="A7" s="158" t="s">
        <v>3</v>
      </c>
      <c r="B7" s="158"/>
      <c r="C7" s="41" t="s">
        <v>114</v>
      </c>
      <c r="D7" s="42"/>
      <c r="E7" s="42"/>
      <c r="F7" s="2"/>
      <c r="G7" s="2"/>
      <c r="H7" s="2"/>
      <c r="I7" s="2"/>
      <c r="J7" s="2"/>
      <c r="K7" s="2"/>
      <c r="L7" s="2"/>
      <c r="M7" s="6"/>
      <c r="N7" s="9"/>
      <c r="O7" s="11"/>
      <c r="P7" s="2"/>
      <c r="Q7" s="6"/>
      <c r="R7" s="2"/>
      <c r="S7" s="11"/>
      <c r="T7" s="27"/>
      <c r="U7" s="6"/>
      <c r="V7" s="2"/>
      <c r="W7" s="11"/>
      <c r="X7" s="2"/>
      <c r="Y7" s="11"/>
      <c r="Z7" s="2"/>
      <c r="AA7" s="11"/>
      <c r="AB7" s="2"/>
      <c r="AC7" s="11"/>
      <c r="AD7" s="2"/>
      <c r="AE7" s="11"/>
      <c r="AF7" s="2"/>
      <c r="AG7" s="11"/>
      <c r="AH7" s="2"/>
      <c r="AI7" s="11"/>
      <c r="AJ7" s="2"/>
      <c r="AK7" s="11"/>
      <c r="AL7" s="2"/>
      <c r="AM7" s="11"/>
      <c r="AN7" s="2"/>
      <c r="AO7" s="11"/>
      <c r="AP7" s="2"/>
      <c r="AQ7" s="11"/>
      <c r="AR7" s="2"/>
      <c r="AS7" s="13"/>
    </row>
    <row r="8" spans="1:49" ht="2.25" customHeight="1" x14ac:dyDescent="0.25">
      <c r="B8" s="17"/>
      <c r="C8" s="18"/>
      <c r="D8" s="2"/>
      <c r="E8" s="18"/>
      <c r="F8" s="2"/>
      <c r="G8" s="2"/>
      <c r="H8" s="2"/>
      <c r="I8" s="2"/>
      <c r="J8" s="2"/>
      <c r="K8" s="2"/>
      <c r="L8" s="2"/>
      <c r="M8" s="6"/>
      <c r="N8" s="9"/>
      <c r="O8" s="11"/>
      <c r="P8" s="2"/>
      <c r="Q8" s="6"/>
      <c r="R8" s="2"/>
      <c r="S8" s="11"/>
      <c r="T8" s="27"/>
      <c r="U8" s="6"/>
      <c r="V8" s="2"/>
      <c r="W8" s="11"/>
      <c r="X8" s="2"/>
      <c r="Y8" s="11"/>
      <c r="Z8" s="2"/>
      <c r="AA8" s="11"/>
      <c r="AB8" s="2"/>
      <c r="AC8" s="11"/>
      <c r="AD8" s="2"/>
      <c r="AE8" s="11"/>
      <c r="AF8" s="2"/>
      <c r="AG8" s="11"/>
      <c r="AH8" s="2"/>
      <c r="AI8" s="11"/>
      <c r="AJ8" s="2"/>
      <c r="AK8" s="11"/>
      <c r="AL8" s="2"/>
      <c r="AM8" s="11"/>
      <c r="AN8" s="2"/>
      <c r="AO8" s="11"/>
      <c r="AP8" s="2"/>
      <c r="AQ8" s="11"/>
      <c r="AR8" s="2"/>
      <c r="AS8" s="13"/>
    </row>
    <row r="9" spans="1:49" s="31" customFormat="1" ht="42.75" x14ac:dyDescent="0.2">
      <c r="A9" s="32" t="s">
        <v>4</v>
      </c>
      <c r="B9" s="32" t="s">
        <v>5</v>
      </c>
      <c r="C9" s="33" t="s">
        <v>6</v>
      </c>
      <c r="D9" s="32" t="s">
        <v>7</v>
      </c>
      <c r="E9" s="33" t="s">
        <v>8</v>
      </c>
      <c r="F9" s="33" t="s">
        <v>9</v>
      </c>
      <c r="G9" s="33" t="s">
        <v>60</v>
      </c>
      <c r="H9" s="33" t="s">
        <v>61</v>
      </c>
      <c r="I9" s="33" t="s">
        <v>58</v>
      </c>
      <c r="J9" s="33" t="s">
        <v>59</v>
      </c>
      <c r="K9" s="33" t="s">
        <v>16</v>
      </c>
      <c r="L9" s="33" t="s">
        <v>17</v>
      </c>
      <c r="M9" s="34" t="s">
        <v>18</v>
      </c>
      <c r="N9" s="35" t="s">
        <v>19</v>
      </c>
      <c r="O9" s="36" t="s">
        <v>21</v>
      </c>
      <c r="P9" s="33" t="s">
        <v>22</v>
      </c>
      <c r="Q9" s="34" t="s">
        <v>23</v>
      </c>
      <c r="R9" s="33" t="s">
        <v>24</v>
      </c>
      <c r="S9" s="36" t="s">
        <v>25</v>
      </c>
      <c r="T9" s="37" t="s">
        <v>26</v>
      </c>
      <c r="U9" s="34" t="s">
        <v>27</v>
      </c>
      <c r="V9" s="33" t="s">
        <v>28</v>
      </c>
      <c r="W9" s="36" t="s">
        <v>29</v>
      </c>
      <c r="X9" s="33" t="s">
        <v>30</v>
      </c>
      <c r="Y9" s="36" t="s">
        <v>31</v>
      </c>
      <c r="Z9" s="33" t="s">
        <v>32</v>
      </c>
      <c r="AA9" s="36" t="s">
        <v>33</v>
      </c>
      <c r="AB9" s="33" t="s">
        <v>34</v>
      </c>
      <c r="AC9" s="38" t="s">
        <v>35</v>
      </c>
      <c r="AD9" s="33" t="s">
        <v>36</v>
      </c>
      <c r="AE9" s="36" t="s">
        <v>37</v>
      </c>
      <c r="AF9" s="33" t="s">
        <v>38</v>
      </c>
      <c r="AG9" s="36" t="s">
        <v>39</v>
      </c>
      <c r="AH9" s="33" t="s">
        <v>40</v>
      </c>
      <c r="AI9" s="36" t="s">
        <v>41</v>
      </c>
      <c r="AJ9" s="33" t="s">
        <v>42</v>
      </c>
      <c r="AK9" s="36" t="s">
        <v>43</v>
      </c>
      <c r="AL9" s="33" t="s">
        <v>44</v>
      </c>
      <c r="AM9" s="38" t="s">
        <v>45</v>
      </c>
      <c r="AN9" s="33" t="s">
        <v>46</v>
      </c>
      <c r="AO9" s="36" t="s">
        <v>47</v>
      </c>
      <c r="AP9" s="33" t="s">
        <v>48</v>
      </c>
      <c r="AQ9" s="36" t="s">
        <v>49</v>
      </c>
      <c r="AR9" s="33" t="s">
        <v>50</v>
      </c>
      <c r="AS9" s="36" t="s">
        <v>15</v>
      </c>
      <c r="AT9" s="110" t="s">
        <v>10</v>
      </c>
      <c r="AU9" s="39" t="s">
        <v>11</v>
      </c>
      <c r="AV9" s="40" t="s">
        <v>20</v>
      </c>
      <c r="AW9" s="29"/>
    </row>
    <row r="10" spans="1:49" s="30" customFormat="1" ht="30" x14ac:dyDescent="0.25">
      <c r="A10" s="22">
        <v>1</v>
      </c>
      <c r="B10" s="132"/>
      <c r="C10" s="26" t="s">
        <v>51</v>
      </c>
      <c r="D10" s="133">
        <v>252</v>
      </c>
      <c r="E10" s="28" t="s">
        <v>57</v>
      </c>
      <c r="F10" s="133" t="s">
        <v>12</v>
      </c>
      <c r="G10" s="22"/>
      <c r="H10" s="22"/>
      <c r="I10" s="22"/>
      <c r="J10" s="22"/>
      <c r="K10" s="22"/>
      <c r="L10" s="22"/>
      <c r="M10" s="134"/>
      <c r="N10" s="135"/>
      <c r="O10" s="24"/>
      <c r="P10" s="22"/>
      <c r="Q10" s="134"/>
      <c r="R10" s="22"/>
      <c r="S10" s="136">
        <v>800</v>
      </c>
      <c r="T10" s="137">
        <f>+S10*AT10</f>
        <v>2016000</v>
      </c>
      <c r="U10" s="134"/>
      <c r="V10" s="22"/>
      <c r="W10" s="24"/>
      <c r="X10" s="22"/>
      <c r="Y10" s="24"/>
      <c r="Z10" s="22"/>
      <c r="AA10" s="24"/>
      <c r="AB10" s="22"/>
      <c r="AC10" s="24"/>
      <c r="AD10" s="22"/>
      <c r="AE10" s="24"/>
      <c r="AF10" s="22"/>
      <c r="AG10" s="24"/>
      <c r="AH10" s="22"/>
      <c r="AI10" s="24"/>
      <c r="AJ10" s="22"/>
      <c r="AK10" s="24"/>
      <c r="AL10" s="22"/>
      <c r="AM10" s="24"/>
      <c r="AN10" s="22"/>
      <c r="AO10" s="24"/>
      <c r="AP10" s="22"/>
      <c r="AQ10" s="24"/>
      <c r="AR10" s="22"/>
      <c r="AS10" s="24">
        <f>+S10</f>
        <v>800</v>
      </c>
      <c r="AT10" s="138">
        <v>2520</v>
      </c>
      <c r="AU10" s="111">
        <f>+AS10*AT10</f>
        <v>2016000</v>
      </c>
      <c r="AV10" s="112"/>
    </row>
    <row r="11" spans="1:49" s="30" customFormat="1" ht="60" customHeight="1" x14ac:dyDescent="0.25">
      <c r="A11" s="22">
        <v>2</v>
      </c>
      <c r="B11" s="132"/>
      <c r="C11" s="26" t="s">
        <v>51</v>
      </c>
      <c r="D11" s="133">
        <v>252</v>
      </c>
      <c r="E11" s="28" t="s">
        <v>56</v>
      </c>
      <c r="F11" s="133" t="s">
        <v>12</v>
      </c>
      <c r="G11" s="22"/>
      <c r="H11" s="22"/>
      <c r="I11" s="22"/>
      <c r="J11" s="22"/>
      <c r="K11" s="22"/>
      <c r="L11" s="22"/>
      <c r="M11" s="134"/>
      <c r="N11" s="135"/>
      <c r="O11" s="24"/>
      <c r="P11" s="22"/>
      <c r="Q11" s="134"/>
      <c r="R11" s="22"/>
      <c r="S11" s="136">
        <v>3000</v>
      </c>
      <c r="T11" s="137">
        <f t="shared" ref="T11:T14" si="0">+S11*AT11</f>
        <v>4531410</v>
      </c>
      <c r="U11" s="134"/>
      <c r="V11" s="22"/>
      <c r="W11" s="24"/>
      <c r="X11" s="22"/>
      <c r="Y11" s="24"/>
      <c r="Z11" s="22"/>
      <c r="AA11" s="24"/>
      <c r="AB11" s="22"/>
      <c r="AC11" s="24"/>
      <c r="AD11" s="22"/>
      <c r="AE11" s="24"/>
      <c r="AF11" s="22"/>
      <c r="AG11" s="24"/>
      <c r="AH11" s="22"/>
      <c r="AI11" s="24"/>
      <c r="AJ11" s="22"/>
      <c r="AK11" s="24"/>
      <c r="AL11" s="22"/>
      <c r="AM11" s="24"/>
      <c r="AN11" s="22"/>
      <c r="AO11" s="24"/>
      <c r="AP11" s="22"/>
      <c r="AQ11" s="24"/>
      <c r="AR11" s="22"/>
      <c r="AS11" s="24">
        <f t="shared" ref="AS11:AS14" si="1">+S11</f>
        <v>3000</v>
      </c>
      <c r="AT11" s="138">
        <v>1510.47</v>
      </c>
      <c r="AU11" s="111">
        <f t="shared" ref="AU11:AU14" si="2">+AS11*AT11</f>
        <v>4531410</v>
      </c>
      <c r="AV11" s="112"/>
    </row>
    <row r="12" spans="1:49" s="30" customFormat="1" ht="26.25" customHeight="1" x14ac:dyDescent="0.25">
      <c r="A12" s="22">
        <v>3</v>
      </c>
      <c r="B12" s="132"/>
      <c r="C12" s="26" t="s">
        <v>51</v>
      </c>
      <c r="D12" s="133">
        <v>252</v>
      </c>
      <c r="E12" s="28" t="s">
        <v>52</v>
      </c>
      <c r="F12" s="133" t="s">
        <v>12</v>
      </c>
      <c r="G12" s="22"/>
      <c r="H12" s="22"/>
      <c r="I12" s="22"/>
      <c r="J12" s="22"/>
      <c r="K12" s="22"/>
      <c r="L12" s="22"/>
      <c r="M12" s="134"/>
      <c r="N12" s="135"/>
      <c r="O12" s="24"/>
      <c r="P12" s="22"/>
      <c r="Q12" s="134"/>
      <c r="R12" s="22"/>
      <c r="S12" s="136">
        <v>18000</v>
      </c>
      <c r="T12" s="137">
        <f t="shared" si="0"/>
        <v>75600</v>
      </c>
      <c r="U12" s="134"/>
      <c r="V12" s="22"/>
      <c r="W12" s="24"/>
      <c r="X12" s="22"/>
      <c r="Y12" s="24"/>
      <c r="Z12" s="22"/>
      <c r="AA12" s="24"/>
      <c r="AB12" s="22"/>
      <c r="AC12" s="24"/>
      <c r="AD12" s="22"/>
      <c r="AE12" s="24"/>
      <c r="AF12" s="22"/>
      <c r="AG12" s="24"/>
      <c r="AH12" s="22"/>
      <c r="AI12" s="24"/>
      <c r="AJ12" s="22"/>
      <c r="AK12" s="24"/>
      <c r="AL12" s="22"/>
      <c r="AM12" s="24"/>
      <c r="AN12" s="22"/>
      <c r="AO12" s="24"/>
      <c r="AP12" s="22"/>
      <c r="AQ12" s="24"/>
      <c r="AR12" s="22"/>
      <c r="AS12" s="24">
        <f t="shared" si="1"/>
        <v>18000</v>
      </c>
      <c r="AT12" s="138">
        <v>4.2</v>
      </c>
      <c r="AU12" s="111">
        <f t="shared" si="2"/>
        <v>75600</v>
      </c>
      <c r="AV12" s="112"/>
    </row>
    <row r="13" spans="1:49" s="30" customFormat="1" ht="26.25" customHeight="1" x14ac:dyDescent="0.25">
      <c r="A13" s="22">
        <v>4</v>
      </c>
      <c r="B13" s="132"/>
      <c r="C13" s="26" t="s">
        <v>51</v>
      </c>
      <c r="D13" s="133">
        <v>252</v>
      </c>
      <c r="E13" s="28" t="s">
        <v>54</v>
      </c>
      <c r="F13" s="133" t="s">
        <v>12</v>
      </c>
      <c r="G13" s="22"/>
      <c r="H13" s="22"/>
      <c r="I13" s="22"/>
      <c r="J13" s="22"/>
      <c r="K13" s="22"/>
      <c r="L13" s="22"/>
      <c r="M13" s="134"/>
      <c r="N13" s="135"/>
      <c r="O13" s="24"/>
      <c r="P13" s="22"/>
      <c r="Q13" s="134"/>
      <c r="R13" s="22"/>
      <c r="S13" s="136">
        <v>10000</v>
      </c>
      <c r="T13" s="137">
        <f>+S13*AT13</f>
        <v>37300</v>
      </c>
      <c r="U13" s="134"/>
      <c r="V13" s="22"/>
      <c r="W13" s="24"/>
      <c r="X13" s="22"/>
      <c r="Y13" s="24"/>
      <c r="Z13" s="22"/>
      <c r="AA13" s="24"/>
      <c r="AB13" s="22"/>
      <c r="AC13" s="24"/>
      <c r="AD13" s="22"/>
      <c r="AE13" s="24"/>
      <c r="AF13" s="22"/>
      <c r="AG13" s="24"/>
      <c r="AH13" s="22"/>
      <c r="AI13" s="24"/>
      <c r="AJ13" s="22"/>
      <c r="AK13" s="24"/>
      <c r="AL13" s="22"/>
      <c r="AM13" s="24"/>
      <c r="AN13" s="22"/>
      <c r="AO13" s="24"/>
      <c r="AP13" s="22"/>
      <c r="AQ13" s="24"/>
      <c r="AR13" s="22"/>
      <c r="AS13" s="24">
        <f>+S13</f>
        <v>10000</v>
      </c>
      <c r="AT13" s="138">
        <v>3.73</v>
      </c>
      <c r="AU13" s="111">
        <f>+AS13*AT13</f>
        <v>37300</v>
      </c>
      <c r="AV13" s="112"/>
    </row>
    <row r="14" spans="1:49" s="30" customFormat="1" ht="26.25" customHeight="1" x14ac:dyDescent="0.25">
      <c r="A14" s="22">
        <v>5</v>
      </c>
      <c r="B14" s="132"/>
      <c r="C14" s="26" t="s">
        <v>51</v>
      </c>
      <c r="D14" s="133">
        <v>252</v>
      </c>
      <c r="E14" s="28" t="s">
        <v>53</v>
      </c>
      <c r="F14" s="133" t="s">
        <v>12</v>
      </c>
      <c r="G14" s="22"/>
      <c r="H14" s="22"/>
      <c r="I14" s="22"/>
      <c r="J14" s="22"/>
      <c r="K14" s="22"/>
      <c r="L14" s="22"/>
      <c r="M14" s="134"/>
      <c r="N14" s="135"/>
      <c r="O14" s="24"/>
      <c r="P14" s="22"/>
      <c r="Q14" s="134"/>
      <c r="R14" s="22"/>
      <c r="S14" s="136">
        <v>30000</v>
      </c>
      <c r="T14" s="137">
        <f t="shared" si="0"/>
        <v>156000</v>
      </c>
      <c r="U14" s="134"/>
      <c r="V14" s="22"/>
      <c r="W14" s="24"/>
      <c r="X14" s="22"/>
      <c r="Y14" s="24"/>
      <c r="Z14" s="22"/>
      <c r="AA14" s="24"/>
      <c r="AB14" s="22"/>
      <c r="AC14" s="24"/>
      <c r="AD14" s="22"/>
      <c r="AE14" s="24"/>
      <c r="AF14" s="22"/>
      <c r="AG14" s="24"/>
      <c r="AH14" s="22"/>
      <c r="AI14" s="24"/>
      <c r="AJ14" s="22"/>
      <c r="AK14" s="24"/>
      <c r="AL14" s="22"/>
      <c r="AM14" s="24"/>
      <c r="AN14" s="22"/>
      <c r="AO14" s="24"/>
      <c r="AP14" s="22"/>
      <c r="AQ14" s="24"/>
      <c r="AR14" s="22"/>
      <c r="AS14" s="24">
        <f t="shared" si="1"/>
        <v>30000</v>
      </c>
      <c r="AT14" s="138">
        <v>5.2</v>
      </c>
      <c r="AU14" s="111">
        <f t="shared" si="2"/>
        <v>156000</v>
      </c>
      <c r="AV14" s="112"/>
    </row>
    <row r="15" spans="1:49" s="30" customFormat="1" ht="26.25" customHeight="1" x14ac:dyDescent="0.25">
      <c r="A15" s="22"/>
      <c r="B15" s="20"/>
      <c r="C15" s="22"/>
      <c r="D15" s="23"/>
      <c r="E15" s="139" t="s">
        <v>55</v>
      </c>
      <c r="F15" s="139"/>
      <c r="G15" s="139"/>
      <c r="H15" s="139"/>
      <c r="I15" s="139"/>
      <c r="J15" s="139"/>
      <c r="K15" s="139"/>
      <c r="L15" s="139"/>
      <c r="M15" s="139"/>
      <c r="N15" s="139"/>
      <c r="O15" s="139"/>
      <c r="P15" s="139"/>
      <c r="Q15" s="139"/>
      <c r="R15" s="139"/>
      <c r="S15" s="139"/>
      <c r="T15" s="140"/>
      <c r="U15" s="139"/>
      <c r="V15" s="139"/>
      <c r="W15" s="139"/>
      <c r="X15" s="139"/>
      <c r="Y15" s="139"/>
      <c r="Z15" s="139"/>
      <c r="AA15" s="139"/>
      <c r="AB15" s="139"/>
      <c r="AC15" s="139"/>
      <c r="AD15" s="139"/>
      <c r="AE15" s="139"/>
      <c r="AF15" s="139"/>
      <c r="AG15" s="139"/>
      <c r="AH15" s="141"/>
      <c r="AI15" s="25"/>
      <c r="AJ15" s="141"/>
      <c r="AK15" s="25"/>
      <c r="AL15" s="141"/>
      <c r="AM15" s="25"/>
      <c r="AN15" s="141"/>
      <c r="AO15" s="25"/>
      <c r="AP15" s="141"/>
      <c r="AQ15" s="25"/>
      <c r="AR15" s="141"/>
      <c r="AS15" s="25"/>
      <c r="AT15" s="113"/>
      <c r="AU15" s="114">
        <f>SUM(AU10:AU14)</f>
        <v>6816310</v>
      </c>
      <c r="AV15" s="112"/>
    </row>
    <row r="17" spans="2:6" ht="15.75" thickBot="1" x14ac:dyDescent="0.3"/>
    <row r="18" spans="2:6" ht="171.6" customHeight="1" x14ac:dyDescent="0.2">
      <c r="B18" s="115" t="s">
        <v>104</v>
      </c>
      <c r="C18" s="159" t="s">
        <v>121</v>
      </c>
      <c r="D18" s="159"/>
      <c r="E18" s="159"/>
      <c r="F18" s="160"/>
    </row>
    <row r="19" spans="2:6" x14ac:dyDescent="0.25">
      <c r="B19" s="116" t="s">
        <v>105</v>
      </c>
      <c r="C19" s="117" t="s">
        <v>106</v>
      </c>
      <c r="D19" s="118"/>
      <c r="E19" s="119"/>
      <c r="F19" s="120"/>
    </row>
    <row r="20" spans="2:6" x14ac:dyDescent="0.25">
      <c r="B20" s="116"/>
      <c r="C20" s="121"/>
      <c r="D20" s="118"/>
      <c r="E20" s="119"/>
      <c r="F20" s="120"/>
    </row>
    <row r="21" spans="2:6" ht="30" x14ac:dyDescent="0.25">
      <c r="B21" s="116" t="s">
        <v>107</v>
      </c>
      <c r="C21" s="161" t="s">
        <v>108</v>
      </c>
      <c r="D21" s="161"/>
      <c r="E21" s="161"/>
      <c r="F21" s="162"/>
    </row>
    <row r="22" spans="2:6" x14ac:dyDescent="0.25">
      <c r="B22" s="116"/>
      <c r="C22" s="161"/>
      <c r="D22" s="161"/>
      <c r="E22" s="161"/>
      <c r="F22" s="162"/>
    </row>
    <row r="23" spans="2:6" ht="30" x14ac:dyDescent="0.25">
      <c r="B23" s="122" t="s">
        <v>109</v>
      </c>
      <c r="C23" s="123"/>
      <c r="D23" s="124"/>
      <c r="E23" s="125"/>
      <c r="F23" s="126"/>
    </row>
    <row r="24" spans="2:6" x14ac:dyDescent="0.25">
      <c r="B24" s="122"/>
      <c r="C24" s="123"/>
      <c r="D24" s="124"/>
      <c r="E24" s="125"/>
      <c r="F24" s="126"/>
    </row>
    <row r="25" spans="2:6" ht="15.75" thickBot="1" x14ac:dyDescent="0.3">
      <c r="B25" s="127" t="s">
        <v>110</v>
      </c>
      <c r="C25" s="128" t="s">
        <v>111</v>
      </c>
      <c r="D25" s="129"/>
      <c r="E25" s="130"/>
      <c r="F25" s="131"/>
    </row>
  </sheetData>
  <mergeCells count="10">
    <mergeCell ref="B2:AT2"/>
    <mergeCell ref="A4:B4"/>
    <mergeCell ref="C4:E4"/>
    <mergeCell ref="A5:B5"/>
    <mergeCell ref="C5:E5"/>
    <mergeCell ref="A7:B7"/>
    <mergeCell ref="C18:F18"/>
    <mergeCell ref="C21:F21"/>
    <mergeCell ref="C22:F22"/>
    <mergeCell ref="A6:B6"/>
  </mergeCells>
  <conditionalFormatting sqref="B10:B14">
    <cfRule type="duplicateValues" dxfId="23" priority="10906"/>
  </conditionalFormatting>
  <conditionalFormatting sqref="E10:E14">
    <cfRule type="duplicateValues" dxfId="22" priority="10907"/>
  </conditionalFormatting>
  <conditionalFormatting sqref="E10:E14">
    <cfRule type="duplicateValues" dxfId="21" priority="10908"/>
    <cfRule type="duplicateValues" dxfId="20" priority="10909"/>
  </conditionalFormatting>
  <conditionalFormatting sqref="B10:B14 E10:E14">
    <cfRule type="duplicateValues" dxfId="19" priority="10910"/>
  </conditionalFormatting>
  <conditionalFormatting sqref="B15:B17 B1:B9 B26:B1048576">
    <cfRule type="duplicateValues" dxfId="18" priority="12814"/>
  </conditionalFormatting>
  <conditionalFormatting sqref="E16:E17 E1:E9 E26:E1048576">
    <cfRule type="duplicateValues" dxfId="17" priority="12818"/>
  </conditionalFormatting>
  <conditionalFormatting sqref="E16:E17 E1:E9 B1:B9 B15:B17 B26:B1048576 E26:E1048576 AV1:AV1048576">
    <cfRule type="duplicateValues" dxfId="16" priority="12821"/>
  </conditionalFormatting>
  <conditionalFormatting sqref="E16:E17 E26:E1048576">
    <cfRule type="duplicateValues" dxfId="15" priority="12831"/>
  </conditionalFormatting>
  <conditionalFormatting sqref="E16:E17 E1:E9 B15:B17 B1:B9 B26:B1048576 E26:E1048576 AV1:AV1048576">
    <cfRule type="duplicateValues" dxfId="14" priority="12833"/>
  </conditionalFormatting>
  <conditionalFormatting sqref="E16:E17 E1:E9 E26:E1048576">
    <cfRule type="duplicateValues" dxfId="13" priority="12843"/>
    <cfRule type="duplicateValues" dxfId="12" priority="12844"/>
  </conditionalFormatting>
  <conditionalFormatting sqref="E23:E25 E19:E20">
    <cfRule type="duplicateValues" dxfId="11" priority="5"/>
  </conditionalFormatting>
  <conditionalFormatting sqref="E23:E25 B19:B25 E19:E20">
    <cfRule type="duplicateValues" dxfId="10" priority="4"/>
  </conditionalFormatting>
  <conditionalFormatting sqref="E23:E25">
    <cfRule type="duplicateValues" dxfId="9" priority="3"/>
  </conditionalFormatting>
  <conditionalFormatting sqref="E23:E25 E19:E20">
    <cfRule type="duplicateValues" dxfId="8" priority="1"/>
    <cfRule type="duplicateValues" dxfId="7" priority="2"/>
  </conditionalFormatting>
  <conditionalFormatting sqref="B19:B25">
    <cfRule type="duplicateValues" dxfId="6" priority="6"/>
  </conditionalFormatting>
  <conditionalFormatting sqref="E19:E25">
    <cfRule type="duplicateValues" dxfId="5" priority="7"/>
    <cfRule type="duplicateValues" dxfId="4" priority="8"/>
  </conditionalFormatting>
  <conditionalFormatting sqref="E19:E25">
    <cfRule type="duplicateValues" dxfId="3" priority="9"/>
  </conditionalFormatting>
  <conditionalFormatting sqref="E19:E25">
    <cfRule type="duplicateValues" dxfId="2" priority="10"/>
  </conditionalFormatting>
  <conditionalFormatting sqref="B19:B25 E19:E25">
    <cfRule type="duplicateValues" dxfId="1" priority="11"/>
  </conditionalFormatting>
  <conditionalFormatting sqref="B19:B25">
    <cfRule type="duplicateValues" dxfId="0" priority="12"/>
  </conditionalFormatting>
  <pageMargins left="0.70866141732283472" right="0.70866141732283472" top="0.74803149606299213" bottom="0.74803149606299213" header="0.51181102362204722" footer="0.51181102362204722"/>
  <pageSetup paperSize="5" scale="85" firstPageNumber="0"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18"/>
  <sheetViews>
    <sheetView tabSelected="1" workbookViewId="0">
      <selection activeCell="E17" sqref="E17"/>
    </sheetView>
  </sheetViews>
  <sheetFormatPr baseColWidth="10" defaultRowHeight="12.75" x14ac:dyDescent="0.2"/>
  <cols>
    <col min="1" max="1" width="5.5703125" customWidth="1"/>
    <col min="2" max="2" width="15.140625" customWidth="1"/>
    <col min="3" max="3" width="14.140625" customWidth="1"/>
    <col min="4" max="4" width="26" customWidth="1"/>
    <col min="5" max="5" width="8" customWidth="1"/>
    <col min="6" max="6" width="7.85546875" customWidth="1"/>
    <col min="7" max="7" width="21" customWidth="1"/>
    <col min="8" max="8" width="9.28515625" customWidth="1"/>
    <col min="9" max="9" width="14.5703125" customWidth="1"/>
    <col min="10" max="10" width="16" customWidth="1"/>
    <col min="11" max="11" width="15.5703125" customWidth="1"/>
    <col min="13" max="13" width="15.42578125" bestFit="1" customWidth="1"/>
  </cols>
  <sheetData>
    <row r="1" spans="1:13" ht="16.5" thickBot="1" x14ac:dyDescent="0.25">
      <c r="A1" s="180" t="s">
        <v>62</v>
      </c>
      <c r="B1" s="180"/>
      <c r="C1" s="180"/>
      <c r="D1" s="180"/>
      <c r="E1" s="180"/>
      <c r="F1" s="180"/>
      <c r="G1" s="180"/>
      <c r="H1" s="180"/>
      <c r="I1" s="180"/>
      <c r="J1" s="43" t="s">
        <v>63</v>
      </c>
      <c r="K1" s="44" t="s">
        <v>116</v>
      </c>
      <c r="M1" s="45"/>
    </row>
    <row r="2" spans="1:13" ht="16.5" thickBot="1" x14ac:dyDescent="0.25">
      <c r="A2" s="46"/>
      <c r="B2" s="46"/>
      <c r="C2" s="46"/>
      <c r="D2" s="47"/>
      <c r="E2" s="47"/>
      <c r="F2" s="47"/>
      <c r="G2" s="47"/>
      <c r="H2" s="47"/>
      <c r="I2" s="47"/>
      <c r="J2" s="47"/>
      <c r="K2" s="47"/>
      <c r="M2" s="45"/>
    </row>
    <row r="3" spans="1:13" ht="16.5" thickBot="1" x14ac:dyDescent="0.25">
      <c r="A3" s="181" t="s">
        <v>64</v>
      </c>
      <c r="B3" s="181"/>
      <c r="C3" s="181"/>
      <c r="D3" s="48" t="s">
        <v>65</v>
      </c>
      <c r="E3" s="49"/>
      <c r="F3" s="49"/>
      <c r="G3" s="49"/>
      <c r="H3" s="49"/>
      <c r="I3" s="49"/>
      <c r="J3" s="49"/>
      <c r="K3" s="50"/>
      <c r="M3" s="45"/>
    </row>
    <row r="4" spans="1:13" ht="16.5" thickBot="1" x14ac:dyDescent="0.25">
      <c r="A4" s="178" t="s">
        <v>66</v>
      </c>
      <c r="B4" s="178"/>
      <c r="C4" s="178"/>
      <c r="D4" s="48" t="s">
        <v>67</v>
      </c>
      <c r="E4" s="49"/>
      <c r="F4" s="49"/>
      <c r="G4" s="49"/>
      <c r="H4" s="49"/>
      <c r="I4" s="49"/>
      <c r="J4" s="49"/>
      <c r="K4" s="50"/>
      <c r="M4" s="45"/>
    </row>
    <row r="5" spans="1:13" ht="16.5" thickBot="1" x14ac:dyDescent="0.25">
      <c r="A5" s="178" t="s">
        <v>68</v>
      </c>
      <c r="B5" s="178"/>
      <c r="C5" s="178"/>
      <c r="D5" s="48" t="s">
        <v>112</v>
      </c>
      <c r="E5" s="51"/>
      <c r="F5" s="51"/>
      <c r="G5" s="51"/>
      <c r="H5" s="51"/>
      <c r="I5" s="51"/>
      <c r="J5" s="51"/>
      <c r="K5" s="52"/>
      <c r="M5" s="45"/>
    </row>
    <row r="6" spans="1:13" ht="16.5" thickBot="1" x14ac:dyDescent="0.25">
      <c r="A6" s="181" t="s">
        <v>69</v>
      </c>
      <c r="B6" s="181"/>
      <c r="C6" s="181"/>
      <c r="D6" s="48" t="s">
        <v>112</v>
      </c>
      <c r="E6" s="51"/>
      <c r="F6" s="51"/>
      <c r="G6" s="51"/>
      <c r="H6" s="51"/>
      <c r="I6" s="51"/>
      <c r="J6" s="51"/>
      <c r="K6" s="52"/>
      <c r="M6" s="45"/>
    </row>
    <row r="7" spans="1:13" ht="16.5" thickBot="1" x14ac:dyDescent="0.25">
      <c r="A7" s="178" t="s">
        <v>70</v>
      </c>
      <c r="B7" s="178"/>
      <c r="C7" s="178"/>
      <c r="D7" s="179" t="s">
        <v>115</v>
      </c>
      <c r="E7" s="179"/>
      <c r="F7" s="179"/>
      <c r="G7" s="179"/>
      <c r="H7" s="179"/>
      <c r="I7" s="179"/>
      <c r="J7" s="179"/>
      <c r="K7" s="179"/>
      <c r="M7" s="45"/>
    </row>
    <row r="8" spans="1:13" ht="16.5" thickBot="1" x14ac:dyDescent="0.25">
      <c r="A8" s="172" t="s">
        <v>71</v>
      </c>
      <c r="B8" s="172"/>
      <c r="C8" s="172"/>
      <c r="D8" s="173" t="s">
        <v>113</v>
      </c>
      <c r="E8" s="173"/>
      <c r="F8" s="173"/>
      <c r="G8" s="173"/>
      <c r="H8" s="173"/>
      <c r="I8" s="173"/>
      <c r="J8" s="173"/>
      <c r="K8" s="173"/>
      <c r="M8" s="45"/>
    </row>
    <row r="9" spans="1:13" ht="16.5" thickBot="1" x14ac:dyDescent="0.25">
      <c r="A9" s="53"/>
      <c r="B9" s="53"/>
      <c r="C9" s="53"/>
      <c r="D9" s="54"/>
      <c r="E9" s="54"/>
      <c r="F9" s="54"/>
      <c r="G9" s="54"/>
      <c r="H9" s="54"/>
      <c r="I9" s="54"/>
      <c r="J9" s="54"/>
      <c r="K9" s="54"/>
      <c r="M9" s="45"/>
    </row>
    <row r="10" spans="1:13" ht="13.5" thickBot="1" x14ac:dyDescent="0.25">
      <c r="A10" s="174" t="s">
        <v>72</v>
      </c>
      <c r="B10" s="175" t="s">
        <v>73</v>
      </c>
      <c r="C10" s="175" t="s">
        <v>74</v>
      </c>
      <c r="D10" s="175"/>
      <c r="E10" s="175"/>
      <c r="F10" s="175"/>
      <c r="G10" s="175"/>
      <c r="H10" s="176" t="s">
        <v>75</v>
      </c>
      <c r="I10" s="177" t="s">
        <v>76</v>
      </c>
      <c r="J10" s="177" t="s">
        <v>77</v>
      </c>
      <c r="K10" s="177" t="s">
        <v>78</v>
      </c>
      <c r="M10" s="45"/>
    </row>
    <row r="11" spans="1:13" ht="13.5" thickBot="1" x14ac:dyDescent="0.25">
      <c r="A11" s="174"/>
      <c r="B11" s="175"/>
      <c r="C11" s="175"/>
      <c r="D11" s="175"/>
      <c r="E11" s="175"/>
      <c r="F11" s="175"/>
      <c r="G11" s="175"/>
      <c r="H11" s="176"/>
      <c r="I11" s="177"/>
      <c r="J11" s="177"/>
      <c r="K11" s="177"/>
      <c r="M11" s="45"/>
    </row>
    <row r="12" spans="1:13" ht="15" customHeight="1" thickBot="1" x14ac:dyDescent="0.25">
      <c r="A12" s="142">
        <v>1</v>
      </c>
      <c r="B12" s="143"/>
      <c r="C12" s="56" t="str">
        <f>'Necesidades Trimestrales (2)'!E10</f>
        <v>INSULINA ASPARTICA 100 UI  JERINGA PRE LLENADA</v>
      </c>
      <c r="D12" s="57"/>
      <c r="E12" s="57"/>
      <c r="F12" s="57"/>
      <c r="G12" s="58"/>
      <c r="H12" s="146" t="s">
        <v>118</v>
      </c>
      <c r="I12" s="147" t="str">
        <f>'Necesidades Trimestrales (2)'!F10</f>
        <v>UNIDAD</v>
      </c>
      <c r="J12" s="148">
        <f>'Necesidades Trimestrales (2)'!AT10</f>
        <v>2520</v>
      </c>
      <c r="K12" s="55">
        <f>'Necesidades Trimestrales (2)'!AS10</f>
        <v>800</v>
      </c>
      <c r="L12" s="157">
        <f>+J12*K12</f>
        <v>2016000</v>
      </c>
      <c r="M12" s="45">
        <f>+J12*K12</f>
        <v>2016000</v>
      </c>
    </row>
    <row r="13" spans="1:13" ht="15" customHeight="1" x14ac:dyDescent="0.2">
      <c r="A13" s="142">
        <v>2</v>
      </c>
      <c r="B13" s="143"/>
      <c r="C13" s="144" t="str">
        <f>'Necesidades Trimestrales (2)'!E11</f>
        <v>INSULINA NPH HUMANA 100 UI JERINGA PRELLENADA TIPO INSULATARD FLEX PEND</v>
      </c>
      <c r="D13" s="145"/>
      <c r="E13" s="145"/>
      <c r="F13" s="145"/>
      <c r="G13" s="145"/>
      <c r="H13" s="146" t="s">
        <v>118</v>
      </c>
      <c r="I13" s="147" t="str">
        <f>'Necesidades Trimestrales (2)'!F11</f>
        <v>UNIDAD</v>
      </c>
      <c r="J13" s="148">
        <f>'Necesidades Trimestrales (2)'!AT11</f>
        <v>1510.47</v>
      </c>
      <c r="K13" s="55">
        <f>'Necesidades Trimestrales (2)'!AS11</f>
        <v>3000</v>
      </c>
      <c r="L13" s="157">
        <f t="shared" ref="L13:L16" si="0">+J13*K13</f>
        <v>4531410</v>
      </c>
      <c r="M13" s="45">
        <f>+J13*K13</f>
        <v>4531410</v>
      </c>
    </row>
    <row r="14" spans="1:13" ht="15" customHeight="1" x14ac:dyDescent="0.2">
      <c r="A14" s="142">
        <v>3</v>
      </c>
      <c r="B14" s="143"/>
      <c r="C14" s="56" t="str">
        <f>'Necesidades Trimestrales (2)'!E12</f>
        <v>GLIBENCLAMIDA 5 MG COMPRIMIDO</v>
      </c>
      <c r="D14" s="57"/>
      <c r="E14" s="57"/>
      <c r="F14" s="57"/>
      <c r="G14" s="58"/>
      <c r="H14" s="146" t="s">
        <v>118</v>
      </c>
      <c r="I14" s="147" t="str">
        <f>'Necesidades Trimestrales (2)'!F12</f>
        <v>UNIDAD</v>
      </c>
      <c r="J14" s="148">
        <f>'Necesidades Trimestrales (2)'!AT12</f>
        <v>4.2</v>
      </c>
      <c r="K14" s="55">
        <f>'Necesidades Trimestrales (2)'!AS12</f>
        <v>18000</v>
      </c>
      <c r="L14" s="157">
        <f t="shared" si="0"/>
        <v>75600</v>
      </c>
      <c r="M14" s="45">
        <f t="shared" ref="M14:M16" si="1">+J14*K14</f>
        <v>75600</v>
      </c>
    </row>
    <row r="15" spans="1:13" ht="15" customHeight="1" x14ac:dyDescent="0.2">
      <c r="A15" s="142">
        <v>4</v>
      </c>
      <c r="B15" s="143"/>
      <c r="C15" s="56" t="str">
        <f>'Necesidades Trimestrales (2)'!E13</f>
        <v>METFORMINA 500 MG COMPRIMIDO</v>
      </c>
      <c r="D15" s="149"/>
      <c r="E15" s="149"/>
      <c r="F15" s="149"/>
      <c r="G15" s="150"/>
      <c r="H15" s="146" t="s">
        <v>118</v>
      </c>
      <c r="I15" s="147" t="str">
        <f>'Necesidades Trimestrales (2)'!F13</f>
        <v>UNIDAD</v>
      </c>
      <c r="J15" s="148">
        <f>'Necesidades Trimestrales (2)'!AT13</f>
        <v>3.73</v>
      </c>
      <c r="K15" s="55">
        <f>'Necesidades Trimestrales (2)'!AS13</f>
        <v>10000</v>
      </c>
      <c r="L15" s="157">
        <f t="shared" si="0"/>
        <v>37300</v>
      </c>
      <c r="M15" s="45">
        <f>+J15*K15</f>
        <v>37300</v>
      </c>
    </row>
    <row r="16" spans="1:13" ht="15" customHeight="1" x14ac:dyDescent="0.2">
      <c r="A16" s="142">
        <v>5</v>
      </c>
      <c r="B16" s="143"/>
      <c r="C16" s="56" t="str">
        <f>'Necesidades Trimestrales (2)'!E14</f>
        <v>METFORMINA 850 MG COMPRIMIDO</v>
      </c>
      <c r="D16" s="59"/>
      <c r="E16" s="59"/>
      <c r="F16" s="59"/>
      <c r="G16" s="60"/>
      <c r="H16" s="146" t="s">
        <v>118</v>
      </c>
      <c r="I16" s="147" t="str">
        <f>'Necesidades Trimestrales (2)'!F14</f>
        <v>UNIDAD</v>
      </c>
      <c r="J16" s="148">
        <f>'Necesidades Trimestrales (2)'!AT14</f>
        <v>5.2</v>
      </c>
      <c r="K16" s="55">
        <f>'Necesidades Trimestrales (2)'!AS14</f>
        <v>30000</v>
      </c>
      <c r="L16" s="157">
        <f t="shared" si="0"/>
        <v>156000</v>
      </c>
      <c r="M16" s="45">
        <f t="shared" si="1"/>
        <v>156000</v>
      </c>
    </row>
    <row r="17" spans="1:13" ht="15" thickBot="1" x14ac:dyDescent="0.25">
      <c r="A17" s="151"/>
      <c r="B17" s="152"/>
      <c r="C17" s="61"/>
      <c r="D17" s="62"/>
      <c r="E17" s="62"/>
      <c r="F17" s="62"/>
      <c r="G17" s="63"/>
      <c r="H17" s="153"/>
      <c r="I17" s="154"/>
      <c r="J17" s="155"/>
      <c r="K17" s="156"/>
      <c r="M17" s="45"/>
    </row>
    <row r="18" spans="1:13" ht="26.25" customHeight="1" thickBot="1" x14ac:dyDescent="0.25">
      <c r="A18" s="167" t="s">
        <v>119</v>
      </c>
      <c r="B18" s="168"/>
      <c r="C18" s="168"/>
      <c r="D18" s="168"/>
      <c r="E18" s="168"/>
      <c r="F18" s="168"/>
      <c r="G18" s="168"/>
      <c r="H18" s="168"/>
      <c r="I18" s="169"/>
      <c r="J18" s="170">
        <f>SUM(L12:L16)</f>
        <v>6816310</v>
      </c>
      <c r="K18" s="171"/>
      <c r="M18" s="45">
        <f>SUM(M13:M17)</f>
        <v>4800310</v>
      </c>
    </row>
  </sheetData>
  <mergeCells count="18">
    <mergeCell ref="A7:C7"/>
    <mergeCell ref="D7:K7"/>
    <mergeCell ref="A1:I1"/>
    <mergeCell ref="A3:C3"/>
    <mergeCell ref="A4:C4"/>
    <mergeCell ref="A5:C5"/>
    <mergeCell ref="A6:C6"/>
    <mergeCell ref="A18:I18"/>
    <mergeCell ref="J18:K18"/>
    <mergeCell ref="A8:C8"/>
    <mergeCell ref="D8:K8"/>
    <mergeCell ref="A10:A11"/>
    <mergeCell ref="B10:B11"/>
    <mergeCell ref="C10:G11"/>
    <mergeCell ref="H10:H11"/>
    <mergeCell ref="I10:I11"/>
    <mergeCell ref="J10:J11"/>
    <mergeCell ref="K10:K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7"/>
  <sheetViews>
    <sheetView workbookViewId="0">
      <selection activeCell="G26" sqref="G26"/>
    </sheetView>
  </sheetViews>
  <sheetFormatPr baseColWidth="10" defaultRowHeight="12.75" x14ac:dyDescent="0.2"/>
  <cols>
    <col min="1" max="5" width="4.42578125" customWidth="1"/>
    <col min="6" max="6" width="5.5703125" customWidth="1"/>
    <col min="7" max="14" width="4.42578125" customWidth="1"/>
    <col min="15" max="16" width="14.85546875" customWidth="1"/>
    <col min="17" max="17" width="17.7109375" customWidth="1"/>
  </cols>
  <sheetData>
    <row r="1" spans="1:17" ht="18.75" customHeight="1" thickBot="1" x14ac:dyDescent="0.3">
      <c r="A1" s="205" t="s">
        <v>2</v>
      </c>
      <c r="B1" s="205"/>
      <c r="C1" s="205"/>
      <c r="D1" s="206">
        <v>2021</v>
      </c>
      <c r="E1" s="206"/>
      <c r="F1" s="64"/>
      <c r="G1" s="64"/>
      <c r="H1" s="65"/>
      <c r="I1" s="65"/>
      <c r="J1" s="65"/>
      <c r="K1" s="65"/>
      <c r="L1" s="65"/>
      <c r="M1" s="65"/>
      <c r="N1" s="65"/>
      <c r="O1" s="66"/>
      <c r="P1" s="207" t="s">
        <v>79</v>
      </c>
      <c r="Q1" s="207"/>
    </row>
    <row r="2" spans="1:17" ht="18.75" customHeight="1" thickBot="1" x14ac:dyDescent="0.25">
      <c r="A2" s="66"/>
      <c r="B2" s="66"/>
      <c r="C2" s="66"/>
      <c r="D2" s="66"/>
      <c r="E2" s="66"/>
      <c r="F2" s="66"/>
      <c r="G2" s="67"/>
      <c r="H2" s="65"/>
      <c r="I2" s="65"/>
      <c r="J2" s="65"/>
      <c r="K2" s="65"/>
      <c r="L2" s="65"/>
      <c r="M2" s="65"/>
      <c r="N2" s="65"/>
      <c r="O2" s="66"/>
      <c r="P2" s="207"/>
      <c r="Q2" s="207"/>
    </row>
    <row r="3" spans="1:17" ht="18.75" customHeight="1" thickBot="1" x14ac:dyDescent="0.25">
      <c r="A3" s="66"/>
      <c r="B3" s="66"/>
      <c r="C3" s="66"/>
      <c r="D3" s="66"/>
      <c r="E3" s="66"/>
      <c r="F3" s="66"/>
      <c r="G3" s="67"/>
      <c r="H3" s="66"/>
      <c r="I3" s="66"/>
      <c r="J3" s="66"/>
      <c r="K3" s="66"/>
      <c r="L3" s="66"/>
      <c r="M3" s="66"/>
      <c r="N3" s="66"/>
      <c r="O3" s="66"/>
      <c r="P3" s="66"/>
      <c r="Q3" s="66"/>
    </row>
    <row r="4" spans="1:17" ht="18.75" customHeight="1" thickBot="1" x14ac:dyDescent="0.25">
      <c r="A4" s="208" t="s">
        <v>80</v>
      </c>
      <c r="B4" s="208"/>
      <c r="C4" s="208"/>
      <c r="D4" s="208"/>
      <c r="E4" s="208"/>
      <c r="F4" s="208"/>
      <c r="G4" s="68" t="str">
        <f>NP!D3</f>
        <v>040 - Ministerio de Salud</v>
      </c>
      <c r="H4" s="69"/>
      <c r="I4" s="69"/>
      <c r="J4" s="69"/>
      <c r="K4" s="69"/>
      <c r="L4" s="69"/>
      <c r="M4" s="69"/>
      <c r="N4" s="69"/>
      <c r="O4" s="69"/>
      <c r="P4" s="69"/>
      <c r="Q4" s="70"/>
    </row>
    <row r="5" spans="1:17" ht="18.75" customHeight="1" thickBot="1" x14ac:dyDescent="0.25">
      <c r="A5" s="191" t="s">
        <v>66</v>
      </c>
      <c r="B5" s="192"/>
      <c r="C5" s="192"/>
      <c r="D5" s="192"/>
      <c r="E5" s="192"/>
      <c r="F5" s="193"/>
      <c r="G5" s="68" t="str">
        <f>NP!D4</f>
        <v>011 - Direccion Provincial de Administración - Ministerio de Salud</v>
      </c>
      <c r="H5" s="69"/>
      <c r="I5" s="69"/>
      <c r="J5" s="69"/>
      <c r="K5" s="69"/>
      <c r="L5" s="69"/>
      <c r="M5" s="69"/>
      <c r="N5" s="69"/>
      <c r="O5" s="69"/>
      <c r="P5" s="69"/>
      <c r="Q5" s="70"/>
    </row>
    <row r="6" spans="1:17" ht="18.75" customHeight="1" thickBot="1" x14ac:dyDescent="0.25">
      <c r="A6" s="191" t="s">
        <v>68</v>
      </c>
      <c r="B6" s="192"/>
      <c r="C6" s="192"/>
      <c r="D6" s="192"/>
      <c r="E6" s="192"/>
      <c r="F6" s="193"/>
      <c r="G6" s="68" t="str">
        <f>NP!D5</f>
        <v>469 - DIRECCION PROVINCIAL DE FARMACIA E INSUMOS</v>
      </c>
      <c r="H6" s="69"/>
      <c r="I6" s="69"/>
      <c r="J6" s="69"/>
      <c r="K6" s="69"/>
      <c r="L6" s="69"/>
      <c r="M6" s="69"/>
      <c r="N6" s="69"/>
      <c r="O6" s="69"/>
      <c r="P6" s="69"/>
      <c r="Q6" s="70"/>
    </row>
    <row r="7" spans="1:17" ht="18.75" customHeight="1" thickBot="1" x14ac:dyDescent="0.25">
      <c r="A7" s="191" t="s">
        <v>69</v>
      </c>
      <c r="B7" s="192"/>
      <c r="C7" s="192"/>
      <c r="D7" s="192"/>
      <c r="E7" s="192"/>
      <c r="F7" s="193"/>
      <c r="G7" s="68" t="str">
        <f>NP!D6</f>
        <v>469 - DIRECCION PROVINCIAL DE FARMACIA E INSUMOS</v>
      </c>
      <c r="H7" s="69"/>
      <c r="I7" s="69"/>
      <c r="J7" s="69"/>
      <c r="K7" s="69"/>
      <c r="L7" s="69"/>
      <c r="M7" s="69"/>
      <c r="N7" s="69"/>
      <c r="O7" s="69"/>
      <c r="P7" s="69"/>
      <c r="Q7" s="70"/>
    </row>
    <row r="8" spans="1:17" ht="18.75" customHeight="1" thickBot="1" x14ac:dyDescent="0.25">
      <c r="A8" s="194" t="s">
        <v>81</v>
      </c>
      <c r="B8" s="194"/>
      <c r="C8" s="194"/>
      <c r="D8" s="194"/>
      <c r="E8" s="194"/>
      <c r="F8" s="194"/>
      <c r="G8" s="194"/>
      <c r="H8" s="194"/>
      <c r="I8" s="194"/>
      <c r="J8" s="194"/>
      <c r="K8" s="194"/>
      <c r="L8" s="194"/>
      <c r="M8" s="194"/>
      <c r="N8" s="194"/>
      <c r="O8" s="194"/>
      <c r="P8" s="194"/>
      <c r="Q8" s="194"/>
    </row>
    <row r="9" spans="1:17" ht="18.75" customHeight="1" x14ac:dyDescent="0.2">
      <c r="A9" s="195" t="s">
        <v>82</v>
      </c>
      <c r="B9" s="195"/>
      <c r="C9" s="195"/>
      <c r="D9" s="195"/>
      <c r="E9" s="195"/>
      <c r="F9" s="195"/>
      <c r="G9" s="195"/>
      <c r="H9" s="195"/>
      <c r="I9" s="195"/>
      <c r="J9" s="195"/>
      <c r="K9" s="195"/>
      <c r="L9" s="195"/>
      <c r="M9" s="195"/>
      <c r="N9" s="195"/>
      <c r="O9" s="71"/>
      <c r="P9" s="71"/>
      <c r="Q9" s="72"/>
    </row>
    <row r="10" spans="1:17" ht="48.75" customHeight="1" x14ac:dyDescent="0.2">
      <c r="A10" s="196" t="s">
        <v>117</v>
      </c>
      <c r="B10" s="197"/>
      <c r="C10" s="197"/>
      <c r="D10" s="197"/>
      <c r="E10" s="197"/>
      <c r="F10" s="197"/>
      <c r="G10" s="197"/>
      <c r="H10" s="197"/>
      <c r="I10" s="197"/>
      <c r="J10" s="197"/>
      <c r="K10" s="197"/>
      <c r="L10" s="197"/>
      <c r="M10" s="197"/>
      <c r="N10" s="197"/>
      <c r="O10" s="197"/>
      <c r="P10" s="197"/>
      <c r="Q10" s="198"/>
    </row>
    <row r="11" spans="1:17" ht="18.75" customHeight="1" thickBot="1" x14ac:dyDescent="0.25">
      <c r="A11" s="73"/>
      <c r="B11" s="74"/>
      <c r="C11" s="74"/>
      <c r="D11" s="74"/>
      <c r="E11" s="74"/>
      <c r="F11" s="74"/>
      <c r="G11" s="75"/>
      <c r="H11" s="74"/>
      <c r="I11" s="74"/>
      <c r="J11" s="74"/>
      <c r="K11" s="74"/>
      <c r="L11" s="74"/>
      <c r="M11" s="74"/>
      <c r="N11" s="74"/>
      <c r="O11" s="74"/>
      <c r="P11" s="74"/>
      <c r="Q11" s="76"/>
    </row>
    <row r="12" spans="1:17" ht="18.75" customHeight="1" thickBot="1" x14ac:dyDescent="0.25">
      <c r="A12" s="199" t="s">
        <v>83</v>
      </c>
      <c r="B12" s="199"/>
      <c r="C12" s="199"/>
      <c r="D12" s="199"/>
      <c r="E12" s="199"/>
      <c r="F12" s="199"/>
      <c r="G12" s="199"/>
      <c r="H12" s="199"/>
      <c r="I12" s="199"/>
      <c r="J12" s="199"/>
      <c r="K12" s="199"/>
      <c r="L12" s="199"/>
      <c r="M12" s="199"/>
      <c r="N12" s="199"/>
      <c r="O12" s="199"/>
      <c r="P12" s="199"/>
      <c r="Q12" s="199"/>
    </row>
    <row r="13" spans="1:17" ht="18.75" customHeight="1" thickBot="1" x14ac:dyDescent="0.25">
      <c r="A13" s="200" t="s">
        <v>84</v>
      </c>
      <c r="B13" s="200"/>
      <c r="C13" s="200"/>
      <c r="D13" s="200"/>
      <c r="E13" s="200"/>
      <c r="F13" s="200"/>
      <c r="G13" s="200"/>
      <c r="H13" s="200"/>
      <c r="I13" s="200"/>
      <c r="J13" s="200"/>
      <c r="K13" s="200"/>
      <c r="L13" s="200"/>
      <c r="M13" s="200"/>
      <c r="N13" s="200"/>
      <c r="O13" s="201" t="s">
        <v>85</v>
      </c>
      <c r="P13" s="201"/>
      <c r="Q13" s="202" t="s">
        <v>86</v>
      </c>
    </row>
    <row r="14" spans="1:17" ht="18.75" customHeight="1" thickBot="1" x14ac:dyDescent="0.25">
      <c r="A14" s="77" t="s">
        <v>87</v>
      </c>
      <c r="B14" s="78" t="s">
        <v>88</v>
      </c>
      <c r="C14" s="78" t="s">
        <v>89</v>
      </c>
      <c r="D14" s="78" t="s">
        <v>90</v>
      </c>
      <c r="E14" s="78" t="s">
        <v>91</v>
      </c>
      <c r="F14" s="78" t="s">
        <v>92</v>
      </c>
      <c r="G14" s="79" t="s">
        <v>93</v>
      </c>
      <c r="H14" s="78" t="s">
        <v>94</v>
      </c>
      <c r="I14" s="78" t="s">
        <v>95</v>
      </c>
      <c r="J14" s="78" t="s">
        <v>96</v>
      </c>
      <c r="K14" s="78" t="s">
        <v>96</v>
      </c>
      <c r="L14" s="78" t="s">
        <v>97</v>
      </c>
      <c r="M14" s="80" t="s">
        <v>98</v>
      </c>
      <c r="N14" s="81" t="s">
        <v>99</v>
      </c>
      <c r="O14" s="201"/>
      <c r="P14" s="201"/>
      <c r="Q14" s="202"/>
    </row>
    <row r="15" spans="1:17" ht="37.5" customHeight="1" x14ac:dyDescent="0.2">
      <c r="A15" s="82">
        <v>30</v>
      </c>
      <c r="B15" s="83"/>
      <c r="C15" s="83"/>
      <c r="D15" s="83">
        <v>1</v>
      </c>
      <c r="E15" s="83"/>
      <c r="F15" s="83">
        <v>4901</v>
      </c>
      <c r="G15" s="83">
        <v>3</v>
      </c>
      <c r="H15" s="83">
        <v>1</v>
      </c>
      <c r="I15" s="84">
        <v>2</v>
      </c>
      <c r="J15" s="84">
        <v>5</v>
      </c>
      <c r="K15" s="84">
        <v>2</v>
      </c>
      <c r="L15" s="83"/>
      <c r="M15" s="85">
        <v>1</v>
      </c>
      <c r="N15" s="86" t="s">
        <v>100</v>
      </c>
      <c r="O15" s="203" t="s">
        <v>101</v>
      </c>
      <c r="P15" s="204"/>
      <c r="Q15" s="87">
        <f>+'Necesidades Trimestrales (2)'!AU15</f>
        <v>6816310</v>
      </c>
    </row>
    <row r="16" spans="1:17" ht="18.75" customHeight="1" x14ac:dyDescent="0.2">
      <c r="A16" s="88"/>
      <c r="B16" s="89"/>
      <c r="C16" s="89"/>
      <c r="D16" s="89"/>
      <c r="E16" s="89"/>
      <c r="F16" s="89"/>
      <c r="G16" s="89"/>
      <c r="H16" s="89"/>
      <c r="I16" s="89"/>
      <c r="J16" s="89"/>
      <c r="K16" s="89"/>
      <c r="L16" s="89"/>
      <c r="M16" s="90"/>
      <c r="N16" s="91"/>
      <c r="O16" s="182"/>
      <c r="P16" s="190"/>
      <c r="Q16" s="92"/>
    </row>
    <row r="17" spans="1:17" ht="18.75" customHeight="1" x14ac:dyDescent="0.2">
      <c r="A17" s="88"/>
      <c r="B17" s="89"/>
      <c r="C17" s="89"/>
      <c r="D17" s="89"/>
      <c r="E17" s="89"/>
      <c r="F17" s="91"/>
      <c r="G17" s="89"/>
      <c r="H17" s="89"/>
      <c r="I17" s="89"/>
      <c r="J17" s="89"/>
      <c r="K17" s="89"/>
      <c r="L17" s="89"/>
      <c r="M17" s="90"/>
      <c r="N17" s="91"/>
      <c r="O17" s="182"/>
      <c r="P17" s="190"/>
      <c r="Q17" s="92"/>
    </row>
    <row r="18" spans="1:17" ht="18.75" customHeight="1" x14ac:dyDescent="0.2">
      <c r="A18" s="88"/>
      <c r="B18" s="89"/>
      <c r="C18" s="89"/>
      <c r="D18" s="89"/>
      <c r="E18" s="89"/>
      <c r="F18" s="89"/>
      <c r="G18" s="89"/>
      <c r="H18" s="89"/>
      <c r="I18" s="89"/>
      <c r="J18" s="89"/>
      <c r="K18" s="89"/>
      <c r="L18" s="89"/>
      <c r="M18" s="90"/>
      <c r="N18" s="91"/>
      <c r="O18" s="190"/>
      <c r="P18" s="190"/>
      <c r="Q18" s="92"/>
    </row>
    <row r="19" spans="1:17" ht="18.75" customHeight="1" x14ac:dyDescent="0.2">
      <c r="A19" s="88"/>
      <c r="B19" s="89"/>
      <c r="C19" s="89"/>
      <c r="D19" s="89"/>
      <c r="E19" s="89"/>
      <c r="F19" s="91"/>
      <c r="G19" s="89"/>
      <c r="H19" s="89"/>
      <c r="I19" s="89"/>
      <c r="J19" s="89"/>
      <c r="K19" s="89"/>
      <c r="L19" s="89"/>
      <c r="M19" s="90"/>
      <c r="N19" s="91"/>
      <c r="O19" s="190"/>
      <c r="P19" s="190"/>
      <c r="Q19" s="92"/>
    </row>
    <row r="20" spans="1:17" ht="18.75" customHeight="1" x14ac:dyDescent="0.2">
      <c r="A20" s="88"/>
      <c r="B20" s="89"/>
      <c r="C20" s="89"/>
      <c r="D20" s="89"/>
      <c r="E20" s="89"/>
      <c r="F20" s="91"/>
      <c r="G20" s="89"/>
      <c r="H20" s="89"/>
      <c r="I20" s="89"/>
      <c r="J20" s="89"/>
      <c r="K20" s="89"/>
      <c r="L20" s="89"/>
      <c r="M20" s="90"/>
      <c r="N20" s="91"/>
      <c r="O20" s="190"/>
      <c r="P20" s="190"/>
      <c r="Q20" s="92"/>
    </row>
    <row r="21" spans="1:17" ht="18.75" customHeight="1" x14ac:dyDescent="0.2">
      <c r="A21" s="93"/>
      <c r="B21" s="94"/>
      <c r="C21" s="94"/>
      <c r="D21" s="94"/>
      <c r="E21" s="94"/>
      <c r="F21" s="95"/>
      <c r="G21" s="94"/>
      <c r="H21" s="94"/>
      <c r="I21" s="94"/>
      <c r="J21" s="94"/>
      <c r="K21" s="94"/>
      <c r="L21" s="94"/>
      <c r="M21" s="96"/>
      <c r="N21" s="97"/>
      <c r="O21" s="182"/>
      <c r="P21" s="182"/>
      <c r="Q21" s="92"/>
    </row>
    <row r="22" spans="1:17" ht="18.75" customHeight="1" thickBot="1" x14ac:dyDescent="0.25">
      <c r="A22" s="98"/>
      <c r="B22" s="99"/>
      <c r="C22" s="99"/>
      <c r="D22" s="99"/>
      <c r="E22" s="99"/>
      <c r="F22" s="99"/>
      <c r="G22" s="99"/>
      <c r="H22" s="99"/>
      <c r="I22" s="99"/>
      <c r="J22" s="99"/>
      <c r="K22" s="99"/>
      <c r="L22" s="99"/>
      <c r="M22" s="100"/>
      <c r="N22" s="99"/>
      <c r="O22" s="183"/>
      <c r="P22" s="183"/>
      <c r="Q22" s="101"/>
    </row>
    <row r="23" spans="1:17" ht="37.5" customHeight="1" thickBot="1" x14ac:dyDescent="0.25">
      <c r="A23" s="184" t="s">
        <v>120</v>
      </c>
      <c r="B23" s="184"/>
      <c r="C23" s="184"/>
      <c r="D23" s="184"/>
      <c r="E23" s="184"/>
      <c r="F23" s="184"/>
      <c r="G23" s="184"/>
      <c r="H23" s="184"/>
      <c r="I23" s="184"/>
      <c r="J23" s="184"/>
      <c r="K23" s="184"/>
      <c r="L23" s="184"/>
      <c r="M23" s="184"/>
      <c r="N23" s="184"/>
      <c r="O23" s="184"/>
      <c r="P23" s="184"/>
      <c r="Q23" s="102">
        <f>SUM(Q15:Q22)</f>
        <v>6816310</v>
      </c>
    </row>
    <row r="24" spans="1:17" ht="18.75" customHeight="1" thickBot="1" x14ac:dyDescent="0.25">
      <c r="A24" s="185"/>
      <c r="B24" s="185"/>
      <c r="C24" s="185"/>
      <c r="D24" s="185"/>
      <c r="E24" s="185"/>
      <c r="F24" s="185"/>
      <c r="G24" s="185"/>
      <c r="H24" s="185"/>
      <c r="I24" s="185"/>
      <c r="J24" s="185"/>
      <c r="K24" s="185"/>
      <c r="L24" s="185"/>
      <c r="M24" s="185"/>
      <c r="N24" s="185"/>
      <c r="O24" s="185"/>
      <c r="P24" s="185"/>
      <c r="Q24" s="185"/>
    </row>
    <row r="25" spans="1:17" ht="18.75" customHeight="1" thickBot="1" x14ac:dyDescent="0.25">
      <c r="A25" s="186" t="s">
        <v>102</v>
      </c>
      <c r="B25" s="187"/>
      <c r="C25" s="187"/>
      <c r="D25" s="187"/>
      <c r="E25" s="187"/>
      <c r="F25" s="188"/>
      <c r="G25" s="189"/>
      <c r="H25" s="189"/>
      <c r="I25" s="189"/>
      <c r="J25" s="189"/>
      <c r="K25" s="189"/>
      <c r="L25" s="189"/>
      <c r="M25" s="189"/>
      <c r="N25" s="189"/>
      <c r="O25" s="189"/>
      <c r="P25" s="189"/>
      <c r="Q25" s="189"/>
    </row>
    <row r="26" spans="1:17" ht="18.75" customHeight="1" x14ac:dyDescent="0.2">
      <c r="A26" s="103" t="str">
        <f>NP!D8</f>
        <v>Adquisicion del  RUBRO INSULINAS</v>
      </c>
      <c r="B26" s="104"/>
      <c r="C26" s="104"/>
      <c r="D26" s="104"/>
      <c r="E26" s="104"/>
      <c r="F26" s="104"/>
      <c r="G26" s="104"/>
      <c r="H26" s="104"/>
      <c r="I26" s="104"/>
      <c r="J26" s="104"/>
      <c r="K26" s="104"/>
      <c r="L26" s="104"/>
      <c r="M26" s="104"/>
      <c r="N26" s="104"/>
      <c r="O26" s="104"/>
      <c r="P26" s="104"/>
      <c r="Q26" s="105"/>
    </row>
    <row r="27" spans="1:17" ht="18.75" customHeight="1" thickBot="1" x14ac:dyDescent="0.25">
      <c r="A27" s="106"/>
      <c r="B27" s="107"/>
      <c r="C27" s="107"/>
      <c r="D27" s="107"/>
      <c r="E27" s="107"/>
      <c r="F27" s="107"/>
      <c r="G27" s="107"/>
      <c r="H27" s="107"/>
      <c r="I27" s="107"/>
      <c r="J27" s="107"/>
      <c r="K27" s="107"/>
      <c r="L27" s="107"/>
      <c r="M27" s="107"/>
      <c r="N27" s="107"/>
      <c r="O27" s="107"/>
      <c r="P27" s="107"/>
      <c r="Q27" s="108"/>
    </row>
  </sheetData>
  <mergeCells count="26">
    <mergeCell ref="A6:F6"/>
    <mergeCell ref="A1:C1"/>
    <mergeCell ref="D1:E1"/>
    <mergeCell ref="P1:Q2"/>
    <mergeCell ref="A4:F4"/>
    <mergeCell ref="A5:F5"/>
    <mergeCell ref="O20:P20"/>
    <mergeCell ref="A7:F7"/>
    <mergeCell ref="A8:Q8"/>
    <mergeCell ref="A9:N9"/>
    <mergeCell ref="A10:Q10"/>
    <mergeCell ref="A12:Q12"/>
    <mergeCell ref="A13:N13"/>
    <mergeCell ref="O13:P14"/>
    <mergeCell ref="Q13:Q14"/>
    <mergeCell ref="O15:P15"/>
    <mergeCell ref="O16:P16"/>
    <mergeCell ref="O17:P17"/>
    <mergeCell ref="O18:P18"/>
    <mergeCell ref="O19:P19"/>
    <mergeCell ref="O21:P21"/>
    <mergeCell ref="O22:P22"/>
    <mergeCell ref="A23:P23"/>
    <mergeCell ref="A24:Q24"/>
    <mergeCell ref="A25:F25"/>
    <mergeCell ref="G25:Q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4</TotalTime>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Necesidades Trimestrales (2)</vt:lpstr>
      <vt:lpstr>NP</vt:lpstr>
      <vt:lpstr>APG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COMPRAS</cp:lastModifiedBy>
  <cp:revision>2</cp:revision>
  <cp:lastPrinted>2021-02-22T15:06:37Z</cp:lastPrinted>
  <dcterms:created xsi:type="dcterms:W3CDTF">2020-07-17T23:44:49Z</dcterms:created>
  <dcterms:modified xsi:type="dcterms:W3CDTF">2021-08-12T16:47:40Z</dcterms:modified>
  <dc:language>es-AR</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DocSecurity">
    <vt:i4>0</vt:i4>
  </property>
  <property fmtid="{D5CDD505-2E9C-101B-9397-08002B2CF9AE}" pid="4" name="HyperlinksChanged">
    <vt:bool>false</vt:bool>
  </property>
  <property fmtid="{D5CDD505-2E9C-101B-9397-08002B2CF9AE}" pid="5" name="LinksUpToDate">
    <vt:bool>false</vt:bool>
  </property>
  <property fmtid="{D5CDD505-2E9C-101B-9397-08002B2CF9AE}" pid="6" name="ScaleCrop">
    <vt:bool>false</vt:bool>
  </property>
  <property fmtid="{D5CDD505-2E9C-101B-9397-08002B2CF9AE}" pid="7" name="ShareDoc">
    <vt:bool>false</vt:bool>
  </property>
</Properties>
</file>