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3385800D-F605-402F-8D1F-20E45436F4DE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Gastar'!$A$1:$Q$22</definedName>
    <definedName name="_xlnm.Print_Area" localSheetId="0">'Necesidades Trimestrales'!$E$9:$E$10</definedName>
  </definedNames>
  <calcPr calcId="181029"/>
</workbook>
</file>

<file path=xl/calcChain.xml><?xml version="1.0" encoding="utf-8"?>
<calcChain xmlns="http://schemas.openxmlformats.org/spreadsheetml/2006/main">
  <c r="A10" i="3" l="1"/>
  <c r="I12" i="2" l="1"/>
  <c r="J12" i="2"/>
  <c r="K12" i="2"/>
  <c r="C12" i="2"/>
  <c r="B12" i="2"/>
  <c r="I10" i="1" l="1"/>
  <c r="G6" i="3" l="1"/>
  <c r="G7" i="3"/>
  <c r="D7" i="2"/>
  <c r="D3" i="2"/>
  <c r="G4" i="3" s="1"/>
  <c r="D4" i="2"/>
  <c r="G5" i="3" s="1"/>
  <c r="D1" i="3" l="1"/>
  <c r="Q18" i="3" l="1"/>
  <c r="J13" i="2"/>
</calcChain>
</file>

<file path=xl/sharedStrings.xml><?xml version="1.0" encoding="utf-8"?>
<sst xmlns="http://schemas.openxmlformats.org/spreadsheetml/2006/main" count="98" uniqueCount="88">
  <si>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</si>
  <si>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</si>
  <si>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</si>
  <si>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</si>
  <si>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</si>
  <si>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</si>
  <si>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</si>
  <si>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</si>
  <si>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</si>
  <si>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</si>
  <si>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</si>
  <si>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</si>
  <si>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</si>
  <si>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</si>
  <si>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</si>
  <si>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</si>
  <si>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</si>
  <si>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</si>
  <si>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</si>
  <si>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</si>
  <si>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</si>
  <si>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</si>
  <si>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</si>
  <si>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</si>
  <si>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</si>
  <si>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</si>
  <si>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</si>
  <si>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</si>
  <si>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</si>
  <si>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</si>
  <si>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</si>
  <si>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</si>
  <si>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</si>
  <si>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</si>
  <si>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</si>
  <si>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</si>
  <si>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</si>
  <si>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</si>
  <si>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</si>
  <si>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</si>
  <si>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</si>
  <si>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</si>
  <si>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</si>
  <si>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</si>
  <si>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</si>
  <si>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</si>
  <si>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</si>
  <si>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</si>
  <si>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</si>
  <si>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</si>
  <si>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</si>
  <si>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</si>
  <si>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</si>
  <si>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</si>
  <si>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</si>
  <si>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>COMBUSTIBLES Y LUBRICANTES</t>
  </si>
  <si>
    <t>LITRO</t>
  </si>
  <si>
    <t>Adquisición de Combustibles</t>
  </si>
  <si>
    <t>Direccion de Mantenimiento</t>
  </si>
  <si>
    <t>Para la adquisición de Combustibles destinados a los vehiculos y generador de energia de emergencia del Hospital Interzonal de Niños Eva Peron, para el normal funcionamiento del organismo.</t>
  </si>
  <si>
    <t>Plazos y lugares de entrega</t>
  </si>
  <si>
    <t>Mantenimiento</t>
  </si>
  <si>
    <t xml:space="preserve">45 dias habiles 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</si>
  <si>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MANTENIMIENTO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</si>
  <si>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 10 días de notificada la Orden de Compra</t>
    </r>
  </si>
  <si>
    <t>49-21</t>
  </si>
  <si>
    <t>TOTAL DE PESOS: DOSCIENTOS MIL CON 00/100.</t>
  </si>
  <si>
    <t>LISTADO DE VEHICULOS QUE RECIBIRAN EL COMBUSTIBLE</t>
  </si>
  <si>
    <t xml:space="preserve">Motocicleta </t>
  </si>
  <si>
    <t>Marca HONDA</t>
  </si>
  <si>
    <t>PATENTE 645 HDP</t>
  </si>
  <si>
    <t>PATENTE 646 HDP</t>
  </si>
  <si>
    <t>Ambulancia</t>
  </si>
  <si>
    <t>Marca FIAT</t>
  </si>
  <si>
    <t>PATENTE NYF 564</t>
  </si>
  <si>
    <t>Marca RENAUT</t>
  </si>
  <si>
    <t>PATENTE HCQ 070</t>
  </si>
  <si>
    <t xml:space="preserve">Camioneta </t>
  </si>
  <si>
    <t>Marca FORD</t>
  </si>
  <si>
    <t>PATENTE EWY 991</t>
  </si>
  <si>
    <t xml:space="preserve">Grupo ELECTROGENO PARA ENERGIA DE LUZ DE EMERGENCIA </t>
  </si>
  <si>
    <t>EQUIPO GRANDE 500 KV</t>
  </si>
  <si>
    <t xml:space="preserve">EQUIPO CHICO 130 KV </t>
  </si>
  <si>
    <t>2.5.6-797.39</t>
  </si>
  <si>
    <t>NAFTA SUPER; TIPO: SUPER, OCTANO: 95, PRESENTACION: POR LITRO, DESTINO: DPTO. S.F.V. DE CATAMARCA</t>
  </si>
  <si>
    <t>Costo total estimado: DOSCIENTOS MIL  con 00/100.</t>
  </si>
  <si>
    <t>Especificidades Item N° 1</t>
  </si>
  <si>
    <r>
      <rPr>
        <u/>
        <sz val="10"/>
        <rFont val="Arial"/>
        <family val="2"/>
      </rPr>
      <t>Descripcion Técnica</t>
    </r>
    <r>
      <rPr>
        <sz val="10"/>
        <rFont val="Arial"/>
        <charset val="1"/>
      </rPr>
      <t>: a ser entregados en Vales de 10 Litros cada uno.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</si>
</sst>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2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3" xfId="0" applyBorder="1"/>
    <xf numFmtId="0" fontId="0" fillId="0" borderId="18" xfId="0" applyBorder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19" xfId="0" applyBorder="1"/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2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166" fontId="0" fillId="0" borderId="32" xfId="3" applyNumberFormat="1" applyFont="1" applyBorder="1" applyAlignment="1" applyProtection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6" fontId="0" fillId="0" borderId="36" xfId="3" applyNumberFormat="1" applyFont="1" applyBorder="1" applyAlignment="1" applyProtection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19" fillId="0" borderId="41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5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166" fontId="4" fillId="3" borderId="12" xfId="1" applyNumberFormat="1" applyFont="1" applyFill="1" applyBorder="1" applyAlignment="1" applyProtection="1">
      <alignment horizontal="right" vertical="center" wrapText="1"/>
    </xf>
    <xf numFmtId="3" fontId="4" fillId="3" borderId="12" xfId="0" applyNumberFormat="1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24" xfId="0" applyFont="1" applyFill="1" applyBorder="1" applyAlignment="1">
      <alignment horizontal="center" vertical="center"/>
    </xf>
    <xf numFmtId="0" fontId="0" fillId="4" borderId="25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0" fontId="0" fillId="4" borderId="26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 wrapText="1"/>
    </xf>
    <xf numFmtId="0" fontId="21" fillId="4" borderId="45" xfId="0" applyFont="1" applyFill="1" applyBorder="1" applyAlignment="1">
      <alignment horizontal="center" vertical="center" wrapText="1"/>
    </xf>
    <xf numFmtId="166" fontId="20" fillId="4" borderId="45" xfId="1" applyNumberFormat="1" applyFont="1" applyFill="1" applyBorder="1" applyAlignment="1" applyProtection="1">
      <alignment horizontal="right" vertical="center" wrapText="1"/>
    </xf>
    <xf numFmtId="166" fontId="20" fillId="4" borderId="46" xfId="1" applyNumberFormat="1" applyFont="1" applyFill="1" applyBorder="1" applyAlignment="1" applyProtection="1">
      <alignment horizontal="right" vertical="center" wrapText="1"/>
    </xf>
    <xf numFmtId="166" fontId="13" fillId="3" borderId="37" xfId="0" applyNumberFormat="1" applyFont="1" applyFill="1" applyBorder="1" applyAlignment="1">
      <alignment horizontal="center" vertical="center"/>
    </xf>
    <xf numFmtId="166" fontId="0" fillId="3" borderId="27" xfId="3" applyNumberFormat="1" applyFont="1" applyFill="1" applyBorder="1" applyAlignment="1" applyProtection="1">
      <alignment horizontal="center" vertical="center"/>
    </xf>
    <xf numFmtId="0" fontId="23" fillId="0" borderId="50" xfId="0" applyFont="1" applyBorder="1" applyAlignment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51" xfId="0" applyFont="1" applyBorder="1" applyAlignment="1">
      <alignment horizontal="center" wrapText="1"/>
    </xf>
    <xf numFmtId="0" fontId="15" fillId="0" borderId="50" xfId="0" applyFont="1" applyBorder="1" applyAlignment="1">
      <alignment horizontal="left" indent="3"/>
    </xf>
    <xf numFmtId="0" fontId="15" fillId="0" borderId="52" xfId="0" applyFont="1" applyBorder="1" applyAlignment="1">
      <alignment horizontal="left" indent="3"/>
    </xf>
    <xf numFmtId="0" fontId="15" fillId="0" borderId="53" xfId="0" applyFont="1" applyBorder="1"/>
    <xf numFmtId="0" fontId="15" fillId="0" borderId="54" xfId="0" applyFont="1" applyBorder="1"/>
    <xf numFmtId="0" fontId="24" fillId="0" borderId="0" xfId="0" applyFont="1"/>
    <xf numFmtId="0" fontId="15" fillId="0" borderId="55" xfId="0" applyFont="1" applyBorder="1"/>
    <xf numFmtId="0" fontId="15" fillId="0" borderId="56" xfId="0" applyFont="1" applyBorder="1" applyAlignment="1"/>
    <xf numFmtId="0" fontId="15" fillId="0" borderId="57" xfId="0" applyFont="1" applyBorder="1" applyAlignment="1"/>
    <xf numFmtId="0" fontId="24" fillId="0" borderId="58" xfId="0" applyFont="1" applyBorder="1"/>
    <xf numFmtId="0" fontId="15" fillId="0" borderId="59" xfId="0" applyFont="1" applyBorder="1"/>
    <xf numFmtId="0" fontId="15" fillId="0" borderId="60" xfId="0" applyFont="1" applyBorder="1"/>
    <xf numFmtId="0" fontId="15" fillId="0" borderId="61" xfId="0" applyFont="1" applyBorder="1"/>
    <xf numFmtId="0" fontId="15" fillId="0" borderId="0" xfId="0" applyFont="1" applyBorder="1"/>
    <xf numFmtId="0" fontId="15" fillId="0" borderId="62" xfId="0" applyFont="1" applyBorder="1"/>
    <xf numFmtId="0" fontId="15" fillId="0" borderId="63" xfId="0" applyFont="1" applyBorder="1"/>
    <xf numFmtId="0" fontId="15" fillId="0" borderId="64" xfId="0" applyFont="1" applyBorder="1"/>
    <xf numFmtId="0" fontId="15" fillId="0" borderId="65" xfId="0" applyFont="1" applyBorder="1"/>
    <xf numFmtId="0" fontId="0" fillId="0" borderId="45" xfId="0" applyBorder="1" applyAlignment="1">
      <alignment wrapText="1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wrapText="1"/>
    </xf>
    <xf numFmtId="0" fontId="2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21" fillId="4" borderId="0" xfId="0" applyFont="1" applyFill="1" applyBorder="1" applyAlignment="1">
      <alignment horizontal="center" vertical="center" wrapText="1"/>
    </xf>
    <xf numFmtId="166" fontId="20" fillId="4" borderId="0" xfId="1" applyNumberFormat="1" applyFont="1" applyFill="1" applyBorder="1" applyAlignment="1" applyProtection="1">
      <alignment horizontal="right" vertical="center" wrapText="1"/>
    </xf>
    <xf numFmtId="0" fontId="15" fillId="4" borderId="50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51" xfId="5" applyFont="1" applyFill="1" applyBorder="1" applyAlignment="1">
      <alignment horizontal="left" wrapText="1"/>
    </xf>
    <xf numFmtId="0" fontId="15" fillId="4" borderId="51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4" fillId="0" borderId="5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25" fillId="0" borderId="47" xfId="0" applyFon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23" fillId="0" borderId="47" xfId="0" applyFont="1" applyBorder="1" applyAlignment="1">
      <alignment horizontal="left"/>
    </xf>
    <xf numFmtId="0" fontId="23" fillId="0" borderId="48" xfId="0" applyFont="1" applyBorder="1" applyAlignment="1">
      <alignment horizontal="left"/>
    </xf>
    <xf numFmtId="0" fontId="23" fillId="0" borderId="49" xfId="0" applyFont="1" applyBorder="1" applyAlignment="1">
      <alignment horizontal="left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15" fillId="0" borderId="56" xfId="0" applyFont="1" applyBorder="1" applyAlignment="1">
      <alignment horizontal="left"/>
    </xf>
    <xf numFmtId="0" fontId="15" fillId="0" borderId="57" xfId="0" applyFont="1" applyBorder="1" applyAlignment="1">
      <alignment horizontal="left"/>
    </xf>
    <xf numFmtId="0" fontId="15" fillId="0" borderId="56" xfId="0" applyFont="1" applyBorder="1" applyAlignment="1">
      <alignment horizontal="center"/>
    </xf>
    <xf numFmtId="0" fontId="15" fillId="0" borderId="57" xfId="0" applyFont="1" applyBorder="1" applyAlignment="1">
      <alignment horizontal="center"/>
    </xf>
    <xf numFmtId="0" fontId="6" fillId="3" borderId="7" xfId="0" applyFont="1" applyFill="1" applyBorder="1" applyAlignment="1">
      <alignment horizontal="left" vertical="center" wrapText="1" indent="1"/>
    </xf>
    <xf numFmtId="167" fontId="7" fillId="3" borderId="7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 wrapText="1" indent="1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4" borderId="37" xfId="0" applyFont="1" applyFill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/>
    </xf>
    <xf numFmtId="0" fontId="9" fillId="0" borderId="37" xfId="0" applyFont="1" applyBorder="1" applyAlignment="1">
      <alignment horizontal="left" vertical="center" wrapText="1"/>
    </xf>
    <xf numFmtId="0" fontId="0" fillId="0" borderId="15" xfId="0" applyBorder="1"/>
    <xf numFmtId="0" fontId="14" fillId="0" borderId="25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/>
    </xf>
    <xf numFmtId="0" fontId="11" fillId="0" borderId="16" xfId="0" applyFont="1" applyBorder="1"/>
    <xf numFmtId="0" fontId="11" fillId="0" borderId="17" xfId="0" applyFont="1" applyBorder="1" applyAlignment="1">
      <alignment horizontal="left" vertical="center" wrapText="1" indent="1"/>
    </xf>
    <xf numFmtId="0" fontId="13" fillId="0" borderId="1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indent="1"/>
    </xf>
    <xf numFmtId="0" fontId="12" fillId="0" borderId="4" xfId="0" applyFont="1" applyBorder="1" applyAlignment="1">
      <alignment horizontal="left"/>
    </xf>
    <xf numFmtId="0" fontId="0" fillId="0" borderId="13" xfId="0" applyFont="1" applyBorder="1" applyAlignment="1">
      <alignment horizontal="center"/>
    </xf>
    <xf numFmtId="3" fontId="9" fillId="0" borderId="1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2" fillId="0" borderId="4" xfId="0" applyFont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3"/>
  <sheetViews>
    <sheetView tabSelected="1" zoomScale="90" zoomScaleNormal="90" workbookViewId="0">
      <selection activeCell="G16" sqref="G16"/>
    </sheetView>
  </sheetViews>
  <sheetFormatPr baseColWidth="10" defaultColWidth="11" defaultRowHeight="12.75" x14ac:dyDescent="0.2"/>
  <cols>
    <col min="1" max="1" width="4.5703125" style="25" customWidth="1"/>
    <col min="2" max="2" width="14" style="25" customWidth="1"/>
    <col min="3" max="3" width="15.140625" style="25" customWidth="1"/>
    <col min="4" max="4" width="8.42578125" style="25" customWidth="1"/>
    <col min="5" max="5" width="92.7109375" style="25" customWidth="1"/>
    <col min="6" max="6" width="11" style="25"/>
    <col min="7" max="7" width="10.42578125" style="25" bestFit="1" customWidth="1"/>
    <col min="8" max="8" width="13.85546875" style="25" customWidth="1"/>
    <col min="9" max="9" width="18.5703125" style="25" customWidth="1"/>
    <col min="10" max="16384" width="11" style="25"/>
  </cols>
  <sheetData>
    <row r="2" spans="1:9" ht="27" x14ac:dyDescent="0.35">
      <c r="B2" s="109" t="s">
        <v>0</v>
      </c>
      <c r="C2" s="109"/>
      <c r="D2" s="109"/>
      <c r="E2" s="109"/>
      <c r="F2" s="109"/>
      <c r="G2" s="109"/>
      <c r="H2" s="109"/>
    </row>
    <row r="3" spans="1:9" ht="12" customHeight="1" x14ac:dyDescent="0.2"/>
    <row r="4" spans="1:9" ht="18" customHeight="1" x14ac:dyDescent="0.25">
      <c r="A4" s="96" t="s">
        <v>1</v>
      </c>
      <c r="B4" s="96"/>
      <c r="C4" s="110" t="s">
        <v>52</v>
      </c>
      <c r="D4" s="110"/>
      <c r="E4" s="110"/>
      <c r="F4" s="26"/>
      <c r="G4" s="27"/>
      <c r="H4" s="26"/>
    </row>
    <row r="5" spans="1:9" ht="18" customHeight="1" x14ac:dyDescent="0.25">
      <c r="A5" s="96" t="s">
        <v>2</v>
      </c>
      <c r="B5" s="96"/>
      <c r="C5" s="110" t="s">
        <v>51</v>
      </c>
      <c r="D5" s="110"/>
      <c r="E5" s="110"/>
      <c r="F5" s="26"/>
      <c r="G5" s="27"/>
      <c r="H5" s="26"/>
    </row>
    <row r="6" spans="1:9" ht="16.5" customHeight="1" x14ac:dyDescent="0.25">
      <c r="A6" s="96" t="s">
        <v>3</v>
      </c>
      <c r="B6" s="96"/>
      <c r="C6" s="45">
        <v>2021</v>
      </c>
      <c r="D6" s="46"/>
      <c r="E6" s="46"/>
      <c r="F6" s="26"/>
      <c r="G6" s="27"/>
      <c r="H6" s="26"/>
    </row>
    <row r="7" spans="1:9" ht="16.5" customHeight="1" x14ac:dyDescent="0.25">
      <c r="A7" s="96" t="s">
        <v>4</v>
      </c>
      <c r="B7" s="96"/>
      <c r="C7" s="45">
        <v>2</v>
      </c>
      <c r="D7" s="46"/>
      <c r="E7" s="46"/>
      <c r="F7" s="26"/>
      <c r="G7" s="27"/>
      <c r="H7" s="26"/>
    </row>
    <row r="8" spans="1:9" ht="13.5" thickBot="1" x14ac:dyDescent="0.25">
      <c r="B8" s="26"/>
      <c r="C8" s="27"/>
      <c r="D8" s="26"/>
      <c r="E8" s="26"/>
      <c r="F8" s="26"/>
      <c r="G8" s="27"/>
      <c r="H8" s="26"/>
    </row>
    <row r="9" spans="1:9" ht="39" thickTop="1" x14ac:dyDescent="0.2">
      <c r="A9" s="28" t="s">
        <v>5</v>
      </c>
      <c r="B9" s="28" t="s">
        <v>6</v>
      </c>
      <c r="C9" s="28" t="s">
        <v>7</v>
      </c>
      <c r="D9" s="52" t="s">
        <v>8</v>
      </c>
      <c r="E9" s="53" t="s">
        <v>9</v>
      </c>
      <c r="F9" s="30" t="s">
        <v>10</v>
      </c>
      <c r="G9" s="28" t="s">
        <v>11</v>
      </c>
      <c r="H9" s="28" t="s">
        <v>12</v>
      </c>
      <c r="I9" s="28" t="s">
        <v>13</v>
      </c>
    </row>
    <row r="10" spans="1:9" ht="39" thickBot="1" x14ac:dyDescent="0.25">
      <c r="A10" s="54">
        <v>1</v>
      </c>
      <c r="B10" s="83" t="s">
        <v>83</v>
      </c>
      <c r="C10" s="82" t="s">
        <v>55</v>
      </c>
      <c r="D10" s="55">
        <v>256</v>
      </c>
      <c r="E10" s="84" t="s">
        <v>84</v>
      </c>
      <c r="F10" s="56" t="s">
        <v>56</v>
      </c>
      <c r="G10" s="56">
        <v>2000</v>
      </c>
      <c r="H10" s="57">
        <v>100</v>
      </c>
      <c r="I10" s="58">
        <f>G10*H10</f>
        <v>200000</v>
      </c>
    </row>
    <row r="11" spans="1:9" ht="13.5" thickBot="1" x14ac:dyDescent="0.25">
      <c r="A11" s="85"/>
      <c r="B11" s="86"/>
      <c r="C11" s="87"/>
      <c r="D11" s="88"/>
      <c r="E11" s="89"/>
      <c r="F11" s="90"/>
      <c r="G11" s="90"/>
      <c r="H11" s="91"/>
      <c r="I11" s="91"/>
    </row>
    <row r="12" spans="1:9" x14ac:dyDescent="0.2">
      <c r="A12" s="85"/>
      <c r="B12" s="103" t="s">
        <v>86</v>
      </c>
      <c r="C12" s="104"/>
      <c r="D12" s="104"/>
      <c r="E12" s="105"/>
      <c r="F12" s="90"/>
      <c r="G12" s="90"/>
      <c r="H12" s="91"/>
      <c r="I12" s="91"/>
    </row>
    <row r="13" spans="1:9" ht="33" customHeight="1" x14ac:dyDescent="0.2">
      <c r="A13" s="85"/>
      <c r="B13" s="97" t="s">
        <v>87</v>
      </c>
      <c r="C13" s="98"/>
      <c r="D13" s="98"/>
      <c r="E13" s="99"/>
      <c r="F13" s="90"/>
      <c r="G13" s="90"/>
      <c r="H13" s="91"/>
      <c r="I13" s="91"/>
    </row>
    <row r="14" spans="1:9" ht="13.5" thickBot="1" x14ac:dyDescent="0.25">
      <c r="B14" s="100"/>
      <c r="C14" s="101"/>
      <c r="D14" s="101"/>
      <c r="E14" s="102"/>
      <c r="I14" s="29"/>
    </row>
    <row r="15" spans="1:9" x14ac:dyDescent="0.2">
      <c r="B15" s="106" t="s">
        <v>60</v>
      </c>
      <c r="C15" s="107"/>
      <c r="D15" s="107"/>
      <c r="E15" s="108"/>
    </row>
    <row r="16" spans="1:9" ht="12.75" customHeight="1" x14ac:dyDescent="0.2">
      <c r="B16" s="92" t="s">
        <v>63</v>
      </c>
      <c r="C16" s="93"/>
      <c r="D16" s="93"/>
      <c r="E16" s="94"/>
    </row>
    <row r="17" spans="2:5" ht="26.25" customHeight="1" x14ac:dyDescent="0.2">
      <c r="B17" s="92"/>
      <c r="C17" s="93"/>
      <c r="D17" s="93"/>
      <c r="E17" s="94"/>
    </row>
    <row r="18" spans="2:5" ht="26.25" customHeight="1" x14ac:dyDescent="0.2">
      <c r="B18" s="92" t="s">
        <v>64</v>
      </c>
      <c r="C18" s="93"/>
      <c r="D18" s="93"/>
      <c r="E18" s="94"/>
    </row>
    <row r="19" spans="2:5" x14ac:dyDescent="0.2">
      <c r="B19" s="61" t="s">
        <v>61</v>
      </c>
      <c r="C19" s="62"/>
      <c r="D19" s="63"/>
      <c r="E19" s="64"/>
    </row>
    <row r="20" spans="2:5" ht="26.25" customHeight="1" x14ac:dyDescent="0.2">
      <c r="B20" s="65"/>
      <c r="C20" s="95" t="s">
        <v>62</v>
      </c>
      <c r="D20" s="95"/>
      <c r="E20" s="95"/>
    </row>
    <row r="21" spans="2:5" ht="13.5" thickBot="1" x14ac:dyDescent="0.25">
      <c r="B21" s="66"/>
      <c r="C21" s="67"/>
      <c r="D21" s="67"/>
      <c r="E21" s="68"/>
    </row>
    <row r="23" spans="2:5" x14ac:dyDescent="0.2">
      <c r="B23" s="69" t="s">
        <v>67</v>
      </c>
    </row>
    <row r="24" spans="2:5" x14ac:dyDescent="0.2">
      <c r="B24" s="70" t="s">
        <v>68</v>
      </c>
      <c r="C24" s="70" t="s">
        <v>69</v>
      </c>
      <c r="D24" s="71" t="s">
        <v>70</v>
      </c>
      <c r="E24" s="72"/>
    </row>
    <row r="25" spans="2:5" x14ac:dyDescent="0.2">
      <c r="B25" s="70" t="s">
        <v>68</v>
      </c>
      <c r="C25" s="70" t="s">
        <v>69</v>
      </c>
      <c r="D25" s="111" t="s">
        <v>71</v>
      </c>
      <c r="E25" s="112"/>
    </row>
    <row r="26" spans="2:5" x14ac:dyDescent="0.2">
      <c r="B26" s="70"/>
      <c r="C26" s="70"/>
      <c r="D26" s="113"/>
      <c r="E26" s="114"/>
    </row>
    <row r="27" spans="2:5" x14ac:dyDescent="0.2">
      <c r="B27" s="70" t="s">
        <v>72</v>
      </c>
      <c r="C27" s="70" t="s">
        <v>73</v>
      </c>
      <c r="D27" s="111" t="s">
        <v>74</v>
      </c>
      <c r="E27" s="112"/>
    </row>
    <row r="28" spans="2:5" x14ac:dyDescent="0.2">
      <c r="B28" s="70" t="s">
        <v>72</v>
      </c>
      <c r="C28" s="70" t="s">
        <v>75</v>
      </c>
      <c r="D28" s="111" t="s">
        <v>76</v>
      </c>
      <c r="E28" s="112"/>
    </row>
    <row r="29" spans="2:5" x14ac:dyDescent="0.2">
      <c r="B29" s="70" t="s">
        <v>77</v>
      </c>
      <c r="C29" s="70" t="s">
        <v>78</v>
      </c>
      <c r="D29" s="111" t="s">
        <v>79</v>
      </c>
      <c r="E29" s="112"/>
    </row>
    <row r="31" spans="2:5" x14ac:dyDescent="0.2">
      <c r="B31" s="73" t="s">
        <v>80</v>
      </c>
      <c r="C31" s="74"/>
      <c r="D31" s="74"/>
      <c r="E31" s="75"/>
    </row>
    <row r="32" spans="2:5" x14ac:dyDescent="0.2">
      <c r="B32" s="76" t="s">
        <v>81</v>
      </c>
      <c r="C32" s="77"/>
      <c r="D32" s="77"/>
      <c r="E32" s="78"/>
    </row>
    <row r="33" spans="2:5" x14ac:dyDescent="0.2">
      <c r="B33" s="79" t="s">
        <v>82</v>
      </c>
      <c r="C33" s="80"/>
      <c r="D33" s="80"/>
      <c r="E33" s="81"/>
    </row>
  </sheetData>
  <mergeCells count="18">
    <mergeCell ref="D25:E25"/>
    <mergeCell ref="D26:E26"/>
    <mergeCell ref="D27:E27"/>
    <mergeCell ref="D28:E28"/>
    <mergeCell ref="D29:E29"/>
    <mergeCell ref="B2:H2"/>
    <mergeCell ref="A4:B4"/>
    <mergeCell ref="C4:E4"/>
    <mergeCell ref="A5:B5"/>
    <mergeCell ref="C5:E5"/>
    <mergeCell ref="B16:E17"/>
    <mergeCell ref="B18:E18"/>
    <mergeCell ref="C20:E20"/>
    <mergeCell ref="A6:B6"/>
    <mergeCell ref="A7:B7"/>
    <mergeCell ref="B13:E14"/>
    <mergeCell ref="B12:E12"/>
    <mergeCell ref="B15:E1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zoomScale="110" zoomScaleNormal="110" workbookViewId="0">
      <selection activeCell="G16" sqref="G16"/>
    </sheetView>
  </sheetViews>
  <sheetFormatPr baseColWidth="10" defaultColWidth="9.140625" defaultRowHeight="12.75" x14ac:dyDescent="0.2"/>
  <cols>
    <col min="1" max="1" width="5.5703125" style="33" customWidth="1"/>
    <col min="2" max="2" width="15.140625" style="33" customWidth="1"/>
    <col min="3" max="3" width="14.140625" style="33" customWidth="1"/>
    <col min="4" max="4" width="26" style="33" customWidth="1"/>
    <col min="5" max="5" width="8" style="33" customWidth="1"/>
    <col min="6" max="6" width="7.85546875" style="33" customWidth="1"/>
    <col min="7" max="7" width="48.5703125" style="33" customWidth="1"/>
    <col min="8" max="8" width="9.28515625" style="33" customWidth="1"/>
    <col min="9" max="9" width="15.5703125" style="33" customWidth="1"/>
    <col min="10" max="10" width="14.7109375" style="33" customWidth="1"/>
    <col min="11" max="11" width="15.5703125" style="33" customWidth="1"/>
    <col min="12" max="14" width="5.85546875" style="33" customWidth="1"/>
    <col min="15" max="15" width="12.5703125" style="33" customWidth="1"/>
    <col min="16" max="1024" width="9.140625" style="33"/>
    <col min="1025" max="16384" width="9.140625" style="34"/>
  </cols>
  <sheetData>
    <row r="1" spans="1:11" ht="18" customHeight="1" x14ac:dyDescent="0.2">
      <c r="A1" s="123" t="s">
        <v>14</v>
      </c>
      <c r="B1" s="123"/>
      <c r="C1" s="123"/>
      <c r="D1" s="123"/>
      <c r="E1" s="123"/>
      <c r="F1" s="123"/>
      <c r="G1" s="123"/>
      <c r="H1" s="123"/>
      <c r="I1" s="123"/>
      <c r="J1" s="31" t="s">
        <v>15</v>
      </c>
      <c r="K1" s="32" t="s">
        <v>65</v>
      </c>
    </row>
    <row r="2" spans="1:11" ht="18.75" customHeight="1" thickBot="1" x14ac:dyDescent="0.25">
      <c r="A2" s="35"/>
      <c r="B2" s="35"/>
      <c r="C2" s="35"/>
      <c r="D2" s="36"/>
      <c r="E2" s="36"/>
      <c r="F2" s="36"/>
      <c r="G2" s="36"/>
      <c r="H2" s="36"/>
      <c r="I2" s="36"/>
      <c r="J2" s="36"/>
      <c r="K2" s="36"/>
    </row>
    <row r="3" spans="1:11" ht="18.75" customHeight="1" thickBot="1" x14ac:dyDescent="0.25">
      <c r="A3" s="124" t="s">
        <v>48</v>
      </c>
      <c r="B3" s="124"/>
      <c r="C3" s="124"/>
      <c r="D3" s="115" t="str">
        <f>'Necesidades Trimestrales'!C4</f>
        <v>040 - Ministerio de Salud</v>
      </c>
      <c r="E3" s="115"/>
      <c r="F3" s="115"/>
      <c r="G3" s="115"/>
      <c r="H3" s="115"/>
      <c r="I3" s="115"/>
      <c r="J3" s="115"/>
      <c r="K3" s="115"/>
    </row>
    <row r="4" spans="1:11" ht="18.75" customHeight="1" thickBot="1" x14ac:dyDescent="0.25">
      <c r="A4" s="125" t="s">
        <v>49</v>
      </c>
      <c r="B4" s="125"/>
      <c r="C4" s="125"/>
      <c r="D4" s="115" t="str">
        <f>'Necesidades Trimestrales'!C5</f>
        <v>024 - Hospital Interzonal de Niños</v>
      </c>
      <c r="E4" s="115"/>
      <c r="F4" s="115"/>
      <c r="G4" s="115"/>
      <c r="H4" s="115"/>
      <c r="I4" s="115"/>
      <c r="J4" s="115"/>
      <c r="K4" s="115"/>
    </row>
    <row r="5" spans="1:11" ht="18.75" customHeight="1" thickBot="1" x14ac:dyDescent="0.25">
      <c r="A5" s="125" t="s">
        <v>27</v>
      </c>
      <c r="B5" s="125"/>
      <c r="C5" s="125"/>
      <c r="D5" s="115" t="s">
        <v>51</v>
      </c>
      <c r="E5" s="115"/>
      <c r="F5" s="115"/>
      <c r="G5" s="115"/>
      <c r="H5" s="115"/>
      <c r="I5" s="115"/>
      <c r="J5" s="115"/>
      <c r="K5" s="115"/>
    </row>
    <row r="6" spans="1:11" ht="16.5" customHeight="1" thickBot="1" x14ac:dyDescent="0.25">
      <c r="A6" s="124" t="s">
        <v>50</v>
      </c>
      <c r="B6" s="124"/>
      <c r="C6" s="124"/>
      <c r="D6" s="115" t="s">
        <v>58</v>
      </c>
      <c r="E6" s="115"/>
      <c r="F6" s="115"/>
      <c r="G6" s="115"/>
      <c r="H6" s="115"/>
      <c r="I6" s="115"/>
      <c r="J6" s="115"/>
      <c r="K6" s="115"/>
    </row>
    <row r="7" spans="1:11" ht="16.5" customHeight="1" x14ac:dyDescent="0.2">
      <c r="A7" s="125" t="s">
        <v>16</v>
      </c>
      <c r="B7" s="125"/>
      <c r="C7" s="125"/>
      <c r="D7" s="115" t="str">
        <f>'Necesidades Trimestrales'!C7 &amp; "° Trimestre - Año " &amp; 'Necesidades Trimestrales'!C6</f>
        <v>2° Trimestre - Año 2021</v>
      </c>
      <c r="E7" s="115"/>
      <c r="F7" s="115"/>
      <c r="G7" s="115"/>
      <c r="H7" s="115"/>
      <c r="I7" s="115"/>
      <c r="J7" s="115"/>
      <c r="K7" s="115"/>
    </row>
    <row r="8" spans="1:11" ht="16.5" customHeight="1" x14ac:dyDescent="0.2">
      <c r="A8" s="118" t="s">
        <v>17</v>
      </c>
      <c r="B8" s="118"/>
      <c r="C8" s="118"/>
      <c r="D8" s="119" t="s">
        <v>57</v>
      </c>
      <c r="E8" s="119"/>
      <c r="F8" s="119"/>
      <c r="G8" s="119"/>
      <c r="H8" s="119"/>
      <c r="I8" s="119"/>
      <c r="J8" s="119"/>
      <c r="K8" s="119"/>
    </row>
    <row r="9" spans="1:11" ht="15.75" x14ac:dyDescent="0.2">
      <c r="A9" s="37"/>
      <c r="B9" s="37"/>
      <c r="C9" s="37"/>
      <c r="D9" s="38"/>
      <c r="E9" s="38"/>
      <c r="F9" s="38"/>
      <c r="G9" s="38"/>
      <c r="H9" s="38"/>
      <c r="I9" s="38"/>
      <c r="J9" s="38"/>
      <c r="K9" s="38"/>
    </row>
    <row r="10" spans="1:11" ht="18.75" customHeight="1" x14ac:dyDescent="0.2">
      <c r="A10" s="120" t="s">
        <v>18</v>
      </c>
      <c r="B10" s="121" t="s">
        <v>19</v>
      </c>
      <c r="C10" s="121" t="s">
        <v>20</v>
      </c>
      <c r="D10" s="121"/>
      <c r="E10" s="121"/>
      <c r="F10" s="121"/>
      <c r="G10" s="121"/>
      <c r="H10" s="121" t="s">
        <v>21</v>
      </c>
      <c r="I10" s="121" t="s">
        <v>22</v>
      </c>
      <c r="J10" s="121" t="s">
        <v>23</v>
      </c>
      <c r="K10" s="122" t="s">
        <v>24</v>
      </c>
    </row>
    <row r="11" spans="1:11" ht="24" customHeight="1" thickBot="1" x14ac:dyDescent="0.25">
      <c r="A11" s="120"/>
      <c r="B11" s="121"/>
      <c r="C11" s="121"/>
      <c r="D11" s="121"/>
      <c r="E11" s="121"/>
      <c r="F11" s="121"/>
      <c r="G11" s="121"/>
      <c r="H11" s="121"/>
      <c r="I11" s="121"/>
      <c r="J11" s="121"/>
      <c r="K11" s="122"/>
    </row>
    <row r="12" spans="1:11" ht="20.25" customHeight="1" thickBot="1" x14ac:dyDescent="0.25">
      <c r="A12" s="39">
        <v>1</v>
      </c>
      <c r="B12" s="40" t="str">
        <f>'Necesidades Trimestrales'!B10</f>
        <v>2.5.6-797.39</v>
      </c>
      <c r="C12" s="117" t="str">
        <f>'Necesidades Trimestrales'!E10</f>
        <v>NAFTA SUPER; TIPO: SUPER, OCTANO: 95, PRESENTACION: POR LITRO, DESTINO: DPTO. S.F.V. DE CATAMARCA</v>
      </c>
      <c r="D12" s="117"/>
      <c r="E12" s="117"/>
      <c r="F12" s="117"/>
      <c r="G12" s="117"/>
      <c r="H12" s="41" t="s">
        <v>54</v>
      </c>
      <c r="I12" s="42" t="str">
        <f>'Necesidades Trimestrales'!F10</f>
        <v>LITRO</v>
      </c>
      <c r="J12" s="43">
        <f>'Necesidades Trimestrales'!H10</f>
        <v>100</v>
      </c>
      <c r="K12" s="44">
        <f>'Necesidades Trimestrales'!G10</f>
        <v>2000</v>
      </c>
    </row>
    <row r="13" spans="1:11" ht="20.25" customHeight="1" thickBot="1" x14ac:dyDescent="0.25">
      <c r="A13" s="115" t="s">
        <v>85</v>
      </c>
      <c r="B13" s="115"/>
      <c r="C13" s="115"/>
      <c r="D13" s="115"/>
      <c r="E13" s="115"/>
      <c r="F13" s="115"/>
      <c r="G13" s="115"/>
      <c r="H13" s="115"/>
      <c r="I13" s="115"/>
      <c r="J13" s="116">
        <f>SUMPRODUCT(J12:J12,K12:K12)</f>
        <v>200000</v>
      </c>
      <c r="K13" s="116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topLeftCell="A13" zoomScale="130" zoomScaleNormal="130" workbookViewId="0">
      <selection activeCell="S15" sqref="S1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2.28515625" bestFit="1" customWidth="1"/>
  </cols>
  <sheetData>
    <row r="1" spans="1:17" ht="15.75" customHeight="1" x14ac:dyDescent="0.25">
      <c r="A1" s="148" t="s">
        <v>3</v>
      </c>
      <c r="B1" s="148"/>
      <c r="C1" s="148"/>
      <c r="D1" s="149">
        <f>'Necesidades Trimestrales'!C6</f>
        <v>2021</v>
      </c>
      <c r="E1" s="149"/>
      <c r="F1" s="3"/>
      <c r="G1" s="3"/>
      <c r="H1" s="4"/>
      <c r="I1" s="4"/>
      <c r="J1" s="4"/>
      <c r="K1" s="4"/>
      <c r="L1" s="4"/>
      <c r="M1" s="4"/>
      <c r="N1" s="4"/>
      <c r="P1" s="150" t="s">
        <v>25</v>
      </c>
      <c r="Q1" s="15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0"/>
      <c r="Q2" s="150"/>
    </row>
    <row r="4" spans="1:17" s="5" customFormat="1" ht="18" customHeight="1" thickBot="1" x14ac:dyDescent="0.25">
      <c r="A4" s="151" t="s">
        <v>26</v>
      </c>
      <c r="B4" s="151"/>
      <c r="C4" s="151"/>
      <c r="D4" s="151"/>
      <c r="E4" s="151"/>
      <c r="F4" s="151"/>
      <c r="G4" s="146" t="str">
        <f>' NotaPedido'!D3</f>
        <v>040 - Ministerio de Salud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s="5" customFormat="1" ht="18" customHeight="1" thickBot="1" x14ac:dyDescent="0.25">
      <c r="A5" s="143" t="s">
        <v>49</v>
      </c>
      <c r="B5" s="144"/>
      <c r="C5" s="144"/>
      <c r="D5" s="144"/>
      <c r="E5" s="144"/>
      <c r="F5" s="145"/>
      <c r="G5" s="146" t="str">
        <f>' NotaPedido'!D4</f>
        <v>024 - Hospital Interzonal de Niños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s="5" customFormat="1" ht="18" customHeight="1" thickBot="1" x14ac:dyDescent="0.25">
      <c r="A6" s="143" t="s">
        <v>27</v>
      </c>
      <c r="B6" s="144"/>
      <c r="C6" s="144"/>
      <c r="D6" s="144"/>
      <c r="E6" s="144"/>
      <c r="F6" s="145"/>
      <c r="G6" s="146" t="str">
        <f>' NotaPedido'!D5</f>
        <v>024 - Hospital Interzonal de Niños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5" customFormat="1" ht="18" customHeight="1" thickBot="1" x14ac:dyDescent="0.25">
      <c r="A7" s="143" t="s">
        <v>50</v>
      </c>
      <c r="B7" s="144"/>
      <c r="C7" s="144"/>
      <c r="D7" s="144"/>
      <c r="E7" s="144"/>
      <c r="F7" s="145"/>
      <c r="G7" s="146" t="str">
        <f>' NotaPedido'!D6</f>
        <v>Direccion de Mantenimiento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 x14ac:dyDescent="0.25">
      <c r="A8" s="147" t="s">
        <v>28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</row>
    <row r="9" spans="1:17" ht="18" customHeight="1" x14ac:dyDescent="0.2">
      <c r="A9" s="137" t="s">
        <v>29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6"/>
    </row>
    <row r="10" spans="1:17" ht="54.75" customHeight="1" x14ac:dyDescent="0.2">
      <c r="A10" s="13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49-21,  afectando la erogación resultante a los créditos presupuestarios aprobados a favor de esta Unidad Ejecutora, conforme al siguiente detalle: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9" t="s">
        <v>30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7" ht="15.75" customHeight="1" x14ac:dyDescent="0.2">
      <c r="A13" s="140" t="s">
        <v>31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32</v>
      </c>
      <c r="P13" s="141"/>
      <c r="Q13" s="142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1"/>
      <c r="P14" s="141"/>
      <c r="Q14" s="142"/>
    </row>
    <row r="15" spans="1:17" ht="17.25" customHeight="1" x14ac:dyDescent="0.2">
      <c r="A15" s="47">
        <v>36</v>
      </c>
      <c r="B15" s="48"/>
      <c r="C15" s="48"/>
      <c r="D15" s="48">
        <v>1</v>
      </c>
      <c r="E15" s="48"/>
      <c r="F15" s="48">
        <v>4901</v>
      </c>
      <c r="G15" s="48">
        <v>3</v>
      </c>
      <c r="H15" s="48">
        <v>310</v>
      </c>
      <c r="I15" s="49">
        <v>2</v>
      </c>
      <c r="J15" s="49">
        <v>5</v>
      </c>
      <c r="K15" s="49">
        <v>6</v>
      </c>
      <c r="L15" s="48"/>
      <c r="M15" s="50">
        <v>1</v>
      </c>
      <c r="N15" s="51" t="s">
        <v>53</v>
      </c>
      <c r="O15" s="134" t="s">
        <v>55</v>
      </c>
      <c r="P15" s="135"/>
      <c r="Q15" s="60">
        <v>200000</v>
      </c>
    </row>
    <row r="16" spans="1:17" ht="17.25" customHeight="1" x14ac:dyDescent="0.2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19"/>
      <c r="O16" s="136"/>
      <c r="P16" s="136"/>
      <c r="Q16" s="20"/>
    </row>
    <row r="17" spans="1:17" ht="17.25" customHeight="1" thickBot="1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2"/>
      <c r="O17" s="131"/>
      <c r="P17" s="131"/>
      <c r="Q17" s="24"/>
    </row>
    <row r="18" spans="1:17" ht="29.25" customHeight="1" x14ac:dyDescent="0.2">
      <c r="A18" s="132" t="s">
        <v>66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59">
        <f>SUM(Q15:Q17)</f>
        <v>200000</v>
      </c>
    </row>
    <row r="19" spans="1:17" ht="18" customHeight="1" thickBot="1" x14ac:dyDescent="0.25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</row>
    <row r="20" spans="1:17" ht="17.25" customHeight="1" thickBot="1" x14ac:dyDescent="0.25">
      <c r="A20" s="126" t="s">
        <v>47</v>
      </c>
      <c r="B20" s="127"/>
      <c r="C20" s="127"/>
      <c r="D20" s="127"/>
      <c r="E20" s="127"/>
      <c r="F20" s="128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</row>
    <row r="21" spans="1:17" ht="18" customHeight="1" thickBot="1" x14ac:dyDescent="0.25">
      <c r="A21" s="130" t="s">
        <v>59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</row>
    <row r="22" spans="1:17" ht="15" customHeight="1" x14ac:dyDescent="0.2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</sheetData>
  <mergeCells count="26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A9:N9"/>
    <mergeCell ref="A10:Q10"/>
    <mergeCell ref="A12:Q12"/>
    <mergeCell ref="A13:N13"/>
    <mergeCell ref="O13:P14"/>
    <mergeCell ref="Q13:Q14"/>
    <mergeCell ref="A20:F20"/>
    <mergeCell ref="G20:Q20"/>
    <mergeCell ref="A21:Q22"/>
    <mergeCell ref="O17:P17"/>
    <mergeCell ref="A18:P18"/>
    <mergeCell ref="A19:Q19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2020-11-30T13:54:20Z</cp:lastPrinted>
  <dcterms:created xsi:type="dcterms:W3CDTF">2020-07-17T23:44:49Z</dcterms:created>
  <dcterms:modified xsi:type="dcterms:W3CDTF">2021-08-17T11:31:17Z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