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Carga SIAC\NO-2021-00408455-CAT-DPPR#MHP\"/>
    </mc:Choice>
  </mc:AlternateContent>
  <xr:revisionPtr revIDLastSave="0" documentId="8_{48612DD0-6BED-4D40-84E9-2E5D4ADE4F3A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 (2)" sheetId="3" r:id="rId1"/>
  </sheets>
  <definedNames>
    <definedName name="_xlnm._FilterDatabase" localSheetId="0" hidden="1">'Necesidades Trimestrales (2)'!$A$9:$AS$74</definedName>
  </definedNames>
  <calcPr calcId="181029"/>
</workbook>
</file>

<file path=xl/calcChain.xml><?xml version="1.0" encoding="utf-8"?>
<calcChain xmlns="http://schemas.openxmlformats.org/spreadsheetml/2006/main">
  <c r="AB30" i="3" l="1"/>
  <c r="AQ11" i="3" l="1"/>
  <c r="AS11" i="3" s="1"/>
  <c r="AQ12" i="3"/>
  <c r="AS12" i="3" s="1"/>
  <c r="AQ13" i="3"/>
  <c r="AS13" i="3" s="1"/>
  <c r="AQ14" i="3"/>
  <c r="AS14" i="3" s="1"/>
  <c r="AQ15" i="3"/>
  <c r="AS15" i="3" s="1"/>
  <c r="AQ16" i="3"/>
  <c r="AS16" i="3" s="1"/>
  <c r="AQ17" i="3"/>
  <c r="AS17" i="3" s="1"/>
  <c r="AQ18" i="3"/>
  <c r="AS18" i="3" s="1"/>
  <c r="AQ19" i="3"/>
  <c r="AS19" i="3" s="1"/>
  <c r="AQ20" i="3"/>
  <c r="AS20" i="3" s="1"/>
  <c r="AQ21" i="3"/>
  <c r="AS21" i="3" s="1"/>
  <c r="AQ22" i="3"/>
  <c r="AS22" i="3" s="1"/>
  <c r="AQ23" i="3"/>
  <c r="AS23" i="3" s="1"/>
  <c r="AQ24" i="3"/>
  <c r="AS24" i="3" s="1"/>
  <c r="AQ25" i="3"/>
  <c r="AS25" i="3" s="1"/>
  <c r="AQ26" i="3"/>
  <c r="AS26" i="3" s="1"/>
  <c r="AQ27" i="3"/>
  <c r="AS27" i="3" s="1"/>
  <c r="AQ29" i="3"/>
  <c r="AS29" i="3" s="1"/>
  <c r="AQ30" i="3"/>
  <c r="AS30" i="3" s="1"/>
  <c r="AQ31" i="3"/>
  <c r="AS31" i="3" s="1"/>
  <c r="AQ32" i="3"/>
  <c r="AS32" i="3" s="1"/>
  <c r="AQ33" i="3"/>
  <c r="AS33" i="3" s="1"/>
  <c r="AQ34" i="3"/>
  <c r="AS34" i="3" s="1"/>
  <c r="AQ35" i="3"/>
  <c r="AS35" i="3" s="1"/>
  <c r="AQ36" i="3"/>
  <c r="AS36" i="3" s="1"/>
  <c r="AQ37" i="3"/>
  <c r="AS37" i="3" s="1"/>
  <c r="AQ38" i="3"/>
  <c r="AS38" i="3" s="1"/>
  <c r="AQ39" i="3"/>
  <c r="AS39" i="3" s="1"/>
  <c r="AQ40" i="3"/>
  <c r="AS40" i="3" s="1"/>
  <c r="AQ41" i="3"/>
  <c r="AS41" i="3" s="1"/>
  <c r="AQ42" i="3"/>
  <c r="AS42" i="3" s="1"/>
  <c r="AQ43" i="3"/>
  <c r="AS43" i="3" s="1"/>
  <c r="AQ44" i="3"/>
  <c r="AS44" i="3" s="1"/>
  <c r="AQ45" i="3"/>
  <c r="AS45" i="3" s="1"/>
  <c r="AQ46" i="3"/>
  <c r="AS46" i="3" s="1"/>
  <c r="AQ47" i="3"/>
  <c r="AS47" i="3" s="1"/>
  <c r="AQ48" i="3"/>
  <c r="AS48" i="3" s="1"/>
  <c r="AQ49" i="3"/>
  <c r="AS49" i="3" s="1"/>
  <c r="AQ50" i="3"/>
  <c r="AS50" i="3" s="1"/>
  <c r="AQ51" i="3"/>
  <c r="AS51" i="3" s="1"/>
  <c r="AQ52" i="3"/>
  <c r="AS52" i="3" s="1"/>
  <c r="AQ53" i="3"/>
  <c r="AS53" i="3" s="1"/>
  <c r="AQ54" i="3"/>
  <c r="AS54" i="3" s="1"/>
  <c r="AQ55" i="3"/>
  <c r="AS55" i="3" s="1"/>
  <c r="AQ56" i="3"/>
  <c r="AS56" i="3" s="1"/>
  <c r="AQ57" i="3"/>
  <c r="AS57" i="3" s="1"/>
  <c r="AQ58" i="3"/>
  <c r="AS58" i="3" s="1"/>
  <c r="AQ59" i="3"/>
  <c r="AS59" i="3" s="1"/>
  <c r="AQ60" i="3"/>
  <c r="AS60" i="3" s="1"/>
  <c r="AQ61" i="3"/>
  <c r="AS61" i="3" s="1"/>
  <c r="AQ62" i="3"/>
  <c r="AS62" i="3" s="1"/>
  <c r="AQ63" i="3"/>
  <c r="AS63" i="3" s="1"/>
  <c r="AQ64" i="3"/>
  <c r="AQ65" i="3"/>
  <c r="AS65" i="3" s="1"/>
  <c r="AQ66" i="3"/>
  <c r="AS66" i="3" s="1"/>
  <c r="AQ67" i="3"/>
  <c r="AS67" i="3" s="1"/>
  <c r="AQ68" i="3"/>
  <c r="AS68" i="3" s="1"/>
  <c r="AQ69" i="3"/>
  <c r="AS69" i="3" s="1"/>
  <c r="AQ70" i="3"/>
  <c r="AS70" i="3" s="1"/>
  <c r="AQ71" i="3"/>
  <c r="AS71" i="3" s="1"/>
  <c r="AQ72" i="3"/>
  <c r="AS72" i="3" s="1"/>
  <c r="AQ73" i="3"/>
  <c r="AS73" i="3" s="1"/>
  <c r="AQ10" i="3"/>
  <c r="N20" i="3"/>
  <c r="AN10" i="3" l="1"/>
  <c r="AN11" i="3"/>
  <c r="AN12" i="3"/>
  <c r="AN13" i="3"/>
  <c r="AN14" i="3"/>
  <c r="AN15" i="3"/>
  <c r="AN16" i="3"/>
  <c r="AN17" i="3"/>
  <c r="AN18" i="3"/>
  <c r="AN19" i="3"/>
  <c r="AN20" i="3"/>
  <c r="AN21" i="3"/>
  <c r="AN22" i="3"/>
  <c r="AN23" i="3"/>
  <c r="AN24" i="3"/>
  <c r="AN25" i="3"/>
  <c r="AN26" i="3"/>
  <c r="AN27" i="3"/>
  <c r="AN28" i="3"/>
  <c r="AN29" i="3"/>
  <c r="AN30" i="3"/>
  <c r="AN31" i="3"/>
  <c r="AN32" i="3"/>
  <c r="AN33" i="3"/>
  <c r="AN34" i="3"/>
  <c r="AN35" i="3"/>
  <c r="AN36" i="3"/>
  <c r="AN37" i="3"/>
  <c r="AN38" i="3"/>
  <c r="AN39" i="3"/>
  <c r="AN40" i="3"/>
  <c r="AN41" i="3"/>
  <c r="AN42" i="3"/>
  <c r="AN43" i="3"/>
  <c r="AN44" i="3"/>
  <c r="AN45" i="3"/>
  <c r="AN46" i="3"/>
  <c r="AN47" i="3"/>
  <c r="AN48" i="3"/>
  <c r="AN49" i="3"/>
  <c r="AN50" i="3"/>
  <c r="AN51" i="3"/>
  <c r="AN52" i="3"/>
  <c r="AN53" i="3"/>
  <c r="AN54" i="3"/>
  <c r="AN55" i="3"/>
  <c r="AN56" i="3"/>
  <c r="AN57" i="3"/>
  <c r="AN58" i="3"/>
  <c r="AN59" i="3"/>
  <c r="AN71" i="3"/>
  <c r="AN72" i="3"/>
  <c r="AN73" i="3"/>
  <c r="AN60" i="3"/>
  <c r="AN61" i="3"/>
  <c r="AN62" i="3"/>
  <c r="AN63" i="3"/>
  <c r="AN65" i="3"/>
  <c r="AN67" i="3"/>
  <c r="AN68" i="3"/>
  <c r="AN69" i="3"/>
  <c r="AN70" i="3"/>
  <c r="AN66" i="3"/>
  <c r="AL11" i="3" l="1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46" i="3"/>
  <c r="AL47" i="3"/>
  <c r="AL48" i="3"/>
  <c r="AL49" i="3"/>
  <c r="AL50" i="3"/>
  <c r="AL51" i="3"/>
  <c r="AL52" i="3"/>
  <c r="AL53" i="3"/>
  <c r="AL54" i="3"/>
  <c r="AL55" i="3"/>
  <c r="AL56" i="3"/>
  <c r="AL57" i="3"/>
  <c r="AL58" i="3"/>
  <c r="AL59" i="3"/>
  <c r="AL71" i="3"/>
  <c r="AL72" i="3"/>
  <c r="AL73" i="3"/>
  <c r="AL60" i="3"/>
  <c r="AL61" i="3"/>
  <c r="AL62" i="3"/>
  <c r="AL63" i="3"/>
  <c r="AL65" i="3"/>
  <c r="AL67" i="3"/>
  <c r="AL68" i="3"/>
  <c r="AL69" i="3"/>
  <c r="AL70" i="3"/>
  <c r="AL66" i="3"/>
  <c r="AL10" i="3"/>
  <c r="AJ49" i="3" l="1"/>
  <c r="R49" i="3"/>
  <c r="P49" i="3"/>
  <c r="N49" i="3"/>
  <c r="L49" i="3"/>
  <c r="AJ11" i="3" l="1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37" i="3"/>
  <c r="AJ38" i="3"/>
  <c r="AJ39" i="3"/>
  <c r="AJ40" i="3"/>
  <c r="AJ41" i="3"/>
  <c r="AJ42" i="3"/>
  <c r="AJ43" i="3"/>
  <c r="AJ44" i="3"/>
  <c r="AJ45" i="3"/>
  <c r="AJ46" i="3"/>
  <c r="AJ47" i="3"/>
  <c r="AJ48" i="3"/>
  <c r="AJ50" i="3"/>
  <c r="AJ51" i="3"/>
  <c r="AJ52" i="3"/>
  <c r="AJ53" i="3"/>
  <c r="AJ54" i="3"/>
  <c r="AJ55" i="3"/>
  <c r="AJ56" i="3"/>
  <c r="AJ57" i="3"/>
  <c r="AJ58" i="3"/>
  <c r="AJ59" i="3"/>
  <c r="AJ71" i="3"/>
  <c r="AJ72" i="3"/>
  <c r="AJ73" i="3"/>
  <c r="AJ60" i="3"/>
  <c r="AJ61" i="3"/>
  <c r="AJ62" i="3"/>
  <c r="AJ63" i="3"/>
  <c r="AJ65" i="3"/>
  <c r="AJ67" i="3"/>
  <c r="AJ68" i="3"/>
  <c r="AJ69" i="3"/>
  <c r="AJ70" i="3"/>
  <c r="AJ66" i="3"/>
  <c r="AJ10" i="3"/>
  <c r="AH11" i="3" l="1"/>
  <c r="AH38" i="3"/>
  <c r="AH24" i="3"/>
  <c r="AH62" i="3"/>
  <c r="AH61" i="3"/>
  <c r="AH10" i="3"/>
  <c r="AF61" i="3"/>
  <c r="AF37" i="3"/>
  <c r="AF28" i="3"/>
  <c r="AF62" i="3"/>
  <c r="AF11" i="3"/>
  <c r="AF10" i="3"/>
  <c r="AF47" i="3"/>
  <c r="AF59" i="3"/>
  <c r="AF36" i="3"/>
  <c r="AF30" i="3"/>
  <c r="AF66" i="3"/>
  <c r="AR64" i="3"/>
  <c r="AF24" i="3"/>
  <c r="AF44" i="3"/>
  <c r="AH74" i="3" l="1"/>
  <c r="AN64" i="3"/>
  <c r="AN74" i="3" s="1"/>
  <c r="AS64" i="3"/>
  <c r="AJ64" i="3"/>
  <c r="AJ74" i="3" s="1"/>
  <c r="AL64" i="3"/>
  <c r="AL74" i="3" s="1"/>
  <c r="AF64" i="3"/>
  <c r="AF74" i="3" s="1"/>
  <c r="AD35" i="3" l="1"/>
  <c r="AD56" i="3"/>
  <c r="AD62" i="3"/>
  <c r="AD61" i="3"/>
  <c r="AD32" i="3"/>
  <c r="AD11" i="3"/>
  <c r="AD10" i="3"/>
  <c r="AD74" i="3" l="1"/>
  <c r="AB42" i="3"/>
  <c r="AB61" i="3"/>
  <c r="AB16" i="3"/>
  <c r="AB59" i="3"/>
  <c r="AB58" i="3"/>
  <c r="AB11" i="3"/>
  <c r="AB10" i="3"/>
  <c r="AB21" i="3"/>
  <c r="AB20" i="3"/>
  <c r="N19" i="3"/>
  <c r="P19" i="3"/>
  <c r="R19" i="3"/>
  <c r="AB69" i="3"/>
  <c r="AB74" i="3" l="1"/>
  <c r="Z52" i="3"/>
  <c r="Z29" i="3"/>
  <c r="Z53" i="3"/>
  <c r="Z32" i="3"/>
  <c r="Z31" i="3"/>
  <c r="Z23" i="3"/>
  <c r="Z15" i="3"/>
  <c r="Z11" i="3"/>
  <c r="Z10" i="3"/>
  <c r="Z38" i="3"/>
  <c r="Z28" i="3"/>
  <c r="Z30" i="3"/>
  <c r="Z42" i="3"/>
  <c r="Z47" i="3"/>
  <c r="Z24" i="3"/>
  <c r="Z63" i="3"/>
  <c r="Z74" i="3" l="1"/>
  <c r="X44" i="3"/>
  <c r="X42" i="3"/>
  <c r="X60" i="3"/>
  <c r="X38" i="3"/>
  <c r="X47" i="3"/>
  <c r="X34" i="3"/>
  <c r="X30" i="3"/>
  <c r="X28" i="3"/>
  <c r="X37" i="3"/>
  <c r="X26" i="3"/>
  <c r="X24" i="3"/>
  <c r="X11" i="3"/>
  <c r="X10" i="3"/>
  <c r="X74" i="3" l="1"/>
  <c r="V16" i="3"/>
  <c r="V15" i="3"/>
  <c r="V30" i="3"/>
  <c r="V25" i="3"/>
  <c r="V24" i="3"/>
  <c r="V11" i="3"/>
  <c r="V74" i="3" l="1"/>
  <c r="T68" i="3"/>
  <c r="T69" i="3"/>
  <c r="T70" i="3"/>
  <c r="T67" i="3"/>
  <c r="T66" i="3"/>
  <c r="T62" i="3"/>
  <c r="T58" i="3"/>
  <c r="T47" i="3"/>
  <c r="T31" i="3"/>
  <c r="R66" i="3" l="1"/>
  <c r="P66" i="3"/>
  <c r="N66" i="3"/>
  <c r="L66" i="3"/>
  <c r="H66" i="3" l="1"/>
  <c r="P65" i="3" l="1"/>
  <c r="R63" i="3"/>
  <c r="P63" i="3"/>
  <c r="R62" i="3"/>
  <c r="P62" i="3"/>
  <c r="N62" i="3"/>
  <c r="R61" i="3"/>
  <c r="P61" i="3"/>
  <c r="N61" i="3"/>
  <c r="R60" i="3"/>
  <c r="P60" i="3"/>
  <c r="N60" i="3"/>
  <c r="R73" i="3"/>
  <c r="P73" i="3"/>
  <c r="N73" i="3"/>
  <c r="R72" i="3"/>
  <c r="P72" i="3"/>
  <c r="N72" i="3"/>
  <c r="R71" i="3"/>
  <c r="P71" i="3"/>
  <c r="N71" i="3"/>
  <c r="R59" i="3"/>
  <c r="P59" i="3"/>
  <c r="N59" i="3"/>
  <c r="R58" i="3"/>
  <c r="P58" i="3"/>
  <c r="N58" i="3"/>
  <c r="R57" i="3"/>
  <c r="P57" i="3"/>
  <c r="N57" i="3"/>
  <c r="R56" i="3"/>
  <c r="P56" i="3"/>
  <c r="N56" i="3"/>
  <c r="L56" i="3"/>
  <c r="R55" i="3"/>
  <c r="P55" i="3"/>
  <c r="N55" i="3"/>
  <c r="R54" i="3"/>
  <c r="P54" i="3"/>
  <c r="N54" i="3"/>
  <c r="L54" i="3"/>
  <c r="R53" i="3"/>
  <c r="P53" i="3"/>
  <c r="N53" i="3"/>
  <c r="R52" i="3"/>
  <c r="P52" i="3"/>
  <c r="N52" i="3"/>
  <c r="L52" i="3"/>
  <c r="R51" i="3"/>
  <c r="P51" i="3"/>
  <c r="N51" i="3"/>
  <c r="L51" i="3"/>
  <c r="R50" i="3"/>
  <c r="P50" i="3"/>
  <c r="N50" i="3"/>
  <c r="L50" i="3"/>
  <c r="R48" i="3"/>
  <c r="P48" i="3"/>
  <c r="N48" i="3"/>
  <c r="L48" i="3"/>
  <c r="R47" i="3"/>
  <c r="P47" i="3"/>
  <c r="N47" i="3"/>
  <c r="L47" i="3"/>
  <c r="R46" i="3"/>
  <c r="P46" i="3"/>
  <c r="N46" i="3"/>
  <c r="L46" i="3"/>
  <c r="R45" i="3"/>
  <c r="P45" i="3"/>
  <c r="N45" i="3"/>
  <c r="L45" i="3"/>
  <c r="R44" i="3"/>
  <c r="P44" i="3"/>
  <c r="N44" i="3"/>
  <c r="L44" i="3"/>
  <c r="R43" i="3"/>
  <c r="P43" i="3"/>
  <c r="N43" i="3"/>
  <c r="L43" i="3"/>
  <c r="R42" i="3"/>
  <c r="P42" i="3"/>
  <c r="N42" i="3"/>
  <c r="L42" i="3"/>
  <c r="R41" i="3"/>
  <c r="P41" i="3"/>
  <c r="N41" i="3"/>
  <c r="L41" i="3"/>
  <c r="R40" i="3"/>
  <c r="P40" i="3"/>
  <c r="N40" i="3"/>
  <c r="L40" i="3"/>
  <c r="R39" i="3"/>
  <c r="P39" i="3"/>
  <c r="N39" i="3"/>
  <c r="L39" i="3"/>
  <c r="R38" i="3"/>
  <c r="P38" i="3"/>
  <c r="R37" i="3"/>
  <c r="P37" i="3"/>
  <c r="N37" i="3"/>
  <c r="R36" i="3"/>
  <c r="P36" i="3"/>
  <c r="N36" i="3"/>
  <c r="L36" i="3"/>
  <c r="R35" i="3"/>
  <c r="P35" i="3"/>
  <c r="N35" i="3"/>
  <c r="R34" i="3"/>
  <c r="P34" i="3"/>
  <c r="N34" i="3"/>
  <c r="R33" i="3"/>
  <c r="P33" i="3"/>
  <c r="N33" i="3"/>
  <c r="L33" i="3"/>
  <c r="R32" i="3"/>
  <c r="P32" i="3"/>
  <c r="N32" i="3"/>
  <c r="L32" i="3"/>
  <c r="R31" i="3"/>
  <c r="P31" i="3"/>
  <c r="N31" i="3"/>
  <c r="L31" i="3"/>
  <c r="R30" i="3"/>
  <c r="P30" i="3"/>
  <c r="N30" i="3"/>
  <c r="L30" i="3"/>
  <c r="R29" i="3"/>
  <c r="P29" i="3"/>
  <c r="N29" i="3"/>
  <c r="L29" i="3"/>
  <c r="R28" i="3"/>
  <c r="P28" i="3"/>
  <c r="N28" i="3"/>
  <c r="K28" i="3"/>
  <c r="AQ28" i="3" s="1"/>
  <c r="AS28" i="3" s="1"/>
  <c r="R27" i="3"/>
  <c r="P27" i="3" l="1"/>
  <c r="L28" i="3"/>
  <c r="N27" i="3"/>
  <c r="R26" i="3"/>
  <c r="L27" i="3" l="1"/>
  <c r="N26" i="3"/>
  <c r="L26" i="3"/>
  <c r="P26" i="3"/>
  <c r="P25" i="3" l="1"/>
  <c r="T25" i="3"/>
  <c r="R25" i="3"/>
  <c r="N25" i="3"/>
  <c r="R23" i="3"/>
  <c r="P23" i="3"/>
  <c r="N23" i="3"/>
  <c r="L23" i="3"/>
  <c r="H23" i="3"/>
  <c r="R22" i="3"/>
  <c r="P22" i="3"/>
  <c r="N22" i="3"/>
  <c r="L22" i="3"/>
  <c r="H22" i="3"/>
  <c r="R21" i="3"/>
  <c r="P21" i="3"/>
  <c r="R20" i="3"/>
  <c r="P20" i="3"/>
  <c r="R18" i="3"/>
  <c r="P18" i="3"/>
  <c r="N18" i="3"/>
  <c r="R17" i="3"/>
  <c r="P17" i="3"/>
  <c r="N17" i="3"/>
  <c r="R16" i="3"/>
  <c r="P16" i="3"/>
  <c r="N16" i="3"/>
  <c r="L16" i="3"/>
  <c r="R15" i="3"/>
  <c r="P15" i="3"/>
  <c r="N15" i="3"/>
  <c r="L15" i="3"/>
  <c r="R14" i="3"/>
  <c r="P14" i="3"/>
  <c r="N14" i="3"/>
  <c r="R13" i="3"/>
  <c r="P13" i="3"/>
  <c r="N13" i="3"/>
  <c r="L13" i="3"/>
  <c r="R12" i="3"/>
  <c r="P12" i="3"/>
  <c r="N12" i="3"/>
  <c r="L12" i="3"/>
  <c r="H12" i="3"/>
  <c r="R11" i="3"/>
  <c r="P11" i="3"/>
  <c r="N11" i="3"/>
  <c r="L11" i="3"/>
  <c r="H11" i="3"/>
  <c r="AS10" i="3"/>
  <c r="AS74" i="3" s="1"/>
  <c r="R10" i="3"/>
  <c r="P10" i="3"/>
  <c r="N10" i="3"/>
  <c r="L10" i="3"/>
  <c r="P24" i="3" l="1"/>
  <c r="P74" i="3" s="1"/>
  <c r="T24" i="3"/>
  <c r="T74" i="3" s="1"/>
  <c r="L25" i="3"/>
  <c r="L24" i="3"/>
  <c r="R24" i="3"/>
  <c r="R74" i="3" s="1"/>
  <c r="N24" i="3"/>
  <c r="N74" i="3" s="1"/>
  <c r="H10" i="3"/>
  <c r="H74" i="3" s="1"/>
  <c r="L74" i="3" l="1"/>
</calcChain>
</file>

<file path=xl/sharedStrings.xml><?xml version="1.0" encoding="utf-8"?>
<sst xmlns="http://schemas.openxmlformats.org/spreadsheetml/2006/main" count="397" uniqueCount="214">
  <si>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</si>
  <si>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</si>
  <si>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</si>
  <si>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</si>
  <si>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</si>
  <si>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</si>
  <si>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</si>
  <si>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</si>
  <si>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</si>
  <si>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</si>
  <si>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PRECIO UNITARIO ESTIMADO</t>
  </si>
  <si>
    <t xml:space="preserve">IMPORTE TOTAL ESTIMADO </t>
  </si>
  <si>
    <t>UNIDAD</t>
  </si>
  <si>
    <t>REPUESTOS</t>
  </si>
  <si>
    <t xml:space="preserve">UNIDAD </t>
  </si>
  <si>
    <t>CAJA</t>
  </si>
  <si>
    <t>LIBRERIA,PAP. Y UTILES OFICINA</t>
  </si>
  <si>
    <t>2.9.2-9597.5</t>
  </si>
  <si>
    <t>MEMORIAS USB; CAPACIDAD: 32 Gb, TIPO: PEN DRIVE</t>
  </si>
  <si>
    <t>2.9.2-3949.3</t>
  </si>
  <si>
    <t>SELLOS FOLIADORES; MEDIDA: 35 mm, MATERIAL: MADERA, BASE: CIRCULAR</t>
  </si>
  <si>
    <t>2.9.2-859.16</t>
  </si>
  <si>
    <t>SELLO FECHADOR; DIMENSION: 2,5 X 4 Cm, DIGITOS MOVILES AÑO: 4, DIGITOS MOVILES MES: 3, DIGITOS MOVILES DIA: 2</t>
  </si>
  <si>
    <t>2.9.2-848.20</t>
  </si>
  <si>
    <t>LAPIZ; TIPO: 2HB, COLOR: NEGRO</t>
  </si>
  <si>
    <t>2.9.2-317.17</t>
  </si>
  <si>
    <t>BOLIGRAFOS; TRAZO: GRUESO, COLOR TINTA: NEGRO</t>
  </si>
  <si>
    <t>2.9.2-262.2</t>
  </si>
  <si>
    <t>ADHESIVOS P/PAPEL; TIPO: COLA VINILICA, PRESENTACION: 60 GR</t>
  </si>
  <si>
    <t>2.9.2-1354.15</t>
  </si>
  <si>
    <t>RESALTADORES; PUNTA: 3 PLANA mm, ACCESORIO: SIN, COLOR: VERDE, TIPO PUNTA: 3 PLANA mm</t>
  </si>
  <si>
    <t>2.9.2-700.28</t>
  </si>
  <si>
    <t>BROCHES P/ABROCHADORA; NUMERO: 10/50, PRESENTACION: CAJA X 1000 UNIDADES</t>
  </si>
  <si>
    <t>2.9.2-1616.112</t>
  </si>
  <si>
    <t>MARCADORES; TIPO: AL AGUA, TRAZO: GRUESO, PUNTA: CHANFLEADA, RECARGABLE: NO, COLOR: FLUORESCENTE</t>
  </si>
  <si>
    <t>2.3.1-6587.79</t>
  </si>
  <si>
    <t>PAPELES ENCUADERNADOS; CANT. DE HOJAS: 100, TAMAÑO: 21,5 X 35,5 Cm, TIPO: LIBRO DE ACTAS</t>
  </si>
  <si>
    <t>40 - MINISTERIO DE SALUD</t>
  </si>
  <si>
    <t>ABROCHADORAS DE PAPEL; TIPO: PINZA, P/BROCHES: 10/50, MATERIAL: METALICA, MEDIDA: 10/50</t>
  </si>
  <si>
    <t>2.9.2-261.14</t>
  </si>
  <si>
    <t>PERFORADORAS; TAMAÑO: MEDIANA, N° PERFORACIONES: 2, DIST. ENTRE AGUJ.: FIJO, GUIA POSICION PAPEL: SIN VALOR, MATERIAL ESTRUCTURA: METAL ESMALTADO, MATERIAL: METAL ESMALTADO</t>
  </si>
  <si>
    <t>2.9.2-858.17</t>
  </si>
  <si>
    <t>SEGUNDO TRIMESTRE</t>
  </si>
  <si>
    <t>Pedido de Necesidades Trimestrales</t>
  </si>
  <si>
    <t>PACK</t>
  </si>
  <si>
    <t>2.9.2-758.24</t>
  </si>
  <si>
    <t>TIJERAS P/CORTAR PAPELES; LONG.DE CUERPO: 24 Cm, MATERIAL: ACERO INOXIDABLE, CUCHILLA: PUNTIAGUDAS, MANGO: ERGONOMETRICO DE PLASTICO</t>
  </si>
  <si>
    <t>2.9.2-323.3</t>
  </si>
  <si>
    <t>CORRECTORES DE ESCRITURA; ENVASE: LAPIZ (PUNTA METAL), PRESENTACION: LAPIZ (PUNTA METAL) X 10 mL, CAPACIDAD: 10 Ml</t>
  </si>
  <si>
    <t>2.9.2-1354.28</t>
  </si>
  <si>
    <t>RESALTADORES; PUNTA: FINA, ACCESORIO: SIN, COLOR: AMARILLO, TIPO PUNTA: FINA</t>
  </si>
  <si>
    <t>2.9.2-852.10</t>
  </si>
  <si>
    <t>BROCHES DORADOS; N° PATAS: 2, N°: 7, PRESENTACION: CAJA X 100 UNIDADES, CANTIDAD PATAS: 2, NUMERO: 7</t>
  </si>
  <si>
    <t>2.9.2-6873.6</t>
  </si>
  <si>
    <t>BROCHES PLASTICOS; TIPO: NEPACO, TAMAÑO: Nº 2L, PRESENTACION: CAJA X 50 UN</t>
  </si>
  <si>
    <t>2.9.2-1062.9</t>
  </si>
  <si>
    <t>PAPELES ANOTADOR AUTOADHESIVOS; PRESENTACION: 400 HOJAS, LARGO X ANCHO: 38 X 50 mm</t>
  </si>
  <si>
    <t>2.9.2-272.9</t>
  </si>
  <si>
    <t>BANDEJAS PORTAPAPELES; MATERIAL: PLASTICO, TIPO: TRIPLE, TAMAÑO: OFICIO</t>
  </si>
  <si>
    <t>2.9.2-700.20</t>
  </si>
  <si>
    <t>BROCHES P/ABROCHADORA; NUMERO: 21/6, PRESENTACION: CAJA X 5000 UNIDADES</t>
  </si>
  <si>
    <t>2.9.2-1153.19</t>
  </si>
  <si>
    <t>CINTAS ADHESIVAS; TIPO: DE ENMASCARAR, ANCHO: 24 mm, LARGO ROLLO: 50 M, ACCESORIO: SIN, MATERIAL: PAPEL, LARGO: 50 M</t>
  </si>
  <si>
    <t>BOLSA</t>
  </si>
  <si>
    <t>11 - DIRE PROV DE ADMINISTRACION - MINISTERIO DE SALUD</t>
  </si>
  <si>
    <t>DIR. ADM.</t>
  </si>
  <si>
    <t>CANTIDAD TOTAL</t>
  </si>
  <si>
    <t>TOTAL DIR DE ADM</t>
  </si>
  <si>
    <t>2.3.1</t>
  </si>
  <si>
    <t>RESMA</t>
  </si>
  <si>
    <t>2.3.1-9896.3</t>
  </si>
  <si>
    <t>PAPELES OBRA; GRAMAJE: 80 GR/M2, TAMAÑO: A4/CARTA, BLANCURA: EXTRA BLANCO (MAYOR A 92%), CERTIFICACION SUSTENTABLE: CON, NORMA: IRAM 3100/3123/3124-ISO 9706</t>
  </si>
  <si>
    <t>2.3.1-9896.6</t>
  </si>
  <si>
    <t>PAPELES OBRA; GRAMAJE: 80 GR/M2, TAMAÑO: OFICIO/LEGAL, BLANCURA: EXTRA BLANCO (MAYOR A 92%), CERTIFICACION SUSTENTABLE: CON, NORMA: IRAM 3100/3123/3124-ISO 9706</t>
  </si>
  <si>
    <t>2.3.1-928.8</t>
  </si>
  <si>
    <t>ARANDELAS DE CARTON; DIAMETRO: 1 pulg, PRESENTACION: CAJA X 500 UNIDADES</t>
  </si>
  <si>
    <t>2.9.2-674.22</t>
  </si>
  <si>
    <t>2.9.2</t>
  </si>
  <si>
    <t>REGLAS GRADUADAS; TIPO: PLANA, LONG.DE CUERPO: 30 Cm, MATERIAL: ACRILICO</t>
  </si>
  <si>
    <t>REGLAS GRADUADAS; TIPO: PLANA, MATERIAL: ACRILICO, LONG.DE CUERPO: 50 Cm</t>
  </si>
  <si>
    <t>2.9.2-674.24</t>
  </si>
  <si>
    <t>TOTAL DEL RUBRO LIBRERÍA, PAP Y UTILES OFICINA</t>
  </si>
  <si>
    <t>unidad</t>
  </si>
  <si>
    <t>caja</t>
  </si>
  <si>
    <t>DIR. LAB. CENTRAL</t>
  </si>
  <si>
    <t>TOTAL DE LAB CENTRAL</t>
  </si>
  <si>
    <t xml:space="preserve">BCO DE SANGRE </t>
  </si>
  <si>
    <t xml:space="preserve">TOTAL BANCO DE SANGRE </t>
  </si>
  <si>
    <t>ESPECIFICACIONES TECNICAS</t>
  </si>
  <si>
    <t>BOLIGRAFOS; TRAZO: 0,8 mm</t>
  </si>
  <si>
    <t>2.9.2-317.32</t>
  </si>
  <si>
    <t>LAPICERA TRAZO FINO COLOR ROJA X 50 UNIDAD</t>
  </si>
  <si>
    <t>LAPICERA TRAZO GRUESO COLOR NEGRA X 50 UNIDAD</t>
  </si>
  <si>
    <t>LAPICERA TRAZO GRUESO COLOR AZUL X 50 UNIDAD</t>
  </si>
  <si>
    <t>MARCADORES; TIPO: INDELEBLE, TRAZO: 0,5 mm, PUNTA: FINA, COLOR: AZUL, RECARGABLE: NO</t>
  </si>
  <si>
    <t>MARCADORES; TIPO: AL AGUA, TRAZO: FINO, PUNTA: FINA, COLOR: NEGRO, RECARGABLE: SI</t>
  </si>
  <si>
    <t>CINTAS ADHESIVAS; TIPO: EMBALAR, ANCHO: 48 mm, LARGO: 100 M, MATERIAL: POLIPROPILENO, ACCESORIO: SIN</t>
  </si>
  <si>
    <t>CARPETAS P/ENCUADERNACION; TAMAÑO: OFICIO, ESPESOR: 9 mm, MATERIAL LOMO: PLASTICO TRANPARENTE, PEGAMENTO: SIN, TAPA: TRANSPARENTE</t>
  </si>
  <si>
    <t>CARPETAS P/ENCUADERNACION; TAMAÑO: A4, ESPESOR: 48 mm, MATERIAL LOMO: METAL, PEGAMENTO: CON, TAPA: TRANSPARENTE</t>
  </si>
  <si>
    <t>PAPELES ENCUADERNADOS; CANT. DE HOJAS: 80, TAMAÑO: A4, TIPO: RAYADO ESPIRALADO, CERTIFICADO FORESTAL (GFS): SIN, PORC. FIBRAS RECICLADAS: 0 %</t>
  </si>
  <si>
    <t>GOMAS DE BORRAR; CANT. X CAJA: 30, USO: LAPIZ, DIMENSION: 4 X 1 X 1 Cm, MATERIAL: PLASTICO, PRESENTACION: CAJA X 30</t>
  </si>
  <si>
    <t>TINTAS P/SELLOS; ENVASE: 30 CM3, COLOR: NEGRO, TIPO DE SELLO: DE GOMA, PRESENTACION: ENVASE X 30 CM3</t>
  </si>
  <si>
    <t>SOBRES DE PAPEL; TIPO: BOLSA DE PAPEL MANILA, TAMAÑO: 24 X 30 Cm, GRAMAJE: 80 GR/M2, PRESENTACION: ENVASE X 100 UN, CERTIFICADO FORESTAL (GFS): SIN, PORC. FIBRAS RECICLADAS: 0 %, CERT. FIBRA ALTERNATIVA (FCA): SIN</t>
  </si>
  <si>
    <t>2.9.2-1616.119</t>
  </si>
  <si>
    <t>2.9.2-1616.115</t>
  </si>
  <si>
    <t>2.9.2-1153.130</t>
  </si>
  <si>
    <t>2.9.2-2766.11</t>
  </si>
  <si>
    <t>2.9.2-2766.12</t>
  </si>
  <si>
    <t>2.3.1-6587.277</t>
  </si>
  <si>
    <t>2.9.2-661.2</t>
  </si>
  <si>
    <t>2.9.2-1450.2</t>
  </si>
  <si>
    <t>2.3.1-6590.541</t>
  </si>
  <si>
    <t>ATENCION PRIMARIA</t>
  </si>
  <si>
    <t>TOTAL ATENCION PRI</t>
  </si>
  <si>
    <t>MARCADORES; TIPO: INDELEBLE, TRAZO: FINO, PUNTA: REDONDA, COLOR: NEGRO, RECARGABLE: SI</t>
  </si>
  <si>
    <t>2.9.2-1616.104</t>
  </si>
  <si>
    <t>MARCADORES; TRAZO: GRUESO, PUNTA: REDONDA, RECARGABLE: SI, TIPO: INDELEBLE, COLOR: ROJO</t>
  </si>
  <si>
    <t>2.9.2-1616.84</t>
  </si>
  <si>
    <t>2.9.2-1616.156</t>
  </si>
  <si>
    <t>MARCADORES; TIPO PARA PIZARRA - TRAZO GRUESO - PUNTA REDONDA - RECARGABLE SI</t>
  </si>
  <si>
    <t>SELLOS NUMERADORES; DIMENSION: 13 X 33 mm, CANTIDAD DE DIGITOS: 4, RANGO: 0 AL 9, TIPO: COMUN</t>
  </si>
  <si>
    <t>2.9.2-1415.6</t>
  </si>
  <si>
    <t>2.3.1-6563.109</t>
  </si>
  <si>
    <t>PAPELES EN HOJA; TIPO PAPEL: PAPEL CARBONICO, DIMENSION: OFICIO, GRAMAJE: SIN VALOR, PRESENTACION: CAJA X 100 HOJAS, TIPO DE PAPEL: PAPEL CARBONICO</t>
  </si>
  <si>
    <t>PAPELES EN HOJA; TIPO DE PAPEL: AFICHE, DIMENSION: 50 X 80 Cm, GRAMAJE: 125 GR/M2, PRESENTACION: ENVASE X 100 UN, CERTIFICADO FORESTAL (GFS): SIN, PORC. FIBRAS RECICLADAS: 0 %, CERT. FIBRA ALTERNATIVA (FCA): SIN</t>
  </si>
  <si>
    <t>2.3.1-6563.932</t>
  </si>
  <si>
    <t>PAPELES EN HOJA; TIPO DE PAPEL: P/FORRAR, DIMENSION: 56 X 74 Cm, GRAMAJE: 90/110 GR/M2, PRESENTACION: UNIDAD, CERTIFICADO FORESTAL (GFS): SIN, PORC. FIBRAS RECICLADAS: 0 %, CERT. FIBRA ALTERNATIVA (FCA): SIN</t>
  </si>
  <si>
    <t>2.3.1-6563.1019</t>
  </si>
  <si>
    <t>SOBRES DE PAPEL; TIPO: BOLSA DE PAPEL MADERA, TAMAÑO: 37 X 45 Cm, GRAMAJE: 100 GR/M2, PRESENTACION: ENVASE X 100 UN, CERTIFICADO FORESTAL (GFS): SIN, PORC. FIBRAS RECICLADAS: 100 %, CERT. FIBRA ALTERNATIVA (FCA): SIN</t>
  </si>
  <si>
    <t>2.3.1-6590.543</t>
  </si>
  <si>
    <t>ALMOHADILLAS P/SELLOS; MEDIDA: 8 X 14,5 Cm, MATERIAL: METAL</t>
  </si>
  <si>
    <t>2.9.2-291.10</t>
  </si>
  <si>
    <t>2.9.2-850.181</t>
  </si>
  <si>
    <t>CAJAS DE ARCHIVO; MATERIAL: PLASTICO, DIMENSION: OFICIO</t>
  </si>
  <si>
    <t>CARTUCHOS DE TONER; CODIGO: TN-3479, USO: BROTHER</t>
  </si>
  <si>
    <t>CARTUCHOS DE TONER; CODIGO: HP 53A, USO: HP</t>
  </si>
  <si>
    <t>CARTUCHOS DE TONER; CODIGO: HP 49A, USO: HEWLETT PACKARD</t>
  </si>
  <si>
    <t>BIBLIORATOS; ANCHO: 40 mm, ANILLO: 2, TAMAÑO: OFICIO, MATERIAL: CARTON FORRADO EN PVC</t>
  </si>
  <si>
    <t>2.9.2-274.62</t>
  </si>
  <si>
    <t>2.9.6-401.1482</t>
  </si>
  <si>
    <t>2.9.6-401.1486</t>
  </si>
  <si>
    <t>2.9.6-401.2294</t>
  </si>
  <si>
    <t>2.9.2-1062.1</t>
  </si>
  <si>
    <t>CLIPS P/PAPEL; CANT. X CAJA: 50, NUMERO: 6, MATERIAL: METAL, PRESENTACION: CAJA X 50</t>
  </si>
  <si>
    <t>2.9.2-660.10</t>
  </si>
  <si>
    <t>2.9.2-1611.10</t>
  </si>
  <si>
    <t>FOLIOS TRANSPARENTES; TAMAÑO: A-4, PERFORACIONES: 5, MATERIAL: POLIPROPILENO</t>
  </si>
  <si>
    <t>2.9.2-1611.11</t>
  </si>
  <si>
    <t>FOLIOS TRANSPARENTES; TAMAÑO: OFICIO, PERFORACIONES: 5, MATERIAL: POLIPROPILENO</t>
  </si>
  <si>
    <t>LAPICERA TRAZO FINO COLOR VERDE X 50 UNIDAD</t>
  </si>
  <si>
    <t xml:space="preserve">DIR DE CANCER </t>
  </si>
  <si>
    <t>TOTAL DE DIR DE CANCER</t>
  </si>
  <si>
    <t>FARMACIA</t>
  </si>
  <si>
    <t>TOTAL FARMACIA</t>
  </si>
  <si>
    <t>CINTAS ADHESIVAS; ANCHO: 12 mm, LARGO ROLLO: 30 M, MATERIAL: CELOFAN, ACCESORIO: SIN VALOR, TIPO: TRANSPARENTE, LARGO: 30 M</t>
  </si>
  <si>
    <t>2.9.2-1153.4</t>
  </si>
  <si>
    <t>ODONTOLOGIA</t>
  </si>
  <si>
    <t>TOTAL DE ODONTOLOG</t>
  </si>
  <si>
    <t>2.9.6-1355.1381</t>
  </si>
  <si>
    <t>CARTUCHOS DE TINTA; CODIGO: HP 21, USO: IMPRESORA HP DESK JET 3920</t>
  </si>
  <si>
    <t>2.9.6-401.11</t>
  </si>
  <si>
    <t>CARTUCHOS DE TONER; COLOR: NEGRO, PRODUCTO: PRINT, USO: EPSON, CODIGO: 50002, DESCRIPCION: PRINT</t>
  </si>
  <si>
    <t>2.9.6-401.2006</t>
  </si>
  <si>
    <t>CARTUCHOS DE TONER; CODIGO: CE285D, USO: HP LASER JET 1102 N</t>
  </si>
  <si>
    <t>2.9.6-401.1918</t>
  </si>
  <si>
    <t>CARTUCHOS DE TONER; CODIGO: SCX-6320D8, USO: SAMSUNG SCX-6322DN</t>
  </si>
  <si>
    <t>SAME</t>
  </si>
  <si>
    <t>TOTAL DE SAME</t>
  </si>
  <si>
    <t>MALBRAN</t>
  </si>
  <si>
    <t>HOSPITAL MALBRAN</t>
  </si>
  <si>
    <t>maternidade e infancia</t>
  </si>
  <si>
    <t xml:space="preserve">total maternidad </t>
  </si>
  <si>
    <t>SEC DE ASIST EN SALUD PUB</t>
  </si>
  <si>
    <t>TOTAL SEC EN ASIS EN SAL</t>
  </si>
  <si>
    <t>2.9.2-1062.12</t>
  </si>
  <si>
    <t>PAPELES ANOTADOR AUTOADHESIVOS; PRESENTACION : 100 HOJAS, LARGO X ANCHO 76X76 MM</t>
  </si>
  <si>
    <t>2.9.6</t>
  </si>
  <si>
    <t>SALUD Y MEDIO AMBIENTE</t>
  </si>
  <si>
    <t>TOTAL SALUD Y MEDIO AMBIENTE</t>
  </si>
  <si>
    <t>VECTORES Y ZOONOSIS</t>
  </si>
  <si>
    <t>TOTAL DE VECT Y ZOON</t>
  </si>
  <si>
    <t>2.9.2-262.4</t>
  </si>
  <si>
    <t>ADHESIVOS P/PAPEL; PRESENTACION: 250 GR, TIPO: COLA VINILICA</t>
  </si>
  <si>
    <t>SUMAR</t>
  </si>
  <si>
    <t xml:space="preserve">TOTAL SUMAR </t>
  </si>
  <si>
    <t>CUR</t>
  </si>
  <si>
    <t>TOTAL CUR</t>
  </si>
  <si>
    <t>2.9.2-700.29</t>
  </si>
  <si>
    <t>BROCHES P/ABROCHADORA; NUMERO: 24/6, PRESENTACION: CAJA X 1000 UNIDADES</t>
  </si>
  <si>
    <t>PLANIFICACION</t>
  </si>
  <si>
    <t>TOTAL PLANIFICA</t>
  </si>
  <si>
    <t>SALUD MENTAL</t>
  </si>
  <si>
    <t>TOTAL SALUD MENTAL</t>
  </si>
  <si>
    <t>AREAS Y DPAS</t>
  </si>
  <si>
    <t>TOTAL DPAS</t>
  </si>
  <si>
    <t>Descripción técnica</t>
  </si>
  <si>
    <t>Plazos de entrega</t>
  </si>
  <si>
    <t>diez (10) dias habiles</t>
  </si>
  <si>
    <t>Lugar de Entrega:</t>
  </si>
  <si>
    <t>DIR. PROV. DE AMINISTRACION - CHACABUCO N° 169 - en el horario de 8:00hs a 12:00hs de lunes a viernes</t>
  </si>
  <si>
    <t>Calidad Minima esperada</t>
  </si>
  <si>
    <t>Mantenimiento</t>
  </si>
  <si>
    <t>cuarenta y cinco (45) días</t>
  </si>
  <si>
    <t>PAQUETE</t>
  </si>
  <si>
    <t>ORIGINALES PARA IMPRESORA HP DESK JET 3920</t>
  </si>
  <si>
    <t>ORIGINALES PARA IMPRESORA EPSON, CODIGO: 50002</t>
  </si>
  <si>
    <t>ORIGINALES PARA IMPRESORA  HP LASER JET 1102 N</t>
  </si>
  <si>
    <t>ORIGINALES PARA IMPRESORA SAMSUNG SCX-6322DN</t>
  </si>
  <si>
    <t>ORIGINALES PARA IMPRESORA HP LASER JET M12W</t>
  </si>
  <si>
    <t>ORIGINALES PARA IMPRESORA HP LASER JET P2015 DN</t>
  </si>
  <si>
    <t>ORIGINALES PARA IMPRESORA BROTHER DCP L5650 DN</t>
  </si>
  <si>
    <t>PAPELES ANOTADOR AUTOADHESIVOS; PRESENTACION: 500 HOJAS, LARGO X ANCHO: 9 X 9 Cm, DIMENSION: SIN VALOR, MATERIAL: SIN VALOR</t>
  </si>
  <si>
    <t xml:space="preserve">caja por 6 unidades </t>
  </si>
  <si>
    <t>pack por 100 unidades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</si>
</sst>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6" formatCode="_ &quot;$&quot;\ * #,##0.00_ ;_ &quot;$&quot;\ * \-#,##0.00_ ;_ &quot;$&quot;\ * &quot;-&quot;??_ ;_ @_ "/>
    <numFmt numFmtId="167" formatCode="_-* #,##0.00&quot; €&quot;_-;\-* #,##0.00&quot; €&quot;_-;_-* \-??&quot; €&quot;_-;_-@_-"/>
    <numFmt numFmtId="168" formatCode="_-[$$-2C0A]\ * #,##0.00_-;\-[$$-2C0A]\ * #,##0.00_-;_-[$$-2C0A]\ * &quot;-&quot;??_-;_-@_-"/>
    <numFmt numFmtId="170" formatCode="_ [$$-2C0A]\ * #,##0.00_ ;_ [$$-2C0A]\ * \-#,##0.00_ ;_ [$$-2C0A]\ * &quot;-&quot;??_ ;_ @_ "/>
    <numFmt numFmtId="171" formatCode="[$$-2C0A]\ #,##0.00"/>
    <numFmt numFmtId="172" formatCode="&quot;$&quot;\ #,##0.00"/>
    <numFmt numFmtId="174" formatCode="_(\$* #,##0.00_);_(\$* \(#,##0.00\);_(\$* \-??_);_(@_)"/>
  </numFmts>
  <fonts count="28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sz val="11"/>
      <color rgb="FF333333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20"/>
      <name val="Times New Roman"/>
      <family val="1"/>
    </font>
    <font>
      <b/>
      <sz val="12"/>
      <color rgb="FFFF0000"/>
      <name val="Arial"/>
      <family val="2"/>
    </font>
    <font>
      <sz val="11"/>
      <name val="Times New Roman"/>
      <family val="1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b/>
      <sz val="10"/>
      <name val="Times New Roman"/>
      <family val="1"/>
    </font>
    <font>
      <sz val="11"/>
      <color rgb="FF000000"/>
      <name val="Times New Roman"/>
      <family val="1"/>
    </font>
    <font>
      <b/>
      <sz val="11"/>
      <name val="Arial"/>
      <family val="2"/>
    </font>
    <font>
      <b/>
      <sz val="11"/>
      <color rgb="FF333333"/>
      <name val="Arial"/>
      <family val="2"/>
    </font>
    <font>
      <b/>
      <sz val="11"/>
      <color rgb="FFFF0000"/>
      <name val="Arial"/>
      <family val="2"/>
    </font>
    <font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CCCFF"/>
      </patternFill>
    </fill>
  </fills>
  <borders count="13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7">
    <xf numFmtId="0" fontId="0" fillId="0" borderId="0"/>
    <xf numFmtId="167" fontId="6" fillId="0" borderId="0" applyBorder="0" applyProtection="0"/>
    <xf numFmtId="0" fontId="4" fillId="0" borderId="1" applyProtection="0"/>
    <xf numFmtId="0" fontId="5" fillId="2" borderId="0" applyBorder="0" applyProtection="0"/>
    <xf numFmtId="0" fontId="12" fillId="0" borderId="0"/>
    <xf numFmtId="166" fontId="12" fillId="0" borderId="0" applyBorder="0" applyAlignment="0" applyProtection="0"/>
    <xf numFmtId="0" fontId="12" fillId="0" borderId="0"/>
    <xf numFmtId="0" fontId="12" fillId="0" borderId="0"/>
    <xf numFmtId="0" fontId="12" fillId="0" borderId="0"/>
    <xf numFmtId="0" fontId="3" fillId="0" borderId="0"/>
    <xf numFmtId="0" fontId="6" fillId="0" borderId="0"/>
    <xf numFmtId="167" fontId="6" fillId="0" borderId="0" applyBorder="0" applyProtection="0"/>
    <xf numFmtId="0" fontId="4" fillId="0" borderId="1" applyProtection="0"/>
    <xf numFmtId="0" fontId="6" fillId="0" borderId="0"/>
    <xf numFmtId="166" fontId="6" fillId="0" borderId="0" applyBorder="0" applyAlignment="0" applyProtection="0"/>
    <xf numFmtId="0" fontId="6" fillId="0" borderId="0"/>
    <xf numFmtId="0" fontId="6" fillId="0" borderId="0"/>
    <xf numFmtId="0" fontId="6" fillId="0" borderId="0"/>
    <xf numFmtId="43" fontId="2" fillId="0" borderId="0" applyFont="0" applyFill="0" applyBorder="0" applyAlignment="0" applyProtection="0"/>
    <xf numFmtId="167" fontId="6" fillId="0" borderId="0" applyBorder="0" applyProtection="0"/>
    <xf numFmtId="0" fontId="2" fillId="0" borderId="0"/>
    <xf numFmtId="0" fontId="2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</cellStyleXfs>
  <cellXfs count="141">
    <xf numFmtId="0" fontId="0" fillId="0" borderId="0" xfId="0"/>
    <xf numFmtId="0" fontId="7" fillId="0" borderId="0" xfId="0" applyFont="1"/>
    <xf numFmtId="0" fontId="9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168" fontId="7" fillId="0" borderId="0" xfId="0" applyNumberFormat="1" applyFont="1" applyAlignment="1">
      <alignment horizontal="right" vertical="center"/>
    </xf>
    <xf numFmtId="3" fontId="13" fillId="4" borderId="2" xfId="0" applyNumberFormat="1" applyFont="1" applyFill="1" applyBorder="1" applyAlignment="1">
      <alignment horizontal="center" vertical="center" wrapText="1"/>
    </xf>
    <xf numFmtId="0" fontId="7" fillId="4" borderId="0" xfId="0" applyFont="1" applyFill="1"/>
    <xf numFmtId="0" fontId="21" fillId="0" borderId="0" xfId="0" applyFont="1" applyBorder="1" applyAlignment="1">
      <alignment horizontal="left" vertical="center" wrapText="1"/>
    </xf>
    <xf numFmtId="0" fontId="20" fillId="0" borderId="0" xfId="0" applyFont="1" applyBorder="1" applyAlignment="1">
      <alignment horizontal="left"/>
    </xf>
    <xf numFmtId="0" fontId="21" fillId="0" borderId="3" xfId="0" applyFont="1" applyBorder="1" applyAlignment="1">
      <alignment horizontal="left" vertical="center" wrapText="1"/>
    </xf>
    <xf numFmtId="0" fontId="20" fillId="0" borderId="0" xfId="0" applyFont="1" applyBorder="1" applyAlignment="1">
      <alignment horizontal="center" wrapText="1"/>
    </xf>
    <xf numFmtId="0" fontId="22" fillId="0" borderId="0" xfId="0" applyFont="1" applyAlignment="1">
      <alignment wrapText="1"/>
    </xf>
    <xf numFmtId="0" fontId="20" fillId="0" borderId="0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0" fontId="20" fillId="0" borderId="4" xfId="0" applyFont="1" applyBorder="1" applyAlignment="1">
      <alignment horizontal="center" wrapText="1"/>
    </xf>
    <xf numFmtId="0" fontId="20" fillId="0" borderId="9" xfId="0" applyFont="1" applyBorder="1" applyAlignment="1">
      <alignment horizontal="center" wrapText="1"/>
    </xf>
    <xf numFmtId="1" fontId="9" fillId="0" borderId="0" xfId="0" applyNumberFormat="1" applyFont="1" applyAlignment="1">
      <alignment horizontal="center" wrapText="1"/>
    </xf>
    <xf numFmtId="1" fontId="7" fillId="0" borderId="0" xfId="0" applyNumberFormat="1" applyFont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168" fontId="13" fillId="4" borderId="11" xfId="4" applyNumberFormat="1" applyFont="1" applyFill="1" applyBorder="1" applyAlignment="1">
      <alignment horizontal="right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3" fillId="4" borderId="11" xfId="4" applyFont="1" applyFill="1" applyBorder="1" applyAlignment="1">
      <alignment horizontal="center" vertical="center" wrapText="1"/>
    </xf>
    <xf numFmtId="0" fontId="13" fillId="4" borderId="11" xfId="0" applyFont="1" applyFill="1" applyBorder="1" applyAlignment="1">
      <alignment horizontal="center" vertical="center" wrapText="1"/>
    </xf>
    <xf numFmtId="0" fontId="20" fillId="0" borderId="12" xfId="0" applyFont="1" applyBorder="1" applyAlignment="1">
      <alignment horizontal="center" wrapText="1"/>
    </xf>
    <xf numFmtId="0" fontId="15" fillId="0" borderId="11" xfId="0" applyFont="1" applyBorder="1" applyAlignment="1">
      <alignment horizontal="center" vertical="center" wrapText="1"/>
    </xf>
    <xf numFmtId="0" fontId="13" fillId="0" borderId="11" xfId="4" applyFont="1" applyBorder="1" applyAlignment="1">
      <alignment horizontal="center" vertical="center"/>
    </xf>
    <xf numFmtId="0" fontId="13" fillId="0" borderId="11" xfId="0" applyFont="1" applyBorder="1" applyAlignment="1">
      <alignment wrapText="1"/>
    </xf>
    <xf numFmtId="0" fontId="13" fillId="0" borderId="11" xfId="13" applyFont="1" applyBorder="1" applyAlignment="1">
      <alignment horizontal="center" vertical="center" wrapText="1"/>
    </xf>
    <xf numFmtId="0" fontId="13" fillId="0" borderId="11" xfId="4" applyFont="1" applyBorder="1" applyAlignment="1">
      <alignment horizontal="center" vertical="center" wrapText="1"/>
    </xf>
    <xf numFmtId="171" fontId="13" fillId="0" borderId="11" xfId="4" applyNumberFormat="1" applyFont="1" applyBorder="1" applyAlignment="1">
      <alignment horizontal="center" vertical="center" wrapText="1"/>
    </xf>
    <xf numFmtId="1" fontId="13" fillId="0" borderId="11" xfId="4" applyNumberFormat="1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3" borderId="11" xfId="0" applyFont="1" applyFill="1" applyBorder="1" applyAlignment="1">
      <alignment horizontal="center" vertical="center" wrapText="1"/>
    </xf>
    <xf numFmtId="1" fontId="16" fillId="4" borderId="11" xfId="0" applyNumberFormat="1" applyFont="1" applyFill="1" applyBorder="1" applyAlignment="1">
      <alignment horizontal="center" vertical="center" wrapText="1"/>
    </xf>
    <xf numFmtId="170" fontId="13" fillId="0" borderId="11" xfId="4" applyNumberFormat="1" applyFont="1" applyBorder="1" applyAlignment="1">
      <alignment horizontal="center" vertical="center" wrapText="1"/>
    </xf>
    <xf numFmtId="0" fontId="15" fillId="4" borderId="11" xfId="0" applyFont="1" applyFill="1" applyBorder="1" applyAlignment="1">
      <alignment horizontal="center" vertical="center" wrapText="1"/>
    </xf>
    <xf numFmtId="1" fontId="13" fillId="4" borderId="11" xfId="4" applyNumberFormat="1" applyFont="1" applyFill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172" fontId="13" fillId="0" borderId="11" xfId="4" applyNumberFormat="1" applyFont="1" applyBorder="1" applyAlignment="1">
      <alignment horizontal="center" vertical="center" wrapText="1"/>
    </xf>
    <xf numFmtId="172" fontId="7" fillId="0" borderId="0" xfId="0" applyNumberFormat="1" applyFont="1" applyAlignment="1">
      <alignment horizontal="center"/>
    </xf>
    <xf numFmtId="172" fontId="9" fillId="0" borderId="0" xfId="0" applyNumberFormat="1" applyFont="1" applyAlignment="1">
      <alignment horizontal="center" wrapText="1"/>
    </xf>
    <xf numFmtId="172" fontId="13" fillId="4" borderId="11" xfId="4" applyNumberFormat="1" applyFont="1" applyFill="1" applyBorder="1" applyAlignment="1">
      <alignment horizontal="center" vertical="center" wrapText="1"/>
    </xf>
    <xf numFmtId="172" fontId="15" fillId="0" borderId="11" xfId="1" applyNumberFormat="1" applyFont="1" applyFill="1" applyBorder="1" applyAlignment="1" applyProtection="1">
      <alignment vertical="center"/>
    </xf>
    <xf numFmtId="3" fontId="7" fillId="0" borderId="0" xfId="0" applyNumberFormat="1" applyFont="1" applyAlignment="1">
      <alignment horizontal="center"/>
    </xf>
    <xf numFmtId="3" fontId="9" fillId="0" borderId="0" xfId="0" applyNumberFormat="1" applyFont="1" applyAlignment="1">
      <alignment horizontal="center" wrapText="1"/>
    </xf>
    <xf numFmtId="3" fontId="13" fillId="0" borderId="11" xfId="4" applyNumberFormat="1" applyFont="1" applyBorder="1" applyAlignment="1">
      <alignment horizontal="center" vertical="center" wrapText="1"/>
    </xf>
    <xf numFmtId="3" fontId="13" fillId="0" borderId="11" xfId="0" applyNumberFormat="1" applyFont="1" applyBorder="1" applyAlignment="1">
      <alignment horizontal="center" vertical="center" wrapText="1"/>
    </xf>
    <xf numFmtId="3" fontId="16" fillId="4" borderId="11" xfId="0" applyNumberFormat="1" applyFont="1" applyFill="1" applyBorder="1" applyAlignment="1">
      <alignment horizontal="center" vertical="center" wrapText="1"/>
    </xf>
    <xf numFmtId="3" fontId="13" fillId="4" borderId="11" xfId="4" applyNumberFormat="1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3" fillId="4" borderId="11" xfId="4" applyFont="1" applyFill="1" applyBorder="1" applyAlignment="1">
      <alignment horizontal="center" vertical="center"/>
    </xf>
    <xf numFmtId="0" fontId="24" fillId="0" borderId="11" xfId="13" applyFont="1" applyBorder="1" applyAlignment="1">
      <alignment horizontal="center" vertical="center" wrapText="1"/>
    </xf>
    <xf numFmtId="3" fontId="7" fillId="0" borderId="0" xfId="0" applyNumberFormat="1" applyFont="1" applyAlignment="1">
      <alignment horizontal="center" vertical="center"/>
    </xf>
    <xf numFmtId="3" fontId="9" fillId="0" borderId="0" xfId="0" applyNumberFormat="1" applyFont="1" applyAlignment="1">
      <alignment horizontal="center" vertical="center" wrapText="1"/>
    </xf>
    <xf numFmtId="1" fontId="15" fillId="0" borderId="11" xfId="0" applyNumberFormat="1" applyFont="1" applyBorder="1" applyAlignment="1">
      <alignment horizontal="center"/>
    </xf>
    <xf numFmtId="1" fontId="13" fillId="0" borderId="11" xfId="0" applyNumberFormat="1" applyFont="1" applyBorder="1" applyAlignment="1">
      <alignment horizontal="center" vertical="center"/>
    </xf>
    <xf numFmtId="1" fontId="13" fillId="0" borderId="11" xfId="0" applyNumberFormat="1" applyFont="1" applyBorder="1" applyAlignment="1">
      <alignment horizontal="center" vertical="center" wrapText="1"/>
    </xf>
    <xf numFmtId="171" fontId="13" fillId="4" borderId="11" xfId="4" applyNumberFormat="1" applyFont="1" applyFill="1" applyBorder="1" applyAlignment="1">
      <alignment horizontal="center" vertical="center" wrapText="1"/>
    </xf>
    <xf numFmtId="0" fontId="15" fillId="0" borderId="11" xfId="13" applyFont="1" applyBorder="1" applyAlignment="1">
      <alignment horizontal="center"/>
    </xf>
    <xf numFmtId="0" fontId="24" fillId="0" borderId="11" xfId="4" applyFont="1" applyBorder="1" applyAlignment="1">
      <alignment horizontal="center" vertical="center" wrapText="1"/>
    </xf>
    <xf numFmtId="1" fontId="24" fillId="0" borderId="11" xfId="4" applyNumberFormat="1" applyFont="1" applyBorder="1" applyAlignment="1">
      <alignment horizontal="center" vertical="center" wrapText="1"/>
    </xf>
    <xf numFmtId="3" fontId="24" fillId="0" borderId="11" xfId="4" applyNumberFormat="1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/>
    </xf>
    <xf numFmtId="0" fontId="15" fillId="0" borderId="11" xfId="0" applyFont="1" applyBorder="1" applyAlignment="1">
      <alignment horizontal="center"/>
    </xf>
    <xf numFmtId="0" fontId="26" fillId="0" borderId="11" xfId="0" applyFont="1" applyBorder="1" applyAlignment="1">
      <alignment horizontal="center" vertical="center" wrapText="1"/>
    </xf>
    <xf numFmtId="3" fontId="15" fillId="0" borderId="11" xfId="0" applyNumberFormat="1" applyFont="1" applyBorder="1" applyAlignment="1">
      <alignment horizontal="center" vertical="center"/>
    </xf>
    <xf numFmtId="3" fontId="15" fillId="4" borderId="11" xfId="0" applyNumberFormat="1" applyFont="1" applyFill="1" applyBorder="1" applyAlignment="1">
      <alignment horizontal="center" vertical="center"/>
    </xf>
    <xf numFmtId="0" fontId="15" fillId="4" borderId="11" xfId="13" applyFont="1" applyFill="1" applyBorder="1" applyAlignment="1">
      <alignment horizontal="center"/>
    </xf>
    <xf numFmtId="0" fontId="16" fillId="0" borderId="11" xfId="0" applyFont="1" applyBorder="1" applyAlignment="1">
      <alignment horizontal="center" vertical="center"/>
    </xf>
    <xf numFmtId="1" fontId="16" fillId="0" borderId="11" xfId="0" applyNumberFormat="1" applyFont="1" applyBorder="1" applyAlignment="1">
      <alignment horizontal="center" vertical="center" wrapText="1"/>
    </xf>
    <xf numFmtId="172" fontId="16" fillId="0" borderId="11" xfId="0" applyNumberFormat="1" applyFont="1" applyBorder="1" applyAlignment="1">
      <alignment horizontal="center" vertical="center" wrapText="1"/>
    </xf>
    <xf numFmtId="3" fontId="16" fillId="0" borderId="11" xfId="0" applyNumberFormat="1" applyFont="1" applyBorder="1" applyAlignment="1">
      <alignment horizontal="center" vertical="center" wrapText="1"/>
    </xf>
    <xf numFmtId="168" fontId="16" fillId="0" borderId="11" xfId="0" applyNumberFormat="1" applyFont="1" applyBorder="1" applyAlignment="1">
      <alignment horizontal="center" vertical="center" wrapText="1"/>
    </xf>
    <xf numFmtId="172" fontId="13" fillId="0" borderId="0" xfId="1" applyNumberFormat="1" applyFont="1" applyAlignment="1">
      <alignment vertical="center"/>
    </xf>
    <xf numFmtId="168" fontId="7" fillId="0" borderId="0" xfId="0" applyNumberFormat="1" applyFont="1" applyAlignment="1">
      <alignment vertical="center"/>
    </xf>
    <xf numFmtId="172" fontId="13" fillId="0" borderId="11" xfId="1" applyNumberFormat="1" applyFont="1" applyBorder="1" applyAlignment="1">
      <alignment vertical="center" wrapText="1"/>
    </xf>
    <xf numFmtId="168" fontId="16" fillId="0" borderId="11" xfId="0" applyNumberFormat="1" applyFont="1" applyBorder="1" applyAlignment="1">
      <alignment vertical="center" wrapText="1"/>
    </xf>
    <xf numFmtId="172" fontId="13" fillId="4" borderId="11" xfId="4" applyNumberFormat="1" applyFont="1" applyFill="1" applyBorder="1" applyAlignment="1">
      <alignment vertical="center" wrapText="1"/>
    </xf>
    <xf numFmtId="168" fontId="13" fillId="4" borderId="11" xfId="4" applyNumberFormat="1" applyFont="1" applyFill="1" applyBorder="1" applyAlignment="1">
      <alignment vertical="center" wrapText="1"/>
    </xf>
    <xf numFmtId="172" fontId="13" fillId="0" borderId="11" xfId="0" applyNumberFormat="1" applyFont="1" applyBorder="1" applyAlignment="1">
      <alignment vertical="center" wrapText="1"/>
    </xf>
    <xf numFmtId="172" fontId="13" fillId="4" borderId="11" xfId="1" applyNumberFormat="1" applyFont="1" applyFill="1" applyBorder="1" applyAlignment="1">
      <alignment vertical="center" wrapText="1"/>
    </xf>
    <xf numFmtId="172" fontId="13" fillId="5" borderId="11" xfId="13" applyNumberFormat="1" applyFont="1" applyFill="1" applyBorder="1" applyAlignment="1">
      <alignment vertical="center" wrapText="1"/>
    </xf>
    <xf numFmtId="0" fontId="19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/>
    </xf>
    <xf numFmtId="0" fontId="23" fillId="0" borderId="0" xfId="0" applyFont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13" fillId="0" borderId="11" xfId="0" applyFont="1" applyBorder="1" applyAlignment="1">
      <alignment horizontal="center" wrapText="1"/>
    </xf>
    <xf numFmtId="0" fontId="15" fillId="0" borderId="11" xfId="0" applyFont="1" applyBorder="1" applyAlignment="1">
      <alignment horizontal="center" wrapText="1"/>
    </xf>
    <xf numFmtId="0" fontId="14" fillId="0" borderId="11" xfId="0" applyFont="1" applyBorder="1" applyAlignment="1">
      <alignment horizontal="center" wrapText="1"/>
    </xf>
    <xf numFmtId="0" fontId="15" fillId="4" borderId="11" xfId="9" applyFont="1" applyFill="1" applyBorder="1" applyAlignment="1">
      <alignment horizontal="center" vertical="center"/>
    </xf>
    <xf numFmtId="0" fontId="15" fillId="4" borderId="11" xfId="9" applyFont="1" applyFill="1" applyBorder="1" applyAlignment="1">
      <alignment horizontal="center" vertical="center" wrapText="1"/>
    </xf>
    <xf numFmtId="168" fontId="18" fillId="4" borderId="11" xfId="4" applyNumberFormat="1" applyFont="1" applyFill="1" applyBorder="1" applyAlignment="1">
      <alignment vertical="center" wrapText="1"/>
    </xf>
    <xf numFmtId="1" fontId="15" fillId="4" borderId="11" xfId="0" applyNumberFormat="1" applyFont="1" applyFill="1" applyBorder="1" applyAlignment="1">
      <alignment horizontal="center"/>
    </xf>
    <xf numFmtId="172" fontId="15" fillId="4" borderId="11" xfId="1" applyNumberFormat="1" applyFont="1" applyFill="1" applyBorder="1" applyAlignment="1" applyProtection="1">
      <alignment vertical="center"/>
    </xf>
    <xf numFmtId="0" fontId="20" fillId="4" borderId="0" xfId="0" applyFont="1" applyFill="1" applyBorder="1" applyAlignment="1">
      <alignment horizontal="center" wrapText="1"/>
    </xf>
    <xf numFmtId="0" fontId="13" fillId="4" borderId="11" xfId="0" applyFont="1" applyFill="1" applyBorder="1" applyAlignment="1">
      <alignment horizontal="center" wrapText="1"/>
    </xf>
    <xf numFmtId="0" fontId="25" fillId="0" borderId="11" xfId="0" applyFont="1" applyBorder="1" applyAlignment="1">
      <alignment horizontal="center" vertical="center" wrapText="1"/>
    </xf>
    <xf numFmtId="0" fontId="24" fillId="0" borderId="11" xfId="4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170" fontId="24" fillId="0" borderId="11" xfId="4" applyNumberFormat="1" applyFont="1" applyBorder="1" applyAlignment="1">
      <alignment horizontal="center" vertical="center" wrapText="1"/>
    </xf>
    <xf numFmtId="171" fontId="24" fillId="0" borderId="11" xfId="4" applyNumberFormat="1" applyFont="1" applyBorder="1" applyAlignment="1">
      <alignment horizontal="center" vertical="center" wrapText="1"/>
    </xf>
    <xf numFmtId="172" fontId="24" fillId="5" borderId="11" xfId="13" applyNumberFormat="1" applyFont="1" applyFill="1" applyBorder="1" applyAlignment="1">
      <alignment vertical="center" wrapText="1"/>
    </xf>
    <xf numFmtId="168" fontId="24" fillId="4" borderId="11" xfId="4" applyNumberFormat="1" applyFont="1" applyFill="1" applyBorder="1" applyAlignment="1">
      <alignment horizontal="right" vertical="center" wrapText="1"/>
    </xf>
    <xf numFmtId="0" fontId="22" fillId="0" borderId="0" xfId="0" applyFont="1"/>
    <xf numFmtId="0" fontId="7" fillId="0" borderId="0" xfId="0" applyFont="1" applyAlignment="1">
      <alignment horizontal="center" vertical="center" wrapText="1"/>
    </xf>
    <xf numFmtId="171" fontId="7" fillId="0" borderId="0" xfId="0" applyNumberFormat="1" applyFont="1" applyAlignment="1">
      <alignment horizontal="center"/>
    </xf>
    <xf numFmtId="0" fontId="11" fillId="0" borderId="0" xfId="0" applyFont="1" applyFill="1" applyAlignment="1">
      <alignment horizontal="left" vertical="center" wrapText="1"/>
    </xf>
    <xf numFmtId="0" fontId="10" fillId="0" borderId="0" xfId="0" applyFont="1" applyFill="1" applyAlignment="1">
      <alignment horizontal="left" wrapText="1"/>
    </xf>
    <xf numFmtId="0" fontId="10" fillId="0" borderId="0" xfId="0" applyFont="1" applyFill="1" applyAlignment="1">
      <alignment horizontal="left" vertical="center" wrapText="1"/>
    </xf>
    <xf numFmtId="168" fontId="13" fillId="4" borderId="11" xfId="4" applyNumberFormat="1" applyFont="1" applyFill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0" fontId="20" fillId="0" borderId="12" xfId="0" applyFont="1" applyBorder="1" applyAlignment="1">
      <alignment horizontal="center" wrapText="1"/>
    </xf>
    <xf numFmtId="0" fontId="20" fillId="0" borderId="4" xfId="0" applyFont="1" applyBorder="1" applyAlignment="1">
      <alignment horizontal="center" wrapText="1"/>
    </xf>
    <xf numFmtId="0" fontId="20" fillId="0" borderId="9" xfId="0" applyFont="1" applyBorder="1" applyAlignment="1">
      <alignment horizont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0" fontId="20" fillId="0" borderId="0" xfId="0" applyFont="1" applyBorder="1" applyAlignment="1">
      <alignment horizontal="center" wrapText="1"/>
    </xf>
    <xf numFmtId="0" fontId="20" fillId="0" borderId="6" xfId="0" applyFont="1" applyBorder="1" applyAlignment="1">
      <alignment horizontal="center" wrapText="1"/>
    </xf>
    <xf numFmtId="0" fontId="20" fillId="0" borderId="5" xfId="0" applyFont="1" applyBorder="1" applyAlignment="1">
      <alignment horizontal="center" wrapText="1"/>
    </xf>
    <xf numFmtId="0" fontId="20" fillId="0" borderId="8" xfId="0" applyFont="1" applyBorder="1" applyAlignment="1">
      <alignment horizontal="center" wrapText="1"/>
    </xf>
    <xf numFmtId="0" fontId="20" fillId="4" borderId="12" xfId="0" applyFont="1" applyFill="1" applyBorder="1" applyAlignment="1">
      <alignment horizontal="center" wrapText="1"/>
    </xf>
    <xf numFmtId="0" fontId="20" fillId="4" borderId="4" xfId="0" applyFont="1" applyFill="1" applyBorder="1" applyAlignment="1">
      <alignment horizontal="center" wrapText="1"/>
    </xf>
    <xf numFmtId="0" fontId="20" fillId="4" borderId="9" xfId="0" applyFont="1" applyFill="1" applyBorder="1" applyAlignment="1">
      <alignment horizontal="center" wrapText="1"/>
    </xf>
    <xf numFmtId="0" fontId="17" fillId="0" borderId="0" xfId="0" applyFont="1" applyBorder="1" applyAlignment="1">
      <alignment horizontal="center"/>
    </xf>
    <xf numFmtId="0" fontId="17" fillId="0" borderId="0" xfId="0" applyFont="1" applyBorder="1" applyAlignment="1">
      <alignment horizontal="center" vertical="center"/>
    </xf>
    <xf numFmtId="0" fontId="17" fillId="0" borderId="0" xfId="0" applyFont="1" applyBorder="1" applyAlignment="1">
      <alignment horizontal="right" vertical="center"/>
    </xf>
    <xf numFmtId="0" fontId="11" fillId="0" borderId="0" xfId="0" applyFont="1" applyFill="1" applyBorder="1" applyAlignment="1">
      <alignment horizontal="left" wrapText="1"/>
    </xf>
    <xf numFmtId="0" fontId="7" fillId="0" borderId="0" xfId="0" applyFont="1" applyAlignment="1">
      <alignment horizontal="left" vertical="center"/>
    </xf>
    <xf numFmtId="0" fontId="20" fillId="0" borderId="7" xfId="0" applyFont="1" applyBorder="1" applyAlignment="1">
      <alignment horizontal="center" wrapText="1"/>
    </xf>
    <xf numFmtId="0" fontId="20" fillId="0" borderId="10" xfId="0" applyFont="1" applyBorder="1" applyAlignment="1">
      <alignment horizontal="center" wrapText="1"/>
    </xf>
    <xf numFmtId="0" fontId="11" fillId="0" borderId="0" xfId="0" applyFont="1" applyFill="1" applyAlignment="1">
      <alignment horizontal="left" vertical="center" wrapText="1"/>
    </xf>
  </cellXfs>
  <cellStyles count="27">
    <cellStyle name="Encabezado 1" xfId="2" xr:uid="{00000000-0005-0000-0000-000000000000}"/>
    <cellStyle name="Encabezado 1 2" xfId="12" xr:uid="{00000000-0005-0000-0000-000001000000}"/>
    <cellStyle name="Millares 2" xfId="18" xr:uid="{00000000-0005-0000-0000-000002000000}"/>
    <cellStyle name="Millares 2 2" xfId="24" xr:uid="{00000000-0005-0000-0000-000003000000}"/>
    <cellStyle name="Moneda" xfId="1" builtinId="4"/>
    <cellStyle name="Moneda 2" xfId="5" xr:uid="{00000000-0005-0000-0000-000005000000}"/>
    <cellStyle name="Moneda 2 2" xfId="14" xr:uid="{00000000-0005-0000-0000-000006000000}"/>
    <cellStyle name="Moneda 3" xfId="11" xr:uid="{00000000-0005-0000-0000-000007000000}"/>
    <cellStyle name="Moneda 4" xfId="19" xr:uid="{00000000-0005-0000-0000-000008000000}"/>
    <cellStyle name="Neutral 1" xfId="3" xr:uid="{00000000-0005-0000-0000-00000A000000}"/>
    <cellStyle name="Normal" xfId="0" builtinId="0"/>
    <cellStyle name="Normal 2" xfId="4" xr:uid="{00000000-0005-0000-0000-00000C000000}"/>
    <cellStyle name="Normal 2 2" xfId="13" xr:uid="{00000000-0005-0000-0000-00000D000000}"/>
    <cellStyle name="Normal 3" xfId="6" xr:uid="{00000000-0005-0000-0000-00000E000000}"/>
    <cellStyle name="Normal 3 2" xfId="7" xr:uid="{00000000-0005-0000-0000-00000F000000}"/>
    <cellStyle name="Normal 3 2 2" xfId="16" xr:uid="{00000000-0005-0000-0000-000010000000}"/>
    <cellStyle name="Normal 3 3" xfId="15" xr:uid="{00000000-0005-0000-0000-000011000000}"/>
    <cellStyle name="Normal 3 4" xfId="20" xr:uid="{00000000-0005-0000-0000-000012000000}"/>
    <cellStyle name="Normal 3 4 2" xfId="25" xr:uid="{00000000-0005-0000-0000-000013000000}"/>
    <cellStyle name="Normal 4" xfId="8" xr:uid="{00000000-0005-0000-0000-000014000000}"/>
    <cellStyle name="Normal 4 2" xfId="17" xr:uid="{00000000-0005-0000-0000-000015000000}"/>
    <cellStyle name="Normal 4 3" xfId="21" xr:uid="{00000000-0005-0000-0000-000016000000}"/>
    <cellStyle name="Normal 4 3 2" xfId="26" xr:uid="{00000000-0005-0000-0000-000017000000}"/>
    <cellStyle name="Normal 5" xfId="9" xr:uid="{00000000-0005-0000-0000-000018000000}"/>
    <cellStyle name="Normal 5 2" xfId="23" xr:uid="{00000000-0005-0000-0000-000019000000}"/>
    <cellStyle name="Normal 6" xfId="10" xr:uid="{00000000-0005-0000-0000-00001A000000}"/>
    <cellStyle name="Normal 7" xfId="22" xr:uid="{00000000-0005-0000-0000-00001B000000}"/>
  </cellStyles>
  <dxfs count="58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Y86"/>
  <sheetViews>
    <sheetView tabSelected="1" topLeftCell="AH64" zoomScale="80" zoomScaleNormal="80" workbookViewId="0">
      <selection activeCell="AS74" sqref="AS74"/>
    </sheetView>
  </sheetViews>
  <sheetFormatPr baseColWidth="10" defaultColWidth="11" defaultRowHeight="15" x14ac:dyDescent="0.25"/>
  <cols>
    <col min="1" max="1" width="6.42578125" style="88" customWidth="1"/>
    <col min="2" max="2" width="16" style="87" customWidth="1"/>
    <col min="3" max="3" width="20.5703125" style="88" customWidth="1"/>
    <col min="4" max="4" width="8.42578125" style="3" customWidth="1"/>
    <col min="5" max="5" width="40.28515625" style="109" customWidth="1"/>
    <col min="6" max="7" width="11" style="3" customWidth="1"/>
    <col min="8" max="9" width="14.85546875" style="3" customWidth="1"/>
    <col min="10" max="10" width="24" style="3" customWidth="1"/>
    <col min="11" max="11" width="12.85546875" style="19" customWidth="1"/>
    <col min="12" max="12" width="18.85546875" style="44" customWidth="1"/>
    <col min="13" max="13" width="18.85546875" style="48" customWidth="1"/>
    <col min="14" max="14" width="18.85546875" style="3" customWidth="1"/>
    <col min="15" max="15" width="18.85546875" style="19" customWidth="1"/>
    <col min="16" max="16" width="18.85546875" style="3" customWidth="1"/>
    <col min="17" max="17" width="18.85546875" style="48" customWidth="1"/>
    <col min="18" max="18" width="18.85546875" style="3" customWidth="1"/>
    <col min="19" max="19" width="18.85546875" style="19" customWidth="1"/>
    <col min="20" max="20" width="18.85546875" style="3" customWidth="1"/>
    <col min="21" max="21" width="18.85546875" style="48" customWidth="1"/>
    <col min="22" max="22" width="18.85546875" style="3" customWidth="1"/>
    <col min="23" max="23" width="18.85546875" style="48" customWidth="1"/>
    <col min="24" max="24" width="18.85546875" style="3" customWidth="1"/>
    <col min="25" max="25" width="18.85546875" style="48" customWidth="1"/>
    <col min="26" max="26" width="18.85546875" style="3" customWidth="1"/>
    <col min="27" max="27" width="18.85546875" style="48" customWidth="1"/>
    <col min="28" max="28" width="18.85546875" style="3" customWidth="1"/>
    <col min="29" max="29" width="18.85546875" style="48" customWidth="1"/>
    <col min="30" max="30" width="18.85546875" style="3" customWidth="1"/>
    <col min="31" max="31" width="18.85546875" style="48" customWidth="1"/>
    <col min="32" max="32" width="18.85546875" style="3" customWidth="1"/>
    <col min="33" max="33" width="18.85546875" style="48" customWidth="1"/>
    <col min="34" max="34" width="18.85546875" style="3" customWidth="1"/>
    <col min="35" max="35" width="18.85546875" style="48" customWidth="1"/>
    <col min="36" max="36" width="18.85546875" style="3" customWidth="1"/>
    <col min="37" max="37" width="18.85546875" style="48" customWidth="1"/>
    <col min="38" max="38" width="18.85546875" style="3" customWidth="1"/>
    <col min="39" max="39" width="18.85546875" style="48" customWidth="1"/>
    <col min="40" max="40" width="18.85546875" style="3" customWidth="1"/>
    <col min="41" max="41" width="18.85546875" style="48" customWidth="1"/>
    <col min="42" max="42" width="14.140625" style="3" customWidth="1"/>
    <col min="43" max="43" width="16.42578125" style="57" customWidth="1"/>
    <col min="44" max="44" width="16.5703125" style="78" bestFit="1" customWidth="1"/>
    <col min="45" max="45" width="22.5703125" style="79" customWidth="1"/>
    <col min="46" max="46" width="69.28515625" style="4" customWidth="1"/>
    <col min="47" max="47" width="23.5703125" style="1" customWidth="1"/>
    <col min="48" max="16384" width="11" style="1"/>
  </cols>
  <sheetData>
    <row r="1" spans="1:51" x14ac:dyDescent="0.25">
      <c r="A1" s="5">
        <v>2021</v>
      </c>
    </row>
    <row r="2" spans="1:51" ht="25.5" x14ac:dyDescent="0.35">
      <c r="B2" s="133" t="s">
        <v>43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3"/>
      <c r="AL2" s="133"/>
      <c r="AM2" s="133"/>
      <c r="AN2" s="133"/>
      <c r="AO2" s="133"/>
      <c r="AP2" s="133"/>
      <c r="AQ2" s="134"/>
      <c r="AR2" s="135"/>
    </row>
    <row r="4" spans="1:51" ht="18" customHeight="1" x14ac:dyDescent="0.25">
      <c r="A4" s="115" t="s">
        <v>0</v>
      </c>
      <c r="B4" s="115"/>
      <c r="C4" s="136" t="s">
        <v>37</v>
      </c>
      <c r="D4" s="136"/>
      <c r="E4" s="136"/>
      <c r="F4" s="2"/>
      <c r="G4" s="2"/>
      <c r="H4" s="2"/>
      <c r="I4" s="2"/>
      <c r="J4" s="2"/>
      <c r="K4" s="18"/>
      <c r="L4" s="45"/>
      <c r="M4" s="49"/>
      <c r="N4" s="2"/>
      <c r="O4" s="18"/>
      <c r="P4" s="2"/>
      <c r="Q4" s="49"/>
      <c r="R4" s="2"/>
      <c r="S4" s="18"/>
      <c r="T4" s="2"/>
      <c r="U4" s="49"/>
      <c r="V4" s="2"/>
      <c r="W4" s="49"/>
      <c r="X4" s="2"/>
      <c r="Y4" s="49"/>
      <c r="Z4" s="2"/>
      <c r="AA4" s="49"/>
      <c r="AB4" s="2"/>
      <c r="AC4" s="49"/>
      <c r="AD4" s="2"/>
      <c r="AE4" s="49"/>
      <c r="AF4" s="2"/>
      <c r="AG4" s="49"/>
      <c r="AH4" s="2"/>
      <c r="AI4" s="49"/>
      <c r="AJ4" s="2"/>
      <c r="AK4" s="49"/>
      <c r="AL4" s="2"/>
      <c r="AM4" s="49"/>
      <c r="AN4" s="2"/>
      <c r="AO4" s="49"/>
      <c r="AP4" s="2"/>
      <c r="AQ4" s="58"/>
    </row>
    <row r="5" spans="1:51" ht="18" customHeight="1" x14ac:dyDescent="0.25">
      <c r="A5" s="115" t="s">
        <v>1</v>
      </c>
      <c r="B5" s="115"/>
      <c r="C5" s="136" t="s">
        <v>64</v>
      </c>
      <c r="D5" s="136"/>
      <c r="E5" s="136"/>
      <c r="F5" s="2"/>
      <c r="G5" s="2"/>
      <c r="H5" s="2"/>
      <c r="I5" s="2"/>
      <c r="J5" s="2"/>
      <c r="K5" s="18"/>
      <c r="L5" s="45"/>
      <c r="M5" s="49"/>
      <c r="N5" s="2"/>
      <c r="O5" s="18"/>
      <c r="P5" s="2"/>
      <c r="Q5" s="49"/>
      <c r="R5" s="2"/>
      <c r="S5" s="18"/>
      <c r="T5" s="2"/>
      <c r="U5" s="49"/>
      <c r="V5" s="2"/>
      <c r="W5" s="49"/>
      <c r="X5" s="2"/>
      <c r="Y5" s="49"/>
      <c r="Z5" s="2"/>
      <c r="AA5" s="49"/>
      <c r="AB5" s="2"/>
      <c r="AC5" s="49"/>
      <c r="AD5" s="2"/>
      <c r="AE5" s="49"/>
      <c r="AF5" s="2"/>
      <c r="AG5" s="49"/>
      <c r="AH5" s="2"/>
      <c r="AI5" s="49"/>
      <c r="AJ5" s="2"/>
      <c r="AK5" s="49"/>
      <c r="AL5" s="2"/>
      <c r="AM5" s="49"/>
      <c r="AN5" s="2"/>
      <c r="AO5" s="49"/>
      <c r="AP5" s="2"/>
      <c r="AQ5" s="58"/>
    </row>
    <row r="6" spans="1:51" ht="16.5" customHeight="1" x14ac:dyDescent="0.2">
      <c r="A6" s="115" t="s">
        <v>2</v>
      </c>
      <c r="B6" s="115"/>
      <c r="C6" s="111">
        <v>2021</v>
      </c>
      <c r="D6" s="112"/>
      <c r="E6" s="113"/>
      <c r="F6" s="2"/>
      <c r="G6" s="2"/>
      <c r="H6" s="2"/>
      <c r="I6" s="2"/>
      <c r="J6" s="2"/>
      <c r="K6" s="18"/>
      <c r="L6" s="45"/>
      <c r="M6" s="49"/>
      <c r="N6" s="2"/>
      <c r="O6" s="18"/>
      <c r="P6" s="2"/>
      <c r="Q6" s="49"/>
      <c r="R6" s="2"/>
      <c r="S6" s="18"/>
      <c r="T6" s="2"/>
      <c r="U6" s="49"/>
      <c r="V6" s="2"/>
      <c r="W6" s="49"/>
      <c r="X6" s="2"/>
      <c r="Y6" s="49"/>
      <c r="Z6" s="2"/>
      <c r="AA6" s="49"/>
      <c r="AB6" s="2"/>
      <c r="AC6" s="49"/>
      <c r="AD6" s="2"/>
      <c r="AE6" s="49"/>
      <c r="AF6" s="2"/>
      <c r="AG6" s="49"/>
      <c r="AH6" s="2"/>
      <c r="AI6" s="49"/>
      <c r="AJ6" s="2"/>
      <c r="AK6" s="49"/>
      <c r="AL6" s="2"/>
      <c r="AM6" s="49"/>
      <c r="AN6" s="2"/>
      <c r="AO6" s="49"/>
      <c r="AP6" s="2"/>
      <c r="AQ6" s="58"/>
    </row>
    <row r="7" spans="1:51" ht="31.5" customHeight="1" x14ac:dyDescent="0.2">
      <c r="A7" s="115" t="s">
        <v>3</v>
      </c>
      <c r="B7" s="115"/>
      <c r="C7" s="140" t="s">
        <v>42</v>
      </c>
      <c r="D7" s="140"/>
      <c r="E7" s="140"/>
      <c r="F7" s="2"/>
      <c r="G7" s="2"/>
      <c r="H7" s="2"/>
      <c r="I7" s="2"/>
      <c r="J7" s="2"/>
      <c r="K7" s="18"/>
      <c r="L7" s="45"/>
      <c r="M7" s="49"/>
      <c r="N7" s="2"/>
      <c r="O7" s="18"/>
      <c r="P7" s="2"/>
      <c r="Q7" s="49"/>
      <c r="R7" s="2"/>
      <c r="S7" s="18"/>
      <c r="T7" s="2"/>
      <c r="U7" s="49"/>
      <c r="V7" s="2"/>
      <c r="W7" s="49"/>
      <c r="X7" s="2"/>
      <c r="Y7" s="49"/>
      <c r="Z7" s="2"/>
      <c r="AA7" s="49"/>
      <c r="AB7" s="2"/>
      <c r="AC7" s="49"/>
      <c r="AD7" s="2"/>
      <c r="AE7" s="49"/>
      <c r="AF7" s="2"/>
      <c r="AG7" s="49"/>
      <c r="AH7" s="2"/>
      <c r="AI7" s="49"/>
      <c r="AJ7" s="2"/>
      <c r="AK7" s="49"/>
      <c r="AL7" s="2"/>
      <c r="AM7" s="49"/>
      <c r="AN7" s="2"/>
      <c r="AO7" s="49"/>
      <c r="AP7" s="2"/>
      <c r="AQ7" s="58"/>
    </row>
    <row r="8" spans="1:51" ht="2.25" customHeight="1" x14ac:dyDescent="0.25">
      <c r="B8" s="89"/>
      <c r="C8" s="90"/>
      <c r="D8" s="2"/>
      <c r="E8" s="90"/>
      <c r="F8" s="2"/>
      <c r="G8" s="2"/>
      <c r="H8" s="2"/>
      <c r="I8" s="2"/>
      <c r="J8" s="2"/>
      <c r="K8" s="18"/>
      <c r="L8" s="45"/>
      <c r="M8" s="49"/>
      <c r="N8" s="2"/>
      <c r="O8" s="18"/>
      <c r="P8" s="2"/>
      <c r="Q8" s="49"/>
      <c r="R8" s="2"/>
      <c r="S8" s="18"/>
      <c r="T8" s="2"/>
      <c r="U8" s="49"/>
      <c r="V8" s="2"/>
      <c r="W8" s="49"/>
      <c r="X8" s="2"/>
      <c r="Y8" s="49"/>
      <c r="Z8" s="2"/>
      <c r="AA8" s="49"/>
      <c r="AB8" s="2"/>
      <c r="AC8" s="49"/>
      <c r="AD8" s="2"/>
      <c r="AE8" s="49"/>
      <c r="AF8" s="2"/>
      <c r="AG8" s="49"/>
      <c r="AH8" s="2"/>
      <c r="AI8" s="49"/>
      <c r="AJ8" s="2"/>
      <c r="AK8" s="49"/>
      <c r="AL8" s="2"/>
      <c r="AM8" s="49"/>
      <c r="AN8" s="2"/>
      <c r="AO8" s="49"/>
      <c r="AP8" s="2"/>
      <c r="AQ8" s="58"/>
    </row>
    <row r="9" spans="1:51" ht="42.75" x14ac:dyDescent="0.2">
      <c r="A9" s="73" t="s">
        <v>4</v>
      </c>
      <c r="B9" s="73" t="s">
        <v>5</v>
      </c>
      <c r="C9" s="35" t="s">
        <v>6</v>
      </c>
      <c r="D9" s="73" t="s">
        <v>7</v>
      </c>
      <c r="E9" s="35" t="s">
        <v>8</v>
      </c>
      <c r="F9" s="35" t="s">
        <v>9</v>
      </c>
      <c r="G9" s="35" t="s">
        <v>65</v>
      </c>
      <c r="H9" s="35" t="s">
        <v>67</v>
      </c>
      <c r="I9" s="35" t="s">
        <v>84</v>
      </c>
      <c r="J9" s="35" t="s">
        <v>85</v>
      </c>
      <c r="K9" s="74" t="s">
        <v>86</v>
      </c>
      <c r="L9" s="75" t="s">
        <v>87</v>
      </c>
      <c r="M9" s="76" t="s">
        <v>112</v>
      </c>
      <c r="N9" s="35" t="s">
        <v>113</v>
      </c>
      <c r="O9" s="74" t="s">
        <v>150</v>
      </c>
      <c r="P9" s="35" t="s">
        <v>151</v>
      </c>
      <c r="Q9" s="76" t="s">
        <v>152</v>
      </c>
      <c r="R9" s="35" t="s">
        <v>153</v>
      </c>
      <c r="S9" s="74" t="s">
        <v>156</v>
      </c>
      <c r="T9" s="35" t="s">
        <v>157</v>
      </c>
      <c r="U9" s="76" t="s">
        <v>166</v>
      </c>
      <c r="V9" s="35" t="s">
        <v>167</v>
      </c>
      <c r="W9" s="76" t="s">
        <v>168</v>
      </c>
      <c r="X9" s="35" t="s">
        <v>169</v>
      </c>
      <c r="Y9" s="76" t="s">
        <v>170</v>
      </c>
      <c r="Z9" s="35" t="s">
        <v>171</v>
      </c>
      <c r="AA9" s="76" t="s">
        <v>172</v>
      </c>
      <c r="AB9" s="35" t="s">
        <v>173</v>
      </c>
      <c r="AC9" s="76" t="s">
        <v>177</v>
      </c>
      <c r="AD9" s="35" t="s">
        <v>178</v>
      </c>
      <c r="AE9" s="76" t="s">
        <v>179</v>
      </c>
      <c r="AF9" s="35" t="s">
        <v>180</v>
      </c>
      <c r="AG9" s="76" t="s">
        <v>183</v>
      </c>
      <c r="AH9" s="35" t="s">
        <v>184</v>
      </c>
      <c r="AI9" s="76" t="s">
        <v>185</v>
      </c>
      <c r="AJ9" s="35" t="s">
        <v>186</v>
      </c>
      <c r="AK9" s="76" t="s">
        <v>189</v>
      </c>
      <c r="AL9" s="35" t="s">
        <v>190</v>
      </c>
      <c r="AM9" s="76" t="s">
        <v>191</v>
      </c>
      <c r="AN9" s="35" t="s">
        <v>192</v>
      </c>
      <c r="AO9" s="76" t="s">
        <v>193</v>
      </c>
      <c r="AP9" s="35" t="s">
        <v>194</v>
      </c>
      <c r="AQ9" s="76" t="s">
        <v>66</v>
      </c>
      <c r="AR9" s="80" t="s">
        <v>10</v>
      </c>
      <c r="AS9" s="81" t="s">
        <v>11</v>
      </c>
      <c r="AT9" s="77" t="s">
        <v>88</v>
      </c>
      <c r="AU9" s="11"/>
    </row>
    <row r="10" spans="1:51" ht="92.25" customHeight="1" x14ac:dyDescent="0.2">
      <c r="A10" s="27">
        <v>1</v>
      </c>
      <c r="B10" s="28" t="s">
        <v>70</v>
      </c>
      <c r="C10" s="34" t="s">
        <v>16</v>
      </c>
      <c r="D10" s="28" t="s">
        <v>68</v>
      </c>
      <c r="E10" s="34" t="s">
        <v>71</v>
      </c>
      <c r="F10" s="31" t="s">
        <v>69</v>
      </c>
      <c r="G10" s="31">
        <v>200</v>
      </c>
      <c r="H10" s="32">
        <f>+G10*AR10</f>
        <v>96234</v>
      </c>
      <c r="I10" s="32"/>
      <c r="J10" s="32"/>
      <c r="K10" s="33">
        <v>50</v>
      </c>
      <c r="L10" s="43">
        <f>+K10*AR10</f>
        <v>24058.5</v>
      </c>
      <c r="M10" s="50">
        <v>76</v>
      </c>
      <c r="N10" s="32">
        <f t="shared" ref="N10:N20" si="0">+M10*AR10</f>
        <v>36568.92</v>
      </c>
      <c r="O10" s="33">
        <v>0</v>
      </c>
      <c r="P10" s="32">
        <f>+O10*AR10</f>
        <v>0</v>
      </c>
      <c r="Q10" s="50"/>
      <c r="R10" s="32">
        <f>+Q10*AR10</f>
        <v>0</v>
      </c>
      <c r="S10" s="33"/>
      <c r="T10" s="32"/>
      <c r="U10" s="50"/>
      <c r="V10" s="32"/>
      <c r="W10" s="50">
        <v>10</v>
      </c>
      <c r="X10" s="32">
        <f>+W10*AR10</f>
        <v>4811.7</v>
      </c>
      <c r="Y10" s="50">
        <v>40</v>
      </c>
      <c r="Z10" s="32">
        <f>+Y10*AR10</f>
        <v>19246.8</v>
      </c>
      <c r="AA10" s="50">
        <v>30</v>
      </c>
      <c r="AB10" s="32">
        <f>+AA10*AR10</f>
        <v>14435.1</v>
      </c>
      <c r="AC10" s="50">
        <v>200</v>
      </c>
      <c r="AD10" s="32">
        <f>+AC10*AR10</f>
        <v>96234</v>
      </c>
      <c r="AE10" s="50">
        <v>10</v>
      </c>
      <c r="AF10" s="32">
        <f>+AE10*AR10</f>
        <v>4811.7</v>
      </c>
      <c r="AG10" s="50">
        <v>30</v>
      </c>
      <c r="AH10" s="32">
        <f>+AG10*AR10</f>
        <v>14435.1</v>
      </c>
      <c r="AI10" s="50">
        <v>40</v>
      </c>
      <c r="AJ10" s="32">
        <f>+AI10*AR10</f>
        <v>19246.8</v>
      </c>
      <c r="AK10" s="50">
        <v>200</v>
      </c>
      <c r="AL10" s="32">
        <f>+AK10*AR10</f>
        <v>96234</v>
      </c>
      <c r="AM10" s="50">
        <v>50</v>
      </c>
      <c r="AN10" s="32">
        <f t="shared" ref="AN10:AN56" si="1">+AM10*AR10</f>
        <v>24058.5</v>
      </c>
      <c r="AO10" s="50"/>
      <c r="AP10" s="32"/>
      <c r="AQ10" s="50">
        <f t="shared" ref="AQ10:AQ37" si="2">+AO10+AM10+AK10+AI10+AG10+AE10+AC10+AA10+Y10+W10+U10+S10+Q10+O10+M10+K10+I10+G10</f>
        <v>936</v>
      </c>
      <c r="AR10" s="82">
        <v>481.17</v>
      </c>
      <c r="AS10" s="83">
        <f>+AQ10*AR10</f>
        <v>450375.12</v>
      </c>
      <c r="AT10" s="22"/>
    </row>
    <row r="11" spans="1:51" ht="94.5" customHeight="1" x14ac:dyDescent="0.2">
      <c r="A11" s="31">
        <v>2</v>
      </c>
      <c r="B11" s="28" t="s">
        <v>72</v>
      </c>
      <c r="C11" s="34" t="s">
        <v>16</v>
      </c>
      <c r="D11" s="28" t="s">
        <v>68</v>
      </c>
      <c r="E11" s="34" t="s">
        <v>73</v>
      </c>
      <c r="F11" s="31" t="s">
        <v>69</v>
      </c>
      <c r="G11" s="31">
        <v>100</v>
      </c>
      <c r="H11" s="32">
        <f>+G11*AR11</f>
        <v>59229.999999999993</v>
      </c>
      <c r="I11" s="32"/>
      <c r="J11" s="32"/>
      <c r="K11" s="33">
        <v>90</v>
      </c>
      <c r="L11" s="43">
        <f>+K11*AR11</f>
        <v>53306.999999999993</v>
      </c>
      <c r="M11" s="50">
        <v>100</v>
      </c>
      <c r="N11" s="32">
        <f t="shared" si="0"/>
        <v>59229.999999999993</v>
      </c>
      <c r="O11" s="33">
        <v>0</v>
      </c>
      <c r="P11" s="32">
        <f t="shared" ref="P11:P65" si="3">+O11*AR11</f>
        <v>0</v>
      </c>
      <c r="Q11" s="50"/>
      <c r="R11" s="32">
        <f t="shared" ref="R11:R63" si="4">+Q11*AR11</f>
        <v>0</v>
      </c>
      <c r="S11" s="33"/>
      <c r="T11" s="32"/>
      <c r="U11" s="50">
        <v>180</v>
      </c>
      <c r="V11" s="32">
        <f>+U11*AR11</f>
        <v>106613.99999999999</v>
      </c>
      <c r="W11" s="50">
        <v>10</v>
      </c>
      <c r="X11" s="32">
        <f>+W11*AR11</f>
        <v>5923</v>
      </c>
      <c r="Y11" s="50">
        <v>250</v>
      </c>
      <c r="Z11" s="32">
        <f>+Y11*AR11</f>
        <v>148075</v>
      </c>
      <c r="AA11" s="50">
        <v>100</v>
      </c>
      <c r="AB11" s="32">
        <f>+AA11*AR11</f>
        <v>59229.999999999993</v>
      </c>
      <c r="AC11" s="50">
        <v>200</v>
      </c>
      <c r="AD11" s="32">
        <f>+AC11*AR11</f>
        <v>118459.99999999999</v>
      </c>
      <c r="AE11" s="50">
        <v>10</v>
      </c>
      <c r="AF11" s="32">
        <f>+AE11*AR11</f>
        <v>5923</v>
      </c>
      <c r="AG11" s="50">
        <v>30</v>
      </c>
      <c r="AH11" s="32">
        <f>+AG11*AR11</f>
        <v>17769</v>
      </c>
      <c r="AI11" s="50">
        <v>60</v>
      </c>
      <c r="AJ11" s="32">
        <f t="shared" ref="AJ11:AJ67" si="5">+AI11*AR11</f>
        <v>35538</v>
      </c>
      <c r="AK11" s="50">
        <v>250</v>
      </c>
      <c r="AL11" s="32">
        <f t="shared" ref="AL11:AL65" si="6">+AK11*AR11</f>
        <v>148075</v>
      </c>
      <c r="AM11" s="50">
        <v>80</v>
      </c>
      <c r="AN11" s="32">
        <f t="shared" si="1"/>
        <v>47384</v>
      </c>
      <c r="AO11" s="50"/>
      <c r="AP11" s="32"/>
      <c r="AQ11" s="50">
        <f t="shared" si="2"/>
        <v>1460</v>
      </c>
      <c r="AR11" s="82">
        <v>592.29999999999995</v>
      </c>
      <c r="AS11" s="83">
        <f t="shared" ref="AS11:AS69" si="7">+AQ11*AR11</f>
        <v>864757.99999999988</v>
      </c>
      <c r="AT11" s="22"/>
    </row>
    <row r="12" spans="1:51" ht="42.75" x14ac:dyDescent="0.2">
      <c r="A12" s="27">
        <v>3</v>
      </c>
      <c r="B12" s="42" t="s">
        <v>74</v>
      </c>
      <c r="C12" s="34" t="s">
        <v>16</v>
      </c>
      <c r="D12" s="28" t="s">
        <v>68</v>
      </c>
      <c r="E12" s="91" t="s">
        <v>75</v>
      </c>
      <c r="F12" s="31" t="s">
        <v>15</v>
      </c>
      <c r="G12" s="31">
        <v>20</v>
      </c>
      <c r="H12" s="32">
        <f>+G12*AR12</f>
        <v>5838</v>
      </c>
      <c r="I12" s="32"/>
      <c r="J12" s="32"/>
      <c r="K12" s="33"/>
      <c r="L12" s="43">
        <f>+K12*AR12</f>
        <v>0</v>
      </c>
      <c r="M12" s="50"/>
      <c r="N12" s="32">
        <f t="shared" si="0"/>
        <v>0</v>
      </c>
      <c r="O12" s="33"/>
      <c r="P12" s="32">
        <f t="shared" si="3"/>
        <v>0</v>
      </c>
      <c r="Q12" s="50"/>
      <c r="R12" s="32">
        <f t="shared" si="4"/>
        <v>0</v>
      </c>
      <c r="S12" s="33"/>
      <c r="T12" s="32"/>
      <c r="U12" s="50"/>
      <c r="V12" s="32"/>
      <c r="W12" s="50"/>
      <c r="X12" s="32"/>
      <c r="Y12" s="50"/>
      <c r="Z12" s="32"/>
      <c r="AA12" s="50"/>
      <c r="AB12" s="32"/>
      <c r="AC12" s="50"/>
      <c r="AD12" s="32"/>
      <c r="AE12" s="50"/>
      <c r="AF12" s="32"/>
      <c r="AG12" s="50"/>
      <c r="AH12" s="32"/>
      <c r="AI12" s="50"/>
      <c r="AJ12" s="32">
        <f t="shared" si="5"/>
        <v>0</v>
      </c>
      <c r="AK12" s="50">
        <v>35</v>
      </c>
      <c r="AL12" s="32">
        <f t="shared" si="6"/>
        <v>10216.5</v>
      </c>
      <c r="AM12" s="50">
        <v>1</v>
      </c>
      <c r="AN12" s="32">
        <f t="shared" si="1"/>
        <v>291.89999999999998</v>
      </c>
      <c r="AO12" s="50"/>
      <c r="AP12" s="32"/>
      <c r="AQ12" s="50">
        <f t="shared" si="2"/>
        <v>56</v>
      </c>
      <c r="AR12" s="82">
        <v>291.89999999999998</v>
      </c>
      <c r="AS12" s="83">
        <f t="shared" si="7"/>
        <v>16346.399999999998</v>
      </c>
      <c r="AT12" s="22"/>
    </row>
    <row r="13" spans="1:51" ht="99.75" x14ac:dyDescent="0.2">
      <c r="A13" s="27">
        <v>4</v>
      </c>
      <c r="B13" s="41" t="s">
        <v>111</v>
      </c>
      <c r="C13" s="34" t="s">
        <v>16</v>
      </c>
      <c r="D13" s="28" t="s">
        <v>68</v>
      </c>
      <c r="E13" s="34" t="s">
        <v>102</v>
      </c>
      <c r="F13" s="63" t="s">
        <v>44</v>
      </c>
      <c r="G13" s="31"/>
      <c r="H13" s="32"/>
      <c r="I13" s="32"/>
      <c r="J13" s="32"/>
      <c r="K13" s="59">
        <v>3</v>
      </c>
      <c r="L13" s="43">
        <f>+K13*AR13</f>
        <v>1440</v>
      </c>
      <c r="M13" s="50">
        <v>2</v>
      </c>
      <c r="N13" s="32">
        <f t="shared" si="0"/>
        <v>960</v>
      </c>
      <c r="O13" s="33">
        <v>0</v>
      </c>
      <c r="P13" s="32">
        <f t="shared" si="3"/>
        <v>0</v>
      </c>
      <c r="Q13" s="50"/>
      <c r="R13" s="32">
        <f t="shared" si="4"/>
        <v>0</v>
      </c>
      <c r="S13" s="33"/>
      <c r="T13" s="32"/>
      <c r="U13" s="50"/>
      <c r="V13" s="32"/>
      <c r="W13" s="50"/>
      <c r="X13" s="32"/>
      <c r="Y13" s="50"/>
      <c r="Z13" s="32"/>
      <c r="AA13" s="50"/>
      <c r="AB13" s="32"/>
      <c r="AC13" s="50"/>
      <c r="AD13" s="32"/>
      <c r="AE13" s="50"/>
      <c r="AF13" s="32"/>
      <c r="AG13" s="50"/>
      <c r="AH13" s="32"/>
      <c r="AI13" s="50">
        <v>5</v>
      </c>
      <c r="AJ13" s="32">
        <f t="shared" si="5"/>
        <v>2400</v>
      </c>
      <c r="AK13" s="50">
        <v>100</v>
      </c>
      <c r="AL13" s="32">
        <f t="shared" si="6"/>
        <v>48000</v>
      </c>
      <c r="AM13" s="50">
        <v>4</v>
      </c>
      <c r="AN13" s="32">
        <f t="shared" si="1"/>
        <v>1920</v>
      </c>
      <c r="AO13" s="50"/>
      <c r="AP13" s="32"/>
      <c r="AQ13" s="50">
        <f t="shared" si="2"/>
        <v>114</v>
      </c>
      <c r="AR13" s="47">
        <v>480</v>
      </c>
      <c r="AS13" s="83">
        <f t="shared" si="7"/>
        <v>54720</v>
      </c>
      <c r="AT13" s="22"/>
      <c r="AU13" s="116"/>
      <c r="AV13" s="117"/>
      <c r="AW13" s="117"/>
      <c r="AX13" s="117"/>
      <c r="AY13" s="118"/>
    </row>
    <row r="14" spans="1:51" ht="99.75" x14ac:dyDescent="0.2">
      <c r="A14" s="31">
        <v>5</v>
      </c>
      <c r="B14" s="41" t="s">
        <v>129</v>
      </c>
      <c r="C14" s="34" t="s">
        <v>16</v>
      </c>
      <c r="D14" s="28" t="s">
        <v>68</v>
      </c>
      <c r="E14" s="34" t="s">
        <v>128</v>
      </c>
      <c r="F14" s="63" t="s">
        <v>63</v>
      </c>
      <c r="G14" s="31"/>
      <c r="H14" s="32"/>
      <c r="I14" s="32"/>
      <c r="J14" s="32"/>
      <c r="K14" s="59"/>
      <c r="L14" s="43"/>
      <c r="M14" s="50">
        <v>3</v>
      </c>
      <c r="N14" s="32">
        <f t="shared" si="0"/>
        <v>3900</v>
      </c>
      <c r="O14" s="33">
        <v>0</v>
      </c>
      <c r="P14" s="32">
        <f t="shared" si="3"/>
        <v>0</v>
      </c>
      <c r="Q14" s="50"/>
      <c r="R14" s="32">
        <f t="shared" si="4"/>
        <v>0</v>
      </c>
      <c r="S14" s="33"/>
      <c r="T14" s="32"/>
      <c r="U14" s="50"/>
      <c r="V14" s="32"/>
      <c r="W14" s="50"/>
      <c r="X14" s="32"/>
      <c r="Y14" s="50"/>
      <c r="Z14" s="32"/>
      <c r="AA14" s="50"/>
      <c r="AB14" s="32"/>
      <c r="AC14" s="50"/>
      <c r="AD14" s="32"/>
      <c r="AE14" s="50"/>
      <c r="AF14" s="32"/>
      <c r="AG14" s="50"/>
      <c r="AH14" s="32"/>
      <c r="AI14" s="50"/>
      <c r="AJ14" s="32">
        <f t="shared" si="5"/>
        <v>0</v>
      </c>
      <c r="AK14" s="50">
        <v>20</v>
      </c>
      <c r="AL14" s="32">
        <f t="shared" si="6"/>
        <v>26000</v>
      </c>
      <c r="AM14" s="50">
        <v>2</v>
      </c>
      <c r="AN14" s="32">
        <f t="shared" si="1"/>
        <v>2600</v>
      </c>
      <c r="AO14" s="50"/>
      <c r="AP14" s="32"/>
      <c r="AQ14" s="50">
        <f t="shared" si="2"/>
        <v>25</v>
      </c>
      <c r="AR14" s="47">
        <v>1300</v>
      </c>
      <c r="AS14" s="83">
        <f t="shared" si="7"/>
        <v>32500</v>
      </c>
      <c r="AT14" s="22"/>
      <c r="AU14" s="26"/>
      <c r="AV14" s="16"/>
      <c r="AW14" s="16"/>
      <c r="AX14" s="16"/>
      <c r="AY14" s="17"/>
    </row>
    <row r="15" spans="1:51" ht="71.25" x14ac:dyDescent="0.2">
      <c r="A15" s="27">
        <v>6</v>
      </c>
      <c r="B15" s="70" t="s">
        <v>108</v>
      </c>
      <c r="C15" s="34" t="s">
        <v>16</v>
      </c>
      <c r="D15" s="28" t="s">
        <v>68</v>
      </c>
      <c r="E15" s="91" t="s">
        <v>99</v>
      </c>
      <c r="F15" s="63" t="s">
        <v>14</v>
      </c>
      <c r="G15" s="31"/>
      <c r="H15" s="31"/>
      <c r="I15" s="31"/>
      <c r="J15" s="31"/>
      <c r="K15" s="59">
        <v>25</v>
      </c>
      <c r="L15" s="43">
        <f>+K15*AR15</f>
        <v>5250</v>
      </c>
      <c r="M15" s="50">
        <v>500</v>
      </c>
      <c r="N15" s="32">
        <f t="shared" si="0"/>
        <v>105000</v>
      </c>
      <c r="O15" s="33">
        <v>0</v>
      </c>
      <c r="P15" s="32">
        <f t="shared" si="3"/>
        <v>0</v>
      </c>
      <c r="Q15" s="50"/>
      <c r="R15" s="32">
        <f t="shared" si="4"/>
        <v>0</v>
      </c>
      <c r="S15" s="33"/>
      <c r="T15" s="32"/>
      <c r="U15" s="50">
        <v>20</v>
      </c>
      <c r="V15" s="32">
        <f>+U15*AR15</f>
        <v>4200</v>
      </c>
      <c r="W15" s="50"/>
      <c r="X15" s="32"/>
      <c r="Y15" s="50">
        <v>10</v>
      </c>
      <c r="Z15" s="32">
        <f>+Y15*AR15</f>
        <v>2100</v>
      </c>
      <c r="AA15" s="50"/>
      <c r="AB15" s="32"/>
      <c r="AC15" s="50"/>
      <c r="AD15" s="32"/>
      <c r="AE15" s="50"/>
      <c r="AF15" s="32"/>
      <c r="AG15" s="50"/>
      <c r="AH15" s="32"/>
      <c r="AI15" s="50"/>
      <c r="AJ15" s="32">
        <f t="shared" si="5"/>
        <v>0</v>
      </c>
      <c r="AK15" s="50">
        <v>100</v>
      </c>
      <c r="AL15" s="32">
        <f t="shared" si="6"/>
        <v>21000</v>
      </c>
      <c r="AM15" s="50">
        <v>60</v>
      </c>
      <c r="AN15" s="32">
        <f t="shared" si="1"/>
        <v>12600</v>
      </c>
      <c r="AO15" s="50"/>
      <c r="AP15" s="32"/>
      <c r="AQ15" s="50">
        <f t="shared" si="2"/>
        <v>715</v>
      </c>
      <c r="AR15" s="47">
        <v>210</v>
      </c>
      <c r="AS15" s="83">
        <f t="shared" si="7"/>
        <v>150150</v>
      </c>
      <c r="AT15" s="22"/>
      <c r="AU15" s="116"/>
      <c r="AV15" s="117"/>
      <c r="AW15" s="117"/>
      <c r="AX15" s="117"/>
      <c r="AY15" s="118"/>
    </row>
    <row r="16" spans="1:51" ht="42.75" x14ac:dyDescent="0.2">
      <c r="A16" s="27">
        <v>7</v>
      </c>
      <c r="B16" s="70" t="s">
        <v>35</v>
      </c>
      <c r="C16" s="34" t="s">
        <v>16</v>
      </c>
      <c r="D16" s="28" t="s">
        <v>68</v>
      </c>
      <c r="E16" s="34" t="s">
        <v>36</v>
      </c>
      <c r="F16" s="63" t="s">
        <v>14</v>
      </c>
      <c r="G16" s="31"/>
      <c r="H16" s="32"/>
      <c r="I16" s="32"/>
      <c r="J16" s="32"/>
      <c r="K16" s="59">
        <v>10</v>
      </c>
      <c r="L16" s="43">
        <f>+K16*AR16</f>
        <v>2100</v>
      </c>
      <c r="M16" s="50"/>
      <c r="N16" s="32">
        <f t="shared" si="0"/>
        <v>0</v>
      </c>
      <c r="O16" s="33">
        <v>0</v>
      </c>
      <c r="P16" s="32">
        <f t="shared" si="3"/>
        <v>0</v>
      </c>
      <c r="Q16" s="50">
        <v>30</v>
      </c>
      <c r="R16" s="32">
        <f t="shared" si="4"/>
        <v>6300</v>
      </c>
      <c r="S16" s="33"/>
      <c r="T16" s="32"/>
      <c r="U16" s="50">
        <v>10</v>
      </c>
      <c r="V16" s="32">
        <f>+U16*AR16</f>
        <v>2100</v>
      </c>
      <c r="W16" s="50"/>
      <c r="X16" s="32"/>
      <c r="Y16" s="50"/>
      <c r="Z16" s="32"/>
      <c r="AA16" s="50">
        <v>15</v>
      </c>
      <c r="AB16" s="32">
        <f>+AA16*AR16</f>
        <v>3150</v>
      </c>
      <c r="AC16" s="50"/>
      <c r="AD16" s="32"/>
      <c r="AE16" s="50"/>
      <c r="AF16" s="32"/>
      <c r="AG16" s="50"/>
      <c r="AH16" s="32"/>
      <c r="AI16" s="50">
        <v>10</v>
      </c>
      <c r="AJ16" s="32">
        <f t="shared" si="5"/>
        <v>2100</v>
      </c>
      <c r="AK16" s="50"/>
      <c r="AL16" s="32">
        <f t="shared" si="6"/>
        <v>0</v>
      </c>
      <c r="AM16" s="50">
        <v>8</v>
      </c>
      <c r="AN16" s="32">
        <f t="shared" si="1"/>
        <v>1680</v>
      </c>
      <c r="AO16" s="50"/>
      <c r="AP16" s="32"/>
      <c r="AQ16" s="50">
        <f t="shared" si="2"/>
        <v>83</v>
      </c>
      <c r="AR16" s="47">
        <v>210</v>
      </c>
      <c r="AS16" s="83">
        <f t="shared" si="7"/>
        <v>17430</v>
      </c>
      <c r="AT16" s="22"/>
      <c r="AU16" s="116"/>
      <c r="AV16" s="117"/>
      <c r="AW16" s="117"/>
      <c r="AX16" s="117"/>
      <c r="AY16" s="118"/>
    </row>
    <row r="17" spans="1:51" ht="71.25" x14ac:dyDescent="0.2">
      <c r="A17" s="31">
        <v>8</v>
      </c>
      <c r="B17" s="70" t="s">
        <v>122</v>
      </c>
      <c r="C17" s="34" t="s">
        <v>16</v>
      </c>
      <c r="D17" s="28" t="s">
        <v>68</v>
      </c>
      <c r="E17" s="34" t="s">
        <v>123</v>
      </c>
      <c r="F17" s="63" t="s">
        <v>15</v>
      </c>
      <c r="G17" s="31"/>
      <c r="H17" s="32"/>
      <c r="I17" s="32"/>
      <c r="J17" s="32"/>
      <c r="K17" s="59"/>
      <c r="L17" s="43"/>
      <c r="M17" s="50">
        <v>1</v>
      </c>
      <c r="N17" s="32">
        <f t="shared" si="0"/>
        <v>749</v>
      </c>
      <c r="O17" s="33"/>
      <c r="P17" s="32">
        <f t="shared" si="3"/>
        <v>0</v>
      </c>
      <c r="Q17" s="50"/>
      <c r="R17" s="32">
        <f t="shared" si="4"/>
        <v>0</v>
      </c>
      <c r="S17" s="33"/>
      <c r="T17" s="32"/>
      <c r="U17" s="50"/>
      <c r="V17" s="32"/>
      <c r="W17" s="50"/>
      <c r="X17" s="32"/>
      <c r="Y17" s="50"/>
      <c r="Z17" s="32"/>
      <c r="AA17" s="50"/>
      <c r="AB17" s="32"/>
      <c r="AC17" s="50"/>
      <c r="AD17" s="32"/>
      <c r="AE17" s="50"/>
      <c r="AF17" s="32"/>
      <c r="AG17" s="50"/>
      <c r="AH17" s="32"/>
      <c r="AI17" s="50"/>
      <c r="AJ17" s="32">
        <f t="shared" si="5"/>
        <v>0</v>
      </c>
      <c r="AK17" s="50"/>
      <c r="AL17" s="32">
        <f t="shared" si="6"/>
        <v>0</v>
      </c>
      <c r="AM17" s="50">
        <v>20</v>
      </c>
      <c r="AN17" s="32">
        <f t="shared" si="1"/>
        <v>14980</v>
      </c>
      <c r="AO17" s="50"/>
      <c r="AP17" s="32"/>
      <c r="AQ17" s="50">
        <f t="shared" si="2"/>
        <v>21</v>
      </c>
      <c r="AR17" s="47">
        <v>749</v>
      </c>
      <c r="AS17" s="83">
        <f t="shared" si="7"/>
        <v>15729</v>
      </c>
      <c r="AT17" s="22"/>
      <c r="AU17" s="10"/>
      <c r="AV17" s="10"/>
      <c r="AW17" s="10"/>
      <c r="AX17" s="10"/>
      <c r="AY17" s="10"/>
    </row>
    <row r="18" spans="1:51" ht="99.75" x14ac:dyDescent="0.2">
      <c r="A18" s="27">
        <v>9</v>
      </c>
      <c r="B18" s="70" t="s">
        <v>125</v>
      </c>
      <c r="C18" s="34" t="s">
        <v>16</v>
      </c>
      <c r="D18" s="28" t="s">
        <v>68</v>
      </c>
      <c r="E18" s="34" t="s">
        <v>124</v>
      </c>
      <c r="F18" s="63" t="s">
        <v>203</v>
      </c>
      <c r="G18" s="31"/>
      <c r="H18" s="32"/>
      <c r="I18" s="32"/>
      <c r="J18" s="32"/>
      <c r="K18" s="59"/>
      <c r="L18" s="43"/>
      <c r="M18" s="50">
        <v>1</v>
      </c>
      <c r="N18" s="32">
        <f t="shared" si="0"/>
        <v>2000</v>
      </c>
      <c r="O18" s="33"/>
      <c r="P18" s="32">
        <f t="shared" si="3"/>
        <v>0</v>
      </c>
      <c r="Q18" s="50"/>
      <c r="R18" s="32">
        <f t="shared" si="4"/>
        <v>0</v>
      </c>
      <c r="S18" s="33"/>
      <c r="T18" s="32"/>
      <c r="U18" s="50"/>
      <c r="V18" s="32"/>
      <c r="W18" s="50"/>
      <c r="X18" s="32"/>
      <c r="Y18" s="50"/>
      <c r="Z18" s="32"/>
      <c r="AA18" s="50"/>
      <c r="AB18" s="32"/>
      <c r="AC18" s="50"/>
      <c r="AD18" s="32"/>
      <c r="AE18" s="50"/>
      <c r="AF18" s="32"/>
      <c r="AG18" s="50"/>
      <c r="AH18" s="32"/>
      <c r="AI18" s="50"/>
      <c r="AJ18" s="32">
        <f t="shared" si="5"/>
        <v>0</v>
      </c>
      <c r="AK18" s="50">
        <v>100</v>
      </c>
      <c r="AL18" s="32">
        <f t="shared" si="6"/>
        <v>200000</v>
      </c>
      <c r="AM18" s="50">
        <v>40</v>
      </c>
      <c r="AN18" s="32">
        <f t="shared" si="1"/>
        <v>80000</v>
      </c>
      <c r="AO18" s="50"/>
      <c r="AP18" s="32"/>
      <c r="AQ18" s="50">
        <f t="shared" si="2"/>
        <v>141</v>
      </c>
      <c r="AR18" s="47">
        <v>2000</v>
      </c>
      <c r="AS18" s="83">
        <f t="shared" si="7"/>
        <v>282000</v>
      </c>
      <c r="AT18" s="22"/>
      <c r="AU18" s="10"/>
      <c r="AV18" s="10"/>
      <c r="AW18" s="10"/>
      <c r="AX18" s="10"/>
      <c r="AY18" s="10"/>
    </row>
    <row r="19" spans="1:51" ht="99.75" x14ac:dyDescent="0.2">
      <c r="A19" s="27">
        <v>10</v>
      </c>
      <c r="B19" s="70" t="s">
        <v>127</v>
      </c>
      <c r="C19" s="34" t="s">
        <v>16</v>
      </c>
      <c r="D19" s="28" t="s">
        <v>68</v>
      </c>
      <c r="E19" s="34" t="s">
        <v>126</v>
      </c>
      <c r="F19" s="63" t="s">
        <v>14</v>
      </c>
      <c r="G19" s="31"/>
      <c r="H19" s="32"/>
      <c r="I19" s="32"/>
      <c r="J19" s="32"/>
      <c r="K19" s="59"/>
      <c r="L19" s="43"/>
      <c r="M19" s="50">
        <v>50</v>
      </c>
      <c r="N19" s="32">
        <f t="shared" si="0"/>
        <v>2350</v>
      </c>
      <c r="O19" s="33"/>
      <c r="P19" s="32">
        <f t="shared" si="3"/>
        <v>0</v>
      </c>
      <c r="Q19" s="50"/>
      <c r="R19" s="32">
        <f t="shared" si="4"/>
        <v>0</v>
      </c>
      <c r="S19" s="33"/>
      <c r="T19" s="32"/>
      <c r="U19" s="50"/>
      <c r="V19" s="32"/>
      <c r="W19" s="50"/>
      <c r="X19" s="32"/>
      <c r="Y19" s="50"/>
      <c r="Z19" s="32"/>
      <c r="AA19" s="50"/>
      <c r="AB19" s="32"/>
      <c r="AC19" s="50"/>
      <c r="AD19" s="32"/>
      <c r="AE19" s="50"/>
      <c r="AF19" s="32"/>
      <c r="AG19" s="50"/>
      <c r="AH19" s="32"/>
      <c r="AI19" s="50"/>
      <c r="AJ19" s="32">
        <f t="shared" si="5"/>
        <v>0</v>
      </c>
      <c r="AK19" s="50"/>
      <c r="AL19" s="32">
        <f t="shared" si="6"/>
        <v>0</v>
      </c>
      <c r="AM19" s="50">
        <v>20</v>
      </c>
      <c r="AN19" s="32">
        <f t="shared" si="1"/>
        <v>940</v>
      </c>
      <c r="AO19" s="50"/>
      <c r="AP19" s="32"/>
      <c r="AQ19" s="50">
        <f t="shared" si="2"/>
        <v>70</v>
      </c>
      <c r="AR19" s="47">
        <v>47</v>
      </c>
      <c r="AS19" s="83">
        <f t="shared" si="7"/>
        <v>3290</v>
      </c>
      <c r="AT19" s="22"/>
      <c r="AU19" s="10"/>
      <c r="AV19" s="10"/>
      <c r="AW19" s="10"/>
      <c r="AX19" s="10"/>
      <c r="AY19" s="10"/>
    </row>
    <row r="20" spans="1:51" s="6" customFormat="1" ht="71.25" x14ac:dyDescent="0.2">
      <c r="A20" s="31">
        <v>11</v>
      </c>
      <c r="B20" s="71" t="s">
        <v>142</v>
      </c>
      <c r="C20" s="25" t="s">
        <v>16</v>
      </c>
      <c r="D20" s="55" t="s">
        <v>68</v>
      </c>
      <c r="E20" s="25" t="s">
        <v>211</v>
      </c>
      <c r="F20" s="72" t="s">
        <v>12</v>
      </c>
      <c r="G20" s="24"/>
      <c r="H20" s="62"/>
      <c r="I20" s="62"/>
      <c r="J20" s="62"/>
      <c r="K20" s="97"/>
      <c r="L20" s="46"/>
      <c r="M20" s="53">
        <v>10</v>
      </c>
      <c r="N20" s="62">
        <f t="shared" si="0"/>
        <v>2100</v>
      </c>
      <c r="O20" s="40"/>
      <c r="P20" s="62">
        <f t="shared" si="3"/>
        <v>0</v>
      </c>
      <c r="Q20" s="53"/>
      <c r="R20" s="62">
        <f t="shared" si="4"/>
        <v>0</v>
      </c>
      <c r="S20" s="40"/>
      <c r="T20" s="62"/>
      <c r="U20" s="53"/>
      <c r="V20" s="62"/>
      <c r="W20" s="53"/>
      <c r="X20" s="62"/>
      <c r="Y20" s="53"/>
      <c r="Z20" s="62"/>
      <c r="AA20" s="53">
        <v>10</v>
      </c>
      <c r="AB20" s="62">
        <f>+AA20*AR20</f>
        <v>2100</v>
      </c>
      <c r="AC20" s="53"/>
      <c r="AD20" s="62"/>
      <c r="AE20" s="53"/>
      <c r="AF20" s="62"/>
      <c r="AG20" s="53"/>
      <c r="AH20" s="62"/>
      <c r="AI20" s="53"/>
      <c r="AJ20" s="62">
        <f t="shared" si="5"/>
        <v>0</v>
      </c>
      <c r="AK20" s="53"/>
      <c r="AL20" s="62">
        <f t="shared" si="6"/>
        <v>0</v>
      </c>
      <c r="AM20" s="53">
        <v>10</v>
      </c>
      <c r="AN20" s="62">
        <f t="shared" si="1"/>
        <v>2100</v>
      </c>
      <c r="AO20" s="53"/>
      <c r="AP20" s="62"/>
      <c r="AQ20" s="50">
        <f t="shared" si="2"/>
        <v>30</v>
      </c>
      <c r="AR20" s="98">
        <v>210</v>
      </c>
      <c r="AS20" s="83">
        <f t="shared" si="7"/>
        <v>6300</v>
      </c>
      <c r="AT20" s="22"/>
      <c r="AU20" s="99"/>
      <c r="AV20" s="99"/>
      <c r="AW20" s="99"/>
      <c r="AX20" s="99"/>
      <c r="AY20" s="99"/>
    </row>
    <row r="21" spans="1:51" s="6" customFormat="1" ht="57" x14ac:dyDescent="0.2">
      <c r="A21" s="27">
        <v>12</v>
      </c>
      <c r="B21" s="71" t="s">
        <v>174</v>
      </c>
      <c r="C21" s="25" t="s">
        <v>16</v>
      </c>
      <c r="D21" s="55" t="s">
        <v>68</v>
      </c>
      <c r="E21" s="25" t="s">
        <v>175</v>
      </c>
      <c r="F21" s="72" t="s">
        <v>12</v>
      </c>
      <c r="G21" s="24"/>
      <c r="H21" s="62"/>
      <c r="I21" s="62"/>
      <c r="J21" s="62"/>
      <c r="K21" s="97"/>
      <c r="L21" s="46"/>
      <c r="M21" s="53"/>
      <c r="N21" s="62"/>
      <c r="O21" s="40"/>
      <c r="P21" s="62">
        <f t="shared" si="3"/>
        <v>0</v>
      </c>
      <c r="Q21" s="53"/>
      <c r="R21" s="62">
        <f t="shared" si="4"/>
        <v>0</v>
      </c>
      <c r="S21" s="40"/>
      <c r="T21" s="62"/>
      <c r="U21" s="53"/>
      <c r="V21" s="62"/>
      <c r="W21" s="53"/>
      <c r="X21" s="62"/>
      <c r="Y21" s="53"/>
      <c r="Z21" s="62"/>
      <c r="AA21" s="53">
        <v>15</v>
      </c>
      <c r="AB21" s="62">
        <f>+AA21*AR21</f>
        <v>3750</v>
      </c>
      <c r="AC21" s="53"/>
      <c r="AD21" s="62"/>
      <c r="AE21" s="53"/>
      <c r="AF21" s="62"/>
      <c r="AG21" s="53"/>
      <c r="AH21" s="62"/>
      <c r="AI21" s="53"/>
      <c r="AJ21" s="62">
        <f t="shared" si="5"/>
        <v>0</v>
      </c>
      <c r="AK21" s="53"/>
      <c r="AL21" s="62">
        <f t="shared" si="6"/>
        <v>0</v>
      </c>
      <c r="AM21" s="53"/>
      <c r="AN21" s="62">
        <f t="shared" si="1"/>
        <v>0</v>
      </c>
      <c r="AO21" s="53"/>
      <c r="AP21" s="62"/>
      <c r="AQ21" s="50">
        <f t="shared" si="2"/>
        <v>15</v>
      </c>
      <c r="AR21" s="98">
        <v>250</v>
      </c>
      <c r="AS21" s="83">
        <f t="shared" si="7"/>
        <v>3750</v>
      </c>
      <c r="AT21" s="22"/>
      <c r="AU21" s="99"/>
      <c r="AV21" s="99"/>
      <c r="AW21" s="99"/>
      <c r="AX21" s="99"/>
      <c r="AY21" s="99"/>
    </row>
    <row r="22" spans="1:51" ht="42.75" x14ac:dyDescent="0.2">
      <c r="A22" s="27">
        <v>13</v>
      </c>
      <c r="B22" s="28" t="s">
        <v>76</v>
      </c>
      <c r="C22" s="34" t="s">
        <v>16</v>
      </c>
      <c r="D22" s="28" t="s">
        <v>77</v>
      </c>
      <c r="E22" s="34" t="s">
        <v>78</v>
      </c>
      <c r="F22" s="31" t="s">
        <v>12</v>
      </c>
      <c r="G22" s="31">
        <v>20</v>
      </c>
      <c r="H22" s="32">
        <f>+G22*AR22</f>
        <v>1809.8</v>
      </c>
      <c r="I22" s="32"/>
      <c r="J22" s="32"/>
      <c r="K22" s="33">
        <v>20</v>
      </c>
      <c r="L22" s="43">
        <f t="shared" ref="L22:L33" si="8">+K22*AR22</f>
        <v>1809.8</v>
      </c>
      <c r="M22" s="50"/>
      <c r="N22" s="32">
        <f t="shared" ref="N22:N62" si="9">+M22*AR22</f>
        <v>0</v>
      </c>
      <c r="O22" s="33"/>
      <c r="P22" s="32">
        <f t="shared" si="3"/>
        <v>0</v>
      </c>
      <c r="Q22" s="50"/>
      <c r="R22" s="32">
        <f t="shared" si="4"/>
        <v>0</v>
      </c>
      <c r="S22" s="33"/>
      <c r="T22" s="32"/>
      <c r="U22" s="50"/>
      <c r="V22" s="32"/>
      <c r="W22" s="50"/>
      <c r="X22" s="32"/>
      <c r="Y22" s="50"/>
      <c r="Z22" s="32"/>
      <c r="AA22" s="50"/>
      <c r="AB22" s="32"/>
      <c r="AC22" s="50"/>
      <c r="AD22" s="32"/>
      <c r="AE22" s="50"/>
      <c r="AF22" s="32"/>
      <c r="AG22" s="50"/>
      <c r="AH22" s="32"/>
      <c r="AI22" s="50"/>
      <c r="AJ22" s="32">
        <f t="shared" si="5"/>
        <v>0</v>
      </c>
      <c r="AK22" s="50"/>
      <c r="AL22" s="32">
        <f t="shared" si="6"/>
        <v>0</v>
      </c>
      <c r="AM22" s="50"/>
      <c r="AN22" s="32">
        <f t="shared" si="1"/>
        <v>0</v>
      </c>
      <c r="AO22" s="50"/>
      <c r="AP22" s="32"/>
      <c r="AQ22" s="50">
        <f t="shared" si="2"/>
        <v>40</v>
      </c>
      <c r="AR22" s="82">
        <v>90.49</v>
      </c>
      <c r="AS22" s="83">
        <f t="shared" si="7"/>
        <v>3619.6</v>
      </c>
      <c r="AT22" s="22"/>
    </row>
    <row r="23" spans="1:51" ht="42.75" x14ac:dyDescent="0.2">
      <c r="A23" s="31">
        <v>14</v>
      </c>
      <c r="B23" s="28" t="s">
        <v>80</v>
      </c>
      <c r="C23" s="34" t="s">
        <v>16</v>
      </c>
      <c r="D23" s="28" t="s">
        <v>77</v>
      </c>
      <c r="E23" s="34" t="s">
        <v>79</v>
      </c>
      <c r="F23" s="31" t="s">
        <v>12</v>
      </c>
      <c r="G23" s="31">
        <v>10</v>
      </c>
      <c r="H23" s="32">
        <f>+G23*AR23</f>
        <v>2138.1</v>
      </c>
      <c r="I23" s="32"/>
      <c r="J23" s="32"/>
      <c r="K23" s="33">
        <v>20</v>
      </c>
      <c r="L23" s="43">
        <f t="shared" si="8"/>
        <v>4276.2</v>
      </c>
      <c r="M23" s="50"/>
      <c r="N23" s="32">
        <f t="shared" si="9"/>
        <v>0</v>
      </c>
      <c r="O23" s="33">
        <v>0</v>
      </c>
      <c r="P23" s="32">
        <f t="shared" si="3"/>
        <v>0</v>
      </c>
      <c r="Q23" s="50"/>
      <c r="R23" s="32">
        <f t="shared" si="4"/>
        <v>0</v>
      </c>
      <c r="S23" s="33"/>
      <c r="T23" s="32"/>
      <c r="U23" s="50"/>
      <c r="V23" s="32"/>
      <c r="W23" s="50"/>
      <c r="X23" s="32"/>
      <c r="Y23" s="50">
        <v>10</v>
      </c>
      <c r="Z23" s="32">
        <f>+Y23*AR23</f>
        <v>2138.1</v>
      </c>
      <c r="AA23" s="50"/>
      <c r="AB23" s="32"/>
      <c r="AC23" s="50"/>
      <c r="AD23" s="32"/>
      <c r="AE23" s="50"/>
      <c r="AF23" s="32"/>
      <c r="AG23" s="50"/>
      <c r="AH23" s="32"/>
      <c r="AI23" s="50"/>
      <c r="AJ23" s="32">
        <f t="shared" si="5"/>
        <v>0</v>
      </c>
      <c r="AK23" s="50"/>
      <c r="AL23" s="32">
        <f t="shared" si="6"/>
        <v>0</v>
      </c>
      <c r="AM23" s="50"/>
      <c r="AN23" s="32">
        <f t="shared" si="1"/>
        <v>0</v>
      </c>
      <c r="AO23" s="50"/>
      <c r="AP23" s="32"/>
      <c r="AQ23" s="50">
        <f t="shared" si="2"/>
        <v>40</v>
      </c>
      <c r="AR23" s="82">
        <v>213.81</v>
      </c>
      <c r="AS23" s="83">
        <f t="shared" si="7"/>
        <v>8552.4</v>
      </c>
      <c r="AT23" s="22"/>
    </row>
    <row r="24" spans="1:51" ht="28.5" x14ac:dyDescent="0.2">
      <c r="A24" s="27">
        <v>15</v>
      </c>
      <c r="B24" s="28" t="s">
        <v>25</v>
      </c>
      <c r="C24" s="34" t="s">
        <v>16</v>
      </c>
      <c r="D24" s="28" t="s">
        <v>77</v>
      </c>
      <c r="E24" s="34" t="s">
        <v>26</v>
      </c>
      <c r="F24" s="31" t="s">
        <v>83</v>
      </c>
      <c r="G24" s="31"/>
      <c r="H24" s="32"/>
      <c r="I24" s="32"/>
      <c r="J24" s="32"/>
      <c r="K24" s="33">
        <v>2</v>
      </c>
      <c r="L24" s="43">
        <f t="shared" si="8"/>
        <v>2800</v>
      </c>
      <c r="M24" s="50">
        <v>3</v>
      </c>
      <c r="N24" s="32">
        <f t="shared" si="9"/>
        <v>4200</v>
      </c>
      <c r="O24" s="33">
        <v>0</v>
      </c>
      <c r="P24" s="32">
        <f t="shared" si="3"/>
        <v>0</v>
      </c>
      <c r="Q24" s="50"/>
      <c r="R24" s="32">
        <f t="shared" si="4"/>
        <v>0</v>
      </c>
      <c r="S24" s="33">
        <v>3</v>
      </c>
      <c r="T24" s="32">
        <f>+S24*AR24</f>
        <v>4200</v>
      </c>
      <c r="U24" s="50">
        <v>2</v>
      </c>
      <c r="V24" s="32">
        <f>+U24*AR24</f>
        <v>2800</v>
      </c>
      <c r="W24" s="50">
        <v>3</v>
      </c>
      <c r="X24" s="32">
        <f>+W24*AR24</f>
        <v>4200</v>
      </c>
      <c r="Y24" s="50">
        <v>3</v>
      </c>
      <c r="Z24" s="32">
        <f>+Y24*AR24</f>
        <v>4200</v>
      </c>
      <c r="AA24" s="50"/>
      <c r="AB24" s="32"/>
      <c r="AC24" s="50"/>
      <c r="AD24" s="32"/>
      <c r="AE24" s="50">
        <v>2</v>
      </c>
      <c r="AF24" s="32">
        <f>+AE24*AR24</f>
        <v>2800</v>
      </c>
      <c r="AG24" s="50">
        <v>2</v>
      </c>
      <c r="AH24" s="32">
        <f>+AG24*AR24</f>
        <v>2800</v>
      </c>
      <c r="AI24" s="50">
        <v>60</v>
      </c>
      <c r="AJ24" s="32">
        <f t="shared" si="5"/>
        <v>84000</v>
      </c>
      <c r="AK24" s="50">
        <v>6</v>
      </c>
      <c r="AL24" s="32">
        <f t="shared" si="6"/>
        <v>8400</v>
      </c>
      <c r="AM24" s="50">
        <v>18</v>
      </c>
      <c r="AN24" s="32">
        <f t="shared" si="1"/>
        <v>25200</v>
      </c>
      <c r="AO24" s="50"/>
      <c r="AP24" s="32"/>
      <c r="AQ24" s="50">
        <f t="shared" si="2"/>
        <v>104</v>
      </c>
      <c r="AR24" s="82">
        <v>1400</v>
      </c>
      <c r="AS24" s="83">
        <f t="shared" si="7"/>
        <v>145600</v>
      </c>
      <c r="AT24" s="29" t="s">
        <v>92</v>
      </c>
    </row>
    <row r="25" spans="1:51" ht="28.5" x14ac:dyDescent="0.2">
      <c r="A25" s="27">
        <v>16</v>
      </c>
      <c r="B25" s="42" t="s">
        <v>90</v>
      </c>
      <c r="C25" s="34" t="s">
        <v>16</v>
      </c>
      <c r="D25" s="28" t="s">
        <v>77</v>
      </c>
      <c r="E25" s="34" t="s">
        <v>89</v>
      </c>
      <c r="F25" s="31" t="s">
        <v>15</v>
      </c>
      <c r="G25" s="31"/>
      <c r="H25" s="31"/>
      <c r="I25" s="31"/>
      <c r="J25" s="31"/>
      <c r="K25" s="33">
        <v>2</v>
      </c>
      <c r="L25" s="43">
        <f t="shared" si="8"/>
        <v>2800</v>
      </c>
      <c r="M25" s="50">
        <v>3</v>
      </c>
      <c r="N25" s="32">
        <f t="shared" si="9"/>
        <v>4200</v>
      </c>
      <c r="O25" s="33">
        <v>0</v>
      </c>
      <c r="P25" s="32">
        <f t="shared" si="3"/>
        <v>0</v>
      </c>
      <c r="Q25" s="50"/>
      <c r="R25" s="32">
        <f t="shared" si="4"/>
        <v>0</v>
      </c>
      <c r="S25" s="33">
        <v>3</v>
      </c>
      <c r="T25" s="32">
        <f>+S25*AR25</f>
        <v>4200</v>
      </c>
      <c r="U25" s="50">
        <v>2</v>
      </c>
      <c r="V25" s="32">
        <f>+U25*AR25</f>
        <v>2800</v>
      </c>
      <c r="W25" s="50"/>
      <c r="X25" s="32"/>
      <c r="Y25" s="50"/>
      <c r="Z25" s="32"/>
      <c r="AA25" s="50"/>
      <c r="AB25" s="32"/>
      <c r="AC25" s="50"/>
      <c r="AD25" s="32"/>
      <c r="AE25" s="50"/>
      <c r="AF25" s="32"/>
      <c r="AG25" s="50"/>
      <c r="AH25" s="32"/>
      <c r="AI25" s="50">
        <v>60</v>
      </c>
      <c r="AJ25" s="32">
        <f t="shared" si="5"/>
        <v>84000</v>
      </c>
      <c r="AK25" s="50">
        <v>6</v>
      </c>
      <c r="AL25" s="32">
        <f t="shared" si="6"/>
        <v>8400</v>
      </c>
      <c r="AM25" s="50">
        <v>8</v>
      </c>
      <c r="AN25" s="32">
        <f t="shared" si="1"/>
        <v>11200</v>
      </c>
      <c r="AO25" s="50"/>
      <c r="AP25" s="32"/>
      <c r="AQ25" s="50">
        <f t="shared" si="2"/>
        <v>84</v>
      </c>
      <c r="AR25" s="82">
        <v>1400</v>
      </c>
      <c r="AS25" s="83">
        <f t="shared" si="7"/>
        <v>117600</v>
      </c>
      <c r="AT25" s="29" t="s">
        <v>93</v>
      </c>
    </row>
    <row r="26" spans="1:51" ht="28.5" x14ac:dyDescent="0.2">
      <c r="A26" s="31">
        <v>17</v>
      </c>
      <c r="B26" s="28" t="s">
        <v>90</v>
      </c>
      <c r="C26" s="34" t="s">
        <v>16</v>
      </c>
      <c r="D26" s="28" t="s">
        <v>77</v>
      </c>
      <c r="E26" s="34" t="s">
        <v>89</v>
      </c>
      <c r="F26" s="31" t="s">
        <v>15</v>
      </c>
      <c r="G26" s="31"/>
      <c r="H26" s="32"/>
      <c r="I26" s="32"/>
      <c r="J26" s="32"/>
      <c r="K26" s="33">
        <v>2</v>
      </c>
      <c r="L26" s="43">
        <f t="shared" si="8"/>
        <v>2800</v>
      </c>
      <c r="M26" s="50">
        <v>3</v>
      </c>
      <c r="N26" s="32">
        <f t="shared" si="9"/>
        <v>4200</v>
      </c>
      <c r="O26" s="33">
        <v>0</v>
      </c>
      <c r="P26" s="32">
        <f t="shared" si="3"/>
        <v>0</v>
      </c>
      <c r="Q26" s="50"/>
      <c r="R26" s="32">
        <f t="shared" si="4"/>
        <v>0</v>
      </c>
      <c r="S26" s="33"/>
      <c r="T26" s="32"/>
      <c r="U26" s="50"/>
      <c r="V26" s="32"/>
      <c r="W26" s="50">
        <v>3</v>
      </c>
      <c r="X26" s="32">
        <f>+W26*AR26</f>
        <v>4200</v>
      </c>
      <c r="Y26" s="50"/>
      <c r="Z26" s="32"/>
      <c r="AA26" s="50"/>
      <c r="AB26" s="32"/>
      <c r="AC26" s="50"/>
      <c r="AD26" s="32"/>
      <c r="AE26" s="50"/>
      <c r="AF26" s="32"/>
      <c r="AG26" s="50"/>
      <c r="AH26" s="32"/>
      <c r="AI26" s="50"/>
      <c r="AJ26" s="32">
        <f t="shared" si="5"/>
        <v>0</v>
      </c>
      <c r="AK26" s="50"/>
      <c r="AL26" s="32">
        <f t="shared" si="6"/>
        <v>0</v>
      </c>
      <c r="AM26" s="50"/>
      <c r="AN26" s="32">
        <f t="shared" si="1"/>
        <v>0</v>
      </c>
      <c r="AO26" s="50"/>
      <c r="AP26" s="32"/>
      <c r="AQ26" s="50">
        <f t="shared" si="2"/>
        <v>8</v>
      </c>
      <c r="AR26" s="82">
        <v>1400</v>
      </c>
      <c r="AS26" s="83">
        <f t="shared" si="7"/>
        <v>11200</v>
      </c>
      <c r="AT26" s="29" t="s">
        <v>91</v>
      </c>
    </row>
    <row r="27" spans="1:51" ht="28.5" x14ac:dyDescent="0.2">
      <c r="A27" s="27">
        <v>18</v>
      </c>
      <c r="B27" s="28" t="s">
        <v>90</v>
      </c>
      <c r="C27" s="34" t="s">
        <v>16</v>
      </c>
      <c r="D27" s="28" t="s">
        <v>77</v>
      </c>
      <c r="E27" s="34" t="s">
        <v>89</v>
      </c>
      <c r="F27" s="31" t="s">
        <v>15</v>
      </c>
      <c r="G27" s="31"/>
      <c r="H27" s="32"/>
      <c r="I27" s="32"/>
      <c r="J27" s="32"/>
      <c r="K27" s="33">
        <v>2</v>
      </c>
      <c r="L27" s="43">
        <f t="shared" si="8"/>
        <v>2800</v>
      </c>
      <c r="M27" s="50">
        <v>3</v>
      </c>
      <c r="N27" s="32">
        <f t="shared" si="9"/>
        <v>4200</v>
      </c>
      <c r="O27" s="33">
        <v>0</v>
      </c>
      <c r="P27" s="32">
        <f t="shared" si="3"/>
        <v>0</v>
      </c>
      <c r="Q27" s="50"/>
      <c r="R27" s="32">
        <f t="shared" si="4"/>
        <v>0</v>
      </c>
      <c r="S27" s="33"/>
      <c r="T27" s="32"/>
      <c r="U27" s="50"/>
      <c r="V27" s="32"/>
      <c r="W27" s="50"/>
      <c r="X27" s="32"/>
      <c r="Y27" s="50"/>
      <c r="Z27" s="32"/>
      <c r="AA27" s="50"/>
      <c r="AB27" s="32"/>
      <c r="AC27" s="50"/>
      <c r="AD27" s="32"/>
      <c r="AE27" s="50"/>
      <c r="AF27" s="32"/>
      <c r="AG27" s="50"/>
      <c r="AH27" s="32"/>
      <c r="AI27" s="50"/>
      <c r="AJ27" s="32">
        <f t="shared" si="5"/>
        <v>0</v>
      </c>
      <c r="AK27" s="50"/>
      <c r="AL27" s="32">
        <f t="shared" si="6"/>
        <v>0</v>
      </c>
      <c r="AM27" s="50"/>
      <c r="AN27" s="32">
        <f t="shared" si="1"/>
        <v>0</v>
      </c>
      <c r="AO27" s="50"/>
      <c r="AP27" s="32"/>
      <c r="AQ27" s="50">
        <f t="shared" si="2"/>
        <v>5</v>
      </c>
      <c r="AR27" s="82">
        <v>1400</v>
      </c>
      <c r="AS27" s="83">
        <f t="shared" si="7"/>
        <v>7000</v>
      </c>
      <c r="AT27" s="29" t="s">
        <v>149</v>
      </c>
    </row>
    <row r="28" spans="1:51" ht="28.5" x14ac:dyDescent="0.2">
      <c r="A28" s="27">
        <v>19</v>
      </c>
      <c r="B28" s="42" t="s">
        <v>23</v>
      </c>
      <c r="C28" s="34" t="s">
        <v>16</v>
      </c>
      <c r="D28" s="28" t="s">
        <v>77</v>
      </c>
      <c r="E28" s="91" t="s">
        <v>24</v>
      </c>
      <c r="F28" s="31" t="s">
        <v>82</v>
      </c>
      <c r="G28" s="31"/>
      <c r="H28" s="31"/>
      <c r="I28" s="31"/>
      <c r="J28" s="31"/>
      <c r="K28" s="33">
        <f>4*21</f>
        <v>84</v>
      </c>
      <c r="L28" s="43">
        <f t="shared" si="8"/>
        <v>1764</v>
      </c>
      <c r="M28" s="50">
        <v>450</v>
      </c>
      <c r="N28" s="32">
        <f t="shared" si="9"/>
        <v>9450</v>
      </c>
      <c r="O28" s="33">
        <v>0</v>
      </c>
      <c r="P28" s="32">
        <f t="shared" si="3"/>
        <v>0</v>
      </c>
      <c r="Q28" s="50"/>
      <c r="R28" s="32">
        <f t="shared" si="4"/>
        <v>0</v>
      </c>
      <c r="S28" s="33"/>
      <c r="T28" s="32"/>
      <c r="U28" s="50"/>
      <c r="V28" s="32"/>
      <c r="W28" s="50">
        <v>30</v>
      </c>
      <c r="X28" s="32">
        <f>+W28*AR28</f>
        <v>630</v>
      </c>
      <c r="Y28" s="50">
        <v>45</v>
      </c>
      <c r="Z28" s="32">
        <f>+Y28*AR28</f>
        <v>945</v>
      </c>
      <c r="AA28" s="50"/>
      <c r="AB28" s="32"/>
      <c r="AC28" s="50"/>
      <c r="AD28" s="32"/>
      <c r="AE28" s="50">
        <v>50</v>
      </c>
      <c r="AF28" s="32">
        <f>+AE28*AR28</f>
        <v>1050</v>
      </c>
      <c r="AG28" s="50"/>
      <c r="AH28" s="32"/>
      <c r="AI28" s="50"/>
      <c r="AJ28" s="32">
        <f t="shared" si="5"/>
        <v>0</v>
      </c>
      <c r="AK28" s="50">
        <v>100</v>
      </c>
      <c r="AL28" s="32">
        <f t="shared" si="6"/>
        <v>2100</v>
      </c>
      <c r="AM28" s="50">
        <v>30</v>
      </c>
      <c r="AN28" s="32">
        <f t="shared" si="1"/>
        <v>630</v>
      </c>
      <c r="AO28" s="50"/>
      <c r="AP28" s="32"/>
      <c r="AQ28" s="50">
        <f t="shared" si="2"/>
        <v>789</v>
      </c>
      <c r="AR28" s="80">
        <v>21</v>
      </c>
      <c r="AS28" s="83">
        <f t="shared" si="7"/>
        <v>16569</v>
      </c>
      <c r="AT28" s="22"/>
    </row>
    <row r="29" spans="1:51" ht="71.25" x14ac:dyDescent="0.2">
      <c r="A29" s="31">
        <v>20</v>
      </c>
      <c r="B29" s="70" t="s">
        <v>45</v>
      </c>
      <c r="C29" s="34" t="s">
        <v>16</v>
      </c>
      <c r="D29" s="28" t="s">
        <v>77</v>
      </c>
      <c r="E29" s="27" t="s">
        <v>46</v>
      </c>
      <c r="F29" s="63" t="s">
        <v>14</v>
      </c>
      <c r="G29" s="27"/>
      <c r="H29" s="27"/>
      <c r="I29" s="27"/>
      <c r="J29" s="32"/>
      <c r="K29" s="59">
        <v>10</v>
      </c>
      <c r="L29" s="43">
        <f t="shared" si="8"/>
        <v>1200</v>
      </c>
      <c r="M29" s="50">
        <v>5</v>
      </c>
      <c r="N29" s="32">
        <f t="shared" si="9"/>
        <v>600</v>
      </c>
      <c r="O29" s="33">
        <v>0</v>
      </c>
      <c r="P29" s="32">
        <f t="shared" si="3"/>
        <v>0</v>
      </c>
      <c r="Q29" s="50">
        <v>10</v>
      </c>
      <c r="R29" s="32">
        <f t="shared" si="4"/>
        <v>1200</v>
      </c>
      <c r="S29" s="33"/>
      <c r="T29" s="32"/>
      <c r="U29" s="50"/>
      <c r="V29" s="32"/>
      <c r="W29" s="50"/>
      <c r="X29" s="32"/>
      <c r="Y29" s="50">
        <v>10</v>
      </c>
      <c r="Z29" s="32">
        <f>+Y29*AR29</f>
        <v>1200</v>
      </c>
      <c r="AA29" s="50"/>
      <c r="AB29" s="32"/>
      <c r="AC29" s="50"/>
      <c r="AD29" s="32"/>
      <c r="AE29" s="50"/>
      <c r="AF29" s="32"/>
      <c r="AG29" s="50"/>
      <c r="AH29" s="32"/>
      <c r="AI29" s="50"/>
      <c r="AJ29" s="32">
        <f t="shared" si="5"/>
        <v>0</v>
      </c>
      <c r="AK29" s="50"/>
      <c r="AL29" s="32">
        <f t="shared" si="6"/>
        <v>0</v>
      </c>
      <c r="AM29" s="50">
        <v>36</v>
      </c>
      <c r="AN29" s="32">
        <f t="shared" si="1"/>
        <v>4320</v>
      </c>
      <c r="AO29" s="50"/>
      <c r="AP29" s="32"/>
      <c r="AQ29" s="50">
        <f t="shared" si="2"/>
        <v>71</v>
      </c>
      <c r="AR29" s="47">
        <v>120</v>
      </c>
      <c r="AS29" s="83">
        <f t="shared" si="7"/>
        <v>8520</v>
      </c>
      <c r="AT29" s="22"/>
      <c r="AU29" s="116"/>
      <c r="AV29" s="117"/>
      <c r="AW29" s="117"/>
      <c r="AX29" s="117"/>
      <c r="AY29" s="118"/>
    </row>
    <row r="30" spans="1:51" ht="57" x14ac:dyDescent="0.2">
      <c r="A30" s="27">
        <v>21</v>
      </c>
      <c r="B30" s="70" t="s">
        <v>47</v>
      </c>
      <c r="C30" s="34" t="s">
        <v>16</v>
      </c>
      <c r="D30" s="28" t="s">
        <v>77</v>
      </c>
      <c r="E30" s="92" t="s">
        <v>48</v>
      </c>
      <c r="F30" s="63" t="s">
        <v>14</v>
      </c>
      <c r="G30" s="41"/>
      <c r="H30" s="41"/>
      <c r="I30" s="41"/>
      <c r="J30" s="31"/>
      <c r="K30" s="59">
        <v>40</v>
      </c>
      <c r="L30" s="43">
        <f t="shared" si="8"/>
        <v>3200</v>
      </c>
      <c r="M30" s="50">
        <v>450</v>
      </c>
      <c r="N30" s="32">
        <f t="shared" si="9"/>
        <v>36000</v>
      </c>
      <c r="O30" s="33">
        <v>0</v>
      </c>
      <c r="P30" s="32">
        <f t="shared" si="3"/>
        <v>0</v>
      </c>
      <c r="Q30" s="50"/>
      <c r="R30" s="32">
        <f t="shared" si="4"/>
        <v>0</v>
      </c>
      <c r="S30" s="33"/>
      <c r="T30" s="32"/>
      <c r="U30" s="50">
        <v>100</v>
      </c>
      <c r="V30" s="32">
        <f>+U30*AR30</f>
        <v>8000</v>
      </c>
      <c r="W30" s="50">
        <v>30</v>
      </c>
      <c r="X30" s="32">
        <f>+W30*AR30</f>
        <v>2400</v>
      </c>
      <c r="Y30" s="50">
        <v>25</v>
      </c>
      <c r="Z30" s="32">
        <f>+Y30*AR30</f>
        <v>2000</v>
      </c>
      <c r="AA30" s="50">
        <v>30</v>
      </c>
      <c r="AB30" s="32">
        <f>+AA30*AR30</f>
        <v>2400</v>
      </c>
      <c r="AC30" s="50"/>
      <c r="AD30" s="32"/>
      <c r="AE30" s="50">
        <v>10</v>
      </c>
      <c r="AF30" s="32">
        <f>+AE30*AR30</f>
        <v>800</v>
      </c>
      <c r="AG30" s="50"/>
      <c r="AH30" s="32"/>
      <c r="AI30" s="50">
        <v>10</v>
      </c>
      <c r="AJ30" s="32">
        <f t="shared" si="5"/>
        <v>800</v>
      </c>
      <c r="AK30" s="50">
        <v>150</v>
      </c>
      <c r="AL30" s="32">
        <f t="shared" si="6"/>
        <v>12000</v>
      </c>
      <c r="AM30" s="50">
        <v>30</v>
      </c>
      <c r="AN30" s="32">
        <f t="shared" si="1"/>
        <v>2400</v>
      </c>
      <c r="AO30" s="50"/>
      <c r="AP30" s="32"/>
      <c r="AQ30" s="50">
        <f t="shared" si="2"/>
        <v>875</v>
      </c>
      <c r="AR30" s="47">
        <v>80</v>
      </c>
      <c r="AS30" s="83">
        <f t="shared" si="7"/>
        <v>70000</v>
      </c>
      <c r="AT30" s="22"/>
      <c r="AU30" s="116"/>
      <c r="AV30" s="117"/>
      <c r="AW30" s="117"/>
      <c r="AX30" s="117"/>
      <c r="AY30" s="118"/>
    </row>
    <row r="31" spans="1:51" ht="42.75" x14ac:dyDescent="0.2">
      <c r="A31" s="27">
        <v>22</v>
      </c>
      <c r="B31" s="70" t="s">
        <v>49</v>
      </c>
      <c r="C31" s="34" t="s">
        <v>16</v>
      </c>
      <c r="D31" s="28" t="s">
        <v>77</v>
      </c>
      <c r="E31" s="92" t="s">
        <v>50</v>
      </c>
      <c r="F31" s="63" t="s">
        <v>14</v>
      </c>
      <c r="G31" s="27"/>
      <c r="H31" s="27"/>
      <c r="I31" s="27"/>
      <c r="J31" s="32"/>
      <c r="K31" s="59">
        <v>15</v>
      </c>
      <c r="L31" s="43">
        <f t="shared" si="8"/>
        <v>600</v>
      </c>
      <c r="M31" s="50"/>
      <c r="N31" s="32">
        <f t="shared" si="9"/>
        <v>0</v>
      </c>
      <c r="O31" s="33">
        <v>0</v>
      </c>
      <c r="P31" s="32">
        <f t="shared" si="3"/>
        <v>0</v>
      </c>
      <c r="Q31" s="50"/>
      <c r="R31" s="32">
        <f t="shared" si="4"/>
        <v>0</v>
      </c>
      <c r="S31" s="33">
        <v>60</v>
      </c>
      <c r="T31" s="32">
        <f>+S31*AR31</f>
        <v>2400</v>
      </c>
      <c r="U31" s="50"/>
      <c r="V31" s="32"/>
      <c r="W31" s="50"/>
      <c r="X31" s="32"/>
      <c r="Y31" s="50">
        <v>10</v>
      </c>
      <c r="Z31" s="32">
        <f>+Y31*AR31</f>
        <v>400</v>
      </c>
      <c r="AA31" s="50"/>
      <c r="AB31" s="32"/>
      <c r="AC31" s="50"/>
      <c r="AD31" s="32"/>
      <c r="AE31" s="50"/>
      <c r="AF31" s="32"/>
      <c r="AG31" s="50"/>
      <c r="AH31" s="32"/>
      <c r="AI31" s="50"/>
      <c r="AJ31" s="32">
        <f t="shared" si="5"/>
        <v>0</v>
      </c>
      <c r="AK31" s="50"/>
      <c r="AL31" s="32">
        <f t="shared" si="6"/>
        <v>0</v>
      </c>
      <c r="AM31" s="50">
        <v>12</v>
      </c>
      <c r="AN31" s="32">
        <f t="shared" si="1"/>
        <v>480</v>
      </c>
      <c r="AO31" s="50"/>
      <c r="AP31" s="32"/>
      <c r="AQ31" s="50">
        <f t="shared" si="2"/>
        <v>97</v>
      </c>
      <c r="AR31" s="47">
        <v>40</v>
      </c>
      <c r="AS31" s="83">
        <f t="shared" si="7"/>
        <v>3880</v>
      </c>
      <c r="AT31" s="22"/>
      <c r="AU31" s="116"/>
      <c r="AV31" s="117"/>
      <c r="AW31" s="117"/>
      <c r="AX31" s="117"/>
      <c r="AY31" s="118"/>
    </row>
    <row r="32" spans="1:51" ht="42.75" x14ac:dyDescent="0.2">
      <c r="A32" s="31">
        <v>23</v>
      </c>
      <c r="B32" s="70" t="s">
        <v>29</v>
      </c>
      <c r="C32" s="34" t="s">
        <v>16</v>
      </c>
      <c r="D32" s="28" t="s">
        <v>77</v>
      </c>
      <c r="E32" s="92" t="s">
        <v>30</v>
      </c>
      <c r="F32" s="63" t="s">
        <v>14</v>
      </c>
      <c r="G32" s="68"/>
      <c r="H32" s="68"/>
      <c r="I32" s="68"/>
      <c r="J32" s="31"/>
      <c r="K32" s="59">
        <v>15</v>
      </c>
      <c r="L32" s="43">
        <f t="shared" si="8"/>
        <v>600</v>
      </c>
      <c r="M32" s="50">
        <v>20</v>
      </c>
      <c r="N32" s="32">
        <f t="shared" si="9"/>
        <v>800</v>
      </c>
      <c r="O32" s="33">
        <v>0</v>
      </c>
      <c r="P32" s="32">
        <f t="shared" si="3"/>
        <v>0</v>
      </c>
      <c r="Q32" s="50">
        <v>50</v>
      </c>
      <c r="R32" s="32">
        <f t="shared" si="4"/>
        <v>2000</v>
      </c>
      <c r="S32" s="33"/>
      <c r="T32" s="32"/>
      <c r="U32" s="50"/>
      <c r="V32" s="32"/>
      <c r="W32" s="50"/>
      <c r="X32" s="32"/>
      <c r="Y32" s="50">
        <v>10</v>
      </c>
      <c r="Z32" s="32">
        <f>+Y32*AR32</f>
        <v>400</v>
      </c>
      <c r="AA32" s="50"/>
      <c r="AB32" s="32"/>
      <c r="AC32" s="50">
        <v>10</v>
      </c>
      <c r="AD32" s="32">
        <f>+AC32*AR32</f>
        <v>400</v>
      </c>
      <c r="AE32" s="50"/>
      <c r="AF32" s="32"/>
      <c r="AG32" s="50"/>
      <c r="AH32" s="32"/>
      <c r="AI32" s="50"/>
      <c r="AJ32" s="32">
        <f t="shared" si="5"/>
        <v>0</v>
      </c>
      <c r="AK32" s="50"/>
      <c r="AL32" s="32">
        <f t="shared" si="6"/>
        <v>0</v>
      </c>
      <c r="AM32" s="50">
        <v>6</v>
      </c>
      <c r="AN32" s="32">
        <f t="shared" si="1"/>
        <v>240</v>
      </c>
      <c r="AO32" s="50"/>
      <c r="AP32" s="32"/>
      <c r="AQ32" s="50">
        <f t="shared" si="2"/>
        <v>111</v>
      </c>
      <c r="AR32" s="47">
        <v>40</v>
      </c>
      <c r="AS32" s="83">
        <f t="shared" si="7"/>
        <v>4440</v>
      </c>
      <c r="AT32" s="22"/>
      <c r="AU32" s="116"/>
      <c r="AV32" s="117"/>
      <c r="AW32" s="117"/>
      <c r="AX32" s="117"/>
      <c r="AY32" s="118"/>
    </row>
    <row r="33" spans="1:51" ht="42.75" x14ac:dyDescent="0.2">
      <c r="A33" s="27">
        <v>24</v>
      </c>
      <c r="B33" s="70" t="s">
        <v>103</v>
      </c>
      <c r="C33" s="34" t="s">
        <v>16</v>
      </c>
      <c r="D33" s="28" t="s">
        <v>77</v>
      </c>
      <c r="E33" s="34" t="s">
        <v>94</v>
      </c>
      <c r="F33" s="63" t="s">
        <v>14</v>
      </c>
      <c r="G33" s="31"/>
      <c r="H33" s="32"/>
      <c r="I33" s="32"/>
      <c r="J33" s="32"/>
      <c r="K33" s="59">
        <v>20</v>
      </c>
      <c r="L33" s="43">
        <f t="shared" si="8"/>
        <v>1000</v>
      </c>
      <c r="M33" s="50"/>
      <c r="N33" s="32">
        <f t="shared" si="9"/>
        <v>0</v>
      </c>
      <c r="O33" s="33">
        <v>0</v>
      </c>
      <c r="P33" s="32">
        <f t="shared" si="3"/>
        <v>0</v>
      </c>
      <c r="Q33" s="50"/>
      <c r="R33" s="32">
        <f t="shared" si="4"/>
        <v>0</v>
      </c>
      <c r="S33" s="33"/>
      <c r="T33" s="32"/>
      <c r="U33" s="50"/>
      <c r="V33" s="32"/>
      <c r="W33" s="50"/>
      <c r="X33" s="32"/>
      <c r="Y33" s="50"/>
      <c r="Z33" s="32"/>
      <c r="AA33" s="50"/>
      <c r="AB33" s="32"/>
      <c r="AC33" s="50"/>
      <c r="AD33" s="32"/>
      <c r="AE33" s="50"/>
      <c r="AF33" s="32"/>
      <c r="AG33" s="50"/>
      <c r="AH33" s="32"/>
      <c r="AI33" s="50"/>
      <c r="AJ33" s="32">
        <f t="shared" si="5"/>
        <v>0</v>
      </c>
      <c r="AK33" s="50"/>
      <c r="AL33" s="32">
        <f t="shared" si="6"/>
        <v>0</v>
      </c>
      <c r="AM33" s="50"/>
      <c r="AN33" s="32">
        <f t="shared" si="1"/>
        <v>0</v>
      </c>
      <c r="AO33" s="50"/>
      <c r="AP33" s="32"/>
      <c r="AQ33" s="50">
        <f t="shared" si="2"/>
        <v>20</v>
      </c>
      <c r="AR33" s="47">
        <v>50</v>
      </c>
      <c r="AS33" s="83">
        <f t="shared" si="7"/>
        <v>1000</v>
      </c>
      <c r="AT33" s="22"/>
      <c r="AU33" s="122"/>
      <c r="AV33" s="122"/>
      <c r="AW33" s="122"/>
      <c r="AX33" s="122"/>
      <c r="AY33" s="123"/>
    </row>
    <row r="34" spans="1:51" ht="42.75" x14ac:dyDescent="0.2">
      <c r="A34" s="27">
        <v>25</v>
      </c>
      <c r="B34" s="70" t="s">
        <v>115</v>
      </c>
      <c r="C34" s="34" t="s">
        <v>16</v>
      </c>
      <c r="D34" s="28" t="s">
        <v>77</v>
      </c>
      <c r="E34" s="34" t="s">
        <v>114</v>
      </c>
      <c r="F34" s="63" t="s">
        <v>14</v>
      </c>
      <c r="G34" s="31"/>
      <c r="H34" s="32"/>
      <c r="I34" s="32"/>
      <c r="J34" s="32"/>
      <c r="K34" s="59"/>
      <c r="L34" s="43"/>
      <c r="M34" s="50">
        <v>10</v>
      </c>
      <c r="N34" s="32">
        <f t="shared" si="9"/>
        <v>500</v>
      </c>
      <c r="O34" s="33"/>
      <c r="P34" s="32">
        <f t="shared" si="3"/>
        <v>0</v>
      </c>
      <c r="Q34" s="50">
        <v>200</v>
      </c>
      <c r="R34" s="32">
        <f t="shared" si="4"/>
        <v>10000</v>
      </c>
      <c r="S34" s="33"/>
      <c r="T34" s="32"/>
      <c r="U34" s="50"/>
      <c r="V34" s="32"/>
      <c r="W34" s="50">
        <v>30</v>
      </c>
      <c r="X34" s="32">
        <f>+W34*AR34</f>
        <v>1500</v>
      </c>
      <c r="Y34" s="50"/>
      <c r="Z34" s="32"/>
      <c r="AA34" s="50"/>
      <c r="AB34" s="32"/>
      <c r="AC34" s="50"/>
      <c r="AD34" s="32"/>
      <c r="AE34" s="50"/>
      <c r="AF34" s="32"/>
      <c r="AG34" s="50"/>
      <c r="AH34" s="32"/>
      <c r="AI34" s="50">
        <v>12</v>
      </c>
      <c r="AJ34" s="32">
        <f t="shared" si="5"/>
        <v>600</v>
      </c>
      <c r="AK34" s="50"/>
      <c r="AL34" s="32">
        <f t="shared" si="6"/>
        <v>0</v>
      </c>
      <c r="AM34" s="50">
        <v>10</v>
      </c>
      <c r="AN34" s="32">
        <f t="shared" si="1"/>
        <v>500</v>
      </c>
      <c r="AO34" s="50"/>
      <c r="AP34" s="32"/>
      <c r="AQ34" s="50">
        <f t="shared" si="2"/>
        <v>262</v>
      </c>
      <c r="AR34" s="47">
        <v>50</v>
      </c>
      <c r="AS34" s="83">
        <f t="shared" si="7"/>
        <v>13100</v>
      </c>
      <c r="AT34" s="22"/>
      <c r="AU34" s="12"/>
      <c r="AV34" s="12"/>
      <c r="AW34" s="12"/>
      <c r="AX34" s="12"/>
      <c r="AY34" s="13"/>
    </row>
    <row r="35" spans="1:51" ht="42.75" x14ac:dyDescent="0.2">
      <c r="A35" s="31">
        <v>26</v>
      </c>
      <c r="B35" s="70" t="s">
        <v>117</v>
      </c>
      <c r="C35" s="34" t="s">
        <v>16</v>
      </c>
      <c r="D35" s="28" t="s">
        <v>77</v>
      </c>
      <c r="E35" s="34" t="s">
        <v>116</v>
      </c>
      <c r="F35" s="63" t="s">
        <v>14</v>
      </c>
      <c r="G35" s="31"/>
      <c r="H35" s="32"/>
      <c r="I35" s="32"/>
      <c r="J35" s="32"/>
      <c r="K35" s="59"/>
      <c r="L35" s="43"/>
      <c r="M35" s="50">
        <v>10</v>
      </c>
      <c r="N35" s="32">
        <f t="shared" si="9"/>
        <v>550</v>
      </c>
      <c r="O35" s="33"/>
      <c r="P35" s="32">
        <f t="shared" si="3"/>
        <v>0</v>
      </c>
      <c r="Q35" s="50">
        <v>100</v>
      </c>
      <c r="R35" s="32">
        <f t="shared" si="4"/>
        <v>5500</v>
      </c>
      <c r="S35" s="33"/>
      <c r="T35" s="32"/>
      <c r="U35" s="50"/>
      <c r="V35" s="32"/>
      <c r="W35" s="50"/>
      <c r="X35" s="32"/>
      <c r="Y35" s="50"/>
      <c r="Z35" s="32"/>
      <c r="AA35" s="50"/>
      <c r="AB35" s="32"/>
      <c r="AC35" s="50">
        <v>20</v>
      </c>
      <c r="AD35" s="32">
        <f>+AC35*AR35</f>
        <v>1100</v>
      </c>
      <c r="AE35" s="50"/>
      <c r="AF35" s="32"/>
      <c r="AG35" s="50"/>
      <c r="AH35" s="32"/>
      <c r="AI35" s="50"/>
      <c r="AJ35" s="32">
        <f t="shared" si="5"/>
        <v>0</v>
      </c>
      <c r="AK35" s="50"/>
      <c r="AL35" s="32">
        <f t="shared" si="6"/>
        <v>0</v>
      </c>
      <c r="AM35" s="50"/>
      <c r="AN35" s="32">
        <f t="shared" si="1"/>
        <v>0</v>
      </c>
      <c r="AO35" s="50"/>
      <c r="AP35" s="32"/>
      <c r="AQ35" s="50">
        <f t="shared" si="2"/>
        <v>130</v>
      </c>
      <c r="AR35" s="47">
        <v>55</v>
      </c>
      <c r="AS35" s="83">
        <f t="shared" si="7"/>
        <v>7150</v>
      </c>
      <c r="AT35" s="22"/>
      <c r="AU35" s="12"/>
      <c r="AV35" s="12"/>
      <c r="AW35" s="12"/>
      <c r="AX35" s="12"/>
      <c r="AY35" s="13"/>
    </row>
    <row r="36" spans="1:51" ht="42.75" x14ac:dyDescent="0.2">
      <c r="A36" s="27">
        <v>27</v>
      </c>
      <c r="B36" s="70" t="s">
        <v>104</v>
      </c>
      <c r="C36" s="34" t="s">
        <v>16</v>
      </c>
      <c r="D36" s="28" t="s">
        <v>77</v>
      </c>
      <c r="E36" s="91" t="s">
        <v>95</v>
      </c>
      <c r="F36" s="63" t="s">
        <v>14</v>
      </c>
      <c r="G36" s="31"/>
      <c r="H36" s="31"/>
      <c r="I36" s="31"/>
      <c r="J36" s="31"/>
      <c r="K36" s="59">
        <v>30</v>
      </c>
      <c r="L36" s="43">
        <f>+K36*AR36</f>
        <v>2400</v>
      </c>
      <c r="M36" s="50"/>
      <c r="N36" s="32">
        <f t="shared" si="9"/>
        <v>0</v>
      </c>
      <c r="O36" s="33"/>
      <c r="P36" s="32">
        <f t="shared" si="3"/>
        <v>0</v>
      </c>
      <c r="Q36" s="50"/>
      <c r="R36" s="32">
        <f t="shared" si="4"/>
        <v>0</v>
      </c>
      <c r="S36" s="33"/>
      <c r="T36" s="32"/>
      <c r="U36" s="50"/>
      <c r="V36" s="32"/>
      <c r="W36" s="50"/>
      <c r="X36" s="32"/>
      <c r="Y36" s="50"/>
      <c r="Z36" s="32"/>
      <c r="AA36" s="50"/>
      <c r="AB36" s="32"/>
      <c r="AC36" s="50"/>
      <c r="AD36" s="32"/>
      <c r="AE36" s="50">
        <v>12</v>
      </c>
      <c r="AF36" s="32">
        <f>+AE36*AR36</f>
        <v>960</v>
      </c>
      <c r="AG36" s="50"/>
      <c r="AH36" s="32"/>
      <c r="AI36" s="50"/>
      <c r="AJ36" s="32">
        <f t="shared" si="5"/>
        <v>0</v>
      </c>
      <c r="AK36" s="50">
        <v>50</v>
      </c>
      <c r="AL36" s="32">
        <f t="shared" si="6"/>
        <v>4000</v>
      </c>
      <c r="AM36" s="50">
        <v>10</v>
      </c>
      <c r="AN36" s="32">
        <f t="shared" si="1"/>
        <v>800</v>
      </c>
      <c r="AO36" s="50"/>
      <c r="AP36" s="32"/>
      <c r="AQ36" s="50">
        <f t="shared" si="2"/>
        <v>102</v>
      </c>
      <c r="AR36" s="47">
        <v>80</v>
      </c>
      <c r="AS36" s="83">
        <f t="shared" si="7"/>
        <v>8160</v>
      </c>
      <c r="AT36" s="22"/>
      <c r="AU36" s="124"/>
      <c r="AV36" s="124"/>
      <c r="AW36" s="124"/>
      <c r="AX36" s="124"/>
      <c r="AY36" s="125"/>
    </row>
    <row r="37" spans="1:51" ht="42.75" x14ac:dyDescent="0.2">
      <c r="A37" s="27">
        <v>28</v>
      </c>
      <c r="B37" s="70" t="s">
        <v>118</v>
      </c>
      <c r="C37" s="34" t="s">
        <v>16</v>
      </c>
      <c r="D37" s="28" t="s">
        <v>77</v>
      </c>
      <c r="E37" s="91" t="s">
        <v>119</v>
      </c>
      <c r="F37" s="63" t="s">
        <v>14</v>
      </c>
      <c r="G37" s="31"/>
      <c r="H37" s="31"/>
      <c r="I37" s="31"/>
      <c r="J37" s="31"/>
      <c r="K37" s="59"/>
      <c r="L37" s="43"/>
      <c r="M37" s="50">
        <v>3</v>
      </c>
      <c r="N37" s="32">
        <f t="shared" si="9"/>
        <v>240</v>
      </c>
      <c r="O37" s="33"/>
      <c r="P37" s="32">
        <f t="shared" si="3"/>
        <v>0</v>
      </c>
      <c r="Q37" s="50"/>
      <c r="R37" s="32">
        <f t="shared" si="4"/>
        <v>0</v>
      </c>
      <c r="S37" s="33"/>
      <c r="T37" s="32"/>
      <c r="U37" s="50"/>
      <c r="V37" s="32"/>
      <c r="W37" s="50">
        <v>30</v>
      </c>
      <c r="X37" s="32">
        <f>+W37*AR37</f>
        <v>2400</v>
      </c>
      <c r="Y37" s="50"/>
      <c r="Z37" s="32"/>
      <c r="AA37" s="50"/>
      <c r="AB37" s="32"/>
      <c r="AC37" s="50"/>
      <c r="AD37" s="32"/>
      <c r="AE37" s="50">
        <v>10</v>
      </c>
      <c r="AF37" s="32">
        <f>+AE37*AR37</f>
        <v>800</v>
      </c>
      <c r="AG37" s="50"/>
      <c r="AH37" s="32"/>
      <c r="AI37" s="50"/>
      <c r="AJ37" s="32">
        <f t="shared" si="5"/>
        <v>0</v>
      </c>
      <c r="AK37" s="50"/>
      <c r="AL37" s="32">
        <f t="shared" si="6"/>
        <v>0</v>
      </c>
      <c r="AM37" s="50">
        <v>22</v>
      </c>
      <c r="AN37" s="32">
        <f t="shared" si="1"/>
        <v>1760</v>
      </c>
      <c r="AO37" s="50"/>
      <c r="AP37" s="32"/>
      <c r="AQ37" s="50">
        <f t="shared" si="2"/>
        <v>65</v>
      </c>
      <c r="AR37" s="47">
        <v>80</v>
      </c>
      <c r="AS37" s="83">
        <f t="shared" si="7"/>
        <v>5200</v>
      </c>
      <c r="AT37" s="22"/>
      <c r="AU37" s="14"/>
      <c r="AV37" s="14"/>
      <c r="AW37" s="14"/>
      <c r="AX37" s="14"/>
      <c r="AY37" s="15"/>
    </row>
    <row r="38" spans="1:51" ht="57" x14ac:dyDescent="0.2">
      <c r="A38" s="31">
        <v>29</v>
      </c>
      <c r="B38" s="25" t="s">
        <v>33</v>
      </c>
      <c r="C38" s="39" t="s">
        <v>16</v>
      </c>
      <c r="D38" s="28" t="s">
        <v>77</v>
      </c>
      <c r="E38" s="25" t="s">
        <v>34</v>
      </c>
      <c r="F38" s="23" t="s">
        <v>15</v>
      </c>
      <c r="G38" s="31"/>
      <c r="H38" s="31"/>
      <c r="I38" s="31"/>
      <c r="J38" s="31"/>
      <c r="K38" s="59"/>
      <c r="L38" s="43"/>
      <c r="M38" s="50"/>
      <c r="N38" s="32"/>
      <c r="O38" s="33">
        <v>0</v>
      </c>
      <c r="P38" s="32">
        <f t="shared" si="3"/>
        <v>0</v>
      </c>
      <c r="Q38" s="50">
        <v>50</v>
      </c>
      <c r="R38" s="32">
        <f t="shared" si="4"/>
        <v>24000</v>
      </c>
      <c r="S38" s="33"/>
      <c r="T38" s="32"/>
      <c r="U38" s="50"/>
      <c r="V38" s="32"/>
      <c r="W38" s="50">
        <v>3</v>
      </c>
      <c r="X38" s="32">
        <f>+W38*AR38</f>
        <v>1440</v>
      </c>
      <c r="Y38" s="50">
        <v>5</v>
      </c>
      <c r="Z38" s="32">
        <f>+Y38*AR38</f>
        <v>2400</v>
      </c>
      <c r="AA38" s="50"/>
      <c r="AB38" s="32"/>
      <c r="AC38" s="50"/>
      <c r="AD38" s="32"/>
      <c r="AE38" s="50"/>
      <c r="AF38" s="32"/>
      <c r="AG38" s="50">
        <v>1</v>
      </c>
      <c r="AH38" s="32">
        <f>+AG38*AR38</f>
        <v>480</v>
      </c>
      <c r="AI38" s="50"/>
      <c r="AJ38" s="32">
        <f t="shared" si="5"/>
        <v>0</v>
      </c>
      <c r="AK38" s="50">
        <v>50</v>
      </c>
      <c r="AL38" s="32">
        <f t="shared" si="6"/>
        <v>24000</v>
      </c>
      <c r="AM38" s="50">
        <v>10</v>
      </c>
      <c r="AN38" s="32">
        <f t="shared" si="1"/>
        <v>4800</v>
      </c>
      <c r="AO38" s="50"/>
      <c r="AP38" s="32"/>
      <c r="AQ38" s="50">
        <f t="shared" ref="AQ38:AQ73" si="10">+AO38+AM38+AK38+AI38+AG38+AE38+AC38+AA38+Y38+W38+U38+S38+Q38+O38+M38+K38+I38+G38</f>
        <v>119</v>
      </c>
      <c r="AR38" s="47">
        <v>480</v>
      </c>
      <c r="AS38" s="83">
        <f t="shared" si="7"/>
        <v>57120</v>
      </c>
      <c r="AT38" s="114" t="s">
        <v>212</v>
      </c>
      <c r="AU38" s="20"/>
      <c r="AV38" s="20"/>
      <c r="AW38" s="20"/>
      <c r="AX38" s="20"/>
      <c r="AY38" s="21"/>
    </row>
    <row r="39" spans="1:51" ht="57" x14ac:dyDescent="0.2">
      <c r="A39" s="27">
        <v>30</v>
      </c>
      <c r="B39" s="70" t="s">
        <v>51</v>
      </c>
      <c r="C39" s="34" t="s">
        <v>16</v>
      </c>
      <c r="D39" s="28" t="s">
        <v>77</v>
      </c>
      <c r="E39" s="91" t="s">
        <v>52</v>
      </c>
      <c r="F39" s="63" t="s">
        <v>15</v>
      </c>
      <c r="G39" s="31"/>
      <c r="H39" s="31"/>
      <c r="I39" s="31"/>
      <c r="J39" s="31"/>
      <c r="K39" s="59">
        <v>15</v>
      </c>
      <c r="L39" s="43">
        <f t="shared" ref="L39:L52" si="11">+K39*AR39</f>
        <v>1500</v>
      </c>
      <c r="M39" s="50"/>
      <c r="N39" s="32">
        <f t="shared" si="9"/>
        <v>0</v>
      </c>
      <c r="O39" s="33">
        <v>0</v>
      </c>
      <c r="P39" s="32">
        <f t="shared" si="3"/>
        <v>0</v>
      </c>
      <c r="Q39" s="50"/>
      <c r="R39" s="32">
        <f t="shared" si="4"/>
        <v>0</v>
      </c>
      <c r="S39" s="33"/>
      <c r="T39" s="32"/>
      <c r="U39" s="50"/>
      <c r="V39" s="32"/>
      <c r="W39" s="50"/>
      <c r="X39" s="32"/>
      <c r="Y39" s="50"/>
      <c r="Z39" s="32"/>
      <c r="AA39" s="50"/>
      <c r="AB39" s="32"/>
      <c r="AC39" s="50"/>
      <c r="AD39" s="32"/>
      <c r="AE39" s="50"/>
      <c r="AF39" s="32"/>
      <c r="AG39" s="50"/>
      <c r="AH39" s="32"/>
      <c r="AI39" s="50"/>
      <c r="AJ39" s="32">
        <f t="shared" si="5"/>
        <v>0</v>
      </c>
      <c r="AK39" s="50">
        <v>20</v>
      </c>
      <c r="AL39" s="32">
        <f t="shared" si="6"/>
        <v>2000</v>
      </c>
      <c r="AM39" s="50">
        <v>2</v>
      </c>
      <c r="AN39" s="32">
        <f t="shared" si="1"/>
        <v>200</v>
      </c>
      <c r="AO39" s="50"/>
      <c r="AP39" s="32"/>
      <c r="AQ39" s="50">
        <f t="shared" si="10"/>
        <v>37</v>
      </c>
      <c r="AR39" s="47">
        <v>100</v>
      </c>
      <c r="AS39" s="83">
        <f t="shared" si="7"/>
        <v>3700</v>
      </c>
      <c r="AT39" s="22"/>
      <c r="AU39" s="116"/>
      <c r="AV39" s="117"/>
      <c r="AW39" s="117"/>
      <c r="AX39" s="117"/>
      <c r="AY39" s="118"/>
    </row>
    <row r="40" spans="1:51" ht="42.75" x14ac:dyDescent="0.2">
      <c r="A40" s="27">
        <v>31</v>
      </c>
      <c r="B40" s="70" t="s">
        <v>53</v>
      </c>
      <c r="C40" s="34" t="s">
        <v>16</v>
      </c>
      <c r="D40" s="28" t="s">
        <v>77</v>
      </c>
      <c r="E40" s="34" t="s">
        <v>54</v>
      </c>
      <c r="F40" s="63" t="s">
        <v>15</v>
      </c>
      <c r="G40" s="31"/>
      <c r="H40" s="32"/>
      <c r="I40" s="32"/>
      <c r="J40" s="32"/>
      <c r="K40" s="59">
        <v>10</v>
      </c>
      <c r="L40" s="43">
        <f t="shared" si="11"/>
        <v>1100</v>
      </c>
      <c r="M40" s="50"/>
      <c r="N40" s="32">
        <f t="shared" si="9"/>
        <v>0</v>
      </c>
      <c r="O40" s="33">
        <v>0</v>
      </c>
      <c r="P40" s="32">
        <f t="shared" si="3"/>
        <v>0</v>
      </c>
      <c r="Q40" s="50"/>
      <c r="R40" s="32">
        <f t="shared" si="4"/>
        <v>0</v>
      </c>
      <c r="S40" s="33"/>
      <c r="T40" s="32"/>
      <c r="U40" s="50"/>
      <c r="V40" s="32"/>
      <c r="W40" s="50"/>
      <c r="X40" s="32"/>
      <c r="Y40" s="50"/>
      <c r="Z40" s="32"/>
      <c r="AA40" s="50"/>
      <c r="AB40" s="32"/>
      <c r="AC40" s="50"/>
      <c r="AD40" s="32"/>
      <c r="AE40" s="50"/>
      <c r="AF40" s="32"/>
      <c r="AG40" s="50"/>
      <c r="AH40" s="32"/>
      <c r="AI40" s="50"/>
      <c r="AJ40" s="32">
        <f t="shared" si="5"/>
        <v>0</v>
      </c>
      <c r="AK40" s="50">
        <v>30</v>
      </c>
      <c r="AL40" s="32">
        <f t="shared" si="6"/>
        <v>3300</v>
      </c>
      <c r="AM40" s="50">
        <v>2</v>
      </c>
      <c r="AN40" s="32">
        <f t="shared" si="1"/>
        <v>220</v>
      </c>
      <c r="AO40" s="50"/>
      <c r="AP40" s="32"/>
      <c r="AQ40" s="50">
        <f t="shared" si="10"/>
        <v>42</v>
      </c>
      <c r="AR40" s="47">
        <v>110</v>
      </c>
      <c r="AS40" s="83">
        <f t="shared" si="7"/>
        <v>4620</v>
      </c>
      <c r="AT40" s="22"/>
      <c r="AU40" s="116"/>
      <c r="AV40" s="117"/>
      <c r="AW40" s="117"/>
      <c r="AX40" s="117"/>
      <c r="AY40" s="118"/>
    </row>
    <row r="41" spans="1:51" s="6" customFormat="1" ht="57" x14ac:dyDescent="0.2">
      <c r="A41" s="31">
        <v>32</v>
      </c>
      <c r="B41" s="71" t="s">
        <v>55</v>
      </c>
      <c r="C41" s="25" t="s">
        <v>16</v>
      </c>
      <c r="D41" s="28" t="s">
        <v>77</v>
      </c>
      <c r="E41" s="100" t="s">
        <v>56</v>
      </c>
      <c r="F41" s="72" t="s">
        <v>14</v>
      </c>
      <c r="G41" s="24"/>
      <c r="H41" s="24"/>
      <c r="I41" s="24"/>
      <c r="J41" s="24"/>
      <c r="K41" s="97">
        <v>30</v>
      </c>
      <c r="L41" s="46">
        <f t="shared" si="11"/>
        <v>1110</v>
      </c>
      <c r="M41" s="53"/>
      <c r="N41" s="62">
        <f t="shared" si="9"/>
        <v>0</v>
      </c>
      <c r="O41" s="40"/>
      <c r="P41" s="62">
        <f t="shared" si="3"/>
        <v>0</v>
      </c>
      <c r="Q41" s="53"/>
      <c r="R41" s="62">
        <f t="shared" si="4"/>
        <v>0</v>
      </c>
      <c r="S41" s="40"/>
      <c r="T41" s="62"/>
      <c r="U41" s="53"/>
      <c r="V41" s="62"/>
      <c r="W41" s="53"/>
      <c r="X41" s="62"/>
      <c r="Y41" s="53"/>
      <c r="Z41" s="62"/>
      <c r="AA41" s="53"/>
      <c r="AB41" s="62"/>
      <c r="AC41" s="53"/>
      <c r="AD41" s="62"/>
      <c r="AE41" s="53"/>
      <c r="AF41" s="62"/>
      <c r="AG41" s="53"/>
      <c r="AH41" s="62"/>
      <c r="AI41" s="53"/>
      <c r="AJ41" s="62">
        <f t="shared" si="5"/>
        <v>0</v>
      </c>
      <c r="AK41" s="53"/>
      <c r="AL41" s="62">
        <f t="shared" si="6"/>
        <v>0</v>
      </c>
      <c r="AM41" s="53"/>
      <c r="AN41" s="62">
        <f t="shared" si="1"/>
        <v>0</v>
      </c>
      <c r="AO41" s="53"/>
      <c r="AP41" s="62"/>
      <c r="AQ41" s="50">
        <f t="shared" si="10"/>
        <v>30</v>
      </c>
      <c r="AR41" s="98">
        <v>37</v>
      </c>
      <c r="AS41" s="83">
        <f t="shared" si="7"/>
        <v>1110</v>
      </c>
      <c r="AT41" s="22"/>
      <c r="AU41" s="130"/>
      <c r="AV41" s="131"/>
      <c r="AW41" s="131"/>
      <c r="AX41" s="131"/>
      <c r="AY41" s="132"/>
    </row>
    <row r="42" spans="1:51" ht="57" x14ac:dyDescent="0.2">
      <c r="A42" s="27">
        <v>33</v>
      </c>
      <c r="B42" s="70" t="s">
        <v>105</v>
      </c>
      <c r="C42" s="34" t="s">
        <v>16</v>
      </c>
      <c r="D42" s="28" t="s">
        <v>77</v>
      </c>
      <c r="E42" s="34" t="s">
        <v>96</v>
      </c>
      <c r="F42" s="63" t="s">
        <v>14</v>
      </c>
      <c r="G42" s="31"/>
      <c r="H42" s="32"/>
      <c r="I42" s="32"/>
      <c r="J42" s="32"/>
      <c r="K42" s="59">
        <v>30</v>
      </c>
      <c r="L42" s="43">
        <f t="shared" si="11"/>
        <v>6300</v>
      </c>
      <c r="M42" s="50">
        <v>10</v>
      </c>
      <c r="N42" s="32">
        <f t="shared" si="9"/>
        <v>2100</v>
      </c>
      <c r="O42" s="33">
        <v>0</v>
      </c>
      <c r="P42" s="32">
        <f t="shared" si="3"/>
        <v>0</v>
      </c>
      <c r="Q42" s="50">
        <v>409</v>
      </c>
      <c r="R42" s="32">
        <f t="shared" si="4"/>
        <v>85890</v>
      </c>
      <c r="S42" s="33"/>
      <c r="T42" s="32"/>
      <c r="U42" s="50"/>
      <c r="V42" s="32"/>
      <c r="W42" s="50">
        <v>30</v>
      </c>
      <c r="X42" s="32">
        <f>+W42*AR42</f>
        <v>6300</v>
      </c>
      <c r="Y42" s="50">
        <v>10</v>
      </c>
      <c r="Z42" s="32">
        <f>+Y42*AR42</f>
        <v>2100</v>
      </c>
      <c r="AA42" s="50">
        <v>20</v>
      </c>
      <c r="AB42" s="32">
        <f>+AA42*AR42</f>
        <v>4200</v>
      </c>
      <c r="AC42" s="50"/>
      <c r="AD42" s="32"/>
      <c r="AE42" s="50"/>
      <c r="AF42" s="32"/>
      <c r="AG42" s="50"/>
      <c r="AH42" s="32"/>
      <c r="AI42" s="50">
        <v>20</v>
      </c>
      <c r="AJ42" s="32">
        <f t="shared" si="5"/>
        <v>4200</v>
      </c>
      <c r="AK42" s="50">
        <v>100</v>
      </c>
      <c r="AL42" s="32">
        <f t="shared" si="6"/>
        <v>21000</v>
      </c>
      <c r="AM42" s="50">
        <v>10</v>
      </c>
      <c r="AN42" s="32">
        <f t="shared" si="1"/>
        <v>2100</v>
      </c>
      <c r="AO42" s="50"/>
      <c r="AP42" s="32"/>
      <c r="AQ42" s="50">
        <f t="shared" si="10"/>
        <v>639</v>
      </c>
      <c r="AR42" s="47">
        <v>210</v>
      </c>
      <c r="AS42" s="83">
        <f t="shared" si="7"/>
        <v>134190</v>
      </c>
      <c r="AT42" s="22"/>
      <c r="AU42" s="138"/>
      <c r="AV42" s="138"/>
      <c r="AW42" s="138"/>
      <c r="AX42" s="138"/>
      <c r="AY42" s="139"/>
    </row>
    <row r="43" spans="1:51" ht="57" x14ac:dyDescent="0.2">
      <c r="A43" s="27">
        <v>34</v>
      </c>
      <c r="B43" s="41" t="s">
        <v>61</v>
      </c>
      <c r="C43" s="34" t="s">
        <v>16</v>
      </c>
      <c r="D43" s="28" t="s">
        <v>77</v>
      </c>
      <c r="E43" s="91" t="s">
        <v>62</v>
      </c>
      <c r="F43" s="63" t="s">
        <v>14</v>
      </c>
      <c r="G43" s="31"/>
      <c r="H43" s="31"/>
      <c r="I43" s="31"/>
      <c r="J43" s="31"/>
      <c r="K43" s="59">
        <v>5</v>
      </c>
      <c r="L43" s="43">
        <f t="shared" si="11"/>
        <v>650</v>
      </c>
      <c r="M43" s="50"/>
      <c r="N43" s="32">
        <f t="shared" si="9"/>
        <v>0</v>
      </c>
      <c r="O43" s="33"/>
      <c r="P43" s="32">
        <f t="shared" si="3"/>
        <v>0</v>
      </c>
      <c r="Q43" s="50"/>
      <c r="R43" s="32">
        <f t="shared" si="4"/>
        <v>0</v>
      </c>
      <c r="S43" s="33"/>
      <c r="T43" s="32"/>
      <c r="U43" s="50"/>
      <c r="V43" s="32"/>
      <c r="W43" s="50"/>
      <c r="X43" s="32"/>
      <c r="Y43" s="50"/>
      <c r="Z43" s="32"/>
      <c r="AA43" s="50"/>
      <c r="AB43" s="32"/>
      <c r="AC43" s="50"/>
      <c r="AD43" s="32"/>
      <c r="AE43" s="50"/>
      <c r="AF43" s="32"/>
      <c r="AG43" s="50"/>
      <c r="AH43" s="32"/>
      <c r="AI43" s="50"/>
      <c r="AJ43" s="32">
        <f t="shared" si="5"/>
        <v>0</v>
      </c>
      <c r="AK43" s="50"/>
      <c r="AL43" s="32">
        <f t="shared" si="6"/>
        <v>0</v>
      </c>
      <c r="AM43" s="50">
        <v>5</v>
      </c>
      <c r="AN43" s="32">
        <f t="shared" si="1"/>
        <v>650</v>
      </c>
      <c r="AO43" s="50"/>
      <c r="AP43" s="32"/>
      <c r="AQ43" s="50">
        <f t="shared" si="10"/>
        <v>10</v>
      </c>
      <c r="AR43" s="47">
        <v>130</v>
      </c>
      <c r="AS43" s="83">
        <f t="shared" si="7"/>
        <v>1300</v>
      </c>
      <c r="AT43" s="22"/>
      <c r="AU43" s="119"/>
      <c r="AV43" s="120"/>
      <c r="AW43" s="120"/>
      <c r="AX43" s="120"/>
      <c r="AY43" s="121"/>
    </row>
    <row r="44" spans="1:51" ht="71.25" x14ac:dyDescent="0.2">
      <c r="A44" s="31">
        <v>35</v>
      </c>
      <c r="B44" s="70" t="s">
        <v>106</v>
      </c>
      <c r="C44" s="34" t="s">
        <v>16</v>
      </c>
      <c r="D44" s="28" t="s">
        <v>77</v>
      </c>
      <c r="E44" s="34" t="s">
        <v>97</v>
      </c>
      <c r="F44" s="63" t="s">
        <v>14</v>
      </c>
      <c r="G44" s="31"/>
      <c r="H44" s="32"/>
      <c r="I44" s="32"/>
      <c r="J44" s="32"/>
      <c r="K44" s="59">
        <v>36</v>
      </c>
      <c r="L44" s="43">
        <f t="shared" si="11"/>
        <v>1152</v>
      </c>
      <c r="M44" s="50">
        <v>100</v>
      </c>
      <c r="N44" s="32">
        <f t="shared" si="9"/>
        <v>3200</v>
      </c>
      <c r="O44" s="33"/>
      <c r="P44" s="32">
        <f t="shared" si="3"/>
        <v>0</v>
      </c>
      <c r="Q44" s="50"/>
      <c r="R44" s="32">
        <f t="shared" si="4"/>
        <v>0</v>
      </c>
      <c r="S44" s="33"/>
      <c r="T44" s="32"/>
      <c r="U44" s="50"/>
      <c r="V44" s="32"/>
      <c r="W44" s="50">
        <v>30</v>
      </c>
      <c r="X44" s="32">
        <f>+W44*AR44</f>
        <v>960</v>
      </c>
      <c r="Y44" s="50"/>
      <c r="Z44" s="32"/>
      <c r="AA44" s="50"/>
      <c r="AB44" s="32"/>
      <c r="AC44" s="50"/>
      <c r="AD44" s="32"/>
      <c r="AE44" s="50">
        <v>30</v>
      </c>
      <c r="AF44" s="32">
        <f>+AE44*AR44</f>
        <v>960</v>
      </c>
      <c r="AG44" s="50"/>
      <c r="AH44" s="32"/>
      <c r="AI44" s="50"/>
      <c r="AJ44" s="32">
        <f t="shared" si="5"/>
        <v>0</v>
      </c>
      <c r="AK44" s="50">
        <v>20</v>
      </c>
      <c r="AL44" s="32">
        <f t="shared" si="6"/>
        <v>640</v>
      </c>
      <c r="AM44" s="50">
        <v>100</v>
      </c>
      <c r="AN44" s="32">
        <f t="shared" si="1"/>
        <v>3200</v>
      </c>
      <c r="AO44" s="50"/>
      <c r="AP44" s="32"/>
      <c r="AQ44" s="50">
        <f t="shared" si="10"/>
        <v>316</v>
      </c>
      <c r="AR44" s="47">
        <v>32</v>
      </c>
      <c r="AS44" s="83">
        <f t="shared" si="7"/>
        <v>10112</v>
      </c>
      <c r="AT44" s="22"/>
      <c r="AU44" s="126"/>
      <c r="AV44" s="126"/>
      <c r="AW44" s="126"/>
      <c r="AX44" s="126"/>
      <c r="AY44" s="127"/>
    </row>
    <row r="45" spans="1:51" ht="71.25" x14ac:dyDescent="0.2">
      <c r="A45" s="27">
        <v>36</v>
      </c>
      <c r="B45" s="70" t="s">
        <v>107</v>
      </c>
      <c r="C45" s="34" t="s">
        <v>16</v>
      </c>
      <c r="D45" s="28" t="s">
        <v>77</v>
      </c>
      <c r="E45" s="91" t="s">
        <v>98</v>
      </c>
      <c r="F45" s="63" t="s">
        <v>14</v>
      </c>
      <c r="G45" s="31"/>
      <c r="H45" s="31"/>
      <c r="I45" s="31"/>
      <c r="J45" s="31"/>
      <c r="K45" s="59">
        <v>20</v>
      </c>
      <c r="L45" s="43">
        <f t="shared" si="11"/>
        <v>5000</v>
      </c>
      <c r="M45" s="50">
        <v>100</v>
      </c>
      <c r="N45" s="32">
        <f t="shared" si="9"/>
        <v>25000</v>
      </c>
      <c r="O45" s="33"/>
      <c r="P45" s="32">
        <f t="shared" si="3"/>
        <v>0</v>
      </c>
      <c r="Q45" s="50"/>
      <c r="R45" s="32">
        <f t="shared" si="4"/>
        <v>0</v>
      </c>
      <c r="S45" s="33"/>
      <c r="T45" s="32"/>
      <c r="U45" s="50"/>
      <c r="V45" s="32"/>
      <c r="W45" s="50"/>
      <c r="X45" s="32"/>
      <c r="Y45" s="50"/>
      <c r="Z45" s="32"/>
      <c r="AA45" s="50"/>
      <c r="AB45" s="32"/>
      <c r="AC45" s="50"/>
      <c r="AD45" s="32"/>
      <c r="AE45" s="50"/>
      <c r="AF45" s="32"/>
      <c r="AG45" s="50"/>
      <c r="AH45" s="32"/>
      <c r="AI45" s="50"/>
      <c r="AJ45" s="32">
        <f t="shared" si="5"/>
        <v>0</v>
      </c>
      <c r="AK45" s="50">
        <v>20</v>
      </c>
      <c r="AL45" s="32">
        <f t="shared" si="6"/>
        <v>5000</v>
      </c>
      <c r="AM45" s="50">
        <v>100</v>
      </c>
      <c r="AN45" s="32">
        <f t="shared" si="1"/>
        <v>25000</v>
      </c>
      <c r="AO45" s="50"/>
      <c r="AP45" s="32"/>
      <c r="AQ45" s="50">
        <f t="shared" si="10"/>
        <v>240</v>
      </c>
      <c r="AR45" s="47">
        <v>250</v>
      </c>
      <c r="AS45" s="83">
        <f t="shared" si="7"/>
        <v>60000</v>
      </c>
      <c r="AT45" s="22"/>
      <c r="AU45" s="128"/>
      <c r="AV45" s="128"/>
      <c r="AW45" s="128"/>
      <c r="AX45" s="128"/>
      <c r="AY45" s="129"/>
    </row>
    <row r="46" spans="1:51" ht="42.75" x14ac:dyDescent="0.2">
      <c r="A46" s="27">
        <v>37</v>
      </c>
      <c r="B46" s="70" t="s">
        <v>57</v>
      </c>
      <c r="C46" s="34" t="s">
        <v>16</v>
      </c>
      <c r="D46" s="28" t="s">
        <v>77</v>
      </c>
      <c r="E46" s="34" t="s">
        <v>58</v>
      </c>
      <c r="F46" s="63" t="s">
        <v>14</v>
      </c>
      <c r="G46" s="31"/>
      <c r="H46" s="32"/>
      <c r="I46" s="32"/>
      <c r="J46" s="32"/>
      <c r="K46" s="59">
        <v>10</v>
      </c>
      <c r="L46" s="43">
        <f t="shared" si="11"/>
        <v>1450</v>
      </c>
      <c r="M46" s="50"/>
      <c r="N46" s="32">
        <f t="shared" si="9"/>
        <v>0</v>
      </c>
      <c r="O46" s="33"/>
      <c r="P46" s="32">
        <f t="shared" si="3"/>
        <v>0</v>
      </c>
      <c r="Q46" s="50"/>
      <c r="R46" s="32">
        <f t="shared" si="4"/>
        <v>0</v>
      </c>
      <c r="S46" s="33"/>
      <c r="T46" s="32"/>
      <c r="U46" s="50"/>
      <c r="V46" s="32"/>
      <c r="W46" s="50"/>
      <c r="X46" s="32"/>
      <c r="Y46" s="50"/>
      <c r="Z46" s="32"/>
      <c r="AA46" s="50"/>
      <c r="AB46" s="32"/>
      <c r="AC46" s="50"/>
      <c r="AD46" s="32"/>
      <c r="AE46" s="50"/>
      <c r="AF46" s="32"/>
      <c r="AG46" s="50"/>
      <c r="AH46" s="32"/>
      <c r="AI46" s="50"/>
      <c r="AJ46" s="32">
        <f t="shared" si="5"/>
        <v>0</v>
      </c>
      <c r="AK46" s="50"/>
      <c r="AL46" s="32">
        <f t="shared" si="6"/>
        <v>0</v>
      </c>
      <c r="AM46" s="50">
        <v>10</v>
      </c>
      <c r="AN46" s="32">
        <f t="shared" si="1"/>
        <v>1450</v>
      </c>
      <c r="AO46" s="50"/>
      <c r="AP46" s="32"/>
      <c r="AQ46" s="50">
        <f t="shared" si="10"/>
        <v>20</v>
      </c>
      <c r="AR46" s="47">
        <v>145</v>
      </c>
      <c r="AS46" s="83">
        <f t="shared" si="7"/>
        <v>2900</v>
      </c>
      <c r="AT46" s="22"/>
      <c r="AU46" s="116"/>
      <c r="AV46" s="117"/>
      <c r="AW46" s="117"/>
      <c r="AX46" s="117"/>
      <c r="AY46" s="118"/>
    </row>
    <row r="47" spans="1:51" ht="42.75" x14ac:dyDescent="0.2">
      <c r="A47" s="31">
        <v>38</v>
      </c>
      <c r="B47" s="70" t="s">
        <v>31</v>
      </c>
      <c r="C47" s="34" t="s">
        <v>16</v>
      </c>
      <c r="D47" s="28" t="s">
        <v>77</v>
      </c>
      <c r="E47" s="91" t="s">
        <v>32</v>
      </c>
      <c r="F47" s="63" t="s">
        <v>15</v>
      </c>
      <c r="G47" s="31"/>
      <c r="H47" s="31"/>
      <c r="I47" s="31"/>
      <c r="J47" s="31"/>
      <c r="K47" s="59">
        <v>30</v>
      </c>
      <c r="L47" s="43">
        <f t="shared" si="11"/>
        <v>1800</v>
      </c>
      <c r="M47" s="50">
        <v>50</v>
      </c>
      <c r="N47" s="32">
        <f t="shared" si="9"/>
        <v>3000</v>
      </c>
      <c r="O47" s="33">
        <v>0</v>
      </c>
      <c r="P47" s="32">
        <f t="shared" si="3"/>
        <v>0</v>
      </c>
      <c r="Q47" s="50"/>
      <c r="R47" s="32">
        <f t="shared" si="4"/>
        <v>0</v>
      </c>
      <c r="S47" s="33">
        <v>50</v>
      </c>
      <c r="T47" s="32">
        <f>+S47*AR47</f>
        <v>3000</v>
      </c>
      <c r="U47" s="50"/>
      <c r="V47" s="32"/>
      <c r="W47" s="50">
        <v>30</v>
      </c>
      <c r="X47" s="32">
        <f>+W47*AR47</f>
        <v>1800</v>
      </c>
      <c r="Y47" s="50">
        <v>15</v>
      </c>
      <c r="Z47" s="32">
        <f>+Y47*AR47</f>
        <v>900</v>
      </c>
      <c r="AA47" s="50"/>
      <c r="AB47" s="32"/>
      <c r="AC47" s="50"/>
      <c r="AD47" s="32"/>
      <c r="AE47" s="50">
        <v>12</v>
      </c>
      <c r="AF47" s="32">
        <f>+AE47*AR47</f>
        <v>720</v>
      </c>
      <c r="AG47" s="50"/>
      <c r="AH47" s="32"/>
      <c r="AI47" s="50">
        <v>20</v>
      </c>
      <c r="AJ47" s="32">
        <f t="shared" si="5"/>
        <v>1200</v>
      </c>
      <c r="AK47" s="50">
        <v>100</v>
      </c>
      <c r="AL47" s="32">
        <f t="shared" si="6"/>
        <v>6000</v>
      </c>
      <c r="AM47" s="50">
        <v>20</v>
      </c>
      <c r="AN47" s="32">
        <f t="shared" si="1"/>
        <v>1200</v>
      </c>
      <c r="AO47" s="50"/>
      <c r="AP47" s="32"/>
      <c r="AQ47" s="50">
        <f t="shared" si="10"/>
        <v>327</v>
      </c>
      <c r="AR47" s="47">
        <v>60</v>
      </c>
      <c r="AS47" s="83">
        <f t="shared" si="7"/>
        <v>19620</v>
      </c>
      <c r="AT47" s="22"/>
      <c r="AU47" s="116"/>
      <c r="AV47" s="117"/>
      <c r="AW47" s="117"/>
      <c r="AX47" s="117"/>
      <c r="AY47" s="118"/>
    </row>
    <row r="48" spans="1:51" ht="42.75" x14ac:dyDescent="0.2">
      <c r="A48" s="27">
        <v>39</v>
      </c>
      <c r="B48" s="70" t="s">
        <v>59</v>
      </c>
      <c r="C48" s="34" t="s">
        <v>16</v>
      </c>
      <c r="D48" s="28" t="s">
        <v>77</v>
      </c>
      <c r="E48" s="34" t="s">
        <v>60</v>
      </c>
      <c r="F48" s="63" t="s">
        <v>15</v>
      </c>
      <c r="G48" s="31"/>
      <c r="H48" s="32"/>
      <c r="I48" s="32"/>
      <c r="J48" s="32"/>
      <c r="K48" s="59">
        <v>20</v>
      </c>
      <c r="L48" s="43">
        <f t="shared" si="11"/>
        <v>2400</v>
      </c>
      <c r="M48" s="50"/>
      <c r="N48" s="32">
        <f t="shared" si="9"/>
        <v>0</v>
      </c>
      <c r="O48" s="33"/>
      <c r="P48" s="32">
        <f t="shared" si="3"/>
        <v>0</v>
      </c>
      <c r="Q48" s="50">
        <v>50</v>
      </c>
      <c r="R48" s="32">
        <f t="shared" si="4"/>
        <v>6000</v>
      </c>
      <c r="S48" s="33"/>
      <c r="T48" s="32"/>
      <c r="U48" s="50"/>
      <c r="V48" s="32"/>
      <c r="W48" s="50"/>
      <c r="X48" s="32"/>
      <c r="Y48" s="50"/>
      <c r="Z48" s="32"/>
      <c r="AA48" s="50"/>
      <c r="AB48" s="32"/>
      <c r="AC48" s="50"/>
      <c r="AD48" s="32"/>
      <c r="AE48" s="50"/>
      <c r="AF48" s="32"/>
      <c r="AG48" s="50"/>
      <c r="AH48" s="32"/>
      <c r="AI48" s="50"/>
      <c r="AJ48" s="32">
        <f t="shared" si="5"/>
        <v>0</v>
      </c>
      <c r="AK48" s="50"/>
      <c r="AL48" s="32">
        <f t="shared" si="6"/>
        <v>0</v>
      </c>
      <c r="AM48" s="50">
        <v>13</v>
      </c>
      <c r="AN48" s="32">
        <f t="shared" si="1"/>
        <v>1560</v>
      </c>
      <c r="AO48" s="50"/>
      <c r="AP48" s="32"/>
      <c r="AQ48" s="50">
        <f t="shared" si="10"/>
        <v>83</v>
      </c>
      <c r="AR48" s="47">
        <v>120</v>
      </c>
      <c r="AS48" s="83">
        <f t="shared" si="7"/>
        <v>9960</v>
      </c>
      <c r="AT48" s="22"/>
      <c r="AU48" s="116"/>
      <c r="AV48" s="117"/>
      <c r="AW48" s="117"/>
      <c r="AX48" s="117"/>
      <c r="AY48" s="118"/>
    </row>
    <row r="49" spans="1:51" ht="42.75" x14ac:dyDescent="0.2">
      <c r="A49" s="27">
        <v>40</v>
      </c>
      <c r="B49" s="70" t="s">
        <v>187</v>
      </c>
      <c r="C49" s="34" t="s">
        <v>16</v>
      </c>
      <c r="D49" s="28" t="s">
        <v>77</v>
      </c>
      <c r="E49" s="34" t="s">
        <v>188</v>
      </c>
      <c r="F49" s="63" t="s">
        <v>15</v>
      </c>
      <c r="G49" s="31"/>
      <c r="H49" s="32"/>
      <c r="I49" s="32"/>
      <c r="J49" s="32"/>
      <c r="K49" s="59">
        <v>20</v>
      </c>
      <c r="L49" s="43">
        <f t="shared" ref="L49" si="12">+K49*AR49</f>
        <v>1576</v>
      </c>
      <c r="M49" s="50"/>
      <c r="N49" s="32">
        <f t="shared" ref="N49" si="13">+M49*AR49</f>
        <v>0</v>
      </c>
      <c r="O49" s="33"/>
      <c r="P49" s="32">
        <f t="shared" ref="P49" si="14">+O49*AR49</f>
        <v>0</v>
      </c>
      <c r="Q49" s="50">
        <v>50</v>
      </c>
      <c r="R49" s="32">
        <f t="shared" ref="R49" si="15">+Q49*AR49</f>
        <v>3940</v>
      </c>
      <c r="S49" s="33"/>
      <c r="T49" s="32"/>
      <c r="U49" s="50"/>
      <c r="V49" s="32"/>
      <c r="W49" s="50"/>
      <c r="X49" s="32"/>
      <c r="Y49" s="50"/>
      <c r="Z49" s="32"/>
      <c r="AA49" s="50"/>
      <c r="AB49" s="32"/>
      <c r="AC49" s="50"/>
      <c r="AD49" s="32"/>
      <c r="AE49" s="50"/>
      <c r="AF49" s="32"/>
      <c r="AG49" s="50"/>
      <c r="AH49" s="32"/>
      <c r="AI49" s="50">
        <v>10</v>
      </c>
      <c r="AJ49" s="32">
        <f t="shared" ref="AJ49" si="16">+AI49*AR49</f>
        <v>788</v>
      </c>
      <c r="AK49" s="50">
        <v>20</v>
      </c>
      <c r="AL49" s="32">
        <f t="shared" si="6"/>
        <v>1576</v>
      </c>
      <c r="AM49" s="50"/>
      <c r="AN49" s="32">
        <f t="shared" si="1"/>
        <v>0</v>
      </c>
      <c r="AO49" s="50"/>
      <c r="AP49" s="32"/>
      <c r="AQ49" s="50">
        <f t="shared" si="10"/>
        <v>100</v>
      </c>
      <c r="AR49" s="47">
        <v>78.8</v>
      </c>
      <c r="AS49" s="83">
        <f t="shared" si="7"/>
        <v>7880</v>
      </c>
      <c r="AT49" s="22"/>
      <c r="AU49" s="116"/>
      <c r="AV49" s="117"/>
      <c r="AW49" s="117"/>
      <c r="AX49" s="117"/>
      <c r="AY49" s="118"/>
    </row>
    <row r="50" spans="1:51" ht="57" x14ac:dyDescent="0.2">
      <c r="A50" s="31">
        <v>41</v>
      </c>
      <c r="B50" s="70" t="s">
        <v>109</v>
      </c>
      <c r="C50" s="34" t="s">
        <v>16</v>
      </c>
      <c r="D50" s="28" t="s">
        <v>77</v>
      </c>
      <c r="E50" s="91" t="s">
        <v>100</v>
      </c>
      <c r="F50" s="63" t="s">
        <v>15</v>
      </c>
      <c r="G50" s="31"/>
      <c r="H50" s="31"/>
      <c r="I50" s="31"/>
      <c r="J50" s="31"/>
      <c r="K50" s="59">
        <v>2</v>
      </c>
      <c r="L50" s="43">
        <f t="shared" si="11"/>
        <v>300</v>
      </c>
      <c r="M50" s="50">
        <v>1</v>
      </c>
      <c r="N50" s="32">
        <f t="shared" si="9"/>
        <v>150</v>
      </c>
      <c r="O50" s="33">
        <v>0</v>
      </c>
      <c r="P50" s="32">
        <f t="shared" si="3"/>
        <v>0</v>
      </c>
      <c r="Q50" s="50"/>
      <c r="R50" s="32">
        <f t="shared" si="4"/>
        <v>0</v>
      </c>
      <c r="S50" s="33"/>
      <c r="T50" s="32"/>
      <c r="U50" s="50"/>
      <c r="V50" s="32"/>
      <c r="W50" s="50"/>
      <c r="X50" s="32"/>
      <c r="Y50" s="50"/>
      <c r="Z50" s="32"/>
      <c r="AA50" s="50"/>
      <c r="AB50" s="32"/>
      <c r="AC50" s="50"/>
      <c r="AD50" s="32"/>
      <c r="AE50" s="50"/>
      <c r="AF50" s="32"/>
      <c r="AG50" s="50"/>
      <c r="AH50" s="32"/>
      <c r="AI50" s="50"/>
      <c r="AJ50" s="32">
        <f t="shared" si="5"/>
        <v>0</v>
      </c>
      <c r="AK50" s="50"/>
      <c r="AL50" s="32">
        <f t="shared" si="6"/>
        <v>0</v>
      </c>
      <c r="AM50" s="50">
        <v>6</v>
      </c>
      <c r="AN50" s="32">
        <f t="shared" si="1"/>
        <v>900</v>
      </c>
      <c r="AO50" s="50"/>
      <c r="AP50" s="32"/>
      <c r="AQ50" s="50">
        <f t="shared" si="10"/>
        <v>9</v>
      </c>
      <c r="AR50" s="47">
        <v>150</v>
      </c>
      <c r="AS50" s="83">
        <f t="shared" si="7"/>
        <v>1350</v>
      </c>
      <c r="AT50" s="22"/>
      <c r="AU50" s="119"/>
      <c r="AV50" s="120"/>
      <c r="AW50" s="120"/>
      <c r="AX50" s="120"/>
      <c r="AY50" s="121"/>
    </row>
    <row r="51" spans="1:51" ht="42.75" x14ac:dyDescent="0.2">
      <c r="A51" s="27">
        <v>42</v>
      </c>
      <c r="B51" s="70" t="s">
        <v>39</v>
      </c>
      <c r="C51" s="34" t="s">
        <v>16</v>
      </c>
      <c r="D51" s="28" t="s">
        <v>77</v>
      </c>
      <c r="E51" s="34" t="s">
        <v>38</v>
      </c>
      <c r="F51" s="63" t="s">
        <v>14</v>
      </c>
      <c r="G51" s="31"/>
      <c r="H51" s="32"/>
      <c r="I51" s="32"/>
      <c r="J51" s="32"/>
      <c r="K51" s="59">
        <v>5</v>
      </c>
      <c r="L51" s="43">
        <f t="shared" si="11"/>
        <v>3500</v>
      </c>
      <c r="M51" s="50">
        <v>3</v>
      </c>
      <c r="N51" s="32">
        <f t="shared" si="9"/>
        <v>2100</v>
      </c>
      <c r="O51" s="33">
        <v>0</v>
      </c>
      <c r="P51" s="32">
        <f t="shared" si="3"/>
        <v>0</v>
      </c>
      <c r="Q51" s="50">
        <v>3</v>
      </c>
      <c r="R51" s="32">
        <f t="shared" si="4"/>
        <v>2100</v>
      </c>
      <c r="S51" s="33"/>
      <c r="T51" s="32"/>
      <c r="U51" s="50"/>
      <c r="V51" s="32"/>
      <c r="W51" s="50"/>
      <c r="X51" s="32"/>
      <c r="Y51" s="50"/>
      <c r="Z51" s="32"/>
      <c r="AA51" s="50"/>
      <c r="AB51" s="32"/>
      <c r="AC51" s="50"/>
      <c r="AD51" s="32"/>
      <c r="AE51" s="50"/>
      <c r="AF51" s="32"/>
      <c r="AG51" s="50"/>
      <c r="AH51" s="32"/>
      <c r="AI51" s="50"/>
      <c r="AJ51" s="32">
        <f t="shared" si="5"/>
        <v>0</v>
      </c>
      <c r="AK51" s="50">
        <v>5</v>
      </c>
      <c r="AL51" s="32">
        <f t="shared" si="6"/>
        <v>3500</v>
      </c>
      <c r="AM51" s="50">
        <v>3</v>
      </c>
      <c r="AN51" s="32">
        <f t="shared" si="1"/>
        <v>2100</v>
      </c>
      <c r="AO51" s="50"/>
      <c r="AP51" s="32"/>
      <c r="AQ51" s="50">
        <f t="shared" si="10"/>
        <v>19</v>
      </c>
      <c r="AR51" s="47">
        <v>700</v>
      </c>
      <c r="AS51" s="83">
        <f t="shared" si="7"/>
        <v>13300</v>
      </c>
      <c r="AT51" s="22"/>
      <c r="AU51" s="116"/>
      <c r="AV51" s="117"/>
      <c r="AW51" s="117"/>
      <c r="AX51" s="117"/>
      <c r="AY51" s="118"/>
    </row>
    <row r="52" spans="1:51" ht="57" x14ac:dyDescent="0.2">
      <c r="A52" s="27">
        <v>43</v>
      </c>
      <c r="B52" s="41" t="s">
        <v>110</v>
      </c>
      <c r="C52" s="34" t="s">
        <v>16</v>
      </c>
      <c r="D52" s="28" t="s">
        <v>77</v>
      </c>
      <c r="E52" s="91" t="s">
        <v>101</v>
      </c>
      <c r="F52" s="63" t="s">
        <v>14</v>
      </c>
      <c r="G52" s="31"/>
      <c r="H52" s="31"/>
      <c r="I52" s="31"/>
      <c r="J52" s="31"/>
      <c r="K52" s="59">
        <v>10</v>
      </c>
      <c r="L52" s="43">
        <f t="shared" si="11"/>
        <v>1200</v>
      </c>
      <c r="M52" s="50">
        <v>5</v>
      </c>
      <c r="N52" s="32">
        <f t="shared" si="9"/>
        <v>600</v>
      </c>
      <c r="O52" s="33">
        <v>0</v>
      </c>
      <c r="P52" s="32">
        <f t="shared" si="3"/>
        <v>0</v>
      </c>
      <c r="Q52" s="50"/>
      <c r="R52" s="32">
        <f t="shared" si="4"/>
        <v>0</v>
      </c>
      <c r="S52" s="33"/>
      <c r="T52" s="32"/>
      <c r="U52" s="50"/>
      <c r="V52" s="32"/>
      <c r="W52" s="50"/>
      <c r="X52" s="32"/>
      <c r="Y52" s="50">
        <v>5</v>
      </c>
      <c r="Z52" s="32">
        <f>+Y52*AR52</f>
        <v>600</v>
      </c>
      <c r="AA52" s="50"/>
      <c r="AB52" s="32"/>
      <c r="AC52" s="50"/>
      <c r="AD52" s="32"/>
      <c r="AE52" s="50"/>
      <c r="AF52" s="32"/>
      <c r="AG52" s="50"/>
      <c r="AH52" s="32"/>
      <c r="AI52" s="50"/>
      <c r="AJ52" s="32">
        <f t="shared" si="5"/>
        <v>0</v>
      </c>
      <c r="AK52" s="50">
        <v>15</v>
      </c>
      <c r="AL52" s="32">
        <f t="shared" si="6"/>
        <v>1800</v>
      </c>
      <c r="AM52" s="50">
        <v>5</v>
      </c>
      <c r="AN52" s="32">
        <f t="shared" si="1"/>
        <v>600</v>
      </c>
      <c r="AO52" s="50"/>
      <c r="AP52" s="32"/>
      <c r="AQ52" s="50">
        <f t="shared" si="10"/>
        <v>40</v>
      </c>
      <c r="AR52" s="47">
        <v>120</v>
      </c>
      <c r="AS52" s="83">
        <f t="shared" si="7"/>
        <v>4800</v>
      </c>
      <c r="AT52" s="22"/>
      <c r="AU52" s="8"/>
      <c r="AV52" s="7"/>
      <c r="AW52" s="7"/>
      <c r="AX52" s="7"/>
      <c r="AY52" s="9"/>
    </row>
    <row r="53" spans="1:51" ht="42.75" x14ac:dyDescent="0.2">
      <c r="A53" s="27">
        <v>45</v>
      </c>
      <c r="B53" s="28" t="s">
        <v>121</v>
      </c>
      <c r="C53" s="34" t="s">
        <v>16</v>
      </c>
      <c r="D53" s="28" t="s">
        <v>77</v>
      </c>
      <c r="E53" s="34" t="s">
        <v>120</v>
      </c>
      <c r="F53" s="63" t="s">
        <v>14</v>
      </c>
      <c r="G53" s="31"/>
      <c r="H53" s="32"/>
      <c r="I53" s="32"/>
      <c r="J53" s="32"/>
      <c r="K53" s="33"/>
      <c r="L53" s="43"/>
      <c r="M53" s="50">
        <v>2</v>
      </c>
      <c r="N53" s="32">
        <f t="shared" si="9"/>
        <v>780</v>
      </c>
      <c r="O53" s="33">
        <v>0</v>
      </c>
      <c r="P53" s="32">
        <f t="shared" si="3"/>
        <v>0</v>
      </c>
      <c r="Q53" s="50"/>
      <c r="R53" s="32">
        <f t="shared" si="4"/>
        <v>0</v>
      </c>
      <c r="S53" s="33"/>
      <c r="T53" s="32"/>
      <c r="U53" s="50"/>
      <c r="V53" s="32"/>
      <c r="W53" s="50"/>
      <c r="X53" s="32"/>
      <c r="Y53" s="50">
        <v>3</v>
      </c>
      <c r="Z53" s="32">
        <f>+Y53*AR53</f>
        <v>1170</v>
      </c>
      <c r="AA53" s="50"/>
      <c r="AB53" s="32"/>
      <c r="AC53" s="50"/>
      <c r="AD53" s="32"/>
      <c r="AE53" s="50"/>
      <c r="AF53" s="32"/>
      <c r="AG53" s="50"/>
      <c r="AH53" s="32"/>
      <c r="AI53" s="50"/>
      <c r="AJ53" s="32">
        <f t="shared" si="5"/>
        <v>0</v>
      </c>
      <c r="AK53" s="50"/>
      <c r="AL53" s="32">
        <f t="shared" si="6"/>
        <v>0</v>
      </c>
      <c r="AM53" s="50"/>
      <c r="AN53" s="32">
        <f t="shared" si="1"/>
        <v>0</v>
      </c>
      <c r="AO53" s="50"/>
      <c r="AP53" s="32"/>
      <c r="AQ53" s="50">
        <f t="shared" si="10"/>
        <v>5</v>
      </c>
      <c r="AR53" s="82">
        <v>390</v>
      </c>
      <c r="AS53" s="83">
        <f t="shared" si="7"/>
        <v>1950</v>
      </c>
      <c r="AT53" s="22"/>
    </row>
    <row r="54" spans="1:51" ht="42.75" x14ac:dyDescent="0.2">
      <c r="A54" s="27">
        <v>46</v>
      </c>
      <c r="B54" s="42" t="s">
        <v>19</v>
      </c>
      <c r="C54" s="34" t="s">
        <v>16</v>
      </c>
      <c r="D54" s="28" t="s">
        <v>77</v>
      </c>
      <c r="E54" s="91" t="s">
        <v>20</v>
      </c>
      <c r="F54" s="63" t="s">
        <v>14</v>
      </c>
      <c r="G54" s="31"/>
      <c r="H54" s="31"/>
      <c r="I54" s="31"/>
      <c r="J54" s="31"/>
      <c r="K54" s="33"/>
      <c r="L54" s="43">
        <f>+K54*AR54</f>
        <v>0</v>
      </c>
      <c r="M54" s="50">
        <v>1</v>
      </c>
      <c r="N54" s="32">
        <f t="shared" si="9"/>
        <v>300</v>
      </c>
      <c r="O54" s="33">
        <v>0</v>
      </c>
      <c r="P54" s="32">
        <f t="shared" si="3"/>
        <v>0</v>
      </c>
      <c r="Q54" s="50"/>
      <c r="R54" s="32">
        <f t="shared" si="4"/>
        <v>0</v>
      </c>
      <c r="S54" s="33"/>
      <c r="T54" s="32"/>
      <c r="U54" s="50"/>
      <c r="V54" s="32"/>
      <c r="W54" s="50"/>
      <c r="X54" s="32"/>
      <c r="Y54" s="50"/>
      <c r="Z54" s="32"/>
      <c r="AA54" s="50"/>
      <c r="AB54" s="32"/>
      <c r="AC54" s="50"/>
      <c r="AD54" s="32"/>
      <c r="AE54" s="50"/>
      <c r="AF54" s="32"/>
      <c r="AG54" s="50"/>
      <c r="AH54" s="32"/>
      <c r="AI54" s="50"/>
      <c r="AJ54" s="32">
        <f t="shared" si="5"/>
        <v>0</v>
      </c>
      <c r="AK54" s="50"/>
      <c r="AL54" s="32">
        <f t="shared" si="6"/>
        <v>0</v>
      </c>
      <c r="AM54" s="50"/>
      <c r="AN54" s="32">
        <f t="shared" si="1"/>
        <v>0</v>
      </c>
      <c r="AO54" s="50"/>
      <c r="AP54" s="32"/>
      <c r="AQ54" s="50">
        <f t="shared" si="10"/>
        <v>1</v>
      </c>
      <c r="AR54" s="80">
        <v>300</v>
      </c>
      <c r="AS54" s="83">
        <f t="shared" si="7"/>
        <v>300</v>
      </c>
      <c r="AT54" s="22"/>
    </row>
    <row r="55" spans="1:51" ht="57" x14ac:dyDescent="0.2">
      <c r="A55" s="31">
        <v>47</v>
      </c>
      <c r="B55" s="28" t="s">
        <v>21</v>
      </c>
      <c r="C55" s="34" t="s">
        <v>16</v>
      </c>
      <c r="D55" s="28" t="s">
        <v>77</v>
      </c>
      <c r="E55" s="34" t="s">
        <v>22</v>
      </c>
      <c r="F55" s="63" t="s">
        <v>14</v>
      </c>
      <c r="G55" s="31"/>
      <c r="H55" s="32"/>
      <c r="I55" s="32"/>
      <c r="J55" s="32"/>
      <c r="K55" s="33"/>
      <c r="L55" s="43"/>
      <c r="M55" s="50">
        <v>2</v>
      </c>
      <c r="N55" s="32">
        <f t="shared" si="9"/>
        <v>800</v>
      </c>
      <c r="O55" s="33">
        <v>0</v>
      </c>
      <c r="P55" s="32">
        <f t="shared" si="3"/>
        <v>0</v>
      </c>
      <c r="Q55" s="50"/>
      <c r="R55" s="32">
        <f t="shared" si="4"/>
        <v>0</v>
      </c>
      <c r="S55" s="33"/>
      <c r="T55" s="32"/>
      <c r="U55" s="50"/>
      <c r="V55" s="32"/>
      <c r="W55" s="50"/>
      <c r="X55" s="32"/>
      <c r="Y55" s="50"/>
      <c r="Z55" s="32"/>
      <c r="AA55" s="50"/>
      <c r="AB55" s="32"/>
      <c r="AC55" s="50"/>
      <c r="AD55" s="32"/>
      <c r="AE55" s="50"/>
      <c r="AF55" s="32"/>
      <c r="AG55" s="50"/>
      <c r="AH55" s="32"/>
      <c r="AI55" s="50"/>
      <c r="AJ55" s="32">
        <f t="shared" si="5"/>
        <v>0</v>
      </c>
      <c r="AK55" s="50"/>
      <c r="AL55" s="32">
        <f t="shared" si="6"/>
        <v>0</v>
      </c>
      <c r="AM55" s="50"/>
      <c r="AN55" s="32">
        <f t="shared" si="1"/>
        <v>0</v>
      </c>
      <c r="AO55" s="50"/>
      <c r="AP55" s="32"/>
      <c r="AQ55" s="50">
        <f t="shared" si="10"/>
        <v>2</v>
      </c>
      <c r="AR55" s="82">
        <v>400</v>
      </c>
      <c r="AS55" s="83">
        <f t="shared" si="7"/>
        <v>800</v>
      </c>
      <c r="AT55" s="22"/>
    </row>
    <row r="56" spans="1:51" ht="28.5" x14ac:dyDescent="0.2">
      <c r="A56" s="27">
        <v>48</v>
      </c>
      <c r="B56" s="42" t="s">
        <v>17</v>
      </c>
      <c r="C56" s="34" t="s">
        <v>16</v>
      </c>
      <c r="D56" s="28" t="s">
        <v>77</v>
      </c>
      <c r="E56" s="91" t="s">
        <v>18</v>
      </c>
      <c r="F56" s="63" t="s">
        <v>14</v>
      </c>
      <c r="G56" s="31"/>
      <c r="H56" s="31"/>
      <c r="I56" s="31"/>
      <c r="J56" s="31"/>
      <c r="K56" s="33"/>
      <c r="L56" s="43">
        <f>+K56*AR56</f>
        <v>0</v>
      </c>
      <c r="M56" s="50">
        <v>10</v>
      </c>
      <c r="N56" s="32">
        <f t="shared" si="9"/>
        <v>7000</v>
      </c>
      <c r="O56" s="33">
        <v>0</v>
      </c>
      <c r="P56" s="32">
        <f t="shared" si="3"/>
        <v>0</v>
      </c>
      <c r="Q56" s="50"/>
      <c r="R56" s="32">
        <f t="shared" si="4"/>
        <v>0</v>
      </c>
      <c r="S56" s="33"/>
      <c r="T56" s="32"/>
      <c r="U56" s="50"/>
      <c r="V56" s="32"/>
      <c r="W56" s="50"/>
      <c r="X56" s="32"/>
      <c r="Y56" s="50"/>
      <c r="Z56" s="32"/>
      <c r="AA56" s="50"/>
      <c r="AB56" s="32"/>
      <c r="AC56" s="50">
        <v>20</v>
      </c>
      <c r="AD56" s="32">
        <f>+AC56*AR56</f>
        <v>14000</v>
      </c>
      <c r="AE56" s="50"/>
      <c r="AF56" s="32"/>
      <c r="AG56" s="50"/>
      <c r="AH56" s="32"/>
      <c r="AI56" s="50"/>
      <c r="AJ56" s="32">
        <f t="shared" si="5"/>
        <v>0</v>
      </c>
      <c r="AK56" s="50">
        <v>20</v>
      </c>
      <c r="AL56" s="32">
        <f t="shared" si="6"/>
        <v>14000</v>
      </c>
      <c r="AM56" s="50">
        <v>12</v>
      </c>
      <c r="AN56" s="32">
        <f t="shared" si="1"/>
        <v>8400</v>
      </c>
      <c r="AO56" s="50"/>
      <c r="AP56" s="32"/>
      <c r="AQ56" s="50">
        <f t="shared" si="10"/>
        <v>62</v>
      </c>
      <c r="AR56" s="80">
        <v>700</v>
      </c>
      <c r="AS56" s="83">
        <f t="shared" si="7"/>
        <v>43400</v>
      </c>
      <c r="AT56" s="22"/>
    </row>
    <row r="57" spans="1:51" ht="28.5" x14ac:dyDescent="0.2">
      <c r="A57" s="27">
        <v>49</v>
      </c>
      <c r="B57" s="42" t="s">
        <v>131</v>
      </c>
      <c r="C57" s="34" t="s">
        <v>16</v>
      </c>
      <c r="D57" s="28" t="s">
        <v>77</v>
      </c>
      <c r="E57" s="91" t="s">
        <v>130</v>
      </c>
      <c r="F57" s="63" t="s">
        <v>14</v>
      </c>
      <c r="G57" s="31"/>
      <c r="H57" s="31"/>
      <c r="I57" s="31"/>
      <c r="J57" s="31"/>
      <c r="K57" s="33"/>
      <c r="L57" s="43"/>
      <c r="M57" s="50">
        <v>3</v>
      </c>
      <c r="N57" s="32">
        <f t="shared" si="9"/>
        <v>900</v>
      </c>
      <c r="O57" s="33"/>
      <c r="P57" s="32">
        <f t="shared" si="3"/>
        <v>0</v>
      </c>
      <c r="Q57" s="50"/>
      <c r="R57" s="32">
        <f t="shared" si="4"/>
        <v>0</v>
      </c>
      <c r="S57" s="33"/>
      <c r="T57" s="32"/>
      <c r="U57" s="50"/>
      <c r="V57" s="32"/>
      <c r="W57" s="50"/>
      <c r="X57" s="32"/>
      <c r="Y57" s="50"/>
      <c r="Z57" s="32"/>
      <c r="AA57" s="50"/>
      <c r="AB57" s="32"/>
      <c r="AC57" s="50"/>
      <c r="AD57" s="32"/>
      <c r="AE57" s="50"/>
      <c r="AF57" s="32"/>
      <c r="AG57" s="50"/>
      <c r="AH57" s="32"/>
      <c r="AI57" s="50"/>
      <c r="AJ57" s="32">
        <f t="shared" si="5"/>
        <v>0</v>
      </c>
      <c r="AK57" s="50"/>
      <c r="AL57" s="32">
        <f t="shared" si="6"/>
        <v>0</v>
      </c>
      <c r="AM57" s="50">
        <v>3</v>
      </c>
      <c r="AN57" s="32">
        <f t="shared" ref="AN57:AN70" si="17">+AM57*AR57</f>
        <v>900</v>
      </c>
      <c r="AO57" s="50"/>
      <c r="AP57" s="32"/>
      <c r="AQ57" s="50">
        <f t="shared" si="10"/>
        <v>6</v>
      </c>
      <c r="AR57" s="80">
        <v>300</v>
      </c>
      <c r="AS57" s="83">
        <f t="shared" si="7"/>
        <v>1800</v>
      </c>
      <c r="AT57" s="22"/>
    </row>
    <row r="58" spans="1:51" ht="28.5" x14ac:dyDescent="0.2">
      <c r="A58" s="31">
        <v>50</v>
      </c>
      <c r="B58" s="42" t="s">
        <v>132</v>
      </c>
      <c r="C58" s="34" t="s">
        <v>16</v>
      </c>
      <c r="D58" s="28" t="s">
        <v>77</v>
      </c>
      <c r="E58" s="91" t="s">
        <v>133</v>
      </c>
      <c r="F58" s="63" t="s">
        <v>14</v>
      </c>
      <c r="G58" s="31"/>
      <c r="H58" s="31"/>
      <c r="I58" s="31"/>
      <c r="J58" s="31"/>
      <c r="K58" s="33"/>
      <c r="L58" s="43"/>
      <c r="M58" s="50">
        <v>20</v>
      </c>
      <c r="N58" s="32">
        <f t="shared" si="9"/>
        <v>4000</v>
      </c>
      <c r="O58" s="33"/>
      <c r="P58" s="32">
        <f t="shared" si="3"/>
        <v>0</v>
      </c>
      <c r="Q58" s="50"/>
      <c r="R58" s="32">
        <f t="shared" si="4"/>
        <v>0</v>
      </c>
      <c r="S58" s="33">
        <v>20</v>
      </c>
      <c r="T58" s="32">
        <f>+S58*AR58</f>
        <v>4000</v>
      </c>
      <c r="U58" s="50"/>
      <c r="V58" s="32"/>
      <c r="W58" s="50"/>
      <c r="X58" s="32"/>
      <c r="Y58" s="50"/>
      <c r="Z58" s="32"/>
      <c r="AA58" s="50">
        <v>50</v>
      </c>
      <c r="AB58" s="32">
        <f>+AA58*AR58</f>
        <v>10000</v>
      </c>
      <c r="AC58" s="50"/>
      <c r="AD58" s="32"/>
      <c r="AE58" s="50"/>
      <c r="AF58" s="32"/>
      <c r="AG58" s="50"/>
      <c r="AH58" s="32"/>
      <c r="AI58" s="50"/>
      <c r="AJ58" s="32">
        <f t="shared" si="5"/>
        <v>0</v>
      </c>
      <c r="AK58" s="50">
        <v>50</v>
      </c>
      <c r="AL58" s="32">
        <f t="shared" si="6"/>
        <v>10000</v>
      </c>
      <c r="AM58" s="50">
        <v>70</v>
      </c>
      <c r="AN58" s="32">
        <f t="shared" si="17"/>
        <v>14000</v>
      </c>
      <c r="AO58" s="50"/>
      <c r="AP58" s="32"/>
      <c r="AQ58" s="50">
        <f t="shared" si="10"/>
        <v>210</v>
      </c>
      <c r="AR58" s="80">
        <v>200</v>
      </c>
      <c r="AS58" s="83">
        <f t="shared" si="7"/>
        <v>42000</v>
      </c>
      <c r="AT58" s="22"/>
    </row>
    <row r="59" spans="1:51" ht="57" x14ac:dyDescent="0.2">
      <c r="A59" s="27">
        <v>51</v>
      </c>
      <c r="B59" s="34" t="s">
        <v>138</v>
      </c>
      <c r="C59" s="34" t="s">
        <v>16</v>
      </c>
      <c r="D59" s="28" t="s">
        <v>77</v>
      </c>
      <c r="E59" s="34" t="s">
        <v>137</v>
      </c>
      <c r="F59" s="34" t="s">
        <v>12</v>
      </c>
      <c r="G59" s="31"/>
      <c r="H59" s="31"/>
      <c r="I59" s="31"/>
      <c r="J59" s="31"/>
      <c r="K59" s="33"/>
      <c r="L59" s="43"/>
      <c r="M59" s="51">
        <v>20</v>
      </c>
      <c r="N59" s="32">
        <f t="shared" si="9"/>
        <v>5200</v>
      </c>
      <c r="O59" s="33"/>
      <c r="P59" s="32">
        <f t="shared" si="3"/>
        <v>0</v>
      </c>
      <c r="Q59" s="50"/>
      <c r="R59" s="32">
        <f t="shared" si="4"/>
        <v>0</v>
      </c>
      <c r="S59" s="33"/>
      <c r="T59" s="32"/>
      <c r="U59" s="50"/>
      <c r="V59" s="32"/>
      <c r="W59" s="50"/>
      <c r="X59" s="32"/>
      <c r="Y59" s="50"/>
      <c r="Z59" s="32"/>
      <c r="AA59" s="50">
        <v>30</v>
      </c>
      <c r="AB59" s="32">
        <f>+AA59*AR59</f>
        <v>7800</v>
      </c>
      <c r="AC59" s="50"/>
      <c r="AD59" s="32"/>
      <c r="AE59" s="50">
        <v>10</v>
      </c>
      <c r="AF59" s="32">
        <f>+AE59*AR59</f>
        <v>2600</v>
      </c>
      <c r="AG59" s="50"/>
      <c r="AH59" s="32"/>
      <c r="AI59" s="50"/>
      <c r="AJ59" s="32">
        <f t="shared" si="5"/>
        <v>0</v>
      </c>
      <c r="AK59" s="50">
        <v>50</v>
      </c>
      <c r="AL59" s="32">
        <f t="shared" si="6"/>
        <v>13000</v>
      </c>
      <c r="AM59" s="50">
        <v>30</v>
      </c>
      <c r="AN59" s="32">
        <f t="shared" si="17"/>
        <v>7800</v>
      </c>
      <c r="AO59" s="50"/>
      <c r="AP59" s="32"/>
      <c r="AQ59" s="50">
        <f t="shared" si="10"/>
        <v>140</v>
      </c>
      <c r="AR59" s="84">
        <v>260</v>
      </c>
      <c r="AS59" s="83">
        <f t="shared" si="7"/>
        <v>36400</v>
      </c>
      <c r="AT59" s="22"/>
    </row>
    <row r="60" spans="1:51" ht="42.75" x14ac:dyDescent="0.2">
      <c r="A60" s="27">
        <v>52</v>
      </c>
      <c r="B60" s="93" t="s">
        <v>144</v>
      </c>
      <c r="C60" s="34" t="s">
        <v>16</v>
      </c>
      <c r="D60" s="28" t="s">
        <v>77</v>
      </c>
      <c r="E60" s="34" t="s">
        <v>143</v>
      </c>
      <c r="F60" s="23" t="s">
        <v>15</v>
      </c>
      <c r="G60" s="31"/>
      <c r="H60" s="31"/>
      <c r="I60" s="31"/>
      <c r="J60" s="31"/>
      <c r="K60" s="33"/>
      <c r="L60" s="43"/>
      <c r="M60" s="52">
        <v>10</v>
      </c>
      <c r="N60" s="32">
        <f t="shared" si="9"/>
        <v>480</v>
      </c>
      <c r="O60" s="33"/>
      <c r="P60" s="32">
        <f t="shared" si="3"/>
        <v>0</v>
      </c>
      <c r="Q60" s="50"/>
      <c r="R60" s="32">
        <f t="shared" si="4"/>
        <v>0</v>
      </c>
      <c r="S60" s="33"/>
      <c r="T60" s="32"/>
      <c r="U60" s="50"/>
      <c r="V60" s="32"/>
      <c r="W60" s="50">
        <v>3</v>
      </c>
      <c r="X60" s="32">
        <f>+W60*AR60</f>
        <v>144</v>
      </c>
      <c r="Y60" s="50"/>
      <c r="Z60" s="32"/>
      <c r="AA60" s="50"/>
      <c r="AB60" s="32"/>
      <c r="AC60" s="50"/>
      <c r="AD60" s="32"/>
      <c r="AE60" s="50"/>
      <c r="AF60" s="32"/>
      <c r="AG60" s="50"/>
      <c r="AH60" s="32"/>
      <c r="AI60" s="50"/>
      <c r="AJ60" s="32">
        <f t="shared" si="5"/>
        <v>0</v>
      </c>
      <c r="AK60" s="50">
        <v>30</v>
      </c>
      <c r="AL60" s="32">
        <f t="shared" si="6"/>
        <v>1440</v>
      </c>
      <c r="AM60" s="50">
        <v>28</v>
      </c>
      <c r="AN60" s="32">
        <f t="shared" si="17"/>
        <v>1344</v>
      </c>
      <c r="AO60" s="50"/>
      <c r="AP60" s="32"/>
      <c r="AQ60" s="50">
        <f t="shared" si="10"/>
        <v>71</v>
      </c>
      <c r="AR60" s="85">
        <v>48</v>
      </c>
      <c r="AS60" s="83">
        <f t="shared" si="7"/>
        <v>3408</v>
      </c>
      <c r="AT60" s="22"/>
    </row>
    <row r="61" spans="1:51" ht="42.75" x14ac:dyDescent="0.2">
      <c r="A61" s="31">
        <v>53</v>
      </c>
      <c r="B61" s="91" t="s">
        <v>145</v>
      </c>
      <c r="C61" s="27" t="s">
        <v>16</v>
      </c>
      <c r="D61" s="28" t="s">
        <v>77</v>
      </c>
      <c r="E61" s="34" t="s">
        <v>146</v>
      </c>
      <c r="F61" s="23" t="s">
        <v>44</v>
      </c>
      <c r="G61" s="31"/>
      <c r="H61" s="31"/>
      <c r="I61" s="31"/>
      <c r="J61" s="31"/>
      <c r="K61" s="33"/>
      <c r="L61" s="43"/>
      <c r="M61" s="52">
        <v>10</v>
      </c>
      <c r="N61" s="32">
        <f t="shared" si="9"/>
        <v>3500</v>
      </c>
      <c r="O61" s="33">
        <v>0</v>
      </c>
      <c r="P61" s="32">
        <f t="shared" si="3"/>
        <v>0</v>
      </c>
      <c r="Q61" s="50"/>
      <c r="R61" s="32">
        <f t="shared" si="4"/>
        <v>0</v>
      </c>
      <c r="S61" s="33"/>
      <c r="T61" s="32"/>
      <c r="U61" s="50"/>
      <c r="V61" s="32"/>
      <c r="W61" s="50"/>
      <c r="X61" s="32"/>
      <c r="Y61" s="50"/>
      <c r="Z61" s="32"/>
      <c r="AA61" s="50">
        <v>50</v>
      </c>
      <c r="AB61" s="32">
        <f>+AA61*AR61</f>
        <v>17500</v>
      </c>
      <c r="AC61" s="50">
        <v>30</v>
      </c>
      <c r="AD61" s="32">
        <f>+AC61*AR61</f>
        <v>10500</v>
      </c>
      <c r="AE61" s="50">
        <v>1</v>
      </c>
      <c r="AF61" s="32">
        <f>+AE61*AR61</f>
        <v>350</v>
      </c>
      <c r="AG61" s="50">
        <v>5</v>
      </c>
      <c r="AH61" s="32">
        <f>+AG61*AR61</f>
        <v>1750</v>
      </c>
      <c r="AI61" s="50"/>
      <c r="AJ61" s="32">
        <f t="shared" si="5"/>
        <v>0</v>
      </c>
      <c r="AK61" s="50">
        <v>20</v>
      </c>
      <c r="AL61" s="32">
        <f t="shared" si="6"/>
        <v>7000</v>
      </c>
      <c r="AM61" s="50">
        <v>70</v>
      </c>
      <c r="AN61" s="32">
        <f t="shared" si="17"/>
        <v>24500</v>
      </c>
      <c r="AO61" s="50"/>
      <c r="AP61" s="32"/>
      <c r="AQ61" s="50">
        <f t="shared" si="10"/>
        <v>186</v>
      </c>
      <c r="AR61" s="85">
        <v>350</v>
      </c>
      <c r="AS61" s="83">
        <f t="shared" si="7"/>
        <v>65100</v>
      </c>
      <c r="AT61" s="114" t="s">
        <v>213</v>
      </c>
    </row>
    <row r="62" spans="1:51" ht="42.75" x14ac:dyDescent="0.2">
      <c r="A62" s="27">
        <v>54</v>
      </c>
      <c r="B62" s="91" t="s">
        <v>147</v>
      </c>
      <c r="C62" s="27" t="s">
        <v>16</v>
      </c>
      <c r="D62" s="28" t="s">
        <v>77</v>
      </c>
      <c r="E62" s="34" t="s">
        <v>148</v>
      </c>
      <c r="F62" s="23" t="s">
        <v>44</v>
      </c>
      <c r="G62" s="31"/>
      <c r="H62" s="31"/>
      <c r="I62" s="31"/>
      <c r="J62" s="31"/>
      <c r="K62" s="33"/>
      <c r="L62" s="43"/>
      <c r="M62" s="52">
        <v>14</v>
      </c>
      <c r="N62" s="32">
        <f t="shared" si="9"/>
        <v>5460</v>
      </c>
      <c r="O62" s="33">
        <v>0</v>
      </c>
      <c r="P62" s="32">
        <f t="shared" si="3"/>
        <v>0</v>
      </c>
      <c r="Q62" s="50"/>
      <c r="R62" s="32">
        <f t="shared" si="4"/>
        <v>0</v>
      </c>
      <c r="S62" s="33">
        <v>30</v>
      </c>
      <c r="T62" s="32">
        <f>+S62*AR62</f>
        <v>11700</v>
      </c>
      <c r="U62" s="50"/>
      <c r="V62" s="32"/>
      <c r="W62" s="50"/>
      <c r="X62" s="32"/>
      <c r="Y62" s="50"/>
      <c r="Z62" s="32"/>
      <c r="AA62" s="50"/>
      <c r="AB62" s="32"/>
      <c r="AC62" s="50">
        <v>30</v>
      </c>
      <c r="AD62" s="32">
        <f>+AC62*AR62</f>
        <v>11700</v>
      </c>
      <c r="AE62" s="50">
        <v>1</v>
      </c>
      <c r="AF62" s="32">
        <f>+AE62*AR62</f>
        <v>390</v>
      </c>
      <c r="AG62" s="50">
        <v>5</v>
      </c>
      <c r="AH62" s="32">
        <f>+AG62*AR62</f>
        <v>1950</v>
      </c>
      <c r="AI62" s="50"/>
      <c r="AJ62" s="32">
        <f t="shared" si="5"/>
        <v>0</v>
      </c>
      <c r="AK62" s="50">
        <v>20</v>
      </c>
      <c r="AL62" s="32">
        <f t="shared" si="6"/>
        <v>7800</v>
      </c>
      <c r="AM62" s="50">
        <v>20</v>
      </c>
      <c r="AN62" s="32">
        <f t="shared" si="17"/>
        <v>7800</v>
      </c>
      <c r="AO62" s="50"/>
      <c r="AP62" s="32"/>
      <c r="AQ62" s="50">
        <f t="shared" si="10"/>
        <v>120</v>
      </c>
      <c r="AR62" s="85">
        <v>390</v>
      </c>
      <c r="AS62" s="83">
        <f t="shared" si="7"/>
        <v>46800</v>
      </c>
      <c r="AT62" s="114" t="s">
        <v>213</v>
      </c>
    </row>
    <row r="63" spans="1:51" ht="28.5" x14ac:dyDescent="0.2">
      <c r="A63" s="27">
        <v>55</v>
      </c>
      <c r="B63" s="94" t="s">
        <v>27</v>
      </c>
      <c r="C63" s="39" t="s">
        <v>16</v>
      </c>
      <c r="D63" s="28" t="s">
        <v>77</v>
      </c>
      <c r="E63" s="54" t="s">
        <v>28</v>
      </c>
      <c r="F63" s="36" t="s">
        <v>14</v>
      </c>
      <c r="G63" s="31"/>
      <c r="H63" s="31"/>
      <c r="I63" s="31"/>
      <c r="J63" s="31"/>
      <c r="K63" s="33"/>
      <c r="L63" s="43"/>
      <c r="M63" s="50"/>
      <c r="N63" s="23"/>
      <c r="O63" s="37">
        <v>0</v>
      </c>
      <c r="P63" s="32">
        <f t="shared" si="3"/>
        <v>0</v>
      </c>
      <c r="Q63" s="50"/>
      <c r="R63" s="32">
        <f t="shared" si="4"/>
        <v>0</v>
      </c>
      <c r="S63" s="33"/>
      <c r="T63" s="32"/>
      <c r="U63" s="50"/>
      <c r="V63" s="32"/>
      <c r="W63" s="50"/>
      <c r="X63" s="32"/>
      <c r="Y63" s="50">
        <v>20</v>
      </c>
      <c r="Z63" s="32">
        <f>+Y63*AR63</f>
        <v>1500</v>
      </c>
      <c r="AA63" s="50"/>
      <c r="AB63" s="32"/>
      <c r="AC63" s="50"/>
      <c r="AD63" s="32"/>
      <c r="AE63" s="50"/>
      <c r="AF63" s="32"/>
      <c r="AG63" s="50"/>
      <c r="AH63" s="32"/>
      <c r="AI63" s="50"/>
      <c r="AJ63" s="32">
        <f t="shared" si="5"/>
        <v>0</v>
      </c>
      <c r="AK63" s="50">
        <v>50</v>
      </c>
      <c r="AL63" s="32">
        <f t="shared" si="6"/>
        <v>3750</v>
      </c>
      <c r="AM63" s="50"/>
      <c r="AN63" s="32">
        <f t="shared" si="17"/>
        <v>0</v>
      </c>
      <c r="AO63" s="50"/>
      <c r="AP63" s="32"/>
      <c r="AQ63" s="50">
        <f t="shared" si="10"/>
        <v>70</v>
      </c>
      <c r="AR63" s="85">
        <v>75</v>
      </c>
      <c r="AS63" s="83">
        <f t="shared" si="7"/>
        <v>5250</v>
      </c>
      <c r="AT63" s="22"/>
    </row>
    <row r="64" spans="1:51" ht="42.75" x14ac:dyDescent="0.2">
      <c r="A64" s="31">
        <v>56</v>
      </c>
      <c r="B64" s="94" t="s">
        <v>181</v>
      </c>
      <c r="C64" s="39" t="s">
        <v>16</v>
      </c>
      <c r="D64" s="28" t="s">
        <v>77</v>
      </c>
      <c r="E64" s="54" t="s">
        <v>182</v>
      </c>
      <c r="F64" s="36" t="s">
        <v>14</v>
      </c>
      <c r="G64" s="31"/>
      <c r="H64" s="31"/>
      <c r="I64" s="31"/>
      <c r="J64" s="31"/>
      <c r="K64" s="33"/>
      <c r="L64" s="43"/>
      <c r="M64" s="50"/>
      <c r="N64" s="23"/>
      <c r="O64" s="37"/>
      <c r="P64" s="32"/>
      <c r="Q64" s="50"/>
      <c r="R64" s="32"/>
      <c r="S64" s="33"/>
      <c r="T64" s="32"/>
      <c r="U64" s="50"/>
      <c r="V64" s="32"/>
      <c r="W64" s="50"/>
      <c r="X64" s="32"/>
      <c r="Y64" s="50"/>
      <c r="Z64" s="32"/>
      <c r="AA64" s="50"/>
      <c r="AB64" s="32"/>
      <c r="AC64" s="50"/>
      <c r="AD64" s="32"/>
      <c r="AE64" s="50">
        <v>8</v>
      </c>
      <c r="AF64" s="32">
        <f>+AE64*AR64</f>
        <v>1976</v>
      </c>
      <c r="AG64" s="50"/>
      <c r="AH64" s="32"/>
      <c r="AI64" s="50">
        <v>10</v>
      </c>
      <c r="AJ64" s="32">
        <f t="shared" si="5"/>
        <v>2470</v>
      </c>
      <c r="AK64" s="50">
        <v>20</v>
      </c>
      <c r="AL64" s="32">
        <f t="shared" si="6"/>
        <v>4940</v>
      </c>
      <c r="AM64" s="50">
        <v>30</v>
      </c>
      <c r="AN64" s="32">
        <f t="shared" si="17"/>
        <v>7410</v>
      </c>
      <c r="AO64" s="50"/>
      <c r="AP64" s="32"/>
      <c r="AQ64" s="50">
        <f t="shared" si="10"/>
        <v>68</v>
      </c>
      <c r="AR64" s="85">
        <f>190*1.3</f>
        <v>247</v>
      </c>
      <c r="AS64" s="83">
        <f t="shared" si="7"/>
        <v>16796</v>
      </c>
      <c r="AT64" s="22"/>
    </row>
    <row r="65" spans="1:46" ht="85.5" x14ac:dyDescent="0.2">
      <c r="A65" s="31">
        <v>59</v>
      </c>
      <c r="B65" s="94" t="s">
        <v>41</v>
      </c>
      <c r="C65" s="39" t="s">
        <v>16</v>
      </c>
      <c r="D65" s="28" t="s">
        <v>77</v>
      </c>
      <c r="E65" s="95" t="s">
        <v>40</v>
      </c>
      <c r="F65" s="23" t="s">
        <v>12</v>
      </c>
      <c r="G65" s="31"/>
      <c r="H65" s="31"/>
      <c r="I65" s="31"/>
      <c r="J65" s="31"/>
      <c r="K65" s="33"/>
      <c r="L65" s="43"/>
      <c r="M65" s="50"/>
      <c r="N65" s="23"/>
      <c r="O65" s="37">
        <v>0</v>
      </c>
      <c r="P65" s="32">
        <f t="shared" si="3"/>
        <v>0</v>
      </c>
      <c r="Q65" s="50"/>
      <c r="R65" s="32"/>
      <c r="S65" s="33"/>
      <c r="T65" s="32"/>
      <c r="U65" s="50"/>
      <c r="V65" s="32"/>
      <c r="W65" s="50"/>
      <c r="X65" s="32"/>
      <c r="Y65" s="50"/>
      <c r="Z65" s="32"/>
      <c r="AA65" s="50"/>
      <c r="AB65" s="32"/>
      <c r="AC65" s="50"/>
      <c r="AD65" s="32"/>
      <c r="AE65" s="50"/>
      <c r="AF65" s="32"/>
      <c r="AG65" s="50"/>
      <c r="AH65" s="32"/>
      <c r="AI65" s="50"/>
      <c r="AJ65" s="32">
        <f t="shared" si="5"/>
        <v>0</v>
      </c>
      <c r="AK65" s="50">
        <v>10</v>
      </c>
      <c r="AL65" s="32">
        <f t="shared" si="6"/>
        <v>6000</v>
      </c>
      <c r="AM65" s="50"/>
      <c r="AN65" s="32">
        <f t="shared" si="17"/>
        <v>0</v>
      </c>
      <c r="AO65" s="50"/>
      <c r="AP65" s="32"/>
      <c r="AQ65" s="50">
        <f t="shared" si="10"/>
        <v>10</v>
      </c>
      <c r="AR65" s="85">
        <v>600</v>
      </c>
      <c r="AS65" s="83">
        <f t="shared" si="7"/>
        <v>6000</v>
      </c>
      <c r="AT65" s="22"/>
    </row>
    <row r="66" spans="1:46" ht="57" x14ac:dyDescent="0.2">
      <c r="A66" s="27">
        <v>60</v>
      </c>
      <c r="B66" s="25" t="s">
        <v>155</v>
      </c>
      <c r="C66" s="25" t="s">
        <v>16</v>
      </c>
      <c r="D66" s="28" t="s">
        <v>77</v>
      </c>
      <c r="E66" s="25" t="s">
        <v>154</v>
      </c>
      <c r="F66" s="34" t="s">
        <v>12</v>
      </c>
      <c r="G66" s="30"/>
      <c r="H66" s="38">
        <f>+G66*AR66</f>
        <v>0</v>
      </c>
      <c r="I66" s="38"/>
      <c r="J66" s="38"/>
      <c r="K66" s="33"/>
      <c r="L66" s="43">
        <f>+K66*AR66</f>
        <v>0</v>
      </c>
      <c r="M66" s="50"/>
      <c r="N66" s="32">
        <f>+M66*AR66</f>
        <v>0</v>
      </c>
      <c r="O66" s="33"/>
      <c r="P66" s="32">
        <f>+O66*AR66</f>
        <v>0</v>
      </c>
      <c r="Q66" s="50"/>
      <c r="R66" s="32">
        <f>+Q66*AR66</f>
        <v>0</v>
      </c>
      <c r="S66" s="33">
        <v>50</v>
      </c>
      <c r="T66" s="32">
        <f>+AR66*S66</f>
        <v>53232.000000000007</v>
      </c>
      <c r="U66" s="50"/>
      <c r="V66" s="32"/>
      <c r="W66" s="50"/>
      <c r="X66" s="32"/>
      <c r="Y66" s="50"/>
      <c r="Z66" s="32"/>
      <c r="AA66" s="50"/>
      <c r="AB66" s="32"/>
      <c r="AC66" s="50"/>
      <c r="AD66" s="32"/>
      <c r="AE66" s="50">
        <v>15</v>
      </c>
      <c r="AF66" s="32">
        <f>+AE66*AR66</f>
        <v>15969.600000000002</v>
      </c>
      <c r="AG66" s="50"/>
      <c r="AH66" s="32"/>
      <c r="AI66" s="50"/>
      <c r="AJ66" s="32">
        <f>+AI66*AR66</f>
        <v>0</v>
      </c>
      <c r="AK66" s="50">
        <v>30</v>
      </c>
      <c r="AL66" s="32">
        <f>+AK66*AR66</f>
        <v>31939.200000000004</v>
      </c>
      <c r="AM66" s="50">
        <v>20</v>
      </c>
      <c r="AN66" s="32">
        <f>+AM66*AR66</f>
        <v>21292.800000000003</v>
      </c>
      <c r="AO66" s="50"/>
      <c r="AP66" s="32"/>
      <c r="AQ66" s="50">
        <f t="shared" si="10"/>
        <v>115</v>
      </c>
      <c r="AR66" s="86">
        <v>1064.6400000000001</v>
      </c>
      <c r="AS66" s="83">
        <f t="shared" si="7"/>
        <v>122433.60000000001</v>
      </c>
      <c r="AT66" s="22"/>
    </row>
    <row r="67" spans="1:46" ht="42.75" x14ac:dyDescent="0.2">
      <c r="A67" s="27">
        <v>61</v>
      </c>
      <c r="B67" s="25" t="s">
        <v>158</v>
      </c>
      <c r="C67" s="25" t="s">
        <v>13</v>
      </c>
      <c r="D67" s="28" t="s">
        <v>176</v>
      </c>
      <c r="E67" s="25" t="s">
        <v>159</v>
      </c>
      <c r="F67" s="42" t="s">
        <v>12</v>
      </c>
      <c r="G67" s="31"/>
      <c r="H67" s="31"/>
      <c r="I67" s="31"/>
      <c r="J67" s="31"/>
      <c r="K67" s="33"/>
      <c r="L67" s="43"/>
      <c r="M67" s="50"/>
      <c r="N67" s="23"/>
      <c r="O67" s="37"/>
      <c r="P67" s="32"/>
      <c r="Q67" s="50"/>
      <c r="R67" s="32"/>
      <c r="S67" s="60">
        <v>5</v>
      </c>
      <c r="T67" s="32">
        <f>+S67*AR67</f>
        <v>15000</v>
      </c>
      <c r="U67" s="50"/>
      <c r="V67" s="32"/>
      <c r="W67" s="50"/>
      <c r="X67" s="32"/>
      <c r="Y67" s="50"/>
      <c r="Z67" s="32"/>
      <c r="AA67" s="50"/>
      <c r="AB67" s="32"/>
      <c r="AC67" s="50"/>
      <c r="AD67" s="32"/>
      <c r="AE67" s="50"/>
      <c r="AF67" s="32"/>
      <c r="AG67" s="50"/>
      <c r="AH67" s="32"/>
      <c r="AI67" s="50"/>
      <c r="AJ67" s="32">
        <f t="shared" si="5"/>
        <v>0</v>
      </c>
      <c r="AK67" s="50"/>
      <c r="AL67" s="32">
        <f t="shared" ref="AL67:AL70" si="18">+AK67*AR67</f>
        <v>0</v>
      </c>
      <c r="AM67" s="50"/>
      <c r="AN67" s="32">
        <f t="shared" si="17"/>
        <v>0</v>
      </c>
      <c r="AO67" s="50"/>
      <c r="AP67" s="32"/>
      <c r="AQ67" s="50">
        <f t="shared" si="10"/>
        <v>5</v>
      </c>
      <c r="AR67" s="85">
        <v>3000</v>
      </c>
      <c r="AS67" s="83">
        <f t="shared" si="7"/>
        <v>15000</v>
      </c>
      <c r="AT67" s="83" t="s">
        <v>204</v>
      </c>
    </row>
    <row r="68" spans="1:46" ht="57" x14ac:dyDescent="0.2">
      <c r="A68" s="31">
        <v>62</v>
      </c>
      <c r="B68" s="25" t="s">
        <v>160</v>
      </c>
      <c r="C68" s="25" t="s">
        <v>13</v>
      </c>
      <c r="D68" s="28" t="s">
        <v>176</v>
      </c>
      <c r="E68" s="25" t="s">
        <v>161</v>
      </c>
      <c r="F68" s="42" t="s">
        <v>12</v>
      </c>
      <c r="G68" s="31"/>
      <c r="H68" s="31"/>
      <c r="I68" s="31"/>
      <c r="J68" s="31"/>
      <c r="K68" s="33"/>
      <c r="L68" s="43"/>
      <c r="M68" s="50"/>
      <c r="N68" s="32"/>
      <c r="O68" s="33"/>
      <c r="P68" s="32"/>
      <c r="Q68" s="50"/>
      <c r="R68" s="32"/>
      <c r="S68" s="61">
        <v>5</v>
      </c>
      <c r="T68" s="32">
        <f t="shared" ref="T68:T70" si="19">+S68*AR68</f>
        <v>29500</v>
      </c>
      <c r="U68" s="50"/>
      <c r="V68" s="32"/>
      <c r="W68" s="50"/>
      <c r="X68" s="32"/>
      <c r="Y68" s="50"/>
      <c r="Z68" s="32"/>
      <c r="AA68" s="50"/>
      <c r="AB68" s="32"/>
      <c r="AC68" s="50"/>
      <c r="AD68" s="32"/>
      <c r="AE68" s="50"/>
      <c r="AF68" s="32"/>
      <c r="AG68" s="50"/>
      <c r="AH68" s="32"/>
      <c r="AI68" s="50"/>
      <c r="AJ68" s="32">
        <f t="shared" ref="AJ68:AJ70" si="20">+AI68*AR68</f>
        <v>0</v>
      </c>
      <c r="AK68" s="50"/>
      <c r="AL68" s="32">
        <f t="shared" si="18"/>
        <v>0</v>
      </c>
      <c r="AM68" s="50"/>
      <c r="AN68" s="32">
        <f t="shared" si="17"/>
        <v>0</v>
      </c>
      <c r="AO68" s="50"/>
      <c r="AP68" s="32"/>
      <c r="AQ68" s="50">
        <f t="shared" si="10"/>
        <v>5</v>
      </c>
      <c r="AR68" s="84">
        <v>5900</v>
      </c>
      <c r="AS68" s="83">
        <f t="shared" si="7"/>
        <v>29500</v>
      </c>
      <c r="AT68" s="83" t="s">
        <v>205</v>
      </c>
    </row>
    <row r="69" spans="1:46" ht="28.5" x14ac:dyDescent="0.2">
      <c r="A69" s="27">
        <v>63</v>
      </c>
      <c r="B69" s="25" t="s">
        <v>162</v>
      </c>
      <c r="C69" s="25" t="s">
        <v>13</v>
      </c>
      <c r="D69" s="28" t="s">
        <v>176</v>
      </c>
      <c r="E69" s="25" t="s">
        <v>163</v>
      </c>
      <c r="F69" s="42" t="s">
        <v>12</v>
      </c>
      <c r="G69" s="31"/>
      <c r="H69" s="31"/>
      <c r="I69" s="31"/>
      <c r="J69" s="31"/>
      <c r="K69" s="33"/>
      <c r="L69" s="43"/>
      <c r="M69" s="50"/>
      <c r="N69" s="32"/>
      <c r="O69" s="33"/>
      <c r="P69" s="32"/>
      <c r="Q69" s="50"/>
      <c r="R69" s="32"/>
      <c r="S69" s="61">
        <v>10</v>
      </c>
      <c r="T69" s="32">
        <f t="shared" si="19"/>
        <v>85000</v>
      </c>
      <c r="U69" s="50"/>
      <c r="V69" s="32"/>
      <c r="W69" s="50"/>
      <c r="X69" s="32"/>
      <c r="Y69" s="50"/>
      <c r="Z69" s="32"/>
      <c r="AA69" s="50">
        <v>5</v>
      </c>
      <c r="AB69" s="32">
        <f>+AR69*AA69</f>
        <v>42500</v>
      </c>
      <c r="AC69" s="50"/>
      <c r="AD69" s="32"/>
      <c r="AE69" s="50"/>
      <c r="AF69" s="32"/>
      <c r="AG69" s="50"/>
      <c r="AH69" s="32"/>
      <c r="AI69" s="50"/>
      <c r="AJ69" s="32">
        <f t="shared" si="20"/>
        <v>0</v>
      </c>
      <c r="AK69" s="50"/>
      <c r="AL69" s="32">
        <f t="shared" si="18"/>
        <v>0</v>
      </c>
      <c r="AM69" s="50"/>
      <c r="AN69" s="32">
        <f t="shared" si="17"/>
        <v>0</v>
      </c>
      <c r="AO69" s="50"/>
      <c r="AP69" s="32"/>
      <c r="AQ69" s="50">
        <f t="shared" si="10"/>
        <v>15</v>
      </c>
      <c r="AR69" s="84">
        <v>8500</v>
      </c>
      <c r="AS69" s="83">
        <f t="shared" si="7"/>
        <v>127500</v>
      </c>
      <c r="AT69" s="83" t="s">
        <v>206</v>
      </c>
    </row>
    <row r="70" spans="1:46" ht="42.75" x14ac:dyDescent="0.2">
      <c r="A70" s="27">
        <v>64</v>
      </c>
      <c r="B70" s="25" t="s">
        <v>164</v>
      </c>
      <c r="C70" s="25" t="s">
        <v>13</v>
      </c>
      <c r="D70" s="28" t="s">
        <v>176</v>
      </c>
      <c r="E70" s="25" t="s">
        <v>165</v>
      </c>
      <c r="F70" s="42" t="s">
        <v>12</v>
      </c>
      <c r="G70" s="31"/>
      <c r="H70" s="38"/>
      <c r="I70" s="38"/>
      <c r="J70" s="38"/>
      <c r="K70" s="33"/>
      <c r="L70" s="43"/>
      <c r="M70" s="50"/>
      <c r="N70" s="32"/>
      <c r="O70" s="33"/>
      <c r="P70" s="32"/>
      <c r="Q70" s="50"/>
      <c r="R70" s="32"/>
      <c r="S70" s="61">
        <v>5</v>
      </c>
      <c r="T70" s="32">
        <f t="shared" si="19"/>
        <v>4250</v>
      </c>
      <c r="U70" s="50"/>
      <c r="V70" s="32"/>
      <c r="W70" s="50"/>
      <c r="X70" s="32"/>
      <c r="Y70" s="50"/>
      <c r="Z70" s="32"/>
      <c r="AA70" s="50"/>
      <c r="AB70" s="32"/>
      <c r="AC70" s="50"/>
      <c r="AD70" s="32"/>
      <c r="AE70" s="50"/>
      <c r="AF70" s="32"/>
      <c r="AG70" s="50"/>
      <c r="AH70" s="32"/>
      <c r="AI70" s="50"/>
      <c r="AJ70" s="32">
        <f t="shared" si="20"/>
        <v>0</v>
      </c>
      <c r="AK70" s="50"/>
      <c r="AL70" s="32">
        <f t="shared" si="18"/>
        <v>0</v>
      </c>
      <c r="AM70" s="50"/>
      <c r="AN70" s="32">
        <f t="shared" si="17"/>
        <v>0</v>
      </c>
      <c r="AO70" s="50"/>
      <c r="AP70" s="32"/>
      <c r="AQ70" s="50">
        <f t="shared" si="10"/>
        <v>5</v>
      </c>
      <c r="AR70" s="84">
        <v>850</v>
      </c>
      <c r="AS70" s="83">
        <f t="shared" ref="AS70:AS73" si="21">+AQ70*AR70</f>
        <v>4250</v>
      </c>
      <c r="AT70" s="83" t="s">
        <v>207</v>
      </c>
    </row>
    <row r="71" spans="1:46" ht="28.5" x14ac:dyDescent="0.2">
      <c r="A71" s="31">
        <v>65</v>
      </c>
      <c r="B71" s="34" t="s">
        <v>139</v>
      </c>
      <c r="C71" s="34" t="s">
        <v>13</v>
      </c>
      <c r="D71" s="28" t="s">
        <v>176</v>
      </c>
      <c r="E71" s="34" t="s">
        <v>136</v>
      </c>
      <c r="F71" s="34" t="s">
        <v>12</v>
      </c>
      <c r="G71" s="31"/>
      <c r="H71" s="31"/>
      <c r="I71" s="31"/>
      <c r="J71" s="31"/>
      <c r="K71" s="33"/>
      <c r="L71" s="43"/>
      <c r="M71" s="51">
        <v>2</v>
      </c>
      <c r="N71" s="32">
        <f>+M71*AR71</f>
        <v>4000</v>
      </c>
      <c r="O71" s="33"/>
      <c r="P71" s="32">
        <f>+O71*AR71</f>
        <v>0</v>
      </c>
      <c r="Q71" s="50"/>
      <c r="R71" s="32">
        <f>+Q71*AR71</f>
        <v>0</v>
      </c>
      <c r="S71" s="33"/>
      <c r="T71" s="32"/>
      <c r="U71" s="50"/>
      <c r="V71" s="32"/>
      <c r="W71" s="50"/>
      <c r="X71" s="32"/>
      <c r="Y71" s="50"/>
      <c r="Z71" s="32"/>
      <c r="AA71" s="50"/>
      <c r="AB71" s="32"/>
      <c r="AC71" s="50"/>
      <c r="AD71" s="32"/>
      <c r="AE71" s="50"/>
      <c r="AF71" s="32"/>
      <c r="AG71" s="50"/>
      <c r="AH71" s="32"/>
      <c r="AI71" s="50"/>
      <c r="AJ71" s="32">
        <f>+AI71*AR71</f>
        <v>0</v>
      </c>
      <c r="AK71" s="50"/>
      <c r="AL71" s="32">
        <f>+AK71*AR71</f>
        <v>0</v>
      </c>
      <c r="AM71" s="50"/>
      <c r="AN71" s="32">
        <f>+AM71*AR71</f>
        <v>0</v>
      </c>
      <c r="AO71" s="50"/>
      <c r="AP71" s="32"/>
      <c r="AQ71" s="50">
        <f t="shared" si="10"/>
        <v>2</v>
      </c>
      <c r="AR71" s="84">
        <v>2000</v>
      </c>
      <c r="AS71" s="83">
        <f t="shared" si="21"/>
        <v>4000</v>
      </c>
      <c r="AT71" s="83" t="s">
        <v>208</v>
      </c>
    </row>
    <row r="72" spans="1:46" ht="28.5" x14ac:dyDescent="0.2">
      <c r="A72" s="27">
        <v>66</v>
      </c>
      <c r="B72" s="34" t="s">
        <v>140</v>
      </c>
      <c r="C72" s="34" t="s">
        <v>13</v>
      </c>
      <c r="D72" s="28" t="s">
        <v>176</v>
      </c>
      <c r="E72" s="34" t="s">
        <v>135</v>
      </c>
      <c r="F72" s="34" t="s">
        <v>12</v>
      </c>
      <c r="G72" s="31"/>
      <c r="H72" s="31"/>
      <c r="I72" s="31"/>
      <c r="J72" s="31"/>
      <c r="K72" s="33"/>
      <c r="L72" s="43"/>
      <c r="M72" s="51">
        <v>1</v>
      </c>
      <c r="N72" s="32">
        <f>+M72*AR72</f>
        <v>2000</v>
      </c>
      <c r="O72" s="33"/>
      <c r="P72" s="32">
        <f>+O72*AR72</f>
        <v>0</v>
      </c>
      <c r="Q72" s="50"/>
      <c r="R72" s="32">
        <f>+Q72*AR72</f>
        <v>0</v>
      </c>
      <c r="S72" s="33"/>
      <c r="T72" s="32"/>
      <c r="U72" s="50"/>
      <c r="V72" s="32"/>
      <c r="W72" s="50"/>
      <c r="X72" s="32"/>
      <c r="Y72" s="50"/>
      <c r="Z72" s="32"/>
      <c r="AA72" s="50"/>
      <c r="AB72" s="32"/>
      <c r="AC72" s="50"/>
      <c r="AD72" s="32"/>
      <c r="AE72" s="50"/>
      <c r="AF72" s="32"/>
      <c r="AG72" s="50"/>
      <c r="AH72" s="32"/>
      <c r="AI72" s="50"/>
      <c r="AJ72" s="32">
        <f>+AI72*AR72</f>
        <v>0</v>
      </c>
      <c r="AK72" s="50"/>
      <c r="AL72" s="32">
        <f>+AK72*AR72</f>
        <v>0</v>
      </c>
      <c r="AM72" s="50"/>
      <c r="AN72" s="32">
        <f>+AM72*AR72</f>
        <v>0</v>
      </c>
      <c r="AO72" s="50"/>
      <c r="AP72" s="32"/>
      <c r="AQ72" s="50">
        <f t="shared" si="10"/>
        <v>1</v>
      </c>
      <c r="AR72" s="84">
        <v>2000</v>
      </c>
      <c r="AS72" s="83">
        <f t="shared" si="21"/>
        <v>2000</v>
      </c>
      <c r="AT72" s="83" t="s">
        <v>209</v>
      </c>
    </row>
    <row r="73" spans="1:46" ht="28.5" x14ac:dyDescent="0.2">
      <c r="A73" s="27">
        <v>67</v>
      </c>
      <c r="B73" s="67" t="s">
        <v>141</v>
      </c>
      <c r="C73" s="34" t="s">
        <v>13</v>
      </c>
      <c r="D73" s="28" t="s">
        <v>176</v>
      </c>
      <c r="E73" s="91" t="s">
        <v>134</v>
      </c>
      <c r="F73" s="34" t="s">
        <v>12</v>
      </c>
      <c r="G73" s="31"/>
      <c r="H73" s="31"/>
      <c r="I73" s="31"/>
      <c r="J73" s="31"/>
      <c r="K73" s="33"/>
      <c r="L73" s="43"/>
      <c r="M73" s="51">
        <v>2</v>
      </c>
      <c r="N73" s="32">
        <f>+M73*AR73</f>
        <v>6000</v>
      </c>
      <c r="O73" s="33"/>
      <c r="P73" s="32">
        <f>+O73*AR73</f>
        <v>0</v>
      </c>
      <c r="Q73" s="50"/>
      <c r="R73" s="32">
        <f>+Q73*AR73</f>
        <v>0</v>
      </c>
      <c r="S73" s="33"/>
      <c r="T73" s="32"/>
      <c r="U73" s="50"/>
      <c r="V73" s="32"/>
      <c r="W73" s="50"/>
      <c r="X73" s="32"/>
      <c r="Y73" s="50"/>
      <c r="Z73" s="32"/>
      <c r="AA73" s="50"/>
      <c r="AB73" s="32"/>
      <c r="AC73" s="50"/>
      <c r="AD73" s="32"/>
      <c r="AE73" s="50"/>
      <c r="AF73" s="32"/>
      <c r="AG73" s="50"/>
      <c r="AH73" s="32"/>
      <c r="AI73" s="50"/>
      <c r="AJ73" s="32">
        <f>+AI73*AR73</f>
        <v>0</v>
      </c>
      <c r="AK73" s="50"/>
      <c r="AL73" s="32">
        <f>+AK73*AR73</f>
        <v>0</v>
      </c>
      <c r="AM73" s="50"/>
      <c r="AN73" s="32">
        <f>+AM73*AR73</f>
        <v>0</v>
      </c>
      <c r="AO73" s="50"/>
      <c r="AP73" s="32"/>
      <c r="AQ73" s="50">
        <f t="shared" si="10"/>
        <v>2</v>
      </c>
      <c r="AR73" s="84">
        <v>3000</v>
      </c>
      <c r="AS73" s="83">
        <f t="shared" si="21"/>
        <v>6000</v>
      </c>
      <c r="AT73" s="114" t="s">
        <v>210</v>
      </c>
    </row>
    <row r="74" spans="1:46" s="108" customFormat="1" ht="30" x14ac:dyDescent="0.2">
      <c r="A74" s="101"/>
      <c r="B74" s="102"/>
      <c r="C74" s="103"/>
      <c r="D74" s="102"/>
      <c r="E74" s="69" t="s">
        <v>81</v>
      </c>
      <c r="F74" s="64"/>
      <c r="G74" s="56"/>
      <c r="H74" s="104">
        <f>SUM(H10:H73)</f>
        <v>165249.9</v>
      </c>
      <c r="I74" s="104"/>
      <c r="J74" s="104"/>
      <c r="K74" s="65"/>
      <c r="L74" s="104">
        <f>SUM(L10:L73)</f>
        <v>143243.5</v>
      </c>
      <c r="M74" s="66"/>
      <c r="N74" s="104">
        <f>SUM(N10:N73)</f>
        <v>354367.92</v>
      </c>
      <c r="O74" s="65"/>
      <c r="P74" s="104">
        <f>SUM(P10:P73)</f>
        <v>0</v>
      </c>
      <c r="Q74" s="66"/>
      <c r="R74" s="104">
        <f>SUM(R10:R73)</f>
        <v>146930</v>
      </c>
      <c r="S74" s="65"/>
      <c r="T74" s="104">
        <f>SUM(T10:T73)</f>
        <v>216482</v>
      </c>
      <c r="U74" s="66"/>
      <c r="V74" s="104">
        <f>SUM(V10:V73)</f>
        <v>126513.99999999999</v>
      </c>
      <c r="W74" s="66"/>
      <c r="X74" s="104">
        <f>SUM(X10:X73)</f>
        <v>36708.699999999997</v>
      </c>
      <c r="Y74" s="66"/>
      <c r="Z74" s="104">
        <f>SUM(Z10:Z73)</f>
        <v>189374.9</v>
      </c>
      <c r="AA74" s="66"/>
      <c r="AB74" s="104">
        <f>SUM(AB10:AB73)</f>
        <v>167065.09999999998</v>
      </c>
      <c r="AC74" s="66"/>
      <c r="AD74" s="104">
        <f>SUM(AD10:AD73)</f>
        <v>252394</v>
      </c>
      <c r="AE74" s="66"/>
      <c r="AF74" s="104">
        <f>SUM(AF10:AF73)</f>
        <v>40110.300000000003</v>
      </c>
      <c r="AG74" s="66"/>
      <c r="AH74" s="104">
        <f>SUM(AH10:AH73)</f>
        <v>39184.1</v>
      </c>
      <c r="AI74" s="66"/>
      <c r="AJ74" s="104">
        <f>SUM(AJ10:AJ73)</f>
        <v>237342.8</v>
      </c>
      <c r="AK74" s="66"/>
      <c r="AL74" s="104">
        <f>SUM(AL10:AL73)</f>
        <v>753110.7</v>
      </c>
      <c r="AM74" s="66"/>
      <c r="AN74" s="104">
        <f>SUM(AN10:AN73)</f>
        <v>373511.2</v>
      </c>
      <c r="AO74" s="66"/>
      <c r="AP74" s="105"/>
      <c r="AQ74" s="66"/>
      <c r="AR74" s="106"/>
      <c r="AS74" s="96">
        <f>SUM(AS10:AS73)</f>
        <v>3241589.1199999996</v>
      </c>
      <c r="AT74" s="107"/>
    </row>
    <row r="76" spans="1:46" ht="30" x14ac:dyDescent="0.25">
      <c r="B76" s="87" t="s">
        <v>195</v>
      </c>
      <c r="H76" s="110"/>
    </row>
    <row r="77" spans="1:46" x14ac:dyDescent="0.25">
      <c r="H77" s="110"/>
    </row>
    <row r="78" spans="1:46" x14ac:dyDescent="0.25">
      <c r="B78" s="87" t="s">
        <v>196</v>
      </c>
      <c r="C78" s="88" t="s">
        <v>197</v>
      </c>
      <c r="H78" s="110"/>
    </row>
    <row r="79" spans="1:46" x14ac:dyDescent="0.25">
      <c r="H79" s="110"/>
    </row>
    <row r="80" spans="1:46" ht="30" x14ac:dyDescent="0.25">
      <c r="B80" s="87" t="s">
        <v>198</v>
      </c>
      <c r="C80" s="137" t="s">
        <v>199</v>
      </c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  <c r="Z80" s="137"/>
      <c r="AA80" s="137"/>
      <c r="AB80" s="137"/>
      <c r="AC80" s="137"/>
      <c r="AD80" s="137"/>
      <c r="AE80" s="137"/>
    </row>
    <row r="81" spans="2:31" x14ac:dyDescent="0.25"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  <c r="Z81" s="137"/>
      <c r="AA81" s="137"/>
      <c r="AB81" s="137"/>
      <c r="AC81" s="137"/>
      <c r="AD81" s="137"/>
      <c r="AE81" s="137"/>
    </row>
    <row r="82" spans="2:31" x14ac:dyDescent="0.25"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  <c r="Z82" s="137"/>
      <c r="AA82" s="137"/>
      <c r="AB82" s="137"/>
      <c r="AC82" s="137"/>
      <c r="AD82" s="137"/>
      <c r="AE82" s="137"/>
    </row>
    <row r="83" spans="2:31" x14ac:dyDescent="0.25"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  <c r="Z83" s="137"/>
      <c r="AA83" s="137"/>
      <c r="AB83" s="137"/>
      <c r="AC83" s="137"/>
      <c r="AD83" s="137"/>
      <c r="AE83" s="137"/>
    </row>
    <row r="84" spans="2:31" ht="30" x14ac:dyDescent="0.25">
      <c r="B84" s="87" t="s">
        <v>200</v>
      </c>
      <c r="H84" s="110"/>
    </row>
    <row r="85" spans="2:31" x14ac:dyDescent="0.25">
      <c r="H85" s="110"/>
    </row>
    <row r="86" spans="2:31" x14ac:dyDescent="0.25">
      <c r="B86" s="87" t="s">
        <v>201</v>
      </c>
      <c r="C86" s="137" t="s">
        <v>202</v>
      </c>
      <c r="D86" s="137"/>
      <c r="E86" s="137"/>
      <c r="H86" s="110"/>
    </row>
  </sheetData>
  <mergeCells count="35">
    <mergeCell ref="C7:E7"/>
    <mergeCell ref="C80:AE80"/>
    <mergeCell ref="C81:AE81"/>
    <mergeCell ref="C82:AE82"/>
    <mergeCell ref="C83:AE83"/>
    <mergeCell ref="C86:E86"/>
    <mergeCell ref="AU15:AY15"/>
    <mergeCell ref="AU16:AY16"/>
    <mergeCell ref="AU47:AY47"/>
    <mergeCell ref="AU42:AY42"/>
    <mergeCell ref="AU49:AY49"/>
    <mergeCell ref="AU39:AY39"/>
    <mergeCell ref="AU51:AY51"/>
    <mergeCell ref="A6:B6"/>
    <mergeCell ref="B2:AR2"/>
    <mergeCell ref="A4:B4"/>
    <mergeCell ref="C4:E4"/>
    <mergeCell ref="A5:B5"/>
    <mergeCell ref="C5:E5"/>
    <mergeCell ref="A7:B7"/>
    <mergeCell ref="AU48:AY48"/>
    <mergeCell ref="AU50:AY50"/>
    <mergeCell ref="AU29:AY29"/>
    <mergeCell ref="AU30:AY30"/>
    <mergeCell ref="AU31:AY31"/>
    <mergeCell ref="AU32:AY32"/>
    <mergeCell ref="AU33:AY33"/>
    <mergeCell ref="AU36:AY36"/>
    <mergeCell ref="AU43:AY43"/>
    <mergeCell ref="AU44:AY44"/>
    <mergeCell ref="AU45:AY45"/>
    <mergeCell ref="AU46:AY46"/>
    <mergeCell ref="AU13:AY13"/>
    <mergeCell ref="AU40:AY40"/>
    <mergeCell ref="AU41:AY41"/>
  </mergeCells>
  <conditionalFormatting sqref="E28 B28">
    <cfRule type="duplicateValues" dxfId="57" priority="437"/>
  </conditionalFormatting>
  <conditionalFormatting sqref="B28">
    <cfRule type="duplicateValues" dxfId="56" priority="438"/>
  </conditionalFormatting>
  <conditionalFormatting sqref="B29:B30 E29:E30">
    <cfRule type="duplicateValues" dxfId="55" priority="434"/>
  </conditionalFormatting>
  <conditionalFormatting sqref="B29:B30">
    <cfRule type="duplicateValues" dxfId="54" priority="435"/>
  </conditionalFormatting>
  <conditionalFormatting sqref="B33:B38 E33:E38">
    <cfRule type="duplicateValues" dxfId="53" priority="428"/>
  </conditionalFormatting>
  <conditionalFormatting sqref="B33:B38">
    <cfRule type="duplicateValues" dxfId="52" priority="429"/>
  </conditionalFormatting>
  <conditionalFormatting sqref="B40:B41 E40:E41">
    <cfRule type="duplicateValues" dxfId="51" priority="422"/>
  </conditionalFormatting>
  <conditionalFormatting sqref="B40:B41">
    <cfRule type="duplicateValues" dxfId="50" priority="423"/>
  </conditionalFormatting>
  <conditionalFormatting sqref="B42:B43 E42:E43">
    <cfRule type="duplicateValues" dxfId="49" priority="419"/>
  </conditionalFormatting>
  <conditionalFormatting sqref="B42:B43">
    <cfRule type="duplicateValues" dxfId="48" priority="420"/>
  </conditionalFormatting>
  <conditionalFormatting sqref="B44:B45 E44:E45">
    <cfRule type="duplicateValues" dxfId="47" priority="416"/>
  </conditionalFormatting>
  <conditionalFormatting sqref="B44:B45">
    <cfRule type="duplicateValues" dxfId="46" priority="417"/>
  </conditionalFormatting>
  <conditionalFormatting sqref="B46 B15 E46 E15">
    <cfRule type="duplicateValues" dxfId="45" priority="413"/>
  </conditionalFormatting>
  <conditionalFormatting sqref="B46 B15">
    <cfRule type="duplicateValues" dxfId="44" priority="414"/>
  </conditionalFormatting>
  <conditionalFormatting sqref="B48 E48 E50 B50">
    <cfRule type="duplicateValues" dxfId="43" priority="407"/>
  </conditionalFormatting>
  <conditionalFormatting sqref="B48 B50">
    <cfRule type="duplicateValues" dxfId="42" priority="408"/>
  </conditionalFormatting>
  <conditionalFormatting sqref="B51:B52 E51:E52">
    <cfRule type="duplicateValues" dxfId="41" priority="404"/>
  </conditionalFormatting>
  <conditionalFormatting sqref="B51:B52">
    <cfRule type="duplicateValues" dxfId="40" priority="405"/>
  </conditionalFormatting>
  <conditionalFormatting sqref="B53:B54 E53:E54">
    <cfRule type="duplicateValues" dxfId="39" priority="398"/>
  </conditionalFormatting>
  <conditionalFormatting sqref="B53:B54 E53:E54">
    <cfRule type="duplicateValues" dxfId="38" priority="399"/>
  </conditionalFormatting>
  <conditionalFormatting sqref="B53:B54">
    <cfRule type="duplicateValues" dxfId="37" priority="400"/>
  </conditionalFormatting>
  <conditionalFormatting sqref="B47 E47 E16:E21 B16:B21">
    <cfRule type="duplicateValues" dxfId="36" priority="1949"/>
  </conditionalFormatting>
  <conditionalFormatting sqref="B47 B16:B21">
    <cfRule type="duplicateValues" dxfId="35" priority="1955"/>
  </conditionalFormatting>
  <conditionalFormatting sqref="B31:B32 E31:E32">
    <cfRule type="duplicateValues" dxfId="34" priority="2528"/>
  </conditionalFormatting>
  <conditionalFormatting sqref="B31:B32">
    <cfRule type="duplicateValues" dxfId="33" priority="2534"/>
  </conditionalFormatting>
  <conditionalFormatting sqref="B66">
    <cfRule type="duplicateValues" dxfId="32" priority="238"/>
  </conditionalFormatting>
  <conditionalFormatting sqref="B66">
    <cfRule type="duplicateValues" dxfId="31" priority="237"/>
  </conditionalFormatting>
  <conditionalFormatting sqref="E66">
    <cfRule type="duplicateValues" dxfId="30" priority="239"/>
  </conditionalFormatting>
  <conditionalFormatting sqref="E66">
    <cfRule type="duplicateValues" dxfId="29" priority="240"/>
  </conditionalFormatting>
  <conditionalFormatting sqref="B66 E66">
    <cfRule type="duplicateValues" dxfId="28" priority="241"/>
  </conditionalFormatting>
  <conditionalFormatting sqref="E66">
    <cfRule type="duplicateValues" dxfId="27" priority="235"/>
    <cfRule type="duplicateValues" dxfId="26" priority="236"/>
  </conditionalFormatting>
  <conditionalFormatting sqref="B66">
    <cfRule type="duplicateValues" dxfId="25" priority="244"/>
  </conditionalFormatting>
  <conditionalFormatting sqref="B49 E49">
    <cfRule type="duplicateValues" dxfId="24" priority="110"/>
  </conditionalFormatting>
  <conditionalFormatting sqref="B49">
    <cfRule type="duplicateValues" dxfId="23" priority="111"/>
  </conditionalFormatting>
  <conditionalFormatting sqref="E49">
    <cfRule type="duplicateValues" dxfId="22" priority="116"/>
    <cfRule type="duplicateValues" dxfId="21" priority="117"/>
  </conditionalFormatting>
  <conditionalFormatting sqref="B87:B1048576 B28:B75 B1:B24">
    <cfRule type="duplicateValues" dxfId="20" priority="9"/>
  </conditionalFormatting>
  <conditionalFormatting sqref="E87:E1048576 E28:E75 E1:E6 E8:E24">
    <cfRule type="duplicateValues" dxfId="19" priority="8"/>
  </conditionalFormatting>
  <conditionalFormatting sqref="E67:E73 B55:B65 E55:E65 B67:B73">
    <cfRule type="duplicateValues" dxfId="18" priority="6938"/>
  </conditionalFormatting>
  <conditionalFormatting sqref="E67:E73 B55:B65 E55:E65 B67:B73">
    <cfRule type="duplicateValues" dxfId="17" priority="6980"/>
  </conditionalFormatting>
  <conditionalFormatting sqref="B67:B73 B55:B65">
    <cfRule type="duplicateValues" dxfId="16" priority="6990"/>
  </conditionalFormatting>
  <conditionalFormatting sqref="B74:B75 B22:B24 B1:B12 E1:E6 E74:E75 E22:E24 E87:E1048576 B87:B1048576 E8:E12">
    <cfRule type="duplicateValues" dxfId="15" priority="8274"/>
  </conditionalFormatting>
  <conditionalFormatting sqref="B74:B75 B87:B1048576">
    <cfRule type="duplicateValues" dxfId="14" priority="8293"/>
  </conditionalFormatting>
  <conditionalFormatting sqref="B22:B24 B1:B12 E1:E6 B74:B75 E74:E75 E22:E24 E87:E1048576 B87:B1048576 E8:E12">
    <cfRule type="duplicateValues" dxfId="13" priority="8312"/>
  </conditionalFormatting>
  <conditionalFormatting sqref="E67:E75 E50:E65 E28:E48 E1:E6 E87:E1048576 E8:E24">
    <cfRule type="duplicateValues" dxfId="12" priority="8331"/>
    <cfRule type="duplicateValues" dxfId="11" priority="8332"/>
  </conditionalFormatting>
  <conditionalFormatting sqref="B39 E39">
    <cfRule type="duplicateValues" dxfId="10" priority="8333"/>
  </conditionalFormatting>
  <conditionalFormatting sqref="B39">
    <cfRule type="duplicateValues" dxfId="9" priority="8335"/>
  </conditionalFormatting>
  <conditionalFormatting sqref="E76:E79 E84:E85">
    <cfRule type="duplicateValues" dxfId="8" priority="1"/>
  </conditionalFormatting>
  <conditionalFormatting sqref="E76:E79 B76:B86 E84:E85">
    <cfRule type="duplicateValues" dxfId="7" priority="2"/>
  </conditionalFormatting>
  <conditionalFormatting sqref="E76:E79">
    <cfRule type="duplicateValues" dxfId="6" priority="3"/>
  </conditionalFormatting>
  <conditionalFormatting sqref="E76:E79 E84:E85">
    <cfRule type="duplicateValues" dxfId="5" priority="4"/>
    <cfRule type="duplicateValues" dxfId="4" priority="5"/>
  </conditionalFormatting>
  <conditionalFormatting sqref="B76:B86">
    <cfRule type="duplicateValues" dxfId="3" priority="6"/>
  </conditionalFormatting>
  <conditionalFormatting sqref="B76:B86">
    <cfRule type="duplicateValues" dxfId="2" priority="7"/>
  </conditionalFormatting>
  <conditionalFormatting sqref="B13:B14">
    <cfRule type="duplicateValues" dxfId="1" priority="8345"/>
  </conditionalFormatting>
  <conditionalFormatting sqref="B13:B14 E13:E14">
    <cfRule type="duplicateValues" dxfId="0" priority="8347"/>
  </conditionalFormatting>
  <pageMargins left="0.70866141732283472" right="0.70866141732283472" top="0.74803149606299213" bottom="0.74803149606299213" header="0.51181102362204722" footer="0.51181102362204722"/>
  <pageSetup paperSize="5" scale="85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revision>2</cp:revision>
  <cp:lastPrinted>2021-02-22T15:06:37Z</cp:lastPrinted>
  <dcterms:created xsi:type="dcterms:W3CDTF">2020-07-17T23:44:49Z</dcterms:created>
  <dcterms:modified xsi:type="dcterms:W3CDTF">2021-08-11T13:25:55Z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