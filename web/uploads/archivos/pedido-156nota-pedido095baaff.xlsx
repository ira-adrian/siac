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58930EDE-88F1-44E0-8B5D-EC43847F4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7" i="2" l="1"/>
  <c r="I43" i="2" l="1"/>
  <c r="I42" i="2"/>
  <c r="I41" i="2" l="1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45" i="2" l="1"/>
</calcChain>
</file>

<file path=xl/sharedStrings.xml><?xml version="1.0" encoding="utf-8"?>
<sst xmlns="http://schemas.openxmlformats.org/spreadsheetml/2006/main" count="276" uniqueCount="128">
  <si>
    <t>2.9.1-6951.31</t>
  </si>
  <si>
    <t>ELEMENTOS DE LIMPIEZA</t>
  </si>
  <si>
    <t>LIMPIADORES; TIPO: LAVANDINA, PRESENTACION: ENVASE X 10 L</t>
  </si>
  <si>
    <t>UNIDAD</t>
  </si>
  <si>
    <t>2.9.1-6951.214</t>
  </si>
  <si>
    <t>LIMPIADORES; TIPO: DETERGENTE NEUTRO, PRESENTACION: ENVASE X 5 L</t>
  </si>
  <si>
    <t>2.9.1-6951.157</t>
  </si>
  <si>
    <t>LIMPIADORES; TIPO: DESODORANTE LIQUIDO , PRESENTACION: BIDON X 5 L</t>
  </si>
  <si>
    <t>2.9.1-6951.281</t>
  </si>
  <si>
    <t>LIMPIADORES; TIPO: QUITASARRO, PRESENTACION: ENVASE X 1 L, BIODEGRADABLE: SI</t>
  </si>
  <si>
    <t>2.9.1-6951.116</t>
  </si>
  <si>
    <t>LIMPIADORES; TIPO: LIMPIAVIDRIOS, PRESENTACION: ENVASE X 5 L</t>
  </si>
  <si>
    <t>2.9.1-6952.91</t>
  </si>
  <si>
    <t>CEPILLOS; TIPO: ESCOBA, MATERIAL: PVC</t>
  </si>
  <si>
    <t>2.9.6-8963.6</t>
  </si>
  <si>
    <t>R. Y A. P/EQ. Y ELEM. LIMPIEZA; ELEMENTO: PALO DE ESCOBA, MARCA EQUIPO: UNIVERSAL, MODELO EQUIPO: UNIVERSAL</t>
  </si>
  <si>
    <t>2.9.1-2425.2</t>
  </si>
  <si>
    <t>LAMPAZOS; MATERIAL: HILO, MANGO: MADERA</t>
  </si>
  <si>
    <t>2.9.1-564.10</t>
  </si>
  <si>
    <t>BALDES DE PLASTICO; CAPACIDAD: 20 L, COLOR: AZUL</t>
  </si>
  <si>
    <t>2.9.1-6950.30</t>
  </si>
  <si>
    <t>LUSTRADORES; TIPO: LUSTRAMUEBLES, PRESENTACION: AEROSOL X 360 CM3</t>
  </si>
  <si>
    <t>2.9.1-761.1</t>
  </si>
  <si>
    <t>GUANTES P/LIMPIEZA; TAMAÑO: GRANDE, MATERIAL: LATEX</t>
  </si>
  <si>
    <t>2.9.1-6952.29</t>
  </si>
  <si>
    <t>CEPILLOS; TIPO: ESCOBILLA LIMPIA INODORO, MATERIAL: PLASTICO</t>
  </si>
  <si>
    <t>2.9.1-1156.1</t>
  </si>
  <si>
    <t>PLUMEROS; PLUMA: SINTETICA, CLASE: SUAVE, MATERIAL MANGO: MADERA, LARGO MANGO: 60 Cm, Nº VUELTAS PENACHO: 6, TIPO: SUAVE</t>
  </si>
  <si>
    <t>2.9.1-1081.1</t>
  </si>
  <si>
    <t>VIRUTAS; PRESENTACION: ROLLITO, CONTENIDO: 10 UNIDADES, MATERIAL: ACERO</t>
  </si>
  <si>
    <t>2.9.1-2661.40</t>
  </si>
  <si>
    <t>TACHOS DE RESIDUOS; MATERIAL: POLIETILENO, SECCION: RECTANGULAR, DIMENSION: 120 L, TAPA: CON</t>
  </si>
  <si>
    <t>2.9.1-2661.28</t>
  </si>
  <si>
    <t>TACHOS DE RESIDUOS; MATERIAL: PLASTICO, SECCION: RECTANGULAR, DIMENSION: 70 L, TAPA: VAIVEN</t>
  </si>
  <si>
    <t>2.9.1-646.76</t>
  </si>
  <si>
    <t>BOLSAS DE RESIDUOS; DIMENSION: 60 X 40 Cm, PRESENTACION: ENVASE X 10 UN, ESPESOR: 30 Mn</t>
  </si>
  <si>
    <t>2.9.1-646.52</t>
  </si>
  <si>
    <t>BOLSAS DE RESIDUOS; DIMENSION: 60 X 90 Cm, PRESENTACION: PAQUETE X 50 UN, ESPESOR: 25 Mn, COLOR: NEGRO</t>
  </si>
  <si>
    <t>2.9.1-646.75</t>
  </si>
  <si>
    <t>BOLSAS DE RESIDUOS; DIMENSION: 90 X 120 Cm, PRESENTACION: ENVASE X 10 UN, ESPESOR: 80 µm</t>
  </si>
  <si>
    <t>2.9.1-678.5</t>
  </si>
  <si>
    <t>TRAPOS REJILLA; DIMENSION: 50 X 60 Cm, COLOR: BLANCO, MATERIAL: PURO ALGODÓN</t>
  </si>
  <si>
    <t>2.9.1-6961.15</t>
  </si>
  <si>
    <t>ELEM. P/LIMPIEZA SANITARIOS; TIPO: REJILLA DESODORANTE, PRESENTACION: UNIDAD</t>
  </si>
  <si>
    <t>2.9.1-4784.4</t>
  </si>
  <si>
    <t>LIMPIADORES MULTIUSO; TIPO: P/LAMPAZO, PRESENTACION: ENVASE X 1 L</t>
  </si>
  <si>
    <t>2.9.1-713.14</t>
  </si>
  <si>
    <t>TRAPOS DE PISO; DIMENSION: 80 X 80 Cm</t>
  </si>
  <si>
    <t>2.9.1-1164.1</t>
  </si>
  <si>
    <t>ESPONJAS; MATERIAL: POLIURETANO POLIETER, USO: P/COCINA, ADITAMENTO: FIBRA POLIESTER SUAVE, FORMA: PRISMATICA, LARGO X ANCHO X ESP: 10 X 6 X 3,5 Cm, COLOR: AMARILLO</t>
  </si>
  <si>
    <t>MATERIAL PVC /SIN CABO- ANCHO 30 CM- COLOR INDISTINTO</t>
  </si>
  <si>
    <t>2.9.1-714.5</t>
  </si>
  <si>
    <t>FRANELAS; DIMENSION: 40 X 50 Cm</t>
  </si>
  <si>
    <t>2.9.1-544.64</t>
  </si>
  <si>
    <t>DESODORANTES DE AMBIENTE; FORMATO: AEROSOL, FRAGANCIA: CAMPOS DE JAZMIN, PRESENTACION: ENVASE X 360 CM3, LIBRE DE CFC: SI</t>
  </si>
  <si>
    <t>2.9.1-544.65</t>
  </si>
  <si>
    <t>DESODORANTES DE AMBIENTE; FORMATO: AEROSOL, FRAGANCIA: VAINILLA, PRESENTACION: ENVASE X 360 CM3, LIBRE DE CFC: SI</t>
  </si>
  <si>
    <t>2.9.1-683.3</t>
  </si>
  <si>
    <t>SECADORES DE GOMA; LARGO: 50 Cm, COLOR: ROJO</t>
  </si>
  <si>
    <t>2.5.1-9065.4</t>
  </si>
  <si>
    <t>DESINFECTANTES Y DETERGENTES; PRINCIPIO ACTIVO: DETERGENTE, CALIDAD: COMERCIAL, CONCENTRACION/PUREZA: 99 %, PRESENTACION: ENVASE X 500 mL</t>
  </si>
  <si>
    <t>INDICAR EN LA OFERTA LAS especificaciones del productos, instrucciones de uso, medidas de precaución, fecha de vencimiento y marca</t>
  </si>
  <si>
    <t>2.5.2-711.24</t>
  </si>
  <si>
    <t>2.5.2-711.49</t>
  </si>
  <si>
    <t>ALCOHOL USO MEDICINAL; PUREZA: 70 %, PRESENTACIÓN: SEGÚN PLIEGO, CANTIDAD: SEGÚN PLIEGO</t>
  </si>
  <si>
    <t>DISPENSADOR P/JABON LIQUIDO; MATERIAL: PLASTICO, CAPACIDAD: 360 CM3, ACCIONAMIENTO: MANUAL</t>
  </si>
  <si>
    <t>2.9.9-3919.8</t>
  </si>
  <si>
    <t>2.5.8-3964.102</t>
  </si>
  <si>
    <t>Necesidades Trimestrales</t>
  </si>
  <si>
    <t>JURISDICCION:</t>
  </si>
  <si>
    <t>65- MINISTERIO DE AGUA, ENERGÍA Y MEDIO AMBIENTE</t>
  </si>
  <si>
    <t xml:space="preserve">SAF N°: </t>
  </si>
  <si>
    <t>31- SECRETARÍA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</si>
  <si>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</si>
  <si>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</si>
  <si>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</si>
  <si>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</si>
  <si>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</si>
  <si>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</si>
  <si>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</si>
  <si>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</si>
  <si>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</si>
  <si>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</si>
  <si>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</si>
  <si>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2.3.4-786.1</t>
  </si>
  <si>
    <t>PAPEL HIGIENICO; TIPO: ROLLO, LARGO: 300 Cm, PRESENTACION: UNIDAD, ANCHO: 10 Cm, MATERIAL HOJA: SIMPLE, HOJA: SIMPLE, TIPO DE HOJA: SIMPLE</t>
  </si>
  <si>
    <t>2.3.4-5442.11</t>
  </si>
  <si>
    <t>ROLLOS P/COCINA; DIMENSION: 22 X 20 Cm, PRESENTACION: ENVASE X 3 UN</t>
  </si>
  <si>
    <t>Especificaciones Técnicas (ITEM 9)</t>
  </si>
  <si>
    <t>Plazos y lugares de entrega</t>
  </si>
  <si>
    <t>Calidad Minima esperada</t>
  </si>
  <si>
    <t>Mantenimiento</t>
  </si>
  <si>
    <t>Garantia</t>
  </si>
  <si>
    <r>
      <t>Descripción técnica:</t>
    </r>
    <r>
      <rPr>
        <sz val="11"/>
        <rFont val="Arial"/>
        <family val="2"/>
      </rPr>
      <t xml:space="preserve"> </t>
    </r>
  </si>
  <si>
    <t>Especificaciones Técnicas (ITEM 6 )</t>
  </si>
  <si>
    <t>Especificaciones Técnicas (ITEM 7)</t>
  </si>
  <si>
    <t>Especificaciones Técnicas (ITEM 8)</t>
  </si>
  <si>
    <t>Especificaciones Técnicas (ITEM 13)</t>
  </si>
  <si>
    <t>Especificaciones Técnicas (ITEM 14)</t>
  </si>
  <si>
    <t>ENVASES PLASTICOS; MATERIAL: PLASTICO OPACO, SISTEMA DE CIERRE: CON DOSIFICADOR, CAPACIDAD: 250 Ml</t>
  </si>
  <si>
    <t>Especificaciones Técnicas (ITEM 17)</t>
  </si>
  <si>
    <t>Especificaciones Técnicas (ITEM 21)</t>
  </si>
  <si>
    <t>Especificaciones Técnicas (ITEM 1)</t>
  </si>
  <si>
    <t>Especificaciones Técnicas (ITEM 2)</t>
  </si>
  <si>
    <t>Especificaciones Técnicas (ITEM 3)</t>
  </si>
  <si>
    <t>Especificaciones Técnicas (ITEM 5)</t>
  </si>
  <si>
    <t>MADERA- 120 CM- ROSCA UNIVERSAL</t>
  </si>
  <si>
    <t>MOPA HILO TRENZADO ALGODON</t>
  </si>
  <si>
    <t>ALGODÓN NARANJA</t>
  </si>
  <si>
    <t>FRAGANCIA CLASICA</t>
  </si>
  <si>
    <t>EN PARES</t>
  </si>
  <si>
    <t>Especificaciones Técnicas (ITEM 15)</t>
  </si>
  <si>
    <t>Especificaciones Técnicas (ITEM 16)</t>
  </si>
  <si>
    <t>PRESENTACIÓN: LIQUIDO EN ENVASE POR 5 L, INDICAR EN LA OFERTA LAS especificaciones del productos, instrucciones de uso, medidas de precaución, fecha de vencimiento y marca</t>
  </si>
  <si>
    <t xml:space="preserve">ALCOHOL USO MEDICINAL; PUREZA: 70 %, PRESENTACION: GEL EN ENVASE X 5 L
</t>
  </si>
  <si>
    <t>TAPA - PULVERIZADOR/ROCIADOR</t>
  </si>
  <si>
    <t>TIPO VIRULANA</t>
  </si>
  <si>
    <t>Especificaciones Técnicas (ITEM 28)</t>
  </si>
  <si>
    <t>PASTILLA POR 25 GR- FRAGANCIA: INDISTINTO</t>
  </si>
  <si>
    <t>Especificaciones Técnicas (ITEM 31)</t>
  </si>
  <si>
    <t>CON CABO DE MADERA</t>
  </si>
  <si>
    <t>JABÓN LÍQUIDO PARA MANOS FRAGANCIA INDISTINTO</t>
  </si>
  <si>
    <t>Especificaciones Técnicas (ITEM 32)</t>
  </si>
  <si>
    <r>
      <rPr>
        <b/>
        <sz val="12"/>
        <rFont val="Arial"/>
        <family val="2"/>
      </rPr>
      <t>TOTAL PESOS</t>
    </r>
    <r>
      <rPr>
        <sz val="12"/>
        <rFont val="Arial"/>
        <family val="2"/>
      </rPr>
      <t>: UN MILLON SETECIENTOS SETENTA Y CUATRO MIL OCHOCIENTOS CINCUENTA Y UNO CON 00/100.-</t>
    </r>
  </si>
  <si>
    <t xml:space="preserve">REPUESTOS </t>
  </si>
  <si>
    <t>PROD. MEDICO/FARMACEUTICOS/LAB</t>
  </si>
  <si>
    <t>BAZAR Y MENAJE</t>
  </si>
  <si>
    <t>QUIMICOS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</si>
</sst>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11"/>
      <name val="Arial"/>
      <family val="2"/>
    </font>
    <font>
      <b/>
      <sz val="2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333333"/>
      <name val="Arial"/>
      <family val="2"/>
    </font>
    <font>
      <sz val="9"/>
      <color rgb="FF333333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rgb="FFFFFF00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wrapText="1"/>
    </xf>
    <xf numFmtId="0" fontId="7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7" fillId="2" borderId="0" xfId="0" applyNumberFormat="1" applyFont="1" applyFill="1" applyAlignment="1">
      <alignment horizontal="left" inden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64" fontId="10" fillId="4" borderId="3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left" indent="3"/>
    </xf>
    <xf numFmtId="0" fontId="4" fillId="0" borderId="0" xfId="0" applyFont="1" applyBorder="1"/>
    <xf numFmtId="0" fontId="4" fillId="0" borderId="8" xfId="0" applyFont="1" applyBorder="1"/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indent="3"/>
    </xf>
    <xf numFmtId="0" fontId="4" fillId="3" borderId="0" xfId="0" applyFont="1" applyFill="1" applyBorder="1"/>
    <xf numFmtId="0" fontId="4" fillId="3" borderId="8" xfId="0" applyFont="1" applyFill="1" applyBorder="1"/>
    <xf numFmtId="0" fontId="4" fillId="3" borderId="0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left" indent="3"/>
    </xf>
    <xf numFmtId="0" fontId="4" fillId="0" borderId="10" xfId="0" applyFont="1" applyBorder="1"/>
    <xf numFmtId="0" fontId="4" fillId="0" borderId="11" xfId="0" applyFont="1" applyBorder="1"/>
    <xf numFmtId="0" fontId="17" fillId="0" borderId="7" xfId="0" applyFont="1" applyBorder="1" applyAlignment="1"/>
    <xf numFmtId="0" fontId="4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7" fillId="0" borderId="7" xfId="0" applyFont="1" applyBorder="1" applyAlignment="1">
      <alignment vertical="top"/>
    </xf>
    <xf numFmtId="0" fontId="17" fillId="0" borderId="7" xfId="0" applyFont="1" applyBorder="1" applyAlignment="1">
      <alignment horizontal="center"/>
    </xf>
    <xf numFmtId="0" fontId="4" fillId="0" borderId="0" xfId="0" applyFont="1" applyBorder="1" applyAlignment="1">
      <alignment horizontal="left" indent="3"/>
    </xf>
    <xf numFmtId="0" fontId="3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164" fontId="2" fillId="2" borderId="15" xfId="0" applyNumberFormat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 wrapText="1"/>
    </xf>
    <xf numFmtId="164" fontId="2" fillId="2" borderId="20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164" fontId="2" fillId="2" borderId="2" xfId="0" applyNumberFormat="1" applyFont="1" applyFill="1" applyBorder="1" applyAlignment="1">
      <alignment horizontal="center" vertical="top" wrapText="1"/>
    </xf>
    <xf numFmtId="164" fontId="2" fillId="2" borderId="19" xfId="0" applyNumberFormat="1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top" wrapText="1"/>
    </xf>
    <xf numFmtId="0" fontId="14" fillId="2" borderId="8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5" fillId="2" borderId="0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wrapText="1" inden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14" fillId="2" borderId="0" xfId="0" applyFont="1" applyFill="1" applyBorder="1" applyAlignment="1">
      <alignment vertical="top" wrapText="1"/>
    </xf>
    <xf numFmtId="0" fontId="14" fillId="2" borderId="8" xfId="0" applyFont="1" applyFill="1" applyBorder="1" applyAlignment="1">
      <alignment vertical="top" wrapText="1"/>
    </xf>
    <xf numFmtId="0" fontId="14" fillId="2" borderId="0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0"/>
  <sheetViews>
    <sheetView tabSelected="1" workbookViewId="0">
      <selection activeCell="B47" sqref="B47:E47"/>
    </sheetView>
  </sheetViews>
  <sheetFormatPr baseColWidth="10" defaultRowHeight="15" x14ac:dyDescent="0.25"/>
  <cols>
    <col min="1" max="1" width="5.85546875" customWidth="1"/>
    <col min="2" max="2" width="20.28515625" customWidth="1"/>
    <col min="3" max="3" width="25.7109375" customWidth="1"/>
    <col min="4" max="4" width="10.28515625" customWidth="1"/>
    <col min="5" max="5" width="43.42578125" customWidth="1"/>
    <col min="9" max="9" width="16.28515625" customWidth="1"/>
  </cols>
  <sheetData>
    <row r="2" spans="1:9" ht="27" x14ac:dyDescent="0.35">
      <c r="A2" s="72" t="s">
        <v>68</v>
      </c>
      <c r="B2" s="72"/>
      <c r="C2" s="72"/>
      <c r="D2" s="72"/>
      <c r="E2" s="72"/>
      <c r="F2" s="72"/>
      <c r="G2" s="72"/>
      <c r="H2" s="72"/>
      <c r="I2" s="72"/>
    </row>
    <row r="3" spans="1:9" ht="27" x14ac:dyDescent="0.35">
      <c r="A3" s="5"/>
      <c r="B3" s="5"/>
      <c r="C3" s="5"/>
      <c r="D3" s="5"/>
      <c r="E3" s="5"/>
      <c r="F3" s="5"/>
      <c r="G3" s="5"/>
      <c r="H3" s="5"/>
      <c r="I3" s="5"/>
    </row>
    <row r="4" spans="1:9" ht="15.75" x14ac:dyDescent="0.25">
      <c r="A4" s="73" t="s">
        <v>69</v>
      </c>
      <c r="B4" s="73"/>
      <c r="C4" s="74" t="s">
        <v>70</v>
      </c>
      <c r="D4" s="74"/>
      <c r="E4" s="74"/>
    </row>
    <row r="5" spans="1:9" ht="15.75" x14ac:dyDescent="0.25">
      <c r="A5" s="73" t="s">
        <v>71</v>
      </c>
      <c r="B5" s="73"/>
      <c r="C5" s="74" t="s">
        <v>72</v>
      </c>
      <c r="D5" s="74"/>
      <c r="E5" s="74"/>
    </row>
    <row r="6" spans="1:9" ht="15.75" x14ac:dyDescent="0.25">
      <c r="A6" s="73" t="s">
        <v>73</v>
      </c>
      <c r="B6" s="73"/>
      <c r="C6" s="6">
        <v>2022</v>
      </c>
      <c r="D6" s="7"/>
      <c r="E6" s="7"/>
    </row>
    <row r="7" spans="1:9" ht="15.75" x14ac:dyDescent="0.25">
      <c r="A7" s="73" t="s">
        <v>74</v>
      </c>
      <c r="B7" s="73"/>
      <c r="C7" s="8">
        <v>1</v>
      </c>
      <c r="D7" s="7"/>
      <c r="E7" s="7"/>
    </row>
    <row r="8" spans="1:9" ht="15.75" thickBot="1" x14ac:dyDescent="0.3"/>
    <row r="9" spans="1:9" ht="37.5" thickTop="1" thickBot="1" x14ac:dyDescent="0.3">
      <c r="A9" s="9" t="s">
        <v>75</v>
      </c>
      <c r="B9" s="9" t="s">
        <v>76</v>
      </c>
      <c r="C9" s="10" t="s">
        <v>77</v>
      </c>
      <c r="D9" s="10" t="s">
        <v>78</v>
      </c>
      <c r="E9" s="11" t="s">
        <v>79</v>
      </c>
      <c r="F9" s="10" t="s">
        <v>80</v>
      </c>
      <c r="G9" s="10" t="s">
        <v>81</v>
      </c>
      <c r="H9" s="12" t="s">
        <v>82</v>
      </c>
      <c r="I9" s="12" t="s">
        <v>83</v>
      </c>
    </row>
    <row r="10" spans="1:9" ht="34.5" customHeight="1" thickBot="1" x14ac:dyDescent="0.3">
      <c r="A10" s="34">
        <v>1</v>
      </c>
      <c r="B10" s="1" t="s">
        <v>0</v>
      </c>
      <c r="C10" s="2" t="s">
        <v>1</v>
      </c>
      <c r="D10" s="2">
        <v>291</v>
      </c>
      <c r="E10" s="33" t="s">
        <v>2</v>
      </c>
      <c r="F10" s="2" t="s">
        <v>3</v>
      </c>
      <c r="G10" s="2">
        <v>100</v>
      </c>
      <c r="H10" s="4">
        <v>817</v>
      </c>
      <c r="I10" s="44">
        <f>H10*G10</f>
        <v>81700</v>
      </c>
    </row>
    <row r="11" spans="1:9" ht="40.5" customHeight="1" thickBot="1" x14ac:dyDescent="0.3">
      <c r="A11" s="34">
        <v>2</v>
      </c>
      <c r="B11" s="1" t="s">
        <v>4</v>
      </c>
      <c r="C11" s="2" t="s">
        <v>1</v>
      </c>
      <c r="D11" s="2">
        <v>291</v>
      </c>
      <c r="E11" s="33" t="s">
        <v>5</v>
      </c>
      <c r="F11" s="2" t="s">
        <v>3</v>
      </c>
      <c r="G11" s="2">
        <v>100</v>
      </c>
      <c r="H11" s="4">
        <v>473.09999999999997</v>
      </c>
      <c r="I11" s="44">
        <f t="shared" ref="I11:I41" si="0">H11*G11</f>
        <v>47310</v>
      </c>
    </row>
    <row r="12" spans="1:9" ht="35.25" customHeight="1" thickBot="1" x14ac:dyDescent="0.3">
      <c r="A12" s="34">
        <v>3</v>
      </c>
      <c r="B12" s="1" t="s">
        <v>6</v>
      </c>
      <c r="C12" s="2" t="s">
        <v>1</v>
      </c>
      <c r="D12" s="2">
        <v>291</v>
      </c>
      <c r="E12" s="33" t="s">
        <v>7</v>
      </c>
      <c r="F12" s="2" t="s">
        <v>3</v>
      </c>
      <c r="G12" s="2">
        <v>100</v>
      </c>
      <c r="H12" s="4">
        <v>570</v>
      </c>
      <c r="I12" s="44">
        <f t="shared" si="0"/>
        <v>57000</v>
      </c>
    </row>
    <row r="13" spans="1:9" ht="47.25" customHeight="1" thickBot="1" x14ac:dyDescent="0.3">
      <c r="A13" s="34">
        <v>4</v>
      </c>
      <c r="B13" s="1" t="s">
        <v>8</v>
      </c>
      <c r="C13" s="2" t="s">
        <v>1</v>
      </c>
      <c r="D13" s="2">
        <v>291</v>
      </c>
      <c r="E13" s="3" t="s">
        <v>9</v>
      </c>
      <c r="F13" s="2" t="s">
        <v>3</v>
      </c>
      <c r="G13" s="2">
        <v>50</v>
      </c>
      <c r="H13" s="4">
        <v>695.4</v>
      </c>
      <c r="I13" s="44">
        <f t="shared" si="0"/>
        <v>34770</v>
      </c>
    </row>
    <row r="14" spans="1:9" ht="51" customHeight="1" thickBot="1" x14ac:dyDescent="0.3">
      <c r="A14" s="34">
        <v>5</v>
      </c>
      <c r="B14" s="1" t="s">
        <v>10</v>
      </c>
      <c r="C14" s="2" t="s">
        <v>1</v>
      </c>
      <c r="D14" s="2">
        <v>291</v>
      </c>
      <c r="E14" s="3" t="s">
        <v>11</v>
      </c>
      <c r="F14" s="2" t="s">
        <v>3</v>
      </c>
      <c r="G14" s="2">
        <v>100</v>
      </c>
      <c r="H14" s="4">
        <v>1425</v>
      </c>
      <c r="I14" s="44">
        <f t="shared" si="0"/>
        <v>142500</v>
      </c>
    </row>
    <row r="15" spans="1:9" ht="40.5" customHeight="1" thickBot="1" x14ac:dyDescent="0.3">
      <c r="A15" s="34">
        <v>6</v>
      </c>
      <c r="B15" s="1" t="s">
        <v>12</v>
      </c>
      <c r="C15" s="2" t="s">
        <v>1</v>
      </c>
      <c r="D15" s="2">
        <v>291</v>
      </c>
      <c r="E15" s="3" t="s">
        <v>13</v>
      </c>
      <c r="F15" s="2" t="s">
        <v>3</v>
      </c>
      <c r="G15" s="2">
        <v>90</v>
      </c>
      <c r="H15" s="4">
        <v>350</v>
      </c>
      <c r="I15" s="44">
        <f t="shared" si="0"/>
        <v>31500</v>
      </c>
    </row>
    <row r="16" spans="1:9" ht="51" customHeight="1" thickBot="1" x14ac:dyDescent="0.3">
      <c r="A16" s="34">
        <v>7</v>
      </c>
      <c r="B16" s="1" t="s">
        <v>14</v>
      </c>
      <c r="C16" s="2" t="s">
        <v>124</v>
      </c>
      <c r="D16" s="2">
        <v>291</v>
      </c>
      <c r="E16" s="3" t="s">
        <v>15</v>
      </c>
      <c r="F16" s="2" t="s">
        <v>3</v>
      </c>
      <c r="G16" s="2">
        <v>90</v>
      </c>
      <c r="H16" s="4">
        <v>190</v>
      </c>
      <c r="I16" s="44">
        <f t="shared" si="0"/>
        <v>17100</v>
      </c>
    </row>
    <row r="17" spans="1:9" ht="36" customHeight="1" thickBot="1" x14ac:dyDescent="0.3">
      <c r="A17" s="34">
        <v>8</v>
      </c>
      <c r="B17" s="1" t="s">
        <v>16</v>
      </c>
      <c r="C17" s="2" t="s">
        <v>1</v>
      </c>
      <c r="D17" s="2">
        <v>291</v>
      </c>
      <c r="E17" s="3" t="s">
        <v>17</v>
      </c>
      <c r="F17" s="2" t="s">
        <v>3</v>
      </c>
      <c r="G17" s="2">
        <v>100</v>
      </c>
      <c r="H17" s="4">
        <v>931</v>
      </c>
      <c r="I17" s="44">
        <f t="shared" si="0"/>
        <v>93100</v>
      </c>
    </row>
    <row r="18" spans="1:9" ht="37.5" customHeight="1" thickBot="1" x14ac:dyDescent="0.3">
      <c r="A18" s="34">
        <v>9</v>
      </c>
      <c r="B18" s="1" t="s">
        <v>51</v>
      </c>
      <c r="C18" s="2" t="s">
        <v>1</v>
      </c>
      <c r="D18" s="2">
        <v>291</v>
      </c>
      <c r="E18" s="3" t="s">
        <v>52</v>
      </c>
      <c r="F18" s="2" t="s">
        <v>3</v>
      </c>
      <c r="G18" s="2">
        <v>300</v>
      </c>
      <c r="H18" s="4">
        <v>123.5</v>
      </c>
      <c r="I18" s="44">
        <f t="shared" si="0"/>
        <v>37050</v>
      </c>
    </row>
    <row r="19" spans="1:9" ht="39.75" customHeight="1" thickBot="1" x14ac:dyDescent="0.3">
      <c r="A19" s="34">
        <v>10</v>
      </c>
      <c r="B19" s="1" t="s">
        <v>18</v>
      </c>
      <c r="C19" s="2" t="s">
        <v>1</v>
      </c>
      <c r="D19" s="2">
        <v>291</v>
      </c>
      <c r="E19" s="3" t="s">
        <v>19</v>
      </c>
      <c r="F19" s="2" t="s">
        <v>3</v>
      </c>
      <c r="G19" s="2">
        <v>50</v>
      </c>
      <c r="H19" s="4">
        <v>570</v>
      </c>
      <c r="I19" s="44">
        <f t="shared" si="0"/>
        <v>28500</v>
      </c>
    </row>
    <row r="20" spans="1:9" ht="60" customHeight="1" thickBot="1" x14ac:dyDescent="0.3">
      <c r="A20" s="34">
        <v>11</v>
      </c>
      <c r="B20" s="1" t="s">
        <v>55</v>
      </c>
      <c r="C20" s="2" t="s">
        <v>1</v>
      </c>
      <c r="D20" s="2">
        <v>291</v>
      </c>
      <c r="E20" s="3" t="s">
        <v>56</v>
      </c>
      <c r="F20" s="2" t="s">
        <v>3</v>
      </c>
      <c r="G20" s="2">
        <v>200</v>
      </c>
      <c r="H20" s="4">
        <v>309.7</v>
      </c>
      <c r="I20" s="44">
        <f t="shared" si="0"/>
        <v>61940</v>
      </c>
    </row>
    <row r="21" spans="1:9" ht="50.25" customHeight="1" thickBot="1" x14ac:dyDescent="0.3">
      <c r="A21" s="34">
        <v>12</v>
      </c>
      <c r="B21" s="1" t="s">
        <v>53</v>
      </c>
      <c r="C21" s="2" t="s">
        <v>1</v>
      </c>
      <c r="D21" s="2">
        <v>291</v>
      </c>
      <c r="E21" s="3" t="s">
        <v>54</v>
      </c>
      <c r="F21" s="2" t="s">
        <v>3</v>
      </c>
      <c r="G21" s="2">
        <v>200</v>
      </c>
      <c r="H21" s="4">
        <v>309.7</v>
      </c>
      <c r="I21" s="44">
        <f t="shared" si="0"/>
        <v>61940</v>
      </c>
    </row>
    <row r="22" spans="1:9" ht="41.25" customHeight="1" thickBot="1" x14ac:dyDescent="0.3">
      <c r="A22" s="34">
        <v>13</v>
      </c>
      <c r="B22" s="1" t="s">
        <v>20</v>
      </c>
      <c r="C22" s="2" t="s">
        <v>1</v>
      </c>
      <c r="D22" s="2">
        <v>291</v>
      </c>
      <c r="E22" s="3" t="s">
        <v>21</v>
      </c>
      <c r="F22" s="2" t="s">
        <v>3</v>
      </c>
      <c r="G22" s="2">
        <v>400</v>
      </c>
      <c r="H22" s="4">
        <v>283.09999999999997</v>
      </c>
      <c r="I22" s="44">
        <f t="shared" si="0"/>
        <v>113239.99999999999</v>
      </c>
    </row>
    <row r="23" spans="1:9" ht="37.5" customHeight="1" thickBot="1" x14ac:dyDescent="0.3">
      <c r="A23" s="34">
        <v>14</v>
      </c>
      <c r="B23" s="1" t="s">
        <v>22</v>
      </c>
      <c r="C23" s="2" t="s">
        <v>1</v>
      </c>
      <c r="D23" s="2">
        <v>291</v>
      </c>
      <c r="E23" s="3" t="s">
        <v>23</v>
      </c>
      <c r="F23" s="2" t="s">
        <v>3</v>
      </c>
      <c r="G23" s="2">
        <v>400</v>
      </c>
      <c r="H23" s="4">
        <v>408.5</v>
      </c>
      <c r="I23" s="44">
        <f t="shared" si="0"/>
        <v>163400</v>
      </c>
    </row>
    <row r="24" spans="1:9" ht="37.5" customHeight="1" thickBot="1" x14ac:dyDescent="0.3">
      <c r="A24" s="34">
        <v>15</v>
      </c>
      <c r="B24" s="49" t="s">
        <v>62</v>
      </c>
      <c r="C24" s="50" t="s">
        <v>125</v>
      </c>
      <c r="D24" s="50">
        <v>291</v>
      </c>
      <c r="E24" s="51" t="s">
        <v>114</v>
      </c>
      <c r="F24" s="50" t="s">
        <v>3</v>
      </c>
      <c r="G24" s="50">
        <v>15</v>
      </c>
      <c r="H24" s="52">
        <v>950</v>
      </c>
      <c r="I24" s="53">
        <f t="shared" si="0"/>
        <v>14250</v>
      </c>
    </row>
    <row r="25" spans="1:9" ht="51" customHeight="1" thickBot="1" x14ac:dyDescent="0.3">
      <c r="A25" s="34">
        <v>16</v>
      </c>
      <c r="B25" s="1" t="s">
        <v>63</v>
      </c>
      <c r="C25" s="50" t="s">
        <v>125</v>
      </c>
      <c r="D25" s="2">
        <v>291</v>
      </c>
      <c r="E25" s="3" t="s">
        <v>64</v>
      </c>
      <c r="F25" s="2" t="s">
        <v>3</v>
      </c>
      <c r="G25" s="2">
        <v>50</v>
      </c>
      <c r="H25" s="4">
        <v>1120</v>
      </c>
      <c r="I25" s="44">
        <f t="shared" si="0"/>
        <v>56000</v>
      </c>
    </row>
    <row r="26" spans="1:9" ht="43.5" customHeight="1" thickBot="1" x14ac:dyDescent="0.3">
      <c r="A26" s="34">
        <v>17</v>
      </c>
      <c r="B26" s="1" t="s">
        <v>67</v>
      </c>
      <c r="C26" s="2" t="s">
        <v>126</v>
      </c>
      <c r="D26" s="2">
        <v>291</v>
      </c>
      <c r="E26" s="3" t="s">
        <v>99</v>
      </c>
      <c r="F26" s="2" t="s">
        <v>3</v>
      </c>
      <c r="G26" s="2">
        <v>80</v>
      </c>
      <c r="H26" s="4">
        <v>270</v>
      </c>
      <c r="I26" s="44">
        <f t="shared" si="0"/>
        <v>21600</v>
      </c>
    </row>
    <row r="27" spans="1:9" ht="55.5" customHeight="1" thickBot="1" x14ac:dyDescent="0.3">
      <c r="A27" s="34">
        <v>18</v>
      </c>
      <c r="B27" s="1" t="s">
        <v>66</v>
      </c>
      <c r="C27" s="2" t="s">
        <v>1</v>
      </c>
      <c r="D27" s="2">
        <v>291</v>
      </c>
      <c r="E27" s="3" t="s">
        <v>65</v>
      </c>
      <c r="F27" s="2" t="s">
        <v>3</v>
      </c>
      <c r="G27" s="2">
        <v>80</v>
      </c>
      <c r="H27" s="4">
        <v>280</v>
      </c>
      <c r="I27" s="44">
        <f>+G27*H27</f>
        <v>22400</v>
      </c>
    </row>
    <row r="28" spans="1:9" ht="48.75" customHeight="1" thickBot="1" x14ac:dyDescent="0.3">
      <c r="A28" s="34">
        <v>19</v>
      </c>
      <c r="B28" s="1" t="s">
        <v>24</v>
      </c>
      <c r="C28" s="2" t="s">
        <v>1</v>
      </c>
      <c r="D28" s="2">
        <v>291</v>
      </c>
      <c r="E28" s="3" t="s">
        <v>25</v>
      </c>
      <c r="F28" s="2" t="s">
        <v>3</v>
      </c>
      <c r="G28" s="2">
        <v>100</v>
      </c>
      <c r="H28" s="4">
        <v>112.1</v>
      </c>
      <c r="I28" s="44">
        <f t="shared" si="0"/>
        <v>11210</v>
      </c>
    </row>
    <row r="29" spans="1:9" ht="49.5" customHeight="1" thickBot="1" x14ac:dyDescent="0.3">
      <c r="A29" s="34">
        <v>20</v>
      </c>
      <c r="B29" s="1" t="s">
        <v>26</v>
      </c>
      <c r="C29" s="2" t="s">
        <v>1</v>
      </c>
      <c r="D29" s="2">
        <v>291</v>
      </c>
      <c r="E29" s="3" t="s">
        <v>27</v>
      </c>
      <c r="F29" s="2" t="s">
        <v>3</v>
      </c>
      <c r="G29" s="2">
        <v>80</v>
      </c>
      <c r="H29" s="4">
        <v>1235</v>
      </c>
      <c r="I29" s="44">
        <f t="shared" si="0"/>
        <v>98800</v>
      </c>
    </row>
    <row r="30" spans="1:9" ht="48.75" customHeight="1" thickBot="1" x14ac:dyDescent="0.3">
      <c r="A30" s="34">
        <v>21</v>
      </c>
      <c r="B30" s="1" t="s">
        <v>28</v>
      </c>
      <c r="C30" s="2" t="s">
        <v>1</v>
      </c>
      <c r="D30" s="2">
        <v>291</v>
      </c>
      <c r="E30" s="3" t="s">
        <v>29</v>
      </c>
      <c r="F30" s="2" t="s">
        <v>3</v>
      </c>
      <c r="G30" s="2">
        <v>100</v>
      </c>
      <c r="H30" s="4">
        <v>617.5</v>
      </c>
      <c r="I30" s="44">
        <f t="shared" si="0"/>
        <v>61750</v>
      </c>
    </row>
    <row r="31" spans="1:9" ht="41.25" customHeight="1" thickBot="1" x14ac:dyDescent="0.3">
      <c r="A31" s="34">
        <v>22</v>
      </c>
      <c r="B31" s="1" t="s">
        <v>30</v>
      </c>
      <c r="C31" s="2" t="s">
        <v>1</v>
      </c>
      <c r="D31" s="2">
        <v>291</v>
      </c>
      <c r="E31" s="3" t="s">
        <v>31</v>
      </c>
      <c r="F31" s="2" t="s">
        <v>3</v>
      </c>
      <c r="G31" s="2">
        <v>10</v>
      </c>
      <c r="H31" s="4">
        <v>8341</v>
      </c>
      <c r="I31" s="44">
        <f t="shared" si="0"/>
        <v>83410</v>
      </c>
    </row>
    <row r="32" spans="1:9" ht="39.75" customHeight="1" thickBot="1" x14ac:dyDescent="0.3">
      <c r="A32" s="34">
        <v>23</v>
      </c>
      <c r="B32" s="1" t="s">
        <v>32</v>
      </c>
      <c r="C32" s="2" t="s">
        <v>1</v>
      </c>
      <c r="D32" s="2">
        <v>291</v>
      </c>
      <c r="E32" s="3" t="s">
        <v>33</v>
      </c>
      <c r="F32" s="2" t="s">
        <v>3</v>
      </c>
      <c r="G32" s="2">
        <v>5</v>
      </c>
      <c r="H32" s="4">
        <v>5510</v>
      </c>
      <c r="I32" s="44">
        <f t="shared" si="0"/>
        <v>27550</v>
      </c>
    </row>
    <row r="33" spans="1:9" ht="49.5" customHeight="1" thickBot="1" x14ac:dyDescent="0.3">
      <c r="A33" s="34">
        <v>24</v>
      </c>
      <c r="B33" s="1" t="s">
        <v>34</v>
      </c>
      <c r="C33" s="2" t="s">
        <v>1</v>
      </c>
      <c r="D33" s="2">
        <v>291</v>
      </c>
      <c r="E33" s="3" t="s">
        <v>35</v>
      </c>
      <c r="F33" s="2" t="s">
        <v>3</v>
      </c>
      <c r="G33" s="2">
        <v>300</v>
      </c>
      <c r="H33" s="4">
        <v>129.19999999999999</v>
      </c>
      <c r="I33" s="44">
        <f t="shared" si="0"/>
        <v>38760</v>
      </c>
    </row>
    <row r="34" spans="1:9" ht="60" customHeight="1" thickBot="1" x14ac:dyDescent="0.3">
      <c r="A34" s="34">
        <v>25</v>
      </c>
      <c r="B34" s="1" t="s">
        <v>36</v>
      </c>
      <c r="C34" s="2" t="s">
        <v>1</v>
      </c>
      <c r="D34" s="2">
        <v>291</v>
      </c>
      <c r="E34" s="3" t="s">
        <v>37</v>
      </c>
      <c r="F34" s="2" t="s">
        <v>3</v>
      </c>
      <c r="G34" s="2">
        <v>300</v>
      </c>
      <c r="H34" s="4">
        <v>148.19999999999999</v>
      </c>
      <c r="I34" s="44">
        <f t="shared" si="0"/>
        <v>44460</v>
      </c>
    </row>
    <row r="35" spans="1:9" ht="51" customHeight="1" thickBot="1" x14ac:dyDescent="0.3">
      <c r="A35" s="34">
        <v>26</v>
      </c>
      <c r="B35" s="1" t="s">
        <v>38</v>
      </c>
      <c r="C35" s="2" t="s">
        <v>1</v>
      </c>
      <c r="D35" s="2">
        <v>291</v>
      </c>
      <c r="E35" s="3" t="s">
        <v>39</v>
      </c>
      <c r="F35" s="2" t="s">
        <v>3</v>
      </c>
      <c r="G35" s="2">
        <v>300</v>
      </c>
      <c r="H35" s="4">
        <v>245.1</v>
      </c>
      <c r="I35" s="44">
        <f t="shared" si="0"/>
        <v>73530</v>
      </c>
    </row>
    <row r="36" spans="1:9" ht="48" customHeight="1" thickBot="1" x14ac:dyDescent="0.3">
      <c r="A36" s="34">
        <v>27</v>
      </c>
      <c r="B36" s="1" t="s">
        <v>40</v>
      </c>
      <c r="C36" s="2" t="s">
        <v>1</v>
      </c>
      <c r="D36" s="2">
        <v>291</v>
      </c>
      <c r="E36" s="3" t="s">
        <v>41</v>
      </c>
      <c r="F36" s="2" t="s">
        <v>3</v>
      </c>
      <c r="G36" s="2">
        <v>100</v>
      </c>
      <c r="H36" s="4">
        <v>226.1</v>
      </c>
      <c r="I36" s="44">
        <f t="shared" si="0"/>
        <v>22610</v>
      </c>
    </row>
    <row r="37" spans="1:9" ht="48.75" customHeight="1" thickBot="1" x14ac:dyDescent="0.3">
      <c r="A37" s="34">
        <v>28</v>
      </c>
      <c r="B37" s="1" t="s">
        <v>42</v>
      </c>
      <c r="C37" s="2" t="s">
        <v>1</v>
      </c>
      <c r="D37" s="2">
        <v>291</v>
      </c>
      <c r="E37" s="3" t="s">
        <v>43</v>
      </c>
      <c r="F37" s="2" t="s">
        <v>3</v>
      </c>
      <c r="G37" s="2">
        <v>100</v>
      </c>
      <c r="H37" s="4">
        <v>155.04</v>
      </c>
      <c r="I37" s="44">
        <f t="shared" si="0"/>
        <v>15504</v>
      </c>
    </row>
    <row r="38" spans="1:9" ht="55.5" customHeight="1" thickBot="1" x14ac:dyDescent="0.3">
      <c r="A38" s="34">
        <v>29</v>
      </c>
      <c r="B38" s="1" t="s">
        <v>44</v>
      </c>
      <c r="C38" s="2" t="s">
        <v>1</v>
      </c>
      <c r="D38" s="2">
        <v>291</v>
      </c>
      <c r="E38" s="3" t="s">
        <v>45</v>
      </c>
      <c r="F38" s="2" t="s">
        <v>3</v>
      </c>
      <c r="G38" s="2">
        <v>100</v>
      </c>
      <c r="H38" s="4">
        <v>463.59999999999997</v>
      </c>
      <c r="I38" s="44">
        <f t="shared" si="0"/>
        <v>46360</v>
      </c>
    </row>
    <row r="39" spans="1:9" ht="39" customHeight="1" thickBot="1" x14ac:dyDescent="0.3">
      <c r="A39" s="34">
        <v>30</v>
      </c>
      <c r="B39" s="1" t="s">
        <v>46</v>
      </c>
      <c r="C39" s="2" t="s">
        <v>1</v>
      </c>
      <c r="D39" s="2">
        <v>291</v>
      </c>
      <c r="E39" s="3" t="s">
        <v>47</v>
      </c>
      <c r="F39" s="2" t="s">
        <v>3</v>
      </c>
      <c r="G39" s="2">
        <v>300</v>
      </c>
      <c r="H39" s="4">
        <v>77.899999999999991</v>
      </c>
      <c r="I39" s="44">
        <f t="shared" si="0"/>
        <v>23369.999999999996</v>
      </c>
    </row>
    <row r="40" spans="1:9" ht="42.75" customHeight="1" thickBot="1" x14ac:dyDescent="0.3">
      <c r="A40" s="34">
        <v>31</v>
      </c>
      <c r="B40" s="1" t="s">
        <v>57</v>
      </c>
      <c r="C40" s="2" t="s">
        <v>1</v>
      </c>
      <c r="D40" s="2">
        <v>291</v>
      </c>
      <c r="E40" s="3" t="s">
        <v>58</v>
      </c>
      <c r="F40" s="2" t="s">
        <v>3</v>
      </c>
      <c r="G40" s="2">
        <v>100</v>
      </c>
      <c r="H40" s="4">
        <v>456</v>
      </c>
      <c r="I40" s="44">
        <f t="shared" si="0"/>
        <v>45600</v>
      </c>
    </row>
    <row r="41" spans="1:9" ht="63" customHeight="1" thickBot="1" x14ac:dyDescent="0.3">
      <c r="A41" s="34">
        <v>32</v>
      </c>
      <c r="B41" s="1" t="s">
        <v>59</v>
      </c>
      <c r="C41" s="2" t="s">
        <v>127</v>
      </c>
      <c r="D41" s="2">
        <v>291</v>
      </c>
      <c r="E41" s="3" t="s">
        <v>60</v>
      </c>
      <c r="F41" s="2" t="s">
        <v>3</v>
      </c>
      <c r="G41" s="2">
        <v>300</v>
      </c>
      <c r="H41" s="4">
        <v>94.05</v>
      </c>
      <c r="I41" s="44">
        <f t="shared" si="0"/>
        <v>28215</v>
      </c>
    </row>
    <row r="42" spans="1:9" ht="52.5" customHeight="1" thickBot="1" x14ac:dyDescent="0.3">
      <c r="A42" s="38">
        <v>33</v>
      </c>
      <c r="B42" s="39" t="s">
        <v>48</v>
      </c>
      <c r="C42" s="40" t="s">
        <v>1</v>
      </c>
      <c r="D42" s="40">
        <v>291</v>
      </c>
      <c r="E42" s="41" t="s">
        <v>49</v>
      </c>
      <c r="F42" s="40" t="s">
        <v>3</v>
      </c>
      <c r="G42" s="40">
        <v>100</v>
      </c>
      <c r="H42" s="42">
        <v>64.219999999999985</v>
      </c>
      <c r="I42" s="43">
        <f t="shared" ref="I42:I43" si="1">H42*G42</f>
        <v>6421.9999999999982</v>
      </c>
    </row>
    <row r="43" spans="1:9" ht="35.25" customHeight="1" thickBot="1" x14ac:dyDescent="0.3">
      <c r="A43" s="35">
        <v>34</v>
      </c>
      <c r="B43" s="45" t="s">
        <v>86</v>
      </c>
      <c r="C43" s="36" t="s">
        <v>126</v>
      </c>
      <c r="D43" s="36">
        <v>291</v>
      </c>
      <c r="E43" s="46" t="s">
        <v>87</v>
      </c>
      <c r="F43" s="36" t="s">
        <v>3</v>
      </c>
      <c r="G43" s="36">
        <v>100</v>
      </c>
      <c r="H43" s="37">
        <v>200</v>
      </c>
      <c r="I43" s="47">
        <f t="shared" si="1"/>
        <v>20000</v>
      </c>
    </row>
    <row r="44" spans="1:9" ht="54.75" customHeight="1" thickBot="1" x14ac:dyDescent="0.3">
      <c r="A44" s="34">
        <v>35</v>
      </c>
      <c r="B44" s="1" t="s">
        <v>84</v>
      </c>
      <c r="C44" s="2" t="s">
        <v>1</v>
      </c>
      <c r="D44" s="2">
        <v>291</v>
      </c>
      <c r="E44" s="3" t="s">
        <v>85</v>
      </c>
      <c r="F44" s="2" t="s">
        <v>3</v>
      </c>
      <c r="G44" s="2">
        <v>150</v>
      </c>
      <c r="H44" s="4">
        <v>280</v>
      </c>
      <c r="I44" s="44">
        <v>42000</v>
      </c>
    </row>
    <row r="45" spans="1:9" ht="30.75" customHeight="1" thickBot="1" x14ac:dyDescent="0.3">
      <c r="A45" s="75" t="s">
        <v>123</v>
      </c>
      <c r="B45" s="76"/>
      <c r="C45" s="76"/>
      <c r="D45" s="76"/>
      <c r="E45" s="76"/>
      <c r="F45" s="76"/>
      <c r="G45" s="76"/>
      <c r="H45" s="77"/>
      <c r="I45" s="48">
        <f>SUM(I10:I44)</f>
        <v>1774851</v>
      </c>
    </row>
    <row r="46" spans="1:9" ht="15.75" thickBot="1" x14ac:dyDescent="0.3"/>
    <row r="47" spans="1:9" ht="15.75" thickBot="1" x14ac:dyDescent="0.3">
      <c r="B47" s="63" t="s">
        <v>102</v>
      </c>
      <c r="C47" s="64"/>
      <c r="D47" s="64"/>
      <c r="E47" s="65"/>
    </row>
    <row r="48" spans="1:9" x14ac:dyDescent="0.25">
      <c r="B48" s="31" t="s">
        <v>93</v>
      </c>
      <c r="C48" s="28"/>
      <c r="D48" s="28"/>
      <c r="E48" s="29"/>
    </row>
    <row r="49" spans="2:5" ht="42.75" customHeight="1" x14ac:dyDescent="0.25">
      <c r="B49" s="13"/>
      <c r="C49" s="66" t="s">
        <v>61</v>
      </c>
      <c r="D49" s="66"/>
      <c r="E49" s="67"/>
    </row>
    <row r="50" spans="2:5" x14ac:dyDescent="0.25">
      <c r="B50" s="13" t="s">
        <v>89</v>
      </c>
      <c r="C50" s="14"/>
      <c r="D50" s="14"/>
      <c r="E50" s="15"/>
    </row>
    <row r="51" spans="2:5" x14ac:dyDescent="0.25">
      <c r="B51" s="16"/>
      <c r="C51" s="58"/>
      <c r="D51" s="59"/>
      <c r="E51" s="60"/>
    </row>
    <row r="52" spans="2:5" x14ac:dyDescent="0.25">
      <c r="B52" s="16"/>
      <c r="C52" s="59"/>
      <c r="D52" s="59"/>
      <c r="E52" s="60"/>
    </row>
    <row r="53" spans="2:5" x14ac:dyDescent="0.25">
      <c r="B53" s="17"/>
      <c r="C53" s="56"/>
      <c r="D53" s="56"/>
      <c r="E53" s="57"/>
    </row>
    <row r="54" spans="2:5" x14ac:dyDescent="0.25">
      <c r="B54" s="13" t="s">
        <v>90</v>
      </c>
      <c r="C54" s="18"/>
      <c r="D54" s="18"/>
      <c r="E54" s="19"/>
    </row>
    <row r="55" spans="2:5" x14ac:dyDescent="0.25">
      <c r="B55" s="17"/>
      <c r="C55" s="61"/>
      <c r="D55" s="61"/>
      <c r="E55" s="62"/>
    </row>
    <row r="56" spans="2:5" x14ac:dyDescent="0.25">
      <c r="B56" s="13" t="s">
        <v>91</v>
      </c>
      <c r="C56" s="20"/>
      <c r="D56" s="20"/>
      <c r="E56" s="21"/>
    </row>
    <row r="57" spans="2:5" x14ac:dyDescent="0.25">
      <c r="B57" s="17"/>
      <c r="C57" s="54"/>
      <c r="D57" s="54"/>
      <c r="E57" s="55"/>
    </row>
    <row r="58" spans="2:5" x14ac:dyDescent="0.25">
      <c r="B58" s="13" t="s">
        <v>92</v>
      </c>
      <c r="C58" s="18"/>
      <c r="D58" s="18"/>
      <c r="E58" s="19"/>
    </row>
    <row r="59" spans="2:5" x14ac:dyDescent="0.25">
      <c r="B59" s="13"/>
      <c r="C59" s="56"/>
      <c r="D59" s="56"/>
      <c r="E59" s="57"/>
    </row>
    <row r="60" spans="2:5" ht="15.75" thickBot="1" x14ac:dyDescent="0.3">
      <c r="B60" s="22"/>
      <c r="C60" s="23"/>
      <c r="D60" s="23"/>
      <c r="E60" s="24"/>
    </row>
    <row r="61" spans="2:5" ht="15.75" thickBot="1" x14ac:dyDescent="0.3"/>
    <row r="62" spans="2:5" ht="15.75" thickBot="1" x14ac:dyDescent="0.3">
      <c r="B62" s="63" t="s">
        <v>103</v>
      </c>
      <c r="C62" s="64"/>
      <c r="D62" s="64"/>
      <c r="E62" s="65"/>
    </row>
    <row r="63" spans="2:5" x14ac:dyDescent="0.25">
      <c r="B63" s="31" t="s">
        <v>93</v>
      </c>
      <c r="C63" s="28"/>
      <c r="D63" s="28"/>
      <c r="E63" s="29"/>
    </row>
    <row r="64" spans="2:5" ht="30.75" customHeight="1" x14ac:dyDescent="0.25">
      <c r="B64" s="13"/>
      <c r="C64" s="66" t="s">
        <v>61</v>
      </c>
      <c r="D64" s="66"/>
      <c r="E64" s="67"/>
    </row>
    <row r="65" spans="2:5" x14ac:dyDescent="0.25">
      <c r="B65" s="13" t="s">
        <v>89</v>
      </c>
      <c r="C65" s="14"/>
      <c r="D65" s="14"/>
      <c r="E65" s="15"/>
    </row>
    <row r="66" spans="2:5" x14ac:dyDescent="0.25">
      <c r="B66" s="16"/>
      <c r="C66" s="58"/>
      <c r="D66" s="59"/>
      <c r="E66" s="60"/>
    </row>
    <row r="67" spans="2:5" x14ac:dyDescent="0.25">
      <c r="B67" s="16"/>
      <c r="C67" s="59"/>
      <c r="D67" s="59"/>
      <c r="E67" s="60"/>
    </row>
    <row r="68" spans="2:5" x14ac:dyDescent="0.25">
      <c r="B68" s="17"/>
      <c r="C68" s="56"/>
      <c r="D68" s="56"/>
      <c r="E68" s="57"/>
    </row>
    <row r="69" spans="2:5" x14ac:dyDescent="0.25">
      <c r="B69" s="13" t="s">
        <v>90</v>
      </c>
      <c r="C69" s="18"/>
      <c r="D69" s="18"/>
      <c r="E69" s="19"/>
    </row>
    <row r="70" spans="2:5" x14ac:dyDescent="0.25">
      <c r="B70" s="17"/>
      <c r="C70" s="61"/>
      <c r="D70" s="61"/>
      <c r="E70" s="62"/>
    </row>
    <row r="71" spans="2:5" x14ac:dyDescent="0.25">
      <c r="B71" s="13" t="s">
        <v>91</v>
      </c>
      <c r="C71" s="20"/>
      <c r="D71" s="20"/>
      <c r="E71" s="21"/>
    </row>
    <row r="72" spans="2:5" x14ac:dyDescent="0.25">
      <c r="B72" s="17"/>
      <c r="C72" s="54"/>
      <c r="D72" s="54"/>
      <c r="E72" s="55"/>
    </row>
    <row r="73" spans="2:5" x14ac:dyDescent="0.25">
      <c r="B73" s="13" t="s">
        <v>92</v>
      </c>
      <c r="C73" s="18"/>
      <c r="D73" s="18"/>
      <c r="E73" s="19"/>
    </row>
    <row r="74" spans="2:5" x14ac:dyDescent="0.25">
      <c r="B74" s="13"/>
      <c r="C74" s="56"/>
      <c r="D74" s="56"/>
      <c r="E74" s="57"/>
    </row>
    <row r="75" spans="2:5" ht="15.75" thickBot="1" x14ac:dyDescent="0.3">
      <c r="B75" s="22"/>
      <c r="C75" s="23"/>
      <c r="D75" s="23"/>
      <c r="E75" s="24"/>
    </row>
    <row r="76" spans="2:5" ht="15.75" thickBot="1" x14ac:dyDescent="0.3"/>
    <row r="77" spans="2:5" ht="15.75" thickBot="1" x14ac:dyDescent="0.3">
      <c r="B77" s="63" t="s">
        <v>104</v>
      </c>
      <c r="C77" s="64"/>
      <c r="D77" s="64"/>
      <c r="E77" s="65"/>
    </row>
    <row r="78" spans="2:5" x14ac:dyDescent="0.25">
      <c r="B78" s="31" t="s">
        <v>93</v>
      </c>
      <c r="C78" s="28"/>
      <c r="D78" s="28"/>
      <c r="E78" s="29"/>
    </row>
    <row r="79" spans="2:5" ht="30" customHeight="1" x14ac:dyDescent="0.25">
      <c r="B79" s="13"/>
      <c r="C79" s="66" t="s">
        <v>61</v>
      </c>
      <c r="D79" s="66"/>
      <c r="E79" s="67"/>
    </row>
    <row r="80" spans="2:5" x14ac:dyDescent="0.25">
      <c r="B80" s="13" t="s">
        <v>89</v>
      </c>
      <c r="C80" s="14"/>
      <c r="D80" s="14"/>
      <c r="E80" s="15"/>
    </row>
    <row r="81" spans="2:5" x14ac:dyDescent="0.25">
      <c r="B81" s="16"/>
      <c r="C81" s="58"/>
      <c r="D81" s="59"/>
      <c r="E81" s="60"/>
    </row>
    <row r="82" spans="2:5" x14ac:dyDescent="0.25">
      <c r="B82" s="16"/>
      <c r="C82" s="59"/>
      <c r="D82" s="59"/>
      <c r="E82" s="60"/>
    </row>
    <row r="83" spans="2:5" x14ac:dyDescent="0.25">
      <c r="B83" s="17"/>
      <c r="C83" s="56"/>
      <c r="D83" s="56"/>
      <c r="E83" s="57"/>
    </row>
    <row r="84" spans="2:5" x14ac:dyDescent="0.25">
      <c r="B84" s="13" t="s">
        <v>90</v>
      </c>
      <c r="C84" s="18"/>
      <c r="D84" s="18"/>
      <c r="E84" s="19"/>
    </row>
    <row r="85" spans="2:5" x14ac:dyDescent="0.25">
      <c r="B85" s="17"/>
      <c r="C85" s="61"/>
      <c r="D85" s="61"/>
      <c r="E85" s="62"/>
    </row>
    <row r="86" spans="2:5" x14ac:dyDescent="0.25">
      <c r="B86" s="13" t="s">
        <v>91</v>
      </c>
      <c r="C86" s="20"/>
      <c r="D86" s="20"/>
      <c r="E86" s="21"/>
    </row>
    <row r="87" spans="2:5" x14ac:dyDescent="0.25">
      <c r="B87" s="17"/>
      <c r="C87" s="54"/>
      <c r="D87" s="54"/>
      <c r="E87" s="55"/>
    </row>
    <row r="88" spans="2:5" x14ac:dyDescent="0.25">
      <c r="B88" s="13" t="s">
        <v>92</v>
      </c>
      <c r="C88" s="18"/>
      <c r="D88" s="18"/>
      <c r="E88" s="19"/>
    </row>
    <row r="89" spans="2:5" x14ac:dyDescent="0.25">
      <c r="B89" s="13"/>
      <c r="C89" s="56"/>
      <c r="D89" s="56"/>
      <c r="E89" s="57"/>
    </row>
    <row r="90" spans="2:5" ht="15.75" thickBot="1" x14ac:dyDescent="0.3">
      <c r="B90" s="22"/>
      <c r="C90" s="23"/>
      <c r="D90" s="23"/>
      <c r="E90" s="24"/>
    </row>
    <row r="91" spans="2:5" ht="15.75" thickBot="1" x14ac:dyDescent="0.3"/>
    <row r="92" spans="2:5" ht="15.75" thickBot="1" x14ac:dyDescent="0.3">
      <c r="B92" s="63" t="s">
        <v>105</v>
      </c>
      <c r="C92" s="64"/>
      <c r="D92" s="64"/>
      <c r="E92" s="65"/>
    </row>
    <row r="93" spans="2:5" x14ac:dyDescent="0.25">
      <c r="B93" s="31" t="s">
        <v>93</v>
      </c>
      <c r="C93" s="28"/>
      <c r="D93" s="28"/>
      <c r="E93" s="29"/>
    </row>
    <row r="94" spans="2:5" ht="30" customHeight="1" x14ac:dyDescent="0.25">
      <c r="B94" s="13"/>
      <c r="C94" s="66" t="s">
        <v>61</v>
      </c>
      <c r="D94" s="66"/>
      <c r="E94" s="67"/>
    </row>
    <row r="95" spans="2:5" x14ac:dyDescent="0.25">
      <c r="B95" s="13" t="s">
        <v>89</v>
      </c>
      <c r="C95" s="14"/>
      <c r="D95" s="14"/>
      <c r="E95" s="15"/>
    </row>
    <row r="96" spans="2:5" x14ac:dyDescent="0.25">
      <c r="B96" s="16"/>
      <c r="C96" s="58"/>
      <c r="D96" s="59"/>
      <c r="E96" s="60"/>
    </row>
    <row r="97" spans="2:8" x14ac:dyDescent="0.25">
      <c r="B97" s="16"/>
      <c r="C97" s="59"/>
      <c r="D97" s="59"/>
      <c r="E97" s="60"/>
    </row>
    <row r="98" spans="2:8" x14ac:dyDescent="0.25">
      <c r="B98" s="17"/>
      <c r="C98" s="56"/>
      <c r="D98" s="56"/>
      <c r="E98" s="57"/>
    </row>
    <row r="99" spans="2:8" x14ac:dyDescent="0.25">
      <c r="B99" s="13" t="s">
        <v>90</v>
      </c>
      <c r="C99" s="18"/>
      <c r="D99" s="18"/>
      <c r="E99" s="19"/>
    </row>
    <row r="100" spans="2:8" x14ac:dyDescent="0.25">
      <c r="B100" s="17"/>
      <c r="C100" s="61"/>
      <c r="D100" s="61"/>
      <c r="E100" s="62"/>
    </row>
    <row r="101" spans="2:8" x14ac:dyDescent="0.25">
      <c r="B101" s="13" t="s">
        <v>91</v>
      </c>
      <c r="C101" s="20"/>
      <c r="D101" s="20"/>
      <c r="E101" s="21"/>
    </row>
    <row r="102" spans="2:8" x14ac:dyDescent="0.25">
      <c r="B102" s="17"/>
      <c r="C102" s="54"/>
      <c r="D102" s="54"/>
      <c r="E102" s="55"/>
    </row>
    <row r="103" spans="2:8" x14ac:dyDescent="0.25">
      <c r="B103" s="13" t="s">
        <v>92</v>
      </c>
      <c r="C103" s="18"/>
      <c r="D103" s="18"/>
      <c r="E103" s="19"/>
    </row>
    <row r="104" spans="2:8" x14ac:dyDescent="0.25">
      <c r="B104" s="13"/>
      <c r="C104" s="56"/>
      <c r="D104" s="56"/>
      <c r="E104" s="57"/>
    </row>
    <row r="105" spans="2:8" ht="15.75" thickBot="1" x14ac:dyDescent="0.3">
      <c r="B105" s="22"/>
      <c r="C105" s="23"/>
      <c r="D105" s="23"/>
      <c r="E105" s="24"/>
    </row>
    <row r="106" spans="2:8" ht="15.75" thickBot="1" x14ac:dyDescent="0.3"/>
    <row r="107" spans="2:8" ht="15.75" thickBot="1" x14ac:dyDescent="0.3">
      <c r="B107" s="63" t="s">
        <v>94</v>
      </c>
      <c r="C107" s="64"/>
      <c r="D107" s="64"/>
      <c r="E107" s="65"/>
    </row>
    <row r="108" spans="2:8" ht="14.25" customHeight="1" x14ac:dyDescent="0.25">
      <c r="B108" s="30" t="s">
        <v>93</v>
      </c>
      <c r="C108" s="80"/>
      <c r="D108" s="80"/>
      <c r="E108" s="81"/>
      <c r="F108" s="26"/>
      <c r="G108" s="26"/>
      <c r="H108" s="26"/>
    </row>
    <row r="109" spans="2:8" ht="20.25" customHeight="1" x14ac:dyDescent="0.25">
      <c r="B109" s="13"/>
      <c r="C109" s="68" t="s">
        <v>50</v>
      </c>
      <c r="D109" s="68"/>
      <c r="E109" s="69"/>
    </row>
    <row r="110" spans="2:8" x14ac:dyDescent="0.25">
      <c r="B110" s="13" t="s">
        <v>89</v>
      </c>
      <c r="C110" s="14"/>
      <c r="D110" s="14"/>
      <c r="E110" s="15"/>
    </row>
    <row r="111" spans="2:8" x14ac:dyDescent="0.25">
      <c r="B111" s="16"/>
      <c r="C111" s="58"/>
      <c r="D111" s="59"/>
      <c r="E111" s="60"/>
    </row>
    <row r="112" spans="2:8" x14ac:dyDescent="0.25">
      <c r="B112" s="16"/>
      <c r="C112" s="59"/>
      <c r="D112" s="59"/>
      <c r="E112" s="60"/>
    </row>
    <row r="113" spans="2:12" x14ac:dyDescent="0.25">
      <c r="B113" s="17"/>
      <c r="C113" s="56"/>
      <c r="D113" s="56"/>
      <c r="E113" s="57"/>
    </row>
    <row r="114" spans="2:12" x14ac:dyDescent="0.25">
      <c r="B114" s="13" t="s">
        <v>90</v>
      </c>
      <c r="C114" s="18"/>
      <c r="D114" s="18"/>
      <c r="E114" s="19"/>
    </row>
    <row r="115" spans="2:12" x14ac:dyDescent="0.25">
      <c r="B115" s="17"/>
      <c r="C115" s="61"/>
      <c r="D115" s="61"/>
      <c r="E115" s="62"/>
    </row>
    <row r="116" spans="2:12" x14ac:dyDescent="0.25">
      <c r="B116" s="13" t="s">
        <v>91</v>
      </c>
      <c r="C116" s="20"/>
      <c r="D116" s="20"/>
      <c r="E116" s="21"/>
    </row>
    <row r="117" spans="2:12" x14ac:dyDescent="0.25">
      <c r="B117" s="17"/>
      <c r="C117" s="54"/>
      <c r="D117" s="54"/>
      <c r="E117" s="55"/>
    </row>
    <row r="118" spans="2:12" x14ac:dyDescent="0.25">
      <c r="B118" s="13" t="s">
        <v>92</v>
      </c>
      <c r="C118" s="18"/>
      <c r="D118" s="18"/>
      <c r="E118" s="19"/>
    </row>
    <row r="119" spans="2:12" x14ac:dyDescent="0.25">
      <c r="B119" s="13"/>
      <c r="C119" s="56"/>
      <c r="D119" s="56"/>
      <c r="E119" s="57"/>
    </row>
    <row r="120" spans="2:12" ht="15.75" thickBot="1" x14ac:dyDescent="0.3">
      <c r="B120" s="22"/>
      <c r="C120" s="23"/>
      <c r="D120" s="23"/>
      <c r="E120" s="24"/>
    </row>
    <row r="121" spans="2:12" ht="15.75" thickBot="1" x14ac:dyDescent="0.3"/>
    <row r="122" spans="2:12" ht="15.75" thickBot="1" x14ac:dyDescent="0.3">
      <c r="B122" s="63" t="s">
        <v>95</v>
      </c>
      <c r="C122" s="64"/>
      <c r="D122" s="64"/>
      <c r="E122" s="65"/>
    </row>
    <row r="123" spans="2:12" ht="16.5" customHeight="1" x14ac:dyDescent="0.25">
      <c r="B123" s="30" t="s">
        <v>93</v>
      </c>
      <c r="C123" s="78"/>
      <c r="D123" s="78"/>
      <c r="E123" s="79"/>
      <c r="F123" s="27"/>
      <c r="G123" s="27"/>
      <c r="H123" s="27"/>
      <c r="I123" s="27"/>
      <c r="J123" s="27"/>
      <c r="K123" s="27"/>
      <c r="L123" s="27"/>
    </row>
    <row r="124" spans="2:12" ht="23.25" customHeight="1" x14ac:dyDescent="0.25">
      <c r="B124" s="13"/>
      <c r="C124" s="68" t="s">
        <v>106</v>
      </c>
      <c r="D124" s="68"/>
      <c r="E124" s="69"/>
    </row>
    <row r="125" spans="2:12" x14ac:dyDescent="0.25">
      <c r="B125" s="13" t="s">
        <v>89</v>
      </c>
      <c r="C125" s="14"/>
      <c r="D125" s="14"/>
      <c r="E125" s="15"/>
    </row>
    <row r="126" spans="2:12" x14ac:dyDescent="0.25">
      <c r="B126" s="16"/>
      <c r="C126" s="58"/>
      <c r="D126" s="59"/>
      <c r="E126" s="60"/>
    </row>
    <row r="127" spans="2:12" x14ac:dyDescent="0.25">
      <c r="B127" s="16"/>
      <c r="C127" s="59"/>
      <c r="D127" s="59"/>
      <c r="E127" s="60"/>
    </row>
    <row r="128" spans="2:12" x14ac:dyDescent="0.25">
      <c r="B128" s="17"/>
      <c r="C128" s="56"/>
      <c r="D128" s="56"/>
      <c r="E128" s="57"/>
    </row>
    <row r="129" spans="2:5" x14ac:dyDescent="0.25">
      <c r="B129" s="13" t="s">
        <v>90</v>
      </c>
      <c r="C129" s="18"/>
      <c r="D129" s="18"/>
      <c r="E129" s="19"/>
    </row>
    <row r="130" spans="2:5" x14ac:dyDescent="0.25">
      <c r="B130" s="17"/>
      <c r="C130" s="61"/>
      <c r="D130" s="61"/>
      <c r="E130" s="62"/>
    </row>
    <row r="131" spans="2:5" x14ac:dyDescent="0.25">
      <c r="B131" s="13" t="s">
        <v>91</v>
      </c>
      <c r="C131" s="20"/>
      <c r="D131" s="20"/>
      <c r="E131" s="21"/>
    </row>
    <row r="132" spans="2:5" x14ac:dyDescent="0.25">
      <c r="B132" s="17"/>
      <c r="C132" s="54"/>
      <c r="D132" s="54"/>
      <c r="E132" s="55"/>
    </row>
    <row r="133" spans="2:5" x14ac:dyDescent="0.25">
      <c r="B133" s="13" t="s">
        <v>92</v>
      </c>
      <c r="C133" s="18"/>
      <c r="D133" s="18"/>
      <c r="E133" s="19"/>
    </row>
    <row r="134" spans="2:5" x14ac:dyDescent="0.25">
      <c r="B134" s="13"/>
      <c r="C134" s="56"/>
      <c r="D134" s="56"/>
      <c r="E134" s="57"/>
    </row>
    <row r="135" spans="2:5" ht="15.75" thickBot="1" x14ac:dyDescent="0.3">
      <c r="B135" s="22"/>
      <c r="C135" s="23"/>
      <c r="D135" s="23"/>
      <c r="E135" s="24"/>
    </row>
    <row r="136" spans="2:5" ht="15.75" thickBot="1" x14ac:dyDescent="0.3"/>
    <row r="137" spans="2:5" ht="15.75" thickBot="1" x14ac:dyDescent="0.3">
      <c r="B137" s="63" t="s">
        <v>96</v>
      </c>
      <c r="C137" s="64"/>
      <c r="D137" s="64"/>
      <c r="E137" s="65"/>
    </row>
    <row r="138" spans="2:5" x14ac:dyDescent="0.25">
      <c r="B138" s="25" t="s">
        <v>93</v>
      </c>
      <c r="C138" s="14"/>
      <c r="D138" s="14"/>
      <c r="E138" s="15"/>
    </row>
    <row r="139" spans="2:5" x14ac:dyDescent="0.25">
      <c r="B139" s="13"/>
      <c r="C139" s="68" t="s">
        <v>107</v>
      </c>
      <c r="D139" s="68"/>
      <c r="E139" s="69"/>
    </row>
    <row r="140" spans="2:5" x14ac:dyDescent="0.25">
      <c r="B140" s="13" t="s">
        <v>89</v>
      </c>
      <c r="C140" s="14"/>
      <c r="D140" s="14"/>
      <c r="E140" s="15"/>
    </row>
    <row r="141" spans="2:5" x14ac:dyDescent="0.25">
      <c r="B141" s="16"/>
      <c r="C141" s="58"/>
      <c r="D141" s="59"/>
      <c r="E141" s="60"/>
    </row>
    <row r="142" spans="2:5" x14ac:dyDescent="0.25">
      <c r="B142" s="16"/>
      <c r="C142" s="59"/>
      <c r="D142" s="59"/>
      <c r="E142" s="60"/>
    </row>
    <row r="143" spans="2:5" x14ac:dyDescent="0.25">
      <c r="B143" s="17"/>
      <c r="C143" s="56"/>
      <c r="D143" s="56"/>
      <c r="E143" s="57"/>
    </row>
    <row r="144" spans="2:5" x14ac:dyDescent="0.25">
      <c r="B144" s="13" t="s">
        <v>90</v>
      </c>
      <c r="C144" s="18"/>
      <c r="D144" s="18"/>
      <c r="E144" s="19"/>
    </row>
    <row r="145" spans="2:5" x14ac:dyDescent="0.25">
      <c r="B145" s="17"/>
      <c r="C145" s="61"/>
      <c r="D145" s="61"/>
      <c r="E145" s="62"/>
    </row>
    <row r="146" spans="2:5" x14ac:dyDescent="0.25">
      <c r="B146" s="13" t="s">
        <v>91</v>
      </c>
      <c r="C146" s="20"/>
      <c r="D146" s="20"/>
      <c r="E146" s="21"/>
    </row>
    <row r="147" spans="2:5" x14ac:dyDescent="0.25">
      <c r="B147" s="17"/>
      <c r="C147" s="54"/>
      <c r="D147" s="54"/>
      <c r="E147" s="55"/>
    </row>
    <row r="148" spans="2:5" x14ac:dyDescent="0.25">
      <c r="B148" s="13" t="s">
        <v>92</v>
      </c>
      <c r="C148" s="18"/>
      <c r="D148" s="18"/>
      <c r="E148" s="19"/>
    </row>
    <row r="149" spans="2:5" x14ac:dyDescent="0.25">
      <c r="B149" s="13"/>
      <c r="C149" s="56"/>
      <c r="D149" s="56"/>
      <c r="E149" s="57"/>
    </row>
    <row r="150" spans="2:5" ht="15.75" thickBot="1" x14ac:dyDescent="0.3">
      <c r="B150" s="22"/>
      <c r="C150" s="23"/>
      <c r="D150" s="23"/>
      <c r="E150" s="24"/>
    </row>
    <row r="151" spans="2:5" ht="15.75" thickBot="1" x14ac:dyDescent="0.3"/>
    <row r="152" spans="2:5" ht="15.75" thickBot="1" x14ac:dyDescent="0.3">
      <c r="B152" s="63" t="s">
        <v>88</v>
      </c>
      <c r="C152" s="64"/>
      <c r="D152" s="64"/>
      <c r="E152" s="65"/>
    </row>
    <row r="153" spans="2:5" x14ac:dyDescent="0.25">
      <c r="B153" s="13" t="s">
        <v>93</v>
      </c>
      <c r="C153" s="14"/>
      <c r="D153" s="14"/>
      <c r="E153" s="15"/>
    </row>
    <row r="154" spans="2:5" x14ac:dyDescent="0.25">
      <c r="B154" s="13"/>
      <c r="C154" s="68" t="s">
        <v>108</v>
      </c>
      <c r="D154" s="68"/>
      <c r="E154" s="69"/>
    </row>
    <row r="155" spans="2:5" x14ac:dyDescent="0.25">
      <c r="B155" s="13" t="s">
        <v>89</v>
      </c>
      <c r="C155" s="14"/>
      <c r="D155" s="14"/>
      <c r="E155" s="15"/>
    </row>
    <row r="156" spans="2:5" x14ac:dyDescent="0.25">
      <c r="B156" s="16"/>
      <c r="C156" s="58"/>
      <c r="D156" s="59"/>
      <c r="E156" s="60"/>
    </row>
    <row r="157" spans="2:5" x14ac:dyDescent="0.25">
      <c r="B157" s="16"/>
      <c r="C157" s="59"/>
      <c r="D157" s="59"/>
      <c r="E157" s="60"/>
    </row>
    <row r="158" spans="2:5" x14ac:dyDescent="0.25">
      <c r="B158" s="17"/>
      <c r="C158" s="56"/>
      <c r="D158" s="56"/>
      <c r="E158" s="57"/>
    </row>
    <row r="159" spans="2:5" x14ac:dyDescent="0.25">
      <c r="B159" s="13" t="s">
        <v>90</v>
      </c>
      <c r="C159" s="18"/>
      <c r="D159" s="18"/>
      <c r="E159" s="19"/>
    </row>
    <row r="160" spans="2:5" x14ac:dyDescent="0.25">
      <c r="B160" s="17"/>
      <c r="C160" s="61"/>
      <c r="D160" s="61"/>
      <c r="E160" s="62"/>
    </row>
    <row r="161" spans="2:5" x14ac:dyDescent="0.25">
      <c r="B161" s="13" t="s">
        <v>91</v>
      </c>
      <c r="C161" s="20"/>
      <c r="D161" s="20"/>
      <c r="E161" s="21"/>
    </row>
    <row r="162" spans="2:5" x14ac:dyDescent="0.25">
      <c r="B162" s="17"/>
      <c r="C162" s="54"/>
      <c r="D162" s="54"/>
      <c r="E162" s="55"/>
    </row>
    <row r="163" spans="2:5" x14ac:dyDescent="0.25">
      <c r="B163" s="13" t="s">
        <v>92</v>
      </c>
      <c r="C163" s="18"/>
      <c r="D163" s="18"/>
      <c r="E163" s="19"/>
    </row>
    <row r="164" spans="2:5" x14ac:dyDescent="0.25">
      <c r="B164" s="13"/>
      <c r="C164" s="56"/>
      <c r="D164" s="56"/>
      <c r="E164" s="57"/>
    </row>
    <row r="165" spans="2:5" ht="15.75" thickBot="1" x14ac:dyDescent="0.3">
      <c r="B165" s="22"/>
      <c r="C165" s="23"/>
      <c r="D165" s="23"/>
      <c r="E165" s="24"/>
    </row>
    <row r="166" spans="2:5" ht="15.75" thickBot="1" x14ac:dyDescent="0.3"/>
    <row r="167" spans="2:5" ht="15.75" thickBot="1" x14ac:dyDescent="0.3">
      <c r="B167" s="63" t="s">
        <v>97</v>
      </c>
      <c r="C167" s="64"/>
      <c r="D167" s="64"/>
      <c r="E167" s="65"/>
    </row>
    <row r="168" spans="2:5" ht="18" customHeight="1" x14ac:dyDescent="0.25">
      <c r="B168" s="25" t="s">
        <v>93</v>
      </c>
      <c r="C168" s="70"/>
      <c r="D168" s="70"/>
      <c r="E168" s="71"/>
    </row>
    <row r="169" spans="2:5" ht="17.25" customHeight="1" x14ac:dyDescent="0.25">
      <c r="B169" s="13"/>
      <c r="C169" s="68" t="s">
        <v>109</v>
      </c>
      <c r="D169" s="68"/>
      <c r="E169" s="69"/>
    </row>
    <row r="170" spans="2:5" x14ac:dyDescent="0.25">
      <c r="B170" s="13" t="s">
        <v>89</v>
      </c>
      <c r="C170" s="14"/>
      <c r="D170" s="14"/>
      <c r="E170" s="15"/>
    </row>
    <row r="171" spans="2:5" x14ac:dyDescent="0.25">
      <c r="B171" s="16"/>
      <c r="C171" s="58"/>
      <c r="D171" s="59"/>
      <c r="E171" s="60"/>
    </row>
    <row r="172" spans="2:5" x14ac:dyDescent="0.25">
      <c r="B172" s="16"/>
      <c r="C172" s="59"/>
      <c r="D172" s="59"/>
      <c r="E172" s="60"/>
    </row>
    <row r="173" spans="2:5" x14ac:dyDescent="0.25">
      <c r="B173" s="17"/>
      <c r="C173" s="56"/>
      <c r="D173" s="56"/>
      <c r="E173" s="57"/>
    </row>
    <row r="174" spans="2:5" x14ac:dyDescent="0.25">
      <c r="B174" s="13" t="s">
        <v>90</v>
      </c>
      <c r="C174" s="18"/>
      <c r="D174" s="18"/>
      <c r="E174" s="19"/>
    </row>
    <row r="175" spans="2:5" x14ac:dyDescent="0.25">
      <c r="B175" s="17"/>
      <c r="C175" s="61"/>
      <c r="D175" s="61"/>
      <c r="E175" s="62"/>
    </row>
    <row r="176" spans="2:5" x14ac:dyDescent="0.25">
      <c r="B176" s="13" t="s">
        <v>91</v>
      </c>
      <c r="C176" s="20"/>
      <c r="D176" s="20"/>
      <c r="E176" s="21"/>
    </row>
    <row r="177" spans="2:5" x14ac:dyDescent="0.25">
      <c r="B177" s="17"/>
      <c r="C177" s="54"/>
      <c r="D177" s="54"/>
      <c r="E177" s="55"/>
    </row>
    <row r="178" spans="2:5" x14ac:dyDescent="0.25">
      <c r="B178" s="13" t="s">
        <v>92</v>
      </c>
      <c r="C178" s="18"/>
      <c r="D178" s="18"/>
      <c r="E178" s="19"/>
    </row>
    <row r="179" spans="2:5" x14ac:dyDescent="0.25">
      <c r="B179" s="13"/>
      <c r="C179" s="56"/>
      <c r="D179" s="56"/>
      <c r="E179" s="57"/>
    </row>
    <row r="180" spans="2:5" ht="15.75" thickBot="1" x14ac:dyDescent="0.3">
      <c r="B180" s="22"/>
      <c r="C180" s="23"/>
      <c r="D180" s="23"/>
      <c r="E180" s="24"/>
    </row>
    <row r="181" spans="2:5" ht="15.75" thickBot="1" x14ac:dyDescent="0.3"/>
    <row r="182" spans="2:5" ht="15.75" thickBot="1" x14ac:dyDescent="0.3">
      <c r="B182" s="63" t="s">
        <v>98</v>
      </c>
      <c r="C182" s="64"/>
      <c r="D182" s="64"/>
      <c r="E182" s="65"/>
    </row>
    <row r="183" spans="2:5" x14ac:dyDescent="0.25">
      <c r="B183" s="25" t="s">
        <v>93</v>
      </c>
      <c r="C183" s="14"/>
      <c r="D183" s="14"/>
      <c r="E183" s="15"/>
    </row>
    <row r="184" spans="2:5" x14ac:dyDescent="0.25">
      <c r="B184" s="13"/>
      <c r="C184" s="68" t="s">
        <v>110</v>
      </c>
      <c r="D184" s="68"/>
      <c r="E184" s="69"/>
    </row>
    <row r="185" spans="2:5" x14ac:dyDescent="0.25">
      <c r="B185" s="13" t="s">
        <v>89</v>
      </c>
      <c r="C185" s="14"/>
      <c r="D185" s="14"/>
      <c r="E185" s="15"/>
    </row>
    <row r="186" spans="2:5" x14ac:dyDescent="0.25">
      <c r="B186" s="16"/>
      <c r="C186" s="58"/>
      <c r="D186" s="59"/>
      <c r="E186" s="60"/>
    </row>
    <row r="187" spans="2:5" x14ac:dyDescent="0.25">
      <c r="B187" s="16"/>
      <c r="C187" s="59"/>
      <c r="D187" s="59"/>
      <c r="E187" s="60"/>
    </row>
    <row r="188" spans="2:5" x14ac:dyDescent="0.25">
      <c r="B188" s="17"/>
      <c r="C188" s="56"/>
      <c r="D188" s="56"/>
      <c r="E188" s="57"/>
    </row>
    <row r="189" spans="2:5" x14ac:dyDescent="0.25">
      <c r="B189" s="13" t="s">
        <v>90</v>
      </c>
      <c r="C189" s="18"/>
      <c r="D189" s="18"/>
      <c r="E189" s="19"/>
    </row>
    <row r="190" spans="2:5" x14ac:dyDescent="0.25">
      <c r="B190" s="17"/>
      <c r="C190" s="61"/>
      <c r="D190" s="61"/>
      <c r="E190" s="62"/>
    </row>
    <row r="191" spans="2:5" x14ac:dyDescent="0.25">
      <c r="B191" s="13" t="s">
        <v>91</v>
      </c>
      <c r="C191" s="20"/>
      <c r="D191" s="20"/>
      <c r="E191" s="21"/>
    </row>
    <row r="192" spans="2:5" x14ac:dyDescent="0.25">
      <c r="B192" s="17"/>
      <c r="C192" s="54"/>
      <c r="D192" s="54"/>
      <c r="E192" s="55"/>
    </row>
    <row r="193" spans="2:5" x14ac:dyDescent="0.25">
      <c r="B193" s="13" t="s">
        <v>92</v>
      </c>
      <c r="C193" s="18"/>
      <c r="D193" s="18"/>
      <c r="E193" s="19"/>
    </row>
    <row r="194" spans="2:5" x14ac:dyDescent="0.25">
      <c r="B194" s="13"/>
      <c r="C194" s="56"/>
      <c r="D194" s="56"/>
      <c r="E194" s="57"/>
    </row>
    <row r="195" spans="2:5" ht="15.75" thickBot="1" x14ac:dyDescent="0.3">
      <c r="B195" s="22"/>
      <c r="C195" s="23"/>
      <c r="D195" s="23"/>
      <c r="E195" s="24"/>
    </row>
    <row r="196" spans="2:5" ht="15.75" customHeight="1" thickBot="1" x14ac:dyDescent="0.3">
      <c r="B196" s="32"/>
      <c r="C196" s="14"/>
      <c r="D196" s="14"/>
      <c r="E196" s="14"/>
    </row>
    <row r="197" spans="2:5" ht="15.75" customHeight="1" thickBot="1" x14ac:dyDescent="0.3">
      <c r="B197" s="63" t="s">
        <v>111</v>
      </c>
      <c r="C197" s="64"/>
      <c r="D197" s="64"/>
      <c r="E197" s="65"/>
    </row>
    <row r="198" spans="2:5" ht="15.75" customHeight="1" x14ac:dyDescent="0.25">
      <c r="B198" s="31" t="s">
        <v>93</v>
      </c>
      <c r="C198" s="28"/>
      <c r="D198" s="28"/>
      <c r="E198" s="29"/>
    </row>
    <row r="199" spans="2:5" ht="33" customHeight="1" x14ac:dyDescent="0.25">
      <c r="B199" s="13"/>
      <c r="C199" s="66" t="s">
        <v>61</v>
      </c>
      <c r="D199" s="66"/>
      <c r="E199" s="67"/>
    </row>
    <row r="200" spans="2:5" ht="15.75" customHeight="1" x14ac:dyDescent="0.25">
      <c r="B200" s="13" t="s">
        <v>89</v>
      </c>
      <c r="C200" s="14"/>
      <c r="D200" s="14"/>
      <c r="E200" s="15"/>
    </row>
    <row r="201" spans="2:5" ht="15.75" customHeight="1" x14ac:dyDescent="0.25">
      <c r="B201" s="16"/>
      <c r="C201" s="58"/>
      <c r="D201" s="59"/>
      <c r="E201" s="60"/>
    </row>
    <row r="202" spans="2:5" ht="15.75" customHeight="1" x14ac:dyDescent="0.25">
      <c r="B202" s="16"/>
      <c r="C202" s="59"/>
      <c r="D202" s="59"/>
      <c r="E202" s="60"/>
    </row>
    <row r="203" spans="2:5" ht="15.75" customHeight="1" x14ac:dyDescent="0.25">
      <c r="B203" s="17"/>
      <c r="C203" s="56"/>
      <c r="D203" s="56"/>
      <c r="E203" s="57"/>
    </row>
    <row r="204" spans="2:5" ht="15.75" customHeight="1" x14ac:dyDescent="0.25">
      <c r="B204" s="13" t="s">
        <v>90</v>
      </c>
      <c r="C204" s="18"/>
      <c r="D204" s="18"/>
      <c r="E204" s="19"/>
    </row>
    <row r="205" spans="2:5" ht="15.75" customHeight="1" x14ac:dyDescent="0.25">
      <c r="B205" s="17"/>
      <c r="C205" s="61"/>
      <c r="D205" s="61"/>
      <c r="E205" s="62"/>
    </row>
    <row r="206" spans="2:5" ht="15.75" customHeight="1" x14ac:dyDescent="0.25">
      <c r="B206" s="13" t="s">
        <v>91</v>
      </c>
      <c r="C206" s="20"/>
      <c r="D206" s="20"/>
      <c r="E206" s="21"/>
    </row>
    <row r="207" spans="2:5" ht="15.75" customHeight="1" x14ac:dyDescent="0.25">
      <c r="B207" s="17"/>
      <c r="C207" s="54"/>
      <c r="D207" s="54"/>
      <c r="E207" s="55"/>
    </row>
    <row r="208" spans="2:5" ht="15.75" customHeight="1" x14ac:dyDescent="0.25">
      <c r="B208" s="13" t="s">
        <v>92</v>
      </c>
      <c r="C208" s="18"/>
      <c r="D208" s="18"/>
      <c r="E208" s="19"/>
    </row>
    <row r="209" spans="2:5" ht="15.75" customHeight="1" x14ac:dyDescent="0.25">
      <c r="B209" s="13"/>
      <c r="C209" s="56"/>
      <c r="D209" s="56"/>
      <c r="E209" s="57"/>
    </row>
    <row r="210" spans="2:5" ht="15.75" customHeight="1" thickBot="1" x14ac:dyDescent="0.3">
      <c r="B210" s="22"/>
      <c r="C210" s="23"/>
      <c r="D210" s="23"/>
      <c r="E210" s="24"/>
    </row>
    <row r="211" spans="2:5" ht="15.75" customHeight="1" thickBot="1" x14ac:dyDescent="0.3">
      <c r="B211" s="32"/>
      <c r="C211" s="14"/>
      <c r="D211" s="14"/>
      <c r="E211" s="14"/>
    </row>
    <row r="212" spans="2:5" ht="15.75" customHeight="1" thickBot="1" x14ac:dyDescent="0.3">
      <c r="B212" s="63" t="s">
        <v>112</v>
      </c>
      <c r="C212" s="64"/>
      <c r="D212" s="64"/>
      <c r="E212" s="65"/>
    </row>
    <row r="213" spans="2:5" ht="15.75" customHeight="1" x14ac:dyDescent="0.25">
      <c r="B213" s="31" t="s">
        <v>93</v>
      </c>
      <c r="C213" s="28"/>
      <c r="D213" s="28"/>
      <c r="E213" s="29"/>
    </row>
    <row r="214" spans="2:5" ht="45" customHeight="1" x14ac:dyDescent="0.25">
      <c r="B214" s="13"/>
      <c r="C214" s="66" t="s">
        <v>113</v>
      </c>
      <c r="D214" s="66"/>
      <c r="E214" s="67"/>
    </row>
    <row r="215" spans="2:5" ht="15.75" customHeight="1" x14ac:dyDescent="0.25">
      <c r="B215" s="13" t="s">
        <v>89</v>
      </c>
      <c r="C215" s="14"/>
      <c r="D215" s="14"/>
      <c r="E215" s="15"/>
    </row>
    <row r="216" spans="2:5" ht="15.75" customHeight="1" x14ac:dyDescent="0.25">
      <c r="B216" s="16"/>
      <c r="C216" s="58"/>
      <c r="D216" s="59"/>
      <c r="E216" s="60"/>
    </row>
    <row r="217" spans="2:5" ht="15.75" customHeight="1" x14ac:dyDescent="0.25">
      <c r="B217" s="16"/>
      <c r="C217" s="59"/>
      <c r="D217" s="59"/>
      <c r="E217" s="60"/>
    </row>
    <row r="218" spans="2:5" ht="15.75" customHeight="1" x14ac:dyDescent="0.25">
      <c r="B218" s="17"/>
      <c r="C218" s="56"/>
      <c r="D218" s="56"/>
      <c r="E218" s="57"/>
    </row>
    <row r="219" spans="2:5" ht="15.75" customHeight="1" x14ac:dyDescent="0.25">
      <c r="B219" s="13" t="s">
        <v>90</v>
      </c>
      <c r="C219" s="18"/>
      <c r="D219" s="18"/>
      <c r="E219" s="19"/>
    </row>
    <row r="220" spans="2:5" ht="15.75" customHeight="1" x14ac:dyDescent="0.25">
      <c r="B220" s="17"/>
      <c r="C220" s="61"/>
      <c r="D220" s="61"/>
      <c r="E220" s="62"/>
    </row>
    <row r="221" spans="2:5" ht="15.75" customHeight="1" x14ac:dyDescent="0.25">
      <c r="B221" s="13" t="s">
        <v>91</v>
      </c>
      <c r="C221" s="20"/>
      <c r="D221" s="20"/>
      <c r="E221" s="21"/>
    </row>
    <row r="222" spans="2:5" ht="15.75" customHeight="1" x14ac:dyDescent="0.25">
      <c r="B222" s="17"/>
      <c r="C222" s="54"/>
      <c r="D222" s="54"/>
      <c r="E222" s="55"/>
    </row>
    <row r="223" spans="2:5" ht="15.75" customHeight="1" x14ac:dyDescent="0.25">
      <c r="B223" s="13" t="s">
        <v>92</v>
      </c>
      <c r="C223" s="18"/>
      <c r="D223" s="18"/>
      <c r="E223" s="19"/>
    </row>
    <row r="224" spans="2:5" ht="15.75" customHeight="1" x14ac:dyDescent="0.25">
      <c r="B224" s="13"/>
      <c r="C224" s="56"/>
      <c r="D224" s="56"/>
      <c r="E224" s="57"/>
    </row>
    <row r="225" spans="2:5" ht="15.75" customHeight="1" thickBot="1" x14ac:dyDescent="0.3">
      <c r="B225" s="22"/>
      <c r="C225" s="23"/>
      <c r="D225" s="23"/>
      <c r="E225" s="24"/>
    </row>
    <row r="226" spans="2:5" ht="15.75" customHeight="1" thickBot="1" x14ac:dyDescent="0.3">
      <c r="B226" s="32"/>
      <c r="C226" s="14"/>
      <c r="D226" s="14"/>
      <c r="E226" s="14"/>
    </row>
    <row r="227" spans="2:5" ht="15.75" thickBot="1" x14ac:dyDescent="0.3">
      <c r="B227" s="63" t="s">
        <v>100</v>
      </c>
      <c r="C227" s="64"/>
      <c r="D227" s="64"/>
      <c r="E227" s="65"/>
    </row>
    <row r="228" spans="2:5" ht="18.75" customHeight="1" x14ac:dyDescent="0.25">
      <c r="B228" s="30" t="s">
        <v>93</v>
      </c>
      <c r="C228" s="78"/>
      <c r="D228" s="78"/>
      <c r="E228" s="79"/>
    </row>
    <row r="229" spans="2:5" x14ac:dyDescent="0.25">
      <c r="B229" s="13"/>
      <c r="C229" s="82" t="s">
        <v>115</v>
      </c>
      <c r="D229" s="82"/>
      <c r="E229" s="83"/>
    </row>
    <row r="230" spans="2:5" x14ac:dyDescent="0.25">
      <c r="B230" s="13" t="s">
        <v>89</v>
      </c>
      <c r="C230" s="14"/>
      <c r="D230" s="14"/>
      <c r="E230" s="15"/>
    </row>
    <row r="231" spans="2:5" x14ac:dyDescent="0.25">
      <c r="B231" s="16"/>
      <c r="C231" s="58"/>
      <c r="D231" s="59"/>
      <c r="E231" s="60"/>
    </row>
    <row r="232" spans="2:5" x14ac:dyDescent="0.25">
      <c r="B232" s="16"/>
      <c r="C232" s="59"/>
      <c r="D232" s="59"/>
      <c r="E232" s="60"/>
    </row>
    <row r="233" spans="2:5" x14ac:dyDescent="0.25">
      <c r="B233" s="17"/>
      <c r="C233" s="56"/>
      <c r="D233" s="56"/>
      <c r="E233" s="57"/>
    </row>
    <row r="234" spans="2:5" x14ac:dyDescent="0.25">
      <c r="B234" s="13" t="s">
        <v>90</v>
      </c>
      <c r="C234" s="18"/>
      <c r="D234" s="18"/>
      <c r="E234" s="19"/>
    </row>
    <row r="235" spans="2:5" x14ac:dyDescent="0.25">
      <c r="B235" s="17"/>
      <c r="C235" s="61"/>
      <c r="D235" s="61"/>
      <c r="E235" s="62"/>
    </row>
    <row r="236" spans="2:5" x14ac:dyDescent="0.25">
      <c r="B236" s="13" t="s">
        <v>91</v>
      </c>
      <c r="C236" s="20"/>
      <c r="D236" s="20"/>
      <c r="E236" s="21"/>
    </row>
    <row r="237" spans="2:5" x14ac:dyDescent="0.25">
      <c r="B237" s="17"/>
      <c r="C237" s="54"/>
      <c r="D237" s="54"/>
      <c r="E237" s="55"/>
    </row>
    <row r="238" spans="2:5" x14ac:dyDescent="0.25">
      <c r="B238" s="13" t="s">
        <v>92</v>
      </c>
      <c r="C238" s="18"/>
      <c r="D238" s="18"/>
      <c r="E238" s="19"/>
    </row>
    <row r="239" spans="2:5" x14ac:dyDescent="0.25">
      <c r="B239" s="13"/>
      <c r="C239" s="56"/>
      <c r="D239" s="56"/>
      <c r="E239" s="57"/>
    </row>
    <row r="240" spans="2:5" ht="15.75" thickBot="1" x14ac:dyDescent="0.3">
      <c r="B240" s="22"/>
      <c r="C240" s="23"/>
      <c r="D240" s="23"/>
      <c r="E240" s="24"/>
    </row>
    <row r="241" spans="2:5" ht="15.75" thickBot="1" x14ac:dyDescent="0.3"/>
    <row r="242" spans="2:5" ht="15.75" thickBot="1" x14ac:dyDescent="0.3">
      <c r="B242" s="63" t="s">
        <v>101</v>
      </c>
      <c r="C242" s="64"/>
      <c r="D242" s="64"/>
      <c r="E242" s="65"/>
    </row>
    <row r="243" spans="2:5" x14ac:dyDescent="0.25">
      <c r="B243" s="25" t="s">
        <v>93</v>
      </c>
      <c r="C243" s="82"/>
      <c r="D243" s="82"/>
      <c r="E243" s="83"/>
    </row>
    <row r="244" spans="2:5" ht="17.25" customHeight="1" x14ac:dyDescent="0.25">
      <c r="B244" s="13"/>
      <c r="C244" s="84" t="s">
        <v>116</v>
      </c>
      <c r="D244" s="84"/>
      <c r="E244" s="85"/>
    </row>
    <row r="245" spans="2:5" x14ac:dyDescent="0.25">
      <c r="B245" s="13" t="s">
        <v>89</v>
      </c>
      <c r="C245" s="14"/>
      <c r="D245" s="14"/>
      <c r="E245" s="15"/>
    </row>
    <row r="246" spans="2:5" x14ac:dyDescent="0.25">
      <c r="B246" s="16"/>
      <c r="C246" s="58"/>
      <c r="D246" s="59"/>
      <c r="E246" s="60"/>
    </row>
    <row r="247" spans="2:5" x14ac:dyDescent="0.25">
      <c r="B247" s="16"/>
      <c r="C247" s="59"/>
      <c r="D247" s="59"/>
      <c r="E247" s="60"/>
    </row>
    <row r="248" spans="2:5" x14ac:dyDescent="0.25">
      <c r="B248" s="17"/>
      <c r="C248" s="56"/>
      <c r="D248" s="56"/>
      <c r="E248" s="57"/>
    </row>
    <row r="249" spans="2:5" x14ac:dyDescent="0.25">
      <c r="B249" s="13" t="s">
        <v>90</v>
      </c>
      <c r="C249" s="18"/>
      <c r="D249" s="18"/>
      <c r="E249" s="19"/>
    </row>
    <row r="250" spans="2:5" x14ac:dyDescent="0.25">
      <c r="B250" s="17"/>
      <c r="C250" s="61"/>
      <c r="D250" s="61"/>
      <c r="E250" s="62"/>
    </row>
    <row r="251" spans="2:5" x14ac:dyDescent="0.25">
      <c r="B251" s="13" t="s">
        <v>91</v>
      </c>
      <c r="C251" s="20"/>
      <c r="D251" s="20"/>
      <c r="E251" s="21"/>
    </row>
    <row r="252" spans="2:5" x14ac:dyDescent="0.25">
      <c r="B252" s="17"/>
      <c r="C252" s="54"/>
      <c r="D252" s="54"/>
      <c r="E252" s="55"/>
    </row>
    <row r="253" spans="2:5" x14ac:dyDescent="0.25">
      <c r="B253" s="13" t="s">
        <v>92</v>
      </c>
      <c r="C253" s="18"/>
      <c r="D253" s="18"/>
      <c r="E253" s="19"/>
    </row>
    <row r="254" spans="2:5" x14ac:dyDescent="0.25">
      <c r="B254" s="13"/>
      <c r="C254" s="56"/>
      <c r="D254" s="56"/>
      <c r="E254" s="57"/>
    </row>
    <row r="255" spans="2:5" ht="15.75" thickBot="1" x14ac:dyDescent="0.3">
      <c r="B255" s="22"/>
      <c r="C255" s="23"/>
      <c r="D255" s="23"/>
      <c r="E255" s="24"/>
    </row>
    <row r="256" spans="2:5" ht="15.75" thickBot="1" x14ac:dyDescent="0.3"/>
    <row r="257" spans="2:5" ht="15.75" thickBot="1" x14ac:dyDescent="0.3">
      <c r="B257" s="63" t="s">
        <v>117</v>
      </c>
      <c r="C257" s="64"/>
      <c r="D257" s="64"/>
      <c r="E257" s="65"/>
    </row>
    <row r="258" spans="2:5" x14ac:dyDescent="0.25">
      <c r="B258" s="25" t="s">
        <v>93</v>
      </c>
      <c r="C258" s="82"/>
      <c r="D258" s="82"/>
      <c r="E258" s="83"/>
    </row>
    <row r="259" spans="2:5" ht="20.25" customHeight="1" x14ac:dyDescent="0.25">
      <c r="B259" s="13"/>
      <c r="C259" s="84" t="s">
        <v>118</v>
      </c>
      <c r="D259" s="84"/>
      <c r="E259" s="85"/>
    </row>
    <row r="260" spans="2:5" x14ac:dyDescent="0.25">
      <c r="B260" s="13" t="s">
        <v>89</v>
      </c>
      <c r="C260" s="14"/>
      <c r="D260" s="14"/>
      <c r="E260" s="15"/>
    </row>
    <row r="261" spans="2:5" x14ac:dyDescent="0.25">
      <c r="B261" s="16"/>
      <c r="C261" s="58"/>
      <c r="D261" s="59"/>
      <c r="E261" s="60"/>
    </row>
    <row r="262" spans="2:5" x14ac:dyDescent="0.25">
      <c r="B262" s="16"/>
      <c r="C262" s="59"/>
      <c r="D262" s="59"/>
      <c r="E262" s="60"/>
    </row>
    <row r="263" spans="2:5" x14ac:dyDescent="0.25">
      <c r="B263" s="17"/>
      <c r="C263" s="56"/>
      <c r="D263" s="56"/>
      <c r="E263" s="57"/>
    </row>
    <row r="264" spans="2:5" x14ac:dyDescent="0.25">
      <c r="B264" s="13" t="s">
        <v>90</v>
      </c>
      <c r="C264" s="18"/>
      <c r="D264" s="18"/>
      <c r="E264" s="19"/>
    </row>
    <row r="265" spans="2:5" x14ac:dyDescent="0.25">
      <c r="B265" s="17"/>
      <c r="C265" s="61"/>
      <c r="D265" s="61"/>
      <c r="E265" s="62"/>
    </row>
    <row r="266" spans="2:5" x14ac:dyDescent="0.25">
      <c r="B266" s="13" t="s">
        <v>91</v>
      </c>
      <c r="C266" s="20"/>
      <c r="D266" s="20"/>
      <c r="E266" s="21"/>
    </row>
    <row r="267" spans="2:5" x14ac:dyDescent="0.25">
      <c r="B267" s="17"/>
      <c r="C267" s="54"/>
      <c r="D267" s="54"/>
      <c r="E267" s="55"/>
    </row>
    <row r="268" spans="2:5" x14ac:dyDescent="0.25">
      <c r="B268" s="13" t="s">
        <v>92</v>
      </c>
      <c r="C268" s="18"/>
      <c r="D268" s="18"/>
      <c r="E268" s="19"/>
    </row>
    <row r="269" spans="2:5" x14ac:dyDescent="0.25">
      <c r="B269" s="13"/>
      <c r="C269" s="56"/>
      <c r="D269" s="56"/>
      <c r="E269" s="57"/>
    </row>
    <row r="270" spans="2:5" ht="15.75" thickBot="1" x14ac:dyDescent="0.3">
      <c r="B270" s="22"/>
      <c r="C270" s="23"/>
      <c r="D270" s="23"/>
      <c r="E270" s="24"/>
    </row>
    <row r="271" spans="2:5" ht="15.75" thickBot="1" x14ac:dyDescent="0.3"/>
    <row r="272" spans="2:5" ht="15.75" thickBot="1" x14ac:dyDescent="0.3">
      <c r="B272" s="63" t="s">
        <v>119</v>
      </c>
      <c r="C272" s="64"/>
      <c r="D272" s="64"/>
      <c r="E272" s="65"/>
    </row>
    <row r="273" spans="2:5" x14ac:dyDescent="0.25">
      <c r="B273" s="25" t="s">
        <v>93</v>
      </c>
      <c r="C273" s="82"/>
      <c r="D273" s="82"/>
      <c r="E273" s="83"/>
    </row>
    <row r="274" spans="2:5" ht="21.75" customHeight="1" x14ac:dyDescent="0.25">
      <c r="B274" s="13"/>
      <c r="C274" s="84" t="s">
        <v>120</v>
      </c>
      <c r="D274" s="84"/>
      <c r="E274" s="85"/>
    </row>
    <row r="275" spans="2:5" x14ac:dyDescent="0.25">
      <c r="B275" s="13" t="s">
        <v>89</v>
      </c>
      <c r="C275" s="14"/>
      <c r="D275" s="14"/>
      <c r="E275" s="15"/>
    </row>
    <row r="276" spans="2:5" x14ac:dyDescent="0.25">
      <c r="B276" s="16"/>
      <c r="C276" s="58"/>
      <c r="D276" s="59"/>
      <c r="E276" s="60"/>
    </row>
    <row r="277" spans="2:5" x14ac:dyDescent="0.25">
      <c r="B277" s="16"/>
      <c r="C277" s="59"/>
      <c r="D277" s="59"/>
      <c r="E277" s="60"/>
    </row>
    <row r="278" spans="2:5" x14ac:dyDescent="0.25">
      <c r="B278" s="17"/>
      <c r="C278" s="56"/>
      <c r="D278" s="56"/>
      <c r="E278" s="57"/>
    </row>
    <row r="279" spans="2:5" x14ac:dyDescent="0.25">
      <c r="B279" s="13" t="s">
        <v>90</v>
      </c>
      <c r="C279" s="18"/>
      <c r="D279" s="18"/>
      <c r="E279" s="19"/>
    </row>
    <row r="280" spans="2:5" x14ac:dyDescent="0.25">
      <c r="B280" s="17"/>
      <c r="C280" s="61"/>
      <c r="D280" s="61"/>
      <c r="E280" s="62"/>
    </row>
    <row r="281" spans="2:5" x14ac:dyDescent="0.25">
      <c r="B281" s="13" t="s">
        <v>91</v>
      </c>
      <c r="C281" s="20"/>
      <c r="D281" s="20"/>
      <c r="E281" s="21"/>
    </row>
    <row r="282" spans="2:5" x14ac:dyDescent="0.25">
      <c r="B282" s="17"/>
      <c r="C282" s="54"/>
      <c r="D282" s="54"/>
      <c r="E282" s="55"/>
    </row>
    <row r="283" spans="2:5" x14ac:dyDescent="0.25">
      <c r="B283" s="13" t="s">
        <v>92</v>
      </c>
      <c r="C283" s="18"/>
      <c r="D283" s="18"/>
      <c r="E283" s="19"/>
    </row>
    <row r="284" spans="2:5" x14ac:dyDescent="0.25">
      <c r="B284" s="13"/>
      <c r="C284" s="56"/>
      <c r="D284" s="56"/>
      <c r="E284" s="57"/>
    </row>
    <row r="285" spans="2:5" ht="15.75" thickBot="1" x14ac:dyDescent="0.3">
      <c r="B285" s="22"/>
      <c r="C285" s="23"/>
      <c r="D285" s="23"/>
      <c r="E285" s="24"/>
    </row>
    <row r="286" spans="2:5" ht="15.75" thickBot="1" x14ac:dyDescent="0.3"/>
    <row r="287" spans="2:5" ht="15.75" thickBot="1" x14ac:dyDescent="0.3">
      <c r="B287" s="63" t="s">
        <v>122</v>
      </c>
      <c r="C287" s="64"/>
      <c r="D287" s="64"/>
      <c r="E287" s="65"/>
    </row>
    <row r="288" spans="2:5" x14ac:dyDescent="0.25">
      <c r="B288" s="25" t="s">
        <v>93</v>
      </c>
      <c r="C288" s="82"/>
      <c r="D288" s="82"/>
      <c r="E288" s="83"/>
    </row>
    <row r="289" spans="2:5" ht="21.75" customHeight="1" x14ac:dyDescent="0.25">
      <c r="B289" s="13"/>
      <c r="C289" s="84" t="s">
        <v>121</v>
      </c>
      <c r="D289" s="84"/>
      <c r="E289" s="85"/>
    </row>
    <row r="290" spans="2:5" x14ac:dyDescent="0.25">
      <c r="B290" s="13" t="s">
        <v>89</v>
      </c>
      <c r="C290" s="14"/>
      <c r="D290" s="14"/>
      <c r="E290" s="15"/>
    </row>
    <row r="291" spans="2:5" x14ac:dyDescent="0.25">
      <c r="B291" s="16"/>
      <c r="C291" s="58"/>
      <c r="D291" s="59"/>
      <c r="E291" s="60"/>
    </row>
    <row r="292" spans="2:5" x14ac:dyDescent="0.25">
      <c r="B292" s="16"/>
      <c r="C292" s="59"/>
      <c r="D292" s="59"/>
      <c r="E292" s="60"/>
    </row>
    <row r="293" spans="2:5" x14ac:dyDescent="0.25">
      <c r="B293" s="17"/>
      <c r="C293" s="56"/>
      <c r="D293" s="56"/>
      <c r="E293" s="57"/>
    </row>
    <row r="294" spans="2:5" x14ac:dyDescent="0.25">
      <c r="B294" s="13" t="s">
        <v>90</v>
      </c>
      <c r="C294" s="18"/>
      <c r="D294" s="18"/>
      <c r="E294" s="19"/>
    </row>
    <row r="295" spans="2:5" x14ac:dyDescent="0.25">
      <c r="B295" s="17"/>
      <c r="C295" s="61"/>
      <c r="D295" s="61"/>
      <c r="E295" s="62"/>
    </row>
    <row r="296" spans="2:5" x14ac:dyDescent="0.25">
      <c r="B296" s="13" t="s">
        <v>91</v>
      </c>
      <c r="C296" s="20"/>
      <c r="D296" s="20"/>
      <c r="E296" s="21"/>
    </row>
    <row r="297" spans="2:5" x14ac:dyDescent="0.25">
      <c r="B297" s="17"/>
      <c r="C297" s="54"/>
      <c r="D297" s="54"/>
      <c r="E297" s="55"/>
    </row>
    <row r="298" spans="2:5" x14ac:dyDescent="0.25">
      <c r="B298" s="13" t="s">
        <v>92</v>
      </c>
      <c r="C298" s="18"/>
      <c r="D298" s="18"/>
      <c r="E298" s="19"/>
    </row>
    <row r="299" spans="2:5" x14ac:dyDescent="0.25">
      <c r="B299" s="13"/>
      <c r="C299" s="56"/>
      <c r="D299" s="56"/>
      <c r="E299" s="57"/>
    </row>
    <row r="300" spans="2:5" ht="15.75" thickBot="1" x14ac:dyDescent="0.3">
      <c r="B300" s="22"/>
      <c r="C300" s="23"/>
      <c r="D300" s="23"/>
      <c r="E300" s="24"/>
    </row>
  </sheetData>
  <mergeCells count="135">
    <mergeCell ref="C293:E293"/>
    <mergeCell ref="C295:E295"/>
    <mergeCell ref="C297:E297"/>
    <mergeCell ref="C299:E299"/>
    <mergeCell ref="C284:E284"/>
    <mergeCell ref="B287:E287"/>
    <mergeCell ref="C288:E288"/>
    <mergeCell ref="C289:E289"/>
    <mergeCell ref="C291:E292"/>
    <mergeCell ref="C274:E274"/>
    <mergeCell ref="C276:E277"/>
    <mergeCell ref="C278:E278"/>
    <mergeCell ref="C280:E280"/>
    <mergeCell ref="C282:E282"/>
    <mergeCell ref="C265:E265"/>
    <mergeCell ref="C267:E267"/>
    <mergeCell ref="C269:E269"/>
    <mergeCell ref="B272:E272"/>
    <mergeCell ref="C273:E273"/>
    <mergeCell ref="B257:E257"/>
    <mergeCell ref="C258:E258"/>
    <mergeCell ref="C259:E259"/>
    <mergeCell ref="C261:E262"/>
    <mergeCell ref="C263:E263"/>
    <mergeCell ref="C216:E217"/>
    <mergeCell ref="C218:E218"/>
    <mergeCell ref="C220:E220"/>
    <mergeCell ref="C222:E222"/>
    <mergeCell ref="C224:E224"/>
    <mergeCell ref="C244:E244"/>
    <mergeCell ref="C239:E239"/>
    <mergeCell ref="C228:E228"/>
    <mergeCell ref="B242:E242"/>
    <mergeCell ref="C243:E243"/>
    <mergeCell ref="B227:E227"/>
    <mergeCell ref="C229:E229"/>
    <mergeCell ref="C231:E232"/>
    <mergeCell ref="C233:E233"/>
    <mergeCell ref="C235:E235"/>
    <mergeCell ref="C237:E237"/>
    <mergeCell ref="C104:E104"/>
    <mergeCell ref="B197:E197"/>
    <mergeCell ref="C199:E199"/>
    <mergeCell ref="C201:E202"/>
    <mergeCell ref="C203:E203"/>
    <mergeCell ref="B122:E122"/>
    <mergeCell ref="C124:E124"/>
    <mergeCell ref="B152:E152"/>
    <mergeCell ref="C128:E128"/>
    <mergeCell ref="C130:E130"/>
    <mergeCell ref="C132:E132"/>
    <mergeCell ref="C134:E134"/>
    <mergeCell ref="B137:E137"/>
    <mergeCell ref="C139:E139"/>
    <mergeCell ref="C190:E190"/>
    <mergeCell ref="B167:E167"/>
    <mergeCell ref="C169:E169"/>
    <mergeCell ref="C171:E172"/>
    <mergeCell ref="C173:E173"/>
    <mergeCell ref="C175:E175"/>
    <mergeCell ref="C177:E177"/>
    <mergeCell ref="C123:E123"/>
    <mergeCell ref="C108:E108"/>
    <mergeCell ref="C179:E179"/>
    <mergeCell ref="C94:E94"/>
    <mergeCell ref="C96:E97"/>
    <mergeCell ref="C98:E98"/>
    <mergeCell ref="C100:E100"/>
    <mergeCell ref="C102:E102"/>
    <mergeCell ref="C83:E83"/>
    <mergeCell ref="C85:E85"/>
    <mergeCell ref="C87:E87"/>
    <mergeCell ref="C89:E89"/>
    <mergeCell ref="B92:E92"/>
    <mergeCell ref="C72:E72"/>
    <mergeCell ref="C74:E74"/>
    <mergeCell ref="B77:E77"/>
    <mergeCell ref="C79:E79"/>
    <mergeCell ref="C81:E82"/>
    <mergeCell ref="A6:B6"/>
    <mergeCell ref="B47:E47"/>
    <mergeCell ref="C49:E49"/>
    <mergeCell ref="C51:E52"/>
    <mergeCell ref="A2:I2"/>
    <mergeCell ref="A4:B4"/>
    <mergeCell ref="C4:E4"/>
    <mergeCell ref="A5:B5"/>
    <mergeCell ref="C5:E5"/>
    <mergeCell ref="C126:E127"/>
    <mergeCell ref="A7:B7"/>
    <mergeCell ref="A45:H45"/>
    <mergeCell ref="B107:E107"/>
    <mergeCell ref="C109:E109"/>
    <mergeCell ref="C111:E112"/>
    <mergeCell ref="C113:E113"/>
    <mergeCell ref="C53:E53"/>
    <mergeCell ref="C55:E55"/>
    <mergeCell ref="C57:E57"/>
    <mergeCell ref="C59:E59"/>
    <mergeCell ref="B62:E62"/>
    <mergeCell ref="C64:E64"/>
    <mergeCell ref="C66:E67"/>
    <mergeCell ref="C68:E68"/>
    <mergeCell ref="C70:E70"/>
    <mergeCell ref="C115:E115"/>
    <mergeCell ref="C117:E117"/>
    <mergeCell ref="C119:E119"/>
    <mergeCell ref="B182:E182"/>
    <mergeCell ref="C184:E184"/>
    <mergeCell ref="C154:E154"/>
    <mergeCell ref="C156:E157"/>
    <mergeCell ref="C158:E158"/>
    <mergeCell ref="C160:E160"/>
    <mergeCell ref="C162:E162"/>
    <mergeCell ref="C164:E164"/>
    <mergeCell ref="C141:E142"/>
    <mergeCell ref="C143:E143"/>
    <mergeCell ref="C145:E145"/>
    <mergeCell ref="C147:E147"/>
    <mergeCell ref="C149:E149"/>
    <mergeCell ref="C168:E168"/>
    <mergeCell ref="C192:E192"/>
    <mergeCell ref="C194:E194"/>
    <mergeCell ref="C186:E187"/>
    <mergeCell ref="C188:E188"/>
    <mergeCell ref="C246:E247"/>
    <mergeCell ref="C248:E248"/>
    <mergeCell ref="C250:E250"/>
    <mergeCell ref="C252:E252"/>
    <mergeCell ref="C254:E254"/>
    <mergeCell ref="C205:E205"/>
    <mergeCell ref="C207:E207"/>
    <mergeCell ref="C209:E209"/>
    <mergeCell ref="B212:E212"/>
    <mergeCell ref="C214:E214"/>
  </mergeCells>
  <pageMargins left="0.7" right="0.7" top="0.75" bottom="0.75" header="0.3" footer="0.3"/>
  <pageSetup orientation="portrait" horizontalDpi="4294967295" verticalDpi="4294967295" r:id="rId1"/>
  <ignoredErrors>
    <ignoredError sqref="I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A E y M</dc:creator>
  <cp:lastModifiedBy>ELIAS QUINTAR</cp:lastModifiedBy>
  <dcterms:created xsi:type="dcterms:W3CDTF">2022-02-21T12:55:32Z</dcterms:created>
  <dcterms:modified xsi:type="dcterms:W3CDTF">2022-03-21T11:36:20Z</dcterms:modified>
</cp:coreProperties>
</file>