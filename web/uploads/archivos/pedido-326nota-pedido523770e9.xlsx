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3° trimestre 2022\Bazar\"/>
    </mc:Choice>
  </mc:AlternateContent>
  <xr:revisionPtr revIDLastSave="0" documentId="13_ncr:1_{11FC9178-0E38-463A-81DC-544032F24080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Trimestrales'!$A$9:$I$17</definedName>
    <definedName name="_xlnm.Print_Area" localSheetId="1">' NotaPedido'!$A$1:$K$20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12" i="2"/>
  <c r="J13" i="2"/>
  <c r="J14" i="2"/>
  <c r="J15" i="2"/>
  <c r="J16" i="2"/>
  <c r="J17" i="2"/>
  <c r="J18" i="2"/>
  <c r="J19" i="2"/>
  <c r="J12" i="2"/>
  <c r="I13" i="2"/>
  <c r="I14" i="2"/>
  <c r="I15" i="2"/>
  <c r="I16" i="2"/>
  <c r="I17" i="2"/>
  <c r="I18" i="2"/>
  <c r="I19" i="2"/>
  <c r="I12" i="2"/>
  <c r="C19" i="2"/>
  <c r="C18" i="2"/>
  <c r="C17" i="2"/>
  <c r="C16" i="2"/>
  <c r="C15" i="2"/>
  <c r="C14" i="2"/>
  <c r="C13" i="2"/>
  <c r="C12" i="2"/>
  <c r="B13" i="2"/>
  <c r="B14" i="2"/>
  <c r="B15" i="2"/>
  <c r="B16" i="2"/>
  <c r="B17" i="2"/>
  <c r="B18" i="2"/>
  <c r="B19" i="2"/>
  <c r="B12" i="2"/>
  <c r="A13" i="2"/>
  <c r="A14" i="2"/>
  <c r="A15" i="2"/>
  <c r="A16" i="2"/>
  <c r="A17" i="2"/>
  <c r="A18" i="2"/>
  <c r="A19" i="2"/>
  <c r="A12" i="2"/>
  <c r="I17" i="1"/>
  <c r="D17" i="1"/>
  <c r="I16" i="1" l="1"/>
  <c r="D16" i="1"/>
  <c r="Q19" i="3"/>
  <c r="J20" i="2" l="1"/>
  <c r="D7" i="2"/>
  <c r="I13" i="1" l="1"/>
  <c r="I14" i="1"/>
  <c r="I15" i="1"/>
  <c r="I12" i="1"/>
  <c r="I11" i="1"/>
  <c r="I10" i="1"/>
  <c r="D12" i="1"/>
  <c r="D13" i="1"/>
  <c r="D14" i="1"/>
  <c r="D15" i="1"/>
  <c r="D10" i="1" l="1"/>
  <c r="D11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<sst xmlns="http://schemas.openxmlformats.org/spreadsheetml/2006/main" count="135" uniqueCount="100">
  <si>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</si>
  <si>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</si>
  <si>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</si>
  <si>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</si>
  <si>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</si>
  <si>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</si>
  <si>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</si>
  <si>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</si>
  <si>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</si>
  <si>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</si>
  <si>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</si>
  <si>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</si>
  <si>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</si>
  <si>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</si>
  <si>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</si>
  <si>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</si>
  <si>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</si>
  <si>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</si>
  <si>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</si>
  <si>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</si>
  <si>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</si>
  <si>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</si>
  <si>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</si>
  <si>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</si>
  <si>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</si>
  <si>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</si>
  <si>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</si>
  <si>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</si>
  <si>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</si>
  <si>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</si>
  <si>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</si>
  <si>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</si>
  <si>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</si>
  <si>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</si>
  <si>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</si>
  <si>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</si>
  <si>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</si>
  <si>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</si>
  <si>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</si>
  <si>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</si>
  <si>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</si>
  <si>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</si>
  <si>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</si>
  <si>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</si>
  <si>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</si>
  <si>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</si>
  <si>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</si>
  <si>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</si>
  <si>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</si>
  <si>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</si>
  <si>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</si>
  <si>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</si>
  <si>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Direccion Asistencial </t>
  </si>
  <si>
    <t>CAJA</t>
  </si>
  <si>
    <t>RUBRO</t>
  </si>
  <si>
    <t>NO</t>
  </si>
  <si>
    <t>1.1</t>
  </si>
  <si>
    <t>2.9.4-587.5</t>
  </si>
  <si>
    <t>BAZAR Y MENAJE</t>
  </si>
  <si>
    <t>CUBIERTOS PLASTICOS; MATERIAL: POLIESTIRENO, PRESENTACION: CAJA X 1000, ELEMENTO: CUCHARA SOPERA</t>
  </si>
  <si>
    <t>2.9.4-587.33</t>
  </si>
  <si>
    <t>CUBIERTOS PLASTICOS; MATERIAL: PLASTICO, ELEMENTO: CUCHARA POSTRE, PRESENTACION: ENVASE X 1000 UN</t>
  </si>
  <si>
    <t>2.9.4-587.8</t>
  </si>
  <si>
    <t>CUBIERTOS PLASTICOS; MATERIAL: POLIESTIRENO, PRESENTACION: CAJA X 1000, ELEMENTO: CUCHILLO</t>
  </si>
  <si>
    <t>2.9.4-587.6</t>
  </si>
  <si>
    <t>CUBIERTOS PLASTICOS; MATERIAL: POLIESTIRENO, ELEMENTO: TENEDOR, PRESENTACION: CAJA X 1000</t>
  </si>
  <si>
    <t>2.9.4-4743.24</t>
  </si>
  <si>
    <t>BANDEJA P/TRANSP. DE ALIMENTO; DIMENSION: 18 X 14 X 4 Cm, TIPO: C/TAPA, MATERIAL: ALUMINIO APTO MICROONDAS, CAPACIDAD: 750 CM3</t>
  </si>
  <si>
    <t>2.9.4-6970.2</t>
  </si>
  <si>
    <t>COMPOTERAS; MATERIAL: PLASTICO, CAPACIDAD: 200 mL</t>
  </si>
  <si>
    <t>2.9.4-1184.43</t>
  </si>
  <si>
    <t>VASOS; MATERIAL: POLIESTIRENO EXPANDIDO, TIPO: DESCARTABLE, CAPACIDAD: 240 CM3</t>
  </si>
  <si>
    <t>Utensilios de Cocina y Comedor</t>
  </si>
  <si>
    <t>Descripción técnica</t>
  </si>
  <si>
    <t>Plazos  de entrega:</t>
  </si>
  <si>
    <t>Lugar de entrega</t>
  </si>
  <si>
    <t>Calidad Minima esperada</t>
  </si>
  <si>
    <t>Mantenimiento</t>
  </si>
  <si>
    <t>Garantia</t>
  </si>
  <si>
    <t xml:space="preserve"> MATERNIDAD PROVINCIAL 25 DE MAYO , HERNADO DE PEDRAZA 1650-SECTOR ECONOMATO</t>
  </si>
  <si>
    <t>Hora de entrega: 08:00 a 12:00</t>
  </si>
  <si>
    <t xml:space="preserve">SERVICIO DE NUTRICION </t>
  </si>
  <si>
    <t>SI</t>
  </si>
  <si>
    <t>Para la adquisición de Descartables de cocina, para ser destinados al Servicio de Nutricion  de la Maternidad Provincial 25 de Mayo</t>
  </si>
  <si>
    <t>Especificidades Item N° 6</t>
  </si>
  <si>
    <t>TIPO: FOOD SOLUTIONS-105 PARA POSTRE</t>
  </si>
  <si>
    <t>30(TREINTA) DIAS HABILES</t>
  </si>
  <si>
    <t>10(diez) Dias habiles desde la firma del instrumento contractual</t>
  </si>
  <si>
    <t>Especificidades Item N° 5</t>
  </si>
  <si>
    <t>Presentacion: caja x 1000 unidades</t>
  </si>
  <si>
    <t>2.7.9-784.32</t>
  </si>
  <si>
    <t>PAPELES DE ALUMINIO; USO: HOGAR, ESPESOR: 38 Mn, LARGO: 50 M, PESO: 1 Kg, ANCHO: 450 mm</t>
  </si>
  <si>
    <t>ROLLO</t>
  </si>
  <si>
    <t>Costo total estimado: SETECIENTOS DIEZ MIL CUATROCIENTOS CON  00/100</t>
  </si>
  <si>
    <t>TOTAL DE PESOS: SETECIENTOS DIEZ MIL CUATROCIENTOS CON  00/100</t>
  </si>
  <si>
    <t>/2022</t>
  </si>
  <si>
    <t xml:space="preserve">Servicio de Nutrición </t>
  </si>
  <si>
    <t>Adquisición de descartables para el Servicio de Nutrición</t>
  </si>
  <si>
    <t>40-Ministerio de Salud</t>
  </si>
  <si>
    <t>OTROS 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</si>
</sst>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6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4" xfId="0" applyBorder="1"/>
    <xf numFmtId="0" fontId="0" fillId="0" borderId="18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9" xfId="0" applyBorder="1"/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66" fontId="14" fillId="0" borderId="24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Border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4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5" fillId="0" borderId="2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indent="3"/>
    </xf>
    <xf numFmtId="0" fontId="20" fillId="0" borderId="30" xfId="0" applyFont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169" fontId="20" fillId="0" borderId="33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1" xfId="0" applyFont="1" applyFill="1" applyBorder="1" applyAlignment="1">
      <alignment horizontal="center" vertical="center" wrapText="1"/>
    </xf>
    <xf numFmtId="3" fontId="5" fillId="0" borderId="4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9" fontId="19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vertical="center" wrapText="1"/>
    </xf>
    <xf numFmtId="49" fontId="7" fillId="0" borderId="5" xfId="0" applyNumberFormat="1" applyFont="1" applyFill="1" applyBorder="1" applyAlignment="1">
      <alignment horizontal="center" vertical="center"/>
    </xf>
    <xf numFmtId="0" fontId="24" fillId="0" borderId="44" xfId="0" applyFont="1" applyBorder="1" applyAlignment="1">
      <alignment vertical="center"/>
    </xf>
    <xf numFmtId="0" fontId="25" fillId="0" borderId="44" xfId="0" applyFont="1" applyBorder="1"/>
    <xf numFmtId="0" fontId="25" fillId="0" borderId="45" xfId="0" applyFont="1" applyFill="1" applyBorder="1" applyAlignment="1">
      <alignment vertical="center" wrapText="1"/>
    </xf>
    <xf numFmtId="0" fontId="25" fillId="0" borderId="46" xfId="0" applyFont="1" applyFill="1" applyBorder="1"/>
    <xf numFmtId="0" fontId="25" fillId="0" borderId="0" xfId="0" applyFont="1" applyBorder="1" applyAlignment="1">
      <alignment vertical="center"/>
    </xf>
    <xf numFmtId="0" fontId="25" fillId="0" borderId="0" xfId="0" applyFont="1" applyBorder="1"/>
    <xf numFmtId="0" fontId="25" fillId="0" borderId="47" xfId="0" applyFont="1" applyFill="1" applyBorder="1" applyAlignment="1">
      <alignment vertical="center" wrapText="1"/>
    </xf>
    <xf numFmtId="0" fontId="24" fillId="0" borderId="46" xfId="0" applyFont="1" applyFill="1" applyBorder="1"/>
    <xf numFmtId="0" fontId="24" fillId="0" borderId="0" xfId="0" applyFont="1" applyBorder="1"/>
    <xf numFmtId="0" fontId="24" fillId="0" borderId="47" xfId="0" applyFont="1" applyFill="1" applyBorder="1" applyAlignment="1">
      <alignment vertical="center" wrapText="1"/>
    </xf>
    <xf numFmtId="0" fontId="25" fillId="0" borderId="0" xfId="0" applyFont="1" applyFill="1" applyBorder="1"/>
    <xf numFmtId="0" fontId="25" fillId="0" borderId="29" xfId="0" applyFont="1" applyFill="1" applyBorder="1"/>
    <xf numFmtId="0" fontId="25" fillId="0" borderId="3" xfId="0" applyFont="1" applyBorder="1" applyAlignment="1">
      <alignment vertical="center"/>
    </xf>
    <xf numFmtId="0" fontId="25" fillId="0" borderId="3" xfId="0" applyFont="1" applyBorder="1"/>
    <xf numFmtId="0" fontId="25" fillId="0" borderId="28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25" fillId="0" borderId="0" xfId="0" applyFont="1"/>
    <xf numFmtId="0" fontId="25" fillId="0" borderId="0" xfId="0" applyFont="1" applyFill="1" applyBorder="1" applyAlignment="1">
      <alignment vertical="center" wrapText="1"/>
    </xf>
    <xf numFmtId="0" fontId="26" fillId="0" borderId="43" xfId="0" applyFont="1" applyFill="1" applyBorder="1"/>
    <xf numFmtId="0" fontId="5" fillId="0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21" fillId="0" borderId="4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166" fontId="21" fillId="0" borderId="42" xfId="1" applyNumberFormat="1" applyFont="1" applyBorder="1" applyAlignment="1" applyProtection="1">
      <alignment horizontal="right" vertical="center" wrapText="1"/>
    </xf>
    <xf numFmtId="0" fontId="5" fillId="0" borderId="49" xfId="0" applyFont="1" applyFill="1" applyBorder="1" applyAlignment="1">
      <alignment horizontal="center" vertical="center" wrapText="1"/>
    </xf>
    <xf numFmtId="0" fontId="16" fillId="3" borderId="0" xfId="0" applyFont="1" applyFill="1" applyBorder="1"/>
    <xf numFmtId="0" fontId="25" fillId="0" borderId="0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46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5" fillId="0" borderId="47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 wrapText="1"/>
    </xf>
    <xf numFmtId="0" fontId="8" fillId="0" borderId="1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 indent="1"/>
    </xf>
    <xf numFmtId="0" fontId="8" fillId="0" borderId="9" xfId="0" applyFont="1" applyFill="1" applyBorder="1" applyAlignment="1">
      <alignment horizontal="left" vertical="center" wrapText="1"/>
    </xf>
    <xf numFmtId="167" fontId="24" fillId="0" borderId="29" xfId="0" applyNumberFormat="1" applyFont="1" applyFill="1" applyBorder="1" applyAlignment="1">
      <alignment horizontal="center" vertical="center"/>
    </xf>
    <xf numFmtId="167" fontId="24" fillId="0" borderId="28" xfId="0" applyNumberFormat="1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 vertical="center" wrapText="1" indent="1"/>
    </xf>
    <xf numFmtId="0" fontId="7" fillId="0" borderId="3" xfId="0" applyFont="1" applyFill="1" applyBorder="1" applyAlignment="1">
      <alignment horizontal="left" vertical="center" wrapText="1" indent="1"/>
    </xf>
    <xf numFmtId="0" fontId="7" fillId="0" borderId="28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center" wrapText="1"/>
    </xf>
    <xf numFmtId="0" fontId="5" fillId="0" borderId="50" xfId="0" applyFont="1" applyFill="1" applyBorder="1" applyAlignment="1">
      <alignment horizontal="left" vertical="center" wrapText="1"/>
    </xf>
    <xf numFmtId="0" fontId="5" fillId="0" borderId="51" xfId="0" applyFont="1" applyFill="1" applyBorder="1" applyAlignment="1">
      <alignment horizontal="left" vertical="center" wrapText="1"/>
    </xf>
    <xf numFmtId="0" fontId="5" fillId="0" borderId="48" xfId="0" applyFont="1" applyFill="1" applyBorder="1" applyAlignment="1">
      <alignment horizontal="left" vertical="center" wrapText="1"/>
    </xf>
    <xf numFmtId="0" fontId="5" fillId="0" borderId="52" xfId="0" applyFont="1" applyFill="1" applyBorder="1" applyAlignment="1">
      <alignment horizontal="left" vertical="center" wrapText="1"/>
    </xf>
    <xf numFmtId="0" fontId="5" fillId="0" borderId="49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4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4" fillId="0" borderId="24" xfId="0" applyFont="1" applyBorder="1" applyAlignment="1">
      <alignment horizontal="left" vertical="center" wrapText="1"/>
    </xf>
    <xf numFmtId="0" fontId="0" fillId="0" borderId="15" xfId="0" applyBorder="1"/>
    <xf numFmtId="0" fontId="12" fillId="0" borderId="16" xfId="0" applyFont="1" applyBorder="1"/>
    <xf numFmtId="0" fontId="12" fillId="0" borderId="17" xfId="0" applyFont="1" applyFill="1" applyBorder="1" applyAlignment="1">
      <alignment horizontal="left" vertical="center" wrapText="1" indent="1"/>
    </xf>
    <xf numFmtId="0" fontId="14" fillId="0" borderId="1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opLeftCell="A16" zoomScale="70" zoomScaleNormal="70" workbookViewId="0">
      <selection activeCell="B17" sqref="B17"/>
    </sheetView>
  </sheetViews>
  <sheetFormatPr baseColWidth="10" defaultColWidth="11" defaultRowHeight="12.75" x14ac:dyDescent="0.2"/>
  <cols>
    <col min="1" max="1" width="4.5703125" style="17" customWidth="1"/>
    <col min="2" max="2" width="18.85546875" style="37" customWidth="1"/>
    <col min="3" max="3" width="32.42578125" style="36" customWidth="1"/>
    <col min="4" max="4" width="8.42578125" style="17" customWidth="1"/>
    <col min="5" max="5" width="79" style="39" customWidth="1"/>
    <col min="6" max="6" width="11" style="17"/>
    <col min="7" max="7" width="12.7109375" style="17" customWidth="1"/>
    <col min="8" max="8" width="13.85546875" style="19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7" customFormat="1" x14ac:dyDescent="0.2">
      <c r="C1" s="43"/>
      <c r="E1" s="39"/>
      <c r="H1" s="44"/>
    </row>
    <row r="2" spans="1:9" s="37" customFormat="1" ht="27" x14ac:dyDescent="0.35">
      <c r="B2" s="115" t="s">
        <v>0</v>
      </c>
      <c r="C2" s="115"/>
      <c r="D2" s="115"/>
      <c r="E2" s="115"/>
      <c r="F2" s="115"/>
      <c r="G2" s="115"/>
      <c r="H2" s="115"/>
    </row>
    <row r="3" spans="1:9" s="37" customFormat="1" x14ac:dyDescent="0.2">
      <c r="C3" s="43"/>
      <c r="E3" s="39"/>
      <c r="H3" s="44"/>
    </row>
    <row r="4" spans="1:9" s="37" customFormat="1" ht="18" customHeight="1" x14ac:dyDescent="0.25">
      <c r="A4" s="114" t="s">
        <v>1</v>
      </c>
      <c r="B4" s="114"/>
      <c r="C4" s="116" t="s">
        <v>98</v>
      </c>
      <c r="D4" s="116"/>
      <c r="E4" s="116"/>
      <c r="F4" s="41"/>
      <c r="G4" s="45"/>
      <c r="H4" s="46"/>
    </row>
    <row r="5" spans="1:9" s="37" customFormat="1" ht="18" customHeight="1" x14ac:dyDescent="0.25">
      <c r="A5" s="114" t="s">
        <v>2</v>
      </c>
      <c r="B5" s="114"/>
      <c r="C5" s="116" t="s">
        <v>51</v>
      </c>
      <c r="D5" s="116"/>
      <c r="E5" s="116"/>
      <c r="F5" s="41"/>
      <c r="G5" s="45"/>
      <c r="H5" s="46"/>
    </row>
    <row r="6" spans="1:9" s="37" customFormat="1" ht="16.5" customHeight="1" x14ac:dyDescent="0.2">
      <c r="A6" s="114" t="s">
        <v>3</v>
      </c>
      <c r="B6" s="114"/>
      <c r="C6" s="47">
        <v>2022</v>
      </c>
      <c r="D6" s="48"/>
      <c r="E6" s="40"/>
      <c r="F6" s="41"/>
      <c r="G6" s="45"/>
      <c r="H6" s="46"/>
    </row>
    <row r="7" spans="1:9" s="37" customFormat="1" ht="16.5" customHeight="1" x14ac:dyDescent="0.2">
      <c r="A7" s="114" t="s">
        <v>4</v>
      </c>
      <c r="B7" s="114"/>
      <c r="C7" s="47">
        <v>3</v>
      </c>
      <c r="D7" s="48"/>
      <c r="E7" s="40"/>
      <c r="F7" s="41"/>
      <c r="G7" s="45"/>
      <c r="H7" s="46"/>
    </row>
    <row r="8" spans="1:9" s="37" customFormat="1" ht="13.5" thickBot="1" x14ac:dyDescent="0.25">
      <c r="B8" s="41"/>
      <c r="C8" s="49"/>
      <c r="D8" s="41"/>
      <c r="E8" s="42"/>
      <c r="F8" s="41"/>
      <c r="G8" s="45"/>
      <c r="H8" s="46"/>
    </row>
    <row r="9" spans="1:9" ht="38.25" x14ac:dyDescent="0.2">
      <c r="A9" s="51" t="s">
        <v>5</v>
      </c>
      <c r="B9" s="52" t="s">
        <v>6</v>
      </c>
      <c r="C9" s="53" t="s">
        <v>54</v>
      </c>
      <c r="D9" s="54" t="s">
        <v>7</v>
      </c>
      <c r="E9" s="52" t="s">
        <v>8</v>
      </c>
      <c r="F9" s="53" t="s">
        <v>9</v>
      </c>
      <c r="G9" s="55" t="s">
        <v>10</v>
      </c>
      <c r="H9" s="56" t="s">
        <v>11</v>
      </c>
      <c r="I9" s="57" t="s">
        <v>12</v>
      </c>
    </row>
    <row r="10" spans="1:9" s="18" customFormat="1" ht="58.5" customHeight="1" x14ac:dyDescent="0.2">
      <c r="A10" s="33">
        <v>1</v>
      </c>
      <c r="B10" s="77" t="s">
        <v>57</v>
      </c>
      <c r="C10" s="77" t="s">
        <v>58</v>
      </c>
      <c r="D10" s="34" t="str">
        <f t="shared" ref="D10" si="0">LEFT(B10,5)</f>
        <v>2.9.4</v>
      </c>
      <c r="E10" s="78" t="s">
        <v>59</v>
      </c>
      <c r="F10" s="75" t="s">
        <v>53</v>
      </c>
      <c r="G10" s="75">
        <v>15</v>
      </c>
      <c r="H10" s="76">
        <v>4200</v>
      </c>
      <c r="I10" s="20">
        <f t="shared" ref="I10:I15" si="1">H10*G10</f>
        <v>63000</v>
      </c>
    </row>
    <row r="11" spans="1:9" s="18" customFormat="1" ht="58.5" customHeight="1" x14ac:dyDescent="0.2">
      <c r="A11" s="33">
        <v>2</v>
      </c>
      <c r="B11" s="38" t="s">
        <v>60</v>
      </c>
      <c r="C11" s="77" t="s">
        <v>58</v>
      </c>
      <c r="D11" s="34" t="str">
        <f>LEFT(B11,5)</f>
        <v>2.9.4</v>
      </c>
      <c r="E11" s="58" t="s">
        <v>61</v>
      </c>
      <c r="F11" s="75" t="s">
        <v>53</v>
      </c>
      <c r="G11" s="75">
        <v>15</v>
      </c>
      <c r="H11" s="76">
        <v>2000</v>
      </c>
      <c r="I11" s="20">
        <f t="shared" si="1"/>
        <v>30000</v>
      </c>
    </row>
    <row r="12" spans="1:9" s="18" customFormat="1" ht="58.5" customHeight="1" x14ac:dyDescent="0.2">
      <c r="A12" s="33">
        <v>3</v>
      </c>
      <c r="B12" s="38" t="s">
        <v>62</v>
      </c>
      <c r="C12" s="38" t="s">
        <v>58</v>
      </c>
      <c r="D12" s="34" t="str">
        <f t="shared" ref="D12:D17" si="2">LEFT(B12,5)</f>
        <v>2.9.4</v>
      </c>
      <c r="E12" s="58" t="s">
        <v>63</v>
      </c>
      <c r="F12" s="75" t="s">
        <v>53</v>
      </c>
      <c r="G12" s="75">
        <v>13</v>
      </c>
      <c r="H12" s="76">
        <v>3000</v>
      </c>
      <c r="I12" s="20">
        <f t="shared" si="1"/>
        <v>39000</v>
      </c>
    </row>
    <row r="13" spans="1:9" s="18" customFormat="1" ht="58.5" customHeight="1" x14ac:dyDescent="0.2">
      <c r="A13" s="33">
        <v>4</v>
      </c>
      <c r="B13" s="38" t="s">
        <v>64</v>
      </c>
      <c r="C13" s="38" t="s">
        <v>58</v>
      </c>
      <c r="D13" s="34" t="str">
        <f t="shared" si="2"/>
        <v>2.9.4</v>
      </c>
      <c r="E13" s="58" t="s">
        <v>65</v>
      </c>
      <c r="F13" s="75" t="s">
        <v>53</v>
      </c>
      <c r="G13" s="75">
        <v>15</v>
      </c>
      <c r="H13" s="76">
        <v>3000</v>
      </c>
      <c r="I13" s="20">
        <f t="shared" si="1"/>
        <v>45000</v>
      </c>
    </row>
    <row r="14" spans="1:9" s="18" customFormat="1" ht="58.5" customHeight="1" x14ac:dyDescent="0.2">
      <c r="A14" s="33">
        <v>5</v>
      </c>
      <c r="B14" s="38" t="s">
        <v>66</v>
      </c>
      <c r="C14" s="38" t="s">
        <v>58</v>
      </c>
      <c r="D14" s="34" t="str">
        <f t="shared" si="2"/>
        <v>2.9.4</v>
      </c>
      <c r="E14" s="58" t="s">
        <v>67</v>
      </c>
      <c r="F14" s="75" t="s">
        <v>13</v>
      </c>
      <c r="G14" s="75">
        <v>13000</v>
      </c>
      <c r="H14" s="76">
        <v>29</v>
      </c>
      <c r="I14" s="20">
        <f t="shared" si="1"/>
        <v>377000</v>
      </c>
    </row>
    <row r="15" spans="1:9" s="18" customFormat="1" ht="53.25" customHeight="1" x14ac:dyDescent="0.2">
      <c r="A15" s="33">
        <v>6</v>
      </c>
      <c r="B15" s="38" t="s">
        <v>68</v>
      </c>
      <c r="C15" s="38" t="s">
        <v>58</v>
      </c>
      <c r="D15" s="34" t="str">
        <f t="shared" si="2"/>
        <v>2.9.4</v>
      </c>
      <c r="E15" s="79" t="s">
        <v>69</v>
      </c>
      <c r="F15" s="75" t="s">
        <v>13</v>
      </c>
      <c r="G15" s="75">
        <v>10000</v>
      </c>
      <c r="H15" s="76">
        <v>10</v>
      </c>
      <c r="I15" s="20">
        <f t="shared" si="1"/>
        <v>100000</v>
      </c>
    </row>
    <row r="16" spans="1:9" s="18" customFormat="1" ht="53.25" customHeight="1" x14ac:dyDescent="0.2">
      <c r="A16" s="33">
        <v>7</v>
      </c>
      <c r="B16" s="38" t="s">
        <v>70</v>
      </c>
      <c r="C16" s="38" t="s">
        <v>58</v>
      </c>
      <c r="D16" s="34" t="str">
        <f t="shared" si="2"/>
        <v>2.9.4</v>
      </c>
      <c r="E16" s="80" t="s">
        <v>71</v>
      </c>
      <c r="F16" s="75" t="s">
        <v>13</v>
      </c>
      <c r="G16" s="75">
        <v>6000</v>
      </c>
      <c r="H16" s="76">
        <v>6.8</v>
      </c>
      <c r="I16" s="20">
        <f t="shared" ref="I16:I17" si="3">H16*G16</f>
        <v>40800</v>
      </c>
    </row>
    <row r="17" spans="1:12" s="18" customFormat="1" ht="53.25" customHeight="1" x14ac:dyDescent="0.2">
      <c r="A17" s="103">
        <v>8</v>
      </c>
      <c r="B17" s="102" t="s">
        <v>90</v>
      </c>
      <c r="C17" s="102" t="s">
        <v>58</v>
      </c>
      <c r="D17" s="104" t="str">
        <f t="shared" si="2"/>
        <v>2.7.9</v>
      </c>
      <c r="E17" s="78" t="s">
        <v>91</v>
      </c>
      <c r="F17" s="75" t="s">
        <v>92</v>
      </c>
      <c r="G17" s="75">
        <v>12</v>
      </c>
      <c r="H17" s="76">
        <v>1300</v>
      </c>
      <c r="I17" s="105">
        <f t="shared" si="3"/>
        <v>15600</v>
      </c>
      <c r="J17" s="107"/>
      <c r="K17" s="107"/>
      <c r="L17" s="107"/>
    </row>
    <row r="18" spans="1:12" ht="13.5" thickBot="1" x14ac:dyDescent="0.25">
      <c r="B18" s="50"/>
      <c r="C18" s="35"/>
      <c r="D18" s="18"/>
      <c r="H18" s="17"/>
    </row>
    <row r="19" spans="1:12" ht="15.75" x14ac:dyDescent="0.25">
      <c r="B19" s="100" t="s">
        <v>88</v>
      </c>
      <c r="C19" s="82"/>
      <c r="D19" s="83"/>
      <c r="E19" s="84"/>
    </row>
    <row r="20" spans="1:12" ht="15.75" x14ac:dyDescent="0.25">
      <c r="B20" s="85"/>
      <c r="C20" s="86"/>
      <c r="D20" s="87"/>
      <c r="E20" s="88"/>
    </row>
    <row r="21" spans="1:12" ht="15.75" x14ac:dyDescent="0.25">
      <c r="B21" s="89" t="s">
        <v>73</v>
      </c>
      <c r="C21" s="86"/>
      <c r="D21" s="90" t="s">
        <v>89</v>
      </c>
      <c r="E21" s="91"/>
    </row>
    <row r="22" spans="1:12" ht="15.75" x14ac:dyDescent="0.25">
      <c r="B22" s="85"/>
      <c r="C22" s="86"/>
      <c r="D22" s="87"/>
      <c r="E22" s="88"/>
    </row>
    <row r="23" spans="1:12" ht="15.75" x14ac:dyDescent="0.25">
      <c r="B23" s="85"/>
      <c r="C23" s="86"/>
      <c r="D23" s="87"/>
      <c r="E23" s="88"/>
    </row>
    <row r="24" spans="1:12" ht="15.75" x14ac:dyDescent="0.25">
      <c r="B24" s="85"/>
      <c r="C24" s="86"/>
      <c r="D24" s="87"/>
      <c r="E24" s="88"/>
    </row>
    <row r="25" spans="1:12" ht="15.75" x14ac:dyDescent="0.25">
      <c r="B25" s="89" t="s">
        <v>74</v>
      </c>
      <c r="C25" s="108" t="s">
        <v>87</v>
      </c>
      <c r="D25" s="108"/>
      <c r="E25" s="109"/>
    </row>
    <row r="26" spans="1:12" ht="15.75" x14ac:dyDescent="0.25">
      <c r="B26" s="85"/>
      <c r="C26" s="86"/>
      <c r="D26" s="87"/>
      <c r="E26" s="88"/>
    </row>
    <row r="27" spans="1:12" ht="15.75" x14ac:dyDescent="0.25">
      <c r="B27" s="89" t="s">
        <v>75</v>
      </c>
      <c r="C27" s="108" t="s">
        <v>79</v>
      </c>
      <c r="D27" s="108"/>
      <c r="E27" s="109"/>
    </row>
    <row r="28" spans="1:12" ht="15.75" x14ac:dyDescent="0.25">
      <c r="B28" s="85"/>
      <c r="C28" s="86"/>
      <c r="D28" s="87"/>
      <c r="E28" s="88"/>
    </row>
    <row r="29" spans="1:12" ht="15.75" x14ac:dyDescent="0.25">
      <c r="B29" s="92"/>
      <c r="C29" s="113" t="s">
        <v>81</v>
      </c>
      <c r="D29" s="113"/>
      <c r="E29" s="113"/>
    </row>
    <row r="30" spans="1:12" ht="15.75" x14ac:dyDescent="0.25">
      <c r="B30" s="85"/>
      <c r="C30" s="110" t="s">
        <v>80</v>
      </c>
      <c r="D30" s="111"/>
      <c r="E30" s="112"/>
    </row>
    <row r="31" spans="1:12" ht="15.75" x14ac:dyDescent="0.25">
      <c r="B31" s="89" t="s">
        <v>76</v>
      </c>
      <c r="C31" s="86"/>
      <c r="D31" s="87"/>
      <c r="E31" s="88"/>
    </row>
    <row r="32" spans="1:12" ht="15.75" x14ac:dyDescent="0.25">
      <c r="B32" s="85"/>
      <c r="C32" s="86"/>
      <c r="D32" s="87"/>
      <c r="E32" s="88"/>
    </row>
    <row r="33" spans="2:5" ht="15.75" x14ac:dyDescent="0.25">
      <c r="B33" s="89" t="s">
        <v>77</v>
      </c>
      <c r="C33" s="86"/>
      <c r="D33" s="87"/>
      <c r="E33" s="88"/>
    </row>
    <row r="34" spans="2:5" ht="15.75" x14ac:dyDescent="0.25">
      <c r="B34" s="85"/>
      <c r="C34" s="108" t="s">
        <v>86</v>
      </c>
      <c r="D34" s="108"/>
      <c r="E34" s="109"/>
    </row>
    <row r="35" spans="2:5" ht="15.75" x14ac:dyDescent="0.25">
      <c r="B35" s="89" t="s">
        <v>78</v>
      </c>
      <c r="C35" s="86"/>
      <c r="D35" s="87"/>
      <c r="E35" s="88"/>
    </row>
    <row r="36" spans="2:5" ht="16.5" thickBot="1" x14ac:dyDescent="0.3">
      <c r="B36" s="93"/>
      <c r="C36" s="94"/>
      <c r="D36" s="95"/>
      <c r="E36" s="96"/>
    </row>
    <row r="37" spans="2:5" ht="16.5" thickBot="1" x14ac:dyDescent="0.3">
      <c r="B37" s="92"/>
      <c r="C37" s="97"/>
      <c r="D37" s="98"/>
      <c r="E37" s="99"/>
    </row>
    <row r="38" spans="2:5" ht="15.75" x14ac:dyDescent="0.25">
      <c r="B38" s="100" t="s">
        <v>84</v>
      </c>
      <c r="C38" s="82"/>
      <c r="D38" s="83"/>
      <c r="E38" s="84"/>
    </row>
    <row r="39" spans="2:5" ht="15.75" x14ac:dyDescent="0.25">
      <c r="B39" s="85"/>
      <c r="C39" s="86"/>
      <c r="D39" s="87"/>
      <c r="E39" s="88"/>
    </row>
    <row r="40" spans="2:5" ht="15.75" x14ac:dyDescent="0.25">
      <c r="B40" s="89" t="s">
        <v>73</v>
      </c>
      <c r="C40" s="86"/>
      <c r="D40" s="90" t="s">
        <v>85</v>
      </c>
      <c r="E40" s="91"/>
    </row>
    <row r="41" spans="2:5" ht="15.75" x14ac:dyDescent="0.25">
      <c r="B41" s="85"/>
      <c r="C41" s="86"/>
      <c r="D41" s="87"/>
      <c r="E41" s="88"/>
    </row>
    <row r="42" spans="2:5" ht="15.75" x14ac:dyDescent="0.25">
      <c r="B42" s="85"/>
      <c r="C42" s="86"/>
      <c r="D42" s="87"/>
      <c r="E42" s="88"/>
    </row>
    <row r="43" spans="2:5" ht="15.75" x14ac:dyDescent="0.25">
      <c r="B43" s="85"/>
      <c r="C43" s="86"/>
      <c r="D43" s="87"/>
      <c r="E43" s="88"/>
    </row>
    <row r="44" spans="2:5" ht="15.75" x14ac:dyDescent="0.25">
      <c r="B44" s="89" t="s">
        <v>74</v>
      </c>
      <c r="C44" s="108" t="s">
        <v>87</v>
      </c>
      <c r="D44" s="108"/>
      <c r="E44" s="109"/>
    </row>
    <row r="45" spans="2:5" ht="15.75" x14ac:dyDescent="0.25">
      <c r="B45" s="85"/>
      <c r="C45" s="86"/>
      <c r="D45" s="87"/>
      <c r="E45" s="88"/>
    </row>
    <row r="46" spans="2:5" ht="15.75" x14ac:dyDescent="0.25">
      <c r="B46" s="89" t="s">
        <v>75</v>
      </c>
      <c r="C46" s="108" t="s">
        <v>79</v>
      </c>
      <c r="D46" s="108"/>
      <c r="E46" s="109"/>
    </row>
    <row r="47" spans="2:5" ht="15.75" x14ac:dyDescent="0.25">
      <c r="B47" s="85"/>
      <c r="C47" s="86"/>
      <c r="D47" s="87"/>
      <c r="E47" s="88"/>
    </row>
    <row r="48" spans="2:5" ht="15.75" x14ac:dyDescent="0.25">
      <c r="B48" s="92"/>
      <c r="C48" s="113" t="s">
        <v>81</v>
      </c>
      <c r="D48" s="113"/>
      <c r="E48" s="113"/>
    </row>
    <row r="49" spans="2:5" ht="15.75" x14ac:dyDescent="0.25">
      <c r="B49" s="85"/>
      <c r="C49" s="110" t="s">
        <v>80</v>
      </c>
      <c r="D49" s="111"/>
      <c r="E49" s="112"/>
    </row>
    <row r="50" spans="2:5" ht="15.75" x14ac:dyDescent="0.25">
      <c r="B50" s="89" t="s">
        <v>76</v>
      </c>
      <c r="C50" s="86"/>
      <c r="D50" s="87"/>
      <c r="E50" s="88"/>
    </row>
    <row r="51" spans="2:5" ht="15.75" x14ac:dyDescent="0.25">
      <c r="B51" s="85"/>
      <c r="C51" s="86"/>
      <c r="D51" s="87"/>
      <c r="E51" s="88"/>
    </row>
    <row r="52" spans="2:5" ht="15.75" x14ac:dyDescent="0.25">
      <c r="B52" s="89" t="s">
        <v>77</v>
      </c>
      <c r="C52" s="86"/>
      <c r="D52" s="87"/>
      <c r="E52" s="88"/>
    </row>
    <row r="53" spans="2:5" ht="15.75" x14ac:dyDescent="0.25">
      <c r="B53" s="85"/>
      <c r="C53" s="108" t="s">
        <v>86</v>
      </c>
      <c r="D53" s="108"/>
      <c r="E53" s="109"/>
    </row>
    <row r="54" spans="2:5" ht="15.75" x14ac:dyDescent="0.25">
      <c r="B54" s="89" t="s">
        <v>78</v>
      </c>
      <c r="C54" s="86"/>
      <c r="D54" s="87"/>
      <c r="E54" s="88"/>
    </row>
    <row r="55" spans="2:5" ht="16.5" thickBot="1" x14ac:dyDescent="0.3">
      <c r="B55" s="93"/>
      <c r="C55" s="94"/>
      <c r="D55" s="95"/>
      <c r="E55" s="96"/>
    </row>
    <row r="56" spans="2:5" ht="15.75" x14ac:dyDescent="0.25">
      <c r="B56" s="92"/>
      <c r="C56" s="97"/>
      <c r="D56" s="98"/>
      <c r="E56" s="99"/>
    </row>
  </sheetData>
  <mergeCells count="17">
    <mergeCell ref="A6:B6"/>
    <mergeCell ref="A7:B7"/>
    <mergeCell ref="B2:H2"/>
    <mergeCell ref="A4:B4"/>
    <mergeCell ref="C4:E4"/>
    <mergeCell ref="A5:B5"/>
    <mergeCell ref="C5:E5"/>
    <mergeCell ref="C53:E53"/>
    <mergeCell ref="C25:E25"/>
    <mergeCell ref="C27:E27"/>
    <mergeCell ref="C30:E30"/>
    <mergeCell ref="C29:E29"/>
    <mergeCell ref="C34:E34"/>
    <mergeCell ref="C44:E44"/>
    <mergeCell ref="C46:E46"/>
    <mergeCell ref="C48:E48"/>
    <mergeCell ref="C49:E4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topLeftCell="A15" zoomScale="90" zoomScaleNormal="90" workbookViewId="0">
      <selection activeCell="C19" sqref="C19:G19"/>
    </sheetView>
  </sheetViews>
  <sheetFormatPr baseColWidth="10" defaultColWidth="9.140625" defaultRowHeight="50.1" customHeight="1" x14ac:dyDescent="0.2"/>
  <cols>
    <col min="1" max="1" width="5.5703125" style="23" customWidth="1"/>
    <col min="2" max="2" width="15.140625" style="23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2" style="32" customWidth="1"/>
    <col min="8" max="8" width="9.28515625" style="23" customWidth="1"/>
    <col min="9" max="9" width="15.5703125" style="23" customWidth="1"/>
    <col min="10" max="10" width="14.7109375" style="23" customWidth="1"/>
    <col min="11" max="11" width="15.5703125" style="23" customWidth="1"/>
    <col min="12" max="14" width="5.85546875" style="23" customWidth="1"/>
    <col min="15" max="15" width="12.5703125" style="23" customWidth="1"/>
    <col min="16" max="1024" width="9.140625" style="23"/>
    <col min="1025" max="16384" width="9.140625" style="21"/>
  </cols>
  <sheetData>
    <row r="1" spans="1:11" ht="21.75" customHeight="1" x14ac:dyDescent="0.2">
      <c r="A1" s="125" t="s">
        <v>14</v>
      </c>
      <c r="B1" s="125"/>
      <c r="C1" s="125"/>
      <c r="D1" s="125"/>
      <c r="E1" s="125"/>
      <c r="F1" s="125"/>
      <c r="G1" s="125"/>
      <c r="H1" s="125"/>
      <c r="I1" s="125"/>
      <c r="J1" s="22" t="s">
        <v>15</v>
      </c>
      <c r="K1" s="81" t="s">
        <v>95</v>
      </c>
    </row>
    <row r="2" spans="1:11" ht="21.75" customHeight="1" thickBot="1" x14ac:dyDescent="0.25">
      <c r="A2" s="24"/>
      <c r="B2" s="24"/>
      <c r="C2" s="28"/>
      <c r="D2" s="29"/>
      <c r="E2" s="29"/>
      <c r="F2" s="29"/>
      <c r="G2" s="29"/>
      <c r="H2" s="25"/>
      <c r="I2" s="25"/>
      <c r="J2" s="25"/>
      <c r="K2" s="25"/>
    </row>
    <row r="3" spans="1:11" ht="20.25" customHeight="1" thickBot="1" x14ac:dyDescent="0.25">
      <c r="A3" s="126" t="s">
        <v>48</v>
      </c>
      <c r="B3" s="126"/>
      <c r="C3" s="126"/>
      <c r="D3" s="127" t="str">
        <f>'Necesidades Trimestrales'!C4</f>
        <v>40-Ministerio de Salud</v>
      </c>
      <c r="E3" s="127"/>
      <c r="F3" s="127"/>
      <c r="G3" s="127"/>
      <c r="H3" s="127"/>
      <c r="I3" s="127"/>
      <c r="J3" s="127"/>
      <c r="K3" s="127"/>
    </row>
    <row r="4" spans="1:11" ht="19.5" customHeight="1" thickBot="1" x14ac:dyDescent="0.25">
      <c r="A4" s="128" t="s">
        <v>49</v>
      </c>
      <c r="B4" s="128"/>
      <c r="C4" s="128"/>
      <c r="D4" s="127" t="str">
        <f>'Necesidades Trimestrales'!C5</f>
        <v>28- Maternidad Provincial 25 de Mayo</v>
      </c>
      <c r="E4" s="127"/>
      <c r="F4" s="127"/>
      <c r="G4" s="127"/>
      <c r="H4" s="127"/>
      <c r="I4" s="127"/>
      <c r="J4" s="127"/>
      <c r="K4" s="127"/>
    </row>
    <row r="5" spans="1:11" ht="21" customHeight="1" thickBot="1" x14ac:dyDescent="0.25">
      <c r="A5" s="128" t="s">
        <v>27</v>
      </c>
      <c r="B5" s="128"/>
      <c r="C5" s="128"/>
      <c r="D5" s="127" t="s">
        <v>52</v>
      </c>
      <c r="E5" s="127"/>
      <c r="F5" s="127"/>
      <c r="G5" s="127"/>
      <c r="H5" s="127"/>
      <c r="I5" s="127"/>
      <c r="J5" s="127"/>
      <c r="K5" s="127"/>
    </row>
    <row r="6" spans="1:11" ht="17.25" customHeight="1" thickBot="1" x14ac:dyDescent="0.25">
      <c r="A6" s="126" t="s">
        <v>50</v>
      </c>
      <c r="B6" s="126"/>
      <c r="C6" s="126"/>
      <c r="D6" s="127" t="s">
        <v>96</v>
      </c>
      <c r="E6" s="127"/>
      <c r="F6" s="127"/>
      <c r="G6" s="127"/>
      <c r="H6" s="127"/>
      <c r="I6" s="127"/>
      <c r="J6" s="127"/>
      <c r="K6" s="127"/>
    </row>
    <row r="7" spans="1:11" ht="14.25" customHeight="1" x14ac:dyDescent="0.2">
      <c r="A7" s="128" t="s">
        <v>16</v>
      </c>
      <c r="B7" s="128"/>
      <c r="C7" s="128"/>
      <c r="D7" s="127" t="str">
        <f>'Necesidades Trimestrales'!C7 &amp; "° Trimestre - Año " &amp; 'Necesidades Trimestrales'!C6</f>
        <v>3° Trimestre - Año 2022</v>
      </c>
      <c r="E7" s="127"/>
      <c r="F7" s="127"/>
      <c r="G7" s="127"/>
      <c r="H7" s="127"/>
      <c r="I7" s="127"/>
      <c r="J7" s="127"/>
      <c r="K7" s="127"/>
    </row>
    <row r="8" spans="1:11" ht="18" customHeight="1" x14ac:dyDescent="0.2">
      <c r="A8" s="117" t="s">
        <v>17</v>
      </c>
      <c r="B8" s="117"/>
      <c r="C8" s="117"/>
      <c r="D8" s="118" t="s">
        <v>97</v>
      </c>
      <c r="E8" s="118"/>
      <c r="F8" s="118"/>
      <c r="G8" s="118"/>
      <c r="H8" s="118"/>
      <c r="I8" s="118"/>
      <c r="J8" s="118"/>
      <c r="K8" s="118"/>
    </row>
    <row r="9" spans="1:11" ht="22.5" customHeight="1" x14ac:dyDescent="0.2">
      <c r="A9" s="26"/>
      <c r="B9" s="26"/>
      <c r="C9" s="30"/>
      <c r="D9" s="31"/>
      <c r="E9" s="31"/>
      <c r="F9" s="31"/>
      <c r="G9" s="31"/>
      <c r="H9" s="27"/>
      <c r="I9" s="27"/>
      <c r="J9" s="27"/>
      <c r="K9" s="27"/>
    </row>
    <row r="10" spans="1:11" ht="50.1" customHeight="1" thickBot="1" x14ac:dyDescent="0.25">
      <c r="A10" s="119" t="s">
        <v>18</v>
      </c>
      <c r="B10" s="121" t="s">
        <v>19</v>
      </c>
      <c r="C10" s="121" t="s">
        <v>20</v>
      </c>
      <c r="D10" s="121"/>
      <c r="E10" s="121"/>
      <c r="F10" s="121"/>
      <c r="G10" s="121"/>
      <c r="H10" s="121" t="s">
        <v>21</v>
      </c>
      <c r="I10" s="121" t="s">
        <v>22</v>
      </c>
      <c r="J10" s="121" t="s">
        <v>23</v>
      </c>
      <c r="K10" s="123" t="s">
        <v>24</v>
      </c>
    </row>
    <row r="11" spans="1:11" ht="24.75" customHeight="1" x14ac:dyDescent="0.2">
      <c r="A11" s="120"/>
      <c r="B11" s="122"/>
      <c r="C11" s="122"/>
      <c r="D11" s="122"/>
      <c r="E11" s="122"/>
      <c r="F11" s="122"/>
      <c r="G11" s="122"/>
      <c r="H11" s="122"/>
      <c r="I11" s="122"/>
      <c r="J11" s="122"/>
      <c r="K11" s="124"/>
    </row>
    <row r="12" spans="1:11" ht="50.1" customHeight="1" x14ac:dyDescent="0.2">
      <c r="A12" s="62">
        <f>+'Necesidades Trimestrales'!A10</f>
        <v>1</v>
      </c>
      <c r="B12" s="60" t="str">
        <f>+'Necesidades Trimestrales'!B10</f>
        <v>2.9.4-587.5</v>
      </c>
      <c r="C12" s="134" t="str">
        <f>+'Necesidades Trimestrales'!E10</f>
        <v>CUBIERTOS PLASTICOS; MATERIAL: POLIESTIRENO, PRESENTACION: CAJA X 1000, ELEMENTO: CUCHARA SOPERA</v>
      </c>
      <c r="D12" s="134"/>
      <c r="E12" s="134"/>
      <c r="F12" s="134"/>
      <c r="G12" s="134"/>
      <c r="H12" s="59" t="s">
        <v>55</v>
      </c>
      <c r="I12" s="59" t="str">
        <f>+'Necesidades Trimestrales'!F10</f>
        <v>CAJA</v>
      </c>
      <c r="J12" s="61">
        <f>+'Necesidades Trimestrales'!H10</f>
        <v>4200</v>
      </c>
      <c r="K12" s="63">
        <f>+'Necesidades Trimestrales'!G10</f>
        <v>15</v>
      </c>
    </row>
    <row r="13" spans="1:11" ht="50.1" customHeight="1" x14ac:dyDescent="0.2">
      <c r="A13" s="62">
        <f>+'Necesidades Trimestrales'!A11</f>
        <v>2</v>
      </c>
      <c r="B13" s="101" t="str">
        <f>+'Necesidades Trimestrales'!B11</f>
        <v>2.9.4-587.33</v>
      </c>
      <c r="C13" s="134" t="str">
        <f>+'Necesidades Trimestrales'!E11</f>
        <v>CUBIERTOS PLASTICOS; MATERIAL: PLASTICO, ELEMENTO: CUCHARA POSTRE, PRESENTACION: ENVASE X 1000 UN</v>
      </c>
      <c r="D13" s="134"/>
      <c r="E13" s="134"/>
      <c r="F13" s="134"/>
      <c r="G13" s="134"/>
      <c r="H13" s="59" t="s">
        <v>55</v>
      </c>
      <c r="I13" s="59" t="str">
        <f>+'Necesidades Trimestrales'!F11</f>
        <v>CAJA</v>
      </c>
      <c r="J13" s="61">
        <f>+'Necesidades Trimestrales'!H11</f>
        <v>2000</v>
      </c>
      <c r="K13" s="63">
        <f>+'Necesidades Trimestrales'!G11</f>
        <v>15</v>
      </c>
    </row>
    <row r="14" spans="1:11" ht="50.1" customHeight="1" x14ac:dyDescent="0.2">
      <c r="A14" s="62">
        <f>+'Necesidades Trimestrales'!A12</f>
        <v>3</v>
      </c>
      <c r="B14" s="101" t="str">
        <f>+'Necesidades Trimestrales'!B12</f>
        <v>2.9.4-587.8</v>
      </c>
      <c r="C14" s="134" t="str">
        <f>+'Necesidades Trimestrales'!E12</f>
        <v>CUBIERTOS PLASTICOS; MATERIAL: POLIESTIRENO, PRESENTACION: CAJA X 1000, ELEMENTO: CUCHILLO</v>
      </c>
      <c r="D14" s="134"/>
      <c r="E14" s="134"/>
      <c r="F14" s="134"/>
      <c r="G14" s="134"/>
      <c r="H14" s="59" t="s">
        <v>55</v>
      </c>
      <c r="I14" s="59" t="str">
        <f>+'Necesidades Trimestrales'!F12</f>
        <v>CAJA</v>
      </c>
      <c r="J14" s="61">
        <f>+'Necesidades Trimestrales'!H12</f>
        <v>3000</v>
      </c>
      <c r="K14" s="63">
        <f>+'Necesidades Trimestrales'!G12</f>
        <v>13</v>
      </c>
    </row>
    <row r="15" spans="1:11" ht="50.1" customHeight="1" x14ac:dyDescent="0.2">
      <c r="A15" s="62">
        <f>+'Necesidades Trimestrales'!A13</f>
        <v>4</v>
      </c>
      <c r="B15" s="101" t="str">
        <f>+'Necesidades Trimestrales'!B13</f>
        <v>2.9.4-587.6</v>
      </c>
      <c r="C15" s="134" t="str">
        <f>+'Necesidades Trimestrales'!E13</f>
        <v>CUBIERTOS PLASTICOS; MATERIAL: POLIESTIRENO, ELEMENTO: TENEDOR, PRESENTACION: CAJA X 1000</v>
      </c>
      <c r="D15" s="134"/>
      <c r="E15" s="134"/>
      <c r="F15" s="134"/>
      <c r="G15" s="134"/>
      <c r="H15" s="59" t="s">
        <v>55</v>
      </c>
      <c r="I15" s="59" t="str">
        <f>+'Necesidades Trimestrales'!F13</f>
        <v>CAJA</v>
      </c>
      <c r="J15" s="61">
        <f>+'Necesidades Trimestrales'!H13</f>
        <v>3000</v>
      </c>
      <c r="K15" s="63">
        <f>+'Necesidades Trimestrales'!G13</f>
        <v>15</v>
      </c>
    </row>
    <row r="16" spans="1:11" ht="50.1" customHeight="1" x14ac:dyDescent="0.2">
      <c r="A16" s="62">
        <f>+'Necesidades Trimestrales'!A14</f>
        <v>5</v>
      </c>
      <c r="B16" s="101" t="str">
        <f>+'Necesidades Trimestrales'!B14</f>
        <v>2.9.4-4743.24</v>
      </c>
      <c r="C16" s="134" t="str">
        <f>+'Necesidades Trimestrales'!E14</f>
        <v>BANDEJA P/TRANSP. DE ALIMENTO; DIMENSION: 18 X 14 X 4 Cm, TIPO: C/TAPA, MATERIAL: ALUMINIO APTO MICROONDAS, CAPACIDAD: 750 CM3</v>
      </c>
      <c r="D16" s="134"/>
      <c r="E16" s="134"/>
      <c r="F16" s="134"/>
      <c r="G16" s="134"/>
      <c r="H16" s="59" t="s">
        <v>82</v>
      </c>
      <c r="I16" s="59" t="str">
        <f>+'Necesidades Trimestrales'!F14</f>
        <v>UNIDAD</v>
      </c>
      <c r="J16" s="61">
        <f>+'Necesidades Trimestrales'!H14</f>
        <v>29</v>
      </c>
      <c r="K16" s="63">
        <f>+'Necesidades Trimestrales'!G14</f>
        <v>13000</v>
      </c>
    </row>
    <row r="17" spans="1:11" ht="50.1" customHeight="1" x14ac:dyDescent="0.2">
      <c r="A17" s="62">
        <f>+'Necesidades Trimestrales'!A15</f>
        <v>6</v>
      </c>
      <c r="B17" s="101" t="str">
        <f>+'Necesidades Trimestrales'!B15</f>
        <v>2.9.4-6970.2</v>
      </c>
      <c r="C17" s="135" t="str">
        <f>+'Necesidades Trimestrales'!E15</f>
        <v>COMPOTERAS; MATERIAL: PLASTICO, CAPACIDAD: 200 mL</v>
      </c>
      <c r="D17" s="135"/>
      <c r="E17" s="135"/>
      <c r="F17" s="135"/>
      <c r="G17" s="135"/>
      <c r="H17" s="59" t="s">
        <v>82</v>
      </c>
      <c r="I17" s="59" t="str">
        <f>+'Necesidades Trimestrales'!F15</f>
        <v>UNIDAD</v>
      </c>
      <c r="J17" s="61">
        <f>+'Necesidades Trimestrales'!H15</f>
        <v>10</v>
      </c>
      <c r="K17" s="63">
        <f>+'Necesidades Trimestrales'!G15</f>
        <v>10000</v>
      </c>
    </row>
    <row r="18" spans="1:11" ht="50.1" customHeight="1" x14ac:dyDescent="0.2">
      <c r="A18" s="62">
        <f>+'Necesidades Trimestrales'!A16</f>
        <v>7</v>
      </c>
      <c r="B18" s="101" t="str">
        <f>+'Necesidades Trimestrales'!B16</f>
        <v>2.9.4-1184.43</v>
      </c>
      <c r="C18" s="137" t="str">
        <f>'Necesidades Trimestrales'!$E$16</f>
        <v>VASOS; MATERIAL: POLIESTIRENO EXPANDIDO, TIPO: DESCARTABLE, CAPACIDAD: 240 CM3</v>
      </c>
      <c r="D18" s="138"/>
      <c r="E18" s="138"/>
      <c r="F18" s="138"/>
      <c r="G18" s="139"/>
      <c r="H18" s="106" t="s">
        <v>55</v>
      </c>
      <c r="I18" s="59" t="str">
        <f>+'Necesidades Trimestrales'!F16</f>
        <v>UNIDAD</v>
      </c>
      <c r="J18" s="61">
        <f>+'Necesidades Trimestrales'!H16</f>
        <v>6.8</v>
      </c>
      <c r="K18" s="63">
        <f>+'Necesidades Trimestrales'!G16</f>
        <v>6000</v>
      </c>
    </row>
    <row r="19" spans="1:11" ht="50.1" customHeight="1" x14ac:dyDescent="0.2">
      <c r="A19" s="62">
        <f>+'Necesidades Trimestrales'!A17</f>
        <v>8</v>
      </c>
      <c r="B19" s="101" t="str">
        <f>+'Necesidades Trimestrales'!B17</f>
        <v>2.7.9-784.32</v>
      </c>
      <c r="C19" s="136" t="str">
        <f>+'Necesidades Trimestrales'!E17</f>
        <v>PAPELES DE ALUMINIO; USO: HOGAR, ESPESOR: 38 Mn, LARGO: 50 M, PESO: 1 Kg, ANCHO: 450 mm</v>
      </c>
      <c r="D19" s="136"/>
      <c r="E19" s="136"/>
      <c r="F19" s="136"/>
      <c r="G19" s="136"/>
      <c r="H19" s="59" t="s">
        <v>55</v>
      </c>
      <c r="I19" s="59" t="str">
        <f>+'Necesidades Trimestrales'!F17</f>
        <v>ROLLO</v>
      </c>
      <c r="J19" s="61">
        <f>+'Necesidades Trimestrales'!H17</f>
        <v>1300</v>
      </c>
      <c r="K19" s="63">
        <f>+'Necesidades Trimestrales'!G17</f>
        <v>12</v>
      </c>
    </row>
    <row r="20" spans="1:11" ht="27" customHeight="1" thickBot="1" x14ac:dyDescent="0.25">
      <c r="A20" s="131" t="s">
        <v>93</v>
      </c>
      <c r="B20" s="132"/>
      <c r="C20" s="132"/>
      <c r="D20" s="132"/>
      <c r="E20" s="132"/>
      <c r="F20" s="132"/>
      <c r="G20" s="132"/>
      <c r="H20" s="132"/>
      <c r="I20" s="133"/>
      <c r="J20" s="129">
        <f>SUMPRODUCT(J12:J19,K12:K19)</f>
        <v>710400</v>
      </c>
      <c r="K20" s="130"/>
    </row>
  </sheetData>
  <mergeCells count="30">
    <mergeCell ref="J20:K20"/>
    <mergeCell ref="A20:I20"/>
    <mergeCell ref="C12:G12"/>
    <mergeCell ref="C13:G13"/>
    <mergeCell ref="C14:G14"/>
    <mergeCell ref="C15:G15"/>
    <mergeCell ref="C16:G16"/>
    <mergeCell ref="C17:G17"/>
    <mergeCell ref="C19:G19"/>
    <mergeCell ref="C18:G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abSelected="1" topLeftCell="A10" zoomScale="90" zoomScaleNormal="90" workbookViewId="0">
      <selection activeCell="O16" sqref="O16:P16"/>
    </sheetView>
  </sheetViews>
  <sheetFormatPr baseColWidth="10" defaultColWidth="11" defaultRowHeight="12.75" x14ac:dyDescent="0.2"/>
  <cols>
    <col min="1" max="5" width="4.42578125" customWidth="1"/>
    <col min="6" max="6" width="6.28515625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2" t="s">
        <v>3</v>
      </c>
      <c r="B1" s="162"/>
      <c r="C1" s="162"/>
      <c r="D1" s="163">
        <f>'Necesidades Trimestrales'!C6</f>
        <v>2022</v>
      </c>
      <c r="E1" s="163"/>
      <c r="F1" s="3"/>
      <c r="G1" s="3"/>
      <c r="H1" s="4"/>
      <c r="I1" s="4"/>
      <c r="J1" s="4"/>
      <c r="K1" s="4"/>
      <c r="L1" s="4"/>
      <c r="M1" s="4"/>
      <c r="N1" s="4"/>
      <c r="P1" s="164" t="s">
        <v>25</v>
      </c>
      <c r="Q1" s="16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4"/>
      <c r="Q2" s="164"/>
    </row>
    <row r="4" spans="1:17" s="5" customFormat="1" ht="18" customHeight="1" thickBot="1" x14ac:dyDescent="0.25">
      <c r="A4" s="165" t="s">
        <v>26</v>
      </c>
      <c r="B4" s="165"/>
      <c r="C4" s="165"/>
      <c r="D4" s="165"/>
      <c r="E4" s="165"/>
      <c r="F4" s="165"/>
      <c r="G4" s="160" t="str">
        <f>' NotaPedido'!D3</f>
        <v>40-Ministerio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s="5" customFormat="1" ht="18" customHeight="1" thickBot="1" x14ac:dyDescent="0.25">
      <c r="A5" s="157" t="s">
        <v>49</v>
      </c>
      <c r="B5" s="158"/>
      <c r="C5" s="158"/>
      <c r="D5" s="158"/>
      <c r="E5" s="158"/>
      <c r="F5" s="159"/>
      <c r="G5" s="160" t="str">
        <f>' NotaPedido'!D4</f>
        <v>28- Maternidad Provincial 25 de Mayo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s="5" customFormat="1" ht="18" customHeight="1" thickBot="1" x14ac:dyDescent="0.25">
      <c r="A6" s="157" t="s">
        <v>27</v>
      </c>
      <c r="B6" s="158"/>
      <c r="C6" s="158"/>
      <c r="D6" s="158"/>
      <c r="E6" s="158"/>
      <c r="F6" s="159"/>
      <c r="G6" s="160" t="str">
        <f>' NotaPedido'!D5</f>
        <v xml:space="preserve">Direccion Asistencial 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s="5" customFormat="1" ht="18" customHeight="1" thickBot="1" x14ac:dyDescent="0.25">
      <c r="A7" s="157" t="s">
        <v>50</v>
      </c>
      <c r="B7" s="158"/>
      <c r="C7" s="158"/>
      <c r="D7" s="158"/>
      <c r="E7" s="158"/>
      <c r="F7" s="159"/>
      <c r="G7" s="160" t="str">
        <f>' NotaPedido'!D6</f>
        <v xml:space="preserve">Servicio de Nutrición 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8" customHeight="1" thickBot="1" x14ac:dyDescent="0.25">
      <c r="A8" s="161" t="s">
        <v>28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2">
      <c r="A9" s="151" t="s">
        <v>29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"/>
      <c r="P9" s="1"/>
      <c r="Q9" s="6"/>
    </row>
    <row r="10" spans="1:17" ht="54.75" customHeight="1" x14ac:dyDescent="0.2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3" t="s">
        <v>30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">
      <c r="A13" s="154" t="s">
        <v>31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32</v>
      </c>
      <c r="P13" s="155"/>
      <c r="Q13" s="156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55"/>
      <c r="P14" s="155"/>
      <c r="Q14" s="156"/>
    </row>
    <row r="15" spans="1:17" ht="15.75" customHeight="1" x14ac:dyDescent="0.2">
      <c r="A15" s="69">
        <v>42</v>
      </c>
      <c r="B15" s="64"/>
      <c r="C15" s="64"/>
      <c r="D15" s="64">
        <v>2</v>
      </c>
      <c r="E15" s="64"/>
      <c r="F15" s="64">
        <v>4901</v>
      </c>
      <c r="G15" s="64">
        <v>3</v>
      </c>
      <c r="H15" s="65">
        <v>1</v>
      </c>
      <c r="I15" s="65">
        <v>2</v>
      </c>
      <c r="J15" s="65">
        <v>9</v>
      </c>
      <c r="K15" s="65">
        <v>4</v>
      </c>
      <c r="L15" s="65"/>
      <c r="M15" s="65">
        <v>1</v>
      </c>
      <c r="N15" s="66" t="s">
        <v>56</v>
      </c>
      <c r="O15" s="140" t="s">
        <v>72</v>
      </c>
      <c r="P15" s="141"/>
      <c r="Q15" s="70">
        <v>694800</v>
      </c>
    </row>
    <row r="16" spans="1:17" ht="17.25" customHeight="1" x14ac:dyDescent="0.2">
      <c r="A16" s="69">
        <v>42</v>
      </c>
      <c r="B16" s="64"/>
      <c r="C16" s="64"/>
      <c r="D16" s="64">
        <v>2</v>
      </c>
      <c r="E16" s="64"/>
      <c r="F16" s="64">
        <v>4901</v>
      </c>
      <c r="G16" s="64">
        <v>3</v>
      </c>
      <c r="H16" s="65">
        <v>1</v>
      </c>
      <c r="I16" s="65">
        <v>2</v>
      </c>
      <c r="J16" s="65">
        <v>7</v>
      </c>
      <c r="K16" s="65">
        <v>9</v>
      </c>
      <c r="L16" s="65"/>
      <c r="M16" s="65">
        <v>1</v>
      </c>
      <c r="N16" s="66" t="s">
        <v>56</v>
      </c>
      <c r="O16" s="140" t="s">
        <v>99</v>
      </c>
      <c r="P16" s="141"/>
      <c r="Q16" s="70">
        <v>15600</v>
      </c>
    </row>
    <row r="17" spans="1:18" ht="17.25" customHeight="1" x14ac:dyDescent="0.2">
      <c r="A17" s="71"/>
      <c r="B17" s="67"/>
      <c r="C17" s="67"/>
      <c r="D17" s="67"/>
      <c r="E17" s="67"/>
      <c r="F17" s="68"/>
      <c r="G17" s="67"/>
      <c r="H17" s="67"/>
      <c r="I17" s="67"/>
      <c r="J17" s="67"/>
      <c r="K17" s="67"/>
      <c r="L17" s="67"/>
      <c r="M17" s="67"/>
      <c r="N17" s="67"/>
      <c r="O17" s="147"/>
      <c r="P17" s="147"/>
      <c r="Q17" s="70"/>
      <c r="R17" s="1"/>
    </row>
    <row r="18" spans="1:18" ht="17.25" customHeight="1" thickBot="1" x14ac:dyDescent="0.25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148"/>
      <c r="P18" s="148"/>
      <c r="Q18" s="74"/>
    </row>
    <row r="19" spans="1:18" ht="34.5" customHeight="1" thickBot="1" x14ac:dyDescent="0.25">
      <c r="A19" s="149" t="s">
        <v>94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6">
        <f>SUM(Q15:Q18)</f>
        <v>710400</v>
      </c>
    </row>
    <row r="20" spans="1:18" ht="18" customHeight="1" thickBot="1" x14ac:dyDescent="0.25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</row>
    <row r="21" spans="1:18" ht="17.25" customHeight="1" thickBot="1" x14ac:dyDescent="0.25">
      <c r="A21" s="142" t="s">
        <v>47</v>
      </c>
      <c r="B21" s="143"/>
      <c r="C21" s="143"/>
      <c r="D21" s="143"/>
      <c r="E21" s="143"/>
      <c r="F21" s="144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</row>
    <row r="22" spans="1:18" ht="18" customHeight="1" thickBot="1" x14ac:dyDescent="0.25">
      <c r="A22" s="146" t="s">
        <v>83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</row>
    <row r="23" spans="1:18" ht="15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A21:F21"/>
    <mergeCell ref="G21:Q21"/>
    <mergeCell ref="A22:Q23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2021-01-07T14:12:48Z</cp:lastPrinted>
  <dcterms:created xsi:type="dcterms:W3CDTF">2020-07-17T23:44:49Z</dcterms:created>
  <dcterms:modified xsi:type="dcterms:W3CDTF">2022-06-15T13:35:09Z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