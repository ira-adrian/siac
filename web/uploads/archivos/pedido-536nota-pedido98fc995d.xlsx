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K17" i="2"/>
  <c r="C16" i="2"/>
  <c r="C17" i="2"/>
  <c r="I17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5" i="1"/>
  <c r="I14" i="1"/>
  <c r="I13" i="1"/>
  <c r="I12" i="1"/>
  <c r="I11" i="1"/>
  <c r="I10" i="1"/>
  <c r="J1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<sst xmlns="http://schemas.openxmlformats.org/spreadsheetml/2006/main" count="123" uniqueCount="93">
  <si>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</si>
  <si>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</si>
  <si>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</si>
  <si>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</si>
  <si>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</si>
  <si>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</si>
  <si>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</si>
  <si>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</si>
  <si>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</si>
  <si>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</si>
  <si>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</si>
  <si>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</si>
  <si>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</si>
  <si>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</si>
  <si>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</si>
  <si>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</si>
  <si>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</si>
  <si>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</si>
  <si>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</si>
  <si>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</si>
  <si>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</si>
  <si>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</si>
  <si>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</si>
  <si>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</si>
  <si>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</si>
  <si>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</si>
  <si>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</si>
  <si>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</si>
  <si>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</si>
  <si>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</si>
  <si>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</si>
  <si>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</si>
  <si>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</si>
  <si>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</si>
  <si>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</si>
  <si>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</si>
  <si>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</si>
  <si>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</si>
  <si>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</si>
  <si>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</si>
  <si>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</si>
  <si>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</si>
  <si>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</si>
  <si>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</si>
  <si>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</si>
  <si>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</si>
  <si>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</si>
  <si>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</si>
  <si>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</si>
  <si>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</si>
  <si>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</si>
  <si>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</si>
  <si>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</si>
  <si>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</si>
  <si>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</si>
  <si>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</si>
  <si>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</si>
  <si>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</si>
  <si>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</si>
  <si>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</si>
  <si>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</si>
  <si>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10 dias - Servicio de Farmacia del HISJB</t>
  </si>
  <si>
    <t xml:space="preserve">45 dias habiles </t>
  </si>
  <si>
    <t>3.1</t>
  </si>
  <si>
    <t>1.1</t>
  </si>
  <si>
    <t>Utiles Menores Med. Quir. y de Lab.</t>
  </si>
  <si>
    <t>2.9.5-5567.33</t>
  </si>
  <si>
    <t>PROD. MEDICO/FARMACEUTICOS/LAB</t>
  </si>
  <si>
    <t>CANULAS; TIPO: TRAQUEOSTOMIA N° 7,5 , MATERIAL : PVC, DIAMETRO: 7,5 MM, LONG.DE CUERPO: SIN VALOR, BALON: CON</t>
  </si>
  <si>
    <t>UNIDAD</t>
  </si>
  <si>
    <t>2.9.5-7830.4</t>
  </si>
  <si>
    <t>FILTROS HUMIDIFICADORES; MATERIAL: PLASTICO SILICONADO, MEDIDA: DIAMETRO 23 mm, USO: CANULA DE TRAQUEOTOMIA</t>
  </si>
  <si>
    <t>2.9.5-4707.1</t>
  </si>
  <si>
    <t>PIPETAS P/NEBULIZAR; USO: PARA NEBULIZAR, TIPO: C/MASCARA P/ADULTO, MATERIAL: PLASTICO</t>
  </si>
  <si>
    <t>4.3.3-2045.4</t>
  </si>
  <si>
    <t>RESUCITADORES MANUALES; VÁLVULA DE SEGURIDAD: CON; BOLSA RESERVORIO DE O2: S/PLIEGO; USO: P/ADULTOS</t>
  </si>
  <si>
    <t>2.9.5-2226.37</t>
  </si>
  <si>
    <t>CONECTORES P/MEDICINA; USO: TUBULADURA, CONECTOR T</t>
  </si>
  <si>
    <t>2.9.5-2226.38</t>
  </si>
  <si>
    <t>CONECTORES P/MEDICINA; TIPO: EN Y; MEDIDA: S/PLIEGO; USO: CONECTOR DE TUBULADURAS; PRESENTACIÓN: UNIDAD</t>
  </si>
  <si>
    <t>Articulado con puerto para traqueostomia  con conexión a tubuladora de oxigeno , intercambiador calor /humedad- respiracion espontanea - Material: PP, Especif: tipo esponja</t>
  </si>
  <si>
    <t>Especificidades Item N° 5:</t>
  </si>
  <si>
    <t>Especificidades Item N° 6:</t>
  </si>
  <si>
    <t xml:space="preserve">Para tubos diametro externo 9,5 mm - TIPO TOMFAC- FIRTS  " T "395  </t>
  </si>
  <si>
    <t xml:space="preserve">Para tubos diametro externo 9,5 mm - TIPO TOMFAC- FIRTS  " Y "295 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</si>
  <si>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</si>
  <si>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</si>
  <si>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20 DIAS CORRIDOS - SERVICIO DE FARMACIA - ADVA. ILLIA Y MARIANO MORENO - DE LUNES A VIERNES DE 08:00 A 11:00 HORAS </t>
  </si>
  <si>
    <t>Costo total estimado:  PESOS TRESCIENTOS SESENTA Y SIETE MIL NOVECIENTOS TREINTA Y OCHO CON 00/100</t>
  </si>
  <si>
    <t>TOTAL DE PESOS: TRESCIENTOS SESENTA Y SIETE MIL NOVECIENTOS TREINTA Y OCHO CON 00/100</t>
  </si>
  <si>
    <t>Adquisición de Terapia Respiratoria</t>
  </si>
  <si>
    <t>NOTA DE PEDIDO 125</t>
  </si>
  <si>
    <t>DOCFI-2022-01931733-CAT-DASIS#HSJB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</si>
</sst>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48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5"/>
  <sheetViews>
    <sheetView tabSelected="1" topLeftCell="A40" zoomScale="85" zoomScaleNormal="85" workbookViewId="0">
      <selection activeCell="H17" sqref="H1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82" t="s">
        <v>1</v>
      </c>
      <c r="B4" s="82"/>
      <c r="C4" s="95" t="s">
        <v>57</v>
      </c>
      <c r="D4" s="95"/>
      <c r="E4" s="95"/>
      <c r="F4" s="40"/>
      <c r="G4" s="41"/>
      <c r="H4" s="40"/>
    </row>
    <row r="5" spans="1:9" ht="18" customHeight="1" x14ac:dyDescent="0.25">
      <c r="A5" s="82" t="s">
        <v>2</v>
      </c>
      <c r="B5" s="82"/>
      <c r="C5" s="95" t="s">
        <v>58</v>
      </c>
      <c r="D5" s="95"/>
      <c r="E5" s="95"/>
      <c r="F5" s="40"/>
      <c r="G5" s="41"/>
      <c r="H5" s="40"/>
    </row>
    <row r="6" spans="1:9" ht="16.5" customHeight="1" x14ac:dyDescent="0.25">
      <c r="A6" s="82" t="s">
        <v>3</v>
      </c>
      <c r="B6" s="82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2" t="s">
        <v>4</v>
      </c>
      <c r="B7" s="82"/>
      <c r="C7" s="63">
        <v>4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66</v>
      </c>
      <c r="C10" s="57" t="s">
        <v>67</v>
      </c>
      <c r="D10" s="58">
        <v>295</v>
      </c>
      <c r="E10" s="59" t="s">
        <v>68</v>
      </c>
      <c r="F10" s="60" t="s">
        <v>69</v>
      </c>
      <c r="G10" s="60">
        <v>30</v>
      </c>
      <c r="H10" s="61">
        <v>440</v>
      </c>
      <c r="I10" s="62">
        <f t="shared" ref="I10:I15" si="0">G10*H10</f>
        <v>13200</v>
      </c>
    </row>
    <row r="11" spans="1:9" ht="31.9" customHeight="1" thickBot="1" x14ac:dyDescent="0.25">
      <c r="A11" s="56">
        <v>2</v>
      </c>
      <c r="B11" s="60" t="s">
        <v>70</v>
      </c>
      <c r="C11" s="57" t="s">
        <v>67</v>
      </c>
      <c r="D11" s="58">
        <v>295</v>
      </c>
      <c r="E11" s="59" t="s">
        <v>71</v>
      </c>
      <c r="F11" s="60" t="s">
        <v>69</v>
      </c>
      <c r="G11" s="60">
        <v>200</v>
      </c>
      <c r="H11" s="61">
        <v>591.69000000000005</v>
      </c>
      <c r="I11" s="62">
        <f t="shared" si="0"/>
        <v>118338.00000000001</v>
      </c>
    </row>
    <row r="12" spans="1:9" ht="31.9" customHeight="1" thickBot="1" x14ac:dyDescent="0.25">
      <c r="A12" s="56">
        <v>3</v>
      </c>
      <c r="B12" s="60" t="s">
        <v>72</v>
      </c>
      <c r="C12" s="57" t="s">
        <v>67</v>
      </c>
      <c r="D12" s="58">
        <v>295</v>
      </c>
      <c r="E12" s="59" t="s">
        <v>73</v>
      </c>
      <c r="F12" s="60" t="s">
        <v>69</v>
      </c>
      <c r="G12" s="60">
        <v>300</v>
      </c>
      <c r="H12" s="61">
        <v>270</v>
      </c>
      <c r="I12" s="62">
        <f t="shared" si="0"/>
        <v>81000</v>
      </c>
    </row>
    <row r="13" spans="1:9" ht="31.9" customHeight="1" thickBot="1" x14ac:dyDescent="0.25">
      <c r="A13" s="56">
        <v>4</v>
      </c>
      <c r="B13" s="60" t="s">
        <v>74</v>
      </c>
      <c r="C13" s="57" t="s">
        <v>67</v>
      </c>
      <c r="D13" s="58">
        <v>295</v>
      </c>
      <c r="E13" s="59" t="s">
        <v>75</v>
      </c>
      <c r="F13" s="60" t="s">
        <v>69</v>
      </c>
      <c r="G13" s="60">
        <v>14</v>
      </c>
      <c r="H13" s="61">
        <v>2300</v>
      </c>
      <c r="I13" s="62">
        <f t="shared" si="0"/>
        <v>32200</v>
      </c>
    </row>
    <row r="14" spans="1:9" ht="31.9" customHeight="1" thickBot="1" x14ac:dyDescent="0.25">
      <c r="A14" s="56">
        <v>5</v>
      </c>
      <c r="B14" s="60" t="s">
        <v>76</v>
      </c>
      <c r="C14" s="57" t="s">
        <v>67</v>
      </c>
      <c r="D14" s="58">
        <v>295</v>
      </c>
      <c r="E14" s="59" t="s">
        <v>77</v>
      </c>
      <c r="F14" s="60" t="s">
        <v>69</v>
      </c>
      <c r="G14" s="60">
        <v>200</v>
      </c>
      <c r="H14" s="61">
        <v>280</v>
      </c>
      <c r="I14" s="62">
        <f t="shared" si="0"/>
        <v>56000</v>
      </c>
    </row>
    <row r="15" spans="1:9" ht="31.9" customHeight="1" thickBot="1" x14ac:dyDescent="0.25">
      <c r="A15" s="56">
        <v>6</v>
      </c>
      <c r="B15" s="60" t="s">
        <v>78</v>
      </c>
      <c r="C15" s="57" t="s">
        <v>67</v>
      </c>
      <c r="D15" s="58">
        <v>295</v>
      </c>
      <c r="E15" s="59" t="s">
        <v>79</v>
      </c>
      <c r="F15" s="60" t="s">
        <v>69</v>
      </c>
      <c r="G15" s="60">
        <v>240</v>
      </c>
      <c r="H15" s="61">
        <v>280</v>
      </c>
      <c r="I15" s="62">
        <f t="shared" si="0"/>
        <v>67200</v>
      </c>
    </row>
    <row r="16" spans="1:9" ht="13.5" thickBot="1" x14ac:dyDescent="0.25"/>
    <row r="17" spans="2:5" ht="59.25" customHeight="1" thickBot="1" x14ac:dyDescent="0.25">
      <c r="C17" s="85" t="s">
        <v>85</v>
      </c>
      <c r="D17" s="86"/>
      <c r="E17" s="87"/>
    </row>
    <row r="18" spans="2:5" ht="39.75" customHeight="1" thickBot="1" x14ac:dyDescent="0.25">
      <c r="C18" s="88" t="s">
        <v>86</v>
      </c>
      <c r="D18" s="89"/>
      <c r="E18" s="90"/>
    </row>
    <row r="19" spans="2:5" ht="39" customHeight="1" thickBot="1" x14ac:dyDescent="0.25">
      <c r="C19" s="91" t="s">
        <v>87</v>
      </c>
      <c r="D19" s="92"/>
      <c r="E19" s="93"/>
    </row>
    <row r="21" spans="2:5" ht="13.5" thickBot="1" x14ac:dyDescent="0.25"/>
    <row r="22" spans="2:5" x14ac:dyDescent="0.2">
      <c r="B22" s="42" t="s">
        <v>19</v>
      </c>
      <c r="C22" s="43"/>
      <c r="D22" s="43"/>
      <c r="E22" s="44"/>
    </row>
    <row r="23" spans="2:5" ht="5.25" customHeight="1" x14ac:dyDescent="0.2">
      <c r="B23" s="45"/>
      <c r="C23" s="46"/>
      <c r="D23" s="46"/>
      <c r="E23" s="47"/>
    </row>
    <row r="24" spans="2:5" x14ac:dyDescent="0.2">
      <c r="B24" s="48" t="s">
        <v>14</v>
      </c>
      <c r="C24" s="46"/>
      <c r="D24" s="46"/>
      <c r="E24" s="47"/>
    </row>
    <row r="25" spans="2:5" ht="41.25" customHeight="1" x14ac:dyDescent="0.2">
      <c r="B25" s="48"/>
      <c r="C25" s="80" t="s">
        <v>80</v>
      </c>
      <c r="D25" s="80"/>
      <c r="E25" s="80"/>
    </row>
    <row r="26" spans="2:5" x14ac:dyDescent="0.2">
      <c r="B26" s="48" t="s">
        <v>15</v>
      </c>
      <c r="C26" s="46"/>
      <c r="D26" s="46"/>
      <c r="E26" s="47"/>
    </row>
    <row r="27" spans="2:5" x14ac:dyDescent="0.2">
      <c r="B27" s="49"/>
      <c r="C27" s="83" t="s">
        <v>61</v>
      </c>
      <c r="D27" s="83"/>
      <c r="E27" s="83"/>
    </row>
    <row r="28" spans="2:5" x14ac:dyDescent="0.2">
      <c r="B28" s="49"/>
      <c r="C28" s="84"/>
      <c r="D28" s="84"/>
      <c r="E28" s="84"/>
    </row>
    <row r="29" spans="2:5" x14ac:dyDescent="0.2">
      <c r="B29" s="48" t="s">
        <v>16</v>
      </c>
      <c r="C29" s="46"/>
      <c r="D29" s="46"/>
      <c r="E29" s="47"/>
    </row>
    <row r="30" spans="2:5" ht="26.25" customHeight="1" x14ac:dyDescent="0.2">
      <c r="B30" s="49"/>
      <c r="C30" s="80"/>
      <c r="D30" s="80"/>
      <c r="E30" s="80"/>
    </row>
    <row r="31" spans="2:5" x14ac:dyDescent="0.2">
      <c r="B31" s="48" t="s">
        <v>17</v>
      </c>
      <c r="C31" s="50"/>
      <c r="D31" s="50"/>
      <c r="E31" s="51"/>
    </row>
    <row r="32" spans="2:5" ht="26.25" customHeight="1" x14ac:dyDescent="0.2">
      <c r="B32" s="49"/>
      <c r="C32" s="81" t="s">
        <v>62</v>
      </c>
      <c r="D32" s="81"/>
      <c r="E32" s="81"/>
    </row>
    <row r="33" spans="2:5" x14ac:dyDescent="0.2">
      <c r="B33" s="48" t="s">
        <v>18</v>
      </c>
      <c r="C33" s="46"/>
      <c r="D33" s="46"/>
      <c r="E33" s="47"/>
    </row>
    <row r="34" spans="2:5" ht="23.25" customHeight="1" x14ac:dyDescent="0.2">
      <c r="B34" s="48"/>
      <c r="C34" s="79"/>
      <c r="D34" s="79"/>
      <c r="E34" s="79"/>
    </row>
    <row r="35" spans="2:5" x14ac:dyDescent="0.2">
      <c r="B35" s="52"/>
      <c r="C35" s="53"/>
      <c r="D35" s="53"/>
      <c r="E35" s="54"/>
    </row>
    <row r="37" spans="2:5" x14ac:dyDescent="0.2">
      <c r="B37" s="42" t="s">
        <v>81</v>
      </c>
      <c r="C37" s="43"/>
      <c r="D37" s="43"/>
      <c r="E37" s="44"/>
    </row>
    <row r="38" spans="2:5" ht="7.5" customHeight="1" x14ac:dyDescent="0.2">
      <c r="B38" s="45"/>
      <c r="C38" s="46"/>
      <c r="D38" s="46"/>
      <c r="E38" s="47"/>
    </row>
    <row r="39" spans="2:5" x14ac:dyDescent="0.2">
      <c r="B39" s="48" t="s">
        <v>14</v>
      </c>
      <c r="C39" s="46"/>
      <c r="D39" s="46"/>
      <c r="E39" s="47"/>
    </row>
    <row r="40" spans="2:5" ht="39" customHeight="1" x14ac:dyDescent="0.2">
      <c r="B40" s="48"/>
      <c r="C40" s="80" t="s">
        <v>83</v>
      </c>
      <c r="D40" s="80"/>
      <c r="E40" s="80"/>
    </row>
    <row r="41" spans="2:5" x14ac:dyDescent="0.2">
      <c r="B41" s="48" t="s">
        <v>15</v>
      </c>
      <c r="C41" s="46"/>
      <c r="D41" s="46"/>
      <c r="E41" s="47"/>
    </row>
    <row r="42" spans="2:5" x14ac:dyDescent="0.2">
      <c r="B42" s="49"/>
      <c r="C42" s="79"/>
      <c r="D42" s="79"/>
      <c r="E42" s="79"/>
    </row>
    <row r="43" spans="2:5" x14ac:dyDescent="0.2">
      <c r="B43" s="49"/>
      <c r="C43" s="79"/>
      <c r="D43" s="79"/>
      <c r="E43" s="79"/>
    </row>
    <row r="44" spans="2:5" x14ac:dyDescent="0.2">
      <c r="B44" s="48" t="s">
        <v>16</v>
      </c>
      <c r="C44" s="46"/>
      <c r="D44" s="46"/>
      <c r="E44" s="47"/>
    </row>
    <row r="45" spans="2:5" x14ac:dyDescent="0.2">
      <c r="B45" s="49"/>
      <c r="C45" s="80"/>
      <c r="D45" s="80"/>
      <c r="E45" s="80"/>
    </row>
    <row r="46" spans="2:5" x14ac:dyDescent="0.2">
      <c r="B46" s="48" t="s">
        <v>17</v>
      </c>
      <c r="C46" s="50"/>
      <c r="D46" s="50"/>
      <c r="E46" s="51"/>
    </row>
    <row r="47" spans="2:5" x14ac:dyDescent="0.2">
      <c r="B47" s="49"/>
      <c r="C47" s="80"/>
      <c r="D47" s="80"/>
      <c r="E47" s="80"/>
    </row>
    <row r="48" spans="2:5" x14ac:dyDescent="0.2">
      <c r="B48" s="48" t="s">
        <v>18</v>
      </c>
      <c r="C48" s="46"/>
      <c r="D48" s="46"/>
      <c r="E48" s="47"/>
    </row>
    <row r="49" spans="2:5" x14ac:dyDescent="0.2">
      <c r="B49" s="48"/>
      <c r="C49" s="79"/>
      <c r="D49" s="79"/>
      <c r="E49" s="79"/>
    </row>
    <row r="50" spans="2:5" x14ac:dyDescent="0.2">
      <c r="B50" s="52"/>
      <c r="C50" s="53"/>
      <c r="D50" s="53"/>
      <c r="E50" s="54"/>
    </row>
    <row r="51" spans="2:5" ht="13.5" thickBot="1" x14ac:dyDescent="0.25"/>
    <row r="52" spans="2:5" x14ac:dyDescent="0.2">
      <c r="B52" s="42" t="s">
        <v>82</v>
      </c>
      <c r="C52" s="43"/>
      <c r="D52" s="43"/>
      <c r="E52" s="44"/>
    </row>
    <row r="53" spans="2:5" ht="7.5" customHeight="1" x14ac:dyDescent="0.2">
      <c r="B53" s="45"/>
      <c r="C53" s="46"/>
      <c r="D53" s="46"/>
      <c r="E53" s="47"/>
    </row>
    <row r="54" spans="2:5" x14ac:dyDescent="0.2">
      <c r="B54" s="48" t="s">
        <v>14</v>
      </c>
      <c r="C54" s="46"/>
      <c r="D54" s="46"/>
      <c r="E54" s="47"/>
    </row>
    <row r="55" spans="2:5" ht="39" customHeight="1" x14ac:dyDescent="0.2">
      <c r="B55" s="48"/>
      <c r="C55" s="80" t="s">
        <v>84</v>
      </c>
      <c r="D55" s="80"/>
      <c r="E55" s="80"/>
    </row>
    <row r="56" spans="2:5" x14ac:dyDescent="0.2">
      <c r="B56" s="48" t="s">
        <v>15</v>
      </c>
      <c r="C56" s="46"/>
      <c r="D56" s="46"/>
      <c r="E56" s="47"/>
    </row>
    <row r="57" spans="2:5" x14ac:dyDescent="0.2">
      <c r="B57" s="49"/>
      <c r="C57" s="79"/>
      <c r="D57" s="79"/>
      <c r="E57" s="79"/>
    </row>
    <row r="58" spans="2:5" x14ac:dyDescent="0.2">
      <c r="B58" s="49"/>
      <c r="C58" s="79"/>
      <c r="D58" s="79"/>
      <c r="E58" s="79"/>
    </row>
    <row r="59" spans="2:5" x14ac:dyDescent="0.2">
      <c r="B59" s="48" t="s">
        <v>16</v>
      </c>
      <c r="C59" s="46"/>
      <c r="D59" s="46"/>
      <c r="E59" s="47"/>
    </row>
    <row r="60" spans="2:5" x14ac:dyDescent="0.2">
      <c r="B60" s="49"/>
      <c r="C60" s="80"/>
      <c r="D60" s="80"/>
      <c r="E60" s="80"/>
    </row>
    <row r="61" spans="2:5" x14ac:dyDescent="0.2">
      <c r="B61" s="48" t="s">
        <v>17</v>
      </c>
      <c r="C61" s="50"/>
      <c r="D61" s="50"/>
      <c r="E61" s="51"/>
    </row>
    <row r="62" spans="2:5" x14ac:dyDescent="0.2">
      <c r="B62" s="49"/>
      <c r="C62" s="80"/>
      <c r="D62" s="80"/>
      <c r="E62" s="80"/>
    </row>
    <row r="63" spans="2:5" x14ac:dyDescent="0.2">
      <c r="B63" s="48" t="s">
        <v>18</v>
      </c>
      <c r="C63" s="46"/>
      <c r="D63" s="46"/>
      <c r="E63" s="47"/>
    </row>
    <row r="64" spans="2:5" x14ac:dyDescent="0.2">
      <c r="B64" s="48"/>
      <c r="C64" s="79"/>
      <c r="D64" s="79"/>
      <c r="E64" s="79"/>
    </row>
    <row r="65" spans="2:5" ht="13.5" thickBot="1" x14ac:dyDescent="0.25">
      <c r="B65" s="52"/>
      <c r="C65" s="53"/>
      <c r="D65" s="53"/>
      <c r="E65" s="54"/>
    </row>
  </sheetData>
  <mergeCells count="28">
    <mergeCell ref="B2:H2"/>
    <mergeCell ref="A4:B4"/>
    <mergeCell ref="C4:E4"/>
    <mergeCell ref="A5:B5"/>
    <mergeCell ref="C5:E5"/>
    <mergeCell ref="A6:B6"/>
    <mergeCell ref="A7:B7"/>
    <mergeCell ref="C25:E25"/>
    <mergeCell ref="C27:E27"/>
    <mergeCell ref="C28:E28"/>
    <mergeCell ref="C17:E17"/>
    <mergeCell ref="C18:E18"/>
    <mergeCell ref="C19:E19"/>
    <mergeCell ref="C43:E43"/>
    <mergeCell ref="C45:E45"/>
    <mergeCell ref="C47:E47"/>
    <mergeCell ref="C49:E49"/>
    <mergeCell ref="C30:E30"/>
    <mergeCell ref="C32:E32"/>
    <mergeCell ref="C34:E34"/>
    <mergeCell ref="C40:E40"/>
    <mergeCell ref="C42:E42"/>
    <mergeCell ref="C64:E64"/>
    <mergeCell ref="C55:E55"/>
    <mergeCell ref="C57:E57"/>
    <mergeCell ref="C58:E58"/>
    <mergeCell ref="C60:E60"/>
    <mergeCell ref="C62:E6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70" zoomScaleNormal="70" workbookViewId="0">
      <selection activeCell="O15" sqref="O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6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4" t="s">
        <v>91</v>
      </c>
      <c r="B1" s="104"/>
      <c r="C1" s="104"/>
      <c r="D1" s="104"/>
      <c r="E1" s="104"/>
      <c r="F1" s="104"/>
      <c r="G1" s="104"/>
      <c r="H1" s="104"/>
      <c r="I1" s="104"/>
      <c r="J1" s="3" t="s">
        <v>20</v>
      </c>
      <c r="K1" s="65" t="s">
        <v>92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5" t="s">
        <v>53</v>
      </c>
      <c r="B3" s="105"/>
      <c r="C3" s="105"/>
      <c r="D3" s="106" t="str">
        <f>'Necesidades Trimestrales'!C4</f>
        <v>40 - Ministerio de Salud</v>
      </c>
      <c r="E3" s="106"/>
      <c r="F3" s="106"/>
      <c r="G3" s="106"/>
      <c r="H3" s="106"/>
      <c r="I3" s="106"/>
      <c r="J3" s="106"/>
      <c r="K3" s="106"/>
    </row>
    <row r="4" spans="1:11" ht="18.75" customHeight="1" thickBot="1" x14ac:dyDescent="0.25">
      <c r="A4" s="107" t="s">
        <v>54</v>
      </c>
      <c r="B4" s="107"/>
      <c r="C4" s="107"/>
      <c r="D4" s="106" t="str">
        <f>'Necesidades Trimestrales'!C5</f>
        <v>23 - Hospital Interzonal San Juan Bautista</v>
      </c>
      <c r="E4" s="106"/>
      <c r="F4" s="106"/>
      <c r="G4" s="106"/>
      <c r="H4" s="106"/>
      <c r="I4" s="106"/>
      <c r="J4" s="106"/>
      <c r="K4" s="106"/>
    </row>
    <row r="5" spans="1:11" ht="18.75" customHeight="1" thickBot="1" x14ac:dyDescent="0.25">
      <c r="A5" s="107" t="s">
        <v>32</v>
      </c>
      <c r="B5" s="107"/>
      <c r="C5" s="107"/>
      <c r="D5" s="106" t="s">
        <v>59</v>
      </c>
      <c r="E5" s="106"/>
      <c r="F5" s="106"/>
      <c r="G5" s="106"/>
      <c r="H5" s="106"/>
      <c r="I5" s="106"/>
      <c r="J5" s="106"/>
      <c r="K5" s="106"/>
    </row>
    <row r="6" spans="1:11" ht="16.5" customHeight="1" thickBot="1" x14ac:dyDescent="0.25">
      <c r="A6" s="105" t="s">
        <v>55</v>
      </c>
      <c r="B6" s="105"/>
      <c r="C6" s="105"/>
      <c r="D6" s="106" t="s">
        <v>60</v>
      </c>
      <c r="E6" s="106"/>
      <c r="F6" s="106"/>
      <c r="G6" s="106"/>
      <c r="H6" s="106"/>
      <c r="I6" s="106"/>
      <c r="J6" s="106"/>
      <c r="K6" s="106"/>
    </row>
    <row r="7" spans="1:11" ht="16.5" customHeight="1" x14ac:dyDescent="0.2">
      <c r="A7" s="107" t="s">
        <v>21</v>
      </c>
      <c r="B7" s="107"/>
      <c r="C7" s="107"/>
      <c r="D7" s="106" t="str">
        <f>'Necesidades Trimestrales'!C7 &amp; "° Trimestre - Año " &amp; 'Necesidades Trimestrales'!C6</f>
        <v>4° Trimestre - Año 2022</v>
      </c>
      <c r="E7" s="106"/>
      <c r="F7" s="106"/>
      <c r="G7" s="106"/>
      <c r="H7" s="106"/>
      <c r="I7" s="106"/>
      <c r="J7" s="106"/>
      <c r="K7" s="106"/>
    </row>
    <row r="8" spans="1:11" ht="16.5" customHeight="1" x14ac:dyDescent="0.2">
      <c r="A8" s="99" t="s">
        <v>22</v>
      </c>
      <c r="B8" s="99"/>
      <c r="C8" s="99"/>
      <c r="D8" s="100" t="s">
        <v>90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9.6" customHeight="1" thickBot="1" x14ac:dyDescent="0.25">
      <c r="A12" s="8">
        <v>1</v>
      </c>
      <c r="B12" s="66" t="str">
        <f>'Necesidades Trimestrales'!B10</f>
        <v>2.9.5-5567.33</v>
      </c>
      <c r="C12" s="98" t="str">
        <f>'Necesidades Trimestrales'!E10</f>
        <v>CANULAS; TIPO: TRAQUEOSTOMIA N° 7,5 , MATERIAL : PVC, DIAMETRO: 7,5 MM, LONG.DE CUERPO: SIN VALOR, BALON: CON</v>
      </c>
      <c r="D12" s="98"/>
      <c r="E12" s="98"/>
      <c r="F12" s="98"/>
      <c r="G12" s="98"/>
      <c r="H12" s="67" t="s">
        <v>56</v>
      </c>
      <c r="I12" s="68" t="str">
        <f>'Necesidades Trimestrales'!F10</f>
        <v>UNIDAD</v>
      </c>
      <c r="J12" s="69">
        <f>'Necesidades Trimestrales'!H10</f>
        <v>440</v>
      </c>
      <c r="K12" s="70">
        <f>'Necesidades Trimestrales'!G10</f>
        <v>30</v>
      </c>
    </row>
    <row r="13" spans="1:11" ht="39.6" customHeight="1" thickBot="1" x14ac:dyDescent="0.25">
      <c r="A13" s="8">
        <v>2</v>
      </c>
      <c r="B13" s="66" t="str">
        <f>'Necesidades Trimestrales'!B11</f>
        <v>2.9.5-7830.4</v>
      </c>
      <c r="C13" s="98" t="str">
        <f>'Necesidades Trimestrales'!E11</f>
        <v>FILTROS HUMIDIFICADORES; MATERIAL: PLASTICO SILICONADO, MEDIDA: DIAMETRO 23 mm, USO: CANULA DE TRAQUEOTOMIA</v>
      </c>
      <c r="D13" s="98"/>
      <c r="E13" s="98"/>
      <c r="F13" s="98"/>
      <c r="G13" s="98"/>
      <c r="H13" s="67" t="s">
        <v>56</v>
      </c>
      <c r="I13" s="68" t="str">
        <f>'Necesidades Trimestrales'!F11</f>
        <v>UNIDAD</v>
      </c>
      <c r="J13" s="69">
        <f>'Necesidades Trimestrales'!H11</f>
        <v>591.69000000000005</v>
      </c>
      <c r="K13" s="70">
        <f>'Necesidades Trimestrales'!G11</f>
        <v>200</v>
      </c>
    </row>
    <row r="14" spans="1:11" ht="39.6" customHeight="1" thickBot="1" x14ac:dyDescent="0.25">
      <c r="A14" s="8">
        <v>3</v>
      </c>
      <c r="B14" s="66" t="str">
        <f>'Necesidades Trimestrales'!B12</f>
        <v>2.9.5-4707.1</v>
      </c>
      <c r="C14" s="98" t="str">
        <f>'Necesidades Trimestrales'!E12</f>
        <v>PIPETAS P/NEBULIZAR; USO: PARA NEBULIZAR, TIPO: C/MASCARA P/ADULTO, MATERIAL: PLASTICO</v>
      </c>
      <c r="D14" s="98"/>
      <c r="E14" s="98"/>
      <c r="F14" s="98"/>
      <c r="G14" s="98"/>
      <c r="H14" s="67" t="s">
        <v>56</v>
      </c>
      <c r="I14" s="68" t="str">
        <f>'Necesidades Trimestrales'!F12</f>
        <v>UNIDAD</v>
      </c>
      <c r="J14" s="69">
        <f>'Necesidades Trimestrales'!H12</f>
        <v>270</v>
      </c>
      <c r="K14" s="70">
        <f>'Necesidades Trimestrales'!G12</f>
        <v>300</v>
      </c>
    </row>
    <row r="15" spans="1:11" ht="39.6" customHeight="1" thickBot="1" x14ac:dyDescent="0.25">
      <c r="A15" s="8">
        <v>4</v>
      </c>
      <c r="B15" s="66" t="str">
        <f>'Necesidades Trimestrales'!B13</f>
        <v>4.3.3-2045.4</v>
      </c>
      <c r="C15" s="98" t="str">
        <f>'Necesidades Trimestrales'!E13</f>
        <v>RESUCITADORES MANUALES; VÁLVULA DE SEGURIDAD: CON; BOLSA RESERVORIO DE O2: S/PLIEGO; USO: P/ADULTOS</v>
      </c>
      <c r="D15" s="98"/>
      <c r="E15" s="98"/>
      <c r="F15" s="98"/>
      <c r="G15" s="98"/>
      <c r="H15" s="67" t="s">
        <v>56</v>
      </c>
      <c r="I15" s="68" t="str">
        <f>'Necesidades Trimestrales'!F13</f>
        <v>UNIDAD</v>
      </c>
      <c r="J15" s="69">
        <f>'Necesidades Trimestrales'!H13</f>
        <v>2300</v>
      </c>
      <c r="K15" s="70">
        <f>'Necesidades Trimestrales'!G13</f>
        <v>14</v>
      </c>
    </row>
    <row r="16" spans="1:11" ht="39.6" customHeight="1" thickBot="1" x14ac:dyDescent="0.25">
      <c r="A16" s="8">
        <v>5</v>
      </c>
      <c r="B16" s="66" t="str">
        <f>'Necesidades Trimestrales'!B14</f>
        <v>2.9.5-2226.37</v>
      </c>
      <c r="C16" s="98" t="str">
        <f>'Necesidades Trimestrales'!E14</f>
        <v>CONECTORES P/MEDICINA; USO: TUBULADURA, CONECTOR T</v>
      </c>
      <c r="D16" s="98"/>
      <c r="E16" s="98"/>
      <c r="F16" s="98"/>
      <c r="G16" s="98"/>
      <c r="H16" s="67" t="s">
        <v>56</v>
      </c>
      <c r="I16" s="68" t="str">
        <f>'Necesidades Trimestrales'!F14</f>
        <v>UNIDAD</v>
      </c>
      <c r="J16" s="69">
        <f>'Necesidades Trimestrales'!H14</f>
        <v>280</v>
      </c>
      <c r="K16" s="70">
        <f>'Necesidades Trimestrales'!G14</f>
        <v>200</v>
      </c>
    </row>
    <row r="17" spans="1:1024" ht="39.6" customHeight="1" thickBot="1" x14ac:dyDescent="0.25">
      <c r="A17" s="8">
        <v>6</v>
      </c>
      <c r="B17" s="66" t="str">
        <f>'Necesidades Trimestrales'!B15</f>
        <v>2.9.5-2226.38</v>
      </c>
      <c r="C17" s="98" t="str">
        <f>'Necesidades Trimestrales'!E15</f>
        <v>CONECTORES P/MEDICINA; TIPO: EN Y; MEDIDA: S/PLIEGO; USO: CONECTOR DE TUBULADURAS; PRESENTACIÓN: UNIDAD</v>
      </c>
      <c r="D17" s="98"/>
      <c r="E17" s="98"/>
      <c r="F17" s="98"/>
      <c r="G17" s="98"/>
      <c r="H17" s="67" t="s">
        <v>56</v>
      </c>
      <c r="I17" s="68" t="str">
        <f>'Necesidades Trimestrales'!F15</f>
        <v>UNIDAD</v>
      </c>
      <c r="J17" s="69">
        <f>'Necesidades Trimestrales'!H15</f>
        <v>280</v>
      </c>
      <c r="K17" s="70">
        <f>'Necesidades Trimestrales'!G15</f>
        <v>240</v>
      </c>
    </row>
    <row r="18" spans="1:1024" ht="20.25" customHeight="1" thickBot="1" x14ac:dyDescent="0.25">
      <c r="A18" s="96" t="s">
        <v>88</v>
      </c>
      <c r="B18" s="96"/>
      <c r="C18" s="96"/>
      <c r="D18" s="96"/>
      <c r="E18" s="96"/>
      <c r="F18" s="96"/>
      <c r="G18" s="96"/>
      <c r="H18" s="96"/>
      <c r="I18" s="96"/>
      <c r="J18" s="97">
        <f>SUMPRODUCT(J12:J17,K12:K17)</f>
        <v>367938</v>
      </c>
      <c r="K18" s="9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8:I18"/>
    <mergeCell ref="J18:K18"/>
    <mergeCell ref="C12:G12"/>
    <mergeCell ref="C13:G13"/>
    <mergeCell ref="C14:G14"/>
    <mergeCell ref="C15:G15"/>
    <mergeCell ref="C16:G16"/>
    <mergeCell ref="C17:G1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K30" sqref="K3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2" t="s">
        <v>3</v>
      </c>
      <c r="B1" s="132"/>
      <c r="C1" s="132"/>
      <c r="D1" s="133">
        <f>'Necesidades Trimestrales'!C6</f>
        <v>2022</v>
      </c>
      <c r="E1" s="133"/>
      <c r="F1" s="10"/>
      <c r="G1" s="10"/>
      <c r="H1" s="11"/>
      <c r="I1" s="11"/>
      <c r="J1" s="11"/>
      <c r="K1" s="11"/>
      <c r="L1" s="11"/>
      <c r="M1" s="11"/>
      <c r="N1" s="11"/>
      <c r="P1" s="134" t="s">
        <v>30</v>
      </c>
      <c r="Q1" s="13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4"/>
      <c r="Q2" s="134"/>
    </row>
    <row r="4" spans="1:17" s="12" customFormat="1" ht="18" customHeight="1" thickBot="1" x14ac:dyDescent="0.25">
      <c r="A4" s="135" t="s">
        <v>31</v>
      </c>
      <c r="B4" s="135"/>
      <c r="C4" s="135"/>
      <c r="D4" s="135"/>
      <c r="E4" s="135"/>
      <c r="F4" s="135"/>
      <c r="G4" s="130" t="str">
        <f>NotaPedido!D3</f>
        <v>40 -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12" customFormat="1" ht="18" customHeight="1" thickBot="1" x14ac:dyDescent="0.25">
      <c r="A5" s="127" t="s">
        <v>54</v>
      </c>
      <c r="B5" s="128"/>
      <c r="C5" s="128"/>
      <c r="D5" s="128"/>
      <c r="E5" s="128"/>
      <c r="F5" s="129"/>
      <c r="G5" s="130" t="str">
        <f>NotaPedido!D4</f>
        <v>23 - Hospital Interzonal San Juan Bautista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12" customFormat="1" ht="18" customHeight="1" thickBot="1" x14ac:dyDescent="0.25">
      <c r="A6" s="127" t="s">
        <v>32</v>
      </c>
      <c r="B6" s="128"/>
      <c r="C6" s="128"/>
      <c r="D6" s="128"/>
      <c r="E6" s="128"/>
      <c r="F6" s="129"/>
      <c r="G6" s="130" t="str">
        <f>NotaPedido!D5</f>
        <v>168 - Direccion Asistencial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12" customFormat="1" ht="18" customHeight="1" thickBot="1" x14ac:dyDescent="0.25">
      <c r="A7" s="127" t="s">
        <v>55</v>
      </c>
      <c r="B7" s="128"/>
      <c r="C7" s="128"/>
      <c r="D7" s="128"/>
      <c r="E7" s="128"/>
      <c r="F7" s="129"/>
      <c r="G7" s="130" t="str">
        <f>NotaPedido!D6</f>
        <v>Servicio de Farmacia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1" t="s">
        <v>33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21" t="s">
        <v>34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3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DOCFI-2022-01931733-CAT-DASIS#HSJB,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3" t="s">
        <v>35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36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37</v>
      </c>
      <c r="P13" s="125"/>
      <c r="Q13" s="126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5"/>
      <c r="P14" s="125"/>
      <c r="Q14" s="126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2</v>
      </c>
      <c r="J15" s="76">
        <v>9</v>
      </c>
      <c r="K15" s="76">
        <v>5</v>
      </c>
      <c r="L15" s="74"/>
      <c r="M15" s="77">
        <v>1</v>
      </c>
      <c r="N15" s="75" t="s">
        <v>64</v>
      </c>
      <c r="O15" s="118" t="s">
        <v>65</v>
      </c>
      <c r="P15" s="118"/>
      <c r="Q15" s="23">
        <v>367938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9"/>
      <c r="P16" s="11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9"/>
      <c r="P17" s="119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0"/>
      <c r="P18" s="11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3"/>
      <c r="P19" s="11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3"/>
      <c r="P20" s="11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4"/>
      <c r="P21" s="11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5"/>
      <c r="P22" s="115"/>
      <c r="Q22" s="37"/>
    </row>
    <row r="23" spans="1:19" ht="29.45" customHeight="1" x14ac:dyDescent="0.2">
      <c r="A23" s="116" t="s">
        <v>89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38">
        <f>SUM(Q15:Q22)</f>
        <v>367938</v>
      </c>
    </row>
    <row r="24" spans="1:19" ht="18" customHeight="1" thickBo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9" ht="17.25" customHeight="1" thickBot="1" x14ac:dyDescent="0.25">
      <c r="A25" s="108" t="s">
        <v>52</v>
      </c>
      <c r="B25" s="109"/>
      <c r="C25" s="109"/>
      <c r="D25" s="109"/>
      <c r="E25" s="109"/>
      <c r="F25" s="110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</row>
    <row r="26" spans="1:19" ht="18" customHeight="1" thickBot="1" x14ac:dyDescent="0.25">
      <c r="A26" s="112" t="str">
        <f>"Para la "&amp; NotaPedido!D8 &amp;" para ser destinados al " &amp; NotaPedido!D6 &amp;"  del HISJB del Ministerio de Salud."</f>
        <v>Para la Adquisición de Terapia Respiratoria para ser destinados al Servicio de Farmacia  del HISJB del Ministerio de Salud.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</row>
    <row r="27" spans="1:19" ht="15" customHeight="1" x14ac:dyDescent="0.2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2022-10-12T14:41:30Z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