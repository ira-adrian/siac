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160"/>
  </bookViews>
  <sheets>
    <sheet name="Hoja1" sheetId="1" r:id="rId1"/>
    <sheet name="Hoja2" sheetId="2" r:id="rId2"/>
  </sheets>
  <externalReferences>
    <externalReference r:id="rId3"/>
  </externalReferences>
  <calcPr calcId="145621" iterateDelta="1E-4"/>
</workbook>
</file>

<file path=xl/calcChain.xml><?xml version="1.0" encoding="utf-8"?>
<calcChain xmlns="http://schemas.openxmlformats.org/spreadsheetml/2006/main">
  <c r="I25" i="1" l="1"/>
  <c r="I24" i="1"/>
  <c r="I23" i="1"/>
  <c r="I22" i="1"/>
  <c r="E22" i="1"/>
  <c r="C22" i="1"/>
  <c r="B22" i="1"/>
  <c r="I21" i="1"/>
  <c r="I20" i="1"/>
  <c r="I19" i="1"/>
  <c r="I18" i="1"/>
  <c r="I17" i="1"/>
  <c r="I16" i="1"/>
  <c r="I15" i="1"/>
  <c r="I14" i="1"/>
  <c r="I13" i="1"/>
  <c r="I12" i="1"/>
  <c r="I11" i="1"/>
  <c r="I10" i="1"/>
  <c r="I26" i="1" l="1"/>
</calcChain>
</file>

<file path=xl/sharedStrings.xml><?xml version="1.0" encoding="utf-8"?>
<sst xmlns="http://schemas.openxmlformats.org/spreadsheetml/2006/main" count="109" uniqueCount="70">
  <si>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</si>
  <si>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</si>
  <si>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</si>
  <si>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</si>
  <si>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</si>
  <si>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</si>
  <si>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</si>
  <si>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</si>
  <si>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</si>
  <si>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</si>
  <si>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</si>
  <si>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</si>
  <si>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</si>
  <si>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</si>
  <si>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</si>
  <si>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</si>
  <si>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2.1.1-542.236</t>
  </si>
  <si>
    <t>ALIMENTOS</t>
  </si>
  <si>
    <t>2.1.1</t>
  </si>
  <si>
    <t>QUESOS; TIPO: CREMOSO, PRESENTACION: AL PESO, ELEM. TRANSPORTE: SIN, MATERIAL ELEM. TRANSPORTE: SIN, MATERIAL ENVASE: SIN, CERTIFICADO FORESTAL (GFS): SIN, LIBRE DE GLUTEN: A DEFINIR</t>
  </si>
  <si>
    <t>KG.</t>
  </si>
  <si>
    <t>2.1.1-542.235</t>
  </si>
  <si>
    <t>QUESOS; TIPO: PORT SALUT, PRESENTACION: AL PESO, ELEM. TRANSPORTE: SIN, MATERIAL ELEM. TRANSPORTE: SIN, MATERIAL ENVASE: SIN, CERTIFICADO FORESTAL (GFS): SIN, LIBRE DE GLUTEN: A DEFINIR</t>
  </si>
  <si>
    <t>2.1.1-541.18</t>
  </si>
  <si>
    <t>CARNES: ESPECIE: VACUNA, CORTE: ROAST BEEF, TIPO: VACUNA</t>
  </si>
  <si>
    <t>2.1.1-621.20</t>
  </si>
  <si>
    <t>AVES; TIPO: POLLO, PRESENTACION: CAJA X 22 Kg, EVISCERADO: SI, ELEM. TRANSPORTE: SIN, MATERIAL ELEM. TRANSPORTE: SIN, LIBRE DE GLUTEN: SIN VALOR</t>
  </si>
  <si>
    <t>CAJA</t>
  </si>
  <si>
    <t>2.1.1-541.59</t>
  </si>
  <si>
    <t>CARNES; ESPECIE: VACUNA, CORTE: MONDONGO, TIPO: VACUNA</t>
  </si>
  <si>
    <t>2.1.1-6546.335</t>
  </si>
  <si>
    <t>VERDURAS Y HORTALIZAS; VARIEDAD: PAPA BLANCA, ESTADO: NATURAL, PRESENTACION: BOLSA, PESO: 25 Kg</t>
  </si>
  <si>
    <t>BOLSA</t>
  </si>
  <si>
    <t>2.1.1-6546.158</t>
  </si>
  <si>
    <t>VERDURAS Y HORTALIZAS; ESTADO: NATURAL, VARIEDAD: ZAPALLO ANCO, PRESENTACION: GRANEL, PESO: SIN VALOR</t>
  </si>
  <si>
    <t>2.1.1-6546.188</t>
  </si>
  <si>
    <t>VERDURAS Y HORTALIZAS; ESTADO: NATURAL, PRESENTACION: GRANEL, PESO: SIN VALOR, VARIEDAD: ZAPALLO CRIOLLO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</si>
  <si>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</si>
  <si>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</si>
  <si>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CAJON</t>
  </si>
  <si>
    <t>2.1.1-483.37</t>
  </si>
  <si>
    <t>HUEVO DE GALLINA; TAMAÑO: GRANDE, COLOR: COLOR, PRESENTACION: 30 UN</t>
  </si>
  <si>
    <t>CARTON</t>
  </si>
  <si>
    <t>2.1.1-6546.34</t>
  </si>
  <si>
    <t>VERDURAS Y HORTALIZAS; VARIEDAD: ACELGA, ESTADO: EN HOJA, PRESENTACION: ATADO, PESO: SIN VALOR</t>
  </si>
  <si>
    <t>ATADO</t>
  </si>
  <si>
    <t>2.1.1-6546.39</t>
  </si>
  <si>
    <t>VERDURAS Y HORTALIZAS; VARIEDAD: CEBOLLA, ESTADO: NATURAL, PRESENTACION: BOLSA, PESO: 25 Kg</t>
  </si>
  <si>
    <t>2.1.1-6546.167</t>
  </si>
  <si>
    <t>VERDURAS Y HORTALIZAS; VARIEDAD: ZANAHORIA, PRESENTACION: BOLSA, ESTADO: NATURAL, PESO: 20 Kg</t>
  </si>
  <si>
    <t>2.1.1-6539.2</t>
  </si>
  <si>
    <t>FRUTAS; PRESENTACION: GRANEL, VARIEDAD: NARANJA OMBLIGO, ESTADO: NATURAL, PESO: SIN VALOR</t>
  </si>
  <si>
    <t>2.1.1-2116.2</t>
  </si>
  <si>
    <t>LEVADURAS: TIPO: DE CERVEZA, PRESENTACION: PAQUETE, PESO: 1 KG.</t>
  </si>
  <si>
    <t>COSTO TOTAL ESTIMADO ALIMENTOS PERECEDEROS</t>
  </si>
  <si>
    <t>ESPECIFICIDADES DE LOS ITEMS</t>
  </si>
  <si>
    <t xml:space="preserve"> Descripcion Técnica:</t>
  </si>
  <si>
    <t>Item N° 9: Cajon x 20 KG</t>
  </si>
  <si>
    <t>Item N° 11: Atado x 1 KG aprox.</t>
  </si>
  <si>
    <t>Item N° 13: Cajon x 20 KG</t>
  </si>
  <si>
    <t>Item N° 15: Bolsa x 20 KG</t>
  </si>
  <si>
    <r>
      <rPr>
        <b/>
        <sz val="10"/>
        <rFont val="Times New Roman"/>
        <family val="1"/>
        <charset val="1"/>
      </rPr>
      <t>Entrega y Forma de Pago:</t>
    </r>
    <r>
      <rPr>
        <sz val="10"/>
        <rFont val="Times New Roman"/>
        <family val="1"/>
        <charset val="1"/>
      </rPr>
      <t xml:space="preserve"> 
(Para todos los ítems)</t>
    </r>
  </si>
  <si>
    <t>Lugar de Entrega:</t>
  </si>
  <si>
    <t>Servicio Penitenciario Provincial, Ruta Nacional 38, km 558 Colonia del Valle.</t>
  </si>
  <si>
    <t>Calidad Mínima esperada</t>
  </si>
  <si>
    <t>Mantenimiento:</t>
  </si>
  <si>
    <t>45 días</t>
  </si>
  <si>
    <t>Garantía</t>
  </si>
  <si>
    <t>Las entregas se realizarán a requerimiento de acuerdo, a las Solicitudes de Provisión que se realicen. Se estima emitir una cantidad aproximada de 2 (Dos) Solicitudes de Provisión de 1/2 aprox. de la cantidad solicitada, en un plazo de 2 (Dos) meses: 1° Solic.de Provisión: aprox.a los 2 (Dos) dias hábiles de la firma del instrumento contractual. 2° Solic.de Provisión: al mes de la firma del instrumento contractual. Plazo de cumplimiento de cada Solicitud de Provisión: a los 2 días hábiles de notificada la misma, según necesidades del Organismo solicitante. Forma de Pago: Se solicita Pagos parciales por cada Solicitud de Provisión emitida, una vez finalizada la entrega de las cantidades contenidas en la misma.</t>
  </si>
  <si>
    <t>Los productos deben ser de 1° calidad, según condiciones establecidas en nota (Condición de Calidad)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</si>
</sst>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$&quot;\ * #,##0.00_-;\-&quot;$&quot;\ * #,##0.00_-;_-&quot;$&quot;\ * &quot;-&quot;??_-;_-@_-"/>
    <numFmt numFmtId="165" formatCode="_-[$$-2C0A]\ * #,##0.00_-;\-[$$-2C0A]\ * #,##0.00_-;_-[$$-2C0A]\ * &quot;-&quot;??_-;_-@_-"/>
    <numFmt numFmtId="166" formatCode="_-[$$-2C0A]\ * #,##0.00_-;\-[$$-2C0A]\ * #,##0.00_-;_-[$$-2C0A]\ * \-??_-;_-@_-"/>
    <numFmt numFmtId="167" formatCode="_-* #,##0.00&quot; €&quot;_-;\-* #,##0.00&quot; €&quot;_-;_-* \-??&quot; €&quot;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b/>
      <sz val="10"/>
      <name val="Times New Roman"/>
      <family val="1"/>
      <charset val="1"/>
    </font>
    <font>
      <sz val="10"/>
      <name val="Arial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/>
      <u/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BF7"/>
        <bgColor rgb="FFCCFFFF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3" fillId="0" borderId="0"/>
    <xf numFmtId="167" fontId="15" fillId="0" borderId="0" applyBorder="0" applyProtection="0"/>
  </cellStyleXfs>
  <cellXfs count="42">
    <xf numFmtId="0" fontId="0" fillId="0" borderId="0" xfId="0"/>
    <xf numFmtId="0" fontId="2" fillId="0" borderId="0" xfId="0" applyFont="1"/>
    <xf numFmtId="165" fontId="2" fillId="0" borderId="0" xfId="1" applyNumberFormat="1" applyFont="1" applyAlignment="1">
      <alignment vertical="center"/>
    </xf>
    <xf numFmtId="165" fontId="2" fillId="0" borderId="0" xfId="0" applyNumberFormat="1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5" fontId="8" fillId="0" borderId="2" xfId="1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166" fontId="9" fillId="0" borderId="6" xfId="1" applyNumberFormat="1" applyFont="1" applyBorder="1" applyAlignment="1" applyProtection="1">
      <alignment vertical="center"/>
    </xf>
    <xf numFmtId="166" fontId="9" fillId="0" borderId="4" xfId="1" applyNumberFormat="1" applyFont="1" applyBorder="1" applyAlignment="1" applyProtection="1">
      <alignment horizontal="righ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166" fontId="12" fillId="3" borderId="4" xfId="0" applyNumberFormat="1" applyFont="1" applyFill="1" applyBorder="1" applyAlignment="1">
      <alignment horizontal="center" vertical="center"/>
    </xf>
    <xf numFmtId="0" fontId="14" fillId="0" borderId="9" xfId="2" applyFont="1" applyBorder="1" applyAlignment="1"/>
    <xf numFmtId="0" fontId="14" fillId="0" borderId="10" xfId="2" applyFont="1" applyBorder="1" applyAlignment="1"/>
    <xf numFmtId="0" fontId="14" fillId="0" borderId="11" xfId="2" applyFont="1" applyBorder="1" applyAlignment="1"/>
    <xf numFmtId="0" fontId="14" fillId="0" borderId="12" xfId="2" applyFont="1" applyBorder="1" applyAlignment="1"/>
    <xf numFmtId="0" fontId="14" fillId="0" borderId="13" xfId="2" applyFont="1" applyBorder="1" applyAlignment="1"/>
    <xf numFmtId="0" fontId="14" fillId="0" borderId="14" xfId="2" applyFont="1" applyBorder="1" applyAlignment="1"/>
    <xf numFmtId="0" fontId="12" fillId="0" borderId="8" xfId="2" applyFont="1" applyBorder="1" applyAlignment="1">
      <alignment horizontal="left" vertical="center"/>
    </xf>
    <xf numFmtId="0" fontId="16" fillId="0" borderId="8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4" fillId="0" borderId="8" xfId="2" applyFont="1" applyBorder="1" applyAlignment="1">
      <alignment horizontal="left" vertical="center"/>
    </xf>
    <xf numFmtId="0" fontId="12" fillId="0" borderId="8" xfId="2" applyFont="1" applyBorder="1" applyAlignment="1">
      <alignment horizontal="center" vertical="center" wrapText="1"/>
    </xf>
    <xf numFmtId="0" fontId="14" fillId="0" borderId="15" xfId="2" applyFont="1" applyBorder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11" fillId="3" borderId="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wrapText="1" indent="1"/>
    </xf>
  </cellXfs>
  <cellStyles count="4">
    <cellStyle name="Moneda" xfId="1" builtinId="4"/>
    <cellStyle name="Moned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DEOCONFERENCIA/AppData/Local/Temp/acrobat_sbx/A954vgu6_1m1jz2f_75s.tmp/Usuario/Downloads/Resultados%20de%20la%20b&#250;squeda%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s de la búsqueda (5)"/>
    </sheetNames>
    <sheetDataSet>
      <sheetData sheetId="0" refreshError="1">
        <row r="151">
          <cell r="A151" t="str">
            <v>2.1.1-6546.151</v>
          </cell>
          <cell r="B151" t="str">
            <v>ALIMENTOS</v>
          </cell>
          <cell r="D151" t="str">
            <v>VERDURAS Y HORTALIZAS; VARIEDAD: ZAPALLITO REDONDO, ESTADO: NATURAL, PRESENTACION: CAJON, PESO: SIN VALOR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>
      <selection activeCell="G37" sqref="G37"/>
    </sheetView>
  </sheetViews>
  <sheetFormatPr baseColWidth="10" defaultRowHeight="15" x14ac:dyDescent="0.25"/>
  <cols>
    <col min="1" max="1" width="4.5703125" customWidth="1"/>
    <col min="2" max="2" width="12.85546875" customWidth="1"/>
    <col min="3" max="3" width="22.85546875" customWidth="1"/>
    <col min="4" max="4" width="8.42578125" customWidth="1"/>
    <col min="5" max="5" width="79" customWidth="1"/>
    <col min="6" max="6" width="11"/>
    <col min="7" max="7" width="12.7109375" customWidth="1"/>
    <col min="8" max="8" width="13.85546875" customWidth="1"/>
    <col min="9" max="9" width="18.570312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2"/>
      <c r="I1" s="3"/>
    </row>
    <row r="2" spans="1:9" ht="27" x14ac:dyDescent="0.35">
      <c r="A2" s="1"/>
      <c r="B2" s="40" t="s">
        <v>0</v>
      </c>
      <c r="C2" s="40"/>
      <c r="D2" s="40"/>
      <c r="E2" s="40"/>
      <c r="F2" s="40"/>
      <c r="G2" s="40"/>
      <c r="H2" s="40"/>
      <c r="I2" s="3"/>
    </row>
    <row r="3" spans="1:9" x14ac:dyDescent="0.25">
      <c r="A3" s="1"/>
      <c r="B3" s="1"/>
      <c r="C3" s="1"/>
      <c r="D3" s="1"/>
      <c r="E3" s="1"/>
      <c r="F3" s="1"/>
      <c r="G3" s="1"/>
      <c r="H3" s="2"/>
      <c r="I3" s="3"/>
    </row>
    <row r="4" spans="1:9" ht="15.75" x14ac:dyDescent="0.25">
      <c r="A4" s="37" t="s">
        <v>1</v>
      </c>
      <c r="B4" s="37"/>
      <c r="C4" s="41" t="s">
        <v>2</v>
      </c>
      <c r="D4" s="41"/>
      <c r="E4" s="41"/>
      <c r="F4" s="4"/>
      <c r="G4" s="5"/>
      <c r="H4" s="2"/>
      <c r="I4" s="3"/>
    </row>
    <row r="5" spans="1:9" ht="15.75" x14ac:dyDescent="0.25">
      <c r="A5" s="37" t="s">
        <v>3</v>
      </c>
      <c r="B5" s="37"/>
      <c r="C5" s="41" t="s">
        <v>4</v>
      </c>
      <c r="D5" s="41"/>
      <c r="E5" s="41"/>
      <c r="F5" s="4"/>
      <c r="G5" s="5"/>
      <c r="H5" s="2"/>
      <c r="I5" s="3"/>
    </row>
    <row r="6" spans="1:9" ht="15.75" x14ac:dyDescent="0.25">
      <c r="A6" s="37" t="s">
        <v>5</v>
      </c>
      <c r="B6" s="37"/>
      <c r="C6" s="6">
        <v>2022</v>
      </c>
      <c r="D6" s="7"/>
      <c r="E6" s="7"/>
      <c r="F6" s="4"/>
      <c r="G6" s="5"/>
      <c r="H6" s="2"/>
      <c r="I6" s="3"/>
    </row>
    <row r="7" spans="1:9" ht="15.75" x14ac:dyDescent="0.25">
      <c r="A7" s="37" t="s">
        <v>6</v>
      </c>
      <c r="B7" s="37"/>
      <c r="C7" s="6">
        <v>2</v>
      </c>
      <c r="D7" s="7"/>
      <c r="E7" s="7"/>
      <c r="F7" s="4"/>
      <c r="G7" s="5"/>
      <c r="H7" s="2"/>
      <c r="I7" s="3"/>
    </row>
    <row r="8" spans="1:9" ht="15.75" thickBot="1" x14ac:dyDescent="0.3">
      <c r="A8" s="1"/>
      <c r="B8" s="4"/>
      <c r="C8" s="5"/>
      <c r="D8" s="4"/>
      <c r="E8" s="4"/>
      <c r="F8" s="4"/>
      <c r="G8" s="5"/>
      <c r="H8" s="2"/>
      <c r="I8" s="3"/>
    </row>
    <row r="9" spans="1:9" ht="39" thickBot="1" x14ac:dyDescent="0.3">
      <c r="A9" s="8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10" t="s">
        <v>14</v>
      </c>
      <c r="I9" s="11" t="s">
        <v>15</v>
      </c>
    </row>
    <row r="10" spans="1:9" ht="36.75" thickBot="1" x14ac:dyDescent="0.3">
      <c r="A10" s="12">
        <v>1</v>
      </c>
      <c r="B10" s="13" t="s">
        <v>16</v>
      </c>
      <c r="C10" s="14" t="s">
        <v>17</v>
      </c>
      <c r="D10" s="13" t="s">
        <v>18</v>
      </c>
      <c r="E10" s="14" t="s">
        <v>19</v>
      </c>
      <c r="F10" s="15" t="s">
        <v>20</v>
      </c>
      <c r="G10" s="13">
        <v>270</v>
      </c>
      <c r="H10" s="16">
        <v>900</v>
      </c>
      <c r="I10" s="17">
        <f t="shared" ref="I10:I25" si="0">H10*G10</f>
        <v>243000</v>
      </c>
    </row>
    <row r="11" spans="1:9" ht="36.75" thickBot="1" x14ac:dyDescent="0.3">
      <c r="A11" s="12">
        <v>2</v>
      </c>
      <c r="B11" s="13" t="s">
        <v>21</v>
      </c>
      <c r="C11" s="14" t="s">
        <v>17</v>
      </c>
      <c r="D11" s="13" t="s">
        <v>18</v>
      </c>
      <c r="E11" s="14" t="s">
        <v>22</v>
      </c>
      <c r="F11" s="15" t="s">
        <v>20</v>
      </c>
      <c r="G11" s="13">
        <v>200</v>
      </c>
      <c r="H11" s="16">
        <v>890</v>
      </c>
      <c r="I11" s="17">
        <f t="shared" si="0"/>
        <v>178000</v>
      </c>
    </row>
    <row r="12" spans="1:9" ht="15.75" thickBot="1" x14ac:dyDescent="0.3">
      <c r="A12" s="12">
        <v>3</v>
      </c>
      <c r="B12" s="13" t="s">
        <v>23</v>
      </c>
      <c r="C12" s="18" t="s">
        <v>17</v>
      </c>
      <c r="D12" s="19" t="s">
        <v>18</v>
      </c>
      <c r="E12" s="14" t="s">
        <v>24</v>
      </c>
      <c r="F12" s="20" t="s">
        <v>20</v>
      </c>
      <c r="G12" s="13">
        <v>3700</v>
      </c>
      <c r="H12" s="16">
        <v>1350</v>
      </c>
      <c r="I12" s="17">
        <f t="shared" si="0"/>
        <v>4995000</v>
      </c>
    </row>
    <row r="13" spans="1:9" ht="24.75" thickBot="1" x14ac:dyDescent="0.3">
      <c r="A13" s="12">
        <v>4</v>
      </c>
      <c r="B13" s="13" t="s">
        <v>25</v>
      </c>
      <c r="C13" s="18" t="s">
        <v>17</v>
      </c>
      <c r="D13" s="19" t="s">
        <v>18</v>
      </c>
      <c r="E13" s="14" t="s">
        <v>26</v>
      </c>
      <c r="F13" s="20" t="s">
        <v>27</v>
      </c>
      <c r="G13" s="13">
        <v>250</v>
      </c>
      <c r="H13" s="16">
        <v>7200</v>
      </c>
      <c r="I13" s="17">
        <f t="shared" si="0"/>
        <v>1800000</v>
      </c>
    </row>
    <row r="14" spans="1:9" ht="15.75" thickBot="1" x14ac:dyDescent="0.3">
      <c r="A14" s="12">
        <v>5</v>
      </c>
      <c r="B14" s="13" t="s">
        <v>28</v>
      </c>
      <c r="C14" s="18" t="s">
        <v>17</v>
      </c>
      <c r="D14" s="19" t="s">
        <v>18</v>
      </c>
      <c r="E14" s="14" t="s">
        <v>29</v>
      </c>
      <c r="F14" s="20" t="s">
        <v>20</v>
      </c>
      <c r="G14" s="13">
        <v>400</v>
      </c>
      <c r="H14" s="16">
        <v>590</v>
      </c>
      <c r="I14" s="17">
        <f t="shared" si="0"/>
        <v>236000</v>
      </c>
    </row>
    <row r="15" spans="1:9" ht="24.75" thickBot="1" x14ac:dyDescent="0.3">
      <c r="A15" s="12">
        <v>6</v>
      </c>
      <c r="B15" s="13" t="s">
        <v>30</v>
      </c>
      <c r="C15" s="14" t="s">
        <v>17</v>
      </c>
      <c r="D15" s="13" t="s">
        <v>18</v>
      </c>
      <c r="E15" s="14" t="s">
        <v>31</v>
      </c>
      <c r="F15" s="15" t="s">
        <v>32</v>
      </c>
      <c r="G15" s="13">
        <v>440</v>
      </c>
      <c r="H15" s="16">
        <v>820</v>
      </c>
      <c r="I15" s="17">
        <f t="shared" si="0"/>
        <v>360800</v>
      </c>
    </row>
    <row r="16" spans="1:9" ht="24.75" thickBot="1" x14ac:dyDescent="0.3">
      <c r="A16" s="12">
        <v>7</v>
      </c>
      <c r="B16" s="13" t="s">
        <v>33</v>
      </c>
      <c r="C16" s="14" t="s">
        <v>17</v>
      </c>
      <c r="D16" s="13" t="s">
        <v>18</v>
      </c>
      <c r="E16" s="14" t="s">
        <v>34</v>
      </c>
      <c r="F16" s="15" t="s">
        <v>20</v>
      </c>
      <c r="G16" s="13">
        <v>1150</v>
      </c>
      <c r="H16" s="16">
        <v>80</v>
      </c>
      <c r="I16" s="17">
        <f t="shared" si="0"/>
        <v>92000</v>
      </c>
    </row>
    <row r="17" spans="1:9" ht="24.75" thickBot="1" x14ac:dyDescent="0.3">
      <c r="A17" s="12">
        <v>8</v>
      </c>
      <c r="B17" s="13" t="s">
        <v>35</v>
      </c>
      <c r="C17" s="14" t="s">
        <v>17</v>
      </c>
      <c r="D17" s="13" t="s">
        <v>18</v>
      </c>
      <c r="E17" s="14" t="s">
        <v>36</v>
      </c>
      <c r="F17" s="15" t="s">
        <v>20</v>
      </c>
      <c r="G17" s="13">
        <v>1700</v>
      </c>
      <c r="H17" s="16">
        <v>100</v>
      </c>
      <c r="I17" s="17">
        <f t="shared" si="0"/>
        <v>170000</v>
      </c>
    </row>
    <row r="18" spans="1:9" ht="36.75" thickBot="1" x14ac:dyDescent="0.3">
      <c r="A18" s="12">
        <v>9</v>
      </c>
      <c r="B18" s="13" t="s">
        <v>37</v>
      </c>
      <c r="C18" s="14" t="s">
        <v>17</v>
      </c>
      <c r="D18" s="13" t="s">
        <v>18</v>
      </c>
      <c r="E18" s="14" t="s">
        <v>38</v>
      </c>
      <c r="F18" s="15" t="s">
        <v>39</v>
      </c>
      <c r="G18" s="13">
        <v>240</v>
      </c>
      <c r="H18" s="16">
        <v>3100</v>
      </c>
      <c r="I18" s="17">
        <f t="shared" si="0"/>
        <v>744000</v>
      </c>
    </row>
    <row r="19" spans="1:9" ht="15.75" thickBot="1" x14ac:dyDescent="0.3">
      <c r="A19" s="12">
        <v>10</v>
      </c>
      <c r="B19" s="14" t="s">
        <v>40</v>
      </c>
      <c r="C19" s="14" t="s">
        <v>17</v>
      </c>
      <c r="D19" s="13" t="s">
        <v>18</v>
      </c>
      <c r="E19" s="14" t="s">
        <v>41</v>
      </c>
      <c r="F19" s="15" t="s">
        <v>42</v>
      </c>
      <c r="G19" s="13">
        <v>340</v>
      </c>
      <c r="H19" s="16">
        <v>500</v>
      </c>
      <c r="I19" s="17">
        <f t="shared" si="0"/>
        <v>170000</v>
      </c>
    </row>
    <row r="20" spans="1:9" ht="24.75" thickBot="1" x14ac:dyDescent="0.3">
      <c r="A20" s="12">
        <v>11</v>
      </c>
      <c r="B20" s="13" t="s">
        <v>43</v>
      </c>
      <c r="C20" s="14" t="s">
        <v>17</v>
      </c>
      <c r="D20" s="13" t="s">
        <v>18</v>
      </c>
      <c r="E20" s="14" t="s">
        <v>44</v>
      </c>
      <c r="F20" s="15" t="s">
        <v>45</v>
      </c>
      <c r="G20" s="13">
        <v>670</v>
      </c>
      <c r="H20" s="16">
        <v>55</v>
      </c>
      <c r="I20" s="17">
        <f t="shared" si="0"/>
        <v>36850</v>
      </c>
    </row>
    <row r="21" spans="1:9" ht="24.75" thickBot="1" x14ac:dyDescent="0.3">
      <c r="A21" s="12">
        <v>12</v>
      </c>
      <c r="B21" s="13" t="s">
        <v>46</v>
      </c>
      <c r="C21" s="14" t="s">
        <v>17</v>
      </c>
      <c r="D21" s="13" t="s">
        <v>18</v>
      </c>
      <c r="E21" s="14" t="s">
        <v>47</v>
      </c>
      <c r="F21" s="15" t="s">
        <v>32</v>
      </c>
      <c r="G21" s="13">
        <v>340</v>
      </c>
      <c r="H21" s="16">
        <v>1170</v>
      </c>
      <c r="I21" s="17">
        <f t="shared" si="0"/>
        <v>397800</v>
      </c>
    </row>
    <row r="22" spans="1:9" ht="24.75" thickBot="1" x14ac:dyDescent="0.3">
      <c r="A22" s="12">
        <v>13</v>
      </c>
      <c r="B22" s="13" t="str">
        <f>'[1]Resultados de la búsqueda (5)'!A151</f>
        <v>2.1.1-6546.151</v>
      </c>
      <c r="C22" s="14" t="str">
        <f>'[1]Resultados de la búsqueda (5)'!B151</f>
        <v>ALIMENTOS</v>
      </c>
      <c r="D22" s="13" t="s">
        <v>18</v>
      </c>
      <c r="E22" s="14" t="str">
        <f>'[1]Resultados de la búsqueda (5)'!D151</f>
        <v>VERDURAS Y HORTALIZAS; VARIEDAD: ZAPALLITO REDONDO, ESTADO: NATURAL, PRESENTACION: CAJON, PESO: SIN VALOR</v>
      </c>
      <c r="F22" s="15" t="s">
        <v>39</v>
      </c>
      <c r="G22" s="13">
        <v>200</v>
      </c>
      <c r="H22" s="16">
        <v>2100</v>
      </c>
      <c r="I22" s="17">
        <f t="shared" si="0"/>
        <v>420000</v>
      </c>
    </row>
    <row r="23" spans="1:9" ht="24.75" thickBot="1" x14ac:dyDescent="0.3">
      <c r="A23" s="12">
        <v>14</v>
      </c>
      <c r="B23" s="13" t="s">
        <v>48</v>
      </c>
      <c r="C23" s="14" t="s">
        <v>17</v>
      </c>
      <c r="D23" s="13" t="s">
        <v>18</v>
      </c>
      <c r="E23" s="14" t="s">
        <v>49</v>
      </c>
      <c r="F23" s="15" t="s">
        <v>32</v>
      </c>
      <c r="G23" s="13">
        <v>340</v>
      </c>
      <c r="H23" s="16">
        <v>670</v>
      </c>
      <c r="I23" s="17">
        <f t="shared" si="0"/>
        <v>227800</v>
      </c>
    </row>
    <row r="24" spans="1:9" ht="24.75" thickBot="1" x14ac:dyDescent="0.3">
      <c r="A24" s="21">
        <v>15</v>
      </c>
      <c r="B24" s="22" t="s">
        <v>50</v>
      </c>
      <c r="C24" s="22" t="s">
        <v>17</v>
      </c>
      <c r="D24" s="21" t="s">
        <v>18</v>
      </c>
      <c r="E24" s="22" t="s">
        <v>51</v>
      </c>
      <c r="F24" s="23" t="s">
        <v>32</v>
      </c>
      <c r="G24" s="13">
        <v>200</v>
      </c>
      <c r="H24" s="16">
        <v>1750</v>
      </c>
      <c r="I24" s="17">
        <f t="shared" si="0"/>
        <v>350000</v>
      </c>
    </row>
    <row r="25" spans="1:9" ht="15.75" thickBot="1" x14ac:dyDescent="0.3">
      <c r="A25" s="12">
        <v>16</v>
      </c>
      <c r="B25" s="13" t="s">
        <v>52</v>
      </c>
      <c r="C25" s="14" t="s">
        <v>17</v>
      </c>
      <c r="D25" s="13" t="s">
        <v>18</v>
      </c>
      <c r="E25" s="14" t="s">
        <v>53</v>
      </c>
      <c r="F25" s="15" t="s">
        <v>20</v>
      </c>
      <c r="G25" s="13">
        <v>340</v>
      </c>
      <c r="H25" s="16">
        <v>700</v>
      </c>
      <c r="I25" s="17">
        <f t="shared" si="0"/>
        <v>238000</v>
      </c>
    </row>
    <row r="26" spans="1:9" ht="15.75" thickBot="1" x14ac:dyDescent="0.3">
      <c r="A26" s="38" t="s">
        <v>54</v>
      </c>
      <c r="B26" s="38"/>
      <c r="C26" s="38"/>
      <c r="D26" s="38"/>
      <c r="E26" s="38"/>
      <c r="F26" s="38"/>
      <c r="G26" s="39"/>
      <c r="H26" s="38"/>
      <c r="I26" s="24">
        <f>SUM(I10:I25)</f>
        <v>10659250</v>
      </c>
    </row>
    <row r="28" spans="1:9" x14ac:dyDescent="0.25">
      <c r="C28" s="32" t="s">
        <v>55</v>
      </c>
      <c r="D28" s="32"/>
      <c r="E28" s="32"/>
    </row>
    <row r="29" spans="1:9" x14ac:dyDescent="0.25">
      <c r="C29" s="33" t="s">
        <v>56</v>
      </c>
      <c r="D29" s="25" t="s">
        <v>57</v>
      </c>
      <c r="E29" s="26"/>
    </row>
    <row r="30" spans="1:9" x14ac:dyDescent="0.25">
      <c r="C30" s="33"/>
      <c r="D30" s="27" t="s">
        <v>58</v>
      </c>
      <c r="E30" s="28"/>
    </row>
    <row r="31" spans="1:9" x14ac:dyDescent="0.25">
      <c r="C31" s="33"/>
      <c r="D31" s="27" t="s">
        <v>59</v>
      </c>
      <c r="E31" s="28"/>
    </row>
    <row r="32" spans="1:9" x14ac:dyDescent="0.25">
      <c r="C32" s="33"/>
      <c r="D32" s="29" t="s">
        <v>60</v>
      </c>
      <c r="E32" s="30"/>
    </row>
    <row r="33" spans="3:5" x14ac:dyDescent="0.25">
      <c r="C33" s="35" t="s">
        <v>61</v>
      </c>
      <c r="D33" s="36" t="s">
        <v>68</v>
      </c>
      <c r="E33" s="36"/>
    </row>
    <row r="34" spans="3:5" x14ac:dyDescent="0.25">
      <c r="C34" s="35"/>
      <c r="D34" s="36"/>
      <c r="E34" s="36"/>
    </row>
    <row r="35" spans="3:5" x14ac:dyDescent="0.25">
      <c r="C35" s="35"/>
      <c r="D35" s="36"/>
      <c r="E35" s="36"/>
    </row>
    <row r="36" spans="3:5" x14ac:dyDescent="0.25">
      <c r="C36" s="35"/>
      <c r="D36" s="36"/>
      <c r="E36" s="36"/>
    </row>
    <row r="37" spans="3:5" x14ac:dyDescent="0.25">
      <c r="C37" s="35"/>
      <c r="D37" s="36"/>
      <c r="E37" s="36"/>
    </row>
    <row r="38" spans="3:5" x14ac:dyDescent="0.25">
      <c r="C38" s="35"/>
      <c r="D38" s="36"/>
      <c r="E38" s="36"/>
    </row>
    <row r="39" spans="3:5" x14ac:dyDescent="0.25">
      <c r="C39" s="35"/>
      <c r="D39" s="36"/>
      <c r="E39" s="36"/>
    </row>
    <row r="40" spans="3:5" x14ac:dyDescent="0.25">
      <c r="C40" s="35"/>
      <c r="D40" s="36"/>
      <c r="E40" s="36"/>
    </row>
    <row r="41" spans="3:5" x14ac:dyDescent="0.25">
      <c r="C41" s="31" t="s">
        <v>62</v>
      </c>
      <c r="D41" s="34" t="s">
        <v>63</v>
      </c>
      <c r="E41" s="34"/>
    </row>
    <row r="42" spans="3:5" x14ac:dyDescent="0.25">
      <c r="C42" s="31" t="s">
        <v>64</v>
      </c>
      <c r="D42" s="34" t="s">
        <v>69</v>
      </c>
      <c r="E42" s="34"/>
    </row>
    <row r="43" spans="3:5" x14ac:dyDescent="0.25">
      <c r="C43" s="31" t="s">
        <v>65</v>
      </c>
      <c r="D43" s="34" t="s">
        <v>66</v>
      </c>
      <c r="E43" s="34"/>
    </row>
    <row r="44" spans="3:5" x14ac:dyDescent="0.25">
      <c r="C44" s="31" t="s">
        <v>67</v>
      </c>
      <c r="D44" s="34"/>
      <c r="E44" s="34"/>
    </row>
  </sheetData>
  <mergeCells count="16">
    <mergeCell ref="A7:B7"/>
    <mergeCell ref="A26:H26"/>
    <mergeCell ref="B2:H2"/>
    <mergeCell ref="A4:B4"/>
    <mergeCell ref="C4:E4"/>
    <mergeCell ref="A5:B5"/>
    <mergeCell ref="C5:E5"/>
    <mergeCell ref="A6:B6"/>
    <mergeCell ref="C28:E28"/>
    <mergeCell ref="C29:C32"/>
    <mergeCell ref="D44:E44"/>
    <mergeCell ref="C33:C40"/>
    <mergeCell ref="D33:E40"/>
    <mergeCell ref="D41:E41"/>
    <mergeCell ref="D42:E42"/>
    <mergeCell ref="D43:E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VIDEOCONFERENCIA</cp:lastModifiedBy>
  <dcterms:created xsi:type="dcterms:W3CDTF">2022-04-20T21:50:32Z</dcterms:created>
  <dcterms:modified xsi:type="dcterms:W3CDTF">2022-04-21T13:51:21Z</dcterms:modified>
</cp:coreProperties>
</file>