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 MALDONADO\Downloads\"/>
    </mc:Choice>
  </mc:AlternateContent>
  <xr:revisionPtr revIDLastSave="0" documentId="13_ncr:1_{94240FB8-19DC-45C8-841D-E54E2DCE31BA}" xr6:coauthVersionLast="47" xr6:coauthVersionMax="47" xr10:uidLastSave="{00000000-0000-0000-0000-000000000000}"/>
  <bookViews>
    <workbookView xWindow="-120" yWindow="-120" windowWidth="29040" windowHeight="15720" tabRatio="905" xr2:uid="{00000000-000D-0000-FFFF-FFFF00000000}"/>
  </bookViews>
  <sheets>
    <sheet name="SAF 011" sheetId="1" r:id="rId1"/>
    <sheet name="NP BCO DESANGRE" sheetId="2" r:id="rId2"/>
    <sheet name="APG BCO SANGRE" sheetId="3" r:id="rId3"/>
    <sheet name="NP APS" sheetId="4" r:id="rId4"/>
    <sheet name="APG APS" sheetId="5" r:id="rId5"/>
    <sheet name="NP FARMACIA" sheetId="6" r:id="rId6"/>
    <sheet name="APG FARMACIA" sheetId="7" r:id="rId7"/>
    <sheet name="NP SAME" sheetId="9" r:id="rId8"/>
    <sheet name="APG SAME" sheetId="10" r:id="rId9"/>
    <sheet name="NP S.A.S.P." sheetId="13" r:id="rId10"/>
    <sheet name="APG S.A.S.P." sheetId="14" r:id="rId11"/>
    <sheet name="NPyE DPAIPD" sheetId="26" r:id="rId12"/>
    <sheet name="APG DPAIPD" sheetId="25" r:id="rId13"/>
    <sheet name="NP REGUL Y CONTROL" sheetId="17" r:id="rId14"/>
    <sheet name="APG REGUL Y CONTROL" sheetId="18" r:id="rId15"/>
    <sheet name="NPyE SPyGS" sheetId="27" r:id="rId16"/>
    <sheet name="APG SPyGS" sheetId="28" r:id="rId17"/>
    <sheet name="NP. EPIDEMIO." sheetId="19" r:id="rId18"/>
    <sheet name="APG.   EPIDEMIO." sheetId="20" r:id="rId19"/>
    <sheet name="NP. M.S." sheetId="21" r:id="rId20"/>
    <sheet name="APG. M.S. " sheetId="22" r:id="rId21"/>
    <sheet name="Hoja1" sheetId="29" r:id="rId22"/>
    <sheet name="NP. SUMAR" sheetId="23" r:id="rId23"/>
    <sheet name="APG. SUMAR" sheetId="24" r:id="rId24"/>
  </sheets>
  <externalReferences>
    <externalReference r:id="rId25"/>
    <externalReference r:id="rId26"/>
  </externalReferences>
  <definedNames>
    <definedName name="_xlnm._FilterDatabase" localSheetId="0" hidden="1">'SAF 011'!$A$9:$I$53</definedName>
    <definedName name="_xlnm.Print_Area" localSheetId="4">'APG APS'!$A$1:$Q$49</definedName>
    <definedName name="_xlnm.Print_Area" localSheetId="2">'APG BCO SANGRE'!$A$1:$Q$49</definedName>
    <definedName name="_xlnm.Print_Area" localSheetId="6">'APG FARMACIA'!$A$1:$Q$54</definedName>
    <definedName name="_xlnm.Print_Area" localSheetId="14">'APG REGUL Y CONTROL'!$A$1:$Q$51</definedName>
    <definedName name="_xlnm.Print_Area" localSheetId="10">'APG S.A.S.P.'!$A$1:$Q$54</definedName>
    <definedName name="_xlnm.Print_Area" localSheetId="8">'APG SAME'!$A$1:$Q$53</definedName>
    <definedName name="_xlnm.Print_Area" localSheetId="18">'APG.   EPIDEMIO.'!$A$1:$Q$48</definedName>
    <definedName name="_xlnm.Print_Area" localSheetId="20">'APG. M.S. '!$A$1:$Q$56</definedName>
    <definedName name="_xlnm.Print_Area" localSheetId="23">'APG. SUMAR'!$A$1:$Q$52</definedName>
    <definedName name="_xlnm.Print_Area" localSheetId="3">'NP APS'!$A$1:$H$32</definedName>
    <definedName name="_xlnm.Print_Area" localSheetId="5">'NP FARMACIA'!$A$1:$G$34</definedName>
    <definedName name="_xlnm.Print_Area" localSheetId="13">'NP REGUL Y CONTROL'!$A$1:$I$29</definedName>
    <definedName name="_xlnm.Print_Area" localSheetId="9">'NP S.A.S.P.'!$A$1:$I$29</definedName>
    <definedName name="_xlnm.Print_Area" localSheetId="7">'NP SAME'!$A$1:$H$28</definedName>
    <definedName name="_xlnm.Print_Area" localSheetId="17">'NP. EPIDEMIO.'!$A$1:$G$23</definedName>
    <definedName name="_xlnm.Print_Area" localSheetId="19">'NP. M.S.'!$A$1:$I$51</definedName>
    <definedName name="_xlnm.Print_Area" localSheetId="22">'NP. SUMAR'!$A$1:$I$34</definedName>
  </definedNames>
  <calcPr calcId="181029"/>
</workbook>
</file>

<file path=xl/calcChain.xml><?xml version="1.0" encoding="utf-8"?>
<calcChain xmlns="http://schemas.openxmlformats.org/spreadsheetml/2006/main">
  <c r="H20" i="23" l="1"/>
  <c r="H19" i="23"/>
  <c r="H18" i="23"/>
  <c r="H17" i="23"/>
  <c r="J14" i="23" s="1"/>
  <c r="H16" i="23"/>
  <c r="H15" i="23"/>
  <c r="H14" i="23"/>
  <c r="H13" i="23"/>
  <c r="H12" i="23"/>
  <c r="J12" i="23" s="1"/>
  <c r="J14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J12" i="21" s="1"/>
  <c r="H13" i="19" l="1"/>
  <c r="H12" i="19"/>
  <c r="Q37" i="28"/>
  <c r="G5" i="28"/>
  <c r="G4" i="28"/>
  <c r="F13" i="27"/>
  <c r="C4" i="27"/>
  <c r="C3" i="27"/>
  <c r="H17" i="17"/>
  <c r="H16" i="17"/>
  <c r="H15" i="17"/>
  <c r="H14" i="17"/>
  <c r="H13" i="17"/>
  <c r="H12" i="17"/>
  <c r="F18" i="17" s="1"/>
  <c r="Q37" i="25"/>
  <c r="G5" i="25"/>
  <c r="G4" i="25"/>
  <c r="F13" i="26"/>
  <c r="C4" i="26"/>
  <c r="C3" i="26"/>
  <c r="F18" i="13"/>
  <c r="H17" i="13"/>
  <c r="H16" i="13"/>
  <c r="H15" i="13"/>
  <c r="J14" i="13" s="1"/>
  <c r="H14" i="13"/>
  <c r="H13" i="13"/>
  <c r="H12" i="13"/>
  <c r="J13" i="13" s="1"/>
  <c r="F14" i="19" l="1"/>
  <c r="J12" i="17"/>
  <c r="H26" i="6"/>
  <c r="H25" i="6"/>
  <c r="H24" i="6"/>
  <c r="H23" i="6"/>
  <c r="H22" i="6"/>
  <c r="H21" i="6"/>
  <c r="H20" i="6"/>
  <c r="H19" i="6"/>
  <c r="H18" i="6"/>
  <c r="H17" i="6"/>
  <c r="H16" i="6"/>
  <c r="H15" i="6"/>
  <c r="F27" i="6" s="1"/>
  <c r="H14" i="6"/>
  <c r="H13" i="6"/>
  <c r="H12" i="6"/>
  <c r="H29" i="4" l="1"/>
  <c r="H28" i="4"/>
  <c r="H27" i="4"/>
  <c r="J27" i="4" s="1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F30" i="4" s="1"/>
  <c r="H12" i="4"/>
  <c r="J26" i="4" s="1"/>
  <c r="H43" i="2" l="1"/>
  <c r="H42" i="2"/>
  <c r="H41" i="2"/>
  <c r="H40" i="2"/>
  <c r="H39" i="2"/>
  <c r="H38" i="2"/>
  <c r="H37" i="2"/>
  <c r="H36" i="2"/>
  <c r="H35" i="2"/>
  <c r="H34" i="2"/>
  <c r="J15" i="2" s="1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J14" i="2" l="1"/>
  <c r="J13" i="2"/>
  <c r="F44" i="2"/>
  <c r="H13" i="9"/>
  <c r="H14" i="9"/>
  <c r="H15" i="9"/>
  <c r="H16" i="9"/>
  <c r="H17" i="9"/>
  <c r="H18" i="9"/>
  <c r="H19" i="9"/>
  <c r="H12" i="9"/>
  <c r="Q36" i="24"/>
  <c r="G5" i="24"/>
  <c r="G4" i="24"/>
  <c r="C4" i="23"/>
  <c r="C3" i="23"/>
  <c r="Q36" i="22"/>
  <c r="G5" i="22"/>
  <c r="G4" i="22"/>
  <c r="C4" i="21"/>
  <c r="C3" i="21"/>
  <c r="C4" i="19"/>
  <c r="C3" i="19"/>
  <c r="Q36" i="20"/>
  <c r="G5" i="20"/>
  <c r="G4" i="20"/>
  <c r="Q37" i="18"/>
  <c r="G5" i="18"/>
  <c r="G4" i="18"/>
  <c r="J12" i="9" l="1"/>
  <c r="F20" i="9" s="1"/>
  <c r="C4" i="17"/>
  <c r="C3" i="17"/>
  <c r="Q38" i="14" l="1"/>
  <c r="G5" i="14"/>
  <c r="G4" i="14"/>
  <c r="C4" i="13"/>
  <c r="C3" i="13"/>
  <c r="Q38" i="10" l="1"/>
  <c r="G5" i="10"/>
  <c r="G4" i="10"/>
  <c r="C4" i="9"/>
  <c r="C3" i="9"/>
  <c r="G5" i="7"/>
  <c r="Q36" i="7"/>
  <c r="G4" i="7"/>
  <c r="C4" i="6"/>
  <c r="C3" i="6"/>
  <c r="Q38" i="5" l="1"/>
  <c r="G5" i="5"/>
  <c r="G4" i="5"/>
  <c r="C3" i="4"/>
  <c r="C4" i="4"/>
  <c r="Q38" i="3"/>
  <c r="G7" i="3"/>
  <c r="G6" i="3"/>
  <c r="G5" i="3"/>
  <c r="G4" i="3"/>
  <c r="C3" i="2"/>
  <c r="C4" i="2"/>
</calcChain>
</file>

<file path=xl/sharedStrings.xml><?xml version="1.0" encoding="utf-8"?>
<sst xmlns="http://schemas.openxmlformats.org/spreadsheetml/2006/main" count="1332" uniqueCount="208">
  <si>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</si>
  <si>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</si>
  <si>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</si>
  <si>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</si>
  <si>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</si>
  <si>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</si>
  <si>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</si>
  <si>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</si>
  <si>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</si>
  <si>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</si>
  <si>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</si>
  <si>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</si>
  <si>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</si>
  <si>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 xml:space="preserve">IMPORTE TOTAL ESTIMADO </t>
  </si>
  <si>
    <t>ESPECIFICACION TECNICA</t>
  </si>
  <si>
    <t>CAJA</t>
  </si>
  <si>
    <t>UNIDAD</t>
  </si>
  <si>
    <t>ELEMENTOS DE LIMPIEZA</t>
  </si>
  <si>
    <t>BIDON</t>
  </si>
  <si>
    <t>2.9.1-6956.27</t>
  </si>
  <si>
    <t>2.9.1</t>
  </si>
  <si>
    <t>ARTICULOS DE TOCADOR; TIPO: JABON DE TOCADOR LIQUIDO, PRESENTACION: ENVASE X 5 L</t>
  </si>
  <si>
    <t>2.9.1-646.56</t>
  </si>
  <si>
    <t>BOLSAS DE RESIDUOS; DIMENSION: 100 X 80 Cm, PRESENTACION: BOLSA X 10 UN, ESPESOR: 80 Mn, COLOR: NEGRO</t>
  </si>
  <si>
    <t>PACK</t>
  </si>
  <si>
    <t>2.9.1-646.7</t>
  </si>
  <si>
    <t>BOLSAS DE RESIDUOS; PRESENTACION: BOLSA X 10, DIMENSION: 50 X 70 Cm, ESPESOR: SIN VALOR, COLOR: SIN VALOR</t>
  </si>
  <si>
    <t>2.9.1-6952.54</t>
  </si>
  <si>
    <t>CEPILLOS; TIPO: ESCOBILLON, MATERIAL: PLASTICO</t>
  </si>
  <si>
    <t>2.9.1-544.82</t>
  </si>
  <si>
    <t>DESODORANTES DE AMBIENTE; FORMATO: AEROSOL, FRAGANCIA: ORIGINAL, PRESENTACION: ENVASE X 360 CM3, LIBRE DE CFC: SI</t>
  </si>
  <si>
    <t>2.9.1-1083.8</t>
  </si>
  <si>
    <t>ESPONJA DE ACERO; PESO: 25 GR, MATERIAL: ACERO</t>
  </si>
  <si>
    <t>2.9.1-1164.6</t>
  </si>
  <si>
    <t>ESPONJAS; USO: P/COCINA, ADITAMENTO: FIBRA POLIESTER SUAVE, FORMA: PRISMATICA, LARGO X ANCHO X ESP: 12 X 8 X 2 Cm, COLOR: AMARILLO, MATERIAL: POLIURETANO POLIESTER</t>
  </si>
  <si>
    <t>2.9.1-714.1</t>
  </si>
  <si>
    <t>FRANELAS; DIMENSION: 40 X 60 Cm</t>
  </si>
  <si>
    <t>2.9.1-761.2</t>
  </si>
  <si>
    <t>GUANTES P/LIMPIEZA; MATERIAL: LATEX, TAMAÑO: MEDIANO</t>
  </si>
  <si>
    <t>PAR</t>
  </si>
  <si>
    <t>2.9.1-761.1</t>
  </si>
  <si>
    <t>GUANTES P/LIMPIEZA; TAMAÑO: GRANDE, MATERIAL: LATEX</t>
  </si>
  <si>
    <t>2.9.1-6951.41</t>
  </si>
  <si>
    <t>LIMPIADORES; TIPO: DESINFECTANTE P/PISO, PRESENTACION: ENVASE X 5 L</t>
  </si>
  <si>
    <t>2.9.1-6951.5</t>
  </si>
  <si>
    <t>LIMPIADORES; TIPO: DETERGENTE, PRESENTACION: ENVASE X 500 CM3</t>
  </si>
  <si>
    <t>2.9.1-6951.30</t>
  </si>
  <si>
    <t>LIMPIADORES; TIPO: LAVANDINA, PRESENTACION: ENVASE X 5 L</t>
  </si>
  <si>
    <t>2.9.1-6951.1</t>
  </si>
  <si>
    <t>LIMPIADORES; TIPO: LIMPIAVIDRIOS, PRESENTACION: ATOMIZADOR X 500 CM3</t>
  </si>
  <si>
    <t>2.9.1-6950.1</t>
  </si>
  <si>
    <t>LUSTRADORES; PRESENTACION: AEROSOL X 440 CM3, TIPO: LUSTRAMUEBLES</t>
  </si>
  <si>
    <t>2.9.1-2437.2</t>
  </si>
  <si>
    <t>MANT. REPARACION Y LIMPIEZA</t>
  </si>
  <si>
    <t>PALAS DE RESIDUOS; MATERIAL: PLASTICO, MANGO: LARGO</t>
  </si>
  <si>
    <t>2.3.4-786.34</t>
  </si>
  <si>
    <t>PAPEL HIGIENICO; PRESENTACION: PAQUETE X 4 UN, TIPO: ROLLO PRECORTADO, HOJA: DOBLE, ANCHO: 10 Cm, LARGO: 30 M, TIPO DE HOJA: DOBLE, MATERIAL HOJA: DOBLE</t>
  </si>
  <si>
    <t>2.9.1-683.18</t>
  </si>
  <si>
    <t>SECADORES DE GOMA; LARGO: 45 Cm</t>
  </si>
  <si>
    <t>2.9.1-683.4</t>
  </si>
  <si>
    <t>SECADORES DE GOMA; LARGO: 80 Cm, COLOR: ROJO</t>
  </si>
  <si>
    <t>2.9.1-713.18</t>
  </si>
  <si>
    <t>TRAPOS DE PISO; DIMENSION: 48 X 60 Cm</t>
  </si>
  <si>
    <t>2.9.1-678.1</t>
  </si>
  <si>
    <t>TRAPOS REJILLA; DIMENSION: 38 X 42 Cm, MATERIAL: PURO ALGODON, COLOR: BLANCO</t>
  </si>
  <si>
    <t>2.9.1-1654.13</t>
  </si>
  <si>
    <t>TRAPOS; TIPO: MICROFIBRA MULTIUSO, PRESENTACION: UNIDAD</t>
  </si>
  <si>
    <t>2.9.1-1081.1</t>
  </si>
  <si>
    <t>VIRUTAS; PRESENTACION: ROLLITO, CONTENIDO: 10 UNIDADES, MATERIAL: ACERO</t>
  </si>
  <si>
    <t>TOTAL RUBRO LIMPIEZA</t>
  </si>
  <si>
    <t>PAQUETE</t>
  </si>
  <si>
    <t>2.9.1-564.22</t>
  </si>
  <si>
    <t>BALDES DE PLASTICO; CAPACIDAD: 11 L</t>
  </si>
  <si>
    <t>2.3.4-783.46</t>
  </si>
  <si>
    <t>TOALLAS DE PAPEL; MATERIAL: PAPEL TISSUE, GRAMAJE: 55/60 GR/M2, DIMENSION: 24 X 20,5 Cm, COLOR: BLANCO, PRESENTACION: ENVASE X 2500 UN</t>
  </si>
  <si>
    <t>2.3.4-783.69</t>
  </si>
  <si>
    <t>TOALLAS DE PAPEL; MATERIAL: PAPEL ABSORVENTE, GRAMAJE: 45 GR/M2, DIMENSION: 45 X 30 Cm, PRESENTACION: BOBINA X 550 M</t>
  </si>
  <si>
    <t>INCLUYE CABO (PLASTICO O MADERA)</t>
  </si>
  <si>
    <t>2.9.1-6961.6</t>
  </si>
  <si>
    <t>ELEM. P/LIMPIEZA SANITARIOS; TIPO: PASTILLA DESODORANTE, PRESENTACION: UNIDAD</t>
  </si>
  <si>
    <t>2.9.1-1156.8</t>
  </si>
  <si>
    <t>PLUMEROS; PLUMA: SINTETICA, CLASE: PARA TECHO, MATERIAL MANGO: METAL, LARGO MANGO: EXTENSIBLE, Nº VUELTAS PENACHO: 3, TIPO: PARA TECHO</t>
  </si>
  <si>
    <t>2.9.1-4784.9</t>
  </si>
  <si>
    <t>2.9.1-6951.60</t>
  </si>
  <si>
    <t>LIMPIADORES MULTIUSO; TIPO: CREMOSO, PRESENTACION: ENVASE X 750 GR</t>
  </si>
  <si>
    <t>LIMPIADORES; TIPO: DESENGRASANTE, PRESENTACION: ENVASE X 5 L</t>
  </si>
  <si>
    <t>2.3.4-938.59</t>
  </si>
  <si>
    <t>2.3.4</t>
  </si>
  <si>
    <t>SERVILLETAS DE PAPEL; TIPO: ROLLO, MOTIVO: SIN, DIMENSION: 25 X 10 Cm, PRESENTACION: ENVASE X 3 UN</t>
  </si>
  <si>
    <t>2.9.1-1156.9</t>
  </si>
  <si>
    <t>PLUMEROS; PLUMA: NATURAL, CLASE: MEDIO, MATERIAL MANGO: MADERA, LARGO MANGO: 50 Cm, Nº VUELTAS PENACHO: 3, TIPO: MEDIO</t>
  </si>
  <si>
    <t>2.9.1-2661.13</t>
  </si>
  <si>
    <t>TACHOS DE RESIDUOS; MATERIAL: PLASTICO, SECCION: CIRCULAR, DIMENSION: 46 X 67  Cm, TAPA: CON</t>
  </si>
  <si>
    <t>2.5.4-506.36</t>
  </si>
  <si>
    <t>2.5.4</t>
  </si>
  <si>
    <t>INSECTICIDAS; CAPACIDAD: 440 CM3, ACCION: SIN VALOR, PRINCIPIO ACTIVO: SIN VALOR, PRESENTACION: AEROSOL X 440 CM3, CONTROL: MOSCAS Y MOSQUITOS, USO P/CONTROL: MOSCAS Y MOSQUITOS</t>
  </si>
  <si>
    <t>2.5.4-506.28</t>
  </si>
  <si>
    <t>INSECTICIDAS; PRESENTACION: AEROSOL X 440 CM3, CAPACIDAD: 440 CM3, USO P/CONTROL: CUCARACHA, ACCION: SIN VALOR, PRINCIPIO ACTIVO: SIN VALOR, CONTROL: CUCARACHA</t>
  </si>
  <si>
    <t>2.9.1-683.11</t>
  </si>
  <si>
    <t>SECADORES DE GOMA; LARGO: 28 Cm, COLOR: NEGRO</t>
  </si>
  <si>
    <t>2.9.1-6952.3</t>
  </si>
  <si>
    <t>CEPILLOS; TIPO: DE MANO, MATERIAL: PVC</t>
  </si>
  <si>
    <t>2.9.1-6951.84</t>
  </si>
  <si>
    <t>LIMPIADORES; TIPO: MULTIUSO, PRESENTACION: ENVASE X 5 L</t>
  </si>
  <si>
    <t xml:space="preserve">BIDON </t>
  </si>
  <si>
    <t>2.9.1-6951.28</t>
  </si>
  <si>
    <t>LIMPIADORES; TIPO: LAVANDINA, PRESENTACION: ENVASE X 1 L</t>
  </si>
  <si>
    <t>2.9.1-6952.75</t>
  </si>
  <si>
    <t>CEPILLOS; TIPO: ESCOBA BARREHOJAS, MATERIAL: CERDAS METALICAS</t>
  </si>
  <si>
    <t>2.9.1-6952.77</t>
  </si>
  <si>
    <t>CEPILLOS; TIPO: ESCOBA BARREHOJAS, MATERIAL: PLASTICO</t>
  </si>
  <si>
    <t>2.9.1-6952.61</t>
  </si>
  <si>
    <t>CEPILLOS; TIPO: ESCOBA REFORZADA, MATERIAL: PLASTICO</t>
  </si>
  <si>
    <t>2.5.4-5668.6</t>
  </si>
  <si>
    <t>REPELENTES; TIPO: INSECTOS, PRESENTACION: ENVASE X 165 CM3</t>
  </si>
  <si>
    <t>CUARTO</t>
  </si>
  <si>
    <t>NOTA DE PEDIDO</t>
  </si>
  <si>
    <t>N°</t>
  </si>
  <si>
    <t xml:space="preserve">JURISDICCIÓN: </t>
  </si>
  <si>
    <t>SAF:</t>
  </si>
  <si>
    <t>UNIDAD EJECUTORA:</t>
  </si>
  <si>
    <t>747 - DIRECCION PROVINCIAL BANCO DE SANGRE</t>
  </si>
  <si>
    <t xml:space="preserve">DEPENDENCIA SOLICITANTE: </t>
  </si>
  <si>
    <t>PERIODO UTILIZACIÓN:</t>
  </si>
  <si>
    <t>TRES (3) MESES</t>
  </si>
  <si>
    <t>OBJETO:</t>
  </si>
  <si>
    <t>Ítem</t>
  </si>
  <si>
    <t>Codigo Item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</si>
  <si>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</si>
  <si>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</si>
  <si>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</si>
  <si>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</si>
  <si>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</si>
  <si>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</si>
  <si>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</si>
  <si>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</si>
  <si>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</si>
  <si>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Autorizo la realización de los  trámites correspondientes, a fin de proveer a  este Organismo los bienes que se detallan en Nota  de Pedido N°....... , afectando la erogación resultante a los créditos presupuestarios aprobados a favor de esta Unidad Ejecutora, conforme al siguiente detalle: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</si>
  <si>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</si>
  <si>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</si>
  <si>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</si>
  <si>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</si>
  <si>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</si>
  <si>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</si>
  <si>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</si>
  <si>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</si>
  <si>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</si>
  <si>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</si>
  <si>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</si>
  <si>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</si>
  <si>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</si>
  <si>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</si>
  <si>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</si>
  <si>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</si>
  <si>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</si>
  <si>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</si>
  <si>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</si>
  <si>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750 - DIRECCION PROVINCIAL PRIMER NIVEL DE ATENCIÓN PRIMARIA</t>
  </si>
  <si>
    <t>ADQ. DEL RUBRO ELEMENTOS DE LIMPIEZA</t>
  </si>
  <si>
    <t>Costo total estimado: PESOS CINCUENTA MIL SEISCIENTOS OCHENTA Y TRES  CON 00/100.-</t>
  </si>
  <si>
    <t>TOTAL DE PESOS: CINCUENTA MIL SEISCIENTOS OCHENTA Y TRES CON 00/100.-</t>
  </si>
  <si>
    <t>Descripcion</t>
  </si>
  <si>
    <t>469 - DIRECCION PROVINCIAL DE FARMACIA E INSUMOS</t>
  </si>
  <si>
    <t>748 - DIRECCION PROVINCIAL DE SISTEMA DE ATENCION MEDICA DE EMERGENCIA</t>
  </si>
  <si>
    <t>748- DIRECCION PROVINCIAL DE SISTEMA DE ATENCION MEDICA DE EMERGENCIA</t>
  </si>
  <si>
    <t>743- SECRETARIA DE ASISTENCIA EN SALUD PUBLICA</t>
  </si>
  <si>
    <t>743- S.A.S.P. - REGULACION Y CONTROL EN SALUD</t>
  </si>
  <si>
    <t>482- DIRECCION PROVINCIAL DE EPIDEMIOLOGIA</t>
  </si>
  <si>
    <t>Costo total estimado: PESOS CIENTO CUARENTA Y NUEVE MIL CIENTO TREINTA  CON 00/100.-</t>
  </si>
  <si>
    <t>352- MINISTERIO DE SALUD</t>
  </si>
  <si>
    <t>TOTAL DE PESOS: CIENTO CUARENTA Y NUEVE MIL CIENTO TREINTA  CON 00/100.-</t>
  </si>
  <si>
    <t>318- UNIDAD DE GESTION DE SEGURO PROVINCIAL CATAMARCA (SUMAR)</t>
  </si>
  <si>
    <t>TOTAL DE PESOS: DIECIOCHO MIL OCHOCIENTOS CINCUENTA  CON 00/100.-</t>
  </si>
  <si>
    <t>Costo total estimado: PESOS DIECIOCHO  MIL OCHOCIENTOS CINCUENTA  CON 00/100.-</t>
  </si>
  <si>
    <t>PRODUCTOS DE PAPEL Y CARTON</t>
  </si>
  <si>
    <t>INSECTICIDAS, FUMIGANTES Y OTROS</t>
  </si>
  <si>
    <t>2,9,1</t>
  </si>
  <si>
    <t>2,5,4</t>
  </si>
  <si>
    <t>Costo total estimado: PESOS CIENTO VEINTISIETE MILOCHOCIENTOS SESENTA  CON 00/100.-</t>
  </si>
  <si>
    <t>TOTAL DE PESOS: CIENTO VEINTISIETE MIL OCHOCIENTOS SESENTA CON 00/100.-</t>
  </si>
  <si>
    <t>Costo total estimado: PESOS VEINTIDOS MIL SEISCIENTOS TREINTAY UNO CON 00/100.-</t>
  </si>
  <si>
    <t>TOTAL DE PESOS: VEINTIDOS MIL SEISCIENTOS TREINTAY UNO CON 00/100.-</t>
  </si>
  <si>
    <t>TOTAL DE PESOS: DOSCIENTOS QUINCE MIL TRESCIENTOS CINCUENTA CON 00/100.-</t>
  </si>
  <si>
    <t>Costo total estimado: PESOS DOSCIENTOS QUINCE MIL TRESCIENTOS CINCUENTACON 00/100.-</t>
  </si>
  <si>
    <t>93- DIRECCIÓN PROVINCIAL DE ASISTENCIA INTEGRAL A PERSONAS CON DISCAPACIDAD</t>
  </si>
  <si>
    <t>PRODUCTOS DE PAPEL Y CARTÓN</t>
  </si>
  <si>
    <t>TOTAL DE PESOS: NUEVE MIL OCHOCIENTOS CON 00/100.-</t>
  </si>
  <si>
    <t>Costo total estimado: PESOS VEINTIUN MIL CUATROCIENTOS NOVENTA CON 00/100.-</t>
  </si>
  <si>
    <t>TOTAL DE PESOS: VEINTIUN MIL CUATROCIENTOS NOVENTA CON 00/100.-</t>
  </si>
  <si>
    <t>382- SECRETARIA DE PLANIFICACIÓN Y GESTIÓN EN SALUD</t>
  </si>
  <si>
    <t>Costo total estimado: PESOS TREINTA Y CINCO MIL CON 00/100.-</t>
  </si>
  <si>
    <t>TOTAL DE PESOS: TREINTA Y CINCO MIL CON 00/100.-</t>
  </si>
  <si>
    <t>Costo total estimado: PESOS VEINTITRES MIL OCHOCIENTOS CON 00/100.-</t>
  </si>
  <si>
    <t>TOTAL DE PESOS: VEINTITRES MIL OCHOCIENTOS CON 00/100.-</t>
  </si>
  <si>
    <t xml:space="preserve">Descripción técnica:   </t>
  </si>
  <si>
    <t xml:space="preserve">Plazos de entrega: </t>
  </si>
  <si>
    <t>Lugar de Entrega:</t>
  </si>
  <si>
    <t>SECRETARIA DE AMINISTRACION - CHACABUCO N° 169 - en el horario de 8:00hs a 12:00hs de lunes a viernes. DEBIENDO CORRER LOS GASTOS DE FLETES, ACARREO, CARGA, DESCARGA Y SEGURO A CARGO DEL ADJUDICATARIO.</t>
  </si>
  <si>
    <t xml:space="preserve">Mantenimiento: </t>
  </si>
  <si>
    <t>CUARENTA Y CINCO (45) DÍAS.</t>
  </si>
  <si>
    <t xml:space="preserve"> - INDICAR MARCA COMERCIAL DE PRODUCTO COTIZADO POR ÍTEM.</t>
  </si>
  <si>
    <t xml:space="preserve"> </t>
  </si>
  <si>
    <t>10 (DIEZ) DÍAS HÁBILES.</t>
  </si>
  <si>
    <t>Costo total estimado: PESOS NUEVE MIL OCHOCIENTOS CON 00/100.-</t>
  </si>
  <si>
    <t>Costo total estimado: PESOS SESENTA Y SEIS MIL SEISCIENTOS CON 00/100.-</t>
  </si>
  <si>
    <t>TOTAL DE PESOS: SESENTA Y SEIS MIL SEISCIENTOS CON 00/100.-</t>
  </si>
  <si>
    <t>CANTIDAD</t>
  </si>
  <si>
    <t>PRECIO UNITARIO ESTIMADO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</si>
</sst>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dd\-mm\-yy;@"/>
    <numFmt numFmtId="170" formatCode="_(\$* #,##0.00_);_(\$* \(#,##0.00\);_(\$* \-??_);_(@_)"/>
    <numFmt numFmtId="171" formatCode="[$$-2C0A]\ #,##0.00;[$$-2C0A]&quot; -&quot;#,##0.0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2"/>
      <name val="Times New Roman"/>
      <family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Times New Roman"/>
      <family val="1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99"/>
        <bgColor rgb="FFFFFFCC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 style="medium">
        <color rgb="FF3D3D3D"/>
      </top>
      <bottom/>
      <diagonal/>
    </border>
    <border>
      <left style="thin">
        <color indexed="64"/>
      </left>
      <right/>
      <top style="thin">
        <color rgb="FF3D3D3D"/>
      </top>
      <bottom style="thin">
        <color rgb="FF3D3D3D"/>
      </bottom>
      <diagonal/>
    </border>
    <border>
      <left style="thin">
        <color indexed="64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4">
    <xf numFmtId="0" fontId="0" fillId="0" borderId="0"/>
    <xf numFmtId="44" fontId="1" fillId="0" borderId="0" applyFont="0" applyFill="0" applyBorder="0" applyAlignment="0" applyProtection="0"/>
    <xf numFmtId="0" fontId="7" fillId="0" borderId="0"/>
    <xf numFmtId="164" fontId="7" fillId="0" borderId="0" applyBorder="0" applyAlignment="0" applyProtection="0"/>
    <xf numFmtId="0" fontId="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168" fontId="7" fillId="0" borderId="0" applyBorder="0" applyProtection="0"/>
    <xf numFmtId="0" fontId="13" fillId="0" borderId="8" applyProtection="0"/>
    <xf numFmtId="0" fontId="14" fillId="4" borderId="0" applyBorder="0" applyProtection="0"/>
    <xf numFmtId="0" fontId="7" fillId="0" borderId="0"/>
    <xf numFmtId="0" fontId="7" fillId="0" borderId="0"/>
    <xf numFmtId="168" fontId="7" fillId="0" borderId="0" applyBorder="0" applyProtection="0"/>
    <xf numFmtId="0" fontId="13" fillId="0" borderId="8" applyProtection="0"/>
    <xf numFmtId="164" fontId="7" fillId="0" borderId="0" applyBorder="0" applyAlignment="0" applyProtection="0"/>
    <xf numFmtId="0" fontId="7" fillId="0" borderId="0"/>
    <xf numFmtId="0" fontId="7" fillId="0" borderId="0"/>
    <xf numFmtId="0" fontId="7" fillId="0" borderId="0"/>
    <xf numFmtId="43" fontId="1" fillId="0" borderId="0" applyFont="0" applyFill="0" applyBorder="0" applyAlignment="0" applyProtection="0"/>
    <xf numFmtId="168" fontId="7" fillId="0" borderId="0" applyBorder="0" applyProtection="0"/>
    <xf numFmtId="0" fontId="1" fillId="0" borderId="0"/>
    <xf numFmtId="0" fontId="1" fillId="0" borderId="0"/>
    <xf numFmtId="0" fontId="7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7" fillId="0" borderId="0"/>
    <xf numFmtId="0" fontId="15" fillId="0" borderId="0"/>
    <xf numFmtId="0" fontId="16" fillId="0" borderId="0"/>
    <xf numFmtId="0" fontId="7" fillId="0" borderId="0"/>
    <xf numFmtId="170" fontId="32" fillId="0" borderId="0" applyBorder="0" applyProtection="0"/>
  </cellStyleXfs>
  <cellXfs count="239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7" fontId="4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/>
    <xf numFmtId="167" fontId="0" fillId="0" borderId="0" xfId="0" applyNumberFormat="1" applyAlignment="1">
      <alignment horizontal="center" vertical="center"/>
    </xf>
    <xf numFmtId="167" fontId="10" fillId="2" borderId="7" xfId="2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167" fontId="17" fillId="0" borderId="0" xfId="0" applyNumberFormat="1" applyFont="1" applyAlignment="1">
      <alignment horizontal="center" vertical="center"/>
    </xf>
    <xf numFmtId="0" fontId="19" fillId="0" borderId="0" xfId="0" applyFont="1"/>
    <xf numFmtId="0" fontId="6" fillId="2" borderId="1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167" fontId="10" fillId="3" borderId="4" xfId="3" applyNumberFormat="1" applyFont="1" applyFill="1" applyBorder="1" applyAlignment="1" applyProtection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1" fontId="6" fillId="2" borderId="1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/>
    </xf>
    <xf numFmtId="167" fontId="6" fillId="2" borderId="1" xfId="3" applyNumberFormat="1" applyFont="1" applyFill="1" applyBorder="1" applyAlignment="1" applyProtection="1">
      <alignment horizontal="center" vertical="center" wrapText="1"/>
    </xf>
    <xf numFmtId="0" fontId="8" fillId="2" borderId="6" xfId="0" applyFont="1" applyFill="1" applyBorder="1"/>
    <xf numFmtId="0" fontId="8" fillId="2" borderId="0" xfId="0" applyFont="1" applyFill="1"/>
    <xf numFmtId="1" fontId="8" fillId="2" borderId="1" xfId="5" applyNumberFormat="1" applyFont="1" applyFill="1" applyBorder="1" applyAlignment="1">
      <alignment horizontal="center" vertical="center"/>
    </xf>
    <xf numFmtId="167" fontId="8" fillId="2" borderId="1" xfId="1" applyNumberFormat="1" applyFont="1" applyFill="1" applyBorder="1" applyAlignment="1">
      <alignment horizontal="center" vertical="center"/>
    </xf>
    <xf numFmtId="3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167" fontId="6" fillId="2" borderId="1" xfId="1" applyNumberFormat="1" applyFont="1" applyFill="1" applyBorder="1" applyAlignment="1">
      <alignment horizontal="center" vertical="center"/>
    </xf>
    <xf numFmtId="0" fontId="6" fillId="2" borderId="6" xfId="0" applyFont="1" applyFill="1" applyBorder="1"/>
    <xf numFmtId="0" fontId="6" fillId="2" borderId="0" xfId="0" applyFont="1" applyFill="1"/>
    <xf numFmtId="0" fontId="6" fillId="2" borderId="9" xfId="0" applyFont="1" applyFill="1" applyBorder="1"/>
    <xf numFmtId="3" fontId="6" fillId="2" borderId="5" xfId="0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/>
    </xf>
    <xf numFmtId="1" fontId="6" fillId="2" borderId="5" xfId="0" applyNumberFormat="1" applyFont="1" applyFill="1" applyBorder="1" applyAlignment="1">
      <alignment horizontal="center" vertical="center"/>
    </xf>
    <xf numFmtId="167" fontId="6" fillId="2" borderId="5" xfId="1" applyNumberFormat="1" applyFont="1" applyFill="1" applyBorder="1" applyAlignment="1">
      <alignment horizontal="center" vertical="center"/>
    </xf>
    <xf numFmtId="0" fontId="22" fillId="0" borderId="12" xfId="0" applyFont="1" applyBorder="1" applyAlignment="1">
      <alignment horizontal="right" vertical="center"/>
    </xf>
    <xf numFmtId="0" fontId="23" fillId="0" borderId="13" xfId="0" applyFont="1" applyBorder="1" applyAlignment="1">
      <alignment horizontal="center" vertical="center"/>
    </xf>
    <xf numFmtId="0" fontId="22" fillId="0" borderId="14" xfId="0" applyFont="1" applyBorder="1" applyAlignment="1">
      <alignment vertical="center"/>
    </xf>
    <xf numFmtId="0" fontId="22" fillId="0" borderId="15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2" fillId="0" borderId="16" xfId="0" applyFont="1" applyBorder="1" applyAlignment="1">
      <alignment vertical="center"/>
    </xf>
    <xf numFmtId="0" fontId="23" fillId="0" borderId="18" xfId="0" applyFont="1" applyBorder="1" applyAlignment="1">
      <alignment vertical="center"/>
    </xf>
    <xf numFmtId="0" fontId="23" fillId="0" borderId="19" xfId="0" applyFont="1" applyBorder="1" applyAlignment="1">
      <alignment vertical="center"/>
    </xf>
    <xf numFmtId="0" fontId="23" fillId="0" borderId="20" xfId="0" applyFont="1" applyBorder="1" applyAlignment="1">
      <alignment vertical="center"/>
    </xf>
    <xf numFmtId="0" fontId="23" fillId="0" borderId="23" xfId="0" applyFont="1" applyBorder="1" applyAlignment="1">
      <alignment vertical="center"/>
    </xf>
    <xf numFmtId="0" fontId="24" fillId="0" borderId="24" xfId="0" applyFont="1" applyBorder="1" applyAlignment="1">
      <alignment horizontal="left" vertical="center"/>
    </xf>
    <xf numFmtId="0" fontId="24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left" vertical="center" wrapText="1" indent="1"/>
    </xf>
    <xf numFmtId="0" fontId="23" fillId="0" borderId="16" xfId="0" applyFont="1" applyBorder="1" applyAlignment="1">
      <alignment horizontal="left" vertical="center" wrapText="1" indent="1"/>
    </xf>
    <xf numFmtId="0" fontId="26" fillId="0" borderId="10" xfId="0" applyFont="1" applyBorder="1" applyAlignment="1">
      <alignment horizontal="center" vertical="center"/>
    </xf>
    <xf numFmtId="167" fontId="8" fillId="2" borderId="2" xfId="1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 applyProtection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left" vertical="center" wrapText="1"/>
    </xf>
    <xf numFmtId="167" fontId="0" fillId="0" borderId="0" xfId="0" applyNumberFormat="1"/>
    <xf numFmtId="1" fontId="8" fillId="2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6" fillId="2" borderId="2" xfId="0" applyNumberFormat="1" applyFont="1" applyFill="1" applyBorder="1" applyAlignment="1">
      <alignment horizontal="center" vertical="center"/>
    </xf>
    <xf numFmtId="0" fontId="8" fillId="2" borderId="1" xfId="0" applyFont="1" applyFill="1" applyBorder="1"/>
    <xf numFmtId="3" fontId="30" fillId="0" borderId="25" xfId="0" applyNumberFormat="1" applyFont="1" applyBorder="1" applyAlignment="1"/>
    <xf numFmtId="169" fontId="0" fillId="0" borderId="25" xfId="0" applyNumberFormat="1" applyBorder="1" applyAlignment="1">
      <alignment horizontal="left"/>
    </xf>
    <xf numFmtId="0" fontId="0" fillId="0" borderId="25" xfId="0" applyBorder="1"/>
    <xf numFmtId="0" fontId="0" fillId="0" borderId="24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9" fontId="0" fillId="0" borderId="0" xfId="0" applyNumberFormat="1" applyBorder="1" applyAlignment="1">
      <alignment horizontal="left"/>
    </xf>
    <xf numFmtId="0" fontId="0" fillId="0" borderId="16" xfId="0" applyBorder="1"/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32" xfId="0" applyBorder="1"/>
    <xf numFmtId="0" fontId="35" fillId="0" borderId="35" xfId="0" applyFont="1" applyBorder="1" applyAlignment="1">
      <alignment horizontal="center" vertical="center"/>
    </xf>
    <xf numFmtId="0" fontId="35" fillId="0" borderId="36" xfId="0" applyFont="1" applyBorder="1" applyAlignment="1">
      <alignment horizontal="center" vertical="center"/>
    </xf>
    <xf numFmtId="0" fontId="35" fillId="0" borderId="36" xfId="0" applyFont="1" applyBorder="1" applyAlignment="1">
      <alignment horizontal="left" vertical="center"/>
    </xf>
    <xf numFmtId="0" fontId="35" fillId="0" borderId="37" xfId="0" applyFont="1" applyBorder="1" applyAlignment="1">
      <alignment horizontal="center" vertical="center"/>
    </xf>
    <xf numFmtId="0" fontId="35" fillId="0" borderId="38" xfId="0" applyFont="1" applyBorder="1" applyAlignment="1">
      <alignment horizontal="center" vertical="center"/>
    </xf>
    <xf numFmtId="171" fontId="0" fillId="0" borderId="40" xfId="33" applyNumberFormat="1" applyFont="1" applyBorder="1" applyAlignment="1" applyProtection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171" fontId="0" fillId="0" borderId="45" xfId="33" applyNumberFormat="1" applyFont="1" applyBorder="1" applyAlignment="1" applyProtection="1">
      <alignment horizontal="center" vertical="center"/>
    </xf>
    <xf numFmtId="0" fontId="33" fillId="0" borderId="41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33" fillId="0" borderId="43" xfId="0" applyFont="1" applyBorder="1" applyAlignment="1">
      <alignment horizontal="center" vertical="center"/>
    </xf>
    <xf numFmtId="0" fontId="33" fillId="0" borderId="44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71" fontId="0" fillId="0" borderId="49" xfId="33" applyNumberFormat="1" applyFont="1" applyBorder="1" applyAlignment="1" applyProtection="1">
      <alignment horizontal="center" vertical="center"/>
    </xf>
    <xf numFmtId="171" fontId="35" fillId="0" borderId="51" xfId="0" applyNumberFormat="1" applyFont="1" applyBorder="1" applyAlignment="1">
      <alignment horizontal="center" vertical="center"/>
    </xf>
    <xf numFmtId="0" fontId="36" fillId="2" borderId="1" xfId="0" applyFont="1" applyFill="1" applyBorder="1" applyAlignment="1">
      <alignment horizontal="left" vertical="center" wrapText="1"/>
    </xf>
    <xf numFmtId="0" fontId="38" fillId="2" borderId="1" xfId="0" applyFont="1" applyFill="1" applyBorder="1" applyAlignment="1">
      <alignment horizontal="left" vertical="center" wrapText="1"/>
    </xf>
    <xf numFmtId="0" fontId="24" fillId="0" borderId="10" xfId="0" applyFont="1" applyBorder="1" applyAlignment="1">
      <alignment horizontal="center" vertical="center"/>
    </xf>
    <xf numFmtId="0" fontId="24" fillId="2" borderId="10" xfId="0" applyFont="1" applyFill="1" applyBorder="1" applyAlignment="1">
      <alignment horizontal="center" vertical="center"/>
    </xf>
    <xf numFmtId="3" fontId="38" fillId="2" borderId="1" xfId="0" applyNumberFormat="1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/>
    </xf>
    <xf numFmtId="3" fontId="38" fillId="2" borderId="1" xfId="0" applyNumberFormat="1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 wrapText="1"/>
    </xf>
    <xf numFmtId="167" fontId="38" fillId="2" borderId="1" xfId="3" applyNumberFormat="1" applyFont="1" applyFill="1" applyBorder="1" applyAlignment="1" applyProtection="1">
      <alignment horizontal="center" vertical="center" wrapText="1"/>
    </xf>
    <xf numFmtId="167" fontId="38" fillId="2" borderId="1" xfId="1" applyNumberFormat="1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55" xfId="0" applyFont="1" applyBorder="1" applyAlignment="1">
      <alignment horizontal="center" vertical="center"/>
    </xf>
    <xf numFmtId="0" fontId="0" fillId="0" borderId="56" xfId="0" applyFont="1" applyBorder="1" applyAlignment="1">
      <alignment horizontal="center" vertical="center"/>
    </xf>
    <xf numFmtId="0" fontId="0" fillId="0" borderId="57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27" fillId="2" borderId="10" xfId="0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 wrapText="1"/>
    </xf>
    <xf numFmtId="0" fontId="37" fillId="0" borderId="0" xfId="0" applyFont="1"/>
    <xf numFmtId="0" fontId="0" fillId="0" borderId="44" xfId="0" applyFont="1" applyBorder="1" applyAlignment="1">
      <alignment horizontal="center" vertical="center"/>
    </xf>
    <xf numFmtId="0" fontId="8" fillId="2" borderId="1" xfId="4" applyFont="1" applyFill="1" applyBorder="1" applyAlignment="1">
      <alignment horizontal="center" vertical="center"/>
    </xf>
    <xf numFmtId="0" fontId="10" fillId="2" borderId="0" xfId="0" applyFont="1" applyFill="1"/>
    <xf numFmtId="0" fontId="26" fillId="2" borderId="10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left" vertical="center" wrapText="1"/>
    </xf>
    <xf numFmtId="3" fontId="20" fillId="2" borderId="4" xfId="2" applyNumberFormat="1" applyFont="1" applyFill="1" applyBorder="1" applyAlignment="1">
      <alignment horizontal="center" vertical="center" wrapText="1"/>
    </xf>
    <xf numFmtId="0" fontId="10" fillId="2" borderId="9" xfId="0" applyFont="1" applyFill="1" applyBorder="1"/>
    <xf numFmtId="3" fontId="6" fillId="2" borderId="10" xfId="0" applyNumberFormat="1" applyFont="1" applyFill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167" fontId="6" fillId="2" borderId="10" xfId="1" applyNumberFormat="1" applyFont="1" applyFill="1" applyBorder="1" applyAlignment="1">
      <alignment horizontal="center" vertical="center"/>
    </xf>
    <xf numFmtId="0" fontId="39" fillId="0" borderId="2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9" fillId="0" borderId="62" xfId="0" applyFont="1" applyBorder="1" applyAlignment="1">
      <alignment horizontal="center" wrapText="1"/>
    </xf>
    <xf numFmtId="0" fontId="3" fillId="0" borderId="63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/>
    </xf>
    <xf numFmtId="0" fontId="3" fillId="0" borderId="64" xfId="0" applyFont="1" applyBorder="1" applyAlignment="1">
      <alignment horizontal="center" vertical="center" wrapText="1"/>
    </xf>
    <xf numFmtId="0" fontId="40" fillId="0" borderId="0" xfId="0" applyFont="1"/>
    <xf numFmtId="167" fontId="40" fillId="2" borderId="0" xfId="0" applyNumberFormat="1" applyFont="1" applyFill="1"/>
    <xf numFmtId="167" fontId="40" fillId="0" borderId="0" xfId="0" applyNumberFormat="1" applyFont="1"/>
    <xf numFmtId="0" fontId="40" fillId="2" borderId="0" xfId="0" applyFont="1" applyFill="1"/>
    <xf numFmtId="44" fontId="40" fillId="2" borderId="0" xfId="1" applyFont="1" applyFill="1"/>
    <xf numFmtId="44" fontId="40" fillId="2" borderId="0" xfId="0" applyNumberFormat="1" applyFont="1" applyFill="1"/>
    <xf numFmtId="0" fontId="37" fillId="2" borderId="1" xfId="4" applyFont="1" applyFill="1" applyBorder="1" applyAlignment="1">
      <alignment horizontal="center" vertical="center"/>
    </xf>
    <xf numFmtId="167" fontId="37" fillId="2" borderId="1" xfId="1" applyNumberFormat="1" applyFont="1" applyFill="1" applyBorder="1" applyAlignment="1">
      <alignment horizontal="center" vertical="center"/>
    </xf>
    <xf numFmtId="0" fontId="38" fillId="2" borderId="2" xfId="0" applyFont="1" applyFill="1" applyBorder="1" applyAlignment="1">
      <alignment horizontal="center" vertical="center" wrapText="1"/>
    </xf>
    <xf numFmtId="0" fontId="38" fillId="2" borderId="2" xfId="0" applyFont="1" applyFill="1" applyBorder="1" applyAlignment="1">
      <alignment horizontal="left" vertical="center" wrapText="1"/>
    </xf>
    <xf numFmtId="167" fontId="38" fillId="2" borderId="2" xfId="1" applyNumberFormat="1" applyFont="1" applyFill="1" applyBorder="1" applyAlignment="1">
      <alignment horizontal="center" vertical="center"/>
    </xf>
    <xf numFmtId="3" fontId="38" fillId="2" borderId="2" xfId="0" applyNumberFormat="1" applyFont="1" applyFill="1" applyBorder="1" applyAlignment="1">
      <alignment horizontal="center" vertical="center"/>
    </xf>
    <xf numFmtId="167" fontId="38" fillId="2" borderId="1" xfId="1" applyNumberFormat="1" applyFont="1" applyFill="1" applyBorder="1" applyAlignment="1" applyProtection="1">
      <alignment horizontal="center" vertical="center" wrapText="1"/>
    </xf>
    <xf numFmtId="165" fontId="6" fillId="2" borderId="2" xfId="2" applyNumberFormat="1" applyFont="1" applyFill="1" applyBorder="1" applyAlignment="1">
      <alignment horizontal="center" vertical="center" wrapText="1"/>
    </xf>
    <xf numFmtId="165" fontId="8" fillId="2" borderId="2" xfId="1" applyNumberFormat="1" applyFont="1" applyFill="1" applyBorder="1" applyAlignment="1">
      <alignment horizontal="center" vertical="center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165" fontId="6" fillId="2" borderId="1" xfId="3" applyNumberFormat="1" applyFont="1" applyFill="1" applyBorder="1" applyAlignment="1" applyProtection="1">
      <alignment horizontal="center" vertical="center" wrapText="1"/>
    </xf>
    <xf numFmtId="165" fontId="8" fillId="2" borderId="1" xfId="1" applyNumberFormat="1" applyFont="1" applyFill="1" applyBorder="1" applyAlignment="1">
      <alignment horizontal="center" vertical="center"/>
    </xf>
    <xf numFmtId="165" fontId="6" fillId="2" borderId="1" xfId="1" applyNumberFormat="1" applyFont="1" applyFill="1" applyBorder="1" applyAlignment="1">
      <alignment horizontal="center" vertical="center"/>
    </xf>
    <xf numFmtId="165" fontId="6" fillId="2" borderId="5" xfId="1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9" fillId="0" borderId="11" xfId="0" applyFont="1" applyBorder="1" applyAlignment="1">
      <alignment horizontal="center" vertical="center" wrapText="1"/>
    </xf>
    <xf numFmtId="0" fontId="39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61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28" fillId="0" borderId="10" xfId="0" applyFont="1" applyBorder="1" applyAlignment="1">
      <alignment horizontal="left" vertical="center" wrapText="1" indent="1"/>
    </xf>
    <xf numFmtId="166" fontId="29" fillId="0" borderId="10" xfId="0" applyNumberFormat="1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left" vertical="center"/>
    </xf>
    <xf numFmtId="0" fontId="25" fillId="0" borderId="10" xfId="0" applyFont="1" applyBorder="1" applyAlignment="1">
      <alignment horizontal="center" vertical="center"/>
    </xf>
    <xf numFmtId="0" fontId="24" fillId="0" borderId="21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center" vertical="center"/>
    </xf>
    <xf numFmtId="0" fontId="24" fillId="0" borderId="17" xfId="0" applyFont="1" applyBorder="1" applyAlignment="1">
      <alignment horizontal="left" vertical="center" wrapText="1"/>
    </xf>
    <xf numFmtId="0" fontId="30" fillId="0" borderId="27" xfId="0" applyFont="1" applyBorder="1" applyAlignment="1">
      <alignment vertical="center" wrapText="1"/>
    </xf>
    <xf numFmtId="0" fontId="33" fillId="0" borderId="34" xfId="0" applyFont="1" applyBorder="1" applyAlignment="1">
      <alignment vertical="center" wrapText="1"/>
    </xf>
    <xf numFmtId="0" fontId="33" fillId="0" borderId="52" xfId="0" applyFont="1" applyBorder="1" applyAlignment="1">
      <alignment horizontal="left" vertical="center" wrapText="1" indent="1"/>
    </xf>
    <xf numFmtId="0" fontId="0" fillId="0" borderId="44" xfId="0" applyFont="1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30" fillId="0" borderId="50" xfId="0" applyFont="1" applyBorder="1" applyAlignment="1">
      <alignment horizontal="left" vertical="center" wrapText="1"/>
    </xf>
    <xf numFmtId="0" fontId="0" fillId="0" borderId="31" xfId="0" applyBorder="1"/>
    <xf numFmtId="0" fontId="0" fillId="0" borderId="44" xfId="0" applyFont="1" applyBorder="1" applyAlignment="1">
      <alignment horizontal="center" vertical="center"/>
    </xf>
    <xf numFmtId="49" fontId="33" fillId="0" borderId="26" xfId="0" applyNumberFormat="1" applyFont="1" applyBorder="1" applyAlignment="1">
      <alignment horizontal="justify" vertical="center" wrapText="1"/>
    </xf>
    <xf numFmtId="0" fontId="35" fillId="0" borderId="31" xfId="0" applyFont="1" applyBorder="1" applyAlignment="1">
      <alignment horizontal="center" vertical="center"/>
    </xf>
    <xf numFmtId="0" fontId="35" fillId="0" borderId="28" xfId="0" applyFont="1" applyBorder="1" applyAlignment="1">
      <alignment horizontal="center" vertical="center"/>
    </xf>
    <xf numFmtId="0" fontId="35" fillId="0" borderId="33" xfId="0" applyFont="1" applyBorder="1" applyAlignment="1">
      <alignment horizontal="center" vertical="center" wrapText="1"/>
    </xf>
    <xf numFmtId="0" fontId="35" fillId="0" borderId="34" xfId="0" applyFont="1" applyBorder="1" applyAlignment="1">
      <alignment horizontal="center" vertical="center"/>
    </xf>
    <xf numFmtId="0" fontId="0" fillId="0" borderId="39" xfId="0" applyFont="1" applyBorder="1" applyAlignment="1">
      <alignment horizontal="left" vertical="center" wrapText="1"/>
    </xf>
    <xf numFmtId="0" fontId="0" fillId="0" borderId="54" xfId="0" applyFont="1" applyBorder="1" applyAlignment="1">
      <alignment horizontal="left" vertical="center"/>
    </xf>
    <xf numFmtId="0" fontId="0" fillId="0" borderId="58" xfId="0" applyBorder="1" applyAlignment="1">
      <alignment horizontal="left"/>
    </xf>
    <xf numFmtId="0" fontId="0" fillId="0" borderId="54" xfId="0" applyBorder="1" applyAlignment="1">
      <alignment horizontal="left"/>
    </xf>
    <xf numFmtId="0" fontId="33" fillId="0" borderId="31" xfId="0" applyFont="1" applyBorder="1" applyAlignment="1">
      <alignment horizontal="left"/>
    </xf>
    <xf numFmtId="0" fontId="0" fillId="0" borderId="18" xfId="0" applyFont="1" applyBorder="1" applyAlignment="1">
      <alignment horizontal="center"/>
    </xf>
    <xf numFmtId="3" fontId="30" fillId="0" borderId="20" xfId="0" applyNumberFormat="1" applyFont="1" applyBorder="1" applyAlignment="1">
      <alignment horizontal="center"/>
    </xf>
    <xf numFmtId="0" fontId="31" fillId="0" borderId="13" xfId="0" applyFont="1" applyBorder="1" applyAlignment="1">
      <alignment horizontal="center" vertical="center" wrapText="1"/>
    </xf>
    <xf numFmtId="0" fontId="32" fillId="0" borderId="28" xfId="0" applyFont="1" applyBorder="1"/>
    <xf numFmtId="0" fontId="33" fillId="0" borderId="29" xfId="0" applyFont="1" applyBorder="1" applyAlignment="1">
      <alignment horizontal="left" indent="1"/>
    </xf>
    <xf numFmtId="0" fontId="27" fillId="0" borderId="28" xfId="0" applyFont="1" applyBorder="1" applyAlignment="1">
      <alignment horizontal="left" vertical="center" wrapText="1"/>
    </xf>
    <xf numFmtId="0" fontId="34" fillId="0" borderId="30" xfId="0" applyFont="1" applyBorder="1" applyAlignment="1">
      <alignment horizontal="left"/>
    </xf>
    <xf numFmtId="0" fontId="0" fillId="0" borderId="53" xfId="0" applyFont="1" applyBorder="1" applyAlignment="1">
      <alignment horizontal="left" vertical="center" wrapText="1"/>
    </xf>
    <xf numFmtId="0" fontId="0" fillId="0" borderId="58" xfId="0" applyFont="1" applyBorder="1" applyAlignment="1">
      <alignment horizontal="left" vertical="center"/>
    </xf>
    <xf numFmtId="0" fontId="0" fillId="0" borderId="44" xfId="0" applyBorder="1" applyAlignment="1">
      <alignment horizontal="center"/>
    </xf>
    <xf numFmtId="0" fontId="0" fillId="0" borderId="59" xfId="0" applyFont="1" applyBorder="1" applyAlignment="1">
      <alignment vertical="center" wrapText="1"/>
    </xf>
    <xf numFmtId="0" fontId="0" fillId="0" borderId="53" xfId="0" applyFont="1" applyBorder="1" applyAlignment="1">
      <alignment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left" vertical="center" wrapText="1" indent="1"/>
    </xf>
    <xf numFmtId="0" fontId="23" fillId="0" borderId="10" xfId="0" applyFont="1" applyBorder="1" applyAlignment="1">
      <alignment horizontal="center" vertical="center"/>
    </xf>
    <xf numFmtId="0" fontId="0" fillId="0" borderId="60" xfId="0" applyBorder="1" applyAlignment="1">
      <alignment horizontal="left"/>
    </xf>
    <xf numFmtId="0" fontId="6" fillId="2" borderId="2" xfId="2" applyNumberFormat="1" applyFont="1" applyFill="1" applyBorder="1" applyAlignment="1">
      <alignment horizontal="center" vertical="center" wrapText="1"/>
    </xf>
  </cellXfs>
  <cellStyles count="34">
    <cellStyle name="Encabezado 1" xfId="10" xr:uid="{00000000-0005-0000-0000-000000000000}"/>
    <cellStyle name="Encabezado 1 2" xfId="15" xr:uid="{00000000-0005-0000-0000-000001000000}"/>
    <cellStyle name="Millares 2" xfId="20" xr:uid="{00000000-0005-0000-0000-000002000000}"/>
    <cellStyle name="Millares 2 2" xfId="26" xr:uid="{00000000-0005-0000-0000-000003000000}"/>
    <cellStyle name="Moneda" xfId="1" builtinId="4"/>
    <cellStyle name="Moneda 2" xfId="3" xr:uid="{00000000-0005-0000-0000-000005000000}"/>
    <cellStyle name="Moneda 2 2" xfId="16" xr:uid="{00000000-0005-0000-0000-000006000000}"/>
    <cellStyle name="Moneda 3" xfId="14" xr:uid="{00000000-0005-0000-0000-000007000000}"/>
    <cellStyle name="Moneda 4" xfId="21" xr:uid="{00000000-0005-0000-0000-000008000000}"/>
    <cellStyle name="Moneda 5" xfId="9" xr:uid="{00000000-0005-0000-0000-000009000000}"/>
    <cellStyle name="Moneda_AUTORIZACION Y NOTA DE PEDIDO" xfId="33" xr:uid="{00000000-0005-0000-0000-00000A000000}"/>
    <cellStyle name="Neutral 1" xfId="11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2 3" xfId="32" xr:uid="{00000000-0005-0000-0000-00000F000000}"/>
    <cellStyle name="Normal 3" xfId="7" xr:uid="{00000000-0005-0000-0000-000010000000}"/>
    <cellStyle name="Normal 3 2" xfId="12" xr:uid="{00000000-0005-0000-0000-000011000000}"/>
    <cellStyle name="Normal 3 2 2" xfId="18" xr:uid="{00000000-0005-0000-0000-000012000000}"/>
    <cellStyle name="Normal 3 3" xfId="17" xr:uid="{00000000-0005-0000-0000-000013000000}"/>
    <cellStyle name="Normal 3 4" xfId="22" xr:uid="{00000000-0005-0000-0000-000014000000}"/>
    <cellStyle name="Normal 3 4 2" xfId="27" xr:uid="{00000000-0005-0000-0000-000015000000}"/>
    <cellStyle name="Normal 4" xfId="6" xr:uid="{00000000-0005-0000-0000-000016000000}"/>
    <cellStyle name="Normal 4 2" xfId="19" xr:uid="{00000000-0005-0000-0000-000017000000}"/>
    <cellStyle name="Normal 4 3" xfId="23" xr:uid="{00000000-0005-0000-0000-000018000000}"/>
    <cellStyle name="Normal 4 3 2" xfId="28" xr:uid="{00000000-0005-0000-0000-000019000000}"/>
    <cellStyle name="Normal 5" xfId="4" xr:uid="{00000000-0005-0000-0000-00001A000000}"/>
    <cellStyle name="Normal 5 2" xfId="25" xr:uid="{00000000-0005-0000-0000-00001B000000}"/>
    <cellStyle name="Normal 6" xfId="13" xr:uid="{00000000-0005-0000-0000-00001C000000}"/>
    <cellStyle name="Normal 7" xfId="24" xr:uid="{00000000-0005-0000-0000-00001D000000}"/>
    <cellStyle name="Normal 8" xfId="8" xr:uid="{00000000-0005-0000-0000-00001E000000}"/>
    <cellStyle name="Normal 8 2" xfId="29" xr:uid="{00000000-0005-0000-0000-00001F000000}"/>
    <cellStyle name="Normal 8 3" xfId="30" xr:uid="{00000000-0005-0000-0000-000020000000}"/>
    <cellStyle name="Normal 8 4" xfId="31" xr:uid="{00000000-0005-0000-0000-000021000000}"/>
  </cellStyles>
  <dxfs count="18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124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124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124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7124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915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915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915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915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8429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8429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8429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8429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00297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00297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100297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>
          <a:off x="100297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/>
      </xdr:nvSpPr>
      <xdr:spPr>
        <a:xfrm>
          <a:off x="9572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/>
      </xdr:nvSpPr>
      <xdr:spPr>
        <a:xfrm>
          <a:off x="9572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/>
      </xdr:nvSpPr>
      <xdr:spPr>
        <a:xfrm>
          <a:off x="9572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/>
      </xdr:nvSpPr>
      <xdr:spPr>
        <a:xfrm>
          <a:off x="9572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8820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8820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/>
      </xdr:nvSpPr>
      <xdr:spPr>
        <a:xfrm>
          <a:off x="8820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/>
      </xdr:nvSpPr>
      <xdr:spPr>
        <a:xfrm>
          <a:off x="8820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SpPr/>
      </xdr:nvSpPr>
      <xdr:spPr>
        <a:xfrm>
          <a:off x="9667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SpPr/>
      </xdr:nvSpPr>
      <xdr:spPr>
        <a:xfrm>
          <a:off x="9667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SpPr/>
      </xdr:nvSpPr>
      <xdr:spPr>
        <a:xfrm>
          <a:off x="9667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SpPr/>
      </xdr:nvSpPr>
      <xdr:spPr>
        <a:xfrm>
          <a:off x="9667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/>
      </xdr:nvSpPr>
      <xdr:spPr>
        <a:xfrm>
          <a:off x="9629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/>
      </xdr:nvSpPr>
      <xdr:spPr>
        <a:xfrm>
          <a:off x="9629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/>
      </xdr:nvSpPr>
      <xdr:spPr>
        <a:xfrm>
          <a:off x="9629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SpPr/>
      </xdr:nvSpPr>
      <xdr:spPr>
        <a:xfrm>
          <a:off x="9629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90200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/>
      </xdr:nvSpPr>
      <xdr:spPr>
        <a:xfrm>
          <a:off x="90200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/>
      </xdr:nvSpPr>
      <xdr:spPr>
        <a:xfrm>
          <a:off x="90200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/>
      </xdr:nvSpPr>
      <xdr:spPr>
        <a:xfrm>
          <a:off x="90200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AJO/2022/NECESIDADES%20TRIMESTRALES/3&#176;%20TRIMESTRE/AGUA/3ER%20TRIMESTRE%202022%20-%20RUBRO%20ALIMENTOS%20(BIDONES%20DE%20AGUA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scacha88\MAJO\2022\NECESIDADES%20TRIMESTRALES\3&#176;%20TRIMESTRE\AGUA\3ER%20TRIMESTRE%202022%20-%20RUBRO%20ALIMENTOS%20(BIDONES%20DE%20AGU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F 011"/>
      <sheetName val="NP SMPyPS"/>
      <sheetName val="APG SMPyPS"/>
      <sheetName val="NP Lab."/>
      <sheetName val="APG Lab."/>
      <sheetName val="NP DPBS"/>
      <sheetName val="APG DPBS"/>
      <sheetName val="NP DPMIA"/>
      <sheetName val="APG DPMIA"/>
      <sheetName val="NP SASP"/>
      <sheetName val="APG SASP"/>
      <sheetName val="NP DCVyZ"/>
      <sheetName val="APG DCVyZ"/>
      <sheetName val="NP DPAIPD"/>
      <sheetName val="APG DPAIPD"/>
      <sheetName val="NP SPyGS"/>
      <sheetName val="APG SPyGS"/>
      <sheetName val="NP SSMyA"/>
      <sheetName val="APG SSMyA"/>
      <sheetName val="NP DPE"/>
      <sheetName val="APG DPE"/>
      <sheetName val="NP MS"/>
      <sheetName val="APG MS"/>
      <sheetName val="NP SUMAR"/>
      <sheetName val="APG SUMAR"/>
    </sheetNames>
    <sheetDataSet>
      <sheetData sheetId="0">
        <row r="4">
          <cell r="C4" t="str">
            <v>040 - MINISTERIO DE SALUD</v>
          </cell>
        </row>
        <row r="5">
          <cell r="C5" t="str">
            <v>011 - DIRECCION PROVINCIAL DE ADMINISTRACION - MINISTERIO DE SALUD</v>
          </cell>
        </row>
      </sheetData>
      <sheetData sheetId="1">
        <row r="3">
          <cell r="D3" t="str">
            <v>040 - MINISTERIO DE SALUD</v>
          </cell>
        </row>
      </sheetData>
      <sheetData sheetId="2"/>
      <sheetData sheetId="3"/>
      <sheetData sheetId="4"/>
      <sheetData sheetId="5">
        <row r="3">
          <cell r="D3" t="str">
            <v>040 - MINISTERIO DE SALUD</v>
          </cell>
        </row>
        <row r="4">
          <cell r="D4" t="str">
            <v>011 - DIRECCION PROVINCIAL DE ADMINISTRACION - MINISTERIO DE SALUD</v>
          </cell>
        </row>
        <row r="5">
          <cell r="D5" t="str">
            <v>747 - DIRECCION PROVINCIAL BANCO DE SANGRE</v>
          </cell>
        </row>
        <row r="6">
          <cell r="D6" t="str">
            <v>747 - DIRECCION PROVINCIAL BANCO DE SANGRE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F 011"/>
      <sheetName val="NP SMPyPS"/>
      <sheetName val="APG SMPyPS"/>
      <sheetName val="NP Lab."/>
      <sheetName val="APG Lab."/>
      <sheetName val="NP DPBS"/>
      <sheetName val="APG DPBS"/>
      <sheetName val="NP DPMIA"/>
      <sheetName val="APG DPMIA"/>
      <sheetName val="NP SASP"/>
      <sheetName val="APG SASP"/>
      <sheetName val="NP DCVyZ"/>
      <sheetName val="APG DCVyZ"/>
      <sheetName val="NP DPAIPD"/>
      <sheetName val="APG DPAIPD"/>
      <sheetName val="NP SPyGS"/>
      <sheetName val="APG SPyGS"/>
      <sheetName val="NP SSMyA"/>
      <sheetName val="APG SSMyA"/>
      <sheetName val="NP DPE"/>
      <sheetName val="APG DPE"/>
      <sheetName val="NP MS"/>
      <sheetName val="APG MS"/>
      <sheetName val="NP SUMAR"/>
      <sheetName val="APG SUMAR"/>
    </sheetNames>
    <sheetDataSet>
      <sheetData sheetId="0" refreshError="1">
        <row r="4">
          <cell r="C4" t="str">
            <v>040 - MINISTERIO DE SALUD</v>
          </cell>
        </row>
        <row r="5">
          <cell r="C5" t="str">
            <v>011 - DIRECCION PROVINCIAL DE ADMINISTRACION - MINISTERIO DE SALUD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tabSelected="1" zoomScale="80" zoomScaleNormal="80" workbookViewId="0">
      <selection activeCell="F7" sqref="F7"/>
    </sheetView>
  </sheetViews>
  <sheetFormatPr baseColWidth="10" defaultRowHeight="15" x14ac:dyDescent="0.25"/>
  <cols>
    <col min="1" max="1" width="8.140625" style="19" customWidth="1"/>
    <col min="2" max="2" width="16.140625" style="19" customWidth="1"/>
    <col min="3" max="3" width="37" style="19" customWidth="1"/>
    <col min="4" max="4" width="9.7109375" style="19" customWidth="1"/>
    <col min="5" max="5" width="99.85546875" style="20" customWidth="1"/>
    <col min="6" max="6" width="37.85546875" style="19" customWidth="1"/>
    <col min="7" max="7" width="13.85546875" style="21" customWidth="1"/>
    <col min="8" max="8" width="13.85546875" style="24" customWidth="1"/>
    <col min="9" max="9" width="21" style="22" bestFit="1" customWidth="1"/>
    <col min="10" max="10" width="62" customWidth="1"/>
  </cols>
  <sheetData>
    <row r="1" spans="1:11" x14ac:dyDescent="0.25">
      <c r="A1" s="1">
        <v>2022</v>
      </c>
      <c r="B1" s="2"/>
      <c r="C1" s="3"/>
      <c r="D1" s="3"/>
      <c r="E1" s="4"/>
      <c r="F1" s="3"/>
      <c r="G1" s="5"/>
      <c r="H1" s="6"/>
      <c r="I1" s="7"/>
    </row>
    <row r="2" spans="1:11" s="28" customFormat="1" ht="18.75" x14ac:dyDescent="0.3">
      <c r="A2" s="26"/>
      <c r="B2" s="192" t="s">
        <v>0</v>
      </c>
      <c r="C2" s="192"/>
      <c r="D2" s="192"/>
      <c r="E2" s="192"/>
      <c r="F2" s="192"/>
      <c r="G2" s="192"/>
      <c r="H2" s="192"/>
      <c r="I2" s="27"/>
    </row>
    <row r="3" spans="1:11" x14ac:dyDescent="0.25">
      <c r="A3" s="3"/>
      <c r="B3" s="2"/>
      <c r="C3" s="3"/>
      <c r="D3" s="3"/>
      <c r="E3" s="4"/>
      <c r="F3" s="3"/>
      <c r="G3" s="5"/>
      <c r="H3" s="6"/>
      <c r="I3" s="7"/>
    </row>
    <row r="4" spans="1:11" x14ac:dyDescent="0.25">
      <c r="A4" s="191" t="s">
        <v>1</v>
      </c>
      <c r="B4" s="191"/>
      <c r="C4" s="193" t="s">
        <v>2</v>
      </c>
      <c r="D4" s="193"/>
      <c r="E4" s="193"/>
      <c r="F4" s="8"/>
      <c r="G4" s="9"/>
      <c r="H4" s="6"/>
      <c r="I4" s="7"/>
    </row>
    <row r="5" spans="1:11" x14ac:dyDescent="0.25">
      <c r="A5" s="191" t="s">
        <v>3</v>
      </c>
      <c r="B5" s="191"/>
      <c r="C5" s="194" t="s">
        <v>4</v>
      </c>
      <c r="D5" s="194"/>
      <c r="E5" s="194"/>
      <c r="F5" s="8"/>
      <c r="G5" s="9"/>
      <c r="H5" s="6"/>
      <c r="I5" s="7"/>
    </row>
    <row r="6" spans="1:11" x14ac:dyDescent="0.25">
      <c r="A6" s="191" t="s">
        <v>5</v>
      </c>
      <c r="B6" s="191"/>
      <c r="C6" s="10">
        <v>2022</v>
      </c>
      <c r="D6" s="11"/>
      <c r="E6" s="10"/>
      <c r="F6" s="8"/>
      <c r="G6" s="9"/>
      <c r="H6" s="6"/>
      <c r="I6" s="7"/>
    </row>
    <row r="7" spans="1:11" x14ac:dyDescent="0.25">
      <c r="A7" s="191" t="s">
        <v>6</v>
      </c>
      <c r="B7" s="191"/>
      <c r="C7" s="10" t="s">
        <v>115</v>
      </c>
      <c r="D7" s="11"/>
      <c r="E7" s="10"/>
      <c r="F7" s="8"/>
      <c r="G7" s="9"/>
      <c r="H7" s="6"/>
      <c r="I7" s="7"/>
    </row>
    <row r="8" spans="1:11" x14ac:dyDescent="0.25">
      <c r="A8" s="3"/>
      <c r="B8" s="8"/>
      <c r="C8" s="8"/>
      <c r="D8" s="8"/>
      <c r="E8" s="12"/>
      <c r="F8" s="8"/>
      <c r="G8" s="9"/>
      <c r="H8" s="6"/>
      <c r="I8" s="7"/>
    </row>
    <row r="9" spans="1:11" ht="50.25" customHeight="1" x14ac:dyDescent="0.25">
      <c r="A9" s="13" t="s">
        <v>7</v>
      </c>
      <c r="B9" s="13" t="s">
        <v>8</v>
      </c>
      <c r="C9" s="14" t="s">
        <v>9</v>
      </c>
      <c r="D9" s="13" t="s">
        <v>10</v>
      </c>
      <c r="E9" s="15" t="s">
        <v>11</v>
      </c>
      <c r="F9" s="14" t="s">
        <v>12</v>
      </c>
      <c r="G9" s="16" t="s">
        <v>206</v>
      </c>
      <c r="H9" s="16" t="s">
        <v>207</v>
      </c>
      <c r="I9" s="16" t="s">
        <v>13</v>
      </c>
      <c r="J9" s="17" t="s">
        <v>14</v>
      </c>
      <c r="K9" s="23"/>
    </row>
    <row r="10" spans="1:11" s="41" customFormat="1" ht="12.75" x14ac:dyDescent="0.2">
      <c r="A10" s="82">
        <v>1</v>
      </c>
      <c r="B10" s="78" t="s">
        <v>19</v>
      </c>
      <c r="C10" s="82" t="s">
        <v>17</v>
      </c>
      <c r="D10" s="83" t="s">
        <v>20</v>
      </c>
      <c r="E10" s="79" t="s">
        <v>21</v>
      </c>
      <c r="F10" s="83" t="s">
        <v>18</v>
      </c>
      <c r="G10" s="238">
        <v>25</v>
      </c>
      <c r="H10" s="175">
        <v>1200</v>
      </c>
      <c r="I10" s="174">
        <v>25200</v>
      </c>
      <c r="J10" s="85"/>
    </row>
    <row r="11" spans="1:11" s="41" customFormat="1" ht="12.75" x14ac:dyDescent="0.2">
      <c r="A11" s="32">
        <v>2</v>
      </c>
      <c r="B11" s="44" t="s">
        <v>71</v>
      </c>
      <c r="C11" s="18" t="s">
        <v>17</v>
      </c>
      <c r="D11" s="33" t="s">
        <v>20</v>
      </c>
      <c r="E11" s="45" t="s">
        <v>72</v>
      </c>
      <c r="F11" s="37" t="s">
        <v>16</v>
      </c>
      <c r="G11" s="238">
        <v>17</v>
      </c>
      <c r="H11" s="176">
        <v>650</v>
      </c>
      <c r="I11" s="174">
        <v>11050</v>
      </c>
      <c r="J11" s="40"/>
    </row>
    <row r="12" spans="1:11" s="41" customFormat="1" ht="12.75" x14ac:dyDescent="0.2">
      <c r="A12" s="82">
        <v>3</v>
      </c>
      <c r="B12" s="18" t="s">
        <v>22</v>
      </c>
      <c r="C12" s="18" t="s">
        <v>17</v>
      </c>
      <c r="D12" s="33" t="s">
        <v>20</v>
      </c>
      <c r="E12" s="34" t="s">
        <v>23</v>
      </c>
      <c r="F12" s="33" t="s">
        <v>24</v>
      </c>
      <c r="G12" s="238">
        <v>215</v>
      </c>
      <c r="H12" s="177">
        <v>650</v>
      </c>
      <c r="I12" s="174">
        <v>139750</v>
      </c>
      <c r="J12" s="40"/>
    </row>
    <row r="13" spans="1:11" s="41" customFormat="1" ht="12.75" x14ac:dyDescent="0.2">
      <c r="A13" s="32">
        <v>4</v>
      </c>
      <c r="B13" s="29" t="s">
        <v>25</v>
      </c>
      <c r="C13" s="18" t="s">
        <v>17</v>
      </c>
      <c r="D13" s="33" t="s">
        <v>20</v>
      </c>
      <c r="E13" s="34" t="s">
        <v>26</v>
      </c>
      <c r="F13" s="33" t="s">
        <v>24</v>
      </c>
      <c r="G13" s="238">
        <v>195</v>
      </c>
      <c r="H13" s="177">
        <v>100</v>
      </c>
      <c r="I13" s="174">
        <v>19500</v>
      </c>
      <c r="J13" s="40"/>
    </row>
    <row r="14" spans="1:11" s="41" customFormat="1" ht="12.75" x14ac:dyDescent="0.2">
      <c r="A14" s="82">
        <v>5</v>
      </c>
      <c r="B14" s="29" t="s">
        <v>27</v>
      </c>
      <c r="C14" s="18" t="s">
        <v>17</v>
      </c>
      <c r="D14" s="33" t="s">
        <v>20</v>
      </c>
      <c r="E14" s="34" t="s">
        <v>28</v>
      </c>
      <c r="F14" s="33" t="s">
        <v>16</v>
      </c>
      <c r="G14" s="238">
        <v>14</v>
      </c>
      <c r="H14" s="177">
        <v>386</v>
      </c>
      <c r="I14" s="174">
        <v>5404</v>
      </c>
      <c r="J14" s="40" t="s">
        <v>77</v>
      </c>
    </row>
    <row r="15" spans="1:11" s="41" customFormat="1" ht="25.5" x14ac:dyDescent="0.2">
      <c r="A15" s="32">
        <v>6</v>
      </c>
      <c r="B15" s="29" t="s">
        <v>29</v>
      </c>
      <c r="C15" s="18" t="s">
        <v>17</v>
      </c>
      <c r="D15" s="33" t="s">
        <v>20</v>
      </c>
      <c r="E15" s="34" t="s">
        <v>30</v>
      </c>
      <c r="F15" s="33" t="s">
        <v>16</v>
      </c>
      <c r="G15" s="238">
        <v>75</v>
      </c>
      <c r="H15" s="178">
        <v>290</v>
      </c>
      <c r="I15" s="174">
        <v>21750</v>
      </c>
      <c r="J15" s="40"/>
    </row>
    <row r="16" spans="1:11" s="41" customFormat="1" ht="12.75" x14ac:dyDescent="0.2">
      <c r="A16" s="82">
        <v>7</v>
      </c>
      <c r="B16" s="44" t="s">
        <v>31</v>
      </c>
      <c r="C16" s="18" t="s">
        <v>17</v>
      </c>
      <c r="D16" s="33" t="s">
        <v>20</v>
      </c>
      <c r="E16" s="45" t="s">
        <v>32</v>
      </c>
      <c r="F16" s="37" t="s">
        <v>16</v>
      </c>
      <c r="G16" s="238">
        <v>15</v>
      </c>
      <c r="H16" s="178">
        <v>80</v>
      </c>
      <c r="I16" s="174">
        <v>1200</v>
      </c>
      <c r="J16" s="40"/>
    </row>
    <row r="17" spans="1:10" s="41" customFormat="1" ht="25.5" x14ac:dyDescent="0.2">
      <c r="A17" s="32">
        <v>8</v>
      </c>
      <c r="B17" s="44" t="s">
        <v>33</v>
      </c>
      <c r="C17" s="18" t="s">
        <v>17</v>
      </c>
      <c r="D17" s="33" t="s">
        <v>20</v>
      </c>
      <c r="E17" s="45" t="s">
        <v>34</v>
      </c>
      <c r="F17" s="37" t="s">
        <v>16</v>
      </c>
      <c r="G17" s="238">
        <v>30</v>
      </c>
      <c r="H17" s="178">
        <v>120</v>
      </c>
      <c r="I17" s="174">
        <v>3600</v>
      </c>
      <c r="J17" s="40"/>
    </row>
    <row r="18" spans="1:10" s="41" customFormat="1" ht="12.75" x14ac:dyDescent="0.2">
      <c r="A18" s="82">
        <v>9</v>
      </c>
      <c r="B18" s="44" t="s">
        <v>35</v>
      </c>
      <c r="C18" s="32" t="s">
        <v>17</v>
      </c>
      <c r="D18" s="33" t="s">
        <v>20</v>
      </c>
      <c r="E18" s="45" t="s">
        <v>36</v>
      </c>
      <c r="F18" s="37" t="s">
        <v>16</v>
      </c>
      <c r="G18" s="238">
        <v>20</v>
      </c>
      <c r="H18" s="177">
        <v>250</v>
      </c>
      <c r="I18" s="174">
        <v>5000</v>
      </c>
      <c r="J18" s="40"/>
    </row>
    <row r="19" spans="1:10" s="41" customFormat="1" ht="12.75" x14ac:dyDescent="0.2">
      <c r="A19" s="32">
        <v>10</v>
      </c>
      <c r="B19" s="18" t="s">
        <v>37</v>
      </c>
      <c r="C19" s="32" t="s">
        <v>17</v>
      </c>
      <c r="D19" s="33" t="s">
        <v>20</v>
      </c>
      <c r="E19" s="34" t="s">
        <v>38</v>
      </c>
      <c r="F19" s="33" t="s">
        <v>39</v>
      </c>
      <c r="G19" s="238">
        <v>35</v>
      </c>
      <c r="H19" s="178">
        <v>350</v>
      </c>
      <c r="I19" s="174">
        <v>12250</v>
      </c>
      <c r="J19" s="40"/>
    </row>
    <row r="20" spans="1:10" s="41" customFormat="1" ht="12.75" x14ac:dyDescent="0.2">
      <c r="A20" s="82">
        <v>11</v>
      </c>
      <c r="B20" s="44" t="s">
        <v>40</v>
      </c>
      <c r="C20" s="32" t="s">
        <v>17</v>
      </c>
      <c r="D20" s="33" t="s">
        <v>20</v>
      </c>
      <c r="E20" s="45" t="s">
        <v>41</v>
      </c>
      <c r="F20" s="37" t="s">
        <v>39</v>
      </c>
      <c r="G20" s="238">
        <v>10</v>
      </c>
      <c r="H20" s="177">
        <v>350</v>
      </c>
      <c r="I20" s="174">
        <v>3500</v>
      </c>
      <c r="J20" s="40"/>
    </row>
    <row r="21" spans="1:10" s="41" customFormat="1" ht="13.5" customHeight="1" x14ac:dyDescent="0.2">
      <c r="A21" s="32">
        <v>12</v>
      </c>
      <c r="B21" s="46" t="s">
        <v>42</v>
      </c>
      <c r="C21" s="32" t="s">
        <v>17</v>
      </c>
      <c r="D21" s="33" t="s">
        <v>20</v>
      </c>
      <c r="E21" s="34" t="s">
        <v>43</v>
      </c>
      <c r="F21" s="33" t="s">
        <v>18</v>
      </c>
      <c r="G21" s="238">
        <v>222</v>
      </c>
      <c r="H21" s="177">
        <v>650</v>
      </c>
      <c r="I21" s="174">
        <v>144300</v>
      </c>
      <c r="J21" s="40"/>
    </row>
    <row r="22" spans="1:10" s="41" customFormat="1" ht="12.75" x14ac:dyDescent="0.2">
      <c r="A22" s="82">
        <v>13</v>
      </c>
      <c r="B22" s="18" t="s">
        <v>44</v>
      </c>
      <c r="C22" s="32" t="s">
        <v>17</v>
      </c>
      <c r="D22" s="33" t="s">
        <v>20</v>
      </c>
      <c r="E22" s="34" t="s">
        <v>45</v>
      </c>
      <c r="F22" s="33" t="s">
        <v>16</v>
      </c>
      <c r="G22" s="238">
        <v>27</v>
      </c>
      <c r="H22" s="177">
        <v>400</v>
      </c>
      <c r="I22" s="174">
        <v>10800</v>
      </c>
      <c r="J22" s="40"/>
    </row>
    <row r="23" spans="1:10" s="41" customFormat="1" ht="12.75" x14ac:dyDescent="0.2">
      <c r="A23" s="32">
        <v>14</v>
      </c>
      <c r="B23" s="47" t="s">
        <v>46</v>
      </c>
      <c r="C23" s="32" t="s">
        <v>17</v>
      </c>
      <c r="D23" s="33" t="s">
        <v>20</v>
      </c>
      <c r="E23" s="34" t="s">
        <v>47</v>
      </c>
      <c r="F23" s="33" t="s">
        <v>18</v>
      </c>
      <c r="G23" s="238">
        <v>26</v>
      </c>
      <c r="H23" s="177">
        <v>300</v>
      </c>
      <c r="I23" s="174">
        <v>7800</v>
      </c>
      <c r="J23" s="40"/>
    </row>
    <row r="24" spans="1:10" s="41" customFormat="1" ht="12" customHeight="1" x14ac:dyDescent="0.2">
      <c r="A24" s="82">
        <v>15</v>
      </c>
      <c r="B24" s="29" t="s">
        <v>48</v>
      </c>
      <c r="C24" s="32" t="s">
        <v>17</v>
      </c>
      <c r="D24" s="33" t="s">
        <v>20</v>
      </c>
      <c r="E24" s="34" t="s">
        <v>49</v>
      </c>
      <c r="F24" s="33" t="s">
        <v>16</v>
      </c>
      <c r="G24" s="238">
        <v>15</v>
      </c>
      <c r="H24" s="177">
        <v>290</v>
      </c>
      <c r="I24" s="174">
        <v>4350</v>
      </c>
      <c r="J24" s="40"/>
    </row>
    <row r="25" spans="1:10" s="41" customFormat="1" ht="12.75" x14ac:dyDescent="0.2">
      <c r="A25" s="32">
        <v>16</v>
      </c>
      <c r="B25" s="29" t="s">
        <v>50</v>
      </c>
      <c r="C25" s="32" t="s">
        <v>17</v>
      </c>
      <c r="D25" s="33" t="s">
        <v>20</v>
      </c>
      <c r="E25" s="34" t="s">
        <v>51</v>
      </c>
      <c r="F25" s="33" t="s">
        <v>16</v>
      </c>
      <c r="G25" s="238">
        <v>45</v>
      </c>
      <c r="H25" s="177">
        <v>450</v>
      </c>
      <c r="I25" s="174">
        <v>20250</v>
      </c>
      <c r="J25" s="40"/>
    </row>
    <row r="26" spans="1:10" s="41" customFormat="1" ht="12.75" x14ac:dyDescent="0.2">
      <c r="A26" s="82">
        <v>17</v>
      </c>
      <c r="B26" s="29" t="s">
        <v>52</v>
      </c>
      <c r="C26" s="32" t="s">
        <v>53</v>
      </c>
      <c r="D26" s="33" t="s">
        <v>20</v>
      </c>
      <c r="E26" s="34" t="s">
        <v>54</v>
      </c>
      <c r="F26" s="33" t="s">
        <v>16</v>
      </c>
      <c r="G26" s="238">
        <v>5</v>
      </c>
      <c r="H26" s="177">
        <v>750</v>
      </c>
      <c r="I26" s="174">
        <v>3750</v>
      </c>
      <c r="J26" s="40"/>
    </row>
    <row r="27" spans="1:10" s="140" customFormat="1" ht="25.5" x14ac:dyDescent="0.2">
      <c r="A27" s="32">
        <v>18</v>
      </c>
      <c r="B27" s="29" t="s">
        <v>55</v>
      </c>
      <c r="C27" s="32" t="s">
        <v>17</v>
      </c>
      <c r="D27" s="33" t="s">
        <v>20</v>
      </c>
      <c r="E27" s="34" t="s">
        <v>56</v>
      </c>
      <c r="F27" s="33" t="s">
        <v>24</v>
      </c>
      <c r="G27" s="238">
        <v>345</v>
      </c>
      <c r="H27" s="177">
        <v>350</v>
      </c>
      <c r="I27" s="174">
        <v>120750</v>
      </c>
      <c r="J27" s="40"/>
    </row>
    <row r="28" spans="1:10" s="41" customFormat="1" ht="12.75" x14ac:dyDescent="0.2">
      <c r="A28" s="82">
        <v>19</v>
      </c>
      <c r="B28" s="29" t="s">
        <v>57</v>
      </c>
      <c r="C28" s="32" t="s">
        <v>17</v>
      </c>
      <c r="D28" s="33" t="s">
        <v>20</v>
      </c>
      <c r="E28" s="34" t="s">
        <v>58</v>
      </c>
      <c r="F28" s="33" t="s">
        <v>16</v>
      </c>
      <c r="G28" s="238">
        <v>13</v>
      </c>
      <c r="H28" s="177">
        <v>400</v>
      </c>
      <c r="I28" s="174">
        <v>5200</v>
      </c>
      <c r="J28" s="40" t="s">
        <v>77</v>
      </c>
    </row>
    <row r="29" spans="1:10" s="41" customFormat="1" ht="12.75" x14ac:dyDescent="0.2">
      <c r="A29" s="32">
        <v>20</v>
      </c>
      <c r="B29" s="29" t="s">
        <v>59</v>
      </c>
      <c r="C29" s="32" t="s">
        <v>17</v>
      </c>
      <c r="D29" s="33" t="s">
        <v>20</v>
      </c>
      <c r="E29" s="34" t="s">
        <v>60</v>
      </c>
      <c r="F29" s="33" t="s">
        <v>16</v>
      </c>
      <c r="G29" s="238">
        <v>5</v>
      </c>
      <c r="H29" s="178">
        <v>800</v>
      </c>
      <c r="I29" s="174">
        <v>4000</v>
      </c>
      <c r="J29" s="40" t="s">
        <v>77</v>
      </c>
    </row>
    <row r="30" spans="1:10" s="41" customFormat="1" ht="12.75" x14ac:dyDescent="0.2">
      <c r="A30" s="82">
        <v>21</v>
      </c>
      <c r="B30" s="29" t="s">
        <v>61</v>
      </c>
      <c r="C30" s="32" t="s">
        <v>17</v>
      </c>
      <c r="D30" s="33" t="s">
        <v>20</v>
      </c>
      <c r="E30" s="45" t="s">
        <v>62</v>
      </c>
      <c r="F30" s="33" t="s">
        <v>16</v>
      </c>
      <c r="G30" s="238">
        <v>83</v>
      </c>
      <c r="H30" s="178">
        <v>120</v>
      </c>
      <c r="I30" s="174">
        <v>9960</v>
      </c>
      <c r="J30" s="40"/>
    </row>
    <row r="31" spans="1:10" s="41" customFormat="1" ht="12.75" x14ac:dyDescent="0.2">
      <c r="A31" s="32">
        <v>22</v>
      </c>
      <c r="B31" s="29" t="s">
        <v>63</v>
      </c>
      <c r="C31" s="32" t="s">
        <v>17</v>
      </c>
      <c r="D31" s="33" t="s">
        <v>20</v>
      </c>
      <c r="E31" s="45" t="s">
        <v>64</v>
      </c>
      <c r="F31" s="33" t="s">
        <v>16</v>
      </c>
      <c r="G31" s="238">
        <v>84</v>
      </c>
      <c r="H31" s="177">
        <v>115</v>
      </c>
      <c r="I31" s="174">
        <v>9660</v>
      </c>
      <c r="J31" s="40"/>
    </row>
    <row r="32" spans="1:10" s="41" customFormat="1" ht="12.75" x14ac:dyDescent="0.2">
      <c r="A32" s="82">
        <v>23</v>
      </c>
      <c r="B32" s="139" t="s">
        <v>65</v>
      </c>
      <c r="C32" s="32" t="s">
        <v>17</v>
      </c>
      <c r="D32" s="33" t="s">
        <v>20</v>
      </c>
      <c r="E32" s="34" t="s">
        <v>66</v>
      </c>
      <c r="F32" s="33" t="s">
        <v>16</v>
      </c>
      <c r="G32" s="238">
        <v>35</v>
      </c>
      <c r="H32" s="178">
        <v>120</v>
      </c>
      <c r="I32" s="174">
        <v>4200</v>
      </c>
      <c r="J32" s="40"/>
    </row>
    <row r="33" spans="1:10" s="53" customFormat="1" ht="12.75" x14ac:dyDescent="0.2">
      <c r="A33" s="32">
        <v>24</v>
      </c>
      <c r="B33" s="49" t="s">
        <v>67</v>
      </c>
      <c r="C33" s="18" t="s">
        <v>17</v>
      </c>
      <c r="D33" s="18" t="s">
        <v>20</v>
      </c>
      <c r="E33" s="50" t="s">
        <v>68</v>
      </c>
      <c r="F33" s="29" t="s">
        <v>24</v>
      </c>
      <c r="G33" s="238">
        <v>5</v>
      </c>
      <c r="H33" s="179">
        <v>450</v>
      </c>
      <c r="I33" s="174">
        <v>2250</v>
      </c>
      <c r="J33" s="52"/>
    </row>
    <row r="34" spans="1:10" s="53" customFormat="1" ht="25.5" x14ac:dyDescent="0.2">
      <c r="A34" s="82">
        <v>25</v>
      </c>
      <c r="B34" s="49" t="s">
        <v>73</v>
      </c>
      <c r="C34" s="18" t="s">
        <v>17</v>
      </c>
      <c r="D34" s="18">
        <v>234</v>
      </c>
      <c r="E34" s="50" t="s">
        <v>74</v>
      </c>
      <c r="F34" s="29" t="s">
        <v>15</v>
      </c>
      <c r="G34" s="238">
        <v>29</v>
      </c>
      <c r="H34" s="179">
        <v>1400</v>
      </c>
      <c r="I34" s="174">
        <v>40600</v>
      </c>
      <c r="J34" s="52"/>
    </row>
    <row r="35" spans="1:10" s="53" customFormat="1" ht="25.5" x14ac:dyDescent="0.2">
      <c r="A35" s="32">
        <v>26</v>
      </c>
      <c r="B35" s="49" t="s">
        <v>75</v>
      </c>
      <c r="C35" s="18" t="s">
        <v>17</v>
      </c>
      <c r="D35" s="18">
        <v>234</v>
      </c>
      <c r="E35" s="50" t="s">
        <v>76</v>
      </c>
      <c r="F35" s="29" t="s">
        <v>16</v>
      </c>
      <c r="G35" s="238">
        <v>15</v>
      </c>
      <c r="H35" s="179">
        <v>1400</v>
      </c>
      <c r="I35" s="174">
        <v>21000</v>
      </c>
      <c r="J35" s="52"/>
    </row>
    <row r="36" spans="1:10" s="53" customFormat="1" ht="25.5" x14ac:dyDescent="0.2">
      <c r="A36" s="82">
        <v>27</v>
      </c>
      <c r="B36" s="49" t="s">
        <v>89</v>
      </c>
      <c r="C36" s="18" t="s">
        <v>17</v>
      </c>
      <c r="D36" s="18" t="s">
        <v>20</v>
      </c>
      <c r="E36" s="50" t="s">
        <v>90</v>
      </c>
      <c r="F36" s="29" t="s">
        <v>16</v>
      </c>
      <c r="G36" s="238">
        <v>12</v>
      </c>
      <c r="H36" s="179">
        <v>800</v>
      </c>
      <c r="I36" s="174">
        <v>9600</v>
      </c>
      <c r="J36" s="54"/>
    </row>
    <row r="37" spans="1:10" s="53" customFormat="1" ht="12.75" x14ac:dyDescent="0.2">
      <c r="A37" s="32">
        <v>28</v>
      </c>
      <c r="B37" s="49" t="s">
        <v>78</v>
      </c>
      <c r="C37" s="18" t="s">
        <v>17</v>
      </c>
      <c r="D37" s="18" t="s">
        <v>176</v>
      </c>
      <c r="E37" s="50" t="s">
        <v>79</v>
      </c>
      <c r="F37" s="29" t="s">
        <v>16</v>
      </c>
      <c r="G37" s="238">
        <v>20</v>
      </c>
      <c r="H37" s="179">
        <v>180</v>
      </c>
      <c r="I37" s="174">
        <v>3600</v>
      </c>
      <c r="J37" s="54"/>
    </row>
    <row r="38" spans="1:10" s="53" customFormat="1" ht="25.5" x14ac:dyDescent="0.2">
      <c r="A38" s="82">
        <v>29</v>
      </c>
      <c r="B38" s="49" t="s">
        <v>80</v>
      </c>
      <c r="C38" s="18" t="s">
        <v>17</v>
      </c>
      <c r="D38" s="18" t="s">
        <v>176</v>
      </c>
      <c r="E38" s="50" t="s">
        <v>81</v>
      </c>
      <c r="F38" s="29" t="s">
        <v>16</v>
      </c>
      <c r="G38" s="238">
        <v>3</v>
      </c>
      <c r="H38" s="179">
        <v>780</v>
      </c>
      <c r="I38" s="174">
        <v>2340</v>
      </c>
      <c r="J38" s="54"/>
    </row>
    <row r="39" spans="1:10" s="53" customFormat="1" ht="12.75" x14ac:dyDescent="0.2">
      <c r="A39" s="32">
        <v>30</v>
      </c>
      <c r="B39" s="49" t="s">
        <v>82</v>
      </c>
      <c r="C39" s="18" t="s">
        <v>17</v>
      </c>
      <c r="D39" s="18" t="s">
        <v>176</v>
      </c>
      <c r="E39" s="50" t="s">
        <v>84</v>
      </c>
      <c r="F39" s="29" t="s">
        <v>16</v>
      </c>
      <c r="G39" s="238">
        <v>5</v>
      </c>
      <c r="H39" s="179">
        <v>290</v>
      </c>
      <c r="I39" s="174">
        <v>1450</v>
      </c>
      <c r="J39" s="54"/>
    </row>
    <row r="40" spans="1:10" s="53" customFormat="1" ht="12.75" x14ac:dyDescent="0.2">
      <c r="A40" s="82">
        <v>31</v>
      </c>
      <c r="B40" s="49" t="s">
        <v>83</v>
      </c>
      <c r="C40" s="18" t="s">
        <v>17</v>
      </c>
      <c r="D40" s="18" t="s">
        <v>176</v>
      </c>
      <c r="E40" s="50" t="s">
        <v>85</v>
      </c>
      <c r="F40" s="29" t="s">
        <v>16</v>
      </c>
      <c r="G40" s="238">
        <v>1</v>
      </c>
      <c r="H40" s="179">
        <v>1300</v>
      </c>
      <c r="I40" s="174">
        <v>1300</v>
      </c>
      <c r="J40" s="54"/>
    </row>
    <row r="41" spans="1:10" s="53" customFormat="1" ht="12.75" x14ac:dyDescent="0.2">
      <c r="A41" s="32">
        <v>32</v>
      </c>
      <c r="B41" s="49" t="s">
        <v>86</v>
      </c>
      <c r="C41" s="18" t="s">
        <v>17</v>
      </c>
      <c r="D41" s="18" t="s">
        <v>87</v>
      </c>
      <c r="E41" s="50" t="s">
        <v>88</v>
      </c>
      <c r="F41" s="29" t="s">
        <v>70</v>
      </c>
      <c r="G41" s="238">
        <v>65</v>
      </c>
      <c r="H41" s="179">
        <v>300</v>
      </c>
      <c r="I41" s="174">
        <v>19500</v>
      </c>
      <c r="J41" s="54"/>
    </row>
    <row r="42" spans="1:10" s="53" customFormat="1" ht="12.75" x14ac:dyDescent="0.2">
      <c r="A42" s="82">
        <v>33</v>
      </c>
      <c r="B42" s="49" t="s">
        <v>91</v>
      </c>
      <c r="C42" s="18" t="s">
        <v>17</v>
      </c>
      <c r="D42" s="18" t="s">
        <v>20</v>
      </c>
      <c r="E42" s="50" t="s">
        <v>92</v>
      </c>
      <c r="F42" s="29" t="s">
        <v>16</v>
      </c>
      <c r="G42" s="238">
        <v>2</v>
      </c>
      <c r="H42" s="179">
        <v>2000</v>
      </c>
      <c r="I42" s="174">
        <v>4000</v>
      </c>
      <c r="J42" s="54"/>
    </row>
    <row r="43" spans="1:10" s="53" customFormat="1" ht="25.5" x14ac:dyDescent="0.2">
      <c r="A43" s="32">
        <v>34</v>
      </c>
      <c r="B43" s="49" t="s">
        <v>93</v>
      </c>
      <c r="C43" s="18" t="s">
        <v>17</v>
      </c>
      <c r="D43" s="18" t="s">
        <v>94</v>
      </c>
      <c r="E43" s="50" t="s">
        <v>95</v>
      </c>
      <c r="F43" s="29" t="s">
        <v>16</v>
      </c>
      <c r="G43" s="238">
        <v>10</v>
      </c>
      <c r="H43" s="179">
        <v>360</v>
      </c>
      <c r="I43" s="174">
        <v>3600</v>
      </c>
      <c r="J43" s="54"/>
    </row>
    <row r="44" spans="1:10" s="53" customFormat="1" ht="25.5" x14ac:dyDescent="0.2">
      <c r="A44" s="82">
        <v>35</v>
      </c>
      <c r="B44" s="49" t="s">
        <v>96</v>
      </c>
      <c r="C44" s="18" t="s">
        <v>17</v>
      </c>
      <c r="D44" s="18" t="s">
        <v>94</v>
      </c>
      <c r="E44" s="50" t="s">
        <v>97</v>
      </c>
      <c r="F44" s="29" t="s">
        <v>16</v>
      </c>
      <c r="G44" s="238">
        <v>10</v>
      </c>
      <c r="H44" s="179">
        <v>360</v>
      </c>
      <c r="I44" s="174">
        <v>3600</v>
      </c>
      <c r="J44" s="54"/>
    </row>
    <row r="45" spans="1:10" s="53" customFormat="1" ht="12.75" x14ac:dyDescent="0.2">
      <c r="A45" s="32">
        <v>36</v>
      </c>
      <c r="B45" s="49" t="s">
        <v>98</v>
      </c>
      <c r="C45" s="18" t="s">
        <v>17</v>
      </c>
      <c r="D45" s="18" t="s">
        <v>20</v>
      </c>
      <c r="E45" s="50" t="s">
        <v>99</v>
      </c>
      <c r="F45" s="29" t="s">
        <v>16</v>
      </c>
      <c r="G45" s="238">
        <v>10</v>
      </c>
      <c r="H45" s="179">
        <v>330</v>
      </c>
      <c r="I45" s="174">
        <v>3300</v>
      </c>
      <c r="J45" s="54" t="s">
        <v>77</v>
      </c>
    </row>
    <row r="46" spans="1:10" s="53" customFormat="1" ht="12.75" x14ac:dyDescent="0.2">
      <c r="A46" s="82">
        <v>37</v>
      </c>
      <c r="B46" s="49" t="s">
        <v>100</v>
      </c>
      <c r="C46" s="18" t="s">
        <v>17</v>
      </c>
      <c r="D46" s="18" t="s">
        <v>20</v>
      </c>
      <c r="E46" s="50" t="s">
        <v>101</v>
      </c>
      <c r="F46" s="29" t="s">
        <v>16</v>
      </c>
      <c r="G46" s="238">
        <v>3</v>
      </c>
      <c r="H46" s="179">
        <v>240</v>
      </c>
      <c r="I46" s="174">
        <v>720</v>
      </c>
      <c r="J46" s="54"/>
    </row>
    <row r="47" spans="1:10" s="53" customFormat="1" ht="12.75" x14ac:dyDescent="0.2">
      <c r="A47" s="32">
        <v>38</v>
      </c>
      <c r="B47" s="49" t="s">
        <v>102</v>
      </c>
      <c r="C47" s="18" t="s">
        <v>17</v>
      </c>
      <c r="D47" s="18" t="s">
        <v>20</v>
      </c>
      <c r="E47" s="50" t="s">
        <v>103</v>
      </c>
      <c r="F47" s="29" t="s">
        <v>104</v>
      </c>
      <c r="G47" s="238">
        <v>4</v>
      </c>
      <c r="H47" s="179">
        <v>150</v>
      </c>
      <c r="I47" s="174">
        <v>600</v>
      </c>
      <c r="J47" s="54"/>
    </row>
    <row r="48" spans="1:10" s="53" customFormat="1" ht="12.75" x14ac:dyDescent="0.2">
      <c r="A48" s="82">
        <v>39</v>
      </c>
      <c r="B48" s="49" t="s">
        <v>105</v>
      </c>
      <c r="C48" s="18" t="s">
        <v>17</v>
      </c>
      <c r="D48" s="18" t="s">
        <v>20</v>
      </c>
      <c r="E48" s="50" t="s">
        <v>106</v>
      </c>
      <c r="F48" s="29" t="s">
        <v>16</v>
      </c>
      <c r="G48" s="238">
        <v>20</v>
      </c>
      <c r="H48" s="179">
        <v>90</v>
      </c>
      <c r="I48" s="174">
        <v>1800</v>
      </c>
      <c r="J48" s="54"/>
    </row>
    <row r="49" spans="1:10" s="53" customFormat="1" ht="12.75" x14ac:dyDescent="0.2">
      <c r="A49" s="32">
        <v>40</v>
      </c>
      <c r="B49" s="49" t="s">
        <v>107</v>
      </c>
      <c r="C49" s="18" t="s">
        <v>17</v>
      </c>
      <c r="D49" s="18" t="s">
        <v>20</v>
      </c>
      <c r="E49" s="50" t="s">
        <v>108</v>
      </c>
      <c r="F49" s="29" t="s">
        <v>16</v>
      </c>
      <c r="G49" s="238">
        <v>2</v>
      </c>
      <c r="H49" s="179">
        <v>3200</v>
      </c>
      <c r="I49" s="174">
        <v>6400</v>
      </c>
      <c r="J49" s="54" t="s">
        <v>77</v>
      </c>
    </row>
    <row r="50" spans="1:10" s="53" customFormat="1" ht="12.75" x14ac:dyDescent="0.2">
      <c r="A50" s="82">
        <v>41</v>
      </c>
      <c r="B50" s="49" t="s">
        <v>109</v>
      </c>
      <c r="C50" s="18" t="s">
        <v>17</v>
      </c>
      <c r="D50" s="18" t="s">
        <v>20</v>
      </c>
      <c r="E50" s="50" t="s">
        <v>110</v>
      </c>
      <c r="F50" s="29" t="s">
        <v>16</v>
      </c>
      <c r="G50" s="238">
        <v>5</v>
      </c>
      <c r="H50" s="179">
        <v>2600</v>
      </c>
      <c r="I50" s="174">
        <v>13000</v>
      </c>
      <c r="J50" s="54" t="s">
        <v>77</v>
      </c>
    </row>
    <row r="51" spans="1:10" s="53" customFormat="1" ht="12.75" x14ac:dyDescent="0.2">
      <c r="A51" s="32">
        <v>42</v>
      </c>
      <c r="B51" s="49" t="s">
        <v>111</v>
      </c>
      <c r="C51" s="18" t="s">
        <v>17</v>
      </c>
      <c r="D51" s="18" t="s">
        <v>20</v>
      </c>
      <c r="E51" s="50" t="s">
        <v>112</v>
      </c>
      <c r="F51" s="29" t="s">
        <v>16</v>
      </c>
      <c r="G51" s="238">
        <v>5</v>
      </c>
      <c r="H51" s="179">
        <v>990</v>
      </c>
      <c r="I51" s="174">
        <v>4950</v>
      </c>
      <c r="J51" s="54" t="s">
        <v>77</v>
      </c>
    </row>
    <row r="52" spans="1:10" s="53" customFormat="1" ht="13.5" thickBot="1" x14ac:dyDescent="0.25">
      <c r="A52" s="82">
        <v>43</v>
      </c>
      <c r="B52" s="55" t="s">
        <v>113</v>
      </c>
      <c r="C52" s="56" t="s">
        <v>17</v>
      </c>
      <c r="D52" s="56" t="s">
        <v>177</v>
      </c>
      <c r="E52" s="57" t="s">
        <v>114</v>
      </c>
      <c r="F52" s="58" t="s">
        <v>16</v>
      </c>
      <c r="G52" s="238">
        <v>10</v>
      </c>
      <c r="H52" s="180">
        <v>436</v>
      </c>
      <c r="I52" s="174">
        <v>4360</v>
      </c>
      <c r="J52" s="54"/>
    </row>
    <row r="53" spans="1:10" s="140" customFormat="1" ht="26.25" customHeight="1" thickBot="1" x14ac:dyDescent="0.25">
      <c r="A53" s="142"/>
      <c r="B53" s="30"/>
      <c r="C53" s="143"/>
      <c r="D53" s="143"/>
      <c r="E53" s="144" t="s">
        <v>69</v>
      </c>
      <c r="F53" s="143"/>
      <c r="G53" s="145"/>
      <c r="H53" s="31"/>
      <c r="I53" s="25"/>
      <c r="J53" s="146"/>
    </row>
    <row r="55" spans="1:10" ht="15.75" thickBot="1" x14ac:dyDescent="0.3"/>
    <row r="56" spans="1:10" x14ac:dyDescent="0.25">
      <c r="B56" s="187" t="s">
        <v>194</v>
      </c>
      <c r="C56" s="189"/>
      <c r="D56" s="189"/>
      <c r="E56" s="190"/>
    </row>
    <row r="57" spans="1:10" x14ac:dyDescent="0.25">
      <c r="B57" s="188"/>
      <c r="C57" s="183" t="s">
        <v>200</v>
      </c>
      <c r="D57" s="185"/>
      <c r="E57" s="186"/>
    </row>
    <row r="58" spans="1:10" x14ac:dyDescent="0.25">
      <c r="B58" s="151"/>
      <c r="C58" s="152"/>
      <c r="D58" s="152"/>
      <c r="E58" s="153"/>
    </row>
    <row r="59" spans="1:10" ht="28.5" x14ac:dyDescent="0.25">
      <c r="B59" s="151" t="s">
        <v>195</v>
      </c>
      <c r="C59" s="154" t="s">
        <v>202</v>
      </c>
      <c r="D59" s="155" t="s">
        <v>201</v>
      </c>
      <c r="E59" s="156"/>
    </row>
    <row r="60" spans="1:10" x14ac:dyDescent="0.25">
      <c r="B60" s="151"/>
      <c r="C60" s="181"/>
      <c r="D60" s="181"/>
      <c r="E60" s="182"/>
    </row>
    <row r="61" spans="1:10" ht="28.5" x14ac:dyDescent="0.25">
      <c r="B61" s="151" t="s">
        <v>196</v>
      </c>
      <c r="C61" s="183" t="s">
        <v>197</v>
      </c>
      <c r="D61" s="183"/>
      <c r="E61" s="184"/>
    </row>
    <row r="62" spans="1:10" x14ac:dyDescent="0.25">
      <c r="B62" s="151"/>
      <c r="C62" s="155"/>
      <c r="D62" s="155"/>
      <c r="E62" s="156"/>
    </row>
    <row r="63" spans="1:10" x14ac:dyDescent="0.25">
      <c r="B63" s="151"/>
      <c r="C63" s="152"/>
      <c r="D63" s="152"/>
      <c r="E63" s="153"/>
    </row>
    <row r="64" spans="1:10" x14ac:dyDescent="0.25">
      <c r="B64" s="151" t="s">
        <v>198</v>
      </c>
      <c r="C64" s="185" t="s">
        <v>199</v>
      </c>
      <c r="D64" s="185"/>
      <c r="E64" s="186"/>
    </row>
    <row r="65" spans="2:5" ht="15.75" thickBot="1" x14ac:dyDescent="0.3">
      <c r="B65" s="157"/>
      <c r="C65" s="158"/>
      <c r="D65" s="159"/>
      <c r="E65" s="160"/>
    </row>
  </sheetData>
  <mergeCells count="13">
    <mergeCell ref="A7:B7"/>
    <mergeCell ref="B2:H2"/>
    <mergeCell ref="A4:B4"/>
    <mergeCell ref="C4:E4"/>
    <mergeCell ref="A5:B5"/>
    <mergeCell ref="C5:E5"/>
    <mergeCell ref="A6:B6"/>
    <mergeCell ref="C60:E60"/>
    <mergeCell ref="C61:E61"/>
    <mergeCell ref="C64:E64"/>
    <mergeCell ref="B56:B57"/>
    <mergeCell ref="C56:E56"/>
    <mergeCell ref="C57:E57"/>
  </mergeCells>
  <conditionalFormatting sqref="B1:B9 E1:E9">
    <cfRule type="duplicateValues" dxfId="183" priority="269"/>
  </conditionalFormatting>
  <conditionalFormatting sqref="E1:E9 B1:B9">
    <cfRule type="duplicateValues" dxfId="182" priority="270"/>
  </conditionalFormatting>
  <conditionalFormatting sqref="B25">
    <cfRule type="duplicateValues" dxfId="181" priority="116"/>
  </conditionalFormatting>
  <conditionalFormatting sqref="E25">
    <cfRule type="duplicateValues" dxfId="180" priority="147"/>
  </conditionalFormatting>
  <conditionalFormatting sqref="B25 E25">
    <cfRule type="duplicateValues" dxfId="179" priority="148"/>
  </conditionalFormatting>
  <conditionalFormatting sqref="B21:B24 E21:E24">
    <cfRule type="duplicateValues" dxfId="178" priority="153"/>
  </conditionalFormatting>
  <conditionalFormatting sqref="B1:B9">
    <cfRule type="duplicateValues" dxfId="177" priority="627"/>
  </conditionalFormatting>
  <conditionalFormatting sqref="E1:E9">
    <cfRule type="duplicateValues" dxfId="176" priority="628"/>
  </conditionalFormatting>
  <conditionalFormatting sqref="E1:E9">
    <cfRule type="duplicateValues" dxfId="175" priority="629"/>
    <cfRule type="duplicateValues" dxfId="174" priority="630"/>
  </conditionalFormatting>
  <conditionalFormatting sqref="B65">
    <cfRule type="duplicateValues" dxfId="173" priority="6"/>
  </conditionalFormatting>
  <conditionalFormatting sqref="E65">
    <cfRule type="duplicateValues" dxfId="172" priority="7"/>
  </conditionalFormatting>
  <conditionalFormatting sqref="B65 E65">
    <cfRule type="duplicateValues" dxfId="171" priority="8"/>
  </conditionalFormatting>
  <conditionalFormatting sqref="E65">
    <cfRule type="duplicateValues" dxfId="170" priority="9"/>
  </conditionalFormatting>
  <conditionalFormatting sqref="B65">
    <cfRule type="duplicateValues" dxfId="169" priority="10"/>
  </conditionalFormatting>
  <conditionalFormatting sqref="E65">
    <cfRule type="duplicateValues" dxfId="168" priority="11"/>
    <cfRule type="duplicateValues" dxfId="167" priority="12"/>
  </conditionalFormatting>
  <conditionalFormatting sqref="E63 E58">
    <cfRule type="duplicateValues" dxfId="166" priority="1"/>
  </conditionalFormatting>
  <conditionalFormatting sqref="E63 B56 E58 B58:B64">
    <cfRule type="duplicateValues" dxfId="165" priority="2"/>
  </conditionalFormatting>
  <conditionalFormatting sqref="E63">
    <cfRule type="duplicateValues" dxfId="164" priority="3"/>
  </conditionalFormatting>
  <conditionalFormatting sqref="E63 E58">
    <cfRule type="duplicateValues" dxfId="163" priority="4"/>
    <cfRule type="duplicateValues" dxfId="162" priority="5"/>
  </conditionalFormatting>
  <conditionalFormatting sqref="B58:B64 B56">
    <cfRule type="duplicateValues" dxfId="161" priority="13"/>
  </conditionalFormatting>
  <conditionalFormatting sqref="B58:B64 B56">
    <cfRule type="duplicateValues" dxfId="160" priority="14"/>
  </conditionalFormatting>
  <conditionalFormatting sqref="E10:E53">
    <cfRule type="duplicateValues" dxfId="159" priority="744"/>
  </conditionalFormatting>
  <conditionalFormatting sqref="E10:E53">
    <cfRule type="duplicateValues" dxfId="158" priority="746"/>
    <cfRule type="duplicateValues" dxfId="157" priority="747"/>
  </conditionalFormatting>
  <conditionalFormatting sqref="E26:E53 E10:E20 B10:B20 B26:B53">
    <cfRule type="duplicateValues" dxfId="156" priority="750"/>
  </conditionalFormatting>
  <conditionalFormatting sqref="E26:E53 E10:E24 B10:B24 B26:B53">
    <cfRule type="duplicateValues" dxfId="155" priority="756"/>
  </conditionalFormatting>
  <conditionalFormatting sqref="E10:E53 B10:B53">
    <cfRule type="duplicateValues" dxfId="154" priority="762"/>
  </conditionalFormatting>
  <conditionalFormatting sqref="B10:B53">
    <cfRule type="duplicateValues" dxfId="153" priority="766"/>
  </conditionalFormatting>
  <pageMargins left="0.7" right="0.7" top="0.75" bottom="0.75" header="0.3" footer="0.3"/>
  <pageSetup paperSize="5" scale="4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8"/>
  <sheetViews>
    <sheetView topLeftCell="A28" zoomScaleNormal="100" workbookViewId="0">
      <selection activeCell="C51" sqref="C51"/>
    </sheetView>
  </sheetViews>
  <sheetFormatPr baseColWidth="10" defaultRowHeight="15" x14ac:dyDescent="0.25"/>
  <cols>
    <col min="2" max="2" width="20.85546875" customWidth="1"/>
    <col min="3" max="3" width="81.140625" customWidth="1"/>
    <col min="7" max="7" width="16.140625" customWidth="1"/>
    <col min="8" max="8" width="25.42578125" customWidth="1"/>
    <col min="10" max="10" width="13" bestFit="1" customWidth="1"/>
  </cols>
  <sheetData>
    <row r="1" spans="1:11" ht="30.75" thickBot="1" x14ac:dyDescent="0.3">
      <c r="A1" s="201" t="s">
        <v>116</v>
      </c>
      <c r="B1" s="201"/>
      <c r="C1" s="201"/>
      <c r="D1" s="201"/>
      <c r="E1" s="201"/>
      <c r="F1" s="61" t="s">
        <v>117</v>
      </c>
      <c r="G1" s="62"/>
    </row>
    <row r="2" spans="1:11" ht="16.5" thickBot="1" x14ac:dyDescent="0.3">
      <c r="A2" s="63"/>
      <c r="B2" s="64"/>
      <c r="C2" s="65"/>
      <c r="D2" s="65"/>
      <c r="E2" s="65"/>
      <c r="F2" s="65"/>
      <c r="G2" s="66"/>
    </row>
    <row r="3" spans="1:11" ht="16.5" thickBot="1" x14ac:dyDescent="0.3">
      <c r="A3" s="202" t="s">
        <v>118</v>
      </c>
      <c r="B3" s="202"/>
      <c r="C3" s="67" t="str">
        <f>'[1]SAF 011'!C4</f>
        <v>040 - MINISTERIO DE SALUD</v>
      </c>
      <c r="D3" s="68"/>
      <c r="E3" s="68"/>
      <c r="F3" s="68"/>
      <c r="G3" s="69"/>
    </row>
    <row r="4" spans="1:11" ht="16.5" thickBot="1" x14ac:dyDescent="0.3">
      <c r="A4" s="200" t="s">
        <v>119</v>
      </c>
      <c r="B4" s="200"/>
      <c r="C4" s="67" t="str">
        <f>'[1]SAF 011'!C5</f>
        <v>011 - DIRECCION PROVINCIAL DE ADMINISTRACION - MINISTERIO DE SALUD</v>
      </c>
      <c r="D4" s="68"/>
      <c r="E4" s="68"/>
      <c r="F4" s="68"/>
      <c r="G4" s="69"/>
    </row>
    <row r="5" spans="1:11" ht="16.5" thickBot="1" x14ac:dyDescent="0.3">
      <c r="A5" s="200" t="s">
        <v>120</v>
      </c>
      <c r="B5" s="200"/>
      <c r="C5" s="67" t="s">
        <v>121</v>
      </c>
      <c r="D5" s="68"/>
      <c r="E5" s="68"/>
      <c r="F5" s="68"/>
      <c r="G5" s="69"/>
    </row>
    <row r="6" spans="1:11" ht="16.5" thickBot="1" x14ac:dyDescent="0.3">
      <c r="A6" s="202" t="s">
        <v>122</v>
      </c>
      <c r="B6" s="202"/>
      <c r="C6" s="67" t="s">
        <v>121</v>
      </c>
      <c r="D6" s="68"/>
      <c r="E6" s="68"/>
      <c r="F6" s="68"/>
      <c r="G6" s="69"/>
    </row>
    <row r="7" spans="1:11" ht="16.5" thickBot="1" x14ac:dyDescent="0.3">
      <c r="A7" s="200" t="s">
        <v>123</v>
      </c>
      <c r="B7" s="200"/>
      <c r="C7" s="67" t="s">
        <v>124</v>
      </c>
      <c r="D7" s="68"/>
      <c r="E7" s="68"/>
      <c r="F7" s="68"/>
      <c r="G7" s="69"/>
    </row>
    <row r="8" spans="1:11" ht="16.5" thickBot="1" x14ac:dyDescent="0.3">
      <c r="A8" s="198" t="s">
        <v>125</v>
      </c>
      <c r="B8" s="198"/>
      <c r="C8" s="70" t="s">
        <v>158</v>
      </c>
      <c r="D8" s="68"/>
      <c r="E8" s="68"/>
      <c r="F8" s="68"/>
      <c r="G8" s="69"/>
    </row>
    <row r="9" spans="1:11" ht="15.75" x14ac:dyDescent="0.25">
      <c r="A9" s="71"/>
      <c r="B9" s="72"/>
      <c r="C9" s="73"/>
      <c r="D9" s="73"/>
      <c r="E9" s="73"/>
      <c r="F9" s="73"/>
      <c r="G9" s="74"/>
    </row>
    <row r="10" spans="1:11" x14ac:dyDescent="0.25">
      <c r="A10" s="199" t="s">
        <v>126</v>
      </c>
      <c r="B10" s="197" t="s">
        <v>127</v>
      </c>
      <c r="C10" s="197" t="s">
        <v>11</v>
      </c>
      <c r="D10" s="197" t="s">
        <v>128</v>
      </c>
      <c r="E10" s="197" t="s">
        <v>129</v>
      </c>
      <c r="F10" s="197" t="s">
        <v>130</v>
      </c>
      <c r="G10" s="197" t="s">
        <v>131</v>
      </c>
    </row>
    <row r="11" spans="1:11" ht="35.25" customHeight="1" x14ac:dyDescent="0.25">
      <c r="A11" s="199"/>
      <c r="B11" s="197"/>
      <c r="C11" s="197"/>
      <c r="D11" s="197"/>
      <c r="E11" s="197"/>
      <c r="F11" s="197"/>
      <c r="G11" s="197"/>
    </row>
    <row r="12" spans="1:11" x14ac:dyDescent="0.25">
      <c r="A12" s="141">
        <v>1</v>
      </c>
      <c r="B12" s="78" t="s">
        <v>19</v>
      </c>
      <c r="C12" s="79" t="s">
        <v>21</v>
      </c>
      <c r="D12" s="141" t="s">
        <v>132</v>
      </c>
      <c r="E12" s="83" t="s">
        <v>18</v>
      </c>
      <c r="F12" s="76">
        <v>1200</v>
      </c>
      <c r="G12" s="81">
        <v>10</v>
      </c>
      <c r="H12" s="162">
        <f>+F12*G12</f>
        <v>12000</v>
      </c>
      <c r="I12" s="164"/>
      <c r="J12" s="161"/>
      <c r="K12" s="161"/>
    </row>
    <row r="13" spans="1:11" s="23" customFormat="1" x14ac:dyDescent="0.25">
      <c r="A13" s="141">
        <v>2</v>
      </c>
      <c r="B13" s="44" t="s">
        <v>71</v>
      </c>
      <c r="C13" s="45" t="s">
        <v>72</v>
      </c>
      <c r="D13" s="141" t="s">
        <v>132</v>
      </c>
      <c r="E13" s="37" t="s">
        <v>16</v>
      </c>
      <c r="F13" s="77">
        <v>650</v>
      </c>
      <c r="G13" s="35">
        <v>10</v>
      </c>
      <c r="H13" s="162">
        <f t="shared" ref="H13:H43" si="0">+F13*G13</f>
        <v>6500</v>
      </c>
      <c r="I13" s="164"/>
      <c r="J13" s="162">
        <f>+H12+H13+H14+H15+H16+H17+H18+H19+H20+H21+H22+H23+H24+H26+H27+H28+H29+H30+H32+H36+H37+H38+H39+H40+H41+H42</f>
        <v>109200</v>
      </c>
      <c r="K13" s="161"/>
    </row>
    <row r="14" spans="1:11" s="23" customFormat="1" ht="25.5" x14ac:dyDescent="0.25">
      <c r="A14" s="141">
        <v>3</v>
      </c>
      <c r="B14" s="18" t="s">
        <v>22</v>
      </c>
      <c r="C14" s="34" t="s">
        <v>23</v>
      </c>
      <c r="D14" s="141" t="s">
        <v>132</v>
      </c>
      <c r="E14" s="33" t="s">
        <v>24</v>
      </c>
      <c r="F14" s="39">
        <v>650</v>
      </c>
      <c r="G14" s="35">
        <v>20</v>
      </c>
      <c r="H14" s="162">
        <f t="shared" si="0"/>
        <v>13000</v>
      </c>
      <c r="I14" s="164"/>
      <c r="J14" s="162">
        <f>+H25+H31+H33</f>
        <v>7100</v>
      </c>
      <c r="K14" s="161"/>
    </row>
    <row r="15" spans="1:11" s="23" customFormat="1" ht="25.5" x14ac:dyDescent="0.25">
      <c r="A15" s="141">
        <v>4</v>
      </c>
      <c r="B15" s="29" t="s">
        <v>25</v>
      </c>
      <c r="C15" s="34" t="s">
        <v>26</v>
      </c>
      <c r="D15" s="141" t="s">
        <v>132</v>
      </c>
      <c r="E15" s="33" t="s">
        <v>24</v>
      </c>
      <c r="F15" s="39">
        <v>100</v>
      </c>
      <c r="G15" s="35">
        <v>30</v>
      </c>
      <c r="H15" s="162">
        <f t="shared" si="0"/>
        <v>3000</v>
      </c>
      <c r="I15" s="164"/>
      <c r="J15" s="162">
        <f>+H34+H35+H43</f>
        <v>11560</v>
      </c>
      <c r="K15" s="161"/>
    </row>
    <row r="16" spans="1:11" s="23" customFormat="1" x14ac:dyDescent="0.25">
      <c r="A16" s="141">
        <v>5</v>
      </c>
      <c r="B16" s="29" t="s">
        <v>27</v>
      </c>
      <c r="C16" s="34" t="s">
        <v>28</v>
      </c>
      <c r="D16" s="141" t="s">
        <v>132</v>
      </c>
      <c r="E16" s="33" t="s">
        <v>16</v>
      </c>
      <c r="F16" s="39">
        <v>386</v>
      </c>
      <c r="G16" s="35">
        <v>5</v>
      </c>
      <c r="H16" s="162">
        <f t="shared" si="0"/>
        <v>1930</v>
      </c>
      <c r="I16" s="164"/>
      <c r="J16" s="161"/>
      <c r="K16" s="161"/>
    </row>
    <row r="17" spans="1:11" s="23" customFormat="1" ht="25.5" x14ac:dyDescent="0.25">
      <c r="A17" s="141">
        <v>6</v>
      </c>
      <c r="B17" s="29" t="s">
        <v>29</v>
      </c>
      <c r="C17" s="34" t="s">
        <v>30</v>
      </c>
      <c r="D17" s="141" t="s">
        <v>132</v>
      </c>
      <c r="E17" s="33" t="s">
        <v>16</v>
      </c>
      <c r="F17" s="43">
        <v>290</v>
      </c>
      <c r="G17" s="42">
        <v>10</v>
      </c>
      <c r="H17" s="162">
        <f t="shared" si="0"/>
        <v>2900</v>
      </c>
      <c r="I17" s="164"/>
      <c r="J17" s="161"/>
      <c r="K17" s="161"/>
    </row>
    <row r="18" spans="1:11" s="23" customFormat="1" x14ac:dyDescent="0.25">
      <c r="A18" s="141">
        <v>7</v>
      </c>
      <c r="B18" s="44" t="s">
        <v>31</v>
      </c>
      <c r="C18" s="45" t="s">
        <v>32</v>
      </c>
      <c r="D18" s="141" t="s">
        <v>132</v>
      </c>
      <c r="E18" s="37" t="s">
        <v>16</v>
      </c>
      <c r="F18" s="43">
        <v>80</v>
      </c>
      <c r="G18" s="42">
        <v>10</v>
      </c>
      <c r="H18" s="162">
        <f t="shared" si="0"/>
        <v>800</v>
      </c>
      <c r="I18" s="164"/>
      <c r="J18" s="161"/>
      <c r="K18" s="161"/>
    </row>
    <row r="19" spans="1:11" s="23" customFormat="1" ht="25.5" x14ac:dyDescent="0.25">
      <c r="A19" s="141">
        <v>8</v>
      </c>
      <c r="B19" s="44" t="s">
        <v>33</v>
      </c>
      <c r="C19" s="45" t="s">
        <v>34</v>
      </c>
      <c r="D19" s="141" t="s">
        <v>132</v>
      </c>
      <c r="E19" s="37" t="s">
        <v>16</v>
      </c>
      <c r="F19" s="43">
        <v>120</v>
      </c>
      <c r="G19" s="42">
        <v>10</v>
      </c>
      <c r="H19" s="162">
        <f t="shared" si="0"/>
        <v>1200</v>
      </c>
      <c r="I19" s="164"/>
      <c r="J19" s="161"/>
      <c r="K19" s="161"/>
    </row>
    <row r="20" spans="1:11" s="23" customFormat="1" x14ac:dyDescent="0.25">
      <c r="A20" s="141">
        <v>9</v>
      </c>
      <c r="B20" s="18" t="s">
        <v>37</v>
      </c>
      <c r="C20" s="34" t="s">
        <v>38</v>
      </c>
      <c r="D20" s="141" t="s">
        <v>132</v>
      </c>
      <c r="E20" s="33" t="s">
        <v>39</v>
      </c>
      <c r="F20" s="43">
        <v>350</v>
      </c>
      <c r="G20" s="42">
        <v>10</v>
      </c>
      <c r="H20" s="162">
        <f t="shared" si="0"/>
        <v>3500</v>
      </c>
      <c r="I20" s="164"/>
      <c r="J20" s="161"/>
      <c r="K20" s="161"/>
    </row>
    <row r="21" spans="1:11" s="23" customFormat="1" x14ac:dyDescent="0.25">
      <c r="A21" s="141">
        <v>10</v>
      </c>
      <c r="B21" s="46" t="s">
        <v>42</v>
      </c>
      <c r="C21" s="34" t="s">
        <v>43</v>
      </c>
      <c r="D21" s="141" t="s">
        <v>132</v>
      </c>
      <c r="E21" s="33" t="s">
        <v>18</v>
      </c>
      <c r="F21" s="39">
        <v>650</v>
      </c>
      <c r="G21" s="35">
        <v>10</v>
      </c>
      <c r="H21" s="162">
        <f t="shared" si="0"/>
        <v>6500</v>
      </c>
      <c r="I21" s="164"/>
      <c r="J21" s="161"/>
      <c r="K21" s="161"/>
    </row>
    <row r="22" spans="1:11" s="23" customFormat="1" x14ac:dyDescent="0.25">
      <c r="A22" s="141">
        <v>11</v>
      </c>
      <c r="B22" s="18" t="s">
        <v>44</v>
      </c>
      <c r="C22" s="34" t="s">
        <v>45</v>
      </c>
      <c r="D22" s="141" t="s">
        <v>132</v>
      </c>
      <c r="E22" s="33" t="s">
        <v>16</v>
      </c>
      <c r="F22" s="39">
        <v>400</v>
      </c>
      <c r="G22" s="35">
        <v>10</v>
      </c>
      <c r="H22" s="162">
        <f t="shared" si="0"/>
        <v>4000</v>
      </c>
      <c r="I22" s="164"/>
      <c r="J22" s="161"/>
      <c r="K22" s="161"/>
    </row>
    <row r="23" spans="1:11" s="23" customFormat="1" x14ac:dyDescent="0.25">
      <c r="A23" s="141">
        <v>12</v>
      </c>
      <c r="B23" s="47" t="s">
        <v>46</v>
      </c>
      <c r="C23" s="34" t="s">
        <v>47</v>
      </c>
      <c r="D23" s="141" t="s">
        <v>132</v>
      </c>
      <c r="E23" s="33" t="s">
        <v>18</v>
      </c>
      <c r="F23" s="39">
        <v>300</v>
      </c>
      <c r="G23" s="35">
        <v>10</v>
      </c>
      <c r="H23" s="162">
        <f t="shared" si="0"/>
        <v>3000</v>
      </c>
      <c r="I23" s="164"/>
      <c r="J23" s="161"/>
      <c r="K23" s="161"/>
    </row>
    <row r="24" spans="1:11" s="23" customFormat="1" x14ac:dyDescent="0.25">
      <c r="A24" s="141">
        <v>13</v>
      </c>
      <c r="B24" s="29" t="s">
        <v>50</v>
      </c>
      <c r="C24" s="34" t="s">
        <v>51</v>
      </c>
      <c r="D24" s="141" t="s">
        <v>132</v>
      </c>
      <c r="E24" s="33" t="s">
        <v>16</v>
      </c>
      <c r="F24" s="39">
        <v>450</v>
      </c>
      <c r="G24" s="35">
        <v>10</v>
      </c>
      <c r="H24" s="162">
        <f t="shared" si="0"/>
        <v>4500</v>
      </c>
      <c r="I24" s="164"/>
      <c r="J24" s="161"/>
      <c r="K24" s="161"/>
    </row>
    <row r="25" spans="1:11" s="23" customFormat="1" ht="25.5" x14ac:dyDescent="0.25">
      <c r="A25" s="141">
        <v>14</v>
      </c>
      <c r="B25" s="29" t="s">
        <v>55</v>
      </c>
      <c r="C25" s="34" t="s">
        <v>56</v>
      </c>
      <c r="D25" s="141" t="s">
        <v>132</v>
      </c>
      <c r="E25" s="33" t="s">
        <v>24</v>
      </c>
      <c r="F25" s="39">
        <v>350</v>
      </c>
      <c r="G25" s="35">
        <v>8</v>
      </c>
      <c r="H25" s="162">
        <f t="shared" si="0"/>
        <v>2800</v>
      </c>
      <c r="I25" s="164"/>
      <c r="J25" s="161"/>
      <c r="K25" s="161"/>
    </row>
    <row r="26" spans="1:11" s="23" customFormat="1" x14ac:dyDescent="0.25">
      <c r="A26" s="141">
        <v>15</v>
      </c>
      <c r="B26" s="29" t="s">
        <v>57</v>
      </c>
      <c r="C26" s="34" t="s">
        <v>58</v>
      </c>
      <c r="D26" s="141" t="s">
        <v>132</v>
      </c>
      <c r="E26" s="33" t="s">
        <v>16</v>
      </c>
      <c r="F26" s="39">
        <v>400</v>
      </c>
      <c r="G26" s="35">
        <v>10</v>
      </c>
      <c r="H26" s="162">
        <f t="shared" si="0"/>
        <v>4000</v>
      </c>
      <c r="I26" s="164"/>
      <c r="J26" s="161"/>
      <c r="K26" s="161"/>
    </row>
    <row r="27" spans="1:11" s="23" customFormat="1" x14ac:dyDescent="0.25">
      <c r="A27" s="141">
        <v>16</v>
      </c>
      <c r="B27" s="29" t="s">
        <v>61</v>
      </c>
      <c r="C27" s="45" t="s">
        <v>62</v>
      </c>
      <c r="D27" s="141" t="s">
        <v>132</v>
      </c>
      <c r="E27" s="33" t="s">
        <v>16</v>
      </c>
      <c r="F27" s="43">
        <v>120</v>
      </c>
      <c r="G27" s="35">
        <v>20</v>
      </c>
      <c r="H27" s="162">
        <f t="shared" si="0"/>
        <v>2400</v>
      </c>
      <c r="I27" s="164"/>
      <c r="J27" s="161"/>
      <c r="K27" s="161"/>
    </row>
    <row r="28" spans="1:11" s="23" customFormat="1" x14ac:dyDescent="0.25">
      <c r="A28" s="141">
        <v>17</v>
      </c>
      <c r="B28" s="29" t="s">
        <v>63</v>
      </c>
      <c r="C28" s="45" t="s">
        <v>64</v>
      </c>
      <c r="D28" s="141" t="s">
        <v>132</v>
      </c>
      <c r="E28" s="33" t="s">
        <v>16</v>
      </c>
      <c r="F28" s="39">
        <v>115</v>
      </c>
      <c r="G28" s="35">
        <v>10</v>
      </c>
      <c r="H28" s="162">
        <f t="shared" si="0"/>
        <v>1150</v>
      </c>
      <c r="I28" s="164"/>
      <c r="J28" s="161"/>
      <c r="K28" s="161"/>
    </row>
    <row r="29" spans="1:11" s="23" customFormat="1" x14ac:dyDescent="0.25">
      <c r="A29" s="141">
        <v>18</v>
      </c>
      <c r="B29" s="139" t="s">
        <v>65</v>
      </c>
      <c r="C29" s="34" t="s">
        <v>66</v>
      </c>
      <c r="D29" s="141" t="s">
        <v>132</v>
      </c>
      <c r="E29" s="33" t="s">
        <v>16</v>
      </c>
      <c r="F29" s="43">
        <v>120</v>
      </c>
      <c r="G29" s="48">
        <v>15</v>
      </c>
      <c r="H29" s="162">
        <f t="shared" si="0"/>
        <v>1800</v>
      </c>
      <c r="I29" s="164"/>
      <c r="J29" s="161"/>
      <c r="K29" s="161"/>
    </row>
    <row r="30" spans="1:11" x14ac:dyDescent="0.25">
      <c r="A30" s="141">
        <v>19</v>
      </c>
      <c r="B30" s="49" t="s">
        <v>67</v>
      </c>
      <c r="C30" s="50" t="s">
        <v>68</v>
      </c>
      <c r="D30" s="141" t="s">
        <v>132</v>
      </c>
      <c r="E30" s="29" t="s">
        <v>24</v>
      </c>
      <c r="F30" s="51">
        <v>450</v>
      </c>
      <c r="G30" s="35">
        <v>5</v>
      </c>
      <c r="H30" s="162">
        <f t="shared" si="0"/>
        <v>2250</v>
      </c>
      <c r="I30" s="164"/>
      <c r="J30" s="161"/>
      <c r="K30" s="161"/>
    </row>
    <row r="31" spans="1:11" ht="25.5" x14ac:dyDescent="0.25">
      <c r="A31" s="141">
        <v>20</v>
      </c>
      <c r="B31" s="49" t="s">
        <v>75</v>
      </c>
      <c r="C31" s="50" t="s">
        <v>76</v>
      </c>
      <c r="D31" s="141" t="s">
        <v>132</v>
      </c>
      <c r="E31" s="29" t="s">
        <v>16</v>
      </c>
      <c r="F31" s="51">
        <v>1400</v>
      </c>
      <c r="G31" s="35">
        <v>2</v>
      </c>
      <c r="H31" s="162">
        <f t="shared" si="0"/>
        <v>2800</v>
      </c>
      <c r="I31" s="164"/>
      <c r="J31" s="161"/>
      <c r="K31" s="161"/>
    </row>
    <row r="32" spans="1:11" ht="60.75" customHeight="1" x14ac:dyDescent="0.25">
      <c r="A32" s="141">
        <v>21</v>
      </c>
      <c r="B32" s="49" t="s">
        <v>89</v>
      </c>
      <c r="C32" s="50" t="s">
        <v>90</v>
      </c>
      <c r="D32" s="141" t="s">
        <v>132</v>
      </c>
      <c r="E32" s="29" t="s">
        <v>16</v>
      </c>
      <c r="F32" s="51">
        <v>800</v>
      </c>
      <c r="G32" s="35">
        <v>5</v>
      </c>
      <c r="H32" s="162">
        <f t="shared" si="0"/>
        <v>4000</v>
      </c>
      <c r="I32" s="164"/>
      <c r="J32" s="161"/>
      <c r="K32" s="161"/>
    </row>
    <row r="33" spans="1:11" ht="60.75" customHeight="1" x14ac:dyDescent="0.25">
      <c r="A33" s="141">
        <v>22</v>
      </c>
      <c r="B33" s="49" t="s">
        <v>86</v>
      </c>
      <c r="C33" s="50" t="s">
        <v>88</v>
      </c>
      <c r="D33" s="141" t="s">
        <v>132</v>
      </c>
      <c r="E33" s="29" t="s">
        <v>70</v>
      </c>
      <c r="F33" s="51">
        <v>300</v>
      </c>
      <c r="G33" s="35">
        <v>5</v>
      </c>
      <c r="H33" s="162">
        <f t="shared" si="0"/>
        <v>1500</v>
      </c>
      <c r="I33" s="164"/>
      <c r="J33" s="161"/>
      <c r="K33" s="161"/>
    </row>
    <row r="34" spans="1:11" ht="38.25" x14ac:dyDescent="0.25">
      <c r="A34" s="141">
        <v>23</v>
      </c>
      <c r="B34" s="49" t="s">
        <v>93</v>
      </c>
      <c r="C34" s="50" t="s">
        <v>95</v>
      </c>
      <c r="D34" s="141" t="s">
        <v>132</v>
      </c>
      <c r="E34" s="29" t="s">
        <v>16</v>
      </c>
      <c r="F34" s="51">
        <v>360</v>
      </c>
      <c r="G34" s="35">
        <v>10</v>
      </c>
      <c r="H34" s="162">
        <f t="shared" si="0"/>
        <v>3600</v>
      </c>
      <c r="I34" s="164"/>
      <c r="J34" s="161"/>
      <c r="K34" s="161"/>
    </row>
    <row r="35" spans="1:11" ht="25.5" x14ac:dyDescent="0.25">
      <c r="A35" s="141">
        <v>24</v>
      </c>
      <c r="B35" s="49" t="s">
        <v>96</v>
      </c>
      <c r="C35" s="50" t="s">
        <v>97</v>
      </c>
      <c r="D35" s="141" t="s">
        <v>132</v>
      </c>
      <c r="E35" s="29" t="s">
        <v>16</v>
      </c>
      <c r="F35" s="51">
        <v>360</v>
      </c>
      <c r="G35" s="35">
        <v>10</v>
      </c>
      <c r="H35" s="162">
        <f t="shared" si="0"/>
        <v>3600</v>
      </c>
      <c r="I35" s="164"/>
      <c r="J35" s="161"/>
      <c r="K35" s="161"/>
    </row>
    <row r="36" spans="1:11" x14ac:dyDescent="0.25">
      <c r="A36" s="141">
        <v>25</v>
      </c>
      <c r="B36" s="49" t="s">
        <v>98</v>
      </c>
      <c r="C36" s="50" t="s">
        <v>99</v>
      </c>
      <c r="D36" s="141" t="s">
        <v>132</v>
      </c>
      <c r="E36" s="29" t="s">
        <v>16</v>
      </c>
      <c r="F36" s="51">
        <v>330</v>
      </c>
      <c r="G36" s="35">
        <v>10</v>
      </c>
      <c r="H36" s="162">
        <f t="shared" si="0"/>
        <v>3300</v>
      </c>
      <c r="I36" s="164"/>
      <c r="J36" s="161"/>
      <c r="K36" s="161"/>
    </row>
    <row r="37" spans="1:11" x14ac:dyDescent="0.25">
      <c r="A37" s="141">
        <v>26</v>
      </c>
      <c r="B37" s="49" t="s">
        <v>100</v>
      </c>
      <c r="C37" s="50" t="s">
        <v>101</v>
      </c>
      <c r="D37" s="141" t="s">
        <v>132</v>
      </c>
      <c r="E37" s="29" t="s">
        <v>16</v>
      </c>
      <c r="F37" s="51">
        <v>240</v>
      </c>
      <c r="G37" s="35">
        <v>3</v>
      </c>
      <c r="H37" s="162">
        <f t="shared" si="0"/>
        <v>720</v>
      </c>
      <c r="I37" s="164"/>
      <c r="J37" s="161"/>
      <c r="K37" s="161"/>
    </row>
    <row r="38" spans="1:11" x14ac:dyDescent="0.25">
      <c r="A38" s="141">
        <v>27</v>
      </c>
      <c r="B38" s="49" t="s">
        <v>102</v>
      </c>
      <c r="C38" s="50" t="s">
        <v>103</v>
      </c>
      <c r="D38" s="141" t="s">
        <v>132</v>
      </c>
      <c r="E38" s="29" t="s">
        <v>104</v>
      </c>
      <c r="F38" s="51">
        <v>150</v>
      </c>
      <c r="G38" s="35">
        <v>4</v>
      </c>
      <c r="H38" s="162">
        <f t="shared" si="0"/>
        <v>600</v>
      </c>
      <c r="I38" s="164"/>
      <c r="J38" s="161"/>
      <c r="K38" s="161"/>
    </row>
    <row r="39" spans="1:11" s="23" customFormat="1" x14ac:dyDescent="0.25">
      <c r="A39" s="141">
        <v>28</v>
      </c>
      <c r="B39" s="49" t="s">
        <v>105</v>
      </c>
      <c r="C39" s="50" t="s">
        <v>106</v>
      </c>
      <c r="D39" s="141" t="s">
        <v>132</v>
      </c>
      <c r="E39" s="29" t="s">
        <v>16</v>
      </c>
      <c r="F39" s="51">
        <v>90</v>
      </c>
      <c r="G39" s="35">
        <v>20</v>
      </c>
      <c r="H39" s="162">
        <f t="shared" si="0"/>
        <v>1800</v>
      </c>
      <c r="I39" s="164"/>
      <c r="J39" s="161"/>
      <c r="K39" s="161"/>
    </row>
    <row r="40" spans="1:11" s="23" customFormat="1" x14ac:dyDescent="0.25">
      <c r="A40" s="141">
        <v>29</v>
      </c>
      <c r="B40" s="49" t="s">
        <v>107</v>
      </c>
      <c r="C40" s="50" t="s">
        <v>108</v>
      </c>
      <c r="D40" s="141" t="s">
        <v>132</v>
      </c>
      <c r="E40" s="29" t="s">
        <v>16</v>
      </c>
      <c r="F40" s="51">
        <v>3200</v>
      </c>
      <c r="G40" s="35">
        <v>2</v>
      </c>
      <c r="H40" s="162">
        <f t="shared" si="0"/>
        <v>6400</v>
      </c>
      <c r="I40" s="164"/>
      <c r="J40" s="161"/>
      <c r="K40" s="161"/>
    </row>
    <row r="41" spans="1:11" x14ac:dyDescent="0.25">
      <c r="A41" s="141">
        <v>30</v>
      </c>
      <c r="B41" s="49" t="s">
        <v>109</v>
      </c>
      <c r="C41" s="50" t="s">
        <v>110</v>
      </c>
      <c r="D41" s="141" t="s">
        <v>132</v>
      </c>
      <c r="E41" s="29" t="s">
        <v>16</v>
      </c>
      <c r="F41" s="51">
        <v>2600</v>
      </c>
      <c r="G41" s="35">
        <v>5</v>
      </c>
      <c r="H41" s="162">
        <f t="shared" si="0"/>
        <v>13000</v>
      </c>
      <c r="I41" s="164"/>
      <c r="J41" s="161"/>
      <c r="K41" s="161"/>
    </row>
    <row r="42" spans="1:11" x14ac:dyDescent="0.25">
      <c r="A42" s="141">
        <v>31</v>
      </c>
      <c r="B42" s="49" t="s">
        <v>111</v>
      </c>
      <c r="C42" s="50" t="s">
        <v>112</v>
      </c>
      <c r="D42" s="141" t="s">
        <v>132</v>
      </c>
      <c r="E42" s="29" t="s">
        <v>16</v>
      </c>
      <c r="F42" s="51">
        <v>990</v>
      </c>
      <c r="G42" s="35">
        <v>5</v>
      </c>
      <c r="H42" s="162">
        <f t="shared" si="0"/>
        <v>4950</v>
      </c>
      <c r="I42" s="164"/>
      <c r="J42" s="161"/>
      <c r="K42" s="161"/>
    </row>
    <row r="43" spans="1:11" x14ac:dyDescent="0.25">
      <c r="A43" s="141">
        <v>32</v>
      </c>
      <c r="B43" s="55" t="s">
        <v>113</v>
      </c>
      <c r="C43" s="57" t="s">
        <v>114</v>
      </c>
      <c r="D43" s="141" t="s">
        <v>132</v>
      </c>
      <c r="E43" s="58" t="s">
        <v>16</v>
      </c>
      <c r="F43" s="60">
        <v>436</v>
      </c>
      <c r="G43" s="59">
        <v>10</v>
      </c>
      <c r="H43" s="162">
        <f t="shared" si="0"/>
        <v>4360</v>
      </c>
      <c r="I43" s="164"/>
      <c r="J43" s="161"/>
      <c r="K43" s="161"/>
    </row>
    <row r="44" spans="1:11" ht="18.75" x14ac:dyDescent="0.25">
      <c r="A44" s="195" t="s">
        <v>178</v>
      </c>
      <c r="B44" s="195"/>
      <c r="C44" s="195"/>
      <c r="D44" s="195"/>
      <c r="E44" s="195"/>
      <c r="F44" s="196">
        <f>+H12+H13+H14+H15+H16+H17+H18+H19+H20+H21+H22+H23+H24+H25+H26+H27+H28+H29+H30+H31+H32+H33+H34+H35+H36+H37+H38+H39+H40+H41+H42+H43</f>
        <v>127860</v>
      </c>
      <c r="G44" s="196"/>
      <c r="H44" s="163"/>
      <c r="I44" s="161"/>
      <c r="J44" s="161"/>
      <c r="K44" s="161"/>
    </row>
    <row r="45" spans="1:11" x14ac:dyDescent="0.25">
      <c r="A45" s="23"/>
      <c r="B45" s="23"/>
      <c r="C45" s="23"/>
      <c r="D45" s="23"/>
      <c r="E45" s="23"/>
      <c r="F45" s="23"/>
      <c r="G45" s="23"/>
    </row>
    <row r="46" spans="1:11" x14ac:dyDescent="0.25">
      <c r="A46" s="23"/>
      <c r="B46" s="23"/>
      <c r="C46" s="23"/>
      <c r="D46" s="23"/>
      <c r="E46" s="23"/>
      <c r="F46" s="23"/>
      <c r="G46" s="23"/>
    </row>
    <row r="47" spans="1:11" x14ac:dyDescent="0.25">
      <c r="A47" s="23"/>
      <c r="B47" s="23"/>
      <c r="C47" s="23"/>
      <c r="D47" s="23"/>
      <c r="E47" s="23"/>
      <c r="F47" s="23"/>
      <c r="G47" s="23"/>
    </row>
    <row r="48" spans="1:11" x14ac:dyDescent="0.25">
      <c r="A48" s="23"/>
      <c r="B48" s="23"/>
      <c r="C48" s="23"/>
      <c r="D48" s="23"/>
      <c r="E48" s="23"/>
      <c r="F48" s="23"/>
      <c r="G48" s="23"/>
    </row>
  </sheetData>
  <mergeCells count="16">
    <mergeCell ref="A7:B7"/>
    <mergeCell ref="A1:E1"/>
    <mergeCell ref="A3:B3"/>
    <mergeCell ref="A4:B4"/>
    <mergeCell ref="A5:B5"/>
    <mergeCell ref="A6:B6"/>
    <mergeCell ref="A44:E44"/>
    <mergeCell ref="F44:G44"/>
    <mergeCell ref="F10:F11"/>
    <mergeCell ref="G10:G11"/>
    <mergeCell ref="A8:B8"/>
    <mergeCell ref="A10:A11"/>
    <mergeCell ref="B10:B11"/>
    <mergeCell ref="C10:C11"/>
    <mergeCell ref="D10:D11"/>
    <mergeCell ref="E10:E11"/>
  </mergeCells>
  <conditionalFormatting sqref="B25:B43 B12:B20">
    <cfRule type="duplicateValues" dxfId="152" priority="13"/>
  </conditionalFormatting>
  <conditionalFormatting sqref="B25:B43 B12:B23">
    <cfRule type="duplicateValues" dxfId="151" priority="14"/>
  </conditionalFormatting>
  <conditionalFormatting sqref="B24">
    <cfRule type="duplicateValues" dxfId="150" priority="10"/>
  </conditionalFormatting>
  <conditionalFormatting sqref="B24">
    <cfRule type="duplicateValues" dxfId="149" priority="11"/>
  </conditionalFormatting>
  <conditionalFormatting sqref="C25:C43 C12:C20">
    <cfRule type="duplicateValues" dxfId="148" priority="7"/>
  </conditionalFormatting>
  <conditionalFormatting sqref="C25:C43 C12:C23">
    <cfRule type="duplicateValues" dxfId="147" priority="8"/>
  </conditionalFormatting>
  <conditionalFormatting sqref="C24">
    <cfRule type="duplicateValues" dxfId="146" priority="1"/>
  </conditionalFormatting>
  <conditionalFormatting sqref="C24">
    <cfRule type="duplicateValues" dxfId="145" priority="2"/>
  </conditionalFormatting>
  <conditionalFormatting sqref="B21:B23">
    <cfRule type="duplicateValues" dxfId="144" priority="663"/>
  </conditionalFormatting>
  <conditionalFormatting sqref="C21:C23">
    <cfRule type="duplicateValues" dxfId="143" priority="666"/>
  </conditionalFormatting>
  <conditionalFormatting sqref="B12:B43">
    <cfRule type="duplicateValues" dxfId="142" priority="667"/>
  </conditionalFormatting>
  <conditionalFormatting sqref="B12:B43">
    <cfRule type="duplicateValues" dxfId="141" priority="669"/>
  </conditionalFormatting>
  <conditionalFormatting sqref="C12:C43">
    <cfRule type="duplicateValues" dxfId="140" priority="671"/>
  </conditionalFormatting>
  <conditionalFormatting sqref="C12:C43">
    <cfRule type="duplicateValues" dxfId="139" priority="673"/>
    <cfRule type="duplicateValues" dxfId="138" priority="674"/>
  </conditionalFormatting>
  <conditionalFormatting sqref="C12:C43">
    <cfRule type="duplicateValues" dxfId="137" priority="677"/>
  </conditionalFormatting>
  <pageMargins left="0.7" right="0.7" top="0.75" bottom="0.75" header="0.3" footer="0.3"/>
  <pageSetup paperSize="5" scale="57" orientation="landscape" r:id="rId1"/>
  <colBreaks count="1" manualBreakCount="1"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43"/>
  <sheetViews>
    <sheetView topLeftCell="A13" zoomScaleNormal="100" workbookViewId="0">
      <selection activeCell="C51" sqref="C51"/>
    </sheetView>
  </sheetViews>
  <sheetFormatPr baseColWidth="10" defaultRowHeight="15" x14ac:dyDescent="0.25"/>
  <cols>
    <col min="1" max="14" width="6.5703125" customWidth="1"/>
    <col min="16" max="16" width="24.7109375" customWidth="1"/>
    <col min="17" max="17" width="18" customWidth="1"/>
  </cols>
  <sheetData>
    <row r="1" spans="1:17" ht="15.75" thickBot="1" x14ac:dyDescent="0.3">
      <c r="A1" s="222" t="s">
        <v>5</v>
      </c>
      <c r="B1" s="222"/>
      <c r="C1" s="222"/>
      <c r="D1" s="223">
        <v>2022</v>
      </c>
      <c r="E1" s="223"/>
      <c r="F1" s="86"/>
      <c r="G1" s="86"/>
      <c r="H1" s="87"/>
      <c r="I1" s="87"/>
      <c r="J1" s="87"/>
      <c r="K1" s="87"/>
      <c r="L1" s="87"/>
      <c r="M1" s="87"/>
      <c r="N1" s="87"/>
      <c r="O1" s="88"/>
      <c r="P1" s="224" t="s">
        <v>133</v>
      </c>
      <c r="Q1" s="224"/>
    </row>
    <row r="2" spans="1:17" ht="15.75" thickBot="1" x14ac:dyDescent="0.3">
      <c r="A2" s="89"/>
      <c r="B2" s="90"/>
      <c r="C2" s="90"/>
      <c r="D2" s="90"/>
      <c r="E2" s="90"/>
      <c r="F2" s="90"/>
      <c r="G2" s="91"/>
      <c r="H2" s="92"/>
      <c r="I2" s="92"/>
      <c r="J2" s="92"/>
      <c r="K2" s="92"/>
      <c r="L2" s="92"/>
      <c r="M2" s="92"/>
      <c r="N2" s="92"/>
      <c r="O2" s="90"/>
      <c r="P2" s="224"/>
      <c r="Q2" s="224"/>
    </row>
    <row r="3" spans="1:17" ht="15.75" thickBot="1" x14ac:dyDescent="0.3">
      <c r="A3" s="89"/>
      <c r="B3" s="90"/>
      <c r="C3" s="90"/>
      <c r="D3" s="90"/>
      <c r="E3" s="90"/>
      <c r="F3" s="90"/>
      <c r="G3" s="91"/>
      <c r="H3" s="90"/>
      <c r="I3" s="90"/>
      <c r="J3" s="90"/>
      <c r="K3" s="90"/>
      <c r="L3" s="90"/>
      <c r="M3" s="90"/>
      <c r="N3" s="90"/>
      <c r="O3" s="90"/>
      <c r="P3" s="90"/>
      <c r="Q3" s="93"/>
    </row>
    <row r="4" spans="1:17" ht="15.75" thickBot="1" x14ac:dyDescent="0.3">
      <c r="A4" s="225" t="s">
        <v>134</v>
      </c>
      <c r="B4" s="225"/>
      <c r="C4" s="225"/>
      <c r="D4" s="225"/>
      <c r="E4" s="225"/>
      <c r="F4" s="225"/>
      <c r="G4" s="226" t="str">
        <f>'[1]NP DPBS'!D3</f>
        <v>040 - MINISTERIO DE SALUD</v>
      </c>
      <c r="H4" s="226"/>
      <c r="I4" s="226"/>
      <c r="J4" s="226"/>
      <c r="K4" s="226"/>
      <c r="L4" s="226"/>
      <c r="M4" s="226"/>
      <c r="N4" s="226"/>
      <c r="O4" s="226"/>
      <c r="P4" s="226"/>
      <c r="Q4" s="226"/>
    </row>
    <row r="5" spans="1:17" ht="15.75" thickBot="1" x14ac:dyDescent="0.3">
      <c r="A5" s="227" t="s">
        <v>119</v>
      </c>
      <c r="B5" s="227"/>
      <c r="C5" s="227"/>
      <c r="D5" s="227"/>
      <c r="E5" s="227"/>
      <c r="F5" s="227"/>
      <c r="G5" s="226" t="str">
        <f>'[1]NP DPBS'!D4</f>
        <v>011 - DIRECCION PROVINCIAL DE ADMINISTRACION - MINISTERIO DE SALUD</v>
      </c>
      <c r="H5" s="226"/>
      <c r="I5" s="226"/>
      <c r="J5" s="226"/>
      <c r="K5" s="226"/>
      <c r="L5" s="226"/>
      <c r="M5" s="226"/>
      <c r="N5" s="226"/>
      <c r="O5" s="226"/>
      <c r="P5" s="226"/>
      <c r="Q5" s="226"/>
    </row>
    <row r="6" spans="1:17" ht="15.75" thickBot="1" x14ac:dyDescent="0.3">
      <c r="A6" s="227" t="s">
        <v>120</v>
      </c>
      <c r="B6" s="227"/>
      <c r="C6" s="227"/>
      <c r="D6" s="227"/>
      <c r="E6" s="227"/>
      <c r="F6" s="227"/>
      <c r="G6" s="226" t="str">
        <f>'[1]NP DPBS'!D5</f>
        <v>747 - DIRECCION PROVINCIAL BANCO DE SANGRE</v>
      </c>
      <c r="H6" s="226"/>
      <c r="I6" s="226"/>
      <c r="J6" s="226"/>
      <c r="K6" s="226"/>
      <c r="L6" s="226"/>
      <c r="M6" s="226"/>
      <c r="N6" s="226"/>
      <c r="O6" s="226"/>
      <c r="P6" s="226"/>
      <c r="Q6" s="226"/>
    </row>
    <row r="7" spans="1:17" ht="15.75" thickBot="1" x14ac:dyDescent="0.3">
      <c r="A7" s="227" t="s">
        <v>122</v>
      </c>
      <c r="B7" s="227"/>
      <c r="C7" s="227"/>
      <c r="D7" s="227"/>
      <c r="E7" s="227"/>
      <c r="F7" s="227"/>
      <c r="G7" s="226" t="str">
        <f>'[1]NP DPBS'!D6</f>
        <v>747 - DIRECCION PROVINCIAL BANCO DE SANGRE</v>
      </c>
      <c r="H7" s="226"/>
      <c r="I7" s="226"/>
      <c r="J7" s="226"/>
      <c r="K7" s="226"/>
      <c r="L7" s="226"/>
      <c r="M7" s="226"/>
      <c r="N7" s="226"/>
      <c r="O7" s="226"/>
      <c r="P7" s="226"/>
      <c r="Q7" s="226"/>
    </row>
    <row r="8" spans="1:17" ht="15.75" thickBot="1" x14ac:dyDescent="0.3">
      <c r="A8" s="228" t="s">
        <v>135</v>
      </c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  <c r="M8" s="228"/>
      <c r="N8" s="228"/>
      <c r="O8" s="228"/>
      <c r="P8" s="228"/>
      <c r="Q8" s="228"/>
    </row>
    <row r="9" spans="1:17" x14ac:dyDescent="0.25">
      <c r="A9" s="221" t="s">
        <v>136</v>
      </c>
      <c r="B9" s="221"/>
      <c r="C9" s="221"/>
      <c r="D9" s="221"/>
      <c r="E9" s="221"/>
      <c r="F9" s="221"/>
      <c r="G9" s="221"/>
      <c r="H9" s="221"/>
      <c r="I9" s="221"/>
      <c r="J9" s="221"/>
      <c r="K9" s="221"/>
      <c r="L9" s="221"/>
      <c r="M9" s="221"/>
      <c r="N9" s="221"/>
      <c r="O9" s="221"/>
      <c r="P9" s="221"/>
      <c r="Q9" s="221"/>
    </row>
    <row r="10" spans="1:17" ht="42" customHeight="1" x14ac:dyDescent="0.25">
      <c r="A10" s="212" t="s">
        <v>137</v>
      </c>
      <c r="B10" s="212"/>
      <c r="C10" s="212"/>
      <c r="D10" s="212"/>
      <c r="E10" s="212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</row>
    <row r="11" spans="1:17" ht="15.75" thickBot="1" x14ac:dyDescent="0.3">
      <c r="A11" s="94"/>
      <c r="B11" s="95"/>
      <c r="C11" s="95"/>
      <c r="D11" s="95"/>
      <c r="E11" s="95"/>
      <c r="F11" s="95"/>
      <c r="G11" s="96"/>
      <c r="H11" s="95"/>
      <c r="I11" s="95"/>
      <c r="J11" s="95"/>
      <c r="K11" s="95"/>
      <c r="L11" s="95"/>
      <c r="M11" s="95"/>
      <c r="N11" s="95"/>
      <c r="O11" s="95"/>
      <c r="P11" s="95"/>
      <c r="Q11" s="97"/>
    </row>
    <row r="12" spans="1:17" ht="15.75" thickBot="1" x14ac:dyDescent="0.3">
      <c r="A12" s="213" t="s">
        <v>138</v>
      </c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</row>
    <row r="13" spans="1:17" ht="15.75" thickBot="1" x14ac:dyDescent="0.3">
      <c r="A13" s="214" t="s">
        <v>139</v>
      </c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5" t="s">
        <v>140</v>
      </c>
      <c r="P13" s="215"/>
      <c r="Q13" s="216" t="s">
        <v>141</v>
      </c>
    </row>
    <row r="14" spans="1:17" ht="15.75" thickBot="1" x14ac:dyDescent="0.3">
      <c r="A14" s="98" t="s">
        <v>142</v>
      </c>
      <c r="B14" s="99" t="s">
        <v>143</v>
      </c>
      <c r="C14" s="99" t="s">
        <v>144</v>
      </c>
      <c r="D14" s="99" t="s">
        <v>145</v>
      </c>
      <c r="E14" s="99" t="s">
        <v>146</v>
      </c>
      <c r="F14" s="99" t="s">
        <v>147</v>
      </c>
      <c r="G14" s="100" t="s">
        <v>148</v>
      </c>
      <c r="H14" s="99" t="s">
        <v>149</v>
      </c>
      <c r="I14" s="99" t="s">
        <v>150</v>
      </c>
      <c r="J14" s="99" t="s">
        <v>151</v>
      </c>
      <c r="K14" s="99" t="s">
        <v>151</v>
      </c>
      <c r="L14" s="99" t="s">
        <v>152</v>
      </c>
      <c r="M14" s="101" t="s">
        <v>153</v>
      </c>
      <c r="N14" s="102" t="s">
        <v>154</v>
      </c>
      <c r="O14" s="215"/>
      <c r="P14" s="215"/>
      <c r="Q14" s="216"/>
    </row>
    <row r="15" spans="1:17" x14ac:dyDescent="0.25">
      <c r="A15" s="130">
        <v>27</v>
      </c>
      <c r="B15" s="131"/>
      <c r="C15" s="131"/>
      <c r="D15" s="131">
        <v>1</v>
      </c>
      <c r="E15" s="131"/>
      <c r="F15" s="131">
        <v>4901</v>
      </c>
      <c r="G15" s="131">
        <v>3</v>
      </c>
      <c r="H15" s="131">
        <v>1</v>
      </c>
      <c r="I15" s="131">
        <v>2</v>
      </c>
      <c r="J15" s="131">
        <v>9</v>
      </c>
      <c r="K15" s="131">
        <v>1</v>
      </c>
      <c r="L15" s="131"/>
      <c r="M15" s="132">
        <v>1</v>
      </c>
      <c r="N15" s="131" t="s">
        <v>155</v>
      </c>
      <c r="O15" s="217" t="s">
        <v>17</v>
      </c>
      <c r="P15" s="217"/>
      <c r="Q15" s="103">
        <v>109200</v>
      </c>
    </row>
    <row r="16" spans="1:17" x14ac:dyDescent="0.25">
      <c r="A16" s="129">
        <v>27</v>
      </c>
      <c r="B16" s="129"/>
      <c r="C16" s="129"/>
      <c r="D16" s="129">
        <v>1</v>
      </c>
      <c r="E16" s="129"/>
      <c r="F16" s="129">
        <v>4901</v>
      </c>
      <c r="G16" s="129">
        <v>3</v>
      </c>
      <c r="H16" s="129">
        <v>1</v>
      </c>
      <c r="I16" s="129">
        <v>2</v>
      </c>
      <c r="J16" s="129">
        <v>3</v>
      </c>
      <c r="K16" s="129">
        <v>4</v>
      </c>
      <c r="L16" s="129"/>
      <c r="M16" s="129">
        <v>1</v>
      </c>
      <c r="N16" s="129" t="s">
        <v>155</v>
      </c>
      <c r="O16" s="218" t="s">
        <v>174</v>
      </c>
      <c r="P16" s="206"/>
      <c r="Q16" s="108">
        <v>7100</v>
      </c>
    </row>
    <row r="17" spans="1:17" x14ac:dyDescent="0.25">
      <c r="A17" s="129">
        <v>27</v>
      </c>
      <c r="B17" s="129"/>
      <c r="C17" s="129"/>
      <c r="D17" s="129">
        <v>1</v>
      </c>
      <c r="E17" s="129"/>
      <c r="F17" s="129">
        <v>4901</v>
      </c>
      <c r="G17" s="129">
        <v>3</v>
      </c>
      <c r="H17" s="129">
        <v>1</v>
      </c>
      <c r="I17" s="129">
        <v>2</v>
      </c>
      <c r="J17" s="129">
        <v>5</v>
      </c>
      <c r="K17" s="129">
        <v>4</v>
      </c>
      <c r="L17" s="129"/>
      <c r="M17" s="129">
        <v>1</v>
      </c>
      <c r="N17" s="129" t="s">
        <v>155</v>
      </c>
      <c r="O17" s="219" t="s">
        <v>175</v>
      </c>
      <c r="P17" s="220"/>
      <c r="Q17" s="108">
        <v>11560</v>
      </c>
    </row>
    <row r="18" spans="1:17" x14ac:dyDescent="0.25">
      <c r="A18" s="104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6"/>
      <c r="N18" s="105"/>
      <c r="O18" s="211"/>
      <c r="P18" s="211"/>
      <c r="Q18" s="108"/>
    </row>
    <row r="19" spans="1:17" x14ac:dyDescent="0.25">
      <c r="A19" s="104"/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6"/>
      <c r="N19" s="107"/>
      <c r="O19" s="211"/>
      <c r="P19" s="211"/>
      <c r="Q19" s="108"/>
    </row>
    <row r="20" spans="1:17" x14ac:dyDescent="0.25">
      <c r="A20" s="104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6"/>
      <c r="N20" s="107"/>
      <c r="O20" s="211"/>
      <c r="P20" s="211"/>
      <c r="Q20" s="108"/>
    </row>
    <row r="21" spans="1:17" x14ac:dyDescent="0.25">
      <c r="A21" s="104"/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6"/>
      <c r="N21" s="107"/>
      <c r="O21" s="211"/>
      <c r="P21" s="211"/>
      <c r="Q21" s="108"/>
    </row>
    <row r="22" spans="1:17" x14ac:dyDescent="0.25">
      <c r="A22" s="104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6"/>
      <c r="N22" s="107"/>
      <c r="O22" s="211"/>
      <c r="P22" s="211"/>
      <c r="Q22" s="108"/>
    </row>
    <row r="23" spans="1:17" x14ac:dyDescent="0.25">
      <c r="A23" s="104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6"/>
      <c r="N23" s="107"/>
      <c r="O23" s="211"/>
      <c r="P23" s="211"/>
      <c r="Q23" s="108"/>
    </row>
    <row r="24" spans="1:17" x14ac:dyDescent="0.25">
      <c r="A24" s="104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6"/>
      <c r="N24" s="107"/>
      <c r="O24" s="211"/>
      <c r="P24" s="211"/>
      <c r="Q24" s="108"/>
    </row>
    <row r="25" spans="1:17" x14ac:dyDescent="0.25">
      <c r="A25" s="104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6"/>
      <c r="N25" s="107"/>
      <c r="O25" s="211"/>
      <c r="P25" s="211"/>
      <c r="Q25" s="108"/>
    </row>
    <row r="26" spans="1:17" x14ac:dyDescent="0.25">
      <c r="A26" s="104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6"/>
      <c r="N26" s="107"/>
      <c r="O26" s="211"/>
      <c r="P26" s="211"/>
      <c r="Q26" s="108"/>
    </row>
    <row r="27" spans="1:17" x14ac:dyDescent="0.25">
      <c r="A27" s="104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6"/>
      <c r="N27" s="107"/>
      <c r="O27" s="211"/>
      <c r="P27" s="211"/>
      <c r="Q27" s="108"/>
    </row>
    <row r="28" spans="1:17" x14ac:dyDescent="0.25">
      <c r="A28" s="104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6"/>
      <c r="N28" s="107"/>
      <c r="O28" s="211"/>
      <c r="P28" s="211"/>
      <c r="Q28" s="108"/>
    </row>
    <row r="29" spans="1:17" x14ac:dyDescent="0.25">
      <c r="A29" s="104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6"/>
      <c r="N29" s="107"/>
      <c r="O29" s="211"/>
      <c r="P29" s="211"/>
      <c r="Q29" s="108"/>
    </row>
    <row r="30" spans="1:17" x14ac:dyDescent="0.25">
      <c r="A30" s="104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6"/>
      <c r="N30" s="107"/>
      <c r="O30" s="211"/>
      <c r="P30" s="211"/>
      <c r="Q30" s="108"/>
    </row>
    <row r="31" spans="1:17" x14ac:dyDescent="0.25">
      <c r="A31" s="104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6"/>
      <c r="N31" s="107"/>
      <c r="O31" s="211"/>
      <c r="P31" s="211"/>
      <c r="Q31" s="108"/>
    </row>
    <row r="32" spans="1:17" x14ac:dyDescent="0.25">
      <c r="A32" s="104"/>
      <c r="B32" s="105"/>
      <c r="C32" s="105"/>
      <c r="D32" s="105"/>
      <c r="E32" s="105"/>
      <c r="F32" s="107"/>
      <c r="G32" s="105"/>
      <c r="H32" s="105"/>
      <c r="I32" s="105"/>
      <c r="J32" s="105"/>
      <c r="K32" s="105"/>
      <c r="L32" s="105"/>
      <c r="M32" s="106"/>
      <c r="N32" s="107"/>
      <c r="O32" s="206"/>
      <c r="P32" s="206"/>
      <c r="Q32" s="108"/>
    </row>
    <row r="33" spans="1:17" x14ac:dyDescent="0.25">
      <c r="A33" s="104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6"/>
      <c r="N33" s="107"/>
      <c r="O33" s="206"/>
      <c r="P33" s="206"/>
      <c r="Q33" s="108"/>
    </row>
    <row r="34" spans="1:17" x14ac:dyDescent="0.25">
      <c r="A34" s="104"/>
      <c r="B34" s="105"/>
      <c r="C34" s="105"/>
      <c r="D34" s="105"/>
      <c r="E34" s="105"/>
      <c r="F34" s="107"/>
      <c r="G34" s="105"/>
      <c r="H34" s="105"/>
      <c r="I34" s="105"/>
      <c r="J34" s="105"/>
      <c r="K34" s="105"/>
      <c r="L34" s="105"/>
      <c r="M34" s="106"/>
      <c r="N34" s="107"/>
      <c r="O34" s="206"/>
      <c r="P34" s="206"/>
      <c r="Q34" s="108"/>
    </row>
    <row r="35" spans="1:17" x14ac:dyDescent="0.25">
      <c r="A35" s="104"/>
      <c r="B35" s="105"/>
      <c r="C35" s="105"/>
      <c r="D35" s="105"/>
      <c r="E35" s="105"/>
      <c r="F35" s="107"/>
      <c r="G35" s="105"/>
      <c r="H35" s="105"/>
      <c r="I35" s="105"/>
      <c r="J35" s="105"/>
      <c r="K35" s="105"/>
      <c r="L35" s="105"/>
      <c r="M35" s="106"/>
      <c r="N35" s="107"/>
      <c r="O35" s="206"/>
      <c r="P35" s="206"/>
      <c r="Q35" s="108"/>
    </row>
    <row r="36" spans="1:17" x14ac:dyDescent="0.25">
      <c r="A36" s="109"/>
      <c r="B36" s="110"/>
      <c r="C36" s="110"/>
      <c r="D36" s="110"/>
      <c r="E36" s="110"/>
      <c r="F36" s="111"/>
      <c r="G36" s="110"/>
      <c r="H36" s="110"/>
      <c r="I36" s="110"/>
      <c r="J36" s="110"/>
      <c r="K36" s="110"/>
      <c r="L36" s="110"/>
      <c r="M36" s="112"/>
      <c r="N36" s="113"/>
      <c r="O36" s="207"/>
      <c r="P36" s="207"/>
      <c r="Q36" s="108"/>
    </row>
    <row r="37" spans="1:17" ht="15.75" thickBot="1" x14ac:dyDescent="0.3">
      <c r="A37" s="114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6"/>
      <c r="N37" s="115"/>
      <c r="O37" s="208"/>
      <c r="P37" s="208"/>
      <c r="Q37" s="117"/>
    </row>
    <row r="38" spans="1:17" ht="15.75" thickBot="1" x14ac:dyDescent="0.3">
      <c r="A38" s="209" t="s">
        <v>179</v>
      </c>
      <c r="B38" s="209"/>
      <c r="C38" s="209"/>
      <c r="D38" s="209"/>
      <c r="E38" s="209"/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209"/>
      <c r="Q38" s="118">
        <f>SUM(Q15:Q37)</f>
        <v>127860</v>
      </c>
    </row>
    <row r="39" spans="1:17" ht="15.75" thickBot="1" x14ac:dyDescent="0.3">
      <c r="A39" s="210"/>
      <c r="B39" s="210"/>
      <c r="C39" s="210"/>
      <c r="D39" s="210"/>
      <c r="E39" s="210"/>
      <c r="F39" s="210"/>
      <c r="G39" s="210"/>
      <c r="H39" s="210"/>
      <c r="I39" s="210"/>
      <c r="J39" s="210"/>
      <c r="K39" s="210"/>
      <c r="L39" s="210"/>
      <c r="M39" s="210"/>
      <c r="N39" s="210"/>
      <c r="O39" s="210"/>
      <c r="P39" s="210"/>
      <c r="Q39" s="210"/>
    </row>
    <row r="40" spans="1:17" ht="15.75" thickBot="1" x14ac:dyDescent="0.3">
      <c r="A40" s="203" t="s">
        <v>156</v>
      </c>
      <c r="B40" s="203"/>
      <c r="C40" s="203"/>
      <c r="D40" s="203"/>
      <c r="E40" s="203"/>
      <c r="F40" s="203"/>
      <c r="G40" s="204"/>
      <c r="H40" s="204"/>
      <c r="I40" s="204"/>
      <c r="J40" s="204"/>
      <c r="K40" s="204"/>
      <c r="L40" s="204"/>
      <c r="M40" s="204"/>
      <c r="N40" s="204"/>
      <c r="O40" s="204"/>
      <c r="P40" s="204"/>
      <c r="Q40" s="204"/>
    </row>
    <row r="41" spans="1:17" ht="15.75" thickBot="1" x14ac:dyDescent="0.3">
      <c r="A41" s="205" t="s">
        <v>158</v>
      </c>
      <c r="B41" s="205"/>
      <c r="C41" s="205"/>
      <c r="D41" s="205"/>
      <c r="E41" s="205"/>
      <c r="F41" s="205"/>
      <c r="G41" s="205"/>
      <c r="H41" s="205"/>
      <c r="I41" s="205"/>
      <c r="J41" s="205"/>
      <c r="K41" s="205"/>
      <c r="L41" s="205"/>
      <c r="M41" s="205"/>
      <c r="N41" s="205"/>
      <c r="O41" s="205"/>
      <c r="P41" s="205"/>
      <c r="Q41" s="205"/>
    </row>
    <row r="42" spans="1:17" ht="15.75" thickBot="1" x14ac:dyDescent="0.3">
      <c r="A42" s="205"/>
      <c r="B42" s="205"/>
      <c r="C42" s="205"/>
      <c r="D42" s="205"/>
      <c r="E42" s="205"/>
      <c r="F42" s="205"/>
      <c r="G42" s="205"/>
      <c r="H42" s="205"/>
      <c r="I42" s="205"/>
      <c r="J42" s="205"/>
      <c r="K42" s="205"/>
      <c r="L42" s="205"/>
      <c r="M42" s="205"/>
      <c r="N42" s="205"/>
      <c r="O42" s="205"/>
      <c r="P42" s="205"/>
      <c r="Q42" s="205"/>
    </row>
    <row r="43" spans="1:17" x14ac:dyDescent="0.2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pageSetup paperSize="5" scale="6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31"/>
  <sheetViews>
    <sheetView topLeftCell="A22" zoomScaleNormal="100" workbookViewId="0">
      <selection activeCell="C51" sqref="C51"/>
    </sheetView>
  </sheetViews>
  <sheetFormatPr baseColWidth="10" defaultRowHeight="15" x14ac:dyDescent="0.25"/>
  <cols>
    <col min="1" max="1" width="11.5703125" bestFit="1" customWidth="1"/>
    <col min="2" max="2" width="17.5703125" customWidth="1"/>
    <col min="3" max="3" width="59.28515625" customWidth="1"/>
    <col min="4" max="4" width="20.85546875" customWidth="1"/>
    <col min="6" max="6" width="12.140625" bestFit="1" customWidth="1"/>
    <col min="7" max="7" width="11.5703125" bestFit="1" customWidth="1"/>
    <col min="8" max="8" width="24.140625" customWidth="1"/>
    <col min="9" max="10" width="12" bestFit="1" customWidth="1"/>
  </cols>
  <sheetData>
    <row r="1" spans="1:11" ht="30.75" thickBot="1" x14ac:dyDescent="0.3">
      <c r="A1" s="201" t="s">
        <v>116</v>
      </c>
      <c r="B1" s="201"/>
      <c r="C1" s="201"/>
      <c r="D1" s="201"/>
      <c r="E1" s="201"/>
      <c r="F1" s="61" t="s">
        <v>117</v>
      </c>
      <c r="G1" s="62"/>
    </row>
    <row r="2" spans="1:11" ht="16.5" thickBot="1" x14ac:dyDescent="0.3">
      <c r="A2" s="63"/>
      <c r="B2" s="64"/>
      <c r="C2" s="65"/>
      <c r="D2" s="65"/>
      <c r="E2" s="65"/>
      <c r="F2" s="65"/>
      <c r="G2" s="66"/>
    </row>
    <row r="3" spans="1:11" ht="16.5" thickBot="1" x14ac:dyDescent="0.3">
      <c r="A3" s="202" t="s">
        <v>118</v>
      </c>
      <c r="B3" s="202"/>
      <c r="C3" s="67" t="str">
        <f>'[1]SAF 011'!C4</f>
        <v>040 - MINISTERIO DE SALUD</v>
      </c>
      <c r="D3" s="68"/>
      <c r="E3" s="68"/>
      <c r="F3" s="68"/>
      <c r="G3" s="69"/>
    </row>
    <row r="4" spans="1:11" ht="16.5" thickBot="1" x14ac:dyDescent="0.3">
      <c r="A4" s="200" t="s">
        <v>119</v>
      </c>
      <c r="B4" s="200"/>
      <c r="C4" s="67" t="str">
        <f>'[1]SAF 011'!C5</f>
        <v>011 - DIRECCION PROVINCIAL DE ADMINISTRACION - MINISTERIO DE SALUD</v>
      </c>
      <c r="D4" s="68"/>
      <c r="E4" s="68"/>
      <c r="F4" s="68"/>
      <c r="G4" s="69"/>
    </row>
    <row r="5" spans="1:11" ht="16.5" thickBot="1" x14ac:dyDescent="0.3">
      <c r="A5" s="200" t="s">
        <v>120</v>
      </c>
      <c r="B5" s="200"/>
      <c r="C5" s="67" t="s">
        <v>157</v>
      </c>
      <c r="D5" s="68"/>
      <c r="E5" s="68"/>
      <c r="F5" s="68"/>
      <c r="G5" s="69"/>
    </row>
    <row r="6" spans="1:11" ht="16.5" thickBot="1" x14ac:dyDescent="0.3">
      <c r="A6" s="202" t="s">
        <v>122</v>
      </c>
      <c r="B6" s="202"/>
      <c r="C6" s="67" t="s">
        <v>157</v>
      </c>
      <c r="D6" s="68"/>
      <c r="E6" s="68"/>
      <c r="F6" s="68"/>
      <c r="G6" s="69"/>
    </row>
    <row r="7" spans="1:11" ht="16.5" thickBot="1" x14ac:dyDescent="0.3">
      <c r="A7" s="200" t="s">
        <v>123</v>
      </c>
      <c r="B7" s="200"/>
      <c r="C7" s="67" t="s">
        <v>124</v>
      </c>
      <c r="D7" s="68"/>
      <c r="E7" s="68"/>
      <c r="F7" s="68"/>
      <c r="G7" s="69"/>
    </row>
    <row r="8" spans="1:11" ht="16.5" thickBot="1" x14ac:dyDescent="0.3">
      <c r="A8" s="198" t="s">
        <v>125</v>
      </c>
      <c r="B8" s="198"/>
      <c r="C8" s="70" t="s">
        <v>158</v>
      </c>
      <c r="D8" s="68"/>
      <c r="E8" s="68"/>
      <c r="F8" s="68"/>
      <c r="G8" s="69"/>
    </row>
    <row r="9" spans="1:11" ht="15.75" x14ac:dyDescent="0.25">
      <c r="A9" s="71"/>
      <c r="B9" s="72"/>
      <c r="C9" s="73"/>
      <c r="D9" s="73"/>
      <c r="E9" s="73"/>
      <c r="F9" s="73"/>
      <c r="G9" s="74"/>
    </row>
    <row r="10" spans="1:11" x14ac:dyDescent="0.25">
      <c r="A10" s="199" t="s">
        <v>126</v>
      </c>
      <c r="B10" s="197" t="s">
        <v>127</v>
      </c>
      <c r="C10" s="197" t="s">
        <v>11</v>
      </c>
      <c r="D10" s="197" t="s">
        <v>128</v>
      </c>
      <c r="E10" s="197" t="s">
        <v>129</v>
      </c>
      <c r="F10" s="197" t="s">
        <v>130</v>
      </c>
      <c r="G10" s="197" t="s">
        <v>131</v>
      </c>
    </row>
    <row r="11" spans="1:11" ht="27" customHeight="1" x14ac:dyDescent="0.25">
      <c r="A11" s="199"/>
      <c r="B11" s="197"/>
      <c r="C11" s="197"/>
      <c r="D11" s="197"/>
      <c r="E11" s="197"/>
      <c r="F11" s="197"/>
      <c r="G11" s="197"/>
    </row>
    <row r="12" spans="1:11" ht="33" customHeight="1" x14ac:dyDescent="0.25">
      <c r="A12" s="122">
        <v>1</v>
      </c>
      <c r="B12" s="169" t="s">
        <v>19</v>
      </c>
      <c r="C12" s="170" t="s">
        <v>21</v>
      </c>
      <c r="D12" s="122" t="s">
        <v>132</v>
      </c>
      <c r="E12" s="169" t="s">
        <v>18</v>
      </c>
      <c r="F12" s="171">
        <v>1200</v>
      </c>
      <c r="G12" s="172">
        <v>3</v>
      </c>
      <c r="H12" s="162">
        <f>+F12*G12</f>
        <v>3600</v>
      </c>
      <c r="I12" s="165"/>
      <c r="J12" s="164"/>
      <c r="K12" s="164"/>
    </row>
    <row r="13" spans="1:11" s="23" customFormat="1" ht="19.5" customHeight="1" x14ac:dyDescent="0.25">
      <c r="A13" s="122">
        <v>2</v>
      </c>
      <c r="B13" s="123" t="s">
        <v>71</v>
      </c>
      <c r="C13" s="120" t="s">
        <v>72</v>
      </c>
      <c r="D13" s="122" t="s">
        <v>132</v>
      </c>
      <c r="E13" s="124" t="s">
        <v>16</v>
      </c>
      <c r="F13" s="173">
        <v>650</v>
      </c>
      <c r="G13" s="125">
        <v>3</v>
      </c>
      <c r="H13" s="162">
        <f t="shared" ref="H13:H29" si="0">+F13*G13</f>
        <v>1950</v>
      </c>
      <c r="I13" s="165"/>
      <c r="J13" s="164"/>
      <c r="K13" s="164"/>
    </row>
    <row r="14" spans="1:11" s="23" customFormat="1" ht="47.25" customHeight="1" x14ac:dyDescent="0.25">
      <c r="A14" s="122">
        <v>3</v>
      </c>
      <c r="B14" s="126" t="s">
        <v>22</v>
      </c>
      <c r="C14" s="120" t="s">
        <v>23</v>
      </c>
      <c r="D14" s="122" t="s">
        <v>132</v>
      </c>
      <c r="E14" s="126" t="s">
        <v>24</v>
      </c>
      <c r="F14" s="127">
        <v>650</v>
      </c>
      <c r="G14" s="125">
        <v>7</v>
      </c>
      <c r="H14" s="162">
        <f t="shared" si="0"/>
        <v>4550</v>
      </c>
      <c r="I14" s="165"/>
      <c r="J14" s="164"/>
      <c r="K14" s="164"/>
    </row>
    <row r="15" spans="1:11" s="23" customFormat="1" ht="51" customHeight="1" x14ac:dyDescent="0.25">
      <c r="A15" s="122">
        <v>4</v>
      </c>
      <c r="B15" s="124" t="s">
        <v>25</v>
      </c>
      <c r="C15" s="120" t="s">
        <v>26</v>
      </c>
      <c r="D15" s="122" t="s">
        <v>132</v>
      </c>
      <c r="E15" s="126" t="s">
        <v>24</v>
      </c>
      <c r="F15" s="127">
        <v>100</v>
      </c>
      <c r="G15" s="125">
        <v>7</v>
      </c>
      <c r="H15" s="162">
        <f t="shared" si="0"/>
        <v>700</v>
      </c>
      <c r="I15" s="165"/>
      <c r="J15" s="164"/>
      <c r="K15" s="164"/>
    </row>
    <row r="16" spans="1:11" s="23" customFormat="1" ht="21" customHeight="1" x14ac:dyDescent="0.25">
      <c r="A16" s="122">
        <v>5</v>
      </c>
      <c r="B16" s="124" t="s">
        <v>27</v>
      </c>
      <c r="C16" s="120" t="s">
        <v>28</v>
      </c>
      <c r="D16" s="122" t="s">
        <v>132</v>
      </c>
      <c r="E16" s="126" t="s">
        <v>16</v>
      </c>
      <c r="F16" s="127">
        <v>386</v>
      </c>
      <c r="G16" s="125">
        <v>3</v>
      </c>
      <c r="H16" s="162">
        <f t="shared" si="0"/>
        <v>1158</v>
      </c>
      <c r="I16" s="165"/>
      <c r="J16" s="164"/>
      <c r="K16" s="164"/>
    </row>
    <row r="17" spans="1:11" s="23" customFormat="1" ht="51" customHeight="1" x14ac:dyDescent="0.25">
      <c r="A17" s="122">
        <v>6</v>
      </c>
      <c r="B17" s="124" t="s">
        <v>29</v>
      </c>
      <c r="C17" s="120" t="s">
        <v>30</v>
      </c>
      <c r="D17" s="122" t="s">
        <v>132</v>
      </c>
      <c r="E17" s="126" t="s">
        <v>16</v>
      </c>
      <c r="F17" s="128">
        <v>290</v>
      </c>
      <c r="G17" s="125">
        <v>10</v>
      </c>
      <c r="H17" s="162">
        <f t="shared" si="0"/>
        <v>2900</v>
      </c>
      <c r="I17" s="165"/>
      <c r="J17" s="164"/>
      <c r="K17" s="164"/>
    </row>
    <row r="18" spans="1:11" s="23" customFormat="1" ht="22.5" customHeight="1" x14ac:dyDescent="0.25">
      <c r="A18" s="122">
        <v>7</v>
      </c>
      <c r="B18" s="123" t="s">
        <v>31</v>
      </c>
      <c r="C18" s="120" t="s">
        <v>32</v>
      </c>
      <c r="D18" s="122" t="s">
        <v>132</v>
      </c>
      <c r="E18" s="124" t="s">
        <v>16</v>
      </c>
      <c r="F18" s="128">
        <v>80</v>
      </c>
      <c r="G18" s="125">
        <v>5</v>
      </c>
      <c r="H18" s="162">
        <f t="shared" si="0"/>
        <v>400</v>
      </c>
      <c r="I18" s="165"/>
      <c r="J18" s="164"/>
      <c r="K18" s="164"/>
    </row>
    <row r="19" spans="1:11" s="23" customFormat="1" ht="67.5" customHeight="1" x14ac:dyDescent="0.25">
      <c r="A19" s="122">
        <v>8</v>
      </c>
      <c r="B19" s="123" t="s">
        <v>33</v>
      </c>
      <c r="C19" s="120" t="s">
        <v>34</v>
      </c>
      <c r="D19" s="122" t="s">
        <v>132</v>
      </c>
      <c r="E19" s="124" t="s">
        <v>16</v>
      </c>
      <c r="F19" s="128">
        <v>120</v>
      </c>
      <c r="G19" s="125">
        <v>5</v>
      </c>
      <c r="H19" s="162">
        <f t="shared" si="0"/>
        <v>600</v>
      </c>
      <c r="I19" s="165"/>
      <c r="J19" s="164"/>
      <c r="K19" s="164"/>
    </row>
    <row r="20" spans="1:11" s="23" customFormat="1" ht="22.5" customHeight="1" x14ac:dyDescent="0.25">
      <c r="A20" s="122">
        <v>9</v>
      </c>
      <c r="B20" s="123" t="s">
        <v>35</v>
      </c>
      <c r="C20" s="120" t="s">
        <v>36</v>
      </c>
      <c r="D20" s="122" t="s">
        <v>132</v>
      </c>
      <c r="E20" s="124" t="s">
        <v>16</v>
      </c>
      <c r="F20" s="127">
        <v>250</v>
      </c>
      <c r="G20" s="125">
        <v>10</v>
      </c>
      <c r="H20" s="162">
        <f t="shared" si="0"/>
        <v>2500</v>
      </c>
      <c r="I20" s="165"/>
      <c r="J20" s="164"/>
      <c r="K20" s="164"/>
    </row>
    <row r="21" spans="1:11" s="23" customFormat="1" ht="21" customHeight="1" x14ac:dyDescent="0.25">
      <c r="A21" s="122">
        <v>10</v>
      </c>
      <c r="B21" s="126" t="s">
        <v>37</v>
      </c>
      <c r="C21" s="120" t="s">
        <v>38</v>
      </c>
      <c r="D21" s="122" t="s">
        <v>132</v>
      </c>
      <c r="E21" s="126" t="s">
        <v>39</v>
      </c>
      <c r="F21" s="128">
        <v>350</v>
      </c>
      <c r="G21" s="125">
        <v>10</v>
      </c>
      <c r="H21" s="162">
        <f t="shared" si="0"/>
        <v>3500</v>
      </c>
      <c r="I21" s="165"/>
      <c r="J21" s="164"/>
      <c r="K21" s="164"/>
    </row>
    <row r="22" spans="1:11" s="23" customFormat="1" ht="33.75" customHeight="1" x14ac:dyDescent="0.25">
      <c r="A22" s="122">
        <v>11</v>
      </c>
      <c r="B22" s="124" t="s">
        <v>42</v>
      </c>
      <c r="C22" s="120" t="s">
        <v>43</v>
      </c>
      <c r="D22" s="122" t="s">
        <v>132</v>
      </c>
      <c r="E22" s="126" t="s">
        <v>18</v>
      </c>
      <c r="F22" s="127">
        <v>650</v>
      </c>
      <c r="G22" s="125">
        <v>10</v>
      </c>
      <c r="H22" s="162">
        <f t="shared" si="0"/>
        <v>6500</v>
      </c>
      <c r="I22" s="165"/>
      <c r="J22" s="164"/>
      <c r="K22" s="164"/>
    </row>
    <row r="23" spans="1:11" ht="33.75" customHeight="1" x14ac:dyDescent="0.25">
      <c r="A23" s="122">
        <v>12</v>
      </c>
      <c r="B23" s="126" t="s">
        <v>44</v>
      </c>
      <c r="C23" s="120" t="s">
        <v>45</v>
      </c>
      <c r="D23" s="122" t="s">
        <v>132</v>
      </c>
      <c r="E23" s="126" t="s">
        <v>16</v>
      </c>
      <c r="F23" s="127">
        <v>400</v>
      </c>
      <c r="G23" s="125">
        <v>5</v>
      </c>
      <c r="H23" s="162">
        <f t="shared" si="0"/>
        <v>2000</v>
      </c>
      <c r="I23" s="165"/>
      <c r="J23" s="164"/>
      <c r="K23" s="164"/>
    </row>
    <row r="24" spans="1:11" ht="33.75" customHeight="1" x14ac:dyDescent="0.25">
      <c r="A24" s="122">
        <v>13</v>
      </c>
      <c r="B24" s="126" t="s">
        <v>46</v>
      </c>
      <c r="C24" s="120" t="s">
        <v>47</v>
      </c>
      <c r="D24" s="122" t="s">
        <v>132</v>
      </c>
      <c r="E24" s="126" t="s">
        <v>18</v>
      </c>
      <c r="F24" s="127">
        <v>300</v>
      </c>
      <c r="G24" s="125">
        <v>10</v>
      </c>
      <c r="H24" s="162">
        <f t="shared" si="0"/>
        <v>3000</v>
      </c>
      <c r="I24" s="165"/>
      <c r="J24" s="164"/>
      <c r="K24" s="164"/>
    </row>
    <row r="25" spans="1:11" ht="38.25" customHeight="1" x14ac:dyDescent="0.25">
      <c r="A25" s="122">
        <v>14</v>
      </c>
      <c r="B25" s="124" t="s">
        <v>48</v>
      </c>
      <c r="C25" s="120" t="s">
        <v>49</v>
      </c>
      <c r="D25" s="122" t="s">
        <v>132</v>
      </c>
      <c r="E25" s="126" t="s">
        <v>16</v>
      </c>
      <c r="F25" s="127">
        <v>290</v>
      </c>
      <c r="G25" s="125">
        <v>5</v>
      </c>
      <c r="H25" s="162">
        <f t="shared" si="0"/>
        <v>1450</v>
      </c>
      <c r="I25" s="165"/>
      <c r="J25" s="164"/>
      <c r="K25" s="164"/>
    </row>
    <row r="26" spans="1:11" ht="36" customHeight="1" x14ac:dyDescent="0.25">
      <c r="A26" s="122">
        <v>15</v>
      </c>
      <c r="B26" s="124" t="s">
        <v>50</v>
      </c>
      <c r="C26" s="120" t="s">
        <v>51</v>
      </c>
      <c r="D26" s="122" t="s">
        <v>132</v>
      </c>
      <c r="E26" s="126" t="s">
        <v>16</v>
      </c>
      <c r="F26" s="127">
        <v>450</v>
      </c>
      <c r="G26" s="125">
        <v>8</v>
      </c>
      <c r="H26" s="162">
        <f t="shared" si="0"/>
        <v>3600</v>
      </c>
      <c r="I26" s="165"/>
      <c r="J26" s="162">
        <f>+H12+H13+H14+H15+H16+H17+H18+H19+H20+H21+H22+H23+H24+H25+H26+H28+H29</f>
        <v>40183</v>
      </c>
      <c r="K26" s="164"/>
    </row>
    <row r="27" spans="1:11" s="23" customFormat="1" ht="51" customHeight="1" x14ac:dyDescent="0.25">
      <c r="A27" s="122">
        <v>16</v>
      </c>
      <c r="B27" s="124" t="s">
        <v>55</v>
      </c>
      <c r="C27" s="120" t="s">
        <v>56</v>
      </c>
      <c r="D27" s="122" t="s">
        <v>132</v>
      </c>
      <c r="E27" s="126" t="s">
        <v>24</v>
      </c>
      <c r="F27" s="127">
        <v>350</v>
      </c>
      <c r="G27" s="125">
        <v>30</v>
      </c>
      <c r="H27" s="162">
        <f t="shared" si="0"/>
        <v>10500</v>
      </c>
      <c r="I27" s="165"/>
      <c r="J27" s="162">
        <f>+H27</f>
        <v>10500</v>
      </c>
      <c r="K27" s="164"/>
    </row>
    <row r="28" spans="1:11" ht="23.25" customHeight="1" x14ac:dyDescent="0.25">
      <c r="A28" s="122">
        <v>17</v>
      </c>
      <c r="B28" s="124" t="s">
        <v>61</v>
      </c>
      <c r="C28" s="120" t="s">
        <v>62</v>
      </c>
      <c r="D28" s="122" t="s">
        <v>132</v>
      </c>
      <c r="E28" s="126" t="s">
        <v>16</v>
      </c>
      <c r="F28" s="128">
        <v>120</v>
      </c>
      <c r="G28" s="125">
        <v>10</v>
      </c>
      <c r="H28" s="162">
        <f t="shared" si="0"/>
        <v>1200</v>
      </c>
      <c r="I28" s="165"/>
      <c r="J28" s="161"/>
      <c r="K28" s="161"/>
    </row>
    <row r="29" spans="1:11" ht="31.5" customHeight="1" x14ac:dyDescent="0.25">
      <c r="A29" s="122">
        <v>18</v>
      </c>
      <c r="B29" s="124" t="s">
        <v>63</v>
      </c>
      <c r="C29" s="120" t="s">
        <v>64</v>
      </c>
      <c r="D29" s="122" t="s">
        <v>132</v>
      </c>
      <c r="E29" s="126" t="s">
        <v>16</v>
      </c>
      <c r="F29" s="127">
        <v>115</v>
      </c>
      <c r="G29" s="125">
        <v>5</v>
      </c>
      <c r="H29" s="162">
        <f t="shared" si="0"/>
        <v>575</v>
      </c>
      <c r="I29" s="165"/>
      <c r="J29" s="161"/>
      <c r="K29" s="161"/>
    </row>
    <row r="30" spans="1:11" ht="28.5" customHeight="1" x14ac:dyDescent="0.25">
      <c r="A30" s="195" t="s">
        <v>159</v>
      </c>
      <c r="B30" s="195"/>
      <c r="C30" s="195"/>
      <c r="D30" s="195"/>
      <c r="E30" s="195"/>
      <c r="F30" s="196">
        <f>+H12+H13+H14+H15+H16+H17+H18+H19+H20+H21+H22+H23+H24+H25+H26+H27+H28+H29</f>
        <v>50683</v>
      </c>
      <c r="G30" s="196"/>
      <c r="H30" s="161"/>
      <c r="I30" s="161"/>
      <c r="J30" s="161"/>
      <c r="K30" s="161"/>
    </row>
    <row r="31" spans="1:11" x14ac:dyDescent="0.25">
      <c r="A31" s="23"/>
      <c r="B31" s="23"/>
      <c r="C31" s="23"/>
      <c r="D31" s="23"/>
      <c r="E31" s="23"/>
      <c r="F31" s="23"/>
      <c r="G31" s="23"/>
    </row>
  </sheetData>
  <mergeCells count="16">
    <mergeCell ref="A7:B7"/>
    <mergeCell ref="A1:E1"/>
    <mergeCell ref="A3:B3"/>
    <mergeCell ref="A4:B4"/>
    <mergeCell ref="A5:B5"/>
    <mergeCell ref="A6:B6"/>
    <mergeCell ref="A30:E30"/>
    <mergeCell ref="F30:G30"/>
    <mergeCell ref="F10:F11"/>
    <mergeCell ref="G10:G11"/>
    <mergeCell ref="A8:B8"/>
    <mergeCell ref="A10:A11"/>
    <mergeCell ref="B10:B11"/>
    <mergeCell ref="C10:C11"/>
    <mergeCell ref="D10:D11"/>
    <mergeCell ref="E10:E11"/>
  </mergeCells>
  <conditionalFormatting sqref="C12:C29">
    <cfRule type="duplicateValues" dxfId="136" priority="11"/>
  </conditionalFormatting>
  <conditionalFormatting sqref="C12:C29">
    <cfRule type="duplicateValues" dxfId="135" priority="12"/>
    <cfRule type="duplicateValues" dxfId="134" priority="13"/>
  </conditionalFormatting>
  <conditionalFormatting sqref="C27:C29 C12:C21">
    <cfRule type="duplicateValues" dxfId="133" priority="14"/>
  </conditionalFormatting>
  <conditionalFormatting sqref="C27:C29 C12:C25">
    <cfRule type="duplicateValues" dxfId="132" priority="15"/>
  </conditionalFormatting>
  <conditionalFormatting sqref="C12:C29">
    <cfRule type="duplicateValues" dxfId="131" priority="16"/>
  </conditionalFormatting>
  <conditionalFormatting sqref="C26">
    <cfRule type="duplicateValues" dxfId="130" priority="8"/>
  </conditionalFormatting>
  <conditionalFormatting sqref="C26">
    <cfRule type="duplicateValues" dxfId="129" priority="9"/>
  </conditionalFormatting>
  <conditionalFormatting sqref="C22:C25">
    <cfRule type="duplicateValues" dxfId="128" priority="10"/>
  </conditionalFormatting>
  <conditionalFormatting sqref="B27:B29 B12:B21">
    <cfRule type="duplicateValues" dxfId="127" priority="4"/>
  </conditionalFormatting>
  <conditionalFormatting sqref="B27:B29 B12:B25">
    <cfRule type="duplicateValues" dxfId="126" priority="5"/>
  </conditionalFormatting>
  <conditionalFormatting sqref="B12:B29">
    <cfRule type="duplicateValues" dxfId="125" priority="6"/>
  </conditionalFormatting>
  <conditionalFormatting sqref="B12:B29">
    <cfRule type="duplicateValues" dxfId="124" priority="7"/>
  </conditionalFormatting>
  <conditionalFormatting sqref="B26">
    <cfRule type="duplicateValues" dxfId="123" priority="1"/>
  </conditionalFormatting>
  <conditionalFormatting sqref="B26">
    <cfRule type="duplicateValues" dxfId="122" priority="2"/>
  </conditionalFormatting>
  <conditionalFormatting sqref="B22:B25">
    <cfRule type="duplicateValues" dxfId="121" priority="3"/>
  </conditionalFormatting>
  <pageMargins left="0.7" right="0.7" top="0.75" bottom="0.75" header="0.3" footer="0.3"/>
  <pageSetup paperSize="5" scale="5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2"/>
  <sheetViews>
    <sheetView topLeftCell="A13" zoomScaleNormal="100" workbookViewId="0">
      <selection activeCell="C51" sqref="C51"/>
    </sheetView>
  </sheetViews>
  <sheetFormatPr baseColWidth="10" defaultRowHeight="15" x14ac:dyDescent="0.25"/>
  <cols>
    <col min="1" max="14" width="5.7109375" customWidth="1"/>
    <col min="16" max="16" width="24" customWidth="1"/>
    <col min="17" max="17" width="21.5703125" customWidth="1"/>
  </cols>
  <sheetData>
    <row r="1" spans="1:17" ht="15.75" thickBot="1" x14ac:dyDescent="0.3">
      <c r="A1" s="222" t="s">
        <v>5</v>
      </c>
      <c r="B1" s="222"/>
      <c r="C1" s="222"/>
      <c r="D1" s="223">
        <v>2022</v>
      </c>
      <c r="E1" s="223"/>
      <c r="F1" s="86"/>
      <c r="G1" s="86"/>
      <c r="H1" s="87"/>
      <c r="I1" s="87"/>
      <c r="J1" s="87"/>
      <c r="K1" s="87"/>
      <c r="L1" s="87"/>
      <c r="M1" s="87"/>
      <c r="N1" s="87"/>
      <c r="O1" s="88"/>
      <c r="P1" s="224" t="s">
        <v>133</v>
      </c>
      <c r="Q1" s="224"/>
    </row>
    <row r="2" spans="1:17" ht="15.75" thickBot="1" x14ac:dyDescent="0.3">
      <c r="A2" s="89"/>
      <c r="B2" s="90"/>
      <c r="C2" s="90"/>
      <c r="D2" s="90"/>
      <c r="E2" s="90"/>
      <c r="F2" s="90"/>
      <c r="G2" s="91"/>
      <c r="H2" s="92"/>
      <c r="I2" s="92"/>
      <c r="J2" s="92"/>
      <c r="K2" s="92"/>
      <c r="L2" s="92"/>
      <c r="M2" s="92"/>
      <c r="N2" s="92"/>
      <c r="O2" s="90"/>
      <c r="P2" s="224"/>
      <c r="Q2" s="224"/>
    </row>
    <row r="3" spans="1:17" ht="15.75" thickBot="1" x14ac:dyDescent="0.3">
      <c r="A3" s="89"/>
      <c r="B3" s="90"/>
      <c r="C3" s="90"/>
      <c r="D3" s="90"/>
      <c r="E3" s="90"/>
      <c r="F3" s="90"/>
      <c r="G3" s="91"/>
      <c r="H3" s="90"/>
      <c r="I3" s="90"/>
      <c r="J3" s="90"/>
      <c r="K3" s="90"/>
      <c r="L3" s="90"/>
      <c r="M3" s="90"/>
      <c r="N3" s="90"/>
      <c r="O3" s="90"/>
      <c r="P3" s="90"/>
      <c r="Q3" s="93"/>
    </row>
    <row r="4" spans="1:17" ht="15.75" thickBot="1" x14ac:dyDescent="0.3">
      <c r="A4" s="225" t="s">
        <v>134</v>
      </c>
      <c r="B4" s="225"/>
      <c r="C4" s="225"/>
      <c r="D4" s="225"/>
      <c r="E4" s="225"/>
      <c r="F4" s="225"/>
      <c r="G4" s="226" t="str">
        <f>'[1]NP DPBS'!D3</f>
        <v>040 - MINISTERIO DE SALUD</v>
      </c>
      <c r="H4" s="226"/>
      <c r="I4" s="226"/>
      <c r="J4" s="226"/>
      <c r="K4" s="226"/>
      <c r="L4" s="226"/>
      <c r="M4" s="226"/>
      <c r="N4" s="226"/>
      <c r="O4" s="226"/>
      <c r="P4" s="226"/>
      <c r="Q4" s="226"/>
    </row>
    <row r="5" spans="1:17" ht="15.75" thickBot="1" x14ac:dyDescent="0.3">
      <c r="A5" s="227" t="s">
        <v>119</v>
      </c>
      <c r="B5" s="227"/>
      <c r="C5" s="227"/>
      <c r="D5" s="227"/>
      <c r="E5" s="227"/>
      <c r="F5" s="227"/>
      <c r="G5" s="226" t="str">
        <f>'[1]NP DPBS'!D4</f>
        <v>011 - DIRECCION PROVINCIAL DE ADMINISTRACION - MINISTERIO DE SALUD</v>
      </c>
      <c r="H5" s="226"/>
      <c r="I5" s="226"/>
      <c r="J5" s="226"/>
      <c r="K5" s="226"/>
      <c r="L5" s="226"/>
      <c r="M5" s="226"/>
      <c r="N5" s="226"/>
      <c r="O5" s="226"/>
      <c r="P5" s="226"/>
      <c r="Q5" s="226"/>
    </row>
    <row r="6" spans="1:17" ht="15.75" thickBot="1" x14ac:dyDescent="0.3">
      <c r="A6" s="227" t="s">
        <v>120</v>
      </c>
      <c r="B6" s="227"/>
      <c r="C6" s="227"/>
      <c r="D6" s="227"/>
      <c r="E6" s="227"/>
      <c r="F6" s="227"/>
      <c r="G6" s="226" t="s">
        <v>157</v>
      </c>
      <c r="H6" s="226"/>
      <c r="I6" s="226"/>
      <c r="J6" s="226"/>
      <c r="K6" s="226"/>
      <c r="L6" s="226"/>
      <c r="M6" s="226"/>
      <c r="N6" s="226"/>
      <c r="O6" s="226"/>
      <c r="P6" s="226"/>
      <c r="Q6" s="226"/>
    </row>
    <row r="7" spans="1:17" ht="15.75" thickBot="1" x14ac:dyDescent="0.3">
      <c r="A7" s="227" t="s">
        <v>122</v>
      </c>
      <c r="B7" s="227"/>
      <c r="C7" s="227"/>
      <c r="D7" s="227"/>
      <c r="E7" s="227"/>
      <c r="F7" s="227"/>
      <c r="G7" s="226" t="s">
        <v>157</v>
      </c>
      <c r="H7" s="226"/>
      <c r="I7" s="226"/>
      <c r="J7" s="226"/>
      <c r="K7" s="226"/>
      <c r="L7" s="226"/>
      <c r="M7" s="226"/>
      <c r="N7" s="226"/>
      <c r="O7" s="226"/>
      <c r="P7" s="226"/>
      <c r="Q7" s="226"/>
    </row>
    <row r="8" spans="1:17" ht="15.75" thickBot="1" x14ac:dyDescent="0.3">
      <c r="A8" s="228" t="s">
        <v>135</v>
      </c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  <c r="M8" s="228"/>
      <c r="N8" s="228"/>
      <c r="O8" s="228"/>
      <c r="P8" s="228"/>
      <c r="Q8" s="228"/>
    </row>
    <row r="9" spans="1:17" x14ac:dyDescent="0.25">
      <c r="A9" s="221" t="s">
        <v>136</v>
      </c>
      <c r="B9" s="221"/>
      <c r="C9" s="221"/>
      <c r="D9" s="221"/>
      <c r="E9" s="221"/>
      <c r="F9" s="221"/>
      <c r="G9" s="221"/>
      <c r="H9" s="221"/>
      <c r="I9" s="221"/>
      <c r="J9" s="221"/>
      <c r="K9" s="221"/>
      <c r="L9" s="221"/>
      <c r="M9" s="221"/>
      <c r="N9" s="221"/>
      <c r="O9" s="221"/>
      <c r="P9" s="221"/>
      <c r="Q9" s="221"/>
    </row>
    <row r="10" spans="1:17" ht="40.5" customHeight="1" x14ac:dyDescent="0.25">
      <c r="A10" s="212" t="s">
        <v>137</v>
      </c>
      <c r="B10" s="212"/>
      <c r="C10" s="212"/>
      <c r="D10" s="212"/>
      <c r="E10" s="212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</row>
    <row r="11" spans="1:17" ht="15.75" thickBot="1" x14ac:dyDescent="0.3">
      <c r="A11" s="94"/>
      <c r="B11" s="95"/>
      <c r="C11" s="95"/>
      <c r="D11" s="95"/>
      <c r="E11" s="95"/>
      <c r="F11" s="95"/>
      <c r="G11" s="96"/>
      <c r="H11" s="95"/>
      <c r="I11" s="95"/>
      <c r="J11" s="95"/>
      <c r="K11" s="95"/>
      <c r="L11" s="95"/>
      <c r="M11" s="95"/>
      <c r="N11" s="95"/>
      <c r="O11" s="95"/>
      <c r="P11" s="95"/>
      <c r="Q11" s="97"/>
    </row>
    <row r="12" spans="1:17" ht="15.75" thickBot="1" x14ac:dyDescent="0.3">
      <c r="A12" s="213" t="s">
        <v>138</v>
      </c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</row>
    <row r="13" spans="1:17" ht="15.75" thickBot="1" x14ac:dyDescent="0.3">
      <c r="A13" s="214" t="s">
        <v>139</v>
      </c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5" t="s">
        <v>140</v>
      </c>
      <c r="P13" s="215"/>
      <c r="Q13" s="216" t="s">
        <v>141</v>
      </c>
    </row>
    <row r="14" spans="1:17" ht="15.75" thickBot="1" x14ac:dyDescent="0.3">
      <c r="A14" s="98" t="s">
        <v>142</v>
      </c>
      <c r="B14" s="99" t="s">
        <v>143</v>
      </c>
      <c r="C14" s="99" t="s">
        <v>144</v>
      </c>
      <c r="D14" s="99" t="s">
        <v>145</v>
      </c>
      <c r="E14" s="99" t="s">
        <v>146</v>
      </c>
      <c r="F14" s="99" t="s">
        <v>147</v>
      </c>
      <c r="G14" s="100" t="s">
        <v>148</v>
      </c>
      <c r="H14" s="99" t="s">
        <v>149</v>
      </c>
      <c r="I14" s="99" t="s">
        <v>150</v>
      </c>
      <c r="J14" s="99" t="s">
        <v>151</v>
      </c>
      <c r="K14" s="99" t="s">
        <v>151</v>
      </c>
      <c r="L14" s="99" t="s">
        <v>152</v>
      </c>
      <c r="M14" s="101" t="s">
        <v>153</v>
      </c>
      <c r="N14" s="102" t="s">
        <v>154</v>
      </c>
      <c r="O14" s="215"/>
      <c r="P14" s="215"/>
      <c r="Q14" s="216"/>
    </row>
    <row r="15" spans="1:17" x14ac:dyDescent="0.25">
      <c r="A15" s="129">
        <v>47</v>
      </c>
      <c r="B15" s="129"/>
      <c r="C15" s="129"/>
      <c r="D15" s="129">
        <v>1</v>
      </c>
      <c r="E15" s="129"/>
      <c r="F15" s="129">
        <v>4901</v>
      </c>
      <c r="G15" s="129">
        <v>3</v>
      </c>
      <c r="H15" s="129">
        <v>1</v>
      </c>
      <c r="I15" s="129">
        <v>2</v>
      </c>
      <c r="J15" s="129">
        <v>9</v>
      </c>
      <c r="K15" s="129">
        <v>1</v>
      </c>
      <c r="L15" s="129"/>
      <c r="M15" s="129">
        <v>1</v>
      </c>
      <c r="N15" s="129" t="s">
        <v>155</v>
      </c>
      <c r="O15" s="229" t="s">
        <v>17</v>
      </c>
      <c r="P15" s="217"/>
      <c r="Q15" s="103">
        <v>40183</v>
      </c>
    </row>
    <row r="16" spans="1:17" x14ac:dyDescent="0.25">
      <c r="A16" s="129">
        <v>47</v>
      </c>
      <c r="B16" s="129"/>
      <c r="C16" s="129"/>
      <c r="D16" s="129">
        <v>1</v>
      </c>
      <c r="E16" s="129"/>
      <c r="F16" s="129">
        <v>4901</v>
      </c>
      <c r="G16" s="129">
        <v>3</v>
      </c>
      <c r="H16" s="129">
        <v>1</v>
      </c>
      <c r="I16" s="129">
        <v>2</v>
      </c>
      <c r="J16" s="129">
        <v>3</v>
      </c>
      <c r="K16" s="129">
        <v>4</v>
      </c>
      <c r="L16" s="129"/>
      <c r="M16" s="129">
        <v>1</v>
      </c>
      <c r="N16" s="129" t="s">
        <v>155</v>
      </c>
      <c r="O16" s="230" t="s">
        <v>174</v>
      </c>
      <c r="P16" s="218"/>
      <c r="Q16" s="108">
        <v>10500</v>
      </c>
    </row>
    <row r="17" spans="1:17" x14ac:dyDescent="0.25">
      <c r="A17" s="104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6"/>
      <c r="N17" s="105"/>
      <c r="O17" s="231"/>
      <c r="P17" s="231"/>
      <c r="Q17" s="108"/>
    </row>
    <row r="18" spans="1:17" x14ac:dyDescent="0.25">
      <c r="A18" s="104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6"/>
      <c r="N18" s="107"/>
      <c r="O18" s="211"/>
      <c r="P18" s="211"/>
      <c r="Q18" s="108"/>
    </row>
    <row r="19" spans="1:17" x14ac:dyDescent="0.25">
      <c r="A19" s="104"/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6"/>
      <c r="N19" s="107"/>
      <c r="O19" s="211"/>
      <c r="P19" s="211"/>
      <c r="Q19" s="108"/>
    </row>
    <row r="20" spans="1:17" x14ac:dyDescent="0.25">
      <c r="A20" s="104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6"/>
      <c r="N20" s="107"/>
      <c r="O20" s="211"/>
      <c r="P20" s="211"/>
      <c r="Q20" s="108"/>
    </row>
    <row r="21" spans="1:17" x14ac:dyDescent="0.25">
      <c r="A21" s="104"/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6"/>
      <c r="N21" s="107"/>
      <c r="O21" s="211"/>
      <c r="P21" s="211"/>
      <c r="Q21" s="108"/>
    </row>
    <row r="22" spans="1:17" x14ac:dyDescent="0.25">
      <c r="A22" s="104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6"/>
      <c r="N22" s="107"/>
      <c r="O22" s="211"/>
      <c r="P22" s="211"/>
      <c r="Q22" s="108"/>
    </row>
    <row r="23" spans="1:17" x14ac:dyDescent="0.25">
      <c r="A23" s="104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6"/>
      <c r="N23" s="107"/>
      <c r="O23" s="211"/>
      <c r="P23" s="211"/>
      <c r="Q23" s="108"/>
    </row>
    <row r="24" spans="1:17" x14ac:dyDescent="0.25">
      <c r="A24" s="104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6"/>
      <c r="N24" s="107"/>
      <c r="O24" s="211"/>
      <c r="P24" s="211"/>
      <c r="Q24" s="108"/>
    </row>
    <row r="25" spans="1:17" x14ac:dyDescent="0.25">
      <c r="A25" s="104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6"/>
      <c r="N25" s="107"/>
      <c r="O25" s="211"/>
      <c r="P25" s="211"/>
      <c r="Q25" s="108"/>
    </row>
    <row r="26" spans="1:17" x14ac:dyDescent="0.25">
      <c r="A26" s="104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6"/>
      <c r="N26" s="107"/>
      <c r="O26" s="211"/>
      <c r="P26" s="211"/>
      <c r="Q26" s="108"/>
    </row>
    <row r="27" spans="1:17" x14ac:dyDescent="0.25">
      <c r="A27" s="104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6"/>
      <c r="N27" s="107"/>
      <c r="O27" s="211"/>
      <c r="P27" s="211"/>
      <c r="Q27" s="108"/>
    </row>
    <row r="28" spans="1:17" x14ac:dyDescent="0.25">
      <c r="A28" s="104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6"/>
      <c r="N28" s="107"/>
      <c r="O28" s="211"/>
      <c r="P28" s="211"/>
      <c r="Q28" s="108"/>
    </row>
    <row r="29" spans="1:17" x14ac:dyDescent="0.25">
      <c r="A29" s="104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6"/>
      <c r="N29" s="107"/>
      <c r="O29" s="211"/>
      <c r="P29" s="211"/>
      <c r="Q29" s="108"/>
    </row>
    <row r="30" spans="1:17" x14ac:dyDescent="0.25">
      <c r="A30" s="104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6"/>
      <c r="N30" s="107"/>
      <c r="O30" s="211"/>
      <c r="P30" s="211"/>
      <c r="Q30" s="108"/>
    </row>
    <row r="31" spans="1:17" x14ac:dyDescent="0.25">
      <c r="A31" s="104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6"/>
      <c r="N31" s="107"/>
      <c r="O31" s="211"/>
      <c r="P31" s="211"/>
      <c r="Q31" s="108"/>
    </row>
    <row r="32" spans="1:17" x14ac:dyDescent="0.25">
      <c r="A32" s="104"/>
      <c r="B32" s="105"/>
      <c r="C32" s="105"/>
      <c r="D32" s="105"/>
      <c r="E32" s="105"/>
      <c r="F32" s="107"/>
      <c r="G32" s="105"/>
      <c r="H32" s="105"/>
      <c r="I32" s="105"/>
      <c r="J32" s="105"/>
      <c r="K32" s="105"/>
      <c r="L32" s="105"/>
      <c r="M32" s="106"/>
      <c r="N32" s="107"/>
      <c r="O32" s="206"/>
      <c r="P32" s="206"/>
      <c r="Q32" s="108"/>
    </row>
    <row r="33" spans="1:17" x14ac:dyDescent="0.25">
      <c r="A33" s="104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6"/>
      <c r="N33" s="107"/>
      <c r="O33" s="206"/>
      <c r="P33" s="206"/>
      <c r="Q33" s="108"/>
    </row>
    <row r="34" spans="1:17" x14ac:dyDescent="0.25">
      <c r="A34" s="104"/>
      <c r="B34" s="105"/>
      <c r="C34" s="105"/>
      <c r="D34" s="105"/>
      <c r="E34" s="105"/>
      <c r="F34" s="107"/>
      <c r="G34" s="105"/>
      <c r="H34" s="105"/>
      <c r="I34" s="105"/>
      <c r="J34" s="105"/>
      <c r="K34" s="105"/>
      <c r="L34" s="105"/>
      <c r="M34" s="106"/>
      <c r="N34" s="107"/>
      <c r="O34" s="206"/>
      <c r="P34" s="206"/>
      <c r="Q34" s="108"/>
    </row>
    <row r="35" spans="1:17" x14ac:dyDescent="0.25">
      <c r="A35" s="104"/>
      <c r="B35" s="105"/>
      <c r="C35" s="105"/>
      <c r="D35" s="105"/>
      <c r="E35" s="105"/>
      <c r="F35" s="107"/>
      <c r="G35" s="105"/>
      <c r="H35" s="105"/>
      <c r="I35" s="105"/>
      <c r="J35" s="105"/>
      <c r="K35" s="105"/>
      <c r="L35" s="105"/>
      <c r="M35" s="106"/>
      <c r="N35" s="107"/>
      <c r="O35" s="206"/>
      <c r="P35" s="206"/>
      <c r="Q35" s="108"/>
    </row>
    <row r="36" spans="1:17" x14ac:dyDescent="0.25">
      <c r="A36" s="109"/>
      <c r="B36" s="110"/>
      <c r="C36" s="110"/>
      <c r="D36" s="110"/>
      <c r="E36" s="110"/>
      <c r="F36" s="111"/>
      <c r="G36" s="110"/>
      <c r="H36" s="110"/>
      <c r="I36" s="110"/>
      <c r="J36" s="110"/>
      <c r="K36" s="110"/>
      <c r="L36" s="110"/>
      <c r="M36" s="112"/>
      <c r="N36" s="113"/>
      <c r="O36" s="207"/>
      <c r="P36" s="207"/>
      <c r="Q36" s="108"/>
    </row>
    <row r="37" spans="1:17" ht="15.75" thickBot="1" x14ac:dyDescent="0.3">
      <c r="A37" s="114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6"/>
      <c r="N37" s="115"/>
      <c r="O37" s="208"/>
      <c r="P37" s="208"/>
      <c r="Q37" s="117"/>
    </row>
    <row r="38" spans="1:17" ht="15.75" thickBot="1" x14ac:dyDescent="0.3">
      <c r="A38" s="209" t="s">
        <v>160</v>
      </c>
      <c r="B38" s="209"/>
      <c r="C38" s="209"/>
      <c r="D38" s="209"/>
      <c r="E38" s="209"/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209"/>
      <c r="Q38" s="118">
        <f>SUM(Q15:Q37)</f>
        <v>50683</v>
      </c>
    </row>
    <row r="39" spans="1:17" ht="15.75" thickBot="1" x14ac:dyDescent="0.3">
      <c r="A39" s="210"/>
      <c r="B39" s="210"/>
      <c r="C39" s="210"/>
      <c r="D39" s="210"/>
      <c r="E39" s="210"/>
      <c r="F39" s="210"/>
      <c r="G39" s="210"/>
      <c r="H39" s="210"/>
      <c r="I39" s="210"/>
      <c r="J39" s="210"/>
      <c r="K39" s="210"/>
      <c r="L39" s="210"/>
      <c r="M39" s="210"/>
      <c r="N39" s="210"/>
      <c r="O39" s="210"/>
      <c r="P39" s="210"/>
      <c r="Q39" s="210"/>
    </row>
    <row r="40" spans="1:17" ht="15.75" thickBot="1" x14ac:dyDescent="0.3">
      <c r="A40" s="203" t="s">
        <v>156</v>
      </c>
      <c r="B40" s="203"/>
      <c r="C40" s="203"/>
      <c r="D40" s="203"/>
      <c r="E40" s="203"/>
      <c r="F40" s="203"/>
      <c r="G40" s="204"/>
      <c r="H40" s="204"/>
      <c r="I40" s="204"/>
      <c r="J40" s="204"/>
      <c r="K40" s="204"/>
      <c r="L40" s="204"/>
      <c r="M40" s="204"/>
      <c r="N40" s="204"/>
      <c r="O40" s="204"/>
      <c r="P40" s="204"/>
      <c r="Q40" s="204"/>
    </row>
    <row r="41" spans="1:17" ht="15.75" thickBot="1" x14ac:dyDescent="0.3">
      <c r="A41" s="205" t="s">
        <v>158</v>
      </c>
      <c r="B41" s="205"/>
      <c r="C41" s="205"/>
      <c r="D41" s="205"/>
      <c r="E41" s="205"/>
      <c r="F41" s="205"/>
      <c r="G41" s="205"/>
      <c r="H41" s="205"/>
      <c r="I41" s="205"/>
      <c r="J41" s="205"/>
      <c r="K41" s="205"/>
      <c r="L41" s="205"/>
      <c r="M41" s="205"/>
      <c r="N41" s="205"/>
      <c r="O41" s="205"/>
      <c r="P41" s="205"/>
      <c r="Q41" s="205"/>
    </row>
    <row r="42" spans="1:17" ht="15.75" thickBot="1" x14ac:dyDescent="0.3">
      <c r="A42" s="205"/>
      <c r="B42" s="205"/>
      <c r="C42" s="205"/>
      <c r="D42" s="205"/>
      <c r="E42" s="205"/>
      <c r="F42" s="205"/>
      <c r="G42" s="205"/>
      <c r="H42" s="205"/>
      <c r="I42" s="205"/>
      <c r="J42" s="205"/>
      <c r="K42" s="205"/>
      <c r="L42" s="205"/>
      <c r="M42" s="205"/>
      <c r="N42" s="205"/>
      <c r="O42" s="205"/>
      <c r="P42" s="205"/>
      <c r="Q42" s="205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pageSetup paperSize="5" scale="6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28"/>
  <sheetViews>
    <sheetView topLeftCell="A10" zoomScaleNormal="100" workbookViewId="0">
      <selection activeCell="C51" sqref="C51"/>
    </sheetView>
  </sheetViews>
  <sheetFormatPr baseColWidth="10" defaultRowHeight="15" x14ac:dyDescent="0.25"/>
  <cols>
    <col min="2" max="2" width="18.85546875" customWidth="1"/>
    <col min="3" max="3" width="53.140625" customWidth="1"/>
    <col min="8" max="8" width="16" customWidth="1"/>
    <col min="10" max="10" width="12" bestFit="1" customWidth="1"/>
  </cols>
  <sheetData>
    <row r="1" spans="1:9" ht="30.75" thickBot="1" x14ac:dyDescent="0.3">
      <c r="A1" s="201" t="s">
        <v>116</v>
      </c>
      <c r="B1" s="201"/>
      <c r="C1" s="201"/>
      <c r="D1" s="201"/>
      <c r="E1" s="201"/>
      <c r="F1" s="61" t="s">
        <v>117</v>
      </c>
      <c r="G1" s="62"/>
    </row>
    <row r="2" spans="1:9" ht="16.5" thickBot="1" x14ac:dyDescent="0.3">
      <c r="A2" s="63"/>
      <c r="B2" s="64"/>
      <c r="C2" s="65"/>
      <c r="D2" s="65"/>
      <c r="E2" s="65"/>
      <c r="F2" s="65"/>
      <c r="G2" s="66"/>
    </row>
    <row r="3" spans="1:9" ht="16.5" thickBot="1" x14ac:dyDescent="0.3">
      <c r="A3" s="202" t="s">
        <v>118</v>
      </c>
      <c r="B3" s="202"/>
      <c r="C3" s="67" t="str">
        <f>'[2]SAF 011'!C4</f>
        <v>040 - MINISTERIO DE SALUD</v>
      </c>
      <c r="D3" s="68"/>
      <c r="E3" s="68"/>
      <c r="F3" s="68"/>
      <c r="G3" s="69"/>
    </row>
    <row r="4" spans="1:9" ht="16.5" thickBot="1" x14ac:dyDescent="0.3">
      <c r="A4" s="200" t="s">
        <v>119</v>
      </c>
      <c r="B4" s="200"/>
      <c r="C4" s="67" t="str">
        <f>'[2]SAF 011'!C5</f>
        <v>011 - DIRECCION PROVINCIAL DE ADMINISTRACION - MINISTERIO DE SALUD</v>
      </c>
      <c r="D4" s="68"/>
      <c r="E4" s="68"/>
      <c r="F4" s="68"/>
      <c r="G4" s="69"/>
    </row>
    <row r="5" spans="1:9" ht="16.5" thickBot="1" x14ac:dyDescent="0.3">
      <c r="A5" s="200" t="s">
        <v>120</v>
      </c>
      <c r="B5" s="200"/>
      <c r="C5" s="67" t="s">
        <v>162</v>
      </c>
      <c r="D5" s="68"/>
      <c r="E5" s="68"/>
      <c r="F5" s="68"/>
      <c r="G5" s="69"/>
    </row>
    <row r="6" spans="1:9" ht="16.5" thickBot="1" x14ac:dyDescent="0.3">
      <c r="A6" s="202" t="s">
        <v>122</v>
      </c>
      <c r="B6" s="202"/>
      <c r="C6" s="67" t="s">
        <v>162</v>
      </c>
      <c r="D6" s="68"/>
      <c r="E6" s="68"/>
      <c r="F6" s="68"/>
      <c r="G6" s="69"/>
    </row>
    <row r="7" spans="1:9" ht="16.5" thickBot="1" x14ac:dyDescent="0.3">
      <c r="A7" s="200" t="s">
        <v>123</v>
      </c>
      <c r="B7" s="200"/>
      <c r="C7" s="67" t="s">
        <v>124</v>
      </c>
      <c r="D7" s="68"/>
      <c r="E7" s="68"/>
      <c r="F7" s="68"/>
      <c r="G7" s="69"/>
    </row>
    <row r="8" spans="1:9" ht="16.5" thickBot="1" x14ac:dyDescent="0.3">
      <c r="A8" s="198" t="s">
        <v>125</v>
      </c>
      <c r="B8" s="198"/>
      <c r="C8" s="70" t="s">
        <v>158</v>
      </c>
      <c r="D8" s="68"/>
      <c r="E8" s="68"/>
      <c r="F8" s="68"/>
      <c r="G8" s="69"/>
    </row>
    <row r="9" spans="1:9" ht="15.75" x14ac:dyDescent="0.25">
      <c r="A9" s="71"/>
      <c r="B9" s="72"/>
      <c r="C9" s="73"/>
      <c r="D9" s="73"/>
      <c r="E9" s="73"/>
      <c r="F9" s="73"/>
      <c r="G9" s="74"/>
    </row>
    <row r="10" spans="1:9" x14ac:dyDescent="0.25">
      <c r="A10" s="199" t="s">
        <v>126</v>
      </c>
      <c r="B10" s="197" t="s">
        <v>127</v>
      </c>
      <c r="C10" s="197" t="s">
        <v>161</v>
      </c>
      <c r="D10" s="197" t="s">
        <v>128</v>
      </c>
      <c r="E10" s="197" t="s">
        <v>129</v>
      </c>
      <c r="F10" s="197" t="s">
        <v>130</v>
      </c>
      <c r="G10" s="197" t="s">
        <v>131</v>
      </c>
    </row>
    <row r="11" spans="1:9" ht="27" customHeight="1" x14ac:dyDescent="0.25">
      <c r="A11" s="199"/>
      <c r="B11" s="197"/>
      <c r="C11" s="197"/>
      <c r="D11" s="197"/>
      <c r="E11" s="197"/>
      <c r="F11" s="197"/>
      <c r="G11" s="197"/>
    </row>
    <row r="12" spans="1:9" ht="18" customHeight="1" x14ac:dyDescent="0.25">
      <c r="A12" s="75">
        <v>1</v>
      </c>
      <c r="B12" s="44" t="s">
        <v>71</v>
      </c>
      <c r="C12" s="45" t="s">
        <v>72</v>
      </c>
      <c r="D12" s="135" t="s">
        <v>132</v>
      </c>
      <c r="E12" s="37" t="s">
        <v>16</v>
      </c>
      <c r="F12" s="77">
        <v>650</v>
      </c>
      <c r="G12" s="36">
        <v>1</v>
      </c>
      <c r="H12" s="163">
        <f>+G12*F12</f>
        <v>650</v>
      </c>
      <c r="I12" s="161"/>
    </row>
    <row r="13" spans="1:9" x14ac:dyDescent="0.25">
      <c r="A13" s="75">
        <v>2</v>
      </c>
      <c r="B13" s="29" t="s">
        <v>27</v>
      </c>
      <c r="C13" s="34" t="s">
        <v>28</v>
      </c>
      <c r="D13" s="135" t="s">
        <v>132</v>
      </c>
      <c r="E13" s="33" t="s">
        <v>16</v>
      </c>
      <c r="F13" s="39">
        <v>386</v>
      </c>
      <c r="G13" s="36">
        <v>1</v>
      </c>
      <c r="H13" s="163">
        <f t="shared" ref="H13:H26" si="0">+G13*F13</f>
        <v>386</v>
      </c>
      <c r="I13" s="161"/>
    </row>
    <row r="14" spans="1:9" ht="25.5" x14ac:dyDescent="0.25">
      <c r="A14" s="75">
        <v>3</v>
      </c>
      <c r="B14" s="29" t="s">
        <v>29</v>
      </c>
      <c r="C14" s="34" t="s">
        <v>30</v>
      </c>
      <c r="D14" s="135" t="s">
        <v>132</v>
      </c>
      <c r="E14" s="33" t="s">
        <v>16</v>
      </c>
      <c r="F14" s="43">
        <v>290</v>
      </c>
      <c r="G14" s="36">
        <v>10</v>
      </c>
      <c r="H14" s="163">
        <f t="shared" si="0"/>
        <v>2900</v>
      </c>
      <c r="I14" s="161"/>
    </row>
    <row r="15" spans="1:9" ht="38.25" x14ac:dyDescent="0.25">
      <c r="A15" s="75">
        <v>4</v>
      </c>
      <c r="B15" s="44" t="s">
        <v>33</v>
      </c>
      <c r="C15" s="45" t="s">
        <v>34</v>
      </c>
      <c r="D15" s="135" t="s">
        <v>132</v>
      </c>
      <c r="E15" s="37" t="s">
        <v>16</v>
      </c>
      <c r="F15" s="43">
        <v>120</v>
      </c>
      <c r="G15" s="36">
        <v>10</v>
      </c>
      <c r="H15" s="163">
        <f t="shared" si="0"/>
        <v>1200</v>
      </c>
      <c r="I15" s="161"/>
    </row>
    <row r="16" spans="1:9" x14ac:dyDescent="0.25">
      <c r="A16" s="75">
        <v>5</v>
      </c>
      <c r="B16" s="18" t="s">
        <v>37</v>
      </c>
      <c r="C16" s="34" t="s">
        <v>38</v>
      </c>
      <c r="D16" s="135" t="s">
        <v>132</v>
      </c>
      <c r="E16" s="33" t="s">
        <v>39</v>
      </c>
      <c r="F16" s="43">
        <v>350</v>
      </c>
      <c r="G16" s="36">
        <v>5</v>
      </c>
      <c r="H16" s="163">
        <f t="shared" si="0"/>
        <v>1750</v>
      </c>
      <c r="I16" s="161"/>
    </row>
    <row r="17" spans="1:9" ht="25.5" x14ac:dyDescent="0.25">
      <c r="A17" s="75">
        <v>6</v>
      </c>
      <c r="B17" s="46" t="s">
        <v>42</v>
      </c>
      <c r="C17" s="34" t="s">
        <v>43</v>
      </c>
      <c r="D17" s="135" t="s">
        <v>132</v>
      </c>
      <c r="E17" s="33" t="s">
        <v>18</v>
      </c>
      <c r="F17" s="39">
        <v>650</v>
      </c>
      <c r="G17" s="36">
        <v>5</v>
      </c>
      <c r="H17" s="163">
        <f t="shared" si="0"/>
        <v>3250</v>
      </c>
      <c r="I17" s="161"/>
    </row>
    <row r="18" spans="1:9" x14ac:dyDescent="0.25">
      <c r="A18" s="75">
        <v>7</v>
      </c>
      <c r="B18" s="47" t="s">
        <v>46</v>
      </c>
      <c r="C18" s="34" t="s">
        <v>47</v>
      </c>
      <c r="D18" s="135" t="s">
        <v>132</v>
      </c>
      <c r="E18" s="33" t="s">
        <v>18</v>
      </c>
      <c r="F18" s="39">
        <v>300</v>
      </c>
      <c r="G18" s="36">
        <v>1</v>
      </c>
      <c r="H18" s="163">
        <f t="shared" si="0"/>
        <v>300</v>
      </c>
      <c r="I18" s="161"/>
    </row>
    <row r="19" spans="1:9" x14ac:dyDescent="0.25">
      <c r="A19" s="75">
        <v>8</v>
      </c>
      <c r="B19" s="29" t="s">
        <v>57</v>
      </c>
      <c r="C19" s="34" t="s">
        <v>58</v>
      </c>
      <c r="D19" s="135" t="s">
        <v>132</v>
      </c>
      <c r="E19" s="33" t="s">
        <v>16</v>
      </c>
      <c r="F19" s="39">
        <v>400</v>
      </c>
      <c r="G19" s="36">
        <v>3</v>
      </c>
      <c r="H19" s="163">
        <f t="shared" si="0"/>
        <v>1200</v>
      </c>
      <c r="I19" s="161"/>
    </row>
    <row r="20" spans="1:9" x14ac:dyDescent="0.25">
      <c r="A20" s="75">
        <v>9</v>
      </c>
      <c r="B20" s="29" t="s">
        <v>61</v>
      </c>
      <c r="C20" s="45" t="s">
        <v>62</v>
      </c>
      <c r="D20" s="135" t="s">
        <v>132</v>
      </c>
      <c r="E20" s="33" t="s">
        <v>16</v>
      </c>
      <c r="F20" s="43">
        <v>120</v>
      </c>
      <c r="G20" s="36">
        <v>3</v>
      </c>
      <c r="H20" s="163">
        <f t="shared" si="0"/>
        <v>360</v>
      </c>
      <c r="I20" s="161"/>
    </row>
    <row r="21" spans="1:9" ht="25.5" x14ac:dyDescent="0.25">
      <c r="A21" s="75">
        <v>10</v>
      </c>
      <c r="B21" s="29" t="s">
        <v>63</v>
      </c>
      <c r="C21" s="45" t="s">
        <v>64</v>
      </c>
      <c r="D21" s="135" t="s">
        <v>132</v>
      </c>
      <c r="E21" s="33" t="s">
        <v>16</v>
      </c>
      <c r="F21" s="39">
        <v>115</v>
      </c>
      <c r="G21" s="36">
        <v>3</v>
      </c>
      <c r="H21" s="163">
        <f t="shared" si="0"/>
        <v>345</v>
      </c>
      <c r="I21" s="161"/>
    </row>
    <row r="22" spans="1:9" ht="38.25" x14ac:dyDescent="0.25">
      <c r="A22" s="75">
        <v>11</v>
      </c>
      <c r="B22" s="49" t="s">
        <v>89</v>
      </c>
      <c r="C22" s="50" t="s">
        <v>90</v>
      </c>
      <c r="D22" s="135" t="s">
        <v>132</v>
      </c>
      <c r="E22" s="29" t="s">
        <v>16</v>
      </c>
      <c r="F22" s="51">
        <v>800</v>
      </c>
      <c r="G22" s="36">
        <v>2</v>
      </c>
      <c r="H22" s="163">
        <f t="shared" si="0"/>
        <v>1600</v>
      </c>
      <c r="I22" s="161"/>
    </row>
    <row r="23" spans="1:9" s="23" customFormat="1" ht="25.5" x14ac:dyDescent="0.25">
      <c r="A23" s="75">
        <v>12</v>
      </c>
      <c r="B23" s="49" t="s">
        <v>78</v>
      </c>
      <c r="C23" s="50" t="s">
        <v>79</v>
      </c>
      <c r="D23" s="135" t="s">
        <v>132</v>
      </c>
      <c r="E23" s="29" t="s">
        <v>16</v>
      </c>
      <c r="F23" s="51">
        <v>180</v>
      </c>
      <c r="G23" s="36">
        <v>20</v>
      </c>
      <c r="H23" s="163">
        <f t="shared" si="0"/>
        <v>3600</v>
      </c>
      <c r="I23" s="161"/>
    </row>
    <row r="24" spans="1:9" s="23" customFormat="1" ht="38.25" x14ac:dyDescent="0.25">
      <c r="A24" s="75">
        <v>13</v>
      </c>
      <c r="B24" s="49" t="s">
        <v>80</v>
      </c>
      <c r="C24" s="50" t="s">
        <v>81</v>
      </c>
      <c r="D24" s="135" t="s">
        <v>132</v>
      </c>
      <c r="E24" s="29" t="s">
        <v>16</v>
      </c>
      <c r="F24" s="51">
        <v>780</v>
      </c>
      <c r="G24" s="36">
        <v>3</v>
      </c>
      <c r="H24" s="163">
        <f t="shared" si="0"/>
        <v>2340</v>
      </c>
      <c r="I24" s="161"/>
    </row>
    <row r="25" spans="1:9" s="23" customFormat="1" ht="25.5" x14ac:dyDescent="0.25">
      <c r="A25" s="75">
        <v>14</v>
      </c>
      <c r="B25" s="49" t="s">
        <v>82</v>
      </c>
      <c r="C25" s="50" t="s">
        <v>84</v>
      </c>
      <c r="D25" s="135" t="s">
        <v>132</v>
      </c>
      <c r="E25" s="149" t="s">
        <v>16</v>
      </c>
      <c r="F25" s="150">
        <v>290</v>
      </c>
      <c r="G25" s="147">
        <v>5</v>
      </c>
      <c r="H25" s="163">
        <f t="shared" si="0"/>
        <v>1450</v>
      </c>
      <c r="I25" s="161"/>
    </row>
    <row r="26" spans="1:9" ht="25.5" x14ac:dyDescent="0.25">
      <c r="A26" s="75">
        <v>15</v>
      </c>
      <c r="B26" s="49" t="s">
        <v>83</v>
      </c>
      <c r="C26" s="50" t="s">
        <v>85</v>
      </c>
      <c r="D26" s="135" t="s">
        <v>132</v>
      </c>
      <c r="E26" s="29" t="s">
        <v>16</v>
      </c>
      <c r="F26" s="51">
        <v>1300</v>
      </c>
      <c r="G26" s="36">
        <v>1</v>
      </c>
      <c r="H26" s="163">
        <f t="shared" si="0"/>
        <v>1300</v>
      </c>
      <c r="I26" s="161"/>
    </row>
    <row r="27" spans="1:9" ht="45.75" customHeight="1" x14ac:dyDescent="0.25">
      <c r="A27" s="195" t="s">
        <v>180</v>
      </c>
      <c r="B27" s="195"/>
      <c r="C27" s="195"/>
      <c r="D27" s="195"/>
      <c r="E27" s="195"/>
      <c r="F27" s="196">
        <f>+H12+H13+H14+H15+H16+H17+H18+H19+H20+H21+H22+H23+H24+H25+H26</f>
        <v>22631</v>
      </c>
      <c r="G27" s="196"/>
      <c r="H27" s="161"/>
      <c r="I27" s="161"/>
    </row>
    <row r="28" spans="1:9" x14ac:dyDescent="0.25">
      <c r="A28" s="23"/>
      <c r="B28" s="23"/>
      <c r="C28" s="23"/>
      <c r="D28" s="23"/>
      <c r="E28" s="23"/>
      <c r="F28" s="23"/>
      <c r="G28" s="23"/>
    </row>
  </sheetData>
  <mergeCells count="16">
    <mergeCell ref="A27:E27"/>
    <mergeCell ref="F27:G27"/>
    <mergeCell ref="F10:F11"/>
    <mergeCell ref="G10:G11"/>
    <mergeCell ref="A8:B8"/>
    <mergeCell ref="A10:A11"/>
    <mergeCell ref="B10:B11"/>
    <mergeCell ref="C10:C11"/>
    <mergeCell ref="D10:D11"/>
    <mergeCell ref="E10:E11"/>
    <mergeCell ref="A7:B7"/>
    <mergeCell ref="A1:E1"/>
    <mergeCell ref="A3:B3"/>
    <mergeCell ref="A4:B4"/>
    <mergeCell ref="A5:B5"/>
    <mergeCell ref="A6:B6"/>
  </mergeCells>
  <conditionalFormatting sqref="B17:B18">
    <cfRule type="duplicateValues" dxfId="120" priority="28"/>
  </conditionalFormatting>
  <conditionalFormatting sqref="C17:C18">
    <cfRule type="duplicateValues" dxfId="119" priority="21"/>
  </conditionalFormatting>
  <conditionalFormatting sqref="B19:B24 B12:B16 B26">
    <cfRule type="duplicateValues" dxfId="118" priority="647"/>
  </conditionalFormatting>
  <conditionalFormatting sqref="B12:B24 B26">
    <cfRule type="duplicateValues" dxfId="117" priority="649"/>
  </conditionalFormatting>
  <conditionalFormatting sqref="B12:B24 B26">
    <cfRule type="duplicateValues" dxfId="116" priority="653"/>
  </conditionalFormatting>
  <conditionalFormatting sqref="C12:C24 C26">
    <cfRule type="duplicateValues" dxfId="115" priority="655"/>
  </conditionalFormatting>
  <conditionalFormatting sqref="C12:C24 C26">
    <cfRule type="duplicateValues" dxfId="114" priority="657"/>
    <cfRule type="duplicateValues" dxfId="113" priority="658"/>
  </conditionalFormatting>
  <conditionalFormatting sqref="C19:C24 C12:C16 C26">
    <cfRule type="duplicateValues" dxfId="112" priority="661"/>
  </conditionalFormatting>
  <conditionalFormatting sqref="C12:C24 C26">
    <cfRule type="duplicateValues" dxfId="111" priority="663"/>
  </conditionalFormatting>
  <conditionalFormatting sqref="B25">
    <cfRule type="duplicateValues" dxfId="110" priority="7"/>
  </conditionalFormatting>
  <conditionalFormatting sqref="B25">
    <cfRule type="duplicateValues" dxfId="109" priority="8"/>
  </conditionalFormatting>
  <conditionalFormatting sqref="B25">
    <cfRule type="duplicateValues" dxfId="108" priority="9"/>
  </conditionalFormatting>
  <conditionalFormatting sqref="B25">
    <cfRule type="duplicateValues" dxfId="107" priority="10"/>
  </conditionalFormatting>
  <conditionalFormatting sqref="C25">
    <cfRule type="duplicateValues" dxfId="106" priority="1"/>
  </conditionalFormatting>
  <conditionalFormatting sqref="C25">
    <cfRule type="duplicateValues" dxfId="105" priority="2"/>
    <cfRule type="duplicateValues" dxfId="104" priority="3"/>
  </conditionalFormatting>
  <conditionalFormatting sqref="C25">
    <cfRule type="duplicateValues" dxfId="103" priority="4"/>
  </conditionalFormatting>
  <conditionalFormatting sqref="C25">
    <cfRule type="duplicateValues" dxfId="102" priority="5"/>
  </conditionalFormatting>
  <conditionalFormatting sqref="C25">
    <cfRule type="duplicateValues" dxfId="101" priority="6"/>
  </conditionalFormatting>
  <pageMargins left="0.7" right="0.7" top="0.75" bottom="0.75" header="0.3" footer="0.3"/>
  <pageSetup paperSize="5" scale="7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41"/>
  <sheetViews>
    <sheetView topLeftCell="A10" zoomScaleNormal="100" workbookViewId="0">
      <selection activeCell="C51" sqref="C51"/>
    </sheetView>
  </sheetViews>
  <sheetFormatPr baseColWidth="10" defaultRowHeight="15" x14ac:dyDescent="0.25"/>
  <cols>
    <col min="1" max="5" width="4.5703125" customWidth="1"/>
    <col min="6" max="6" width="6" customWidth="1"/>
    <col min="7" max="11" width="4.5703125" customWidth="1"/>
    <col min="12" max="12" width="5.5703125" customWidth="1"/>
    <col min="13" max="15" width="4.5703125" customWidth="1"/>
    <col min="16" max="16" width="23.85546875" customWidth="1"/>
    <col min="17" max="17" width="19.5703125" customWidth="1"/>
  </cols>
  <sheetData>
    <row r="1" spans="1:17" ht="15.75" thickBot="1" x14ac:dyDescent="0.3">
      <c r="A1" s="222" t="s">
        <v>5</v>
      </c>
      <c r="B1" s="222"/>
      <c r="C1" s="222"/>
      <c r="D1" s="223">
        <v>2022</v>
      </c>
      <c r="E1" s="223"/>
      <c r="F1" s="86"/>
      <c r="G1" s="86"/>
      <c r="H1" s="87"/>
      <c r="I1" s="87"/>
      <c r="J1" s="87"/>
      <c r="K1" s="87"/>
      <c r="L1" s="87"/>
      <c r="M1" s="87"/>
      <c r="N1" s="87"/>
      <c r="O1" s="88"/>
      <c r="P1" s="224" t="s">
        <v>133</v>
      </c>
      <c r="Q1" s="224"/>
    </row>
    <row r="2" spans="1:17" ht="15.75" thickBot="1" x14ac:dyDescent="0.3">
      <c r="A2" s="89"/>
      <c r="B2" s="90"/>
      <c r="C2" s="90"/>
      <c r="D2" s="90"/>
      <c r="E2" s="90"/>
      <c r="F2" s="90"/>
      <c r="G2" s="91"/>
      <c r="H2" s="92"/>
      <c r="I2" s="92"/>
      <c r="J2" s="92"/>
      <c r="K2" s="92"/>
      <c r="L2" s="92"/>
      <c r="M2" s="92"/>
      <c r="N2" s="92"/>
      <c r="O2" s="90"/>
      <c r="P2" s="224"/>
      <c r="Q2" s="224"/>
    </row>
    <row r="3" spans="1:17" ht="15.75" thickBot="1" x14ac:dyDescent="0.3">
      <c r="A3" s="89"/>
      <c r="B3" s="90"/>
      <c r="C3" s="90"/>
      <c r="D3" s="90"/>
      <c r="E3" s="90"/>
      <c r="F3" s="90"/>
      <c r="G3" s="91"/>
      <c r="H3" s="90"/>
      <c r="I3" s="90"/>
      <c r="J3" s="90"/>
      <c r="K3" s="90"/>
      <c r="L3" s="90"/>
      <c r="M3" s="90"/>
      <c r="N3" s="90"/>
      <c r="O3" s="90"/>
      <c r="P3" s="90"/>
      <c r="Q3" s="93"/>
    </row>
    <row r="4" spans="1:17" ht="15.75" thickBot="1" x14ac:dyDescent="0.3">
      <c r="A4" s="225" t="s">
        <v>134</v>
      </c>
      <c r="B4" s="225"/>
      <c r="C4" s="225"/>
      <c r="D4" s="225"/>
      <c r="E4" s="225"/>
      <c r="F4" s="225"/>
      <c r="G4" s="226" t="str">
        <f>'[1]NP DPBS'!D3</f>
        <v>040 - MINISTERIO DE SALUD</v>
      </c>
      <c r="H4" s="226"/>
      <c r="I4" s="226"/>
      <c r="J4" s="226"/>
      <c r="K4" s="226"/>
      <c r="L4" s="226"/>
      <c r="M4" s="226"/>
      <c r="N4" s="226"/>
      <c r="O4" s="226"/>
      <c r="P4" s="226"/>
      <c r="Q4" s="226"/>
    </row>
    <row r="5" spans="1:17" ht="15.75" thickBot="1" x14ac:dyDescent="0.3">
      <c r="A5" s="227" t="s">
        <v>119</v>
      </c>
      <c r="B5" s="227"/>
      <c r="C5" s="227"/>
      <c r="D5" s="227"/>
      <c r="E5" s="227"/>
      <c r="F5" s="227"/>
      <c r="G5" s="226" t="str">
        <f>'[1]NP DPBS'!D4</f>
        <v>011 - DIRECCION PROVINCIAL DE ADMINISTRACION - MINISTERIO DE SALUD</v>
      </c>
      <c r="H5" s="226"/>
      <c r="I5" s="226"/>
      <c r="J5" s="226"/>
      <c r="K5" s="226"/>
      <c r="L5" s="226"/>
      <c r="M5" s="226"/>
      <c r="N5" s="226"/>
      <c r="O5" s="226"/>
      <c r="P5" s="226"/>
      <c r="Q5" s="226"/>
    </row>
    <row r="6" spans="1:17" ht="15.75" thickBot="1" x14ac:dyDescent="0.3">
      <c r="A6" s="227" t="s">
        <v>120</v>
      </c>
      <c r="B6" s="227"/>
      <c r="C6" s="227"/>
      <c r="D6" s="227"/>
      <c r="E6" s="227"/>
      <c r="F6" s="227"/>
      <c r="G6" s="226" t="s">
        <v>162</v>
      </c>
      <c r="H6" s="226"/>
      <c r="I6" s="226"/>
      <c r="J6" s="226"/>
      <c r="K6" s="226"/>
      <c r="L6" s="226"/>
      <c r="M6" s="226"/>
      <c r="N6" s="226"/>
      <c r="O6" s="226"/>
      <c r="P6" s="226"/>
      <c r="Q6" s="226"/>
    </row>
    <row r="7" spans="1:17" ht="15.75" thickBot="1" x14ac:dyDescent="0.3">
      <c r="A7" s="227" t="s">
        <v>122</v>
      </c>
      <c r="B7" s="227"/>
      <c r="C7" s="227"/>
      <c r="D7" s="227"/>
      <c r="E7" s="227"/>
      <c r="F7" s="227"/>
      <c r="G7" s="226" t="s">
        <v>162</v>
      </c>
      <c r="H7" s="226"/>
      <c r="I7" s="226"/>
      <c r="J7" s="226"/>
      <c r="K7" s="226"/>
      <c r="L7" s="226"/>
      <c r="M7" s="226"/>
      <c r="N7" s="226"/>
      <c r="O7" s="226"/>
      <c r="P7" s="226"/>
      <c r="Q7" s="226"/>
    </row>
    <row r="8" spans="1:17" ht="15.75" thickBot="1" x14ac:dyDescent="0.3">
      <c r="A8" s="228" t="s">
        <v>135</v>
      </c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  <c r="M8" s="228"/>
      <c r="N8" s="228"/>
      <c r="O8" s="228"/>
      <c r="P8" s="228"/>
      <c r="Q8" s="228"/>
    </row>
    <row r="9" spans="1:17" x14ac:dyDescent="0.25">
      <c r="A9" s="221" t="s">
        <v>136</v>
      </c>
      <c r="B9" s="221"/>
      <c r="C9" s="221"/>
      <c r="D9" s="221"/>
      <c r="E9" s="221"/>
      <c r="F9" s="221"/>
      <c r="G9" s="221"/>
      <c r="H9" s="221"/>
      <c r="I9" s="221"/>
      <c r="J9" s="221"/>
      <c r="K9" s="221"/>
      <c r="L9" s="221"/>
      <c r="M9" s="221"/>
      <c r="N9" s="221"/>
      <c r="O9" s="221"/>
      <c r="P9" s="221"/>
      <c r="Q9" s="221"/>
    </row>
    <row r="10" spans="1:17" ht="39.75" customHeight="1" x14ac:dyDescent="0.25">
      <c r="A10" s="212" t="s">
        <v>137</v>
      </c>
      <c r="B10" s="212"/>
      <c r="C10" s="212"/>
      <c r="D10" s="212"/>
      <c r="E10" s="212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</row>
    <row r="11" spans="1:17" ht="15.75" thickBot="1" x14ac:dyDescent="0.3">
      <c r="A11" s="94"/>
      <c r="B11" s="95"/>
      <c r="C11" s="95"/>
      <c r="D11" s="95"/>
      <c r="E11" s="95"/>
      <c r="F11" s="95"/>
      <c r="G11" s="96"/>
      <c r="H11" s="95"/>
      <c r="I11" s="95"/>
      <c r="J11" s="95"/>
      <c r="K11" s="95"/>
      <c r="L11" s="95"/>
      <c r="M11" s="95"/>
      <c r="N11" s="95"/>
      <c r="O11" s="95"/>
      <c r="P11" s="95"/>
      <c r="Q11" s="97"/>
    </row>
    <row r="12" spans="1:17" ht="15.75" thickBot="1" x14ac:dyDescent="0.3">
      <c r="A12" s="213" t="s">
        <v>138</v>
      </c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</row>
    <row r="13" spans="1:17" ht="15.75" thickBot="1" x14ac:dyDescent="0.3">
      <c r="A13" s="214" t="s">
        <v>139</v>
      </c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5" t="s">
        <v>140</v>
      </c>
      <c r="P13" s="215"/>
      <c r="Q13" s="216" t="s">
        <v>141</v>
      </c>
    </row>
    <row r="14" spans="1:17" ht="15.75" thickBot="1" x14ac:dyDescent="0.3">
      <c r="A14" s="98" t="s">
        <v>142</v>
      </c>
      <c r="B14" s="99" t="s">
        <v>143</v>
      </c>
      <c r="C14" s="99" t="s">
        <v>144</v>
      </c>
      <c r="D14" s="99" t="s">
        <v>145</v>
      </c>
      <c r="E14" s="99" t="s">
        <v>146</v>
      </c>
      <c r="F14" s="99" t="s">
        <v>147</v>
      </c>
      <c r="G14" s="100" t="s">
        <v>148</v>
      </c>
      <c r="H14" s="99" t="s">
        <v>149</v>
      </c>
      <c r="I14" s="99" t="s">
        <v>150</v>
      </c>
      <c r="J14" s="99" t="s">
        <v>151</v>
      </c>
      <c r="K14" s="99" t="s">
        <v>151</v>
      </c>
      <c r="L14" s="99" t="s">
        <v>152</v>
      </c>
      <c r="M14" s="101" t="s">
        <v>153</v>
      </c>
      <c r="N14" s="102" t="s">
        <v>154</v>
      </c>
      <c r="O14" s="215"/>
      <c r="P14" s="215"/>
      <c r="Q14" s="216"/>
    </row>
    <row r="15" spans="1:17" ht="15" customHeight="1" x14ac:dyDescent="0.25">
      <c r="A15" s="129">
        <v>30</v>
      </c>
      <c r="B15" s="129"/>
      <c r="C15" s="129"/>
      <c r="D15" s="129">
        <v>1</v>
      </c>
      <c r="E15" s="129"/>
      <c r="F15" s="129">
        <v>4901</v>
      </c>
      <c r="G15" s="129">
        <v>3</v>
      </c>
      <c r="H15" s="129"/>
      <c r="I15" s="129">
        <v>2</v>
      </c>
      <c r="J15" s="129">
        <v>9</v>
      </c>
      <c r="K15" s="129">
        <v>1</v>
      </c>
      <c r="L15" s="129"/>
      <c r="M15" s="129">
        <v>1</v>
      </c>
      <c r="N15" s="129" t="s">
        <v>155</v>
      </c>
      <c r="O15" s="232" t="s">
        <v>17</v>
      </c>
      <c r="P15" s="233"/>
      <c r="Q15" s="103">
        <v>22631</v>
      </c>
    </row>
    <row r="16" spans="1:17" x14ac:dyDescent="0.25">
      <c r="A16" s="104"/>
      <c r="B16" s="105"/>
      <c r="C16" s="105"/>
      <c r="D16" s="105"/>
      <c r="E16" s="105"/>
      <c r="F16" s="129"/>
      <c r="G16" s="129"/>
      <c r="H16" s="105"/>
      <c r="I16" s="105"/>
      <c r="J16" s="105"/>
      <c r="K16" s="105"/>
      <c r="L16" s="105"/>
      <c r="M16" s="129"/>
      <c r="N16" s="133"/>
      <c r="O16" s="211"/>
      <c r="P16" s="211"/>
      <c r="Q16" s="108"/>
    </row>
    <row r="17" spans="1:17" x14ac:dyDescent="0.25">
      <c r="A17" s="104"/>
      <c r="B17" s="105"/>
      <c r="C17" s="105"/>
      <c r="D17" s="105"/>
      <c r="E17" s="105"/>
      <c r="F17" s="129"/>
      <c r="G17" s="129"/>
      <c r="H17" s="105"/>
      <c r="I17" s="105"/>
      <c r="J17" s="105"/>
      <c r="K17" s="105"/>
      <c r="L17" s="105"/>
      <c r="M17" s="129"/>
      <c r="N17" s="133"/>
      <c r="O17" s="211"/>
      <c r="P17" s="211"/>
      <c r="Q17" s="108"/>
    </row>
    <row r="18" spans="1:17" x14ac:dyDescent="0.25">
      <c r="A18" s="104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6"/>
      <c r="N18" s="133"/>
      <c r="O18" s="211"/>
      <c r="P18" s="211"/>
      <c r="Q18" s="108"/>
    </row>
    <row r="19" spans="1:17" x14ac:dyDescent="0.25">
      <c r="A19" s="104"/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6"/>
      <c r="N19" s="133"/>
      <c r="O19" s="211"/>
      <c r="P19" s="211"/>
      <c r="Q19" s="108"/>
    </row>
    <row r="20" spans="1:17" x14ac:dyDescent="0.25">
      <c r="A20" s="104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6"/>
      <c r="N20" s="133"/>
      <c r="O20" s="211"/>
      <c r="P20" s="211"/>
      <c r="Q20" s="108"/>
    </row>
    <row r="21" spans="1:17" x14ac:dyDescent="0.25">
      <c r="A21" s="104"/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6"/>
      <c r="N21" s="133"/>
      <c r="O21" s="211"/>
      <c r="P21" s="211"/>
      <c r="Q21" s="108"/>
    </row>
    <row r="22" spans="1:17" x14ac:dyDescent="0.25">
      <c r="A22" s="104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6"/>
      <c r="N22" s="133"/>
      <c r="O22" s="211"/>
      <c r="P22" s="211"/>
      <c r="Q22" s="108"/>
    </row>
    <row r="23" spans="1:17" x14ac:dyDescent="0.25">
      <c r="A23" s="104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6"/>
      <c r="N23" s="133"/>
      <c r="O23" s="211"/>
      <c r="P23" s="211"/>
      <c r="Q23" s="108"/>
    </row>
    <row r="24" spans="1:17" x14ac:dyDescent="0.25">
      <c r="A24" s="104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6"/>
      <c r="N24" s="133"/>
      <c r="O24" s="211"/>
      <c r="P24" s="211"/>
      <c r="Q24" s="108"/>
    </row>
    <row r="25" spans="1:17" x14ac:dyDescent="0.25">
      <c r="A25" s="104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6"/>
      <c r="N25" s="133"/>
      <c r="O25" s="211"/>
      <c r="P25" s="211"/>
      <c r="Q25" s="108"/>
    </row>
    <row r="26" spans="1:17" x14ac:dyDescent="0.25">
      <c r="A26" s="104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6"/>
      <c r="N26" s="133"/>
      <c r="O26" s="211"/>
      <c r="P26" s="211"/>
      <c r="Q26" s="108"/>
    </row>
    <row r="27" spans="1:17" x14ac:dyDescent="0.25">
      <c r="A27" s="104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6"/>
      <c r="N27" s="133"/>
      <c r="O27" s="211"/>
      <c r="P27" s="211"/>
      <c r="Q27" s="108"/>
    </row>
    <row r="28" spans="1:17" x14ac:dyDescent="0.25">
      <c r="A28" s="104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6"/>
      <c r="N28" s="133"/>
      <c r="O28" s="211"/>
      <c r="P28" s="211"/>
      <c r="Q28" s="108"/>
    </row>
    <row r="29" spans="1:17" x14ac:dyDescent="0.25">
      <c r="A29" s="104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6"/>
      <c r="N29" s="133"/>
      <c r="O29" s="211"/>
      <c r="P29" s="211"/>
      <c r="Q29" s="108"/>
    </row>
    <row r="30" spans="1:17" x14ac:dyDescent="0.25">
      <c r="A30" s="104"/>
      <c r="B30" s="105"/>
      <c r="C30" s="105"/>
      <c r="D30" s="105"/>
      <c r="E30" s="105"/>
      <c r="F30" s="133"/>
      <c r="G30" s="105"/>
      <c r="H30" s="105"/>
      <c r="I30" s="105"/>
      <c r="J30" s="105"/>
      <c r="K30" s="105"/>
      <c r="L30" s="105"/>
      <c r="M30" s="106"/>
      <c r="N30" s="133"/>
      <c r="O30" s="206"/>
      <c r="P30" s="206"/>
      <c r="Q30" s="108"/>
    </row>
    <row r="31" spans="1:17" x14ac:dyDescent="0.25">
      <c r="A31" s="104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6"/>
      <c r="N31" s="133"/>
      <c r="O31" s="206"/>
      <c r="P31" s="206"/>
      <c r="Q31" s="108"/>
    </row>
    <row r="32" spans="1:17" x14ac:dyDescent="0.25">
      <c r="A32" s="104"/>
      <c r="B32" s="105"/>
      <c r="C32" s="105"/>
      <c r="D32" s="105"/>
      <c r="E32" s="105"/>
      <c r="F32" s="133"/>
      <c r="G32" s="105"/>
      <c r="H32" s="105"/>
      <c r="I32" s="105"/>
      <c r="J32" s="105"/>
      <c r="K32" s="105"/>
      <c r="L32" s="105"/>
      <c r="M32" s="106"/>
      <c r="N32" s="133"/>
      <c r="O32" s="206"/>
      <c r="P32" s="206"/>
      <c r="Q32" s="108"/>
    </row>
    <row r="33" spans="1:17" x14ac:dyDescent="0.25">
      <c r="A33" s="104"/>
      <c r="B33" s="105"/>
      <c r="C33" s="105"/>
      <c r="D33" s="105"/>
      <c r="E33" s="105"/>
      <c r="F33" s="133"/>
      <c r="G33" s="105"/>
      <c r="H33" s="105"/>
      <c r="I33" s="105"/>
      <c r="J33" s="105"/>
      <c r="K33" s="105"/>
      <c r="L33" s="105"/>
      <c r="M33" s="106"/>
      <c r="N33" s="133"/>
      <c r="O33" s="206"/>
      <c r="P33" s="206"/>
      <c r="Q33" s="108"/>
    </row>
    <row r="34" spans="1:17" x14ac:dyDescent="0.25">
      <c r="A34" s="109"/>
      <c r="B34" s="110"/>
      <c r="C34" s="110"/>
      <c r="D34" s="110"/>
      <c r="E34" s="110"/>
      <c r="F34" s="111"/>
      <c r="G34" s="110"/>
      <c r="H34" s="110"/>
      <c r="I34" s="110"/>
      <c r="J34" s="110"/>
      <c r="K34" s="110"/>
      <c r="L34" s="110"/>
      <c r="M34" s="112"/>
      <c r="N34" s="113"/>
      <c r="O34" s="207"/>
      <c r="P34" s="207"/>
      <c r="Q34" s="108"/>
    </row>
    <row r="35" spans="1:17" ht="15.75" thickBot="1" x14ac:dyDescent="0.3">
      <c r="A35" s="114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6"/>
      <c r="N35" s="115"/>
      <c r="O35" s="208"/>
      <c r="P35" s="208"/>
      <c r="Q35" s="117"/>
    </row>
    <row r="36" spans="1:17" ht="15.75" thickBot="1" x14ac:dyDescent="0.3">
      <c r="A36" s="209" t="s">
        <v>181</v>
      </c>
      <c r="B36" s="209"/>
      <c r="C36" s="209"/>
      <c r="D36" s="209"/>
      <c r="E36" s="209"/>
      <c r="F36" s="209"/>
      <c r="G36" s="209"/>
      <c r="H36" s="209"/>
      <c r="I36" s="209"/>
      <c r="J36" s="209"/>
      <c r="K36" s="209"/>
      <c r="L36" s="209"/>
      <c r="M36" s="209"/>
      <c r="N36" s="209"/>
      <c r="O36" s="209"/>
      <c r="P36" s="209"/>
      <c r="Q36" s="118">
        <f>SUM(Q15:Q35)</f>
        <v>22631</v>
      </c>
    </row>
    <row r="37" spans="1:17" ht="15.75" thickBot="1" x14ac:dyDescent="0.3">
      <c r="A37" s="210"/>
      <c r="B37" s="210"/>
      <c r="C37" s="210"/>
      <c r="D37" s="210"/>
      <c r="E37" s="210"/>
      <c r="F37" s="210"/>
      <c r="G37" s="210"/>
      <c r="H37" s="210"/>
      <c r="I37" s="210"/>
      <c r="J37" s="210"/>
      <c r="K37" s="210"/>
      <c r="L37" s="210"/>
      <c r="M37" s="210"/>
      <c r="N37" s="210"/>
      <c r="O37" s="210"/>
      <c r="P37" s="210"/>
      <c r="Q37" s="210"/>
    </row>
    <row r="38" spans="1:17" ht="15.75" thickBot="1" x14ac:dyDescent="0.3">
      <c r="A38" s="203" t="s">
        <v>156</v>
      </c>
      <c r="B38" s="203"/>
      <c r="C38" s="203"/>
      <c r="D38" s="203"/>
      <c r="E38" s="203"/>
      <c r="F38" s="203"/>
      <c r="G38" s="204"/>
      <c r="H38" s="204"/>
      <c r="I38" s="204"/>
      <c r="J38" s="204"/>
      <c r="K38" s="204"/>
      <c r="L38" s="204"/>
      <c r="M38" s="204"/>
      <c r="N38" s="204"/>
      <c r="O38" s="204"/>
      <c r="P38" s="204"/>
      <c r="Q38" s="204"/>
    </row>
    <row r="39" spans="1:17" ht="15.75" thickBot="1" x14ac:dyDescent="0.3">
      <c r="A39" s="205" t="s">
        <v>158</v>
      </c>
      <c r="B39" s="205"/>
      <c r="C39" s="205"/>
      <c r="D39" s="205"/>
      <c r="E39" s="205"/>
      <c r="F39" s="205"/>
      <c r="G39" s="205"/>
      <c r="H39" s="205"/>
      <c r="I39" s="205"/>
      <c r="J39" s="205"/>
      <c r="K39" s="205"/>
      <c r="L39" s="205"/>
      <c r="M39" s="205"/>
      <c r="N39" s="205"/>
      <c r="O39" s="205"/>
      <c r="P39" s="205"/>
      <c r="Q39" s="205"/>
    </row>
    <row r="40" spans="1:17" ht="15.75" thickBot="1" x14ac:dyDescent="0.3">
      <c r="A40" s="205"/>
      <c r="B40" s="205"/>
      <c r="C40" s="205"/>
      <c r="D40" s="205"/>
      <c r="E40" s="205"/>
      <c r="F40" s="205"/>
      <c r="G40" s="205"/>
      <c r="H40" s="205"/>
      <c r="I40" s="205"/>
      <c r="J40" s="205"/>
      <c r="K40" s="205"/>
      <c r="L40" s="205"/>
      <c r="M40" s="205"/>
      <c r="N40" s="205"/>
      <c r="O40" s="205"/>
      <c r="P40" s="205"/>
      <c r="Q40" s="205"/>
    </row>
    <row r="41" spans="1:17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</row>
  </sheetData>
  <mergeCells count="44">
    <mergeCell ref="A38:F38"/>
    <mergeCell ref="G38:Q38"/>
    <mergeCell ref="A39:Q40"/>
    <mergeCell ref="O32:P32"/>
    <mergeCell ref="O33:P33"/>
    <mergeCell ref="O34:P34"/>
    <mergeCell ref="O35:P35"/>
    <mergeCell ref="A36:P36"/>
    <mergeCell ref="A37:Q37"/>
    <mergeCell ref="O31:P31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19:P1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0866141732283472" right="0.70866141732283472" top="0.74803149606299213" bottom="0.74803149606299213" header="0.31496062992125984" footer="0.31496062992125984"/>
  <pageSetup paperSize="5" scale="7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22"/>
  <sheetViews>
    <sheetView topLeftCell="A13" zoomScale="120" zoomScaleNormal="120" workbookViewId="0">
      <selection activeCell="C51" sqref="C51"/>
    </sheetView>
  </sheetViews>
  <sheetFormatPr baseColWidth="10" defaultRowHeight="15" x14ac:dyDescent="0.25"/>
  <cols>
    <col min="2" max="2" width="23.28515625" customWidth="1"/>
    <col min="3" max="3" width="44.7109375" customWidth="1"/>
    <col min="4" max="4" width="11.7109375" customWidth="1"/>
    <col min="5" max="5" width="15.140625" customWidth="1"/>
    <col min="6" max="6" width="21.42578125" customWidth="1"/>
    <col min="7" max="7" width="15" customWidth="1"/>
    <col min="8" max="8" width="17.140625" customWidth="1"/>
    <col min="10" max="10" width="13.7109375" bestFit="1" customWidth="1"/>
  </cols>
  <sheetData>
    <row r="1" spans="1:10" ht="30.75" thickBot="1" x14ac:dyDescent="0.3">
      <c r="A1" s="201" t="s">
        <v>116</v>
      </c>
      <c r="B1" s="201"/>
      <c r="C1" s="201"/>
      <c r="D1" s="201"/>
      <c r="E1" s="201"/>
      <c r="F1" s="61" t="s">
        <v>117</v>
      </c>
      <c r="G1" s="62"/>
    </row>
    <row r="2" spans="1:10" ht="16.5" thickBot="1" x14ac:dyDescent="0.3">
      <c r="A2" s="63"/>
      <c r="B2" s="64"/>
      <c r="C2" s="65"/>
      <c r="D2" s="65"/>
      <c r="E2" s="65"/>
      <c r="F2" s="65"/>
      <c r="G2" s="66"/>
    </row>
    <row r="3" spans="1:10" ht="16.5" thickBot="1" x14ac:dyDescent="0.3">
      <c r="A3" s="202" t="s">
        <v>118</v>
      </c>
      <c r="B3" s="202"/>
      <c r="C3" s="67" t="str">
        <f>'[2]SAF 011'!C4</f>
        <v>040 - MINISTERIO DE SALUD</v>
      </c>
      <c r="D3" s="68"/>
      <c r="E3" s="68"/>
      <c r="F3" s="68"/>
      <c r="G3" s="69"/>
    </row>
    <row r="4" spans="1:10" ht="16.5" thickBot="1" x14ac:dyDescent="0.3">
      <c r="A4" s="200" t="s">
        <v>119</v>
      </c>
      <c r="B4" s="200"/>
      <c r="C4" s="67" t="str">
        <f>'[2]SAF 011'!C5</f>
        <v>011 - DIRECCION PROVINCIAL DE ADMINISTRACION - MINISTERIO DE SALUD</v>
      </c>
      <c r="D4" s="68"/>
      <c r="E4" s="68"/>
      <c r="F4" s="68"/>
      <c r="G4" s="69"/>
    </row>
    <row r="5" spans="1:10" ht="16.5" thickBot="1" x14ac:dyDescent="0.3">
      <c r="A5" s="200" t="s">
        <v>120</v>
      </c>
      <c r="B5" s="200"/>
      <c r="C5" s="67" t="s">
        <v>163</v>
      </c>
      <c r="D5" s="68"/>
      <c r="E5" s="68"/>
      <c r="F5" s="68"/>
      <c r="G5" s="69"/>
    </row>
    <row r="6" spans="1:10" ht="16.5" thickBot="1" x14ac:dyDescent="0.3">
      <c r="A6" s="202" t="s">
        <v>122</v>
      </c>
      <c r="B6" s="202"/>
      <c r="C6" s="67" t="s">
        <v>164</v>
      </c>
      <c r="D6" s="68"/>
      <c r="E6" s="68"/>
      <c r="F6" s="68"/>
      <c r="G6" s="69"/>
    </row>
    <row r="7" spans="1:10" ht="16.5" thickBot="1" x14ac:dyDescent="0.3">
      <c r="A7" s="200" t="s">
        <v>123</v>
      </c>
      <c r="B7" s="200"/>
      <c r="C7" s="67" t="s">
        <v>124</v>
      </c>
      <c r="D7" s="68"/>
      <c r="E7" s="68"/>
      <c r="F7" s="68"/>
      <c r="G7" s="69"/>
    </row>
    <row r="8" spans="1:10" ht="16.5" thickBot="1" x14ac:dyDescent="0.3">
      <c r="A8" s="198" t="s">
        <v>125</v>
      </c>
      <c r="B8" s="198"/>
      <c r="C8" s="70" t="s">
        <v>158</v>
      </c>
      <c r="D8" s="68"/>
      <c r="E8" s="68"/>
      <c r="F8" s="68"/>
      <c r="G8" s="69"/>
    </row>
    <row r="9" spans="1:10" ht="15.75" x14ac:dyDescent="0.25">
      <c r="A9" s="71"/>
      <c r="B9" s="72"/>
      <c r="C9" s="73"/>
      <c r="D9" s="73"/>
      <c r="E9" s="73"/>
      <c r="F9" s="73"/>
      <c r="G9" s="74"/>
    </row>
    <row r="10" spans="1:10" x14ac:dyDescent="0.25">
      <c r="A10" s="199" t="s">
        <v>126</v>
      </c>
      <c r="B10" s="197" t="s">
        <v>127</v>
      </c>
      <c r="C10" s="197" t="s">
        <v>161</v>
      </c>
      <c r="D10" s="197" t="s">
        <v>128</v>
      </c>
      <c r="E10" s="197" t="s">
        <v>129</v>
      </c>
      <c r="F10" s="197" t="s">
        <v>130</v>
      </c>
      <c r="G10" s="197" t="s">
        <v>131</v>
      </c>
    </row>
    <row r="11" spans="1:10" ht="32.25" customHeight="1" x14ac:dyDescent="0.25">
      <c r="A11" s="199"/>
      <c r="B11" s="197"/>
      <c r="C11" s="197"/>
      <c r="D11" s="197"/>
      <c r="E11" s="197"/>
      <c r="F11" s="197"/>
      <c r="G11" s="197"/>
    </row>
    <row r="12" spans="1:10" ht="38.25" customHeight="1" x14ac:dyDescent="0.25">
      <c r="A12" s="141">
        <v>1</v>
      </c>
      <c r="B12" s="18" t="s">
        <v>22</v>
      </c>
      <c r="C12" s="34" t="s">
        <v>23</v>
      </c>
      <c r="D12" s="135" t="s">
        <v>132</v>
      </c>
      <c r="E12" s="33" t="s">
        <v>24</v>
      </c>
      <c r="F12" s="39">
        <v>650</v>
      </c>
      <c r="G12" s="36">
        <v>100</v>
      </c>
      <c r="H12" s="162">
        <f>F12*G12</f>
        <v>65000</v>
      </c>
      <c r="I12" s="164"/>
      <c r="J12" s="162">
        <f>+H12+H13+H14+H15+H17+H18+H19</f>
        <v>210100</v>
      </c>
    </row>
    <row r="13" spans="1:10" ht="38.25" customHeight="1" x14ac:dyDescent="0.25">
      <c r="A13" s="141">
        <v>2</v>
      </c>
      <c r="B13" s="29" t="s">
        <v>25</v>
      </c>
      <c r="C13" s="34" t="s">
        <v>26</v>
      </c>
      <c r="D13" s="135" t="s">
        <v>132</v>
      </c>
      <c r="E13" s="33" t="s">
        <v>24</v>
      </c>
      <c r="F13" s="39">
        <v>100</v>
      </c>
      <c r="G13" s="36">
        <v>40</v>
      </c>
      <c r="H13" s="162">
        <f t="shared" ref="H13:H19" si="0">F13*G13</f>
        <v>4000</v>
      </c>
      <c r="I13" s="164"/>
      <c r="J13" s="164"/>
    </row>
    <row r="14" spans="1:10" ht="38.25" customHeight="1" x14ac:dyDescent="0.25">
      <c r="A14" s="141">
        <v>3</v>
      </c>
      <c r="B14" s="29" t="s">
        <v>29</v>
      </c>
      <c r="C14" s="34" t="s">
        <v>30</v>
      </c>
      <c r="D14" s="135" t="s">
        <v>132</v>
      </c>
      <c r="E14" s="33" t="s">
        <v>16</v>
      </c>
      <c r="F14" s="43">
        <v>290</v>
      </c>
      <c r="G14" s="36">
        <v>10</v>
      </c>
      <c r="H14" s="162">
        <f t="shared" si="0"/>
        <v>2900</v>
      </c>
      <c r="I14" s="164"/>
      <c r="J14" s="164"/>
    </row>
    <row r="15" spans="1:10" ht="25.5" x14ac:dyDescent="0.25">
      <c r="A15" s="141">
        <v>4</v>
      </c>
      <c r="B15" s="46" t="s">
        <v>42</v>
      </c>
      <c r="C15" s="34" t="s">
        <v>43</v>
      </c>
      <c r="D15" s="135" t="s">
        <v>132</v>
      </c>
      <c r="E15" s="33" t="s">
        <v>18</v>
      </c>
      <c r="F15" s="39">
        <v>650</v>
      </c>
      <c r="G15" s="36">
        <v>192</v>
      </c>
      <c r="H15" s="162">
        <f t="shared" si="0"/>
        <v>124800</v>
      </c>
      <c r="I15" s="164"/>
      <c r="J15" s="164"/>
    </row>
    <row r="16" spans="1:10" ht="51" x14ac:dyDescent="0.25">
      <c r="A16" s="141">
        <v>5</v>
      </c>
      <c r="B16" s="29" t="s">
        <v>55</v>
      </c>
      <c r="C16" s="34" t="s">
        <v>56</v>
      </c>
      <c r="D16" s="135" t="s">
        <v>132</v>
      </c>
      <c r="E16" s="33" t="s">
        <v>24</v>
      </c>
      <c r="F16" s="39">
        <v>350</v>
      </c>
      <c r="G16" s="36">
        <v>15</v>
      </c>
      <c r="H16" s="162">
        <f t="shared" si="0"/>
        <v>5250</v>
      </c>
      <c r="I16" s="164"/>
      <c r="J16" s="164"/>
    </row>
    <row r="17" spans="1:10" x14ac:dyDescent="0.25">
      <c r="A17" s="141">
        <v>6</v>
      </c>
      <c r="B17" s="29" t="s">
        <v>61</v>
      </c>
      <c r="C17" s="45" t="s">
        <v>62</v>
      </c>
      <c r="D17" s="135" t="s">
        <v>132</v>
      </c>
      <c r="E17" s="33" t="s">
        <v>16</v>
      </c>
      <c r="F17" s="43">
        <v>120</v>
      </c>
      <c r="G17" s="36">
        <v>40</v>
      </c>
      <c r="H17" s="162">
        <f t="shared" si="0"/>
        <v>4800</v>
      </c>
      <c r="I17" s="164"/>
      <c r="J17" s="164"/>
    </row>
    <row r="18" spans="1:10" ht="25.5" x14ac:dyDescent="0.25">
      <c r="A18" s="141">
        <v>7</v>
      </c>
      <c r="B18" s="29" t="s">
        <v>63</v>
      </c>
      <c r="C18" s="45" t="s">
        <v>64</v>
      </c>
      <c r="D18" s="135" t="s">
        <v>132</v>
      </c>
      <c r="E18" s="33" t="s">
        <v>16</v>
      </c>
      <c r="F18" s="39">
        <v>115</v>
      </c>
      <c r="G18" s="36">
        <v>40</v>
      </c>
      <c r="H18" s="162">
        <f t="shared" si="0"/>
        <v>4600</v>
      </c>
      <c r="I18" s="164"/>
      <c r="J18" s="164"/>
    </row>
    <row r="19" spans="1:10" ht="38.25" customHeight="1" x14ac:dyDescent="0.25">
      <c r="A19" s="141">
        <v>8</v>
      </c>
      <c r="B19" s="49" t="s">
        <v>89</v>
      </c>
      <c r="C19" s="50" t="s">
        <v>90</v>
      </c>
      <c r="D19" s="135" t="s">
        <v>132</v>
      </c>
      <c r="E19" s="29" t="s">
        <v>16</v>
      </c>
      <c r="F19" s="51">
        <v>800</v>
      </c>
      <c r="G19" s="36">
        <v>5</v>
      </c>
      <c r="H19" s="162">
        <f t="shared" si="0"/>
        <v>4000</v>
      </c>
      <c r="I19" s="164"/>
      <c r="J19" s="164"/>
    </row>
    <row r="20" spans="1:10" ht="39.75" customHeight="1" x14ac:dyDescent="0.25">
      <c r="A20" s="195" t="s">
        <v>183</v>
      </c>
      <c r="B20" s="195"/>
      <c r="C20" s="195"/>
      <c r="D20" s="195"/>
      <c r="E20" s="195"/>
      <c r="F20" s="196">
        <f>+J12+H16</f>
        <v>215350</v>
      </c>
      <c r="G20" s="196"/>
      <c r="H20" s="161"/>
      <c r="I20" s="161"/>
      <c r="J20" s="161"/>
    </row>
    <row r="21" spans="1:10" x14ac:dyDescent="0.25">
      <c r="A21" s="23"/>
      <c r="B21" s="23"/>
      <c r="C21" s="23"/>
      <c r="D21" s="23"/>
      <c r="E21" s="23"/>
      <c r="F21" s="23"/>
      <c r="G21" s="23"/>
    </row>
    <row r="22" spans="1:10" x14ac:dyDescent="0.25">
      <c r="A22" s="23"/>
      <c r="B22" s="23"/>
      <c r="C22" s="23"/>
      <c r="D22" s="23"/>
      <c r="E22" s="23"/>
      <c r="F22" s="23"/>
      <c r="G22" s="23"/>
    </row>
  </sheetData>
  <mergeCells count="16">
    <mergeCell ref="F10:F11"/>
    <mergeCell ref="G10:G11"/>
    <mergeCell ref="A20:E20"/>
    <mergeCell ref="F20:G20"/>
    <mergeCell ref="A8:B8"/>
    <mergeCell ref="A10:A11"/>
    <mergeCell ref="B10:B11"/>
    <mergeCell ref="C10:C11"/>
    <mergeCell ref="D10:D11"/>
    <mergeCell ref="E10:E11"/>
    <mergeCell ref="A7:B7"/>
    <mergeCell ref="A1:E1"/>
    <mergeCell ref="A3:B3"/>
    <mergeCell ref="A4:B4"/>
    <mergeCell ref="A5:B5"/>
    <mergeCell ref="A6:B6"/>
  </mergeCells>
  <conditionalFormatting sqref="C12:C19">
    <cfRule type="duplicateValues" dxfId="100" priority="7"/>
  </conditionalFormatting>
  <conditionalFormatting sqref="C12:C19">
    <cfRule type="duplicateValues" dxfId="99" priority="8"/>
    <cfRule type="duplicateValues" dxfId="98" priority="9"/>
  </conditionalFormatting>
  <conditionalFormatting sqref="C16:C19 C12:C14">
    <cfRule type="duplicateValues" dxfId="97" priority="10"/>
  </conditionalFormatting>
  <conditionalFormatting sqref="C12:C19">
    <cfRule type="duplicateValues" dxfId="96" priority="11"/>
  </conditionalFormatting>
  <conditionalFormatting sqref="C12:C19">
    <cfRule type="duplicateValues" dxfId="95" priority="12"/>
  </conditionalFormatting>
  <conditionalFormatting sqref="C15">
    <cfRule type="duplicateValues" dxfId="94" priority="6"/>
  </conditionalFormatting>
  <conditionalFormatting sqref="B16:B19 B12:B14">
    <cfRule type="duplicateValues" dxfId="93" priority="2"/>
  </conditionalFormatting>
  <conditionalFormatting sqref="B12:B19">
    <cfRule type="duplicateValues" dxfId="92" priority="3"/>
  </conditionalFormatting>
  <conditionalFormatting sqref="B12:B19">
    <cfRule type="duplicateValues" dxfId="91" priority="4"/>
  </conditionalFormatting>
  <conditionalFormatting sqref="B12:B19">
    <cfRule type="duplicateValues" dxfId="90" priority="5"/>
  </conditionalFormatting>
  <conditionalFormatting sqref="B15">
    <cfRule type="duplicateValues" dxfId="89" priority="1"/>
  </conditionalFormatting>
  <pageMargins left="0.70866141732283472" right="0.70866141732283472" top="0.74803149606299213" bottom="0.74803149606299213" header="0.31496062992125984" footer="0.31496062992125984"/>
  <pageSetup paperSize="5" scale="8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Q43"/>
  <sheetViews>
    <sheetView topLeftCell="A4" zoomScaleNormal="100" workbookViewId="0">
      <selection activeCell="C51" sqref="C51"/>
    </sheetView>
  </sheetViews>
  <sheetFormatPr baseColWidth="10" defaultRowHeight="15" x14ac:dyDescent="0.25"/>
  <cols>
    <col min="1" max="11" width="7" customWidth="1"/>
    <col min="12" max="12" width="6.7109375" customWidth="1"/>
    <col min="13" max="14" width="7" customWidth="1"/>
    <col min="16" max="16" width="19.7109375" customWidth="1"/>
    <col min="17" max="17" width="20.42578125" customWidth="1"/>
  </cols>
  <sheetData>
    <row r="1" spans="1:17" ht="15.75" thickBot="1" x14ac:dyDescent="0.3">
      <c r="A1" s="222" t="s">
        <v>5</v>
      </c>
      <c r="B1" s="222"/>
      <c r="C1" s="222"/>
      <c r="D1" s="223">
        <v>2022</v>
      </c>
      <c r="E1" s="223"/>
      <c r="F1" s="86"/>
      <c r="G1" s="86"/>
      <c r="H1" s="87"/>
      <c r="I1" s="87"/>
      <c r="J1" s="87"/>
      <c r="K1" s="87"/>
      <c r="L1" s="87"/>
      <c r="M1" s="87"/>
      <c r="N1" s="87"/>
      <c r="O1" s="88"/>
      <c r="P1" s="224" t="s">
        <v>133</v>
      </c>
      <c r="Q1" s="224"/>
    </row>
    <row r="2" spans="1:17" ht="15.75" thickBot="1" x14ac:dyDescent="0.3">
      <c r="A2" s="89"/>
      <c r="B2" s="90"/>
      <c r="C2" s="90"/>
      <c r="D2" s="90"/>
      <c r="E2" s="90"/>
      <c r="F2" s="90"/>
      <c r="G2" s="91"/>
      <c r="H2" s="92"/>
      <c r="I2" s="92"/>
      <c r="J2" s="92"/>
      <c r="K2" s="92"/>
      <c r="L2" s="92"/>
      <c r="M2" s="92"/>
      <c r="N2" s="92"/>
      <c r="O2" s="90"/>
      <c r="P2" s="224"/>
      <c r="Q2" s="224"/>
    </row>
    <row r="3" spans="1:17" ht="15.75" thickBot="1" x14ac:dyDescent="0.3">
      <c r="A3" s="89"/>
      <c r="B3" s="90"/>
      <c r="C3" s="90"/>
      <c r="D3" s="90"/>
      <c r="E3" s="90"/>
      <c r="F3" s="90"/>
      <c r="G3" s="91"/>
      <c r="H3" s="90"/>
      <c r="I3" s="90"/>
      <c r="J3" s="90"/>
      <c r="K3" s="90"/>
      <c r="L3" s="90"/>
      <c r="M3" s="90"/>
      <c r="N3" s="90"/>
      <c r="O3" s="90"/>
      <c r="P3" s="90"/>
      <c r="Q3" s="93"/>
    </row>
    <row r="4" spans="1:17" ht="15.75" thickBot="1" x14ac:dyDescent="0.3">
      <c r="A4" s="225" t="s">
        <v>134</v>
      </c>
      <c r="B4" s="225"/>
      <c r="C4" s="225"/>
      <c r="D4" s="225"/>
      <c r="E4" s="225"/>
      <c r="F4" s="225"/>
      <c r="G4" s="226" t="str">
        <f>'[1]NP DPBS'!D3</f>
        <v>040 - MINISTERIO DE SALUD</v>
      </c>
      <c r="H4" s="226"/>
      <c r="I4" s="226"/>
      <c r="J4" s="226"/>
      <c r="K4" s="226"/>
      <c r="L4" s="226"/>
      <c r="M4" s="226"/>
      <c r="N4" s="226"/>
      <c r="O4" s="226"/>
      <c r="P4" s="226"/>
      <c r="Q4" s="226"/>
    </row>
    <row r="5" spans="1:17" ht="15.75" thickBot="1" x14ac:dyDescent="0.3">
      <c r="A5" s="227" t="s">
        <v>119</v>
      </c>
      <c r="B5" s="227"/>
      <c r="C5" s="227"/>
      <c r="D5" s="227"/>
      <c r="E5" s="227"/>
      <c r="F5" s="227"/>
      <c r="G5" s="226" t="str">
        <f>'[1]NP DPBS'!D4</f>
        <v>011 - DIRECCION PROVINCIAL DE ADMINISTRACION - MINISTERIO DE SALUD</v>
      </c>
      <c r="H5" s="226"/>
      <c r="I5" s="226"/>
      <c r="J5" s="226"/>
      <c r="K5" s="226"/>
      <c r="L5" s="226"/>
      <c r="M5" s="226"/>
      <c r="N5" s="226"/>
      <c r="O5" s="226"/>
      <c r="P5" s="226"/>
      <c r="Q5" s="226"/>
    </row>
    <row r="6" spans="1:17" ht="15.75" thickBot="1" x14ac:dyDescent="0.3">
      <c r="A6" s="227" t="s">
        <v>120</v>
      </c>
      <c r="B6" s="227"/>
      <c r="C6" s="227"/>
      <c r="D6" s="227"/>
      <c r="E6" s="227"/>
      <c r="F6" s="227"/>
      <c r="G6" s="226" t="s">
        <v>163</v>
      </c>
      <c r="H6" s="226"/>
      <c r="I6" s="226"/>
      <c r="J6" s="226"/>
      <c r="K6" s="226"/>
      <c r="L6" s="226"/>
      <c r="M6" s="226"/>
      <c r="N6" s="226"/>
      <c r="O6" s="226"/>
      <c r="P6" s="226"/>
      <c r="Q6" s="226"/>
    </row>
    <row r="7" spans="1:17" ht="15.75" thickBot="1" x14ac:dyDescent="0.3">
      <c r="A7" s="227" t="s">
        <v>122</v>
      </c>
      <c r="B7" s="227"/>
      <c r="C7" s="227"/>
      <c r="D7" s="227"/>
      <c r="E7" s="227"/>
      <c r="F7" s="227"/>
      <c r="G7" s="226" t="s">
        <v>163</v>
      </c>
      <c r="H7" s="226"/>
      <c r="I7" s="226"/>
      <c r="J7" s="226"/>
      <c r="K7" s="226"/>
      <c r="L7" s="226"/>
      <c r="M7" s="226"/>
      <c r="N7" s="226"/>
      <c r="O7" s="226"/>
      <c r="P7" s="226"/>
      <c r="Q7" s="226"/>
    </row>
    <row r="8" spans="1:17" ht="15.75" thickBot="1" x14ac:dyDescent="0.3">
      <c r="A8" s="228" t="s">
        <v>135</v>
      </c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  <c r="M8" s="228"/>
      <c r="N8" s="228"/>
      <c r="O8" s="228"/>
      <c r="P8" s="228"/>
      <c r="Q8" s="228"/>
    </row>
    <row r="9" spans="1:17" x14ac:dyDescent="0.25">
      <c r="A9" s="221" t="s">
        <v>136</v>
      </c>
      <c r="B9" s="221"/>
      <c r="C9" s="221"/>
      <c r="D9" s="221"/>
      <c r="E9" s="221"/>
      <c r="F9" s="221"/>
      <c r="G9" s="221"/>
      <c r="H9" s="221"/>
      <c r="I9" s="221"/>
      <c r="J9" s="221"/>
      <c r="K9" s="221"/>
      <c r="L9" s="221"/>
      <c r="M9" s="221"/>
      <c r="N9" s="221"/>
      <c r="O9" s="221"/>
      <c r="P9" s="221"/>
      <c r="Q9" s="221"/>
    </row>
    <row r="10" spans="1:17" ht="29.25" customHeight="1" x14ac:dyDescent="0.25">
      <c r="A10" s="212" t="s">
        <v>137</v>
      </c>
      <c r="B10" s="212"/>
      <c r="C10" s="212"/>
      <c r="D10" s="212"/>
      <c r="E10" s="212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</row>
    <row r="11" spans="1:17" ht="15.75" thickBot="1" x14ac:dyDescent="0.3">
      <c r="A11" s="94"/>
      <c r="B11" s="95"/>
      <c r="C11" s="95"/>
      <c r="D11" s="95"/>
      <c r="E11" s="95"/>
      <c r="F11" s="95"/>
      <c r="G11" s="96"/>
      <c r="H11" s="95"/>
      <c r="I11" s="95"/>
      <c r="J11" s="95"/>
      <c r="K11" s="95"/>
      <c r="L11" s="95"/>
      <c r="M11" s="95"/>
      <c r="N11" s="95"/>
      <c r="O11" s="95"/>
      <c r="P11" s="95"/>
      <c r="Q11" s="97"/>
    </row>
    <row r="12" spans="1:17" ht="15.75" thickBot="1" x14ac:dyDescent="0.3">
      <c r="A12" s="213" t="s">
        <v>138</v>
      </c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</row>
    <row r="13" spans="1:17" ht="15.75" thickBot="1" x14ac:dyDescent="0.3">
      <c r="A13" s="214" t="s">
        <v>139</v>
      </c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5" t="s">
        <v>140</v>
      </c>
      <c r="P13" s="215"/>
      <c r="Q13" s="216" t="s">
        <v>141</v>
      </c>
    </row>
    <row r="14" spans="1:17" ht="15.75" thickBot="1" x14ac:dyDescent="0.3">
      <c r="A14" s="98" t="s">
        <v>142</v>
      </c>
      <c r="B14" s="99" t="s">
        <v>143</v>
      </c>
      <c r="C14" s="99" t="s">
        <v>144</v>
      </c>
      <c r="D14" s="99" t="s">
        <v>145</v>
      </c>
      <c r="E14" s="99" t="s">
        <v>146</v>
      </c>
      <c r="F14" s="99" t="s">
        <v>147</v>
      </c>
      <c r="G14" s="100" t="s">
        <v>148</v>
      </c>
      <c r="H14" s="99" t="s">
        <v>149</v>
      </c>
      <c r="I14" s="99" t="s">
        <v>150</v>
      </c>
      <c r="J14" s="99" t="s">
        <v>151</v>
      </c>
      <c r="K14" s="99" t="s">
        <v>151</v>
      </c>
      <c r="L14" s="99" t="s">
        <v>152</v>
      </c>
      <c r="M14" s="101" t="s">
        <v>153</v>
      </c>
      <c r="N14" s="102" t="s">
        <v>154</v>
      </c>
      <c r="O14" s="215"/>
      <c r="P14" s="215"/>
      <c r="Q14" s="216"/>
    </row>
    <row r="15" spans="1:17" x14ac:dyDescent="0.25">
      <c r="A15" s="129">
        <v>31</v>
      </c>
      <c r="B15" s="129"/>
      <c r="C15" s="129"/>
      <c r="D15" s="129">
        <v>1</v>
      </c>
      <c r="E15" s="129"/>
      <c r="F15" s="129">
        <v>4901</v>
      </c>
      <c r="G15" s="129">
        <v>3</v>
      </c>
      <c r="H15" s="129">
        <v>1</v>
      </c>
      <c r="I15" s="129">
        <v>2</v>
      </c>
      <c r="J15" s="129">
        <v>9</v>
      </c>
      <c r="K15" s="129">
        <v>1</v>
      </c>
      <c r="L15" s="129"/>
      <c r="M15" s="129">
        <v>1</v>
      </c>
      <c r="N15" s="129" t="s">
        <v>155</v>
      </c>
      <c r="O15" s="229" t="s">
        <v>17</v>
      </c>
      <c r="P15" s="217"/>
      <c r="Q15" s="103">
        <v>210100</v>
      </c>
    </row>
    <row r="16" spans="1:17" x14ac:dyDescent="0.25">
      <c r="A16" s="129">
        <v>31</v>
      </c>
      <c r="B16" s="129"/>
      <c r="C16" s="129"/>
      <c r="D16" s="129">
        <v>1</v>
      </c>
      <c r="E16" s="129"/>
      <c r="F16" s="129">
        <v>4901</v>
      </c>
      <c r="G16" s="129">
        <v>3</v>
      </c>
      <c r="H16" s="129">
        <v>1</v>
      </c>
      <c r="I16" s="129">
        <v>2</v>
      </c>
      <c r="J16" s="129">
        <v>3</v>
      </c>
      <c r="K16" s="129">
        <v>4</v>
      </c>
      <c r="L16" s="129"/>
      <c r="M16" s="129">
        <v>1</v>
      </c>
      <c r="N16" s="129" t="s">
        <v>155</v>
      </c>
      <c r="O16" s="218" t="s">
        <v>174</v>
      </c>
      <c r="P16" s="206"/>
      <c r="Q16" s="108">
        <v>5250</v>
      </c>
    </row>
    <row r="17" spans="1:17" x14ac:dyDescent="0.25">
      <c r="A17" s="104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6"/>
      <c r="N17" s="105"/>
      <c r="O17" s="231"/>
      <c r="P17" s="231"/>
      <c r="Q17" s="108"/>
    </row>
    <row r="18" spans="1:17" x14ac:dyDescent="0.25">
      <c r="A18" s="104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6"/>
      <c r="N18" s="133"/>
      <c r="O18" s="211"/>
      <c r="P18" s="211"/>
      <c r="Q18" s="108"/>
    </row>
    <row r="19" spans="1:17" x14ac:dyDescent="0.25">
      <c r="A19" s="104"/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6"/>
      <c r="N19" s="133"/>
      <c r="O19" s="211"/>
      <c r="P19" s="211"/>
      <c r="Q19" s="108"/>
    </row>
    <row r="20" spans="1:17" x14ac:dyDescent="0.25">
      <c r="A20" s="104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6"/>
      <c r="N20" s="133"/>
      <c r="O20" s="211"/>
      <c r="P20" s="211"/>
      <c r="Q20" s="108"/>
    </row>
    <row r="21" spans="1:17" x14ac:dyDescent="0.25">
      <c r="A21" s="104"/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6"/>
      <c r="N21" s="133"/>
      <c r="O21" s="211"/>
      <c r="P21" s="211"/>
      <c r="Q21" s="108"/>
    </row>
    <row r="22" spans="1:17" x14ac:dyDescent="0.25">
      <c r="A22" s="104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6"/>
      <c r="N22" s="133"/>
      <c r="O22" s="211"/>
      <c r="P22" s="211"/>
      <c r="Q22" s="108"/>
    </row>
    <row r="23" spans="1:17" x14ac:dyDescent="0.25">
      <c r="A23" s="104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6"/>
      <c r="N23" s="133"/>
      <c r="O23" s="211"/>
      <c r="P23" s="211"/>
      <c r="Q23" s="108"/>
    </row>
    <row r="24" spans="1:17" x14ac:dyDescent="0.25">
      <c r="A24" s="104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6"/>
      <c r="N24" s="133"/>
      <c r="O24" s="211"/>
      <c r="P24" s="211"/>
      <c r="Q24" s="108"/>
    </row>
    <row r="25" spans="1:17" x14ac:dyDescent="0.25">
      <c r="A25" s="104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6"/>
      <c r="N25" s="133"/>
      <c r="O25" s="211"/>
      <c r="P25" s="211"/>
      <c r="Q25" s="108"/>
    </row>
    <row r="26" spans="1:17" x14ac:dyDescent="0.25">
      <c r="A26" s="104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6"/>
      <c r="N26" s="133"/>
      <c r="O26" s="211"/>
      <c r="P26" s="211"/>
      <c r="Q26" s="108"/>
    </row>
    <row r="27" spans="1:17" x14ac:dyDescent="0.25">
      <c r="A27" s="104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6"/>
      <c r="N27" s="133"/>
      <c r="O27" s="211"/>
      <c r="P27" s="211"/>
      <c r="Q27" s="108"/>
    </row>
    <row r="28" spans="1:17" x14ac:dyDescent="0.25">
      <c r="A28" s="104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6"/>
      <c r="N28" s="133"/>
      <c r="O28" s="211"/>
      <c r="P28" s="211"/>
      <c r="Q28" s="108"/>
    </row>
    <row r="29" spans="1:17" x14ac:dyDescent="0.25">
      <c r="A29" s="104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6"/>
      <c r="N29" s="133"/>
      <c r="O29" s="211"/>
      <c r="P29" s="211"/>
      <c r="Q29" s="108"/>
    </row>
    <row r="30" spans="1:17" x14ac:dyDescent="0.25">
      <c r="A30" s="104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6"/>
      <c r="N30" s="133"/>
      <c r="O30" s="211"/>
      <c r="P30" s="211"/>
      <c r="Q30" s="108"/>
    </row>
    <row r="31" spans="1:17" x14ac:dyDescent="0.25">
      <c r="A31" s="104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6"/>
      <c r="N31" s="133"/>
      <c r="O31" s="211"/>
      <c r="P31" s="211"/>
      <c r="Q31" s="108"/>
    </row>
    <row r="32" spans="1:17" x14ac:dyDescent="0.25">
      <c r="A32" s="104"/>
      <c r="B32" s="105"/>
      <c r="C32" s="105"/>
      <c r="D32" s="105"/>
      <c r="E32" s="105"/>
      <c r="F32" s="133"/>
      <c r="G32" s="105"/>
      <c r="H32" s="105"/>
      <c r="I32" s="105"/>
      <c r="J32" s="105"/>
      <c r="K32" s="105"/>
      <c r="L32" s="105"/>
      <c r="M32" s="106"/>
      <c r="N32" s="133"/>
      <c r="O32" s="206"/>
      <c r="P32" s="206"/>
      <c r="Q32" s="108"/>
    </row>
    <row r="33" spans="1:17" x14ac:dyDescent="0.25">
      <c r="A33" s="104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6"/>
      <c r="N33" s="133"/>
      <c r="O33" s="206"/>
      <c r="P33" s="206"/>
      <c r="Q33" s="108"/>
    </row>
    <row r="34" spans="1:17" x14ac:dyDescent="0.25">
      <c r="A34" s="104"/>
      <c r="B34" s="105"/>
      <c r="C34" s="105"/>
      <c r="D34" s="105"/>
      <c r="E34" s="105"/>
      <c r="F34" s="133"/>
      <c r="G34" s="105"/>
      <c r="H34" s="105"/>
      <c r="I34" s="105"/>
      <c r="J34" s="105"/>
      <c r="K34" s="105"/>
      <c r="L34" s="105"/>
      <c r="M34" s="106"/>
      <c r="N34" s="133"/>
      <c r="O34" s="206"/>
      <c r="P34" s="206"/>
      <c r="Q34" s="108"/>
    </row>
    <row r="35" spans="1:17" x14ac:dyDescent="0.25">
      <c r="A35" s="104"/>
      <c r="B35" s="105"/>
      <c r="C35" s="105"/>
      <c r="D35" s="105"/>
      <c r="E35" s="105"/>
      <c r="F35" s="133"/>
      <c r="G35" s="105"/>
      <c r="H35" s="105"/>
      <c r="I35" s="105"/>
      <c r="J35" s="105"/>
      <c r="K35" s="105"/>
      <c r="L35" s="105"/>
      <c r="M35" s="106"/>
      <c r="N35" s="133"/>
      <c r="O35" s="206"/>
      <c r="P35" s="206"/>
      <c r="Q35" s="108"/>
    </row>
    <row r="36" spans="1:17" x14ac:dyDescent="0.25">
      <c r="A36" s="109"/>
      <c r="B36" s="110"/>
      <c r="C36" s="110"/>
      <c r="D36" s="110"/>
      <c r="E36" s="110"/>
      <c r="F36" s="111"/>
      <c r="G36" s="110"/>
      <c r="H36" s="110"/>
      <c r="I36" s="110"/>
      <c r="J36" s="110"/>
      <c r="K36" s="110"/>
      <c r="L36" s="110"/>
      <c r="M36" s="112"/>
      <c r="N36" s="113"/>
      <c r="O36" s="207"/>
      <c r="P36" s="207"/>
      <c r="Q36" s="108"/>
    </row>
    <row r="37" spans="1:17" ht="15.75" thickBot="1" x14ac:dyDescent="0.3">
      <c r="A37" s="114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6"/>
      <c r="N37" s="115"/>
      <c r="O37" s="208"/>
      <c r="P37" s="208"/>
      <c r="Q37" s="117"/>
    </row>
    <row r="38" spans="1:17" ht="15.75" thickBot="1" x14ac:dyDescent="0.3">
      <c r="A38" s="209" t="s">
        <v>182</v>
      </c>
      <c r="B38" s="209"/>
      <c r="C38" s="209"/>
      <c r="D38" s="209"/>
      <c r="E38" s="209"/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209"/>
      <c r="Q38" s="118">
        <f>SUM(Q15:Q37)</f>
        <v>215350</v>
      </c>
    </row>
    <row r="39" spans="1:17" ht="15.75" thickBot="1" x14ac:dyDescent="0.3">
      <c r="A39" s="210"/>
      <c r="B39" s="210"/>
      <c r="C39" s="210"/>
      <c r="D39" s="210"/>
      <c r="E39" s="210"/>
      <c r="F39" s="210"/>
      <c r="G39" s="210"/>
      <c r="H39" s="210"/>
      <c r="I39" s="210"/>
      <c r="J39" s="210"/>
      <c r="K39" s="210"/>
      <c r="L39" s="210"/>
      <c r="M39" s="210"/>
      <c r="N39" s="210"/>
      <c r="O39" s="210"/>
      <c r="P39" s="210"/>
      <c r="Q39" s="210"/>
    </row>
    <row r="40" spans="1:17" ht="15.75" thickBot="1" x14ac:dyDescent="0.3">
      <c r="A40" s="203" t="s">
        <v>156</v>
      </c>
      <c r="B40" s="203"/>
      <c r="C40" s="203"/>
      <c r="D40" s="203"/>
      <c r="E40" s="203"/>
      <c r="F40" s="203"/>
      <c r="G40" s="204"/>
      <c r="H40" s="204"/>
      <c r="I40" s="204"/>
      <c r="J40" s="204"/>
      <c r="K40" s="204"/>
      <c r="L40" s="204"/>
      <c r="M40" s="204"/>
      <c r="N40" s="204"/>
      <c r="O40" s="204"/>
      <c r="P40" s="204"/>
      <c r="Q40" s="204"/>
    </row>
    <row r="41" spans="1:17" ht="15.75" thickBot="1" x14ac:dyDescent="0.3">
      <c r="A41" s="205" t="s">
        <v>158</v>
      </c>
      <c r="B41" s="205"/>
      <c r="C41" s="205"/>
      <c r="D41" s="205"/>
      <c r="E41" s="205"/>
      <c r="F41" s="205"/>
      <c r="G41" s="205"/>
      <c r="H41" s="205"/>
      <c r="I41" s="205"/>
      <c r="J41" s="205"/>
      <c r="K41" s="205"/>
      <c r="L41" s="205"/>
      <c r="M41" s="205"/>
      <c r="N41" s="205"/>
      <c r="O41" s="205"/>
      <c r="P41" s="205"/>
      <c r="Q41" s="205"/>
    </row>
    <row r="42" spans="1:17" ht="15.75" thickBot="1" x14ac:dyDescent="0.3">
      <c r="A42" s="205"/>
      <c r="B42" s="205"/>
      <c r="C42" s="205"/>
      <c r="D42" s="205"/>
      <c r="E42" s="205"/>
      <c r="F42" s="205"/>
      <c r="G42" s="205"/>
      <c r="H42" s="205"/>
      <c r="I42" s="205"/>
      <c r="J42" s="205"/>
      <c r="K42" s="205"/>
      <c r="L42" s="205"/>
      <c r="M42" s="205"/>
      <c r="N42" s="205"/>
      <c r="O42" s="205"/>
      <c r="P42" s="205"/>
      <c r="Q42" s="205"/>
    </row>
    <row r="43" spans="1:17" x14ac:dyDescent="0.2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pageSetup paperSize="5" scale="6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P20"/>
  <sheetViews>
    <sheetView topLeftCell="A4" zoomScaleNormal="100" workbookViewId="0">
      <selection activeCell="C51" sqref="C51"/>
    </sheetView>
  </sheetViews>
  <sheetFormatPr baseColWidth="10" defaultRowHeight="15" x14ac:dyDescent="0.25"/>
  <cols>
    <col min="1" max="1" width="6.85546875" customWidth="1"/>
    <col min="2" max="2" width="27.7109375" customWidth="1"/>
    <col min="3" max="3" width="64.28515625" customWidth="1"/>
    <col min="4" max="4" width="21.28515625" customWidth="1"/>
    <col min="5" max="5" width="18" customWidth="1"/>
    <col min="6" max="6" width="22.85546875" customWidth="1"/>
    <col min="7" max="7" width="15.85546875" customWidth="1"/>
    <col min="8" max="8" width="12" bestFit="1" customWidth="1"/>
    <col min="10" max="10" width="12" bestFit="1" customWidth="1"/>
  </cols>
  <sheetData>
    <row r="1" spans="1:16" ht="30.75" thickBot="1" x14ac:dyDescent="0.3">
      <c r="A1" s="201" t="s">
        <v>116</v>
      </c>
      <c r="B1" s="201"/>
      <c r="C1" s="201"/>
      <c r="D1" s="201"/>
      <c r="E1" s="201"/>
      <c r="F1" s="61" t="s">
        <v>117</v>
      </c>
      <c r="G1" s="62"/>
    </row>
    <row r="2" spans="1:16" ht="16.5" thickBot="1" x14ac:dyDescent="0.3">
      <c r="A2" s="63"/>
      <c r="B2" s="64"/>
      <c r="C2" s="65"/>
      <c r="D2" s="65"/>
      <c r="E2" s="65"/>
      <c r="F2" s="65"/>
      <c r="G2" s="66"/>
    </row>
    <row r="3" spans="1:16" ht="16.5" thickBot="1" x14ac:dyDescent="0.3">
      <c r="A3" s="202" t="s">
        <v>118</v>
      </c>
      <c r="B3" s="202"/>
      <c r="C3" s="67" t="str">
        <f>'[2]SAF 011'!C4</f>
        <v>040 - MINISTERIO DE SALUD</v>
      </c>
      <c r="D3" s="68"/>
      <c r="E3" s="68"/>
      <c r="F3" s="68"/>
      <c r="G3" s="69"/>
    </row>
    <row r="4" spans="1:16" ht="16.5" thickBot="1" x14ac:dyDescent="0.3">
      <c r="A4" s="200" t="s">
        <v>119</v>
      </c>
      <c r="B4" s="200"/>
      <c r="C4" s="67" t="str">
        <f>'[2]SAF 011'!C5</f>
        <v>011 - DIRECCION PROVINCIAL DE ADMINISTRACION - MINISTERIO DE SALUD</v>
      </c>
      <c r="D4" s="68"/>
      <c r="E4" s="68"/>
      <c r="F4" s="68"/>
      <c r="G4" s="69"/>
    </row>
    <row r="5" spans="1:16" ht="16.5" thickBot="1" x14ac:dyDescent="0.3">
      <c r="A5" s="200" t="s">
        <v>120</v>
      </c>
      <c r="B5" s="200"/>
      <c r="C5" s="67" t="s">
        <v>165</v>
      </c>
      <c r="D5" s="68"/>
      <c r="E5" s="68"/>
      <c r="F5" s="68"/>
      <c r="G5" s="69"/>
    </row>
    <row r="6" spans="1:16" ht="16.5" thickBot="1" x14ac:dyDescent="0.3">
      <c r="A6" s="202" t="s">
        <v>122</v>
      </c>
      <c r="B6" s="202"/>
      <c r="C6" s="67" t="s">
        <v>165</v>
      </c>
      <c r="D6" s="68"/>
      <c r="E6" s="68"/>
      <c r="F6" s="68"/>
      <c r="G6" s="69"/>
    </row>
    <row r="7" spans="1:16" ht="16.5" thickBot="1" x14ac:dyDescent="0.3">
      <c r="A7" s="200" t="s">
        <v>123</v>
      </c>
      <c r="B7" s="200"/>
      <c r="C7" s="67" t="s">
        <v>124</v>
      </c>
      <c r="D7" s="68"/>
      <c r="E7" s="68"/>
      <c r="F7" s="68"/>
      <c r="G7" s="69"/>
    </row>
    <row r="8" spans="1:16" ht="16.5" thickBot="1" x14ac:dyDescent="0.3">
      <c r="A8" s="198" t="s">
        <v>125</v>
      </c>
      <c r="B8" s="198"/>
      <c r="C8" s="70" t="s">
        <v>158</v>
      </c>
      <c r="D8" s="68"/>
      <c r="E8" s="68"/>
      <c r="F8" s="68"/>
      <c r="G8" s="69"/>
    </row>
    <row r="9" spans="1:16" ht="15.75" x14ac:dyDescent="0.25">
      <c r="A9" s="71"/>
      <c r="B9" s="72"/>
      <c r="C9" s="73"/>
      <c r="D9" s="73"/>
      <c r="E9" s="73"/>
      <c r="F9" s="73"/>
      <c r="G9" s="74"/>
    </row>
    <row r="10" spans="1:16" x14ac:dyDescent="0.25">
      <c r="A10" s="236" t="s">
        <v>126</v>
      </c>
      <c r="B10" s="234" t="s">
        <v>127</v>
      </c>
      <c r="C10" s="234" t="s">
        <v>161</v>
      </c>
      <c r="D10" s="234" t="s">
        <v>128</v>
      </c>
      <c r="E10" s="234" t="s">
        <v>129</v>
      </c>
      <c r="F10" s="234" t="s">
        <v>130</v>
      </c>
      <c r="G10" s="234" t="s">
        <v>131</v>
      </c>
    </row>
    <row r="11" spans="1:16" x14ac:dyDescent="0.25">
      <c r="A11" s="236"/>
      <c r="B11" s="234"/>
      <c r="C11" s="234"/>
      <c r="D11" s="234"/>
      <c r="E11" s="234"/>
      <c r="F11" s="234"/>
      <c r="G11" s="234"/>
    </row>
    <row r="12" spans="1:16" ht="44.25" customHeight="1" x14ac:dyDescent="0.25">
      <c r="A12" s="122">
        <v>1</v>
      </c>
      <c r="B12" s="126" t="s">
        <v>22</v>
      </c>
      <c r="C12" s="119" t="s">
        <v>23</v>
      </c>
      <c r="D12" s="122" t="s">
        <v>132</v>
      </c>
      <c r="E12" s="136" t="s">
        <v>24</v>
      </c>
      <c r="F12" s="127">
        <v>650</v>
      </c>
      <c r="G12" s="125">
        <v>30</v>
      </c>
      <c r="H12" s="165">
        <f>+G12*F12</f>
        <v>19500</v>
      </c>
      <c r="I12" s="164"/>
      <c r="J12" s="164"/>
      <c r="K12" s="164"/>
      <c r="L12" s="161"/>
      <c r="M12" s="161"/>
      <c r="N12" s="161"/>
      <c r="O12" s="161"/>
      <c r="P12" s="161"/>
    </row>
    <row r="13" spans="1:16" ht="44.25" customHeight="1" x14ac:dyDescent="0.25">
      <c r="A13" s="122">
        <v>2</v>
      </c>
      <c r="B13" s="124" t="s">
        <v>25</v>
      </c>
      <c r="C13" s="119" t="s">
        <v>26</v>
      </c>
      <c r="D13" s="122" t="s">
        <v>132</v>
      </c>
      <c r="E13" s="136" t="s">
        <v>24</v>
      </c>
      <c r="F13" s="127">
        <v>100</v>
      </c>
      <c r="G13" s="125">
        <v>30</v>
      </c>
      <c r="H13" s="165">
        <f t="shared" ref="H13:H17" si="0">+G13*F13</f>
        <v>3000</v>
      </c>
      <c r="I13" s="164"/>
      <c r="J13" s="166">
        <f>+H12+H13+H14+H16</f>
        <v>28200</v>
      </c>
      <c r="K13" s="164"/>
      <c r="L13" s="161"/>
      <c r="M13" s="161"/>
      <c r="N13" s="161"/>
      <c r="O13" s="161"/>
      <c r="P13" s="161"/>
    </row>
    <row r="14" spans="1:16" ht="44.25" customHeight="1" x14ac:dyDescent="0.25">
      <c r="A14" s="122">
        <v>3</v>
      </c>
      <c r="B14" s="124" t="s">
        <v>50</v>
      </c>
      <c r="C14" s="119" t="s">
        <v>51</v>
      </c>
      <c r="D14" s="122" t="s">
        <v>132</v>
      </c>
      <c r="E14" s="136" t="s">
        <v>16</v>
      </c>
      <c r="F14" s="127">
        <v>450</v>
      </c>
      <c r="G14" s="125">
        <v>10</v>
      </c>
      <c r="H14" s="165">
        <f t="shared" si="0"/>
        <v>4500</v>
      </c>
      <c r="I14" s="164"/>
      <c r="J14" s="166">
        <f>+H15+H17</f>
        <v>38400</v>
      </c>
      <c r="K14" s="164"/>
      <c r="L14" s="161"/>
      <c r="M14" s="161"/>
      <c r="N14" s="161"/>
      <c r="O14" s="161"/>
      <c r="P14" s="161"/>
    </row>
    <row r="15" spans="1:16" ht="44.25" customHeight="1" x14ac:dyDescent="0.25">
      <c r="A15" s="122">
        <v>4</v>
      </c>
      <c r="B15" s="124" t="s">
        <v>55</v>
      </c>
      <c r="C15" s="119" t="s">
        <v>56</v>
      </c>
      <c r="D15" s="122" t="s">
        <v>132</v>
      </c>
      <c r="E15" s="136" t="s">
        <v>24</v>
      </c>
      <c r="F15" s="127">
        <v>350</v>
      </c>
      <c r="G15" s="125">
        <v>84</v>
      </c>
      <c r="H15" s="165">
        <f t="shared" si="0"/>
        <v>29400</v>
      </c>
      <c r="I15" s="164"/>
      <c r="J15" s="164"/>
      <c r="K15" s="164"/>
      <c r="L15" s="161"/>
      <c r="M15" s="161"/>
      <c r="N15" s="161"/>
      <c r="O15" s="161"/>
      <c r="P15" s="161"/>
    </row>
    <row r="16" spans="1:16" s="23" customFormat="1" ht="44.25" customHeight="1" x14ac:dyDescent="0.25">
      <c r="A16" s="122">
        <v>5</v>
      </c>
      <c r="B16" s="167" t="s">
        <v>65</v>
      </c>
      <c r="C16" s="119" t="s">
        <v>66</v>
      </c>
      <c r="D16" s="122" t="s">
        <v>132</v>
      </c>
      <c r="E16" s="136" t="s">
        <v>16</v>
      </c>
      <c r="F16" s="168">
        <v>120</v>
      </c>
      <c r="G16" s="125">
        <v>10</v>
      </c>
      <c r="H16" s="165">
        <f t="shared" si="0"/>
        <v>1200</v>
      </c>
      <c r="I16" s="164"/>
      <c r="J16" s="164"/>
      <c r="K16" s="164"/>
      <c r="L16" s="161"/>
      <c r="M16" s="161"/>
      <c r="N16" s="161"/>
      <c r="O16" s="161"/>
      <c r="P16" s="161"/>
    </row>
    <row r="17" spans="1:16" ht="44.25" customHeight="1" x14ac:dyDescent="0.25">
      <c r="A17" s="121">
        <v>6</v>
      </c>
      <c r="B17" s="123" t="s">
        <v>86</v>
      </c>
      <c r="C17" s="120" t="s">
        <v>88</v>
      </c>
      <c r="D17" s="122" t="s">
        <v>132</v>
      </c>
      <c r="E17" s="124" t="s">
        <v>70</v>
      </c>
      <c r="F17" s="128">
        <v>300</v>
      </c>
      <c r="G17" s="125">
        <v>30</v>
      </c>
      <c r="H17" s="165">
        <f t="shared" si="0"/>
        <v>9000</v>
      </c>
      <c r="I17" s="161"/>
      <c r="J17" s="161"/>
      <c r="K17" s="161"/>
      <c r="L17" s="161"/>
      <c r="M17" s="161"/>
      <c r="N17" s="161"/>
      <c r="O17" s="161"/>
      <c r="P17" s="161"/>
    </row>
    <row r="18" spans="1:16" ht="15.75" x14ac:dyDescent="0.25">
      <c r="A18" s="235" t="s">
        <v>204</v>
      </c>
      <c r="B18" s="235"/>
      <c r="C18" s="235"/>
      <c r="D18" s="235"/>
      <c r="E18" s="235"/>
      <c r="F18" s="196">
        <f>+H12+H13+H14+H15+H16+H17</f>
        <v>66600</v>
      </c>
      <c r="G18" s="196"/>
      <c r="H18" s="161"/>
      <c r="I18" s="161"/>
      <c r="J18" s="161"/>
      <c r="K18" s="161"/>
      <c r="L18" s="161"/>
      <c r="M18" s="161"/>
      <c r="N18" s="161"/>
      <c r="O18" s="161"/>
      <c r="P18" s="161"/>
    </row>
    <row r="19" spans="1:16" ht="15.75" x14ac:dyDescent="0.25">
      <c r="A19" s="137"/>
      <c r="B19" s="137"/>
      <c r="C19" s="137"/>
      <c r="D19" s="137"/>
      <c r="E19" s="137"/>
      <c r="F19" s="137"/>
      <c r="G19" s="137"/>
    </row>
    <row r="20" spans="1:16" x14ac:dyDescent="0.25">
      <c r="A20" s="23"/>
      <c r="B20" s="23"/>
      <c r="C20" s="23"/>
      <c r="D20" s="23"/>
      <c r="E20" s="23"/>
      <c r="F20" s="23"/>
      <c r="G20" s="23"/>
    </row>
  </sheetData>
  <mergeCells count="16">
    <mergeCell ref="A7:B7"/>
    <mergeCell ref="A1:E1"/>
    <mergeCell ref="A3:B3"/>
    <mergeCell ref="A4:B4"/>
    <mergeCell ref="A5:B5"/>
    <mergeCell ref="A6:B6"/>
    <mergeCell ref="F10:F11"/>
    <mergeCell ref="G10:G11"/>
    <mergeCell ref="A18:E18"/>
    <mergeCell ref="F18:G18"/>
    <mergeCell ref="A8:B8"/>
    <mergeCell ref="A10:A11"/>
    <mergeCell ref="B10:B11"/>
    <mergeCell ref="C10:C11"/>
    <mergeCell ref="D10:D11"/>
    <mergeCell ref="E10:E11"/>
  </mergeCells>
  <conditionalFormatting sqref="C12:C17">
    <cfRule type="duplicateValues" dxfId="88" priority="9"/>
  </conditionalFormatting>
  <conditionalFormatting sqref="C12:C17">
    <cfRule type="duplicateValues" dxfId="87" priority="10"/>
    <cfRule type="duplicateValues" dxfId="86" priority="11"/>
  </conditionalFormatting>
  <conditionalFormatting sqref="C15:C17 C12:C13">
    <cfRule type="duplicateValues" dxfId="85" priority="12"/>
  </conditionalFormatting>
  <conditionalFormatting sqref="C15:C17 C12:C13">
    <cfRule type="duplicateValues" dxfId="84" priority="13"/>
  </conditionalFormatting>
  <conditionalFormatting sqref="C12:C17">
    <cfRule type="duplicateValues" dxfId="83" priority="14"/>
  </conditionalFormatting>
  <conditionalFormatting sqref="C14">
    <cfRule type="duplicateValues" dxfId="82" priority="7"/>
  </conditionalFormatting>
  <conditionalFormatting sqref="C14">
    <cfRule type="duplicateValues" dxfId="81" priority="8"/>
  </conditionalFormatting>
  <conditionalFormatting sqref="B15:B17 B12:B13">
    <cfRule type="duplicateValues" dxfId="80" priority="3"/>
  </conditionalFormatting>
  <conditionalFormatting sqref="B15:B17 B12:B13">
    <cfRule type="duplicateValues" dxfId="79" priority="4"/>
  </conditionalFormatting>
  <conditionalFormatting sqref="B12:B17">
    <cfRule type="duplicateValues" dxfId="78" priority="5"/>
  </conditionalFormatting>
  <conditionalFormatting sqref="B12:B17">
    <cfRule type="duplicateValues" dxfId="77" priority="6"/>
  </conditionalFormatting>
  <conditionalFormatting sqref="B14">
    <cfRule type="duplicateValues" dxfId="76" priority="1"/>
  </conditionalFormatting>
  <conditionalFormatting sqref="B14">
    <cfRule type="duplicateValues" dxfId="75" priority="2"/>
  </conditionalFormatting>
  <pageMargins left="0.70866141732283472" right="0.70866141732283472" top="0.74803149606299213" bottom="0.74803149606299213" header="0.31496062992125984" footer="0.31496062992125984"/>
  <pageSetup paperSize="5" scale="80" orientation="landscape" r:id="rId1"/>
  <colBreaks count="1" manualBreakCount="1">
    <brk id="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45"/>
  <sheetViews>
    <sheetView topLeftCell="A16" zoomScaleNormal="100" workbookViewId="0">
      <selection activeCell="C51" sqref="C51"/>
    </sheetView>
  </sheetViews>
  <sheetFormatPr baseColWidth="10" defaultRowHeight="15" x14ac:dyDescent="0.25"/>
  <cols>
    <col min="1" max="14" width="6.7109375" customWidth="1"/>
    <col min="16" max="16" width="26.85546875" customWidth="1"/>
    <col min="17" max="17" width="24.140625" customWidth="1"/>
  </cols>
  <sheetData>
    <row r="1" spans="1:17" ht="15.75" thickBot="1" x14ac:dyDescent="0.3">
      <c r="A1" s="222" t="s">
        <v>5</v>
      </c>
      <c r="B1" s="222"/>
      <c r="C1" s="222"/>
      <c r="D1" s="223">
        <v>2022</v>
      </c>
      <c r="E1" s="223"/>
      <c r="F1" s="86"/>
      <c r="G1" s="86"/>
      <c r="H1" s="87"/>
      <c r="I1" s="87"/>
      <c r="J1" s="87"/>
      <c r="K1" s="87"/>
      <c r="L1" s="87"/>
      <c r="M1" s="87"/>
      <c r="N1" s="87"/>
      <c r="O1" s="88"/>
      <c r="P1" s="224" t="s">
        <v>133</v>
      </c>
      <c r="Q1" s="224"/>
    </row>
    <row r="2" spans="1:17" ht="15.75" thickBot="1" x14ac:dyDescent="0.3">
      <c r="A2" s="89"/>
      <c r="B2" s="90"/>
      <c r="C2" s="90"/>
      <c r="D2" s="90"/>
      <c r="E2" s="90"/>
      <c r="F2" s="90"/>
      <c r="G2" s="91"/>
      <c r="H2" s="92"/>
      <c r="I2" s="92"/>
      <c r="J2" s="92"/>
      <c r="K2" s="92"/>
      <c r="L2" s="92"/>
      <c r="M2" s="92"/>
      <c r="N2" s="92"/>
      <c r="O2" s="90"/>
      <c r="P2" s="224"/>
      <c r="Q2" s="224"/>
    </row>
    <row r="3" spans="1:17" ht="15.75" thickBot="1" x14ac:dyDescent="0.3">
      <c r="A3" s="89"/>
      <c r="B3" s="90"/>
      <c r="C3" s="90"/>
      <c r="D3" s="90"/>
      <c r="E3" s="90"/>
      <c r="F3" s="90"/>
      <c r="G3" s="91"/>
      <c r="H3" s="90"/>
      <c r="I3" s="90"/>
      <c r="J3" s="90"/>
      <c r="K3" s="90"/>
      <c r="L3" s="90"/>
      <c r="M3" s="90"/>
      <c r="N3" s="90"/>
      <c r="O3" s="90"/>
      <c r="P3" s="90"/>
      <c r="Q3" s="93"/>
    </row>
    <row r="4" spans="1:17" ht="15.75" thickBot="1" x14ac:dyDescent="0.3">
      <c r="A4" s="225" t="s">
        <v>134</v>
      </c>
      <c r="B4" s="225"/>
      <c r="C4" s="225"/>
      <c r="D4" s="225"/>
      <c r="E4" s="225"/>
      <c r="F4" s="225"/>
      <c r="G4" s="226" t="str">
        <f>'[1]NP DPBS'!D3</f>
        <v>040 - MINISTERIO DE SALUD</v>
      </c>
      <c r="H4" s="226"/>
      <c r="I4" s="226"/>
      <c r="J4" s="226"/>
      <c r="K4" s="226"/>
      <c r="L4" s="226"/>
      <c r="M4" s="226"/>
      <c r="N4" s="226"/>
      <c r="O4" s="226"/>
      <c r="P4" s="226"/>
      <c r="Q4" s="226"/>
    </row>
    <row r="5" spans="1:17" ht="15.75" thickBot="1" x14ac:dyDescent="0.3">
      <c r="A5" s="227" t="s">
        <v>119</v>
      </c>
      <c r="B5" s="227"/>
      <c r="C5" s="227"/>
      <c r="D5" s="227"/>
      <c r="E5" s="227"/>
      <c r="F5" s="227"/>
      <c r="G5" s="226" t="str">
        <f>'[1]NP DPBS'!D4</f>
        <v>011 - DIRECCION PROVINCIAL DE ADMINISTRACION - MINISTERIO DE SALUD</v>
      </c>
      <c r="H5" s="226"/>
      <c r="I5" s="226"/>
      <c r="J5" s="226"/>
      <c r="K5" s="226"/>
      <c r="L5" s="226"/>
      <c r="M5" s="226"/>
      <c r="N5" s="226"/>
      <c r="O5" s="226"/>
      <c r="P5" s="226"/>
      <c r="Q5" s="226"/>
    </row>
    <row r="6" spans="1:17" ht="15.75" thickBot="1" x14ac:dyDescent="0.3">
      <c r="A6" s="227" t="s">
        <v>120</v>
      </c>
      <c r="B6" s="227"/>
      <c r="C6" s="227"/>
      <c r="D6" s="227"/>
      <c r="E6" s="227"/>
      <c r="F6" s="227"/>
      <c r="G6" s="226" t="s">
        <v>165</v>
      </c>
      <c r="H6" s="226"/>
      <c r="I6" s="226"/>
      <c r="J6" s="226"/>
      <c r="K6" s="226"/>
      <c r="L6" s="226"/>
      <c r="M6" s="226"/>
      <c r="N6" s="226"/>
      <c r="O6" s="226"/>
      <c r="P6" s="226"/>
      <c r="Q6" s="226"/>
    </row>
    <row r="7" spans="1:17" ht="15.75" thickBot="1" x14ac:dyDescent="0.3">
      <c r="A7" s="227" t="s">
        <v>122</v>
      </c>
      <c r="B7" s="227"/>
      <c r="C7" s="227"/>
      <c r="D7" s="227"/>
      <c r="E7" s="227"/>
      <c r="F7" s="227"/>
      <c r="G7" s="226" t="s">
        <v>165</v>
      </c>
      <c r="H7" s="226"/>
      <c r="I7" s="226"/>
      <c r="J7" s="226"/>
      <c r="K7" s="226"/>
      <c r="L7" s="226"/>
      <c r="M7" s="226"/>
      <c r="N7" s="226"/>
      <c r="O7" s="226"/>
      <c r="P7" s="226"/>
      <c r="Q7" s="226"/>
    </row>
    <row r="8" spans="1:17" ht="15.75" thickBot="1" x14ac:dyDescent="0.3">
      <c r="A8" s="228" t="s">
        <v>135</v>
      </c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  <c r="M8" s="228"/>
      <c r="N8" s="228"/>
      <c r="O8" s="228"/>
      <c r="P8" s="228"/>
      <c r="Q8" s="228"/>
    </row>
    <row r="9" spans="1:17" x14ac:dyDescent="0.25">
      <c r="A9" s="221" t="s">
        <v>136</v>
      </c>
      <c r="B9" s="221"/>
      <c r="C9" s="221"/>
      <c r="D9" s="221"/>
      <c r="E9" s="221"/>
      <c r="F9" s="221"/>
      <c r="G9" s="221"/>
      <c r="H9" s="221"/>
      <c r="I9" s="221"/>
      <c r="J9" s="221"/>
      <c r="K9" s="221"/>
      <c r="L9" s="221"/>
      <c r="M9" s="221"/>
      <c r="N9" s="221"/>
      <c r="O9" s="221"/>
      <c r="P9" s="221"/>
      <c r="Q9" s="221"/>
    </row>
    <row r="10" spans="1:17" ht="37.5" customHeight="1" x14ac:dyDescent="0.25">
      <c r="A10" s="212" t="s">
        <v>137</v>
      </c>
      <c r="B10" s="212"/>
      <c r="C10" s="212"/>
      <c r="D10" s="212"/>
      <c r="E10" s="212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</row>
    <row r="11" spans="1:17" ht="15.75" thickBot="1" x14ac:dyDescent="0.3">
      <c r="A11" s="94"/>
      <c r="B11" s="95"/>
      <c r="C11" s="95"/>
      <c r="D11" s="95"/>
      <c r="E11" s="95"/>
      <c r="F11" s="95"/>
      <c r="G11" s="96"/>
      <c r="H11" s="95"/>
      <c r="I11" s="95"/>
      <c r="J11" s="95"/>
      <c r="K11" s="95"/>
      <c r="L11" s="95"/>
      <c r="M11" s="95"/>
      <c r="N11" s="95"/>
      <c r="O11" s="95"/>
      <c r="P11" s="95"/>
      <c r="Q11" s="97"/>
    </row>
    <row r="12" spans="1:17" ht="15.75" thickBot="1" x14ac:dyDescent="0.3">
      <c r="A12" s="213" t="s">
        <v>138</v>
      </c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</row>
    <row r="13" spans="1:17" ht="15.75" thickBot="1" x14ac:dyDescent="0.3">
      <c r="A13" s="214" t="s">
        <v>139</v>
      </c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5" t="s">
        <v>140</v>
      </c>
      <c r="P13" s="215"/>
      <c r="Q13" s="216" t="s">
        <v>141</v>
      </c>
    </row>
    <row r="14" spans="1:17" ht="15.75" thickBot="1" x14ac:dyDescent="0.3">
      <c r="A14" s="98" t="s">
        <v>142</v>
      </c>
      <c r="B14" s="99" t="s">
        <v>143</v>
      </c>
      <c r="C14" s="99" t="s">
        <v>144</v>
      </c>
      <c r="D14" s="99" t="s">
        <v>145</v>
      </c>
      <c r="E14" s="99" t="s">
        <v>146</v>
      </c>
      <c r="F14" s="99" t="s">
        <v>147</v>
      </c>
      <c r="G14" s="100" t="s">
        <v>148</v>
      </c>
      <c r="H14" s="99" t="s">
        <v>149</v>
      </c>
      <c r="I14" s="99" t="s">
        <v>150</v>
      </c>
      <c r="J14" s="99" t="s">
        <v>151</v>
      </c>
      <c r="K14" s="99" t="s">
        <v>151</v>
      </c>
      <c r="L14" s="99" t="s">
        <v>152</v>
      </c>
      <c r="M14" s="101" t="s">
        <v>153</v>
      </c>
      <c r="N14" s="102" t="s">
        <v>154</v>
      </c>
      <c r="O14" s="215"/>
      <c r="P14" s="215"/>
      <c r="Q14" s="216"/>
    </row>
    <row r="15" spans="1:17" x14ac:dyDescent="0.25">
      <c r="A15" s="129">
        <v>3</v>
      </c>
      <c r="B15" s="129"/>
      <c r="C15" s="129"/>
      <c r="D15" s="129">
        <v>1</v>
      </c>
      <c r="E15" s="129"/>
      <c r="F15" s="129">
        <v>4901</v>
      </c>
      <c r="G15" s="129">
        <v>1</v>
      </c>
      <c r="H15" s="129">
        <v>3</v>
      </c>
      <c r="I15" s="129">
        <v>2</v>
      </c>
      <c r="J15" s="129">
        <v>9</v>
      </c>
      <c r="K15" s="129">
        <v>1</v>
      </c>
      <c r="L15" s="129"/>
      <c r="M15" s="129">
        <v>1</v>
      </c>
      <c r="N15" s="129" t="s">
        <v>155</v>
      </c>
      <c r="O15" s="229" t="s">
        <v>17</v>
      </c>
      <c r="P15" s="217"/>
      <c r="Q15" s="103">
        <v>28200</v>
      </c>
    </row>
    <row r="16" spans="1:17" x14ac:dyDescent="0.25">
      <c r="A16" s="129">
        <v>3</v>
      </c>
      <c r="B16" s="129"/>
      <c r="C16" s="129"/>
      <c r="D16" s="129">
        <v>1</v>
      </c>
      <c r="E16" s="129"/>
      <c r="F16" s="129">
        <v>4901</v>
      </c>
      <c r="G16" s="129">
        <v>1</v>
      </c>
      <c r="H16" s="129">
        <v>3</v>
      </c>
      <c r="I16" s="129">
        <v>2</v>
      </c>
      <c r="J16" s="129">
        <v>3</v>
      </c>
      <c r="K16" s="129">
        <v>4</v>
      </c>
      <c r="L16" s="129"/>
      <c r="M16" s="129">
        <v>1</v>
      </c>
      <c r="N16" s="129" t="s">
        <v>155</v>
      </c>
      <c r="O16" s="218" t="s">
        <v>174</v>
      </c>
      <c r="P16" s="206"/>
      <c r="Q16" s="108">
        <v>38400</v>
      </c>
    </row>
    <row r="17" spans="1:17" x14ac:dyDescent="0.25">
      <c r="A17" s="104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6"/>
      <c r="N17" s="105"/>
      <c r="O17" s="231"/>
      <c r="P17" s="231"/>
      <c r="Q17" s="108"/>
    </row>
    <row r="18" spans="1:17" x14ac:dyDescent="0.25">
      <c r="A18" s="104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6"/>
      <c r="N18" s="134"/>
      <c r="O18" s="211"/>
      <c r="P18" s="211"/>
      <c r="Q18" s="108"/>
    </row>
    <row r="19" spans="1:17" x14ac:dyDescent="0.25">
      <c r="A19" s="104"/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6"/>
      <c r="N19" s="134"/>
      <c r="O19" s="211"/>
      <c r="P19" s="211"/>
      <c r="Q19" s="108"/>
    </row>
    <row r="20" spans="1:17" x14ac:dyDescent="0.25">
      <c r="A20" s="104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6"/>
      <c r="N20" s="134"/>
      <c r="O20" s="211"/>
      <c r="P20" s="211"/>
      <c r="Q20" s="108"/>
    </row>
    <row r="21" spans="1:17" x14ac:dyDescent="0.25">
      <c r="A21" s="104"/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6"/>
      <c r="N21" s="134"/>
      <c r="O21" s="211"/>
      <c r="P21" s="211"/>
      <c r="Q21" s="108"/>
    </row>
    <row r="22" spans="1:17" x14ac:dyDescent="0.25">
      <c r="A22" s="104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6"/>
      <c r="N22" s="134"/>
      <c r="O22" s="211"/>
      <c r="P22" s="211"/>
      <c r="Q22" s="108"/>
    </row>
    <row r="23" spans="1:17" x14ac:dyDescent="0.25">
      <c r="A23" s="104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6"/>
      <c r="N23" s="134"/>
      <c r="O23" s="211"/>
      <c r="P23" s="211"/>
      <c r="Q23" s="108"/>
    </row>
    <row r="24" spans="1:17" x14ac:dyDescent="0.25">
      <c r="A24" s="104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6"/>
      <c r="N24" s="134"/>
      <c r="O24" s="211"/>
      <c r="P24" s="211"/>
      <c r="Q24" s="108"/>
    </row>
    <row r="25" spans="1:17" x14ac:dyDescent="0.25">
      <c r="A25" s="104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6"/>
      <c r="N25" s="134"/>
      <c r="O25" s="211"/>
      <c r="P25" s="211"/>
      <c r="Q25" s="108"/>
    </row>
    <row r="26" spans="1:17" x14ac:dyDescent="0.25">
      <c r="A26" s="104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6"/>
      <c r="N26" s="134"/>
      <c r="O26" s="211"/>
      <c r="P26" s="211"/>
      <c r="Q26" s="108"/>
    </row>
    <row r="27" spans="1:17" x14ac:dyDescent="0.25">
      <c r="A27" s="104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6"/>
      <c r="N27" s="134"/>
      <c r="O27" s="211"/>
      <c r="P27" s="211"/>
      <c r="Q27" s="108"/>
    </row>
    <row r="28" spans="1:17" x14ac:dyDescent="0.25">
      <c r="A28" s="104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6"/>
      <c r="N28" s="134"/>
      <c r="O28" s="211"/>
      <c r="P28" s="211"/>
      <c r="Q28" s="108"/>
    </row>
    <row r="29" spans="1:17" x14ac:dyDescent="0.25">
      <c r="A29" s="104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6"/>
      <c r="N29" s="134"/>
      <c r="O29" s="211"/>
      <c r="P29" s="211"/>
      <c r="Q29" s="108"/>
    </row>
    <row r="30" spans="1:17" x14ac:dyDescent="0.25">
      <c r="A30" s="104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6"/>
      <c r="N30" s="134"/>
      <c r="O30" s="211"/>
      <c r="P30" s="211"/>
      <c r="Q30" s="108"/>
    </row>
    <row r="31" spans="1:17" x14ac:dyDescent="0.25">
      <c r="A31" s="104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6"/>
      <c r="N31" s="134"/>
      <c r="O31" s="211"/>
      <c r="P31" s="211"/>
      <c r="Q31" s="108"/>
    </row>
    <row r="32" spans="1:17" x14ac:dyDescent="0.25">
      <c r="A32" s="104"/>
      <c r="B32" s="105"/>
      <c r="C32" s="105"/>
      <c r="D32" s="105"/>
      <c r="E32" s="105"/>
      <c r="F32" s="134"/>
      <c r="G32" s="105"/>
      <c r="H32" s="105"/>
      <c r="I32" s="105"/>
      <c r="J32" s="105"/>
      <c r="K32" s="105"/>
      <c r="L32" s="105"/>
      <c r="M32" s="106"/>
      <c r="N32" s="134"/>
      <c r="O32" s="206"/>
      <c r="P32" s="206"/>
      <c r="Q32" s="108"/>
    </row>
    <row r="33" spans="1:17" x14ac:dyDescent="0.25">
      <c r="A33" s="104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6"/>
      <c r="N33" s="134"/>
      <c r="O33" s="206"/>
      <c r="P33" s="206"/>
      <c r="Q33" s="108"/>
    </row>
    <row r="34" spans="1:17" x14ac:dyDescent="0.25">
      <c r="A34" s="104"/>
      <c r="B34" s="105"/>
      <c r="C34" s="105"/>
      <c r="D34" s="105"/>
      <c r="E34" s="105"/>
      <c r="F34" s="134"/>
      <c r="G34" s="105"/>
      <c r="H34" s="105"/>
      <c r="I34" s="105"/>
      <c r="J34" s="105"/>
      <c r="K34" s="105"/>
      <c r="L34" s="105"/>
      <c r="M34" s="106"/>
      <c r="N34" s="134"/>
      <c r="O34" s="206"/>
      <c r="P34" s="206"/>
      <c r="Q34" s="108"/>
    </row>
    <row r="35" spans="1:17" x14ac:dyDescent="0.25">
      <c r="A35" s="104"/>
      <c r="B35" s="105"/>
      <c r="C35" s="105"/>
      <c r="D35" s="105"/>
      <c r="E35" s="105"/>
      <c r="F35" s="134"/>
      <c r="G35" s="105"/>
      <c r="H35" s="105"/>
      <c r="I35" s="105"/>
      <c r="J35" s="105"/>
      <c r="K35" s="105"/>
      <c r="L35" s="105"/>
      <c r="M35" s="106"/>
      <c r="N35" s="134"/>
      <c r="O35" s="206"/>
      <c r="P35" s="206"/>
      <c r="Q35" s="108"/>
    </row>
    <row r="36" spans="1:17" x14ac:dyDescent="0.25">
      <c r="A36" s="109"/>
      <c r="B36" s="110"/>
      <c r="C36" s="110"/>
      <c r="D36" s="110"/>
      <c r="E36" s="110"/>
      <c r="F36" s="111"/>
      <c r="G36" s="110"/>
      <c r="H36" s="110"/>
      <c r="I36" s="110"/>
      <c r="J36" s="110"/>
      <c r="K36" s="110"/>
      <c r="L36" s="110"/>
      <c r="M36" s="112"/>
      <c r="N36" s="113"/>
      <c r="O36" s="207"/>
      <c r="P36" s="207"/>
      <c r="Q36" s="108"/>
    </row>
    <row r="37" spans="1:17" ht="15.75" thickBot="1" x14ac:dyDescent="0.3">
      <c r="A37" s="114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6"/>
      <c r="N37" s="115"/>
      <c r="O37" s="208"/>
      <c r="P37" s="208"/>
      <c r="Q37" s="117"/>
    </row>
    <row r="38" spans="1:17" ht="15.75" thickBot="1" x14ac:dyDescent="0.3">
      <c r="A38" s="209" t="s">
        <v>205</v>
      </c>
      <c r="B38" s="209"/>
      <c r="C38" s="209"/>
      <c r="D38" s="209"/>
      <c r="E38" s="209"/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209"/>
      <c r="Q38" s="118">
        <f>SUM(Q15:Q37)</f>
        <v>66600</v>
      </c>
    </row>
    <row r="39" spans="1:17" ht="15.75" thickBot="1" x14ac:dyDescent="0.3">
      <c r="A39" s="210"/>
      <c r="B39" s="210"/>
      <c r="C39" s="210"/>
      <c r="D39" s="210"/>
      <c r="E39" s="210"/>
      <c r="F39" s="210"/>
      <c r="G39" s="210"/>
      <c r="H39" s="210"/>
      <c r="I39" s="210"/>
      <c r="J39" s="210"/>
      <c r="K39" s="210"/>
      <c r="L39" s="210"/>
      <c r="M39" s="210"/>
      <c r="N39" s="210"/>
      <c r="O39" s="210"/>
      <c r="P39" s="210"/>
      <c r="Q39" s="210"/>
    </row>
    <row r="40" spans="1:17" ht="15.75" thickBot="1" x14ac:dyDescent="0.3">
      <c r="A40" s="203" t="s">
        <v>156</v>
      </c>
      <c r="B40" s="203"/>
      <c r="C40" s="203"/>
      <c r="D40" s="203"/>
      <c r="E40" s="203"/>
      <c r="F40" s="203"/>
      <c r="G40" s="204"/>
      <c r="H40" s="204"/>
      <c r="I40" s="204"/>
      <c r="J40" s="204"/>
      <c r="K40" s="204"/>
      <c r="L40" s="204"/>
      <c r="M40" s="204"/>
      <c r="N40" s="204"/>
      <c r="O40" s="204"/>
      <c r="P40" s="204"/>
      <c r="Q40" s="204"/>
    </row>
    <row r="41" spans="1:17" ht="15.75" thickBot="1" x14ac:dyDescent="0.3">
      <c r="A41" s="205" t="s">
        <v>158</v>
      </c>
      <c r="B41" s="205"/>
      <c r="C41" s="205"/>
      <c r="D41" s="205"/>
      <c r="E41" s="205"/>
      <c r="F41" s="205"/>
      <c r="G41" s="205"/>
      <c r="H41" s="205"/>
      <c r="I41" s="205"/>
      <c r="J41" s="205"/>
      <c r="K41" s="205"/>
      <c r="L41" s="205"/>
      <c r="M41" s="205"/>
      <c r="N41" s="205"/>
      <c r="O41" s="205"/>
      <c r="P41" s="205"/>
      <c r="Q41" s="205"/>
    </row>
    <row r="42" spans="1:17" ht="15.75" thickBot="1" x14ac:dyDescent="0.3">
      <c r="A42" s="205"/>
      <c r="B42" s="205"/>
      <c r="C42" s="205"/>
      <c r="D42" s="205"/>
      <c r="E42" s="205"/>
      <c r="F42" s="205"/>
      <c r="G42" s="205"/>
      <c r="H42" s="205"/>
      <c r="I42" s="205"/>
      <c r="J42" s="205"/>
      <c r="K42" s="205"/>
      <c r="L42" s="205"/>
      <c r="M42" s="205"/>
      <c r="N42" s="205"/>
      <c r="O42" s="205"/>
      <c r="P42" s="205"/>
      <c r="Q42" s="205"/>
    </row>
    <row r="43" spans="1:17" x14ac:dyDescent="0.2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</row>
    <row r="44" spans="1:17" x14ac:dyDescent="0.2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</row>
    <row r="45" spans="1:17" x14ac:dyDescent="0.2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pageSetup paperSize="5" scale="5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G13"/>
  <sheetViews>
    <sheetView workbookViewId="0">
      <selection activeCell="C51" sqref="C51"/>
    </sheetView>
  </sheetViews>
  <sheetFormatPr baseColWidth="10" defaultRowHeight="15" x14ac:dyDescent="0.25"/>
  <cols>
    <col min="2" max="2" width="13.140625" customWidth="1"/>
    <col min="3" max="3" width="51.42578125" customWidth="1"/>
    <col min="4" max="4" width="15.140625" customWidth="1"/>
    <col min="6" max="6" width="13.5703125" customWidth="1"/>
    <col min="7" max="7" width="21.5703125" customWidth="1"/>
  </cols>
  <sheetData>
    <row r="1" spans="1:7" ht="30.75" thickBot="1" x14ac:dyDescent="0.3">
      <c r="A1" s="201" t="s">
        <v>116</v>
      </c>
      <c r="B1" s="201"/>
      <c r="C1" s="201"/>
      <c r="D1" s="201"/>
      <c r="E1" s="201"/>
      <c r="F1" s="61" t="s">
        <v>117</v>
      </c>
      <c r="G1" s="62"/>
    </row>
    <row r="2" spans="1:7" ht="16.5" thickBot="1" x14ac:dyDescent="0.3">
      <c r="A2" s="63"/>
      <c r="B2" s="64"/>
      <c r="C2" s="65"/>
      <c r="D2" s="65"/>
      <c r="E2" s="65"/>
      <c r="F2" s="65"/>
      <c r="G2" s="66"/>
    </row>
    <row r="3" spans="1:7" ht="16.5" thickBot="1" x14ac:dyDescent="0.3">
      <c r="A3" s="202" t="s">
        <v>118</v>
      </c>
      <c r="B3" s="202"/>
      <c r="C3" s="67" t="str">
        <f>'[2]SAF 011'!C4</f>
        <v>040 - MINISTERIO DE SALUD</v>
      </c>
      <c r="D3" s="68"/>
      <c r="E3" s="68"/>
      <c r="F3" s="68"/>
      <c r="G3" s="69"/>
    </row>
    <row r="4" spans="1:7" ht="16.5" thickBot="1" x14ac:dyDescent="0.3">
      <c r="A4" s="200" t="s">
        <v>119</v>
      </c>
      <c r="B4" s="200"/>
      <c r="C4" s="67" t="str">
        <f>'[2]SAF 011'!C5</f>
        <v>011 - DIRECCION PROVINCIAL DE ADMINISTRACION - MINISTERIO DE SALUD</v>
      </c>
      <c r="D4" s="68"/>
      <c r="E4" s="68"/>
      <c r="F4" s="68"/>
      <c r="G4" s="69"/>
    </row>
    <row r="5" spans="1:7" ht="16.5" thickBot="1" x14ac:dyDescent="0.3">
      <c r="A5" s="200" t="s">
        <v>120</v>
      </c>
      <c r="B5" s="200"/>
      <c r="C5" s="67" t="s">
        <v>184</v>
      </c>
      <c r="D5" s="68"/>
      <c r="E5" s="68"/>
      <c r="F5" s="68"/>
      <c r="G5" s="69"/>
    </row>
    <row r="6" spans="1:7" ht="16.5" thickBot="1" x14ac:dyDescent="0.3">
      <c r="A6" s="202" t="s">
        <v>122</v>
      </c>
      <c r="B6" s="202"/>
      <c r="C6" s="67" t="s">
        <v>184</v>
      </c>
      <c r="D6" s="68"/>
      <c r="E6" s="68"/>
      <c r="F6" s="68"/>
      <c r="G6" s="69"/>
    </row>
    <row r="7" spans="1:7" ht="16.5" thickBot="1" x14ac:dyDescent="0.3">
      <c r="A7" s="200" t="s">
        <v>123</v>
      </c>
      <c r="B7" s="200"/>
      <c r="C7" s="67" t="s">
        <v>124</v>
      </c>
      <c r="D7" s="68"/>
      <c r="E7" s="68"/>
      <c r="F7" s="68"/>
      <c r="G7" s="69"/>
    </row>
    <row r="8" spans="1:7" ht="16.5" thickBot="1" x14ac:dyDescent="0.3">
      <c r="A8" s="198" t="s">
        <v>125</v>
      </c>
      <c r="B8" s="198"/>
      <c r="C8" s="70" t="s">
        <v>158</v>
      </c>
      <c r="D8" s="68"/>
      <c r="E8" s="68"/>
      <c r="F8" s="68"/>
      <c r="G8" s="69"/>
    </row>
    <row r="9" spans="1:7" ht="15.75" x14ac:dyDescent="0.25">
      <c r="A9" s="71"/>
      <c r="B9" s="72"/>
      <c r="C9" s="73"/>
      <c r="D9" s="73"/>
      <c r="E9" s="73"/>
      <c r="F9" s="73"/>
      <c r="G9" s="74"/>
    </row>
    <row r="10" spans="1:7" x14ac:dyDescent="0.25">
      <c r="A10" s="199" t="s">
        <v>126</v>
      </c>
      <c r="B10" s="197" t="s">
        <v>127</v>
      </c>
      <c r="C10" s="197" t="s">
        <v>161</v>
      </c>
      <c r="D10" s="197" t="s">
        <v>128</v>
      </c>
      <c r="E10" s="197" t="s">
        <v>129</v>
      </c>
      <c r="F10" s="197" t="s">
        <v>130</v>
      </c>
      <c r="G10" s="197" t="s">
        <v>131</v>
      </c>
    </row>
    <row r="11" spans="1:7" ht="27.75" customHeight="1" x14ac:dyDescent="0.25">
      <c r="A11" s="199"/>
      <c r="B11" s="197"/>
      <c r="C11" s="197"/>
      <c r="D11" s="197"/>
      <c r="E11" s="197"/>
      <c r="F11" s="197"/>
      <c r="G11" s="197"/>
    </row>
    <row r="12" spans="1:7" ht="52.5" customHeight="1" x14ac:dyDescent="0.25">
      <c r="A12" s="75">
        <v>1</v>
      </c>
      <c r="B12" s="18" t="s">
        <v>55</v>
      </c>
      <c r="C12" s="34" t="s">
        <v>56</v>
      </c>
      <c r="D12" s="135" t="s">
        <v>132</v>
      </c>
      <c r="E12" s="33" t="s">
        <v>24</v>
      </c>
      <c r="F12" s="39">
        <v>350</v>
      </c>
      <c r="G12" s="36">
        <v>28</v>
      </c>
    </row>
    <row r="13" spans="1:7" ht="18.75" x14ac:dyDescent="0.25">
      <c r="A13" s="195" t="s">
        <v>203</v>
      </c>
      <c r="B13" s="195"/>
      <c r="C13" s="195"/>
      <c r="D13" s="195"/>
      <c r="E13" s="195"/>
      <c r="F13" s="196">
        <f>+G12*F12</f>
        <v>9800</v>
      </c>
      <c r="G13" s="196"/>
    </row>
  </sheetData>
  <mergeCells count="16">
    <mergeCell ref="F10:F11"/>
    <mergeCell ref="G10:G11"/>
    <mergeCell ref="A13:E13"/>
    <mergeCell ref="F13:G13"/>
    <mergeCell ref="A8:B8"/>
    <mergeCell ref="A10:A11"/>
    <mergeCell ref="B10:B11"/>
    <mergeCell ref="C10:C11"/>
    <mergeCell ref="D10:D11"/>
    <mergeCell ref="E10:E11"/>
    <mergeCell ref="A7:B7"/>
    <mergeCell ref="A1:E1"/>
    <mergeCell ref="A3:B3"/>
    <mergeCell ref="A4:B4"/>
    <mergeCell ref="A5:B5"/>
    <mergeCell ref="A6:B6"/>
  </mergeCells>
  <conditionalFormatting sqref="B12">
    <cfRule type="duplicateValues" dxfId="74" priority="703"/>
  </conditionalFormatting>
  <conditionalFormatting sqref="B12">
    <cfRule type="duplicateValues" dxfId="73" priority="705"/>
  </conditionalFormatting>
  <conditionalFormatting sqref="B12">
    <cfRule type="duplicateValues" dxfId="72" priority="706"/>
  </conditionalFormatting>
  <conditionalFormatting sqref="C12">
    <cfRule type="duplicateValues" dxfId="71" priority="1"/>
  </conditionalFormatting>
  <conditionalFormatting sqref="C12">
    <cfRule type="duplicateValues" dxfId="70" priority="2"/>
    <cfRule type="duplicateValues" dxfId="69" priority="3"/>
  </conditionalFormatting>
  <conditionalFormatting sqref="C12">
    <cfRule type="duplicateValues" dxfId="68" priority="4"/>
  </conditionalFormatting>
  <conditionalFormatting sqref="C12">
    <cfRule type="duplicateValues" dxfId="67" priority="5"/>
  </conditionalFormatting>
  <conditionalFormatting sqref="C12">
    <cfRule type="duplicateValues" dxfId="66" priority="6"/>
  </conditionalFormatting>
  <pageMargins left="0.7" right="0.7" top="0.75" bottom="0.75" header="0.3" footer="0.3"/>
  <pageSetup paperSize="9" scale="9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Q41"/>
  <sheetViews>
    <sheetView topLeftCell="A16" workbookViewId="0">
      <selection activeCell="C51" sqref="C51"/>
    </sheetView>
  </sheetViews>
  <sheetFormatPr baseColWidth="10" defaultRowHeight="15" x14ac:dyDescent="0.25"/>
  <cols>
    <col min="1" max="5" width="4.5703125" customWidth="1"/>
    <col min="6" max="6" width="6" customWidth="1"/>
    <col min="7" max="11" width="4.5703125" customWidth="1"/>
    <col min="12" max="12" width="6.140625" customWidth="1"/>
    <col min="13" max="14" width="4.5703125" customWidth="1"/>
    <col min="16" max="16" width="18.42578125" customWidth="1"/>
    <col min="17" max="17" width="13.5703125" customWidth="1"/>
  </cols>
  <sheetData>
    <row r="1" spans="1:17" ht="15.75" thickBot="1" x14ac:dyDescent="0.3">
      <c r="A1" s="222" t="s">
        <v>5</v>
      </c>
      <c r="B1" s="222"/>
      <c r="C1" s="222"/>
      <c r="D1" s="223">
        <v>2022</v>
      </c>
      <c r="E1" s="223"/>
      <c r="F1" s="86"/>
      <c r="G1" s="86"/>
      <c r="H1" s="87"/>
      <c r="I1" s="87"/>
      <c r="J1" s="87"/>
      <c r="K1" s="87"/>
      <c r="L1" s="87"/>
      <c r="M1" s="87"/>
      <c r="N1" s="87"/>
      <c r="O1" s="88"/>
      <c r="P1" s="224" t="s">
        <v>133</v>
      </c>
      <c r="Q1" s="224"/>
    </row>
    <row r="2" spans="1:17" ht="15.75" thickBot="1" x14ac:dyDescent="0.3">
      <c r="A2" s="89"/>
      <c r="B2" s="90"/>
      <c r="C2" s="90"/>
      <c r="D2" s="90"/>
      <c r="E2" s="90"/>
      <c r="F2" s="90"/>
      <c r="G2" s="91"/>
      <c r="H2" s="92"/>
      <c r="I2" s="92"/>
      <c r="J2" s="92"/>
      <c r="K2" s="92"/>
      <c r="L2" s="92"/>
      <c r="M2" s="92"/>
      <c r="N2" s="92"/>
      <c r="O2" s="90"/>
      <c r="P2" s="224"/>
      <c r="Q2" s="224"/>
    </row>
    <row r="3" spans="1:17" ht="15.75" thickBot="1" x14ac:dyDescent="0.3">
      <c r="A3" s="89"/>
      <c r="B3" s="90"/>
      <c r="C3" s="90"/>
      <c r="D3" s="90"/>
      <c r="E3" s="90"/>
      <c r="F3" s="90"/>
      <c r="G3" s="91"/>
      <c r="H3" s="90"/>
      <c r="I3" s="90"/>
      <c r="J3" s="90"/>
      <c r="K3" s="90"/>
      <c r="L3" s="90"/>
      <c r="M3" s="90"/>
      <c r="N3" s="90"/>
      <c r="O3" s="90"/>
      <c r="P3" s="90"/>
      <c r="Q3" s="93"/>
    </row>
    <row r="4" spans="1:17" ht="15.75" thickBot="1" x14ac:dyDescent="0.3">
      <c r="A4" s="225" t="s">
        <v>134</v>
      </c>
      <c r="B4" s="225"/>
      <c r="C4" s="225"/>
      <c r="D4" s="225"/>
      <c r="E4" s="225"/>
      <c r="F4" s="225"/>
      <c r="G4" s="226" t="str">
        <f>'[1]NP DPBS'!D3</f>
        <v>040 - MINISTERIO DE SALUD</v>
      </c>
      <c r="H4" s="226"/>
      <c r="I4" s="226"/>
      <c r="J4" s="226"/>
      <c r="K4" s="226"/>
      <c r="L4" s="226"/>
      <c r="M4" s="226"/>
      <c r="N4" s="226"/>
      <c r="O4" s="226"/>
      <c r="P4" s="226"/>
      <c r="Q4" s="226"/>
    </row>
    <row r="5" spans="1:17" ht="15.75" thickBot="1" x14ac:dyDescent="0.3">
      <c r="A5" s="227" t="s">
        <v>119</v>
      </c>
      <c r="B5" s="227"/>
      <c r="C5" s="227"/>
      <c r="D5" s="227"/>
      <c r="E5" s="227"/>
      <c r="F5" s="227"/>
      <c r="G5" s="226" t="str">
        <f>'[1]NP DPBS'!D4</f>
        <v>011 - DIRECCION PROVINCIAL DE ADMINISTRACION - MINISTERIO DE SALUD</v>
      </c>
      <c r="H5" s="226"/>
      <c r="I5" s="226"/>
      <c r="J5" s="226"/>
      <c r="K5" s="226"/>
      <c r="L5" s="226"/>
      <c r="M5" s="226"/>
      <c r="N5" s="226"/>
      <c r="O5" s="226"/>
      <c r="P5" s="226"/>
      <c r="Q5" s="226"/>
    </row>
    <row r="6" spans="1:17" ht="15.75" thickBot="1" x14ac:dyDescent="0.3">
      <c r="A6" s="227" t="s">
        <v>120</v>
      </c>
      <c r="B6" s="227"/>
      <c r="C6" s="227"/>
      <c r="D6" s="227"/>
      <c r="E6" s="227"/>
      <c r="F6" s="227"/>
      <c r="G6" s="226" t="s">
        <v>184</v>
      </c>
      <c r="H6" s="226"/>
      <c r="I6" s="226"/>
      <c r="J6" s="226"/>
      <c r="K6" s="226"/>
      <c r="L6" s="226"/>
      <c r="M6" s="226"/>
      <c r="N6" s="226"/>
      <c r="O6" s="226"/>
      <c r="P6" s="226"/>
      <c r="Q6" s="226"/>
    </row>
    <row r="7" spans="1:17" ht="15.75" thickBot="1" x14ac:dyDescent="0.3">
      <c r="A7" s="227" t="s">
        <v>122</v>
      </c>
      <c r="B7" s="227"/>
      <c r="C7" s="227"/>
      <c r="D7" s="227"/>
      <c r="E7" s="227"/>
      <c r="F7" s="227"/>
      <c r="G7" s="226" t="s">
        <v>184</v>
      </c>
      <c r="H7" s="226"/>
      <c r="I7" s="226"/>
      <c r="J7" s="226"/>
      <c r="K7" s="226"/>
      <c r="L7" s="226"/>
      <c r="M7" s="226"/>
      <c r="N7" s="226"/>
      <c r="O7" s="226"/>
      <c r="P7" s="226"/>
      <c r="Q7" s="226"/>
    </row>
    <row r="8" spans="1:17" ht="15.75" thickBot="1" x14ac:dyDescent="0.3">
      <c r="A8" s="228" t="s">
        <v>135</v>
      </c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  <c r="M8" s="228"/>
      <c r="N8" s="228"/>
      <c r="O8" s="228"/>
      <c r="P8" s="228"/>
      <c r="Q8" s="228"/>
    </row>
    <row r="9" spans="1:17" x14ac:dyDescent="0.25">
      <c r="A9" s="221" t="s">
        <v>136</v>
      </c>
      <c r="B9" s="221"/>
      <c r="C9" s="221"/>
      <c r="D9" s="221"/>
      <c r="E9" s="221"/>
      <c r="F9" s="221"/>
      <c r="G9" s="221"/>
      <c r="H9" s="221"/>
      <c r="I9" s="221"/>
      <c r="J9" s="221"/>
      <c r="K9" s="221"/>
      <c r="L9" s="221"/>
      <c r="M9" s="221"/>
      <c r="N9" s="221"/>
      <c r="O9" s="221"/>
      <c r="P9" s="221"/>
      <c r="Q9" s="221"/>
    </row>
    <row r="10" spans="1:17" ht="45" customHeight="1" x14ac:dyDescent="0.25">
      <c r="A10" s="212" t="s">
        <v>137</v>
      </c>
      <c r="B10" s="212"/>
      <c r="C10" s="212"/>
      <c r="D10" s="212"/>
      <c r="E10" s="212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</row>
    <row r="11" spans="1:17" ht="15.75" thickBot="1" x14ac:dyDescent="0.3">
      <c r="A11" s="94"/>
      <c r="B11" s="95"/>
      <c r="C11" s="95"/>
      <c r="D11" s="95"/>
      <c r="E11" s="95"/>
      <c r="F11" s="95"/>
      <c r="G11" s="96"/>
      <c r="H11" s="95"/>
      <c r="I11" s="95"/>
      <c r="J11" s="95"/>
      <c r="K11" s="95"/>
      <c r="L11" s="95"/>
      <c r="M11" s="95"/>
      <c r="N11" s="95"/>
      <c r="O11" s="95"/>
      <c r="P11" s="95"/>
      <c r="Q11" s="97"/>
    </row>
    <row r="12" spans="1:17" ht="15.75" thickBot="1" x14ac:dyDescent="0.3">
      <c r="A12" s="213" t="s">
        <v>138</v>
      </c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</row>
    <row r="13" spans="1:17" ht="15.75" thickBot="1" x14ac:dyDescent="0.3">
      <c r="A13" s="214" t="s">
        <v>139</v>
      </c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5" t="s">
        <v>140</v>
      </c>
      <c r="P13" s="215"/>
      <c r="Q13" s="216" t="s">
        <v>141</v>
      </c>
    </row>
    <row r="14" spans="1:17" ht="25.5" customHeight="1" thickBot="1" x14ac:dyDescent="0.3">
      <c r="A14" s="98" t="s">
        <v>142</v>
      </c>
      <c r="B14" s="99" t="s">
        <v>143</v>
      </c>
      <c r="C14" s="99" t="s">
        <v>144</v>
      </c>
      <c r="D14" s="99" t="s">
        <v>145</v>
      </c>
      <c r="E14" s="99" t="s">
        <v>146</v>
      </c>
      <c r="F14" s="99" t="s">
        <v>147</v>
      </c>
      <c r="G14" s="100" t="s">
        <v>148</v>
      </c>
      <c r="H14" s="99" t="s">
        <v>149</v>
      </c>
      <c r="I14" s="99" t="s">
        <v>150</v>
      </c>
      <c r="J14" s="99" t="s">
        <v>151</v>
      </c>
      <c r="K14" s="99" t="s">
        <v>151</v>
      </c>
      <c r="L14" s="99" t="s">
        <v>152</v>
      </c>
      <c r="M14" s="101" t="s">
        <v>153</v>
      </c>
      <c r="N14" s="102" t="s">
        <v>154</v>
      </c>
      <c r="O14" s="215"/>
      <c r="P14" s="215"/>
      <c r="Q14" s="216"/>
    </row>
    <row r="15" spans="1:17" ht="15" customHeight="1" x14ac:dyDescent="0.25">
      <c r="A15" s="129">
        <v>26</v>
      </c>
      <c r="B15" s="129"/>
      <c r="C15" s="129"/>
      <c r="D15" s="129">
        <v>1</v>
      </c>
      <c r="E15" s="129"/>
      <c r="F15" s="129">
        <v>4901</v>
      </c>
      <c r="G15" s="129">
        <v>3</v>
      </c>
      <c r="H15" s="129">
        <v>1</v>
      </c>
      <c r="I15" s="129">
        <v>2</v>
      </c>
      <c r="J15" s="129">
        <v>3</v>
      </c>
      <c r="K15" s="129">
        <v>4</v>
      </c>
      <c r="L15" s="129"/>
      <c r="M15" s="129">
        <v>1</v>
      </c>
      <c r="N15" s="129" t="s">
        <v>155</v>
      </c>
      <c r="O15" s="218" t="s">
        <v>185</v>
      </c>
      <c r="P15" s="206"/>
      <c r="Q15" s="103">
        <v>9800</v>
      </c>
    </row>
    <row r="16" spans="1:17" x14ac:dyDescent="0.25">
      <c r="A16" s="129"/>
      <c r="B16" s="129"/>
      <c r="C16" s="129"/>
      <c r="D16" s="129"/>
      <c r="E16" s="129"/>
      <c r="F16" s="129"/>
      <c r="G16" s="129"/>
      <c r="H16" s="129"/>
      <c r="I16" s="105"/>
      <c r="J16" s="105"/>
      <c r="K16" s="105"/>
      <c r="L16" s="105"/>
      <c r="M16" s="106"/>
      <c r="N16" s="105"/>
      <c r="O16" s="237"/>
      <c r="P16" s="220"/>
      <c r="Q16" s="108"/>
    </row>
    <row r="17" spans="1:17" x14ac:dyDescent="0.25">
      <c r="A17" s="104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6"/>
      <c r="N17" s="148"/>
      <c r="O17" s="211"/>
      <c r="P17" s="211"/>
      <c r="Q17" s="108"/>
    </row>
    <row r="18" spans="1:17" x14ac:dyDescent="0.25">
      <c r="A18" s="104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6"/>
      <c r="N18" s="148"/>
      <c r="O18" s="211"/>
      <c r="P18" s="211"/>
      <c r="Q18" s="108"/>
    </row>
    <row r="19" spans="1:17" x14ac:dyDescent="0.25">
      <c r="A19" s="104"/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6"/>
      <c r="N19" s="148"/>
      <c r="O19" s="211"/>
      <c r="P19" s="211"/>
      <c r="Q19" s="108"/>
    </row>
    <row r="20" spans="1:17" x14ac:dyDescent="0.25">
      <c r="A20" s="104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6"/>
      <c r="N20" s="148"/>
      <c r="O20" s="211"/>
      <c r="P20" s="211"/>
      <c r="Q20" s="108"/>
    </row>
    <row r="21" spans="1:17" x14ac:dyDescent="0.25">
      <c r="A21" s="104"/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6"/>
      <c r="N21" s="148"/>
      <c r="O21" s="211"/>
      <c r="P21" s="211"/>
      <c r="Q21" s="108"/>
    </row>
    <row r="22" spans="1:17" x14ac:dyDescent="0.25">
      <c r="A22" s="104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6"/>
      <c r="N22" s="148"/>
      <c r="O22" s="211"/>
      <c r="P22" s="211"/>
      <c r="Q22" s="108"/>
    </row>
    <row r="23" spans="1:17" x14ac:dyDescent="0.25">
      <c r="A23" s="104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6"/>
      <c r="N23" s="148"/>
      <c r="O23" s="211"/>
      <c r="P23" s="211"/>
      <c r="Q23" s="108"/>
    </row>
    <row r="24" spans="1:17" x14ac:dyDescent="0.25">
      <c r="A24" s="104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6"/>
      <c r="N24" s="148"/>
      <c r="O24" s="211"/>
      <c r="P24" s="211"/>
      <c r="Q24" s="108"/>
    </row>
    <row r="25" spans="1:17" x14ac:dyDescent="0.25">
      <c r="A25" s="104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6"/>
      <c r="N25" s="148"/>
      <c r="O25" s="211"/>
      <c r="P25" s="211"/>
      <c r="Q25" s="108"/>
    </row>
    <row r="26" spans="1:17" x14ac:dyDescent="0.25">
      <c r="A26" s="104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6"/>
      <c r="N26" s="148"/>
      <c r="O26" s="211"/>
      <c r="P26" s="211"/>
      <c r="Q26" s="108"/>
    </row>
    <row r="27" spans="1:17" x14ac:dyDescent="0.25">
      <c r="A27" s="104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6"/>
      <c r="N27" s="148"/>
      <c r="O27" s="211"/>
      <c r="P27" s="211"/>
      <c r="Q27" s="108"/>
    </row>
    <row r="28" spans="1:17" x14ac:dyDescent="0.25">
      <c r="A28" s="104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6"/>
      <c r="N28" s="148"/>
      <c r="O28" s="211"/>
      <c r="P28" s="211"/>
      <c r="Q28" s="108"/>
    </row>
    <row r="29" spans="1:17" x14ac:dyDescent="0.25">
      <c r="A29" s="104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6"/>
      <c r="N29" s="148"/>
      <c r="O29" s="211"/>
      <c r="P29" s="211"/>
      <c r="Q29" s="108"/>
    </row>
    <row r="30" spans="1:17" x14ac:dyDescent="0.25">
      <c r="A30" s="104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6"/>
      <c r="N30" s="148"/>
      <c r="O30" s="211"/>
      <c r="P30" s="211"/>
      <c r="Q30" s="108"/>
    </row>
    <row r="31" spans="1:17" x14ac:dyDescent="0.25">
      <c r="A31" s="104"/>
      <c r="B31" s="105"/>
      <c r="C31" s="105"/>
      <c r="D31" s="105"/>
      <c r="E31" s="105"/>
      <c r="F31" s="148"/>
      <c r="G31" s="105"/>
      <c r="H31" s="105"/>
      <c r="I31" s="105"/>
      <c r="J31" s="105"/>
      <c r="K31" s="105"/>
      <c r="L31" s="105"/>
      <c r="M31" s="106"/>
      <c r="N31" s="148"/>
      <c r="O31" s="206"/>
      <c r="P31" s="206"/>
      <c r="Q31" s="108"/>
    </row>
    <row r="32" spans="1:17" x14ac:dyDescent="0.25">
      <c r="A32" s="104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6"/>
      <c r="N32" s="148"/>
      <c r="O32" s="206"/>
      <c r="P32" s="206"/>
      <c r="Q32" s="108"/>
    </row>
    <row r="33" spans="1:17" x14ac:dyDescent="0.25">
      <c r="A33" s="104"/>
      <c r="B33" s="105"/>
      <c r="C33" s="105"/>
      <c r="D33" s="105"/>
      <c r="E33" s="105"/>
      <c r="F33" s="148"/>
      <c r="G33" s="105"/>
      <c r="H33" s="105"/>
      <c r="I33" s="105"/>
      <c r="J33" s="105"/>
      <c r="K33" s="105"/>
      <c r="L33" s="105"/>
      <c r="M33" s="106"/>
      <c r="N33" s="148"/>
      <c r="O33" s="206"/>
      <c r="P33" s="206"/>
      <c r="Q33" s="108"/>
    </row>
    <row r="34" spans="1:17" x14ac:dyDescent="0.25">
      <c r="A34" s="104"/>
      <c r="B34" s="105"/>
      <c r="C34" s="105"/>
      <c r="D34" s="105"/>
      <c r="E34" s="105"/>
      <c r="F34" s="148"/>
      <c r="G34" s="105"/>
      <c r="H34" s="105"/>
      <c r="I34" s="105"/>
      <c r="J34" s="105"/>
      <c r="K34" s="105"/>
      <c r="L34" s="105"/>
      <c r="M34" s="106"/>
      <c r="N34" s="148"/>
      <c r="O34" s="206"/>
      <c r="P34" s="206"/>
      <c r="Q34" s="108"/>
    </row>
    <row r="35" spans="1:17" x14ac:dyDescent="0.25">
      <c r="A35" s="109"/>
      <c r="B35" s="110"/>
      <c r="C35" s="110"/>
      <c r="D35" s="110"/>
      <c r="E35" s="110"/>
      <c r="F35" s="111"/>
      <c r="G35" s="110"/>
      <c r="H35" s="110"/>
      <c r="I35" s="110"/>
      <c r="J35" s="110"/>
      <c r="K35" s="110"/>
      <c r="L35" s="110"/>
      <c r="M35" s="112"/>
      <c r="N35" s="113"/>
      <c r="O35" s="207"/>
      <c r="P35" s="207"/>
      <c r="Q35" s="108"/>
    </row>
    <row r="36" spans="1:17" ht="15.75" thickBot="1" x14ac:dyDescent="0.3">
      <c r="A36" s="114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6"/>
      <c r="N36" s="115"/>
      <c r="O36" s="208"/>
      <c r="P36" s="208"/>
      <c r="Q36" s="117"/>
    </row>
    <row r="37" spans="1:17" ht="15.75" thickBot="1" x14ac:dyDescent="0.3">
      <c r="A37" s="209" t="s">
        <v>186</v>
      </c>
      <c r="B37" s="209"/>
      <c r="C37" s="209"/>
      <c r="D37" s="209"/>
      <c r="E37" s="209"/>
      <c r="F37" s="209"/>
      <c r="G37" s="209"/>
      <c r="H37" s="209"/>
      <c r="I37" s="209"/>
      <c r="J37" s="209"/>
      <c r="K37" s="209"/>
      <c r="L37" s="209"/>
      <c r="M37" s="209"/>
      <c r="N37" s="209"/>
      <c r="O37" s="209"/>
      <c r="P37" s="209"/>
      <c r="Q37" s="118">
        <f>SUM(Q15:Q36)</f>
        <v>9800</v>
      </c>
    </row>
    <row r="38" spans="1:17" ht="15.75" thickBot="1" x14ac:dyDescent="0.3">
      <c r="A38" s="210"/>
      <c r="B38" s="210"/>
      <c r="C38" s="210"/>
      <c r="D38" s="210"/>
      <c r="E38" s="210"/>
      <c r="F38" s="210"/>
      <c r="G38" s="210"/>
      <c r="H38" s="210"/>
      <c r="I38" s="210"/>
      <c r="J38" s="210"/>
      <c r="K38" s="210"/>
      <c r="L38" s="210"/>
      <c r="M38" s="210"/>
      <c r="N38" s="210"/>
      <c r="O38" s="210"/>
      <c r="P38" s="210"/>
      <c r="Q38" s="210"/>
    </row>
    <row r="39" spans="1:17" ht="15.75" thickBot="1" x14ac:dyDescent="0.3">
      <c r="A39" s="203" t="s">
        <v>156</v>
      </c>
      <c r="B39" s="203"/>
      <c r="C39" s="203"/>
      <c r="D39" s="203"/>
      <c r="E39" s="203"/>
      <c r="F39" s="203"/>
      <c r="G39" s="204"/>
      <c r="H39" s="204"/>
      <c r="I39" s="204"/>
      <c r="J39" s="204"/>
      <c r="K39" s="204"/>
      <c r="L39" s="204"/>
      <c r="M39" s="204"/>
      <c r="N39" s="204"/>
      <c r="O39" s="204"/>
      <c r="P39" s="204"/>
      <c r="Q39" s="204"/>
    </row>
    <row r="40" spans="1:17" ht="15.75" thickBot="1" x14ac:dyDescent="0.3">
      <c r="A40" s="205" t="s">
        <v>158</v>
      </c>
      <c r="B40" s="205"/>
      <c r="C40" s="205"/>
      <c r="D40" s="205"/>
      <c r="E40" s="205"/>
      <c r="F40" s="205"/>
      <c r="G40" s="205"/>
      <c r="H40" s="205"/>
      <c r="I40" s="205"/>
      <c r="J40" s="205"/>
      <c r="K40" s="205"/>
      <c r="L40" s="205"/>
      <c r="M40" s="205"/>
      <c r="N40" s="205"/>
      <c r="O40" s="205"/>
      <c r="P40" s="205"/>
      <c r="Q40" s="205"/>
    </row>
    <row r="41" spans="1:17" ht="15.75" thickBot="1" x14ac:dyDescent="0.3">
      <c r="A41" s="205"/>
      <c r="B41" s="205"/>
      <c r="C41" s="205"/>
      <c r="D41" s="205"/>
      <c r="E41" s="205"/>
      <c r="F41" s="205"/>
      <c r="G41" s="205"/>
      <c r="H41" s="205"/>
      <c r="I41" s="205"/>
      <c r="J41" s="205"/>
      <c r="K41" s="205"/>
      <c r="L41" s="205"/>
      <c r="M41" s="205"/>
      <c r="N41" s="205"/>
      <c r="O41" s="205"/>
      <c r="P41" s="205"/>
      <c r="Q41" s="205"/>
    </row>
  </sheetData>
  <mergeCells count="45">
    <mergeCell ref="A40:Q41"/>
    <mergeCell ref="O34:P34"/>
    <mergeCell ref="O35:P35"/>
    <mergeCell ref="O36:P36"/>
    <mergeCell ref="A37:P37"/>
    <mergeCell ref="A38:Q38"/>
    <mergeCell ref="A39:F39"/>
    <mergeCell ref="G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pageSetup paperSize="9" scale="7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9"/>
  <sheetViews>
    <sheetView zoomScale="120" zoomScaleNormal="120" workbookViewId="0">
      <selection activeCell="C51" sqref="C51"/>
    </sheetView>
  </sheetViews>
  <sheetFormatPr baseColWidth="10" defaultRowHeight="15" x14ac:dyDescent="0.25"/>
  <cols>
    <col min="2" max="2" width="25.85546875" customWidth="1"/>
    <col min="3" max="3" width="55" customWidth="1"/>
    <col min="6" max="6" width="20.5703125" customWidth="1"/>
    <col min="8" max="8" width="12.7109375" bestFit="1" customWidth="1"/>
    <col min="10" max="10" width="12.7109375" bestFit="1" customWidth="1"/>
  </cols>
  <sheetData>
    <row r="1" spans="1:10" ht="30.75" thickBot="1" x14ac:dyDescent="0.3">
      <c r="A1" s="201" t="s">
        <v>116</v>
      </c>
      <c r="B1" s="201"/>
      <c r="C1" s="201"/>
      <c r="D1" s="201"/>
      <c r="E1" s="201"/>
      <c r="F1" s="61" t="s">
        <v>117</v>
      </c>
      <c r="G1" s="62"/>
    </row>
    <row r="2" spans="1:10" ht="16.5" thickBot="1" x14ac:dyDescent="0.3">
      <c r="A2" s="63"/>
      <c r="B2" s="64"/>
      <c r="C2" s="65"/>
      <c r="D2" s="65"/>
      <c r="E2" s="65"/>
      <c r="F2" s="65"/>
      <c r="G2" s="66"/>
    </row>
    <row r="3" spans="1:10" ht="16.5" thickBot="1" x14ac:dyDescent="0.3">
      <c r="A3" s="202" t="s">
        <v>118</v>
      </c>
      <c r="B3" s="202"/>
      <c r="C3" s="67" t="str">
        <f>'[2]SAF 011'!C4</f>
        <v>040 - MINISTERIO DE SALUD</v>
      </c>
      <c r="D3" s="68"/>
      <c r="E3" s="68"/>
      <c r="F3" s="68"/>
      <c r="G3" s="69"/>
    </row>
    <row r="4" spans="1:10" ht="16.5" thickBot="1" x14ac:dyDescent="0.3">
      <c r="A4" s="200" t="s">
        <v>119</v>
      </c>
      <c r="B4" s="200"/>
      <c r="C4" s="67" t="str">
        <f>'[2]SAF 011'!C5</f>
        <v>011 - DIRECCION PROVINCIAL DE ADMINISTRACION - MINISTERIO DE SALUD</v>
      </c>
      <c r="D4" s="68"/>
      <c r="E4" s="68"/>
      <c r="F4" s="68"/>
      <c r="G4" s="69"/>
    </row>
    <row r="5" spans="1:10" ht="16.5" thickBot="1" x14ac:dyDescent="0.3">
      <c r="A5" s="200" t="s">
        <v>120</v>
      </c>
      <c r="B5" s="200"/>
      <c r="C5" s="67" t="s">
        <v>166</v>
      </c>
      <c r="D5" s="68"/>
      <c r="E5" s="68"/>
      <c r="F5" s="68"/>
      <c r="G5" s="69"/>
    </row>
    <row r="6" spans="1:10" ht="16.5" thickBot="1" x14ac:dyDescent="0.3">
      <c r="A6" s="202" t="s">
        <v>122</v>
      </c>
      <c r="B6" s="202"/>
      <c r="C6" s="67" t="s">
        <v>166</v>
      </c>
      <c r="D6" s="68"/>
      <c r="E6" s="68"/>
      <c r="F6" s="68"/>
      <c r="G6" s="69"/>
    </row>
    <row r="7" spans="1:10" ht="16.5" thickBot="1" x14ac:dyDescent="0.3">
      <c r="A7" s="200" t="s">
        <v>123</v>
      </c>
      <c r="B7" s="200"/>
      <c r="C7" s="67" t="s">
        <v>124</v>
      </c>
      <c r="D7" s="68"/>
      <c r="E7" s="68"/>
      <c r="F7" s="68"/>
      <c r="G7" s="69"/>
    </row>
    <row r="8" spans="1:10" ht="16.5" thickBot="1" x14ac:dyDescent="0.3">
      <c r="A8" s="198" t="s">
        <v>125</v>
      </c>
      <c r="B8" s="198"/>
      <c r="C8" s="70" t="s">
        <v>158</v>
      </c>
      <c r="D8" s="68"/>
      <c r="E8" s="68"/>
      <c r="F8" s="68"/>
      <c r="G8" s="69"/>
    </row>
    <row r="9" spans="1:10" ht="15.75" x14ac:dyDescent="0.25">
      <c r="A9" s="71"/>
      <c r="B9" s="72"/>
      <c r="C9" s="73"/>
      <c r="D9" s="73"/>
      <c r="E9" s="73"/>
      <c r="F9" s="73"/>
      <c r="G9" s="74"/>
    </row>
    <row r="10" spans="1:10" x14ac:dyDescent="0.25">
      <c r="A10" s="199" t="s">
        <v>126</v>
      </c>
      <c r="B10" s="197" t="s">
        <v>127</v>
      </c>
      <c r="C10" s="197" t="s">
        <v>161</v>
      </c>
      <c r="D10" s="197" t="s">
        <v>128</v>
      </c>
      <c r="E10" s="197" t="s">
        <v>129</v>
      </c>
      <c r="F10" s="197" t="s">
        <v>130</v>
      </c>
      <c r="G10" s="197" t="s">
        <v>131</v>
      </c>
    </row>
    <row r="11" spans="1:10" ht="32.25" customHeight="1" x14ac:dyDescent="0.25">
      <c r="A11" s="199"/>
      <c r="B11" s="197"/>
      <c r="C11" s="197"/>
      <c r="D11" s="197"/>
      <c r="E11" s="197"/>
      <c r="F11" s="197"/>
      <c r="G11" s="197"/>
    </row>
    <row r="12" spans="1:10" ht="25.5" x14ac:dyDescent="0.25">
      <c r="A12" s="141">
        <v>1</v>
      </c>
      <c r="B12" s="18" t="s">
        <v>22</v>
      </c>
      <c r="C12" s="34" t="s">
        <v>23</v>
      </c>
      <c r="D12" s="135" t="s">
        <v>132</v>
      </c>
      <c r="E12" s="33" t="s">
        <v>24</v>
      </c>
      <c r="F12" s="39">
        <v>650</v>
      </c>
      <c r="G12" s="36">
        <v>8</v>
      </c>
      <c r="H12" s="165">
        <f>+F12*G12</f>
        <v>5200</v>
      </c>
      <c r="I12" s="164"/>
      <c r="J12" s="166">
        <f>+H12+H13+H14+H16+H17</f>
        <v>14490</v>
      </c>
    </row>
    <row r="13" spans="1:10" ht="25.5" x14ac:dyDescent="0.25">
      <c r="A13" s="141">
        <v>2</v>
      </c>
      <c r="B13" s="29" t="s">
        <v>25</v>
      </c>
      <c r="C13" s="34" t="s">
        <v>26</v>
      </c>
      <c r="D13" s="135" t="s">
        <v>132</v>
      </c>
      <c r="E13" s="33" t="s">
        <v>24</v>
      </c>
      <c r="F13" s="39">
        <v>100</v>
      </c>
      <c r="G13" s="36">
        <v>8</v>
      </c>
      <c r="H13" s="165">
        <f t="shared" ref="H13:H17" si="0">+F13*G13</f>
        <v>800</v>
      </c>
      <c r="I13" s="164"/>
      <c r="J13" s="164"/>
    </row>
    <row r="14" spans="1:10" ht="25.5" x14ac:dyDescent="0.25">
      <c r="A14" s="141">
        <v>3</v>
      </c>
      <c r="B14" s="29" t="s">
        <v>50</v>
      </c>
      <c r="C14" s="34" t="s">
        <v>51</v>
      </c>
      <c r="D14" s="135" t="s">
        <v>132</v>
      </c>
      <c r="E14" s="33" t="s">
        <v>16</v>
      </c>
      <c r="F14" s="39">
        <v>450</v>
      </c>
      <c r="G14" s="36">
        <v>4</v>
      </c>
      <c r="H14" s="165">
        <f t="shared" si="0"/>
        <v>1800</v>
      </c>
      <c r="I14" s="164"/>
      <c r="J14" s="164"/>
    </row>
    <row r="15" spans="1:10" ht="38.25" x14ac:dyDescent="0.25">
      <c r="A15" s="141">
        <v>4</v>
      </c>
      <c r="B15" s="29" t="s">
        <v>55</v>
      </c>
      <c r="C15" s="34" t="s">
        <v>56</v>
      </c>
      <c r="D15" s="135" t="s">
        <v>132</v>
      </c>
      <c r="E15" s="33" t="s">
        <v>24</v>
      </c>
      <c r="F15" s="39">
        <v>350</v>
      </c>
      <c r="G15" s="36">
        <v>20</v>
      </c>
      <c r="H15" s="165">
        <f t="shared" si="0"/>
        <v>7000</v>
      </c>
      <c r="I15" s="164"/>
      <c r="J15" s="164"/>
    </row>
    <row r="16" spans="1:10" ht="25.5" x14ac:dyDescent="0.25">
      <c r="A16" s="141">
        <v>5</v>
      </c>
      <c r="B16" s="29" t="s">
        <v>63</v>
      </c>
      <c r="C16" s="45" t="s">
        <v>64</v>
      </c>
      <c r="D16" s="135" t="s">
        <v>132</v>
      </c>
      <c r="E16" s="33" t="s">
        <v>16</v>
      </c>
      <c r="F16" s="39">
        <v>115</v>
      </c>
      <c r="G16" s="36">
        <v>6</v>
      </c>
      <c r="H16" s="165">
        <f t="shared" si="0"/>
        <v>690</v>
      </c>
      <c r="I16" s="164"/>
      <c r="J16" s="164"/>
    </row>
    <row r="17" spans="1:10" ht="25.5" x14ac:dyDescent="0.25">
      <c r="A17" s="141">
        <v>6</v>
      </c>
      <c r="B17" s="49" t="s">
        <v>86</v>
      </c>
      <c r="C17" s="50" t="s">
        <v>88</v>
      </c>
      <c r="D17" s="135" t="s">
        <v>132</v>
      </c>
      <c r="E17" s="29" t="s">
        <v>70</v>
      </c>
      <c r="F17" s="51">
        <v>300</v>
      </c>
      <c r="G17" s="36">
        <v>20</v>
      </c>
      <c r="H17" s="165">
        <f t="shared" si="0"/>
        <v>6000</v>
      </c>
      <c r="I17" s="164"/>
      <c r="J17" s="164"/>
    </row>
    <row r="18" spans="1:10" ht="42" customHeight="1" x14ac:dyDescent="0.25">
      <c r="A18" s="195" t="s">
        <v>187</v>
      </c>
      <c r="B18" s="195"/>
      <c r="C18" s="195"/>
      <c r="D18" s="195"/>
      <c r="E18" s="195"/>
      <c r="F18" s="196">
        <f>+H12+H13+H14+H15+H16+H17</f>
        <v>21490</v>
      </c>
      <c r="G18" s="196"/>
      <c r="H18" s="161"/>
      <c r="I18" s="161"/>
      <c r="J18" s="161"/>
    </row>
    <row r="19" spans="1:10" x14ac:dyDescent="0.25">
      <c r="A19" s="23"/>
      <c r="B19" s="23"/>
      <c r="C19" s="23"/>
      <c r="D19" s="23"/>
      <c r="E19" s="23"/>
      <c r="F19" s="23"/>
      <c r="G19" s="23"/>
    </row>
  </sheetData>
  <mergeCells count="16">
    <mergeCell ref="F10:F11"/>
    <mergeCell ref="G10:G11"/>
    <mergeCell ref="A18:E18"/>
    <mergeCell ref="F18:G18"/>
    <mergeCell ref="A8:B8"/>
    <mergeCell ref="A10:A11"/>
    <mergeCell ref="B10:B11"/>
    <mergeCell ref="C10:C11"/>
    <mergeCell ref="D10:D11"/>
    <mergeCell ref="E10:E11"/>
    <mergeCell ref="A7:B7"/>
    <mergeCell ref="A1:E1"/>
    <mergeCell ref="A3:B3"/>
    <mergeCell ref="A4:B4"/>
    <mergeCell ref="A5:B5"/>
    <mergeCell ref="A6:B6"/>
  </mergeCells>
  <conditionalFormatting sqref="B15:B17 B12:B13">
    <cfRule type="duplicateValues" dxfId="65" priority="11"/>
  </conditionalFormatting>
  <conditionalFormatting sqref="B15:B17 B12:B13">
    <cfRule type="duplicateValues" dxfId="64" priority="12"/>
  </conditionalFormatting>
  <conditionalFormatting sqref="B12:B17">
    <cfRule type="duplicateValues" dxfId="63" priority="13"/>
  </conditionalFormatting>
  <conditionalFormatting sqref="B12:B17">
    <cfRule type="duplicateValues" dxfId="62" priority="14"/>
  </conditionalFormatting>
  <conditionalFormatting sqref="B14">
    <cfRule type="duplicateValues" dxfId="61" priority="9"/>
  </conditionalFormatting>
  <conditionalFormatting sqref="B14">
    <cfRule type="duplicateValues" dxfId="60" priority="10"/>
  </conditionalFormatting>
  <conditionalFormatting sqref="C12:C17">
    <cfRule type="duplicateValues" dxfId="59" priority="3"/>
  </conditionalFormatting>
  <conditionalFormatting sqref="C12:C17">
    <cfRule type="duplicateValues" dxfId="58" priority="4"/>
    <cfRule type="duplicateValues" dxfId="57" priority="5"/>
  </conditionalFormatting>
  <conditionalFormatting sqref="C15:C17 C12:C13">
    <cfRule type="duplicateValues" dxfId="56" priority="6"/>
  </conditionalFormatting>
  <conditionalFormatting sqref="C15:C17 C12:C13">
    <cfRule type="duplicateValues" dxfId="55" priority="7"/>
  </conditionalFormatting>
  <conditionalFormatting sqref="C12:C17">
    <cfRule type="duplicateValues" dxfId="54" priority="8"/>
  </conditionalFormatting>
  <conditionalFormatting sqref="C14">
    <cfRule type="duplicateValues" dxfId="53" priority="1"/>
  </conditionalFormatting>
  <conditionalFormatting sqref="C14">
    <cfRule type="duplicateValues" dxfId="52" priority="2"/>
  </conditionalFormatting>
  <pageMargins left="0.70866141732283472" right="0.70866141732283472" top="0.74803149606299213" bottom="0.74803149606299213" header="0.31496062992125984" footer="0.31496062992125984"/>
  <pageSetup paperSize="5" scale="90" orientation="landscape" r:id="rId1"/>
  <colBreaks count="1" manualBreakCount="1">
    <brk id="7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Q42"/>
  <sheetViews>
    <sheetView zoomScaleNormal="100" workbookViewId="0">
      <selection activeCell="C51" sqref="C51"/>
    </sheetView>
  </sheetViews>
  <sheetFormatPr baseColWidth="10" defaultRowHeight="15" x14ac:dyDescent="0.25"/>
  <cols>
    <col min="1" max="14" width="6.42578125" customWidth="1"/>
    <col min="16" max="16" width="19.85546875" customWidth="1"/>
    <col min="17" max="17" width="20.7109375" customWidth="1"/>
  </cols>
  <sheetData>
    <row r="1" spans="1:17" ht="15.75" thickBot="1" x14ac:dyDescent="0.3">
      <c r="A1" s="222" t="s">
        <v>5</v>
      </c>
      <c r="B1" s="222"/>
      <c r="C1" s="222"/>
      <c r="D1" s="223">
        <v>2022</v>
      </c>
      <c r="E1" s="223"/>
      <c r="F1" s="86"/>
      <c r="G1" s="86"/>
      <c r="H1" s="87"/>
      <c r="I1" s="87"/>
      <c r="J1" s="87"/>
      <c r="K1" s="87"/>
      <c r="L1" s="87"/>
      <c r="M1" s="87"/>
      <c r="N1" s="87"/>
      <c r="O1" s="88"/>
      <c r="P1" s="224" t="s">
        <v>133</v>
      </c>
      <c r="Q1" s="224"/>
    </row>
    <row r="2" spans="1:17" ht="15.75" thickBot="1" x14ac:dyDescent="0.3">
      <c r="A2" s="89"/>
      <c r="B2" s="90"/>
      <c r="C2" s="90"/>
      <c r="D2" s="90"/>
      <c r="E2" s="90"/>
      <c r="F2" s="90"/>
      <c r="G2" s="91"/>
      <c r="H2" s="92"/>
      <c r="I2" s="92"/>
      <c r="J2" s="92"/>
      <c r="K2" s="92"/>
      <c r="L2" s="92"/>
      <c r="M2" s="92"/>
      <c r="N2" s="92"/>
      <c r="O2" s="90"/>
      <c r="P2" s="224"/>
      <c r="Q2" s="224"/>
    </row>
    <row r="3" spans="1:17" ht="15.75" thickBot="1" x14ac:dyDescent="0.3">
      <c r="A3" s="89"/>
      <c r="B3" s="90"/>
      <c r="C3" s="90"/>
      <c r="D3" s="90"/>
      <c r="E3" s="90"/>
      <c r="F3" s="90"/>
      <c r="G3" s="91"/>
      <c r="H3" s="90"/>
      <c r="I3" s="90"/>
      <c r="J3" s="90"/>
      <c r="K3" s="90"/>
      <c r="L3" s="90"/>
      <c r="M3" s="90"/>
      <c r="N3" s="90"/>
      <c r="O3" s="90"/>
      <c r="P3" s="90"/>
      <c r="Q3" s="93"/>
    </row>
    <row r="4" spans="1:17" ht="15.75" thickBot="1" x14ac:dyDescent="0.3">
      <c r="A4" s="225" t="s">
        <v>134</v>
      </c>
      <c r="B4" s="225"/>
      <c r="C4" s="225"/>
      <c r="D4" s="225"/>
      <c r="E4" s="225"/>
      <c r="F4" s="225"/>
      <c r="G4" s="226" t="str">
        <f>'[1]NP DPBS'!D3</f>
        <v>040 - MINISTERIO DE SALUD</v>
      </c>
      <c r="H4" s="226"/>
      <c r="I4" s="226"/>
      <c r="J4" s="226"/>
      <c r="K4" s="226"/>
      <c r="L4" s="226"/>
      <c r="M4" s="226"/>
      <c r="N4" s="226"/>
      <c r="O4" s="226"/>
      <c r="P4" s="226"/>
      <c r="Q4" s="226"/>
    </row>
    <row r="5" spans="1:17" ht="15.75" thickBot="1" x14ac:dyDescent="0.3">
      <c r="A5" s="227" t="s">
        <v>119</v>
      </c>
      <c r="B5" s="227"/>
      <c r="C5" s="227"/>
      <c r="D5" s="227"/>
      <c r="E5" s="227"/>
      <c r="F5" s="227"/>
      <c r="G5" s="226" t="str">
        <f>'[1]NP DPBS'!D4</f>
        <v>011 - DIRECCION PROVINCIAL DE ADMINISTRACION - MINISTERIO DE SALUD</v>
      </c>
      <c r="H5" s="226"/>
      <c r="I5" s="226"/>
      <c r="J5" s="226"/>
      <c r="K5" s="226"/>
      <c r="L5" s="226"/>
      <c r="M5" s="226"/>
      <c r="N5" s="226"/>
      <c r="O5" s="226"/>
      <c r="P5" s="226"/>
      <c r="Q5" s="226"/>
    </row>
    <row r="6" spans="1:17" ht="15.75" thickBot="1" x14ac:dyDescent="0.3">
      <c r="A6" s="227" t="s">
        <v>120</v>
      </c>
      <c r="B6" s="227"/>
      <c r="C6" s="227"/>
      <c r="D6" s="227"/>
      <c r="E6" s="227"/>
      <c r="F6" s="227"/>
      <c r="G6" s="226" t="s">
        <v>166</v>
      </c>
      <c r="H6" s="226"/>
      <c r="I6" s="226"/>
      <c r="J6" s="226"/>
      <c r="K6" s="226"/>
      <c r="L6" s="226"/>
      <c r="M6" s="226"/>
      <c r="N6" s="226"/>
      <c r="O6" s="226"/>
      <c r="P6" s="226"/>
      <c r="Q6" s="226"/>
    </row>
    <row r="7" spans="1:17" ht="15.75" thickBot="1" x14ac:dyDescent="0.3">
      <c r="A7" s="227" t="s">
        <v>122</v>
      </c>
      <c r="B7" s="227"/>
      <c r="C7" s="227"/>
      <c r="D7" s="227"/>
      <c r="E7" s="227"/>
      <c r="F7" s="227"/>
      <c r="G7" s="226" t="s">
        <v>166</v>
      </c>
      <c r="H7" s="226"/>
      <c r="I7" s="226"/>
      <c r="J7" s="226"/>
      <c r="K7" s="226"/>
      <c r="L7" s="226"/>
      <c r="M7" s="226"/>
      <c r="N7" s="226"/>
      <c r="O7" s="226"/>
      <c r="P7" s="226"/>
      <c r="Q7" s="226"/>
    </row>
    <row r="8" spans="1:17" ht="15.75" thickBot="1" x14ac:dyDescent="0.3">
      <c r="A8" s="228" t="s">
        <v>135</v>
      </c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  <c r="M8" s="228"/>
      <c r="N8" s="228"/>
      <c r="O8" s="228"/>
      <c r="P8" s="228"/>
      <c r="Q8" s="228"/>
    </row>
    <row r="9" spans="1:17" x14ac:dyDescent="0.25">
      <c r="A9" s="221" t="s">
        <v>136</v>
      </c>
      <c r="B9" s="221"/>
      <c r="C9" s="221"/>
      <c r="D9" s="221"/>
      <c r="E9" s="221"/>
      <c r="F9" s="221"/>
      <c r="G9" s="221"/>
      <c r="H9" s="221"/>
      <c r="I9" s="221"/>
      <c r="J9" s="221"/>
      <c r="K9" s="221"/>
      <c r="L9" s="221"/>
      <c r="M9" s="221"/>
      <c r="N9" s="221"/>
      <c r="O9" s="221"/>
      <c r="P9" s="221"/>
      <c r="Q9" s="221"/>
    </row>
    <row r="10" spans="1:17" ht="36.75" customHeight="1" x14ac:dyDescent="0.25">
      <c r="A10" s="212" t="s">
        <v>137</v>
      </c>
      <c r="B10" s="212"/>
      <c r="C10" s="212"/>
      <c r="D10" s="212"/>
      <c r="E10" s="212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</row>
    <row r="11" spans="1:17" ht="15.75" thickBot="1" x14ac:dyDescent="0.3">
      <c r="A11" s="94"/>
      <c r="B11" s="95"/>
      <c r="C11" s="95"/>
      <c r="D11" s="95"/>
      <c r="E11" s="95"/>
      <c r="F11" s="95"/>
      <c r="G11" s="96"/>
      <c r="H11" s="95"/>
      <c r="I11" s="95"/>
      <c r="J11" s="95"/>
      <c r="K11" s="95"/>
      <c r="L11" s="95"/>
      <c r="M11" s="95"/>
      <c r="N11" s="95"/>
      <c r="O11" s="95"/>
      <c r="P11" s="95"/>
      <c r="Q11" s="97"/>
    </row>
    <row r="12" spans="1:17" ht="15.75" thickBot="1" x14ac:dyDescent="0.3">
      <c r="A12" s="213" t="s">
        <v>138</v>
      </c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</row>
    <row r="13" spans="1:17" ht="15.75" thickBot="1" x14ac:dyDescent="0.3">
      <c r="A13" s="214" t="s">
        <v>139</v>
      </c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5" t="s">
        <v>140</v>
      </c>
      <c r="P13" s="215"/>
      <c r="Q13" s="216" t="s">
        <v>141</v>
      </c>
    </row>
    <row r="14" spans="1:17" ht="15.75" thickBot="1" x14ac:dyDescent="0.3">
      <c r="A14" s="98" t="s">
        <v>142</v>
      </c>
      <c r="B14" s="99" t="s">
        <v>143</v>
      </c>
      <c r="C14" s="99" t="s">
        <v>144</v>
      </c>
      <c r="D14" s="99" t="s">
        <v>145</v>
      </c>
      <c r="E14" s="99" t="s">
        <v>146</v>
      </c>
      <c r="F14" s="99" t="s">
        <v>147</v>
      </c>
      <c r="G14" s="100" t="s">
        <v>148</v>
      </c>
      <c r="H14" s="99" t="s">
        <v>149</v>
      </c>
      <c r="I14" s="99" t="s">
        <v>150</v>
      </c>
      <c r="J14" s="99" t="s">
        <v>151</v>
      </c>
      <c r="K14" s="99" t="s">
        <v>151</v>
      </c>
      <c r="L14" s="99" t="s">
        <v>152</v>
      </c>
      <c r="M14" s="101" t="s">
        <v>153</v>
      </c>
      <c r="N14" s="102" t="s">
        <v>154</v>
      </c>
      <c r="O14" s="215"/>
      <c r="P14" s="215"/>
      <c r="Q14" s="216"/>
    </row>
    <row r="15" spans="1:17" x14ac:dyDescent="0.25">
      <c r="A15" s="129">
        <v>3</v>
      </c>
      <c r="B15" s="129"/>
      <c r="C15" s="129"/>
      <c r="D15" s="129">
        <v>3</v>
      </c>
      <c r="E15" s="129"/>
      <c r="F15" s="129">
        <v>4901</v>
      </c>
      <c r="G15" s="129">
        <v>3</v>
      </c>
      <c r="H15" s="129">
        <v>1</v>
      </c>
      <c r="I15" s="129">
        <v>2</v>
      </c>
      <c r="J15" s="129">
        <v>3</v>
      </c>
      <c r="K15" s="129">
        <v>4</v>
      </c>
      <c r="L15" s="129"/>
      <c r="M15" s="129">
        <v>1</v>
      </c>
      <c r="N15" s="129" t="s">
        <v>155</v>
      </c>
      <c r="O15" s="229" t="s">
        <v>174</v>
      </c>
      <c r="P15" s="217"/>
      <c r="Q15" s="103">
        <v>7000</v>
      </c>
    </row>
    <row r="16" spans="1:17" x14ac:dyDescent="0.25">
      <c r="A16" s="129">
        <v>3</v>
      </c>
      <c r="B16" s="129"/>
      <c r="C16" s="129"/>
      <c r="D16" s="129">
        <v>3</v>
      </c>
      <c r="E16" s="129"/>
      <c r="F16" s="129">
        <v>4901</v>
      </c>
      <c r="G16" s="129">
        <v>3</v>
      </c>
      <c r="H16" s="129">
        <v>1</v>
      </c>
      <c r="I16" s="105">
        <v>2</v>
      </c>
      <c r="J16" s="105">
        <v>9</v>
      </c>
      <c r="K16" s="105">
        <v>1</v>
      </c>
      <c r="L16" s="105"/>
      <c r="M16" s="106">
        <v>1</v>
      </c>
      <c r="N16" s="105" t="s">
        <v>155</v>
      </c>
      <c r="O16" s="237" t="s">
        <v>17</v>
      </c>
      <c r="P16" s="220"/>
      <c r="Q16" s="108">
        <v>14490</v>
      </c>
    </row>
    <row r="17" spans="1:17" x14ac:dyDescent="0.25">
      <c r="A17" s="104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6"/>
      <c r="N17" s="138"/>
      <c r="O17" s="211"/>
      <c r="P17" s="211"/>
      <c r="Q17" s="108"/>
    </row>
    <row r="18" spans="1:17" x14ac:dyDescent="0.25">
      <c r="A18" s="104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6"/>
      <c r="N18" s="138"/>
      <c r="O18" s="211"/>
      <c r="P18" s="211"/>
      <c r="Q18" s="108"/>
    </row>
    <row r="19" spans="1:17" x14ac:dyDescent="0.25">
      <c r="A19" s="104"/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6"/>
      <c r="N19" s="138"/>
      <c r="O19" s="211"/>
      <c r="P19" s="211"/>
      <c r="Q19" s="108"/>
    </row>
    <row r="20" spans="1:17" x14ac:dyDescent="0.25">
      <c r="A20" s="104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6"/>
      <c r="N20" s="138"/>
      <c r="O20" s="211"/>
      <c r="P20" s="211"/>
      <c r="Q20" s="108"/>
    </row>
    <row r="21" spans="1:17" x14ac:dyDescent="0.25">
      <c r="A21" s="104"/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6"/>
      <c r="N21" s="138"/>
      <c r="O21" s="211"/>
      <c r="P21" s="211"/>
      <c r="Q21" s="108"/>
    </row>
    <row r="22" spans="1:17" x14ac:dyDescent="0.25">
      <c r="A22" s="104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6"/>
      <c r="N22" s="138"/>
      <c r="O22" s="211"/>
      <c r="P22" s="211"/>
      <c r="Q22" s="108"/>
    </row>
    <row r="23" spans="1:17" x14ac:dyDescent="0.25">
      <c r="A23" s="104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6"/>
      <c r="N23" s="138"/>
      <c r="O23" s="211"/>
      <c r="P23" s="211"/>
      <c r="Q23" s="108"/>
    </row>
    <row r="24" spans="1:17" x14ac:dyDescent="0.25">
      <c r="A24" s="104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6"/>
      <c r="N24" s="138"/>
      <c r="O24" s="211"/>
      <c r="P24" s="211"/>
      <c r="Q24" s="108"/>
    </row>
    <row r="25" spans="1:17" x14ac:dyDescent="0.25">
      <c r="A25" s="104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6"/>
      <c r="N25" s="138"/>
      <c r="O25" s="211"/>
      <c r="P25" s="211"/>
      <c r="Q25" s="108"/>
    </row>
    <row r="26" spans="1:17" x14ac:dyDescent="0.25">
      <c r="A26" s="104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6"/>
      <c r="N26" s="138"/>
      <c r="O26" s="211"/>
      <c r="P26" s="211"/>
      <c r="Q26" s="108"/>
    </row>
    <row r="27" spans="1:17" x14ac:dyDescent="0.25">
      <c r="A27" s="104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6"/>
      <c r="N27" s="138"/>
      <c r="O27" s="211"/>
      <c r="P27" s="211"/>
      <c r="Q27" s="108"/>
    </row>
    <row r="28" spans="1:17" x14ac:dyDescent="0.25">
      <c r="A28" s="104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6"/>
      <c r="N28" s="138"/>
      <c r="O28" s="211"/>
      <c r="P28" s="211"/>
      <c r="Q28" s="108"/>
    </row>
    <row r="29" spans="1:17" x14ac:dyDescent="0.25">
      <c r="A29" s="104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6"/>
      <c r="N29" s="138"/>
      <c r="O29" s="211"/>
      <c r="P29" s="211"/>
      <c r="Q29" s="108"/>
    </row>
    <row r="30" spans="1:17" x14ac:dyDescent="0.25">
      <c r="A30" s="104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6"/>
      <c r="N30" s="138"/>
      <c r="O30" s="211"/>
      <c r="P30" s="211"/>
      <c r="Q30" s="108"/>
    </row>
    <row r="31" spans="1:17" x14ac:dyDescent="0.25">
      <c r="A31" s="104"/>
      <c r="B31" s="105"/>
      <c r="C31" s="105"/>
      <c r="D31" s="105"/>
      <c r="E31" s="105"/>
      <c r="F31" s="138"/>
      <c r="G31" s="105"/>
      <c r="H31" s="105"/>
      <c r="I31" s="105"/>
      <c r="J31" s="105"/>
      <c r="K31" s="105"/>
      <c r="L31" s="105"/>
      <c r="M31" s="106"/>
      <c r="N31" s="138"/>
      <c r="O31" s="206"/>
      <c r="P31" s="206"/>
      <c r="Q31" s="108"/>
    </row>
    <row r="32" spans="1:17" x14ac:dyDescent="0.25">
      <c r="A32" s="104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6"/>
      <c r="N32" s="138"/>
      <c r="O32" s="206"/>
      <c r="P32" s="206"/>
      <c r="Q32" s="108"/>
    </row>
    <row r="33" spans="1:17" x14ac:dyDescent="0.25">
      <c r="A33" s="104"/>
      <c r="B33" s="105"/>
      <c r="C33" s="105"/>
      <c r="D33" s="105"/>
      <c r="E33" s="105"/>
      <c r="F33" s="138"/>
      <c r="G33" s="105"/>
      <c r="H33" s="105"/>
      <c r="I33" s="105"/>
      <c r="J33" s="105"/>
      <c r="K33" s="105"/>
      <c r="L33" s="105"/>
      <c r="M33" s="106"/>
      <c r="N33" s="138"/>
      <c r="O33" s="206"/>
      <c r="P33" s="206"/>
      <c r="Q33" s="108"/>
    </row>
    <row r="34" spans="1:17" x14ac:dyDescent="0.25">
      <c r="A34" s="104"/>
      <c r="B34" s="105"/>
      <c r="C34" s="105"/>
      <c r="D34" s="105"/>
      <c r="E34" s="105"/>
      <c r="F34" s="138"/>
      <c r="G34" s="105"/>
      <c r="H34" s="105"/>
      <c r="I34" s="105"/>
      <c r="J34" s="105"/>
      <c r="K34" s="105"/>
      <c r="L34" s="105"/>
      <c r="M34" s="106"/>
      <c r="N34" s="138"/>
      <c r="O34" s="206"/>
      <c r="P34" s="206"/>
      <c r="Q34" s="108"/>
    </row>
    <row r="35" spans="1:17" x14ac:dyDescent="0.25">
      <c r="A35" s="109"/>
      <c r="B35" s="110"/>
      <c r="C35" s="110"/>
      <c r="D35" s="110"/>
      <c r="E35" s="110"/>
      <c r="F35" s="111"/>
      <c r="G35" s="110"/>
      <c r="H35" s="110"/>
      <c r="I35" s="110"/>
      <c r="J35" s="110"/>
      <c r="K35" s="110"/>
      <c r="L35" s="110"/>
      <c r="M35" s="112"/>
      <c r="N35" s="113"/>
      <c r="O35" s="207"/>
      <c r="P35" s="207"/>
      <c r="Q35" s="108"/>
    </row>
    <row r="36" spans="1:17" ht="15.75" thickBot="1" x14ac:dyDescent="0.3">
      <c r="A36" s="114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6"/>
      <c r="N36" s="115"/>
      <c r="O36" s="208"/>
      <c r="P36" s="208"/>
      <c r="Q36" s="117"/>
    </row>
    <row r="37" spans="1:17" ht="15.75" thickBot="1" x14ac:dyDescent="0.3">
      <c r="A37" s="209" t="s">
        <v>188</v>
      </c>
      <c r="B37" s="209"/>
      <c r="C37" s="209"/>
      <c r="D37" s="209"/>
      <c r="E37" s="209"/>
      <c r="F37" s="209"/>
      <c r="G37" s="209"/>
      <c r="H37" s="209"/>
      <c r="I37" s="209"/>
      <c r="J37" s="209"/>
      <c r="K37" s="209"/>
      <c r="L37" s="209"/>
      <c r="M37" s="209"/>
      <c r="N37" s="209"/>
      <c r="O37" s="209"/>
      <c r="P37" s="209"/>
      <c r="Q37" s="118">
        <f>SUM(Q15:Q36)</f>
        <v>21490</v>
      </c>
    </row>
    <row r="38" spans="1:17" ht="15.75" thickBot="1" x14ac:dyDescent="0.3">
      <c r="A38" s="210"/>
      <c r="B38" s="210"/>
      <c r="C38" s="210"/>
      <c r="D38" s="210"/>
      <c r="E38" s="210"/>
      <c r="F38" s="210"/>
      <c r="G38" s="210"/>
      <c r="H38" s="210"/>
      <c r="I38" s="210"/>
      <c r="J38" s="210"/>
      <c r="K38" s="210"/>
      <c r="L38" s="210"/>
      <c r="M38" s="210"/>
      <c r="N38" s="210"/>
      <c r="O38" s="210"/>
      <c r="P38" s="210"/>
      <c r="Q38" s="210"/>
    </row>
    <row r="39" spans="1:17" ht="15.75" thickBot="1" x14ac:dyDescent="0.3">
      <c r="A39" s="203" t="s">
        <v>156</v>
      </c>
      <c r="B39" s="203"/>
      <c r="C39" s="203"/>
      <c r="D39" s="203"/>
      <c r="E39" s="203"/>
      <c r="F39" s="203"/>
      <c r="G39" s="204"/>
      <c r="H39" s="204"/>
      <c r="I39" s="204"/>
      <c r="J39" s="204"/>
      <c r="K39" s="204"/>
      <c r="L39" s="204"/>
      <c r="M39" s="204"/>
      <c r="N39" s="204"/>
      <c r="O39" s="204"/>
      <c r="P39" s="204"/>
      <c r="Q39" s="204"/>
    </row>
    <row r="40" spans="1:17" ht="15.75" thickBot="1" x14ac:dyDescent="0.3">
      <c r="A40" s="205" t="s">
        <v>158</v>
      </c>
      <c r="B40" s="205"/>
      <c r="C40" s="205"/>
      <c r="D40" s="205"/>
      <c r="E40" s="205"/>
      <c r="F40" s="205"/>
      <c r="G40" s="205"/>
      <c r="H40" s="205"/>
      <c r="I40" s="205"/>
      <c r="J40" s="205"/>
      <c r="K40" s="205"/>
      <c r="L40" s="205"/>
      <c r="M40" s="205"/>
      <c r="N40" s="205"/>
      <c r="O40" s="205"/>
      <c r="P40" s="205"/>
      <c r="Q40" s="205"/>
    </row>
    <row r="41" spans="1:17" ht="15.75" thickBot="1" x14ac:dyDescent="0.3">
      <c r="A41" s="205"/>
      <c r="B41" s="205"/>
      <c r="C41" s="205"/>
      <c r="D41" s="205"/>
      <c r="E41" s="205"/>
      <c r="F41" s="205"/>
      <c r="G41" s="205"/>
      <c r="H41" s="205"/>
      <c r="I41" s="205"/>
      <c r="J41" s="205"/>
      <c r="K41" s="205"/>
      <c r="L41" s="205"/>
      <c r="M41" s="205"/>
      <c r="N41" s="205"/>
      <c r="O41" s="205"/>
      <c r="P41" s="205"/>
      <c r="Q41" s="205"/>
    </row>
    <row r="42" spans="1:17" x14ac:dyDescent="0.2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</row>
  </sheetData>
  <mergeCells count="45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Q41"/>
    <mergeCell ref="O34:P34"/>
    <mergeCell ref="O35:P35"/>
    <mergeCell ref="O36:P36"/>
    <mergeCell ref="A37:P37"/>
    <mergeCell ref="A38:Q38"/>
    <mergeCell ref="A39:F39"/>
    <mergeCell ref="G39:Q39"/>
  </mergeCells>
  <pageMargins left="0.7" right="0.7" top="0.75" bottom="0.75" header="0.3" footer="0.3"/>
  <pageSetup paperSize="5" scale="63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13"/>
  <sheetViews>
    <sheetView workbookViewId="0">
      <selection activeCell="C51" sqref="C51"/>
    </sheetView>
  </sheetViews>
  <sheetFormatPr baseColWidth="10" defaultRowHeight="15" x14ac:dyDescent="0.25"/>
  <cols>
    <col min="2" max="2" width="13" customWidth="1"/>
    <col min="3" max="3" width="51.7109375" customWidth="1"/>
    <col min="6" max="6" width="12.85546875" customWidth="1"/>
    <col min="7" max="7" width="20.28515625" customWidth="1"/>
  </cols>
  <sheetData>
    <row r="1" spans="1:7" ht="30.75" thickBot="1" x14ac:dyDescent="0.3">
      <c r="A1" s="201" t="s">
        <v>116</v>
      </c>
      <c r="B1" s="201"/>
      <c r="C1" s="201"/>
      <c r="D1" s="201"/>
      <c r="E1" s="201"/>
      <c r="F1" s="61" t="s">
        <v>117</v>
      </c>
      <c r="G1" s="62"/>
    </row>
    <row r="2" spans="1:7" ht="16.5" thickBot="1" x14ac:dyDescent="0.3">
      <c r="A2" s="63"/>
      <c r="B2" s="64"/>
      <c r="C2" s="65"/>
      <c r="D2" s="65"/>
      <c r="E2" s="65"/>
      <c r="F2" s="65"/>
      <c r="G2" s="66"/>
    </row>
    <row r="3" spans="1:7" ht="16.5" thickBot="1" x14ac:dyDescent="0.3">
      <c r="A3" s="202" t="s">
        <v>118</v>
      </c>
      <c r="B3" s="202"/>
      <c r="C3" s="67" t="str">
        <f>'[2]SAF 011'!C4</f>
        <v>040 - MINISTERIO DE SALUD</v>
      </c>
      <c r="D3" s="68"/>
      <c r="E3" s="68"/>
      <c r="F3" s="68"/>
      <c r="G3" s="69"/>
    </row>
    <row r="4" spans="1:7" ht="16.5" thickBot="1" x14ac:dyDescent="0.3">
      <c r="A4" s="200" t="s">
        <v>119</v>
      </c>
      <c r="B4" s="200"/>
      <c r="C4" s="67" t="str">
        <f>'[2]SAF 011'!C5</f>
        <v>011 - DIRECCION PROVINCIAL DE ADMINISTRACION - MINISTERIO DE SALUD</v>
      </c>
      <c r="D4" s="68"/>
      <c r="E4" s="68"/>
      <c r="F4" s="68"/>
      <c r="G4" s="69"/>
    </row>
    <row r="5" spans="1:7" ht="16.5" thickBot="1" x14ac:dyDescent="0.3">
      <c r="A5" s="200" t="s">
        <v>120</v>
      </c>
      <c r="B5" s="200"/>
      <c r="C5" s="67" t="s">
        <v>189</v>
      </c>
      <c r="D5" s="68"/>
      <c r="E5" s="68"/>
      <c r="F5" s="68"/>
      <c r="G5" s="69"/>
    </row>
    <row r="6" spans="1:7" ht="16.5" thickBot="1" x14ac:dyDescent="0.3">
      <c r="A6" s="202" t="s">
        <v>122</v>
      </c>
      <c r="B6" s="202"/>
      <c r="C6" s="67" t="s">
        <v>189</v>
      </c>
      <c r="D6" s="68"/>
      <c r="E6" s="68"/>
      <c r="F6" s="68"/>
      <c r="G6" s="69"/>
    </row>
    <row r="7" spans="1:7" ht="16.5" thickBot="1" x14ac:dyDescent="0.3">
      <c r="A7" s="200" t="s">
        <v>123</v>
      </c>
      <c r="B7" s="200"/>
      <c r="C7" s="67" t="s">
        <v>124</v>
      </c>
      <c r="D7" s="68"/>
      <c r="E7" s="68"/>
      <c r="F7" s="68"/>
      <c r="G7" s="69"/>
    </row>
    <row r="8" spans="1:7" ht="16.5" thickBot="1" x14ac:dyDescent="0.3">
      <c r="A8" s="198" t="s">
        <v>125</v>
      </c>
      <c r="B8" s="198"/>
      <c r="C8" s="70" t="s">
        <v>158</v>
      </c>
      <c r="D8" s="68"/>
      <c r="E8" s="68"/>
      <c r="F8" s="68"/>
      <c r="G8" s="69"/>
    </row>
    <row r="9" spans="1:7" ht="15.75" x14ac:dyDescent="0.25">
      <c r="A9" s="71"/>
      <c r="B9" s="72"/>
      <c r="C9" s="73"/>
      <c r="D9" s="73"/>
      <c r="E9" s="73"/>
      <c r="F9" s="73"/>
      <c r="G9" s="74"/>
    </row>
    <row r="10" spans="1:7" x14ac:dyDescent="0.25">
      <c r="A10" s="199" t="s">
        <v>126</v>
      </c>
      <c r="B10" s="197" t="s">
        <v>127</v>
      </c>
      <c r="C10" s="197" t="s">
        <v>161</v>
      </c>
      <c r="D10" s="197" t="s">
        <v>128</v>
      </c>
      <c r="E10" s="197" t="s">
        <v>129</v>
      </c>
      <c r="F10" s="197" t="s">
        <v>130</v>
      </c>
      <c r="G10" s="197" t="s">
        <v>131</v>
      </c>
    </row>
    <row r="11" spans="1:7" ht="28.5" customHeight="1" x14ac:dyDescent="0.25">
      <c r="A11" s="199"/>
      <c r="B11" s="197"/>
      <c r="C11" s="197"/>
      <c r="D11" s="197"/>
      <c r="E11" s="197"/>
      <c r="F11" s="197"/>
      <c r="G11" s="197"/>
    </row>
    <row r="12" spans="1:7" ht="51.75" customHeight="1" x14ac:dyDescent="0.25">
      <c r="A12" s="75">
        <v>1</v>
      </c>
      <c r="B12" s="29" t="s">
        <v>55</v>
      </c>
      <c r="C12" s="34" t="s">
        <v>56</v>
      </c>
      <c r="D12" s="135" t="s">
        <v>132</v>
      </c>
      <c r="E12" s="29" t="s">
        <v>24</v>
      </c>
      <c r="F12" s="51">
        <v>350</v>
      </c>
      <c r="G12" s="38">
        <v>100</v>
      </c>
    </row>
    <row r="13" spans="1:7" ht="18.75" x14ac:dyDescent="0.25">
      <c r="A13" s="195" t="s">
        <v>190</v>
      </c>
      <c r="B13" s="195"/>
      <c r="C13" s="195"/>
      <c r="D13" s="195"/>
      <c r="E13" s="195"/>
      <c r="F13" s="196">
        <f>+F12*G12</f>
        <v>35000</v>
      </c>
      <c r="G13" s="196"/>
    </row>
  </sheetData>
  <mergeCells count="16">
    <mergeCell ref="F10:F11"/>
    <mergeCell ref="G10:G11"/>
    <mergeCell ref="A13:E13"/>
    <mergeCell ref="F13:G13"/>
    <mergeCell ref="A8:B8"/>
    <mergeCell ref="A10:A11"/>
    <mergeCell ref="B10:B11"/>
    <mergeCell ref="C10:C11"/>
    <mergeCell ref="D10:D11"/>
    <mergeCell ref="E10:E11"/>
    <mergeCell ref="A7:B7"/>
    <mergeCell ref="A1:E1"/>
    <mergeCell ref="A3:B3"/>
    <mergeCell ref="A4:B4"/>
    <mergeCell ref="A5:B5"/>
    <mergeCell ref="A6:B6"/>
  </mergeCells>
  <conditionalFormatting sqref="B12">
    <cfRule type="duplicateValues" dxfId="51" priority="7"/>
  </conditionalFormatting>
  <conditionalFormatting sqref="B12">
    <cfRule type="duplicateValues" dxfId="50" priority="8"/>
  </conditionalFormatting>
  <conditionalFormatting sqref="B12">
    <cfRule type="duplicateValues" dxfId="49" priority="9"/>
  </conditionalFormatting>
  <conditionalFormatting sqref="B12">
    <cfRule type="duplicateValues" dxfId="48" priority="10"/>
  </conditionalFormatting>
  <conditionalFormatting sqref="C12">
    <cfRule type="duplicateValues" dxfId="47" priority="1"/>
  </conditionalFormatting>
  <conditionalFormatting sqref="C12">
    <cfRule type="duplicateValues" dxfId="46" priority="2"/>
    <cfRule type="duplicateValues" dxfId="45" priority="3"/>
  </conditionalFormatting>
  <conditionalFormatting sqref="C12">
    <cfRule type="duplicateValues" dxfId="44" priority="4"/>
  </conditionalFormatting>
  <conditionalFormatting sqref="C12">
    <cfRule type="duplicateValues" dxfId="43" priority="5"/>
  </conditionalFormatting>
  <conditionalFormatting sqref="C12">
    <cfRule type="duplicateValues" dxfId="42" priority="6"/>
  </conditionalFormatting>
  <pageMargins left="0.7" right="0.7" top="0.75" bottom="0.75" header="0.3" footer="0.3"/>
  <pageSetup paperSize="9" scale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Q41"/>
  <sheetViews>
    <sheetView topLeftCell="A25" workbookViewId="0">
      <selection activeCell="C51" sqref="C51"/>
    </sheetView>
  </sheetViews>
  <sheetFormatPr baseColWidth="10" defaultRowHeight="15" x14ac:dyDescent="0.25"/>
  <cols>
    <col min="1" max="5" width="4.5703125" customWidth="1"/>
    <col min="6" max="6" width="6.140625" customWidth="1"/>
    <col min="7" max="11" width="4.5703125" customWidth="1"/>
    <col min="12" max="12" width="6.85546875" customWidth="1"/>
    <col min="13" max="15" width="4.5703125" customWidth="1"/>
    <col min="16" max="16" width="26.140625" customWidth="1"/>
  </cols>
  <sheetData>
    <row r="1" spans="1:17" ht="15.75" thickBot="1" x14ac:dyDescent="0.3">
      <c r="A1" s="222" t="s">
        <v>5</v>
      </c>
      <c r="B1" s="222"/>
      <c r="C1" s="222"/>
      <c r="D1" s="223">
        <v>2022</v>
      </c>
      <c r="E1" s="223"/>
      <c r="F1" s="86"/>
      <c r="G1" s="86"/>
      <c r="H1" s="87"/>
      <c r="I1" s="87"/>
      <c r="J1" s="87"/>
      <c r="K1" s="87"/>
      <c r="L1" s="87"/>
      <c r="M1" s="87"/>
      <c r="N1" s="87"/>
      <c r="O1" s="88"/>
      <c r="P1" s="224" t="s">
        <v>133</v>
      </c>
      <c r="Q1" s="224"/>
    </row>
    <row r="2" spans="1:17" ht="15.75" thickBot="1" x14ac:dyDescent="0.3">
      <c r="A2" s="89"/>
      <c r="B2" s="90"/>
      <c r="C2" s="90"/>
      <c r="D2" s="90"/>
      <c r="E2" s="90"/>
      <c r="F2" s="90"/>
      <c r="G2" s="91"/>
      <c r="H2" s="92"/>
      <c r="I2" s="92"/>
      <c r="J2" s="92"/>
      <c r="K2" s="92"/>
      <c r="L2" s="92"/>
      <c r="M2" s="92"/>
      <c r="N2" s="92"/>
      <c r="O2" s="90"/>
      <c r="P2" s="224"/>
      <c r="Q2" s="224"/>
    </row>
    <row r="3" spans="1:17" ht="15.75" thickBot="1" x14ac:dyDescent="0.3">
      <c r="A3" s="89"/>
      <c r="B3" s="90"/>
      <c r="C3" s="90"/>
      <c r="D3" s="90"/>
      <c r="E3" s="90"/>
      <c r="F3" s="90"/>
      <c r="G3" s="91"/>
      <c r="H3" s="90"/>
      <c r="I3" s="90"/>
      <c r="J3" s="90"/>
      <c r="K3" s="90"/>
      <c r="L3" s="90"/>
      <c r="M3" s="90"/>
      <c r="N3" s="90"/>
      <c r="O3" s="90"/>
      <c r="P3" s="90"/>
      <c r="Q3" s="93"/>
    </row>
    <row r="4" spans="1:17" ht="15.75" thickBot="1" x14ac:dyDescent="0.3">
      <c r="A4" s="225" t="s">
        <v>134</v>
      </c>
      <c r="B4" s="225"/>
      <c r="C4" s="225"/>
      <c r="D4" s="225"/>
      <c r="E4" s="225"/>
      <c r="F4" s="225"/>
      <c r="G4" s="226" t="str">
        <f>'[1]NP DPBS'!D3</f>
        <v>040 - MINISTERIO DE SALUD</v>
      </c>
      <c r="H4" s="226"/>
      <c r="I4" s="226"/>
      <c r="J4" s="226"/>
      <c r="K4" s="226"/>
      <c r="L4" s="226"/>
      <c r="M4" s="226"/>
      <c r="N4" s="226"/>
      <c r="O4" s="226"/>
      <c r="P4" s="226"/>
      <c r="Q4" s="226"/>
    </row>
    <row r="5" spans="1:17" ht="15.75" thickBot="1" x14ac:dyDescent="0.3">
      <c r="A5" s="227" t="s">
        <v>119</v>
      </c>
      <c r="B5" s="227"/>
      <c r="C5" s="227"/>
      <c r="D5" s="227"/>
      <c r="E5" s="227"/>
      <c r="F5" s="227"/>
      <c r="G5" s="226" t="str">
        <f>'[1]NP DPBS'!D4</f>
        <v>011 - DIRECCION PROVINCIAL DE ADMINISTRACION - MINISTERIO DE SALUD</v>
      </c>
      <c r="H5" s="226"/>
      <c r="I5" s="226"/>
      <c r="J5" s="226"/>
      <c r="K5" s="226"/>
      <c r="L5" s="226"/>
      <c r="M5" s="226"/>
      <c r="N5" s="226"/>
      <c r="O5" s="226"/>
      <c r="P5" s="226"/>
      <c r="Q5" s="226"/>
    </row>
    <row r="6" spans="1:17" ht="15.75" thickBot="1" x14ac:dyDescent="0.3">
      <c r="A6" s="227" t="s">
        <v>120</v>
      </c>
      <c r="B6" s="227"/>
      <c r="C6" s="227"/>
      <c r="D6" s="227"/>
      <c r="E6" s="227"/>
      <c r="F6" s="227"/>
      <c r="G6" s="226" t="s">
        <v>189</v>
      </c>
      <c r="H6" s="226"/>
      <c r="I6" s="226"/>
      <c r="J6" s="226"/>
      <c r="K6" s="226"/>
      <c r="L6" s="226"/>
      <c r="M6" s="226"/>
      <c r="N6" s="226"/>
      <c r="O6" s="226"/>
      <c r="P6" s="226"/>
      <c r="Q6" s="226"/>
    </row>
    <row r="7" spans="1:17" ht="15.75" thickBot="1" x14ac:dyDescent="0.3">
      <c r="A7" s="227" t="s">
        <v>122</v>
      </c>
      <c r="B7" s="227"/>
      <c r="C7" s="227"/>
      <c r="D7" s="227"/>
      <c r="E7" s="227"/>
      <c r="F7" s="227"/>
      <c r="G7" s="226" t="s">
        <v>189</v>
      </c>
      <c r="H7" s="226"/>
      <c r="I7" s="226"/>
      <c r="J7" s="226"/>
      <c r="K7" s="226"/>
      <c r="L7" s="226"/>
      <c r="M7" s="226"/>
      <c r="N7" s="226"/>
      <c r="O7" s="226"/>
      <c r="P7" s="226"/>
      <c r="Q7" s="226"/>
    </row>
    <row r="8" spans="1:17" ht="15.75" thickBot="1" x14ac:dyDescent="0.3">
      <c r="A8" s="228" t="s">
        <v>135</v>
      </c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  <c r="M8" s="228"/>
      <c r="N8" s="228"/>
      <c r="O8" s="228"/>
      <c r="P8" s="228"/>
      <c r="Q8" s="228"/>
    </row>
    <row r="9" spans="1:17" x14ac:dyDescent="0.25">
      <c r="A9" s="221" t="s">
        <v>136</v>
      </c>
      <c r="B9" s="221"/>
      <c r="C9" s="221"/>
      <c r="D9" s="221"/>
      <c r="E9" s="221"/>
      <c r="F9" s="221"/>
      <c r="G9" s="221"/>
      <c r="H9" s="221"/>
      <c r="I9" s="221"/>
      <c r="J9" s="221"/>
      <c r="K9" s="221"/>
      <c r="L9" s="221"/>
      <c r="M9" s="221"/>
      <c r="N9" s="221"/>
      <c r="O9" s="221"/>
      <c r="P9" s="221"/>
      <c r="Q9" s="221"/>
    </row>
    <row r="10" spans="1:17" ht="42" customHeight="1" x14ac:dyDescent="0.25">
      <c r="A10" s="212" t="s">
        <v>137</v>
      </c>
      <c r="B10" s="212"/>
      <c r="C10" s="212"/>
      <c r="D10" s="212"/>
      <c r="E10" s="212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</row>
    <row r="11" spans="1:17" ht="15.75" thickBot="1" x14ac:dyDescent="0.3">
      <c r="A11" s="94"/>
      <c r="B11" s="95"/>
      <c r="C11" s="95"/>
      <c r="D11" s="95"/>
      <c r="E11" s="95"/>
      <c r="F11" s="95"/>
      <c r="G11" s="96"/>
      <c r="H11" s="95"/>
      <c r="I11" s="95"/>
      <c r="J11" s="95"/>
      <c r="K11" s="95"/>
      <c r="L11" s="95"/>
      <c r="M11" s="95"/>
      <c r="N11" s="95"/>
      <c r="O11" s="95"/>
      <c r="P11" s="95"/>
      <c r="Q11" s="97"/>
    </row>
    <row r="12" spans="1:17" ht="15.75" thickBot="1" x14ac:dyDescent="0.3">
      <c r="A12" s="213" t="s">
        <v>138</v>
      </c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</row>
    <row r="13" spans="1:17" ht="15.75" thickBot="1" x14ac:dyDescent="0.3">
      <c r="A13" s="214" t="s">
        <v>139</v>
      </c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5" t="s">
        <v>140</v>
      </c>
      <c r="P13" s="215"/>
      <c r="Q13" s="216" t="s">
        <v>141</v>
      </c>
    </row>
    <row r="14" spans="1:17" ht="15.75" thickBot="1" x14ac:dyDescent="0.3">
      <c r="A14" s="98" t="s">
        <v>142</v>
      </c>
      <c r="B14" s="99" t="s">
        <v>143</v>
      </c>
      <c r="C14" s="99" t="s">
        <v>144</v>
      </c>
      <c r="D14" s="99" t="s">
        <v>145</v>
      </c>
      <c r="E14" s="99" t="s">
        <v>146</v>
      </c>
      <c r="F14" s="99" t="s">
        <v>147</v>
      </c>
      <c r="G14" s="100" t="s">
        <v>148</v>
      </c>
      <c r="H14" s="99" t="s">
        <v>149</v>
      </c>
      <c r="I14" s="99" t="s">
        <v>150</v>
      </c>
      <c r="J14" s="99" t="s">
        <v>151</v>
      </c>
      <c r="K14" s="99" t="s">
        <v>151</v>
      </c>
      <c r="L14" s="99" t="s">
        <v>152</v>
      </c>
      <c r="M14" s="101" t="s">
        <v>153</v>
      </c>
      <c r="N14" s="102" t="s">
        <v>154</v>
      </c>
      <c r="O14" s="215"/>
      <c r="P14" s="215"/>
      <c r="Q14" s="216"/>
    </row>
    <row r="15" spans="1:17" x14ac:dyDescent="0.25">
      <c r="A15" s="129">
        <v>2</v>
      </c>
      <c r="B15" s="129"/>
      <c r="C15" s="129"/>
      <c r="D15" s="129">
        <v>1</v>
      </c>
      <c r="E15" s="129"/>
      <c r="F15" s="129">
        <v>4901</v>
      </c>
      <c r="G15" s="129">
        <v>1</v>
      </c>
      <c r="H15" s="129">
        <v>3</v>
      </c>
      <c r="I15" s="129">
        <v>2</v>
      </c>
      <c r="J15" s="129">
        <v>3</v>
      </c>
      <c r="K15" s="129">
        <v>4</v>
      </c>
      <c r="L15" s="129"/>
      <c r="M15" s="129">
        <v>1</v>
      </c>
      <c r="N15" s="129" t="s">
        <v>155</v>
      </c>
      <c r="O15" s="229" t="s">
        <v>174</v>
      </c>
      <c r="P15" s="217"/>
      <c r="Q15" s="103">
        <v>35000</v>
      </c>
    </row>
    <row r="16" spans="1:17" x14ac:dyDescent="0.25">
      <c r="A16" s="129"/>
      <c r="B16" s="129"/>
      <c r="C16" s="129"/>
      <c r="D16" s="129"/>
      <c r="E16" s="129"/>
      <c r="F16" s="129"/>
      <c r="G16" s="129"/>
      <c r="H16" s="129"/>
      <c r="I16" s="105"/>
      <c r="J16" s="105"/>
      <c r="K16" s="105"/>
      <c r="L16" s="105"/>
      <c r="M16" s="106"/>
      <c r="N16" s="105"/>
      <c r="O16" s="237"/>
      <c r="P16" s="220"/>
      <c r="Q16" s="108"/>
    </row>
    <row r="17" spans="1:17" x14ac:dyDescent="0.25">
      <c r="A17" s="104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6"/>
      <c r="N17" s="148"/>
      <c r="O17" s="211"/>
      <c r="P17" s="211"/>
      <c r="Q17" s="108"/>
    </row>
    <row r="18" spans="1:17" x14ac:dyDescent="0.25">
      <c r="A18" s="104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6"/>
      <c r="N18" s="148"/>
      <c r="O18" s="211"/>
      <c r="P18" s="211"/>
      <c r="Q18" s="108"/>
    </row>
    <row r="19" spans="1:17" x14ac:dyDescent="0.25">
      <c r="A19" s="104"/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6"/>
      <c r="N19" s="148"/>
      <c r="O19" s="211"/>
      <c r="P19" s="211"/>
      <c r="Q19" s="108"/>
    </row>
    <row r="20" spans="1:17" x14ac:dyDescent="0.25">
      <c r="A20" s="104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6"/>
      <c r="N20" s="148"/>
      <c r="O20" s="211"/>
      <c r="P20" s="211"/>
      <c r="Q20" s="108"/>
    </row>
    <row r="21" spans="1:17" x14ac:dyDescent="0.25">
      <c r="A21" s="104"/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6"/>
      <c r="N21" s="148"/>
      <c r="O21" s="211"/>
      <c r="P21" s="211"/>
      <c r="Q21" s="108"/>
    </row>
    <row r="22" spans="1:17" x14ac:dyDescent="0.25">
      <c r="A22" s="104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6"/>
      <c r="N22" s="148"/>
      <c r="O22" s="211"/>
      <c r="P22" s="211"/>
      <c r="Q22" s="108"/>
    </row>
    <row r="23" spans="1:17" x14ac:dyDescent="0.25">
      <c r="A23" s="104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6"/>
      <c r="N23" s="148"/>
      <c r="O23" s="211"/>
      <c r="P23" s="211"/>
      <c r="Q23" s="108"/>
    </row>
    <row r="24" spans="1:17" x14ac:dyDescent="0.25">
      <c r="A24" s="104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6"/>
      <c r="N24" s="148"/>
      <c r="O24" s="211"/>
      <c r="P24" s="211"/>
      <c r="Q24" s="108"/>
    </row>
    <row r="25" spans="1:17" x14ac:dyDescent="0.25">
      <c r="A25" s="104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6"/>
      <c r="N25" s="148"/>
      <c r="O25" s="211"/>
      <c r="P25" s="211"/>
      <c r="Q25" s="108"/>
    </row>
    <row r="26" spans="1:17" x14ac:dyDescent="0.25">
      <c r="A26" s="104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6"/>
      <c r="N26" s="148"/>
      <c r="O26" s="211"/>
      <c r="P26" s="211"/>
      <c r="Q26" s="108"/>
    </row>
    <row r="27" spans="1:17" x14ac:dyDescent="0.25">
      <c r="A27" s="104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6"/>
      <c r="N27" s="148"/>
      <c r="O27" s="211"/>
      <c r="P27" s="211"/>
      <c r="Q27" s="108"/>
    </row>
    <row r="28" spans="1:17" x14ac:dyDescent="0.25">
      <c r="A28" s="104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6"/>
      <c r="N28" s="148"/>
      <c r="O28" s="211"/>
      <c r="P28" s="211"/>
      <c r="Q28" s="108"/>
    </row>
    <row r="29" spans="1:17" x14ac:dyDescent="0.25">
      <c r="A29" s="104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6"/>
      <c r="N29" s="148"/>
      <c r="O29" s="211"/>
      <c r="P29" s="211"/>
      <c r="Q29" s="108"/>
    </row>
    <row r="30" spans="1:17" x14ac:dyDescent="0.25">
      <c r="A30" s="104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6"/>
      <c r="N30" s="148"/>
      <c r="O30" s="211"/>
      <c r="P30" s="211"/>
      <c r="Q30" s="108"/>
    </row>
    <row r="31" spans="1:17" x14ac:dyDescent="0.25">
      <c r="A31" s="104"/>
      <c r="B31" s="105"/>
      <c r="C31" s="105"/>
      <c r="D31" s="105"/>
      <c r="E31" s="105"/>
      <c r="F31" s="148"/>
      <c r="G31" s="105"/>
      <c r="H31" s="105"/>
      <c r="I31" s="105"/>
      <c r="J31" s="105"/>
      <c r="K31" s="105"/>
      <c r="L31" s="105"/>
      <c r="M31" s="106"/>
      <c r="N31" s="148"/>
      <c r="O31" s="206"/>
      <c r="P31" s="206"/>
      <c r="Q31" s="108"/>
    </row>
    <row r="32" spans="1:17" x14ac:dyDescent="0.25">
      <c r="A32" s="104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6"/>
      <c r="N32" s="148"/>
      <c r="O32" s="206"/>
      <c r="P32" s="206"/>
      <c r="Q32" s="108"/>
    </row>
    <row r="33" spans="1:17" x14ac:dyDescent="0.25">
      <c r="A33" s="104"/>
      <c r="B33" s="105"/>
      <c r="C33" s="105"/>
      <c r="D33" s="105"/>
      <c r="E33" s="105"/>
      <c r="F33" s="148"/>
      <c r="G33" s="105"/>
      <c r="H33" s="105"/>
      <c r="I33" s="105"/>
      <c r="J33" s="105"/>
      <c r="K33" s="105"/>
      <c r="L33" s="105"/>
      <c r="M33" s="106"/>
      <c r="N33" s="148"/>
      <c r="O33" s="206"/>
      <c r="P33" s="206"/>
      <c r="Q33" s="108"/>
    </row>
    <row r="34" spans="1:17" x14ac:dyDescent="0.25">
      <c r="A34" s="104"/>
      <c r="B34" s="105"/>
      <c r="C34" s="105"/>
      <c r="D34" s="105"/>
      <c r="E34" s="105"/>
      <c r="F34" s="148"/>
      <c r="G34" s="105"/>
      <c r="H34" s="105"/>
      <c r="I34" s="105"/>
      <c r="J34" s="105"/>
      <c r="K34" s="105"/>
      <c r="L34" s="105"/>
      <c r="M34" s="106"/>
      <c r="N34" s="148"/>
      <c r="O34" s="206"/>
      <c r="P34" s="206"/>
      <c r="Q34" s="108"/>
    </row>
    <row r="35" spans="1:17" x14ac:dyDescent="0.25">
      <c r="A35" s="109"/>
      <c r="B35" s="110"/>
      <c r="C35" s="110"/>
      <c r="D35" s="110"/>
      <c r="E35" s="110"/>
      <c r="F35" s="111"/>
      <c r="G35" s="110"/>
      <c r="H35" s="110"/>
      <c r="I35" s="110"/>
      <c r="J35" s="110"/>
      <c r="K35" s="110"/>
      <c r="L35" s="110"/>
      <c r="M35" s="112"/>
      <c r="N35" s="113"/>
      <c r="O35" s="207"/>
      <c r="P35" s="207"/>
      <c r="Q35" s="108"/>
    </row>
    <row r="36" spans="1:17" ht="15.75" thickBot="1" x14ac:dyDescent="0.3">
      <c r="A36" s="114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6"/>
      <c r="N36" s="115"/>
      <c r="O36" s="208"/>
      <c r="P36" s="208"/>
      <c r="Q36" s="117"/>
    </row>
    <row r="37" spans="1:17" ht="15.75" thickBot="1" x14ac:dyDescent="0.3">
      <c r="A37" s="209" t="s">
        <v>191</v>
      </c>
      <c r="B37" s="209"/>
      <c r="C37" s="209"/>
      <c r="D37" s="209"/>
      <c r="E37" s="209"/>
      <c r="F37" s="209"/>
      <c r="G37" s="209"/>
      <c r="H37" s="209"/>
      <c r="I37" s="209"/>
      <c r="J37" s="209"/>
      <c r="K37" s="209"/>
      <c r="L37" s="209"/>
      <c r="M37" s="209"/>
      <c r="N37" s="209"/>
      <c r="O37" s="209"/>
      <c r="P37" s="209"/>
      <c r="Q37" s="118">
        <f>SUM(Q15:Q36)</f>
        <v>35000</v>
      </c>
    </row>
    <row r="38" spans="1:17" ht="15.75" thickBot="1" x14ac:dyDescent="0.3">
      <c r="A38" s="210"/>
      <c r="B38" s="210"/>
      <c r="C38" s="210"/>
      <c r="D38" s="210"/>
      <c r="E38" s="210"/>
      <c r="F38" s="210"/>
      <c r="G38" s="210"/>
      <c r="H38" s="210"/>
      <c r="I38" s="210"/>
      <c r="J38" s="210"/>
      <c r="K38" s="210"/>
      <c r="L38" s="210"/>
      <c r="M38" s="210"/>
      <c r="N38" s="210"/>
      <c r="O38" s="210"/>
      <c r="P38" s="210"/>
      <c r="Q38" s="210"/>
    </row>
    <row r="39" spans="1:17" ht="15.75" thickBot="1" x14ac:dyDescent="0.3">
      <c r="A39" s="203" t="s">
        <v>156</v>
      </c>
      <c r="B39" s="203"/>
      <c r="C39" s="203"/>
      <c r="D39" s="203"/>
      <c r="E39" s="203"/>
      <c r="F39" s="203"/>
      <c r="G39" s="204"/>
      <c r="H39" s="204"/>
      <c r="I39" s="204"/>
      <c r="J39" s="204"/>
      <c r="K39" s="204"/>
      <c r="L39" s="204"/>
      <c r="M39" s="204"/>
      <c r="N39" s="204"/>
      <c r="O39" s="204"/>
      <c r="P39" s="204"/>
      <c r="Q39" s="204"/>
    </row>
    <row r="40" spans="1:17" ht="15.75" thickBot="1" x14ac:dyDescent="0.3">
      <c r="A40" s="205" t="s">
        <v>158</v>
      </c>
      <c r="B40" s="205"/>
      <c r="C40" s="205"/>
      <c r="D40" s="205"/>
      <c r="E40" s="205"/>
      <c r="F40" s="205"/>
      <c r="G40" s="205"/>
      <c r="H40" s="205"/>
      <c r="I40" s="205"/>
      <c r="J40" s="205"/>
      <c r="K40" s="205"/>
      <c r="L40" s="205"/>
      <c r="M40" s="205"/>
      <c r="N40" s="205"/>
      <c r="O40" s="205"/>
      <c r="P40" s="205"/>
      <c r="Q40" s="205"/>
    </row>
    <row r="41" spans="1:17" ht="15.75" thickBot="1" x14ac:dyDescent="0.3">
      <c r="A41" s="205"/>
      <c r="B41" s="205"/>
      <c r="C41" s="205"/>
      <c r="D41" s="205"/>
      <c r="E41" s="205"/>
      <c r="F41" s="205"/>
      <c r="G41" s="205"/>
      <c r="H41" s="205"/>
      <c r="I41" s="205"/>
      <c r="J41" s="205"/>
      <c r="K41" s="205"/>
      <c r="L41" s="205"/>
      <c r="M41" s="205"/>
      <c r="N41" s="205"/>
      <c r="O41" s="205"/>
      <c r="P41" s="205"/>
      <c r="Q41" s="205"/>
    </row>
  </sheetData>
  <mergeCells count="45">
    <mergeCell ref="A40:Q41"/>
    <mergeCell ref="O34:P34"/>
    <mergeCell ref="O35:P35"/>
    <mergeCell ref="O36:P36"/>
    <mergeCell ref="A37:P37"/>
    <mergeCell ref="A38:Q38"/>
    <mergeCell ref="A39:F39"/>
    <mergeCell ref="G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pageSetup paperSize="9" scale="7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5"/>
  <sheetViews>
    <sheetView zoomScale="130" zoomScaleNormal="130" workbookViewId="0">
      <selection activeCell="C51" sqref="C51"/>
    </sheetView>
  </sheetViews>
  <sheetFormatPr baseColWidth="10" defaultRowHeight="15" x14ac:dyDescent="0.25"/>
  <cols>
    <col min="2" max="2" width="21.85546875" customWidth="1"/>
    <col min="3" max="3" width="53.140625" customWidth="1"/>
    <col min="6" max="6" width="17" customWidth="1"/>
    <col min="8" max="8" width="12.7109375" bestFit="1" customWidth="1"/>
  </cols>
  <sheetData>
    <row r="1" spans="1:8" ht="30.75" thickBot="1" x14ac:dyDescent="0.3">
      <c r="A1" s="201" t="s">
        <v>116</v>
      </c>
      <c r="B1" s="201"/>
      <c r="C1" s="201"/>
      <c r="D1" s="201"/>
      <c r="E1" s="201"/>
      <c r="F1" s="61" t="s">
        <v>117</v>
      </c>
      <c r="G1" s="62"/>
    </row>
    <row r="2" spans="1:8" ht="16.5" thickBot="1" x14ac:dyDescent="0.3">
      <c r="A2" s="63"/>
      <c r="B2" s="64"/>
      <c r="C2" s="65"/>
      <c r="D2" s="65"/>
      <c r="E2" s="65"/>
      <c r="F2" s="65"/>
      <c r="G2" s="66"/>
    </row>
    <row r="3" spans="1:8" ht="16.5" thickBot="1" x14ac:dyDescent="0.3">
      <c r="A3" s="202" t="s">
        <v>118</v>
      </c>
      <c r="B3" s="202"/>
      <c r="C3" s="67" t="str">
        <f>'[2]SAF 011'!C4</f>
        <v>040 - MINISTERIO DE SALUD</v>
      </c>
      <c r="D3" s="68"/>
      <c r="E3" s="68"/>
      <c r="F3" s="68"/>
      <c r="G3" s="69"/>
    </row>
    <row r="4" spans="1:8" ht="16.5" thickBot="1" x14ac:dyDescent="0.3">
      <c r="A4" s="200" t="s">
        <v>119</v>
      </c>
      <c r="B4" s="200"/>
      <c r="C4" s="67" t="str">
        <f>'[2]SAF 011'!C5</f>
        <v>011 - DIRECCION PROVINCIAL DE ADMINISTRACION - MINISTERIO DE SALUD</v>
      </c>
      <c r="D4" s="68"/>
      <c r="E4" s="68"/>
      <c r="F4" s="68"/>
      <c r="G4" s="69"/>
    </row>
    <row r="5" spans="1:8" ht="16.5" thickBot="1" x14ac:dyDescent="0.3">
      <c r="A5" s="200" t="s">
        <v>120</v>
      </c>
      <c r="B5" s="200"/>
      <c r="C5" s="67" t="s">
        <v>167</v>
      </c>
      <c r="D5" s="68"/>
      <c r="E5" s="68"/>
      <c r="F5" s="68"/>
      <c r="G5" s="69"/>
    </row>
    <row r="6" spans="1:8" ht="16.5" thickBot="1" x14ac:dyDescent="0.3">
      <c r="A6" s="202" t="s">
        <v>122</v>
      </c>
      <c r="B6" s="202"/>
      <c r="C6" s="67" t="s">
        <v>167</v>
      </c>
      <c r="D6" s="68"/>
      <c r="E6" s="68"/>
      <c r="F6" s="68"/>
      <c r="G6" s="69"/>
    </row>
    <row r="7" spans="1:8" ht="16.5" thickBot="1" x14ac:dyDescent="0.3">
      <c r="A7" s="200" t="s">
        <v>123</v>
      </c>
      <c r="B7" s="200"/>
      <c r="C7" s="67" t="s">
        <v>124</v>
      </c>
      <c r="D7" s="68"/>
      <c r="E7" s="68"/>
      <c r="F7" s="68"/>
      <c r="G7" s="69"/>
    </row>
    <row r="8" spans="1:8" ht="16.5" thickBot="1" x14ac:dyDescent="0.3">
      <c r="A8" s="198" t="s">
        <v>125</v>
      </c>
      <c r="B8" s="198"/>
      <c r="C8" s="70" t="s">
        <v>158</v>
      </c>
      <c r="D8" s="68"/>
      <c r="E8" s="68"/>
      <c r="F8" s="68"/>
      <c r="G8" s="69"/>
    </row>
    <row r="9" spans="1:8" ht="15.75" x14ac:dyDescent="0.25">
      <c r="A9" s="71"/>
      <c r="B9" s="72"/>
      <c r="C9" s="73"/>
      <c r="D9" s="73"/>
      <c r="E9" s="73"/>
      <c r="F9" s="73"/>
      <c r="G9" s="74"/>
    </row>
    <row r="10" spans="1:8" x14ac:dyDescent="0.25">
      <c r="A10" s="199" t="s">
        <v>126</v>
      </c>
      <c r="B10" s="197" t="s">
        <v>127</v>
      </c>
      <c r="C10" s="197" t="s">
        <v>161</v>
      </c>
      <c r="D10" s="197" t="s">
        <v>128</v>
      </c>
      <c r="E10" s="197" t="s">
        <v>129</v>
      </c>
      <c r="F10" s="197" t="s">
        <v>130</v>
      </c>
      <c r="G10" s="197" t="s">
        <v>131</v>
      </c>
    </row>
    <row r="11" spans="1:8" ht="32.25" customHeight="1" x14ac:dyDescent="0.25">
      <c r="A11" s="199"/>
      <c r="B11" s="197"/>
      <c r="C11" s="197"/>
      <c r="D11" s="197"/>
      <c r="E11" s="197"/>
      <c r="F11" s="197"/>
      <c r="G11" s="197"/>
    </row>
    <row r="12" spans="1:8" ht="38.25" x14ac:dyDescent="0.25">
      <c r="A12" s="75">
        <v>1</v>
      </c>
      <c r="B12" s="49" t="s">
        <v>73</v>
      </c>
      <c r="C12" s="50" t="s">
        <v>74</v>
      </c>
      <c r="D12" s="135" t="s">
        <v>132</v>
      </c>
      <c r="E12" s="29" t="s">
        <v>15</v>
      </c>
      <c r="F12" s="51">
        <v>1400</v>
      </c>
      <c r="G12" s="38">
        <v>4</v>
      </c>
      <c r="H12" s="163">
        <f>+G12*F12</f>
        <v>5600</v>
      </c>
    </row>
    <row r="13" spans="1:8" ht="38.25" x14ac:dyDescent="0.25">
      <c r="A13" s="75">
        <v>2</v>
      </c>
      <c r="B13" s="49" t="s">
        <v>75</v>
      </c>
      <c r="C13" s="50" t="s">
        <v>76</v>
      </c>
      <c r="D13" s="135" t="s">
        <v>132</v>
      </c>
      <c r="E13" s="29" t="s">
        <v>16</v>
      </c>
      <c r="F13" s="51">
        <v>1400</v>
      </c>
      <c r="G13" s="38">
        <v>13</v>
      </c>
      <c r="H13" s="163">
        <f>+G13*F13</f>
        <v>18200</v>
      </c>
    </row>
    <row r="14" spans="1:8" ht="37.5" customHeight="1" x14ac:dyDescent="0.25">
      <c r="A14" s="195" t="s">
        <v>192</v>
      </c>
      <c r="B14" s="195"/>
      <c r="C14" s="195"/>
      <c r="D14" s="195"/>
      <c r="E14" s="195"/>
      <c r="F14" s="196">
        <f>+H12+H13</f>
        <v>23800</v>
      </c>
      <c r="G14" s="196"/>
    </row>
    <row r="15" spans="1:8" x14ac:dyDescent="0.25">
      <c r="A15" s="23"/>
      <c r="B15" s="23"/>
      <c r="C15" s="23"/>
      <c r="D15" s="23"/>
      <c r="E15" s="23"/>
      <c r="F15" s="23"/>
      <c r="G15" s="23"/>
    </row>
  </sheetData>
  <mergeCells count="16">
    <mergeCell ref="A7:B7"/>
    <mergeCell ref="A1:E1"/>
    <mergeCell ref="A3:B3"/>
    <mergeCell ref="A4:B4"/>
    <mergeCell ref="A5:B5"/>
    <mergeCell ref="A6:B6"/>
    <mergeCell ref="F10:F11"/>
    <mergeCell ref="G10:G11"/>
    <mergeCell ref="A14:E14"/>
    <mergeCell ref="F14:G14"/>
    <mergeCell ref="A8:B8"/>
    <mergeCell ref="A10:A11"/>
    <mergeCell ref="B10:B11"/>
    <mergeCell ref="C10:C11"/>
    <mergeCell ref="D10:D11"/>
    <mergeCell ref="E10:E11"/>
  </mergeCells>
  <conditionalFormatting sqref="B12:B13">
    <cfRule type="duplicateValues" dxfId="41" priority="617"/>
  </conditionalFormatting>
  <conditionalFormatting sqref="B12:B13">
    <cfRule type="duplicateValues" dxfId="40" priority="618"/>
  </conditionalFormatting>
  <conditionalFormatting sqref="B12:B13">
    <cfRule type="duplicateValues" dxfId="39" priority="619"/>
  </conditionalFormatting>
  <conditionalFormatting sqref="B12:B13">
    <cfRule type="duplicateValues" dxfId="38" priority="620"/>
  </conditionalFormatting>
  <conditionalFormatting sqref="C12:C13">
    <cfRule type="duplicateValues" dxfId="37" priority="621"/>
  </conditionalFormatting>
  <conditionalFormatting sqref="C12:C13">
    <cfRule type="duplicateValues" dxfId="36" priority="622"/>
    <cfRule type="duplicateValues" dxfId="35" priority="623"/>
  </conditionalFormatting>
  <conditionalFormatting sqref="C12:C13">
    <cfRule type="duplicateValues" dxfId="34" priority="624"/>
  </conditionalFormatting>
  <conditionalFormatting sqref="C12:C13">
    <cfRule type="duplicateValues" dxfId="33" priority="625"/>
  </conditionalFormatting>
  <conditionalFormatting sqref="C12:C13">
    <cfRule type="duplicateValues" dxfId="32" priority="626"/>
  </conditionalFormatting>
  <pageMargins left="0.70866141732283472" right="0.70866141732283472" top="0.74803149606299213" bottom="0.74803149606299213" header="0.31496062992125984" footer="0.31496062992125984"/>
  <pageSetup paperSize="5" scale="9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Q41"/>
  <sheetViews>
    <sheetView topLeftCell="A19" zoomScaleNormal="100" workbookViewId="0">
      <selection activeCell="C51" sqref="C51"/>
    </sheetView>
  </sheetViews>
  <sheetFormatPr baseColWidth="10" defaultRowHeight="15" x14ac:dyDescent="0.25"/>
  <cols>
    <col min="1" max="14" width="6.28515625" customWidth="1"/>
    <col min="16" max="16" width="24.140625" customWidth="1"/>
    <col min="17" max="17" width="24" customWidth="1"/>
  </cols>
  <sheetData>
    <row r="1" spans="1:17" ht="15.75" thickBot="1" x14ac:dyDescent="0.3">
      <c r="A1" s="222" t="s">
        <v>5</v>
      </c>
      <c r="B1" s="222"/>
      <c r="C1" s="222"/>
      <c r="D1" s="223">
        <v>2022</v>
      </c>
      <c r="E1" s="223"/>
      <c r="F1" s="86"/>
      <c r="G1" s="86"/>
      <c r="H1" s="87"/>
      <c r="I1" s="87"/>
      <c r="J1" s="87"/>
      <c r="K1" s="87"/>
      <c r="L1" s="87"/>
      <c r="M1" s="87"/>
      <c r="N1" s="87"/>
      <c r="O1" s="88"/>
      <c r="P1" s="224" t="s">
        <v>133</v>
      </c>
      <c r="Q1" s="224"/>
    </row>
    <row r="2" spans="1:17" ht="15.75" thickBot="1" x14ac:dyDescent="0.3">
      <c r="A2" s="89"/>
      <c r="B2" s="90"/>
      <c r="C2" s="90"/>
      <c r="D2" s="90"/>
      <c r="E2" s="90"/>
      <c r="F2" s="90"/>
      <c r="G2" s="91"/>
      <c r="H2" s="92"/>
      <c r="I2" s="92"/>
      <c r="J2" s="92"/>
      <c r="K2" s="92"/>
      <c r="L2" s="92"/>
      <c r="M2" s="92"/>
      <c r="N2" s="92"/>
      <c r="O2" s="90"/>
      <c r="P2" s="224"/>
      <c r="Q2" s="224"/>
    </row>
    <row r="3" spans="1:17" ht="15.75" thickBot="1" x14ac:dyDescent="0.3">
      <c r="A3" s="89"/>
      <c r="B3" s="90"/>
      <c r="C3" s="90"/>
      <c r="D3" s="90"/>
      <c r="E3" s="90"/>
      <c r="F3" s="90"/>
      <c r="G3" s="91"/>
      <c r="H3" s="90"/>
      <c r="I3" s="90"/>
      <c r="J3" s="90"/>
      <c r="K3" s="90"/>
      <c r="L3" s="90"/>
      <c r="M3" s="90"/>
      <c r="N3" s="90"/>
      <c r="O3" s="90"/>
      <c r="P3" s="90"/>
      <c r="Q3" s="93"/>
    </row>
    <row r="4" spans="1:17" ht="15.75" thickBot="1" x14ac:dyDescent="0.3">
      <c r="A4" s="225" t="s">
        <v>134</v>
      </c>
      <c r="B4" s="225"/>
      <c r="C4" s="225"/>
      <c r="D4" s="225"/>
      <c r="E4" s="225"/>
      <c r="F4" s="225"/>
      <c r="G4" s="226" t="str">
        <f>'[1]NP DPBS'!D3</f>
        <v>040 - MINISTERIO DE SALUD</v>
      </c>
      <c r="H4" s="226"/>
      <c r="I4" s="226"/>
      <c r="J4" s="226"/>
      <c r="K4" s="226"/>
      <c r="L4" s="226"/>
      <c r="M4" s="226"/>
      <c r="N4" s="226"/>
      <c r="O4" s="226"/>
      <c r="P4" s="226"/>
      <c r="Q4" s="226"/>
    </row>
    <row r="5" spans="1:17" ht="15.75" thickBot="1" x14ac:dyDescent="0.3">
      <c r="A5" s="227" t="s">
        <v>119</v>
      </c>
      <c r="B5" s="227"/>
      <c r="C5" s="227"/>
      <c r="D5" s="227"/>
      <c r="E5" s="227"/>
      <c r="F5" s="227"/>
      <c r="G5" s="226" t="str">
        <f>'[1]NP DPBS'!D4</f>
        <v>011 - DIRECCION PROVINCIAL DE ADMINISTRACION - MINISTERIO DE SALUD</v>
      </c>
      <c r="H5" s="226"/>
      <c r="I5" s="226"/>
      <c r="J5" s="226"/>
      <c r="K5" s="226"/>
      <c r="L5" s="226"/>
      <c r="M5" s="226"/>
      <c r="N5" s="226"/>
      <c r="O5" s="226"/>
      <c r="P5" s="226"/>
      <c r="Q5" s="226"/>
    </row>
    <row r="6" spans="1:17" ht="15.75" thickBot="1" x14ac:dyDescent="0.3">
      <c r="A6" s="227" t="s">
        <v>120</v>
      </c>
      <c r="B6" s="227"/>
      <c r="C6" s="227"/>
      <c r="D6" s="227"/>
      <c r="E6" s="227"/>
      <c r="F6" s="227"/>
      <c r="G6" s="226" t="s">
        <v>167</v>
      </c>
      <c r="H6" s="226"/>
      <c r="I6" s="226"/>
      <c r="J6" s="226"/>
      <c r="K6" s="226"/>
      <c r="L6" s="226"/>
      <c r="M6" s="226"/>
      <c r="N6" s="226"/>
      <c r="O6" s="226"/>
      <c r="P6" s="226"/>
      <c r="Q6" s="226"/>
    </row>
    <row r="7" spans="1:17" ht="15.75" thickBot="1" x14ac:dyDescent="0.3">
      <c r="A7" s="227" t="s">
        <v>122</v>
      </c>
      <c r="B7" s="227"/>
      <c r="C7" s="227"/>
      <c r="D7" s="227"/>
      <c r="E7" s="227"/>
      <c r="F7" s="227"/>
      <c r="G7" s="226" t="s">
        <v>167</v>
      </c>
      <c r="H7" s="226"/>
      <c r="I7" s="226"/>
      <c r="J7" s="226"/>
      <c r="K7" s="226"/>
      <c r="L7" s="226"/>
      <c r="M7" s="226"/>
      <c r="N7" s="226"/>
      <c r="O7" s="226"/>
      <c r="P7" s="226"/>
      <c r="Q7" s="226"/>
    </row>
    <row r="8" spans="1:17" ht="15.75" thickBot="1" x14ac:dyDescent="0.3">
      <c r="A8" s="228" t="s">
        <v>135</v>
      </c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  <c r="M8" s="228"/>
      <c r="N8" s="228"/>
      <c r="O8" s="228"/>
      <c r="P8" s="228"/>
      <c r="Q8" s="228"/>
    </row>
    <row r="9" spans="1:17" x14ac:dyDescent="0.25">
      <c r="A9" s="221" t="s">
        <v>136</v>
      </c>
      <c r="B9" s="221"/>
      <c r="C9" s="221"/>
      <c r="D9" s="221"/>
      <c r="E9" s="221"/>
      <c r="F9" s="221"/>
      <c r="G9" s="221"/>
      <c r="H9" s="221"/>
      <c r="I9" s="221"/>
      <c r="J9" s="221"/>
      <c r="K9" s="221"/>
      <c r="L9" s="221"/>
      <c r="M9" s="221"/>
      <c r="N9" s="221"/>
      <c r="O9" s="221"/>
      <c r="P9" s="221"/>
      <c r="Q9" s="221"/>
    </row>
    <row r="10" spans="1:17" ht="32.25" customHeight="1" x14ac:dyDescent="0.25">
      <c r="A10" s="212" t="s">
        <v>137</v>
      </c>
      <c r="B10" s="212"/>
      <c r="C10" s="212"/>
      <c r="D10" s="212"/>
      <c r="E10" s="212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</row>
    <row r="11" spans="1:17" ht="15.75" thickBot="1" x14ac:dyDescent="0.3">
      <c r="A11" s="94"/>
      <c r="B11" s="95"/>
      <c r="C11" s="95"/>
      <c r="D11" s="95"/>
      <c r="E11" s="95"/>
      <c r="F11" s="95"/>
      <c r="G11" s="96"/>
      <c r="H11" s="95"/>
      <c r="I11" s="95"/>
      <c r="J11" s="95"/>
      <c r="K11" s="95"/>
      <c r="L11" s="95"/>
      <c r="M11" s="95"/>
      <c r="N11" s="95"/>
      <c r="O11" s="95"/>
      <c r="P11" s="95"/>
      <c r="Q11" s="97"/>
    </row>
    <row r="12" spans="1:17" ht="15.75" thickBot="1" x14ac:dyDescent="0.3">
      <c r="A12" s="213" t="s">
        <v>138</v>
      </c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</row>
    <row r="13" spans="1:17" ht="15.75" thickBot="1" x14ac:dyDescent="0.3">
      <c r="A13" s="214" t="s">
        <v>139</v>
      </c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5" t="s">
        <v>140</v>
      </c>
      <c r="P13" s="215"/>
      <c r="Q13" s="216" t="s">
        <v>141</v>
      </c>
    </row>
    <row r="14" spans="1:17" ht="15.75" thickBot="1" x14ac:dyDescent="0.3">
      <c r="A14" s="98" t="s">
        <v>142</v>
      </c>
      <c r="B14" s="99" t="s">
        <v>143</v>
      </c>
      <c r="C14" s="99" t="s">
        <v>144</v>
      </c>
      <c r="D14" s="99" t="s">
        <v>145</v>
      </c>
      <c r="E14" s="99" t="s">
        <v>146</v>
      </c>
      <c r="F14" s="99" t="s">
        <v>147</v>
      </c>
      <c r="G14" s="100" t="s">
        <v>148</v>
      </c>
      <c r="H14" s="99" t="s">
        <v>149</v>
      </c>
      <c r="I14" s="99" t="s">
        <v>150</v>
      </c>
      <c r="J14" s="99" t="s">
        <v>151</v>
      </c>
      <c r="K14" s="99" t="s">
        <v>151</v>
      </c>
      <c r="L14" s="99" t="s">
        <v>152</v>
      </c>
      <c r="M14" s="101" t="s">
        <v>153</v>
      </c>
      <c r="N14" s="102" t="s">
        <v>154</v>
      </c>
      <c r="O14" s="215"/>
      <c r="P14" s="215"/>
      <c r="Q14" s="216"/>
    </row>
    <row r="15" spans="1:17" x14ac:dyDescent="0.25">
      <c r="A15" s="129">
        <v>28</v>
      </c>
      <c r="B15" s="129"/>
      <c r="C15" s="129"/>
      <c r="D15" s="129">
        <v>1</v>
      </c>
      <c r="E15" s="129"/>
      <c r="F15" s="129">
        <v>4901</v>
      </c>
      <c r="G15" s="129">
        <v>3</v>
      </c>
      <c r="H15" s="129">
        <v>1</v>
      </c>
      <c r="I15" s="129">
        <v>2</v>
      </c>
      <c r="J15" s="129">
        <v>3</v>
      </c>
      <c r="K15" s="129">
        <v>4</v>
      </c>
      <c r="L15" s="129"/>
      <c r="M15" s="129">
        <v>1</v>
      </c>
      <c r="N15" s="129" t="s">
        <v>155</v>
      </c>
      <c r="O15" s="229" t="s">
        <v>174</v>
      </c>
      <c r="P15" s="217"/>
      <c r="Q15" s="103">
        <v>23800</v>
      </c>
    </row>
    <row r="16" spans="1:17" x14ac:dyDescent="0.25">
      <c r="A16" s="104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6"/>
      <c r="N16" s="138"/>
      <c r="O16" s="211"/>
      <c r="P16" s="211"/>
      <c r="Q16" s="108"/>
    </row>
    <row r="17" spans="1:17" x14ac:dyDescent="0.25">
      <c r="A17" s="104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6"/>
      <c r="N17" s="138"/>
      <c r="O17" s="211"/>
      <c r="P17" s="211"/>
      <c r="Q17" s="108"/>
    </row>
    <row r="18" spans="1:17" x14ac:dyDescent="0.25">
      <c r="A18" s="104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6"/>
      <c r="N18" s="138"/>
      <c r="O18" s="211"/>
      <c r="P18" s="211"/>
      <c r="Q18" s="108"/>
    </row>
    <row r="19" spans="1:17" x14ac:dyDescent="0.25">
      <c r="A19" s="104"/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6"/>
      <c r="N19" s="138"/>
      <c r="O19" s="211"/>
      <c r="P19" s="211"/>
      <c r="Q19" s="108"/>
    </row>
    <row r="20" spans="1:17" x14ac:dyDescent="0.25">
      <c r="A20" s="104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6"/>
      <c r="N20" s="138"/>
      <c r="O20" s="211"/>
      <c r="P20" s="211"/>
      <c r="Q20" s="108"/>
    </row>
    <row r="21" spans="1:17" x14ac:dyDescent="0.25">
      <c r="A21" s="104"/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6"/>
      <c r="N21" s="138"/>
      <c r="O21" s="211"/>
      <c r="P21" s="211"/>
      <c r="Q21" s="108"/>
    </row>
    <row r="22" spans="1:17" x14ac:dyDescent="0.25">
      <c r="A22" s="104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6"/>
      <c r="N22" s="138"/>
      <c r="O22" s="211"/>
      <c r="P22" s="211"/>
      <c r="Q22" s="108"/>
    </row>
    <row r="23" spans="1:17" x14ac:dyDescent="0.25">
      <c r="A23" s="104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6"/>
      <c r="N23" s="138"/>
      <c r="O23" s="211"/>
      <c r="P23" s="211"/>
      <c r="Q23" s="108"/>
    </row>
    <row r="24" spans="1:17" x14ac:dyDescent="0.25">
      <c r="A24" s="104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6"/>
      <c r="N24" s="138"/>
      <c r="O24" s="211"/>
      <c r="P24" s="211"/>
      <c r="Q24" s="108"/>
    </row>
    <row r="25" spans="1:17" x14ac:dyDescent="0.25">
      <c r="A25" s="104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6"/>
      <c r="N25" s="138"/>
      <c r="O25" s="211"/>
      <c r="P25" s="211"/>
      <c r="Q25" s="108"/>
    </row>
    <row r="26" spans="1:17" x14ac:dyDescent="0.25">
      <c r="A26" s="104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6"/>
      <c r="N26" s="138"/>
      <c r="O26" s="211"/>
      <c r="P26" s="211"/>
      <c r="Q26" s="108"/>
    </row>
    <row r="27" spans="1:17" x14ac:dyDescent="0.25">
      <c r="A27" s="104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6"/>
      <c r="N27" s="138"/>
      <c r="O27" s="211"/>
      <c r="P27" s="211"/>
      <c r="Q27" s="108"/>
    </row>
    <row r="28" spans="1:17" x14ac:dyDescent="0.25">
      <c r="A28" s="104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6"/>
      <c r="N28" s="138"/>
      <c r="O28" s="211"/>
      <c r="P28" s="211"/>
      <c r="Q28" s="108"/>
    </row>
    <row r="29" spans="1:17" x14ac:dyDescent="0.25">
      <c r="A29" s="104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6"/>
      <c r="N29" s="138"/>
      <c r="O29" s="211"/>
      <c r="P29" s="211"/>
      <c r="Q29" s="108"/>
    </row>
    <row r="30" spans="1:17" x14ac:dyDescent="0.25">
      <c r="A30" s="104"/>
      <c r="B30" s="105"/>
      <c r="C30" s="105"/>
      <c r="D30" s="105"/>
      <c r="E30" s="105"/>
      <c r="F30" s="138"/>
      <c r="G30" s="105"/>
      <c r="H30" s="105"/>
      <c r="I30" s="105"/>
      <c r="J30" s="105"/>
      <c r="K30" s="105"/>
      <c r="L30" s="105"/>
      <c r="M30" s="106"/>
      <c r="N30" s="138"/>
      <c r="O30" s="206"/>
      <c r="P30" s="206"/>
      <c r="Q30" s="108"/>
    </row>
    <row r="31" spans="1:17" x14ac:dyDescent="0.25">
      <c r="A31" s="104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6"/>
      <c r="N31" s="138"/>
      <c r="O31" s="206"/>
      <c r="P31" s="206"/>
      <c r="Q31" s="108"/>
    </row>
    <row r="32" spans="1:17" x14ac:dyDescent="0.25">
      <c r="A32" s="104"/>
      <c r="B32" s="105"/>
      <c r="C32" s="105"/>
      <c r="D32" s="105"/>
      <c r="E32" s="105"/>
      <c r="F32" s="138"/>
      <c r="G32" s="105"/>
      <c r="H32" s="105"/>
      <c r="I32" s="105"/>
      <c r="J32" s="105"/>
      <c r="K32" s="105"/>
      <c r="L32" s="105"/>
      <c r="M32" s="106"/>
      <c r="N32" s="138"/>
      <c r="O32" s="206"/>
      <c r="P32" s="206"/>
      <c r="Q32" s="108"/>
    </row>
    <row r="33" spans="1:17" x14ac:dyDescent="0.25">
      <c r="A33" s="104"/>
      <c r="B33" s="105"/>
      <c r="C33" s="105"/>
      <c r="D33" s="105"/>
      <c r="E33" s="105"/>
      <c r="F33" s="138"/>
      <c r="G33" s="105"/>
      <c r="H33" s="105"/>
      <c r="I33" s="105"/>
      <c r="J33" s="105"/>
      <c r="K33" s="105"/>
      <c r="L33" s="105"/>
      <c r="M33" s="106"/>
      <c r="N33" s="138"/>
      <c r="O33" s="206"/>
      <c r="P33" s="206"/>
      <c r="Q33" s="108"/>
    </row>
    <row r="34" spans="1:17" x14ac:dyDescent="0.25">
      <c r="A34" s="109"/>
      <c r="B34" s="110"/>
      <c r="C34" s="110"/>
      <c r="D34" s="110"/>
      <c r="E34" s="110"/>
      <c r="F34" s="111"/>
      <c r="G34" s="110"/>
      <c r="H34" s="110"/>
      <c r="I34" s="110"/>
      <c r="J34" s="110"/>
      <c r="K34" s="110"/>
      <c r="L34" s="110"/>
      <c r="M34" s="112"/>
      <c r="N34" s="113"/>
      <c r="O34" s="207"/>
      <c r="P34" s="207"/>
      <c r="Q34" s="108"/>
    </row>
    <row r="35" spans="1:17" ht="15.75" thickBot="1" x14ac:dyDescent="0.3">
      <c r="A35" s="114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6"/>
      <c r="N35" s="115"/>
      <c r="O35" s="208"/>
      <c r="P35" s="208"/>
      <c r="Q35" s="117"/>
    </row>
    <row r="36" spans="1:17" ht="15.75" thickBot="1" x14ac:dyDescent="0.3">
      <c r="A36" s="209" t="s">
        <v>193</v>
      </c>
      <c r="B36" s="209"/>
      <c r="C36" s="209"/>
      <c r="D36" s="209"/>
      <c r="E36" s="209"/>
      <c r="F36" s="209"/>
      <c r="G36" s="209"/>
      <c r="H36" s="209"/>
      <c r="I36" s="209"/>
      <c r="J36" s="209"/>
      <c r="K36" s="209"/>
      <c r="L36" s="209"/>
      <c r="M36" s="209"/>
      <c r="N36" s="209"/>
      <c r="O36" s="209"/>
      <c r="P36" s="209"/>
      <c r="Q36" s="118">
        <f>SUM(Q15:Q35)</f>
        <v>23800</v>
      </c>
    </row>
    <row r="37" spans="1:17" ht="15.75" thickBot="1" x14ac:dyDescent="0.3">
      <c r="A37" s="210"/>
      <c r="B37" s="210"/>
      <c r="C37" s="210"/>
      <c r="D37" s="210"/>
      <c r="E37" s="210"/>
      <c r="F37" s="210"/>
      <c r="G37" s="210"/>
      <c r="H37" s="210"/>
      <c r="I37" s="210"/>
      <c r="J37" s="210"/>
      <c r="K37" s="210"/>
      <c r="L37" s="210"/>
      <c r="M37" s="210"/>
      <c r="N37" s="210"/>
      <c r="O37" s="210"/>
      <c r="P37" s="210"/>
      <c r="Q37" s="210"/>
    </row>
    <row r="38" spans="1:17" ht="15.75" thickBot="1" x14ac:dyDescent="0.3">
      <c r="A38" s="203" t="s">
        <v>156</v>
      </c>
      <c r="B38" s="203"/>
      <c r="C38" s="203"/>
      <c r="D38" s="203"/>
      <c r="E38" s="203"/>
      <c r="F38" s="203"/>
      <c r="G38" s="204"/>
      <c r="H38" s="204"/>
      <c r="I38" s="204"/>
      <c r="J38" s="204"/>
      <c r="K38" s="204"/>
      <c r="L38" s="204"/>
      <c r="M38" s="204"/>
      <c r="N38" s="204"/>
      <c r="O38" s="204"/>
      <c r="P38" s="204"/>
      <c r="Q38" s="204"/>
    </row>
    <row r="39" spans="1:17" ht="15.75" thickBot="1" x14ac:dyDescent="0.3">
      <c r="A39" s="205" t="s">
        <v>158</v>
      </c>
      <c r="B39" s="205"/>
      <c r="C39" s="205"/>
      <c r="D39" s="205"/>
      <c r="E39" s="205"/>
      <c r="F39" s="205"/>
      <c r="G39" s="205"/>
      <c r="H39" s="205"/>
      <c r="I39" s="205"/>
      <c r="J39" s="205"/>
      <c r="K39" s="205"/>
      <c r="L39" s="205"/>
      <c r="M39" s="205"/>
      <c r="N39" s="205"/>
      <c r="O39" s="205"/>
      <c r="P39" s="205"/>
      <c r="Q39" s="205"/>
    </row>
    <row r="40" spans="1:17" ht="15.75" thickBot="1" x14ac:dyDescent="0.3">
      <c r="A40" s="205"/>
      <c r="B40" s="205"/>
      <c r="C40" s="205"/>
      <c r="D40" s="205"/>
      <c r="E40" s="205"/>
      <c r="F40" s="205"/>
      <c r="G40" s="205"/>
      <c r="H40" s="205"/>
      <c r="I40" s="205"/>
      <c r="J40" s="205"/>
      <c r="K40" s="205"/>
      <c r="L40" s="205"/>
      <c r="M40" s="205"/>
      <c r="N40" s="205"/>
      <c r="O40" s="205"/>
      <c r="P40" s="205"/>
      <c r="Q40" s="205"/>
    </row>
    <row r="41" spans="1:17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</row>
  </sheetData>
  <mergeCells count="44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Q9"/>
    <mergeCell ref="A10:Q10"/>
    <mergeCell ref="A12:Q12"/>
    <mergeCell ref="A13:N13"/>
    <mergeCell ref="O13:P14"/>
    <mergeCell ref="Q13:Q14"/>
    <mergeCell ref="O16:P16"/>
    <mergeCell ref="O17:P17"/>
    <mergeCell ref="O18:P18"/>
    <mergeCell ref="O19:P19"/>
    <mergeCell ref="O20:P20"/>
    <mergeCell ref="O32:P32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A39:Q40"/>
    <mergeCell ref="O33:P33"/>
    <mergeCell ref="O34:P34"/>
    <mergeCell ref="O35:P35"/>
    <mergeCell ref="A36:P36"/>
    <mergeCell ref="A37:Q37"/>
    <mergeCell ref="A38:F38"/>
    <mergeCell ref="G38:Q38"/>
  </mergeCells>
  <pageMargins left="0.7" right="0.7" top="0.75" bottom="0.75" header="0.3" footer="0.3"/>
  <pageSetup paperSize="5" scale="61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J34"/>
  <sheetViews>
    <sheetView topLeftCell="C1" zoomScale="120" zoomScaleNormal="120" workbookViewId="0">
      <selection activeCell="C51" sqref="C51"/>
    </sheetView>
  </sheetViews>
  <sheetFormatPr baseColWidth="10" defaultRowHeight="15" x14ac:dyDescent="0.25"/>
  <cols>
    <col min="2" max="2" width="22.28515625" customWidth="1"/>
    <col min="3" max="3" width="62.85546875" customWidth="1"/>
    <col min="6" max="6" width="17.7109375" customWidth="1"/>
    <col min="8" max="8" width="17.7109375" customWidth="1"/>
    <col min="10" max="10" width="12.7109375" bestFit="1" customWidth="1"/>
  </cols>
  <sheetData>
    <row r="1" spans="1:10" ht="30.75" thickBot="1" x14ac:dyDescent="0.3">
      <c r="A1" s="201" t="s">
        <v>116</v>
      </c>
      <c r="B1" s="201"/>
      <c r="C1" s="201"/>
      <c r="D1" s="201"/>
      <c r="E1" s="201"/>
      <c r="F1" s="61" t="s">
        <v>117</v>
      </c>
      <c r="G1" s="62"/>
    </row>
    <row r="2" spans="1:10" ht="16.5" thickBot="1" x14ac:dyDescent="0.3">
      <c r="A2" s="63"/>
      <c r="B2" s="64"/>
      <c r="C2" s="65"/>
      <c r="D2" s="65"/>
      <c r="E2" s="65"/>
      <c r="F2" s="65"/>
      <c r="G2" s="66"/>
    </row>
    <row r="3" spans="1:10" ht="16.5" thickBot="1" x14ac:dyDescent="0.3">
      <c r="A3" s="202" t="s">
        <v>118</v>
      </c>
      <c r="B3" s="202"/>
      <c r="C3" s="67" t="str">
        <f>'[2]SAF 011'!C4</f>
        <v>040 - MINISTERIO DE SALUD</v>
      </c>
      <c r="D3" s="68"/>
      <c r="E3" s="68"/>
      <c r="F3" s="68"/>
      <c r="G3" s="69"/>
    </row>
    <row r="4" spans="1:10" ht="16.5" thickBot="1" x14ac:dyDescent="0.3">
      <c r="A4" s="200" t="s">
        <v>119</v>
      </c>
      <c r="B4" s="200"/>
      <c r="C4" s="67" t="str">
        <f>'[2]SAF 011'!C5</f>
        <v>011 - DIRECCION PROVINCIAL DE ADMINISTRACION - MINISTERIO DE SALUD</v>
      </c>
      <c r="D4" s="68"/>
      <c r="E4" s="68"/>
      <c r="F4" s="68"/>
      <c r="G4" s="69"/>
    </row>
    <row r="5" spans="1:10" ht="16.5" thickBot="1" x14ac:dyDescent="0.3">
      <c r="A5" s="200" t="s">
        <v>120</v>
      </c>
      <c r="B5" s="200"/>
      <c r="C5" s="67" t="s">
        <v>169</v>
      </c>
      <c r="D5" s="68"/>
      <c r="E5" s="68"/>
      <c r="F5" s="68"/>
      <c r="G5" s="69"/>
    </row>
    <row r="6" spans="1:10" ht="16.5" thickBot="1" x14ac:dyDescent="0.3">
      <c r="A6" s="202" t="s">
        <v>122</v>
      </c>
      <c r="B6" s="202"/>
      <c r="C6" s="67" t="s">
        <v>169</v>
      </c>
      <c r="D6" s="68"/>
      <c r="E6" s="68"/>
      <c r="F6" s="68"/>
      <c r="G6" s="69"/>
    </row>
    <row r="7" spans="1:10" ht="16.5" thickBot="1" x14ac:dyDescent="0.3">
      <c r="A7" s="200" t="s">
        <v>123</v>
      </c>
      <c r="B7" s="200"/>
      <c r="C7" s="67" t="s">
        <v>124</v>
      </c>
      <c r="D7" s="68"/>
      <c r="E7" s="68"/>
      <c r="F7" s="68"/>
      <c r="G7" s="69"/>
    </row>
    <row r="8" spans="1:10" ht="16.5" thickBot="1" x14ac:dyDescent="0.3">
      <c r="A8" s="198" t="s">
        <v>125</v>
      </c>
      <c r="B8" s="198"/>
      <c r="C8" s="70" t="s">
        <v>158</v>
      </c>
      <c r="D8" s="68"/>
      <c r="E8" s="68"/>
      <c r="F8" s="68"/>
      <c r="G8" s="69"/>
    </row>
    <row r="9" spans="1:10" ht="15.75" x14ac:dyDescent="0.25">
      <c r="A9" s="71"/>
      <c r="B9" s="72"/>
      <c r="C9" s="73"/>
      <c r="D9" s="73"/>
      <c r="E9" s="73"/>
      <c r="F9" s="73"/>
      <c r="G9" s="74"/>
    </row>
    <row r="10" spans="1:10" x14ac:dyDescent="0.25">
      <c r="A10" s="199" t="s">
        <v>126</v>
      </c>
      <c r="B10" s="197" t="s">
        <v>127</v>
      </c>
      <c r="C10" s="197" t="s">
        <v>161</v>
      </c>
      <c r="D10" s="197" t="s">
        <v>128</v>
      </c>
      <c r="E10" s="197" t="s">
        <v>129</v>
      </c>
      <c r="F10" s="197" t="s">
        <v>130</v>
      </c>
      <c r="G10" s="197" t="s">
        <v>131</v>
      </c>
    </row>
    <row r="11" spans="1:10" ht="28.5" customHeight="1" x14ac:dyDescent="0.25">
      <c r="A11" s="199"/>
      <c r="B11" s="197"/>
      <c r="C11" s="197"/>
      <c r="D11" s="197"/>
      <c r="E11" s="197"/>
      <c r="F11" s="197"/>
      <c r="G11" s="197"/>
    </row>
    <row r="12" spans="1:10" ht="25.5" x14ac:dyDescent="0.25">
      <c r="A12" s="141">
        <v>1</v>
      </c>
      <c r="B12" s="78" t="s">
        <v>19</v>
      </c>
      <c r="C12" s="79" t="s">
        <v>21</v>
      </c>
      <c r="D12" s="135" t="s">
        <v>132</v>
      </c>
      <c r="E12" s="83" t="s">
        <v>18</v>
      </c>
      <c r="F12" s="76">
        <v>1200</v>
      </c>
      <c r="G12" s="84">
        <v>8</v>
      </c>
      <c r="H12" s="162">
        <f>+G12*F12</f>
        <v>9600</v>
      </c>
      <c r="I12" s="164"/>
      <c r="J12" s="163">
        <f>+H12+H13+H14+H15+H16+H17+H18+H19+H20+H21+H22+H23+H24+H25+H26+H28+H29+H30+H31</f>
        <v>96630</v>
      </c>
    </row>
    <row r="13" spans="1:10" s="23" customFormat="1" x14ac:dyDescent="0.25">
      <c r="A13" s="141">
        <v>2</v>
      </c>
      <c r="B13" s="44" t="s">
        <v>71</v>
      </c>
      <c r="C13" s="45" t="s">
        <v>72</v>
      </c>
      <c r="D13" s="135" t="s">
        <v>132</v>
      </c>
      <c r="E13" s="37" t="s">
        <v>16</v>
      </c>
      <c r="F13" s="77">
        <v>650</v>
      </c>
      <c r="G13" s="38">
        <v>3</v>
      </c>
      <c r="H13" s="162">
        <f t="shared" ref="H13:H32" si="0">+G13*F13</f>
        <v>1950</v>
      </c>
      <c r="I13" s="164"/>
      <c r="J13" s="161"/>
    </row>
    <row r="14" spans="1:10" s="23" customFormat="1" ht="25.5" x14ac:dyDescent="0.25">
      <c r="A14" s="141">
        <v>3</v>
      </c>
      <c r="B14" s="18" t="s">
        <v>22</v>
      </c>
      <c r="C14" s="34" t="s">
        <v>23</v>
      </c>
      <c r="D14" s="135" t="s">
        <v>132</v>
      </c>
      <c r="E14" s="33" t="s">
        <v>24</v>
      </c>
      <c r="F14" s="39">
        <v>650</v>
      </c>
      <c r="G14" s="38">
        <v>50</v>
      </c>
      <c r="H14" s="162">
        <f t="shared" si="0"/>
        <v>32500</v>
      </c>
      <c r="I14" s="164"/>
      <c r="J14" s="163">
        <f>+H27+H32</f>
        <v>52500</v>
      </c>
    </row>
    <row r="15" spans="1:10" s="23" customFormat="1" ht="25.5" x14ac:dyDescent="0.25">
      <c r="A15" s="141">
        <v>4</v>
      </c>
      <c r="B15" s="29" t="s">
        <v>25</v>
      </c>
      <c r="C15" s="34" t="s">
        <v>26</v>
      </c>
      <c r="D15" s="135" t="s">
        <v>132</v>
      </c>
      <c r="E15" s="33" t="s">
        <v>24</v>
      </c>
      <c r="F15" s="39">
        <v>100</v>
      </c>
      <c r="G15" s="38">
        <v>50</v>
      </c>
      <c r="H15" s="162">
        <f t="shared" si="0"/>
        <v>5000</v>
      </c>
      <c r="I15" s="164"/>
      <c r="J15" s="161"/>
    </row>
    <row r="16" spans="1:10" s="23" customFormat="1" x14ac:dyDescent="0.25">
      <c r="A16" s="141">
        <v>5</v>
      </c>
      <c r="B16" s="29" t="s">
        <v>27</v>
      </c>
      <c r="C16" s="34" t="s">
        <v>28</v>
      </c>
      <c r="D16" s="135" t="s">
        <v>132</v>
      </c>
      <c r="E16" s="33" t="s">
        <v>16</v>
      </c>
      <c r="F16" s="39">
        <v>386</v>
      </c>
      <c r="G16" s="38">
        <v>5</v>
      </c>
      <c r="H16" s="162">
        <f t="shared" si="0"/>
        <v>1930</v>
      </c>
      <c r="I16" s="164"/>
      <c r="J16" s="161"/>
    </row>
    <row r="17" spans="1:10" s="23" customFormat="1" ht="25.5" x14ac:dyDescent="0.25">
      <c r="A17" s="141">
        <v>6</v>
      </c>
      <c r="B17" s="29" t="s">
        <v>29</v>
      </c>
      <c r="C17" s="34" t="s">
        <v>30</v>
      </c>
      <c r="D17" s="135" t="s">
        <v>132</v>
      </c>
      <c r="E17" s="33" t="s">
        <v>16</v>
      </c>
      <c r="F17" s="43">
        <v>290</v>
      </c>
      <c r="G17" s="38">
        <v>30</v>
      </c>
      <c r="H17" s="162">
        <f t="shared" si="0"/>
        <v>8700</v>
      </c>
      <c r="I17" s="164"/>
      <c r="J17" s="161"/>
    </row>
    <row r="18" spans="1:10" s="23" customFormat="1" x14ac:dyDescent="0.25">
      <c r="A18" s="141">
        <v>7</v>
      </c>
      <c r="B18" s="44" t="s">
        <v>35</v>
      </c>
      <c r="C18" s="45" t="s">
        <v>36</v>
      </c>
      <c r="D18" s="135" t="s">
        <v>132</v>
      </c>
      <c r="E18" s="37" t="s">
        <v>16</v>
      </c>
      <c r="F18" s="39">
        <v>250</v>
      </c>
      <c r="G18" s="38">
        <v>10</v>
      </c>
      <c r="H18" s="162">
        <f t="shared" si="0"/>
        <v>2500</v>
      </c>
      <c r="I18" s="164"/>
      <c r="J18" s="161"/>
    </row>
    <row r="19" spans="1:10" s="23" customFormat="1" x14ac:dyDescent="0.25">
      <c r="A19" s="141">
        <v>8</v>
      </c>
      <c r="B19" s="18" t="s">
        <v>37</v>
      </c>
      <c r="C19" s="34" t="s">
        <v>38</v>
      </c>
      <c r="D19" s="135" t="s">
        <v>132</v>
      </c>
      <c r="E19" s="33" t="s">
        <v>39</v>
      </c>
      <c r="F19" s="43">
        <v>350</v>
      </c>
      <c r="G19" s="38">
        <v>10</v>
      </c>
      <c r="H19" s="162">
        <f t="shared" si="0"/>
        <v>3500</v>
      </c>
      <c r="I19" s="164"/>
      <c r="J19" s="161"/>
    </row>
    <row r="20" spans="1:10" s="23" customFormat="1" x14ac:dyDescent="0.25">
      <c r="A20" s="141">
        <v>9</v>
      </c>
      <c r="B20" s="44" t="s">
        <v>40</v>
      </c>
      <c r="C20" s="45" t="s">
        <v>41</v>
      </c>
      <c r="D20" s="135" t="s">
        <v>132</v>
      </c>
      <c r="E20" s="37" t="s">
        <v>39</v>
      </c>
      <c r="F20" s="39">
        <v>350</v>
      </c>
      <c r="G20" s="38">
        <v>10</v>
      </c>
      <c r="H20" s="162">
        <f t="shared" si="0"/>
        <v>3500</v>
      </c>
      <c r="I20" s="164"/>
      <c r="J20" s="161"/>
    </row>
    <row r="21" spans="1:10" s="23" customFormat="1" x14ac:dyDescent="0.25">
      <c r="A21" s="141">
        <v>10</v>
      </c>
      <c r="B21" s="46" t="s">
        <v>42</v>
      </c>
      <c r="C21" s="34" t="s">
        <v>43</v>
      </c>
      <c r="D21" s="135" t="s">
        <v>132</v>
      </c>
      <c r="E21" s="33" t="s">
        <v>18</v>
      </c>
      <c r="F21" s="39">
        <v>650</v>
      </c>
      <c r="G21" s="38">
        <v>5</v>
      </c>
      <c r="H21" s="162">
        <f t="shared" si="0"/>
        <v>3250</v>
      </c>
      <c r="I21" s="164"/>
      <c r="J21" s="161"/>
    </row>
    <row r="22" spans="1:10" s="23" customFormat="1" x14ac:dyDescent="0.25">
      <c r="A22" s="141">
        <v>11</v>
      </c>
      <c r="B22" s="18" t="s">
        <v>44</v>
      </c>
      <c r="C22" s="34" t="s">
        <v>45</v>
      </c>
      <c r="D22" s="135" t="s">
        <v>132</v>
      </c>
      <c r="E22" s="33" t="s">
        <v>16</v>
      </c>
      <c r="F22" s="39">
        <v>400</v>
      </c>
      <c r="G22" s="38">
        <v>10</v>
      </c>
      <c r="H22" s="162">
        <f t="shared" si="0"/>
        <v>4000</v>
      </c>
      <c r="I22" s="164"/>
      <c r="J22" s="161"/>
    </row>
    <row r="23" spans="1:10" s="23" customFormat="1" x14ac:dyDescent="0.25">
      <c r="A23" s="141">
        <v>12</v>
      </c>
      <c r="B23" s="47" t="s">
        <v>46</v>
      </c>
      <c r="C23" s="34" t="s">
        <v>47</v>
      </c>
      <c r="D23" s="135" t="s">
        <v>132</v>
      </c>
      <c r="E23" s="33" t="s">
        <v>18</v>
      </c>
      <c r="F23" s="39">
        <v>300</v>
      </c>
      <c r="G23" s="38">
        <v>5</v>
      </c>
      <c r="H23" s="162">
        <f t="shared" si="0"/>
        <v>1500</v>
      </c>
      <c r="I23" s="164"/>
      <c r="J23" s="161"/>
    </row>
    <row r="24" spans="1:10" s="23" customFormat="1" ht="25.5" x14ac:dyDescent="0.25">
      <c r="A24" s="141">
        <v>13</v>
      </c>
      <c r="B24" s="29" t="s">
        <v>48</v>
      </c>
      <c r="C24" s="34" t="s">
        <v>49</v>
      </c>
      <c r="D24" s="135" t="s">
        <v>132</v>
      </c>
      <c r="E24" s="33" t="s">
        <v>16</v>
      </c>
      <c r="F24" s="39">
        <v>290</v>
      </c>
      <c r="G24" s="38">
        <v>10</v>
      </c>
      <c r="H24" s="162">
        <f t="shared" si="0"/>
        <v>2900</v>
      </c>
      <c r="I24" s="164"/>
      <c r="J24" s="161"/>
    </row>
    <row r="25" spans="1:10" s="23" customFormat="1" x14ac:dyDescent="0.25">
      <c r="A25" s="141">
        <v>14</v>
      </c>
      <c r="B25" s="29" t="s">
        <v>50</v>
      </c>
      <c r="C25" s="34" t="s">
        <v>51</v>
      </c>
      <c r="D25" s="135" t="s">
        <v>132</v>
      </c>
      <c r="E25" s="33" t="s">
        <v>16</v>
      </c>
      <c r="F25" s="39">
        <v>450</v>
      </c>
      <c r="G25" s="38">
        <v>10</v>
      </c>
      <c r="H25" s="162">
        <f t="shared" si="0"/>
        <v>4500</v>
      </c>
      <c r="I25" s="164"/>
      <c r="J25" s="161"/>
    </row>
    <row r="26" spans="1:10" s="23" customFormat="1" x14ac:dyDescent="0.25">
      <c r="A26" s="141">
        <v>15</v>
      </c>
      <c r="B26" s="29" t="s">
        <v>52</v>
      </c>
      <c r="C26" s="34" t="s">
        <v>54</v>
      </c>
      <c r="D26" s="135" t="s">
        <v>132</v>
      </c>
      <c r="E26" s="33" t="s">
        <v>16</v>
      </c>
      <c r="F26" s="39">
        <v>750</v>
      </c>
      <c r="G26" s="38">
        <v>5</v>
      </c>
      <c r="H26" s="162">
        <f t="shared" si="0"/>
        <v>3750</v>
      </c>
      <c r="I26" s="164"/>
      <c r="J26" s="161"/>
    </row>
    <row r="27" spans="1:10" s="23" customFormat="1" ht="38.25" x14ac:dyDescent="0.25">
      <c r="A27" s="141">
        <v>16</v>
      </c>
      <c r="B27" s="29" t="s">
        <v>55</v>
      </c>
      <c r="C27" s="34" t="s">
        <v>56</v>
      </c>
      <c r="D27" s="135" t="s">
        <v>132</v>
      </c>
      <c r="E27" s="33" t="s">
        <v>24</v>
      </c>
      <c r="F27" s="39">
        <v>350</v>
      </c>
      <c r="G27" s="38">
        <v>50</v>
      </c>
      <c r="H27" s="162">
        <f t="shared" si="0"/>
        <v>17500</v>
      </c>
      <c r="I27" s="164"/>
      <c r="J27" s="161"/>
    </row>
    <row r="28" spans="1:10" s="23" customFormat="1" x14ac:dyDescent="0.25">
      <c r="A28" s="141">
        <v>17</v>
      </c>
      <c r="B28" s="29" t="s">
        <v>59</v>
      </c>
      <c r="C28" s="34" t="s">
        <v>60</v>
      </c>
      <c r="D28" s="135" t="s">
        <v>132</v>
      </c>
      <c r="E28" s="33" t="s">
        <v>16</v>
      </c>
      <c r="F28" s="43">
        <v>800</v>
      </c>
      <c r="G28" s="38">
        <v>5</v>
      </c>
      <c r="H28" s="162">
        <f t="shared" si="0"/>
        <v>4000</v>
      </c>
      <c r="I28" s="164"/>
      <c r="J28" s="161"/>
    </row>
    <row r="29" spans="1:10" s="23" customFormat="1" x14ac:dyDescent="0.25">
      <c r="A29" s="141">
        <v>18</v>
      </c>
      <c r="B29" s="29" t="s">
        <v>61</v>
      </c>
      <c r="C29" s="45" t="s">
        <v>62</v>
      </c>
      <c r="D29" s="135" t="s">
        <v>132</v>
      </c>
      <c r="E29" s="33" t="s">
        <v>16</v>
      </c>
      <c r="F29" s="43">
        <v>120</v>
      </c>
      <c r="G29" s="38">
        <v>10</v>
      </c>
      <c r="H29" s="162">
        <f t="shared" si="0"/>
        <v>1200</v>
      </c>
      <c r="I29" s="164"/>
      <c r="J29" s="161"/>
    </row>
    <row r="30" spans="1:10" s="23" customFormat="1" ht="25.5" x14ac:dyDescent="0.25">
      <c r="A30" s="141">
        <v>19</v>
      </c>
      <c r="B30" s="29" t="s">
        <v>63</v>
      </c>
      <c r="C30" s="45" t="s">
        <v>64</v>
      </c>
      <c r="D30" s="135" t="s">
        <v>132</v>
      </c>
      <c r="E30" s="33" t="s">
        <v>16</v>
      </c>
      <c r="F30" s="39">
        <v>115</v>
      </c>
      <c r="G30" s="38">
        <v>10</v>
      </c>
      <c r="H30" s="162">
        <f t="shared" si="0"/>
        <v>1150</v>
      </c>
      <c r="I30" s="164"/>
      <c r="J30" s="161"/>
    </row>
    <row r="31" spans="1:10" s="23" customFormat="1" x14ac:dyDescent="0.25">
      <c r="A31" s="141">
        <v>20</v>
      </c>
      <c r="B31" s="139" t="s">
        <v>65</v>
      </c>
      <c r="C31" s="34" t="s">
        <v>66</v>
      </c>
      <c r="D31" s="135" t="s">
        <v>132</v>
      </c>
      <c r="E31" s="33" t="s">
        <v>16</v>
      </c>
      <c r="F31" s="43">
        <v>120</v>
      </c>
      <c r="G31" s="38">
        <v>10</v>
      </c>
      <c r="H31" s="162">
        <f t="shared" si="0"/>
        <v>1200</v>
      </c>
      <c r="I31" s="164"/>
      <c r="J31" s="161"/>
    </row>
    <row r="32" spans="1:10" s="23" customFormat="1" ht="54" customHeight="1" x14ac:dyDescent="0.25">
      <c r="A32" s="141">
        <v>21</v>
      </c>
      <c r="B32" s="49" t="s">
        <v>73</v>
      </c>
      <c r="C32" s="50" t="s">
        <v>74</v>
      </c>
      <c r="D32" s="135" t="s">
        <v>132</v>
      </c>
      <c r="E32" s="29" t="s">
        <v>15</v>
      </c>
      <c r="F32" s="51">
        <v>1400</v>
      </c>
      <c r="G32" s="38">
        <v>25</v>
      </c>
      <c r="H32" s="162">
        <f t="shared" si="0"/>
        <v>35000</v>
      </c>
      <c r="I32" s="164"/>
      <c r="J32" s="161"/>
    </row>
    <row r="33" spans="1:10" ht="36.75" customHeight="1" x14ac:dyDescent="0.25">
      <c r="A33" s="195" t="s">
        <v>168</v>
      </c>
      <c r="B33" s="195"/>
      <c r="C33" s="195"/>
      <c r="D33" s="195"/>
      <c r="E33" s="195"/>
      <c r="F33" s="196">
        <v>149130</v>
      </c>
      <c r="G33" s="196"/>
      <c r="H33" s="161"/>
      <c r="I33" s="161"/>
      <c r="J33" s="161"/>
    </row>
    <row r="34" spans="1:10" x14ac:dyDescent="0.25">
      <c r="A34" s="23"/>
      <c r="B34" s="23"/>
      <c r="C34" s="23"/>
      <c r="D34" s="23"/>
      <c r="E34" s="23"/>
      <c r="F34" s="23"/>
      <c r="G34" s="23"/>
    </row>
  </sheetData>
  <mergeCells count="16">
    <mergeCell ref="A7:B7"/>
    <mergeCell ref="A1:E1"/>
    <mergeCell ref="A3:B3"/>
    <mergeCell ref="A4:B4"/>
    <mergeCell ref="A5:B5"/>
    <mergeCell ref="A6:B6"/>
    <mergeCell ref="F10:F11"/>
    <mergeCell ref="G10:G11"/>
    <mergeCell ref="A33:E33"/>
    <mergeCell ref="F33:G33"/>
    <mergeCell ref="A8:B8"/>
    <mergeCell ref="A10:A11"/>
    <mergeCell ref="B10:B11"/>
    <mergeCell ref="C10:C11"/>
    <mergeCell ref="D10:D11"/>
    <mergeCell ref="E10:E11"/>
  </mergeCells>
  <conditionalFormatting sqref="B26:B32 B12:B20">
    <cfRule type="duplicateValues" dxfId="31" priority="13"/>
  </conditionalFormatting>
  <conditionalFormatting sqref="B26:B32 B12:B24">
    <cfRule type="duplicateValues" dxfId="30" priority="14"/>
  </conditionalFormatting>
  <conditionalFormatting sqref="B12:B32">
    <cfRule type="duplicateValues" dxfId="29" priority="15"/>
  </conditionalFormatting>
  <conditionalFormatting sqref="B12:B32">
    <cfRule type="duplicateValues" dxfId="28" priority="16"/>
  </conditionalFormatting>
  <conditionalFormatting sqref="B25">
    <cfRule type="duplicateValues" dxfId="27" priority="10"/>
  </conditionalFormatting>
  <conditionalFormatting sqref="B25">
    <cfRule type="duplicateValues" dxfId="26" priority="11"/>
  </conditionalFormatting>
  <conditionalFormatting sqref="B21:B24">
    <cfRule type="duplicateValues" dxfId="25" priority="12"/>
  </conditionalFormatting>
  <conditionalFormatting sqref="C12:C32">
    <cfRule type="duplicateValues" dxfId="24" priority="4"/>
  </conditionalFormatting>
  <conditionalFormatting sqref="C12:C32">
    <cfRule type="duplicateValues" dxfId="23" priority="5"/>
    <cfRule type="duplicateValues" dxfId="22" priority="6"/>
  </conditionalFormatting>
  <conditionalFormatting sqref="C26:C32 C12:C20">
    <cfRule type="duplicateValues" dxfId="21" priority="7"/>
  </conditionalFormatting>
  <conditionalFormatting sqref="C26:C32 C12:C24">
    <cfRule type="duplicateValues" dxfId="20" priority="8"/>
  </conditionalFormatting>
  <conditionalFormatting sqref="C12:C32">
    <cfRule type="duplicateValues" dxfId="19" priority="9"/>
  </conditionalFormatting>
  <conditionalFormatting sqref="C25">
    <cfRule type="duplicateValues" dxfId="18" priority="1"/>
  </conditionalFormatting>
  <conditionalFormatting sqref="C25">
    <cfRule type="duplicateValues" dxfId="17" priority="2"/>
  </conditionalFormatting>
  <conditionalFormatting sqref="C21:C24">
    <cfRule type="duplicateValues" dxfId="16" priority="3"/>
  </conditionalFormatting>
  <pageMargins left="0.70866141732283472" right="0.70866141732283472" top="0.74803149606299213" bottom="0.74803149606299213" header="0.31496062992125984" footer="0.31496062992125984"/>
  <pageSetup paperSize="5" scale="54" orientation="landscape" r:id="rId1"/>
  <colBreaks count="1" manualBreakCount="1">
    <brk id="7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Q41"/>
  <sheetViews>
    <sheetView zoomScaleNormal="100" workbookViewId="0">
      <selection activeCell="C51" sqref="C51"/>
    </sheetView>
  </sheetViews>
  <sheetFormatPr baseColWidth="10" defaultRowHeight="15" x14ac:dyDescent="0.25"/>
  <cols>
    <col min="1" max="14" width="5.42578125" customWidth="1"/>
    <col min="16" max="16" width="24.85546875" customWidth="1"/>
    <col min="17" max="17" width="21" customWidth="1"/>
  </cols>
  <sheetData>
    <row r="1" spans="1:17" ht="15.75" thickBot="1" x14ac:dyDescent="0.3">
      <c r="A1" s="222" t="s">
        <v>5</v>
      </c>
      <c r="B1" s="222"/>
      <c r="C1" s="222"/>
      <c r="D1" s="223">
        <v>2022</v>
      </c>
      <c r="E1" s="223"/>
      <c r="F1" s="86"/>
      <c r="G1" s="86"/>
      <c r="H1" s="87"/>
      <c r="I1" s="87"/>
      <c r="J1" s="87"/>
      <c r="K1" s="87"/>
      <c r="L1" s="87"/>
      <c r="M1" s="87"/>
      <c r="N1" s="87"/>
      <c r="O1" s="88"/>
      <c r="P1" s="224" t="s">
        <v>133</v>
      </c>
      <c r="Q1" s="224"/>
    </row>
    <row r="2" spans="1:17" ht="15.75" thickBot="1" x14ac:dyDescent="0.3">
      <c r="A2" s="89"/>
      <c r="B2" s="90"/>
      <c r="C2" s="90"/>
      <c r="D2" s="90"/>
      <c r="E2" s="90"/>
      <c r="F2" s="90"/>
      <c r="G2" s="91"/>
      <c r="H2" s="92"/>
      <c r="I2" s="92"/>
      <c r="J2" s="92"/>
      <c r="K2" s="92"/>
      <c r="L2" s="92"/>
      <c r="M2" s="92"/>
      <c r="N2" s="92"/>
      <c r="O2" s="90"/>
      <c r="P2" s="224"/>
      <c r="Q2" s="224"/>
    </row>
    <row r="3" spans="1:17" ht="15.75" thickBot="1" x14ac:dyDescent="0.3">
      <c r="A3" s="89"/>
      <c r="B3" s="90"/>
      <c r="C3" s="90"/>
      <c r="D3" s="90"/>
      <c r="E3" s="90"/>
      <c r="F3" s="90"/>
      <c r="G3" s="91"/>
      <c r="H3" s="90"/>
      <c r="I3" s="90"/>
      <c r="J3" s="90"/>
      <c r="K3" s="90"/>
      <c r="L3" s="90"/>
      <c r="M3" s="90"/>
      <c r="N3" s="90"/>
      <c r="O3" s="90"/>
      <c r="P3" s="90"/>
      <c r="Q3" s="93"/>
    </row>
    <row r="4" spans="1:17" ht="15.75" thickBot="1" x14ac:dyDescent="0.3">
      <c r="A4" s="225" t="s">
        <v>134</v>
      </c>
      <c r="B4" s="225"/>
      <c r="C4" s="225"/>
      <c r="D4" s="225"/>
      <c r="E4" s="225"/>
      <c r="F4" s="225"/>
      <c r="G4" s="226" t="str">
        <f>'[1]NP DPBS'!D3</f>
        <v>040 - MINISTERIO DE SALUD</v>
      </c>
      <c r="H4" s="226"/>
      <c r="I4" s="226"/>
      <c r="J4" s="226"/>
      <c r="K4" s="226"/>
      <c r="L4" s="226"/>
      <c r="M4" s="226"/>
      <c r="N4" s="226"/>
      <c r="O4" s="226"/>
      <c r="P4" s="226"/>
      <c r="Q4" s="226"/>
    </row>
    <row r="5" spans="1:17" ht="15.75" thickBot="1" x14ac:dyDescent="0.3">
      <c r="A5" s="227" t="s">
        <v>119</v>
      </c>
      <c r="B5" s="227"/>
      <c r="C5" s="227"/>
      <c r="D5" s="227"/>
      <c r="E5" s="227"/>
      <c r="F5" s="227"/>
      <c r="G5" s="226" t="str">
        <f>'[1]NP DPBS'!D4</f>
        <v>011 - DIRECCION PROVINCIAL DE ADMINISTRACION - MINISTERIO DE SALUD</v>
      </c>
      <c r="H5" s="226"/>
      <c r="I5" s="226"/>
      <c r="J5" s="226"/>
      <c r="K5" s="226"/>
      <c r="L5" s="226"/>
      <c r="M5" s="226"/>
      <c r="N5" s="226"/>
      <c r="O5" s="226"/>
      <c r="P5" s="226"/>
      <c r="Q5" s="226"/>
    </row>
    <row r="6" spans="1:17" ht="15.75" thickBot="1" x14ac:dyDescent="0.3">
      <c r="A6" s="227" t="s">
        <v>120</v>
      </c>
      <c r="B6" s="227"/>
      <c r="C6" s="227"/>
      <c r="D6" s="227"/>
      <c r="E6" s="227"/>
      <c r="F6" s="227"/>
      <c r="G6" s="226" t="s">
        <v>169</v>
      </c>
      <c r="H6" s="226"/>
      <c r="I6" s="226"/>
      <c r="J6" s="226"/>
      <c r="K6" s="226"/>
      <c r="L6" s="226"/>
      <c r="M6" s="226"/>
      <c r="N6" s="226"/>
      <c r="O6" s="226"/>
      <c r="P6" s="226"/>
      <c r="Q6" s="226"/>
    </row>
    <row r="7" spans="1:17" ht="15.75" thickBot="1" x14ac:dyDescent="0.3">
      <c r="A7" s="227" t="s">
        <v>122</v>
      </c>
      <c r="B7" s="227"/>
      <c r="C7" s="227"/>
      <c r="D7" s="227"/>
      <c r="E7" s="227"/>
      <c r="F7" s="227"/>
      <c r="G7" s="226" t="s">
        <v>169</v>
      </c>
      <c r="H7" s="226"/>
      <c r="I7" s="226"/>
      <c r="J7" s="226"/>
      <c r="K7" s="226"/>
      <c r="L7" s="226"/>
      <c r="M7" s="226"/>
      <c r="N7" s="226"/>
      <c r="O7" s="226"/>
      <c r="P7" s="226"/>
      <c r="Q7" s="226"/>
    </row>
    <row r="8" spans="1:17" ht="15.75" thickBot="1" x14ac:dyDescent="0.3">
      <c r="A8" s="228" t="s">
        <v>135</v>
      </c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  <c r="M8" s="228"/>
      <c r="N8" s="228"/>
      <c r="O8" s="228"/>
      <c r="P8" s="228"/>
      <c r="Q8" s="228"/>
    </row>
    <row r="9" spans="1:17" x14ac:dyDescent="0.25">
      <c r="A9" s="221" t="s">
        <v>136</v>
      </c>
      <c r="B9" s="221"/>
      <c r="C9" s="221"/>
      <c r="D9" s="221"/>
      <c r="E9" s="221"/>
      <c r="F9" s="221"/>
      <c r="G9" s="221"/>
      <c r="H9" s="221"/>
      <c r="I9" s="221"/>
      <c r="J9" s="221"/>
      <c r="K9" s="221"/>
      <c r="L9" s="221"/>
      <c r="M9" s="221"/>
      <c r="N9" s="221"/>
      <c r="O9" s="221"/>
      <c r="P9" s="221"/>
      <c r="Q9" s="221"/>
    </row>
    <row r="10" spans="1:17" ht="42" customHeight="1" x14ac:dyDescent="0.25">
      <c r="A10" s="212" t="s">
        <v>137</v>
      </c>
      <c r="B10" s="212"/>
      <c r="C10" s="212"/>
      <c r="D10" s="212"/>
      <c r="E10" s="212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</row>
    <row r="11" spans="1:17" ht="15.75" thickBot="1" x14ac:dyDescent="0.3">
      <c r="A11" s="94"/>
      <c r="B11" s="95"/>
      <c r="C11" s="95"/>
      <c r="D11" s="95"/>
      <c r="E11" s="95"/>
      <c r="F11" s="95"/>
      <c r="G11" s="96"/>
      <c r="H11" s="95"/>
      <c r="I11" s="95"/>
      <c r="J11" s="95"/>
      <c r="K11" s="95"/>
      <c r="L11" s="95"/>
      <c r="M11" s="95"/>
      <c r="N11" s="95"/>
      <c r="O11" s="95"/>
      <c r="P11" s="95"/>
      <c r="Q11" s="97"/>
    </row>
    <row r="12" spans="1:17" ht="15.75" thickBot="1" x14ac:dyDescent="0.3">
      <c r="A12" s="213" t="s">
        <v>138</v>
      </c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</row>
    <row r="13" spans="1:17" ht="15.75" thickBot="1" x14ac:dyDescent="0.3">
      <c r="A13" s="214" t="s">
        <v>139</v>
      </c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5" t="s">
        <v>140</v>
      </c>
      <c r="P13" s="215"/>
      <c r="Q13" s="216" t="s">
        <v>141</v>
      </c>
    </row>
    <row r="14" spans="1:17" ht="15.75" thickBot="1" x14ac:dyDescent="0.3">
      <c r="A14" s="98" t="s">
        <v>142</v>
      </c>
      <c r="B14" s="99" t="s">
        <v>143</v>
      </c>
      <c r="C14" s="99" t="s">
        <v>144</v>
      </c>
      <c r="D14" s="99" t="s">
        <v>145</v>
      </c>
      <c r="E14" s="99" t="s">
        <v>146</v>
      </c>
      <c r="F14" s="99" t="s">
        <v>147</v>
      </c>
      <c r="G14" s="100" t="s">
        <v>148</v>
      </c>
      <c r="H14" s="99" t="s">
        <v>149</v>
      </c>
      <c r="I14" s="99" t="s">
        <v>150</v>
      </c>
      <c r="J14" s="99" t="s">
        <v>151</v>
      </c>
      <c r="K14" s="99" t="s">
        <v>151</v>
      </c>
      <c r="L14" s="99" t="s">
        <v>152</v>
      </c>
      <c r="M14" s="101" t="s">
        <v>153</v>
      </c>
      <c r="N14" s="102" t="s">
        <v>154</v>
      </c>
      <c r="O14" s="215"/>
      <c r="P14" s="215"/>
      <c r="Q14" s="216"/>
    </row>
    <row r="15" spans="1:17" x14ac:dyDescent="0.25">
      <c r="A15" s="129">
        <v>1</v>
      </c>
      <c r="B15" s="129"/>
      <c r="C15" s="129"/>
      <c r="D15" s="129">
        <v>1</v>
      </c>
      <c r="E15" s="129"/>
      <c r="F15" s="129">
        <v>4901</v>
      </c>
      <c r="G15" s="129">
        <v>3</v>
      </c>
      <c r="H15" s="129">
        <v>1</v>
      </c>
      <c r="I15" s="129">
        <v>2</v>
      </c>
      <c r="J15" s="129">
        <v>3</v>
      </c>
      <c r="K15" s="129">
        <v>4</v>
      </c>
      <c r="L15" s="129"/>
      <c r="M15" s="129">
        <v>1</v>
      </c>
      <c r="N15" s="129" t="s">
        <v>155</v>
      </c>
      <c r="O15" s="229" t="s">
        <v>174</v>
      </c>
      <c r="P15" s="217"/>
      <c r="Q15" s="103">
        <v>52500</v>
      </c>
    </row>
    <row r="16" spans="1:17" x14ac:dyDescent="0.25">
      <c r="A16" s="129">
        <v>1</v>
      </c>
      <c r="B16" s="129"/>
      <c r="C16" s="129"/>
      <c r="D16" s="129">
        <v>1</v>
      </c>
      <c r="E16" s="129"/>
      <c r="F16" s="129">
        <v>4901</v>
      </c>
      <c r="G16" s="129">
        <v>3</v>
      </c>
      <c r="H16" s="129">
        <v>1</v>
      </c>
      <c r="I16" s="105">
        <v>2</v>
      </c>
      <c r="J16" s="105">
        <v>9</v>
      </c>
      <c r="K16" s="105">
        <v>1</v>
      </c>
      <c r="L16" s="105"/>
      <c r="M16" s="129">
        <v>1</v>
      </c>
      <c r="N16" s="129" t="s">
        <v>155</v>
      </c>
      <c r="O16" s="230" t="s">
        <v>17</v>
      </c>
      <c r="P16" s="218"/>
      <c r="Q16" s="108">
        <v>96630</v>
      </c>
    </row>
    <row r="17" spans="1:17" x14ac:dyDescent="0.25">
      <c r="A17" s="104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6"/>
      <c r="N17" s="138"/>
      <c r="O17" s="211"/>
      <c r="P17" s="211"/>
      <c r="Q17" s="108"/>
    </row>
    <row r="18" spans="1:17" x14ac:dyDescent="0.25">
      <c r="A18" s="104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6"/>
      <c r="N18" s="138"/>
      <c r="O18" s="211"/>
      <c r="P18" s="211"/>
      <c r="Q18" s="108"/>
    </row>
    <row r="19" spans="1:17" x14ac:dyDescent="0.25">
      <c r="A19" s="104"/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6"/>
      <c r="N19" s="138"/>
      <c r="O19" s="211"/>
      <c r="P19" s="211"/>
      <c r="Q19" s="108"/>
    </row>
    <row r="20" spans="1:17" x14ac:dyDescent="0.25">
      <c r="A20" s="104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6"/>
      <c r="N20" s="138"/>
      <c r="O20" s="211"/>
      <c r="P20" s="211"/>
      <c r="Q20" s="108"/>
    </row>
    <row r="21" spans="1:17" x14ac:dyDescent="0.25">
      <c r="A21" s="104"/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6"/>
      <c r="N21" s="138"/>
      <c r="O21" s="211"/>
      <c r="P21" s="211"/>
      <c r="Q21" s="108"/>
    </row>
    <row r="22" spans="1:17" x14ac:dyDescent="0.25">
      <c r="A22" s="104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6"/>
      <c r="N22" s="138"/>
      <c r="O22" s="211"/>
      <c r="P22" s="211"/>
      <c r="Q22" s="108"/>
    </row>
    <row r="23" spans="1:17" x14ac:dyDescent="0.25">
      <c r="A23" s="104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6"/>
      <c r="N23" s="138"/>
      <c r="O23" s="211"/>
      <c r="P23" s="211"/>
      <c r="Q23" s="108"/>
    </row>
    <row r="24" spans="1:17" x14ac:dyDescent="0.25">
      <c r="A24" s="104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6"/>
      <c r="N24" s="138"/>
      <c r="O24" s="211"/>
      <c r="P24" s="211"/>
      <c r="Q24" s="108"/>
    </row>
    <row r="25" spans="1:17" x14ac:dyDescent="0.25">
      <c r="A25" s="104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6"/>
      <c r="N25" s="138"/>
      <c r="O25" s="211"/>
      <c r="P25" s="211"/>
      <c r="Q25" s="108"/>
    </row>
    <row r="26" spans="1:17" x14ac:dyDescent="0.25">
      <c r="A26" s="104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6"/>
      <c r="N26" s="138"/>
      <c r="O26" s="211"/>
      <c r="P26" s="211"/>
      <c r="Q26" s="108"/>
    </row>
    <row r="27" spans="1:17" x14ac:dyDescent="0.25">
      <c r="A27" s="104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6"/>
      <c r="N27" s="138"/>
      <c r="O27" s="211"/>
      <c r="P27" s="211"/>
      <c r="Q27" s="108"/>
    </row>
    <row r="28" spans="1:17" x14ac:dyDescent="0.25">
      <c r="A28" s="104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6"/>
      <c r="N28" s="138"/>
      <c r="O28" s="211"/>
      <c r="P28" s="211"/>
      <c r="Q28" s="108"/>
    </row>
    <row r="29" spans="1:17" x14ac:dyDescent="0.25">
      <c r="A29" s="104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6"/>
      <c r="N29" s="138"/>
      <c r="O29" s="211"/>
      <c r="P29" s="211"/>
      <c r="Q29" s="108"/>
    </row>
    <row r="30" spans="1:17" x14ac:dyDescent="0.25">
      <c r="A30" s="104"/>
      <c r="B30" s="105"/>
      <c r="C30" s="105"/>
      <c r="D30" s="105"/>
      <c r="E30" s="105"/>
      <c r="F30" s="138"/>
      <c r="G30" s="105"/>
      <c r="H30" s="105"/>
      <c r="I30" s="105"/>
      <c r="J30" s="105"/>
      <c r="K30" s="105"/>
      <c r="L30" s="105"/>
      <c r="M30" s="106"/>
      <c r="N30" s="138"/>
      <c r="O30" s="206"/>
      <c r="P30" s="206"/>
      <c r="Q30" s="108"/>
    </row>
    <row r="31" spans="1:17" x14ac:dyDescent="0.25">
      <c r="A31" s="104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6"/>
      <c r="N31" s="138"/>
      <c r="O31" s="206"/>
      <c r="P31" s="206"/>
      <c r="Q31" s="108"/>
    </row>
    <row r="32" spans="1:17" x14ac:dyDescent="0.25">
      <c r="A32" s="104"/>
      <c r="B32" s="105"/>
      <c r="C32" s="105"/>
      <c r="D32" s="105"/>
      <c r="E32" s="105"/>
      <c r="F32" s="138"/>
      <c r="G32" s="105"/>
      <c r="H32" s="105"/>
      <c r="I32" s="105"/>
      <c r="J32" s="105"/>
      <c r="K32" s="105"/>
      <c r="L32" s="105"/>
      <c r="M32" s="106"/>
      <c r="N32" s="138"/>
      <c r="O32" s="206"/>
      <c r="P32" s="206"/>
      <c r="Q32" s="108"/>
    </row>
    <row r="33" spans="1:17" x14ac:dyDescent="0.25">
      <c r="A33" s="104"/>
      <c r="B33" s="105"/>
      <c r="C33" s="105"/>
      <c r="D33" s="105"/>
      <c r="E33" s="105"/>
      <c r="F33" s="138"/>
      <c r="G33" s="105"/>
      <c r="H33" s="105"/>
      <c r="I33" s="105"/>
      <c r="J33" s="105"/>
      <c r="K33" s="105"/>
      <c r="L33" s="105"/>
      <c r="M33" s="106"/>
      <c r="N33" s="138"/>
      <c r="O33" s="206"/>
      <c r="P33" s="206"/>
      <c r="Q33" s="108"/>
    </row>
    <row r="34" spans="1:17" x14ac:dyDescent="0.25">
      <c r="A34" s="109"/>
      <c r="B34" s="110"/>
      <c r="C34" s="110"/>
      <c r="D34" s="110"/>
      <c r="E34" s="110"/>
      <c r="F34" s="111"/>
      <c r="G34" s="110"/>
      <c r="H34" s="110"/>
      <c r="I34" s="110"/>
      <c r="J34" s="110"/>
      <c r="K34" s="110"/>
      <c r="L34" s="110"/>
      <c r="M34" s="112"/>
      <c r="N34" s="113"/>
      <c r="O34" s="207"/>
      <c r="P34" s="207"/>
      <c r="Q34" s="108"/>
    </row>
    <row r="35" spans="1:17" ht="15.75" thickBot="1" x14ac:dyDescent="0.3">
      <c r="A35" s="114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6"/>
      <c r="N35" s="115"/>
      <c r="O35" s="208"/>
      <c r="P35" s="208"/>
      <c r="Q35" s="117"/>
    </row>
    <row r="36" spans="1:17" ht="15.75" thickBot="1" x14ac:dyDescent="0.3">
      <c r="A36" s="209" t="s">
        <v>170</v>
      </c>
      <c r="B36" s="209"/>
      <c r="C36" s="209"/>
      <c r="D36" s="209"/>
      <c r="E36" s="209"/>
      <c r="F36" s="209"/>
      <c r="G36" s="209"/>
      <c r="H36" s="209"/>
      <c r="I36" s="209"/>
      <c r="J36" s="209"/>
      <c r="K36" s="209"/>
      <c r="L36" s="209"/>
      <c r="M36" s="209"/>
      <c r="N36" s="209"/>
      <c r="O36" s="209"/>
      <c r="P36" s="209"/>
      <c r="Q36" s="118">
        <f>SUM(Q15:Q35)</f>
        <v>149130</v>
      </c>
    </row>
    <row r="37" spans="1:17" ht="15.75" thickBot="1" x14ac:dyDescent="0.3">
      <c r="A37" s="210"/>
      <c r="B37" s="210"/>
      <c r="C37" s="210"/>
      <c r="D37" s="210"/>
      <c r="E37" s="210"/>
      <c r="F37" s="210"/>
      <c r="G37" s="210"/>
      <c r="H37" s="210"/>
      <c r="I37" s="210"/>
      <c r="J37" s="210"/>
      <c r="K37" s="210"/>
      <c r="L37" s="210"/>
      <c r="M37" s="210"/>
      <c r="N37" s="210"/>
      <c r="O37" s="210"/>
      <c r="P37" s="210"/>
      <c r="Q37" s="210"/>
    </row>
    <row r="38" spans="1:17" ht="15.75" thickBot="1" x14ac:dyDescent="0.3">
      <c r="A38" s="203" t="s">
        <v>156</v>
      </c>
      <c r="B38" s="203"/>
      <c r="C38" s="203"/>
      <c r="D38" s="203"/>
      <c r="E38" s="203"/>
      <c r="F38" s="203"/>
      <c r="G38" s="204"/>
      <c r="H38" s="204"/>
      <c r="I38" s="204"/>
      <c r="J38" s="204"/>
      <c r="K38" s="204"/>
      <c r="L38" s="204"/>
      <c r="M38" s="204"/>
      <c r="N38" s="204"/>
      <c r="O38" s="204"/>
      <c r="P38" s="204"/>
      <c r="Q38" s="204"/>
    </row>
    <row r="39" spans="1:17" ht="15.75" thickBot="1" x14ac:dyDescent="0.3">
      <c r="A39" s="205" t="s">
        <v>158</v>
      </c>
      <c r="B39" s="205"/>
      <c r="C39" s="205"/>
      <c r="D39" s="205"/>
      <c r="E39" s="205"/>
      <c r="F39" s="205"/>
      <c r="G39" s="205"/>
      <c r="H39" s="205"/>
      <c r="I39" s="205"/>
      <c r="J39" s="205"/>
      <c r="K39" s="205"/>
      <c r="L39" s="205"/>
      <c r="M39" s="205"/>
      <c r="N39" s="205"/>
      <c r="O39" s="205"/>
      <c r="P39" s="205"/>
      <c r="Q39" s="205"/>
    </row>
    <row r="40" spans="1:17" ht="15.75" thickBot="1" x14ac:dyDescent="0.3">
      <c r="A40" s="205"/>
      <c r="B40" s="205"/>
      <c r="C40" s="205"/>
      <c r="D40" s="205"/>
      <c r="E40" s="205"/>
      <c r="F40" s="205"/>
      <c r="G40" s="205"/>
      <c r="H40" s="205"/>
      <c r="I40" s="205"/>
      <c r="J40" s="205"/>
      <c r="K40" s="205"/>
      <c r="L40" s="205"/>
      <c r="M40" s="205"/>
      <c r="N40" s="205"/>
      <c r="O40" s="205"/>
      <c r="P40" s="205"/>
      <c r="Q40" s="205"/>
    </row>
    <row r="41" spans="1:17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</row>
  </sheetData>
  <mergeCells count="44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39:Q40"/>
    <mergeCell ref="O34:P34"/>
    <mergeCell ref="O35:P35"/>
    <mergeCell ref="A36:P36"/>
    <mergeCell ref="A37:Q37"/>
    <mergeCell ref="A38:F38"/>
    <mergeCell ref="G38:Q38"/>
  </mergeCells>
  <pageMargins left="0.7" right="0.7" top="0.75" bottom="0.75" header="0.3" footer="0.3"/>
  <pageSetup paperSize="5" scale="6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19880-BDD7-4CAD-AA41-24A8A9F145F3}">
  <dimension ref="A1"/>
  <sheetViews>
    <sheetView workbookViewId="0">
      <selection activeCell="C51" sqref="C51"/>
    </sheetView>
  </sheetViews>
  <sheetFormatPr baseColWidth="10" defaultRowHeight="15" x14ac:dyDescent="0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3"/>
  <sheetViews>
    <sheetView zoomScale="110" zoomScaleNormal="110" workbookViewId="0">
      <selection activeCell="C51" sqref="C51"/>
    </sheetView>
  </sheetViews>
  <sheetFormatPr baseColWidth="10" defaultRowHeight="15" x14ac:dyDescent="0.25"/>
  <cols>
    <col min="2" max="2" width="23.5703125" customWidth="1"/>
    <col min="3" max="3" width="67" customWidth="1"/>
    <col min="6" max="6" width="21.85546875" customWidth="1"/>
    <col min="7" max="7" width="12.140625" bestFit="1" customWidth="1"/>
    <col min="10" max="10" width="12.140625" bestFit="1" customWidth="1"/>
  </cols>
  <sheetData>
    <row r="1" spans="1:10" ht="30.75" thickBot="1" x14ac:dyDescent="0.3">
      <c r="A1" s="201" t="s">
        <v>116</v>
      </c>
      <c r="B1" s="201"/>
      <c r="C1" s="201"/>
      <c r="D1" s="201"/>
      <c r="E1" s="201"/>
      <c r="F1" s="61" t="s">
        <v>117</v>
      </c>
      <c r="G1" s="62"/>
    </row>
    <row r="2" spans="1:10" ht="16.5" thickBot="1" x14ac:dyDescent="0.3">
      <c r="A2" s="63"/>
      <c r="B2" s="64"/>
      <c r="C2" s="65"/>
      <c r="D2" s="65"/>
      <c r="E2" s="65"/>
      <c r="F2" s="65"/>
      <c r="G2" s="66"/>
    </row>
    <row r="3" spans="1:10" ht="16.5" thickBot="1" x14ac:dyDescent="0.3">
      <c r="A3" s="202" t="s">
        <v>118</v>
      </c>
      <c r="B3" s="202"/>
      <c r="C3" s="67" t="str">
        <f>'[2]SAF 011'!C4</f>
        <v>040 - MINISTERIO DE SALUD</v>
      </c>
      <c r="D3" s="68"/>
      <c r="E3" s="68"/>
      <c r="F3" s="68"/>
      <c r="G3" s="69"/>
    </row>
    <row r="4" spans="1:10" ht="16.5" thickBot="1" x14ac:dyDescent="0.3">
      <c r="A4" s="200" t="s">
        <v>119</v>
      </c>
      <c r="B4" s="200"/>
      <c r="C4" s="67" t="str">
        <f>'[2]SAF 011'!C5</f>
        <v>011 - DIRECCION PROVINCIAL DE ADMINISTRACION - MINISTERIO DE SALUD</v>
      </c>
      <c r="D4" s="68"/>
      <c r="E4" s="68"/>
      <c r="F4" s="68"/>
      <c r="G4" s="69"/>
    </row>
    <row r="5" spans="1:10" ht="16.5" thickBot="1" x14ac:dyDescent="0.3">
      <c r="A5" s="200" t="s">
        <v>120</v>
      </c>
      <c r="B5" s="200"/>
      <c r="C5" s="67" t="s">
        <v>171</v>
      </c>
      <c r="D5" s="68"/>
      <c r="E5" s="68"/>
      <c r="F5" s="68"/>
      <c r="G5" s="69"/>
    </row>
    <row r="6" spans="1:10" ht="16.5" thickBot="1" x14ac:dyDescent="0.3">
      <c r="A6" s="202" t="s">
        <v>122</v>
      </c>
      <c r="B6" s="202"/>
      <c r="C6" s="67" t="s">
        <v>171</v>
      </c>
      <c r="D6" s="68"/>
      <c r="E6" s="68"/>
      <c r="F6" s="68"/>
      <c r="G6" s="69"/>
    </row>
    <row r="7" spans="1:10" ht="16.5" thickBot="1" x14ac:dyDescent="0.3">
      <c r="A7" s="200" t="s">
        <v>123</v>
      </c>
      <c r="B7" s="200"/>
      <c r="C7" s="67" t="s">
        <v>124</v>
      </c>
      <c r="D7" s="68"/>
      <c r="E7" s="68"/>
      <c r="F7" s="68"/>
      <c r="G7" s="69"/>
    </row>
    <row r="8" spans="1:10" ht="16.5" thickBot="1" x14ac:dyDescent="0.3">
      <c r="A8" s="198" t="s">
        <v>125</v>
      </c>
      <c r="B8" s="198"/>
      <c r="C8" s="70" t="s">
        <v>158</v>
      </c>
      <c r="D8" s="68"/>
      <c r="E8" s="68"/>
      <c r="F8" s="68"/>
      <c r="G8" s="69"/>
    </row>
    <row r="9" spans="1:10" ht="15.75" x14ac:dyDescent="0.25">
      <c r="A9" s="71"/>
      <c r="B9" s="72"/>
      <c r="C9" s="73"/>
      <c r="D9" s="73"/>
      <c r="E9" s="73"/>
      <c r="F9" s="73"/>
      <c r="G9" s="74"/>
    </row>
    <row r="10" spans="1:10" x14ac:dyDescent="0.25">
      <c r="A10" s="199" t="s">
        <v>126</v>
      </c>
      <c r="B10" s="197" t="s">
        <v>127</v>
      </c>
      <c r="C10" s="197" t="s">
        <v>161</v>
      </c>
      <c r="D10" s="197" t="s">
        <v>128</v>
      </c>
      <c r="E10" s="197" t="s">
        <v>129</v>
      </c>
      <c r="F10" s="197" t="s">
        <v>130</v>
      </c>
      <c r="G10" s="197" t="s">
        <v>131</v>
      </c>
    </row>
    <row r="11" spans="1:10" ht="33" customHeight="1" x14ac:dyDescent="0.25">
      <c r="A11" s="199"/>
      <c r="B11" s="197"/>
      <c r="C11" s="197"/>
      <c r="D11" s="197"/>
      <c r="E11" s="197"/>
      <c r="F11" s="197"/>
      <c r="G11" s="197"/>
      <c r="H11" s="161"/>
      <c r="I11" s="161"/>
      <c r="J11" s="161"/>
    </row>
    <row r="12" spans="1:10" ht="25.5" x14ac:dyDescent="0.25">
      <c r="A12" s="141">
        <v>1</v>
      </c>
      <c r="B12" s="29" t="s">
        <v>25</v>
      </c>
      <c r="C12" s="34" t="s">
        <v>26</v>
      </c>
      <c r="D12" s="135" t="s">
        <v>132</v>
      </c>
      <c r="E12" s="33" t="s">
        <v>24</v>
      </c>
      <c r="F12" s="39">
        <v>100</v>
      </c>
      <c r="G12" s="38">
        <v>30</v>
      </c>
      <c r="H12" s="162">
        <f>+G12*F12</f>
        <v>3000</v>
      </c>
      <c r="I12" s="161"/>
      <c r="J12" s="162">
        <f>+H12+H13+H14+H15+H16+H18+H20</f>
        <v>12350</v>
      </c>
    </row>
    <row r="13" spans="1:10" ht="25.5" x14ac:dyDescent="0.25">
      <c r="A13" s="141">
        <v>2</v>
      </c>
      <c r="B13" s="29" t="s">
        <v>29</v>
      </c>
      <c r="C13" s="34" t="s">
        <v>30</v>
      </c>
      <c r="D13" s="135" t="s">
        <v>132</v>
      </c>
      <c r="E13" s="33" t="s">
        <v>16</v>
      </c>
      <c r="F13" s="43">
        <v>290</v>
      </c>
      <c r="G13" s="38">
        <v>5</v>
      </c>
      <c r="H13" s="162">
        <f t="shared" ref="H13:H20" si="0">+G13*F13</f>
        <v>1450</v>
      </c>
      <c r="I13" s="161"/>
      <c r="J13" s="161"/>
    </row>
    <row r="14" spans="1:10" ht="38.25" x14ac:dyDescent="0.25">
      <c r="A14" s="141">
        <v>3</v>
      </c>
      <c r="B14" s="44" t="s">
        <v>33</v>
      </c>
      <c r="C14" s="45" t="s">
        <v>34</v>
      </c>
      <c r="D14" s="135" t="s">
        <v>132</v>
      </c>
      <c r="E14" s="37" t="s">
        <v>16</v>
      </c>
      <c r="F14" s="43">
        <v>120</v>
      </c>
      <c r="G14" s="38">
        <v>5</v>
      </c>
      <c r="H14" s="162">
        <f t="shared" si="0"/>
        <v>600</v>
      </c>
      <c r="I14" s="161"/>
      <c r="J14" s="163">
        <f>+H17+H19</f>
        <v>6500</v>
      </c>
    </row>
    <row r="15" spans="1:10" x14ac:dyDescent="0.25">
      <c r="A15" s="141">
        <v>4</v>
      </c>
      <c r="B15" s="18" t="s">
        <v>44</v>
      </c>
      <c r="C15" s="34" t="s">
        <v>45</v>
      </c>
      <c r="D15" s="135" t="s">
        <v>132</v>
      </c>
      <c r="E15" s="33" t="s">
        <v>16</v>
      </c>
      <c r="F15" s="39">
        <v>400</v>
      </c>
      <c r="G15" s="38">
        <v>2</v>
      </c>
      <c r="H15" s="162">
        <f t="shared" si="0"/>
        <v>800</v>
      </c>
      <c r="I15" s="161"/>
      <c r="J15" s="161"/>
    </row>
    <row r="16" spans="1:10" x14ac:dyDescent="0.25">
      <c r="A16" s="141">
        <v>5</v>
      </c>
      <c r="B16" s="29" t="s">
        <v>50</v>
      </c>
      <c r="C16" s="34" t="s">
        <v>51</v>
      </c>
      <c r="D16" s="135" t="s">
        <v>132</v>
      </c>
      <c r="E16" s="33" t="s">
        <v>16</v>
      </c>
      <c r="F16" s="39">
        <v>450</v>
      </c>
      <c r="G16" s="38">
        <v>3</v>
      </c>
      <c r="H16" s="162">
        <f t="shared" si="0"/>
        <v>1350</v>
      </c>
      <c r="I16" s="161"/>
      <c r="J16" s="161"/>
    </row>
    <row r="17" spans="1:10" s="23" customFormat="1" ht="38.25" x14ac:dyDescent="0.25">
      <c r="A17" s="141">
        <v>6</v>
      </c>
      <c r="B17" s="29" t="s">
        <v>55</v>
      </c>
      <c r="C17" s="34" t="s">
        <v>56</v>
      </c>
      <c r="D17" s="135" t="s">
        <v>132</v>
      </c>
      <c r="E17" s="33" t="s">
        <v>24</v>
      </c>
      <c r="F17" s="39">
        <v>350</v>
      </c>
      <c r="G17" s="38">
        <v>10</v>
      </c>
      <c r="H17" s="162">
        <f t="shared" si="0"/>
        <v>3500</v>
      </c>
      <c r="I17" s="161"/>
      <c r="J17" s="161"/>
    </row>
    <row r="18" spans="1:10" s="23" customFormat="1" ht="25.5" x14ac:dyDescent="0.25">
      <c r="A18" s="141">
        <v>7</v>
      </c>
      <c r="B18" s="29" t="s">
        <v>63</v>
      </c>
      <c r="C18" s="45" t="s">
        <v>64</v>
      </c>
      <c r="D18" s="135" t="s">
        <v>132</v>
      </c>
      <c r="E18" s="33" t="s">
        <v>16</v>
      </c>
      <c r="F18" s="39">
        <v>115</v>
      </c>
      <c r="G18" s="38">
        <v>10</v>
      </c>
      <c r="H18" s="162">
        <f t="shared" si="0"/>
        <v>1150</v>
      </c>
      <c r="I18" s="161"/>
      <c r="J18" s="161"/>
    </row>
    <row r="19" spans="1:10" ht="25.5" x14ac:dyDescent="0.25">
      <c r="A19" s="141">
        <v>8</v>
      </c>
      <c r="B19" s="49" t="s">
        <v>86</v>
      </c>
      <c r="C19" s="50" t="s">
        <v>88</v>
      </c>
      <c r="D19" s="135" t="s">
        <v>132</v>
      </c>
      <c r="E19" s="29" t="s">
        <v>70</v>
      </c>
      <c r="F19" s="51">
        <v>300</v>
      </c>
      <c r="G19" s="38">
        <v>10</v>
      </c>
      <c r="H19" s="162">
        <f t="shared" si="0"/>
        <v>3000</v>
      </c>
      <c r="I19" s="161"/>
      <c r="J19" s="161"/>
    </row>
    <row r="20" spans="1:10" ht="25.5" x14ac:dyDescent="0.25">
      <c r="A20" s="141">
        <v>9</v>
      </c>
      <c r="B20" s="49" t="s">
        <v>91</v>
      </c>
      <c r="C20" s="50" t="s">
        <v>92</v>
      </c>
      <c r="D20" s="135" t="s">
        <v>132</v>
      </c>
      <c r="E20" s="29" t="s">
        <v>16</v>
      </c>
      <c r="F20" s="51">
        <v>2000</v>
      </c>
      <c r="G20" s="38">
        <v>2</v>
      </c>
      <c r="H20" s="162">
        <f t="shared" si="0"/>
        <v>4000</v>
      </c>
      <c r="I20" s="161"/>
      <c r="J20" s="161"/>
    </row>
    <row r="21" spans="1:10" ht="18.75" x14ac:dyDescent="0.25">
      <c r="A21" s="195" t="s">
        <v>173</v>
      </c>
      <c r="B21" s="195"/>
      <c r="C21" s="195"/>
      <c r="D21" s="195"/>
      <c r="E21" s="195"/>
      <c r="F21" s="196">
        <v>18850</v>
      </c>
      <c r="G21" s="196"/>
      <c r="H21" s="161"/>
      <c r="I21" s="161"/>
      <c r="J21" s="161"/>
    </row>
    <row r="22" spans="1:10" x14ac:dyDescent="0.25">
      <c r="A22" s="23"/>
      <c r="B22" s="23"/>
      <c r="C22" s="23"/>
      <c r="D22" s="23"/>
      <c r="E22" s="23"/>
      <c r="F22" s="23"/>
      <c r="G22" s="23"/>
    </row>
    <row r="23" spans="1:10" x14ac:dyDescent="0.25">
      <c r="G23" s="80"/>
    </row>
  </sheetData>
  <mergeCells count="16">
    <mergeCell ref="A7:B7"/>
    <mergeCell ref="A1:E1"/>
    <mergeCell ref="A3:B3"/>
    <mergeCell ref="A4:B4"/>
    <mergeCell ref="A5:B5"/>
    <mergeCell ref="A6:B6"/>
    <mergeCell ref="F10:F11"/>
    <mergeCell ref="G10:G11"/>
    <mergeCell ref="A21:E21"/>
    <mergeCell ref="F21:G21"/>
    <mergeCell ref="A8:B8"/>
    <mergeCell ref="A10:A11"/>
    <mergeCell ref="B10:B11"/>
    <mergeCell ref="C10:C11"/>
    <mergeCell ref="D10:D11"/>
    <mergeCell ref="E10:E11"/>
  </mergeCells>
  <conditionalFormatting sqref="B17:B20 B12:B14">
    <cfRule type="duplicateValues" dxfId="15" priority="13"/>
  </conditionalFormatting>
  <conditionalFormatting sqref="B17:B20 B12:B15">
    <cfRule type="duplicateValues" dxfId="14" priority="14"/>
  </conditionalFormatting>
  <conditionalFormatting sqref="B12:B20">
    <cfRule type="duplicateValues" dxfId="13" priority="15"/>
  </conditionalFormatting>
  <conditionalFormatting sqref="B12:B20">
    <cfRule type="duplicateValues" dxfId="12" priority="16"/>
  </conditionalFormatting>
  <conditionalFormatting sqref="B15">
    <cfRule type="duplicateValues" dxfId="11" priority="12"/>
  </conditionalFormatting>
  <conditionalFormatting sqref="B16">
    <cfRule type="duplicateValues" dxfId="10" priority="10"/>
  </conditionalFormatting>
  <conditionalFormatting sqref="B16">
    <cfRule type="duplicateValues" dxfId="9" priority="11"/>
  </conditionalFormatting>
  <conditionalFormatting sqref="C12:C20">
    <cfRule type="duplicateValues" dxfId="8" priority="4"/>
  </conditionalFormatting>
  <conditionalFormatting sqref="C12:C20">
    <cfRule type="duplicateValues" dxfId="7" priority="5"/>
    <cfRule type="duplicateValues" dxfId="6" priority="6"/>
  </conditionalFormatting>
  <conditionalFormatting sqref="C17:C20 C12:C14">
    <cfRule type="duplicateValues" dxfId="5" priority="7"/>
  </conditionalFormatting>
  <conditionalFormatting sqref="C17:C20 C12:C15">
    <cfRule type="duplicateValues" dxfId="4" priority="8"/>
  </conditionalFormatting>
  <conditionalFormatting sqref="C12:C20">
    <cfRule type="duplicateValues" dxfId="3" priority="9"/>
  </conditionalFormatting>
  <conditionalFormatting sqref="C15">
    <cfRule type="duplicateValues" dxfId="2" priority="3"/>
  </conditionalFormatting>
  <conditionalFormatting sqref="C16">
    <cfRule type="duplicateValues" dxfId="1" priority="1"/>
  </conditionalFormatting>
  <conditionalFormatting sqref="C16">
    <cfRule type="duplicateValues" dxfId="0" priority="2"/>
  </conditionalFormatting>
  <pageMargins left="0.70866141732283472" right="0.70866141732283472" top="0.74803149606299213" bottom="0.74803149606299213" header="0.31496062992125984" footer="0.31496062992125984"/>
  <pageSetup paperSize="5" scale="90" orientation="landscape" r:id="rId1"/>
  <colBreaks count="1" manualBreakCount="1">
    <brk id="7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Q41"/>
  <sheetViews>
    <sheetView topLeftCell="A22" zoomScaleNormal="100" workbookViewId="0">
      <selection activeCell="C51" sqref="C51"/>
    </sheetView>
  </sheetViews>
  <sheetFormatPr baseColWidth="10" defaultRowHeight="15" x14ac:dyDescent="0.25"/>
  <cols>
    <col min="1" max="14" width="5.85546875" customWidth="1"/>
    <col min="16" max="16" width="22.140625" customWidth="1"/>
    <col min="17" max="17" width="18.7109375" customWidth="1"/>
  </cols>
  <sheetData>
    <row r="1" spans="1:17" ht="15.75" thickBot="1" x14ac:dyDescent="0.3">
      <c r="A1" s="222" t="s">
        <v>5</v>
      </c>
      <c r="B1" s="222"/>
      <c r="C1" s="222"/>
      <c r="D1" s="223">
        <v>2022</v>
      </c>
      <c r="E1" s="223"/>
      <c r="F1" s="86"/>
      <c r="G1" s="86"/>
      <c r="H1" s="87"/>
      <c r="I1" s="87"/>
      <c r="J1" s="87"/>
      <c r="K1" s="87"/>
      <c r="L1" s="87"/>
      <c r="M1" s="87"/>
      <c r="N1" s="87"/>
      <c r="O1" s="88"/>
      <c r="P1" s="224" t="s">
        <v>133</v>
      </c>
      <c r="Q1" s="224"/>
    </row>
    <row r="2" spans="1:17" ht="15.75" thickBot="1" x14ac:dyDescent="0.3">
      <c r="A2" s="89"/>
      <c r="B2" s="90"/>
      <c r="C2" s="90"/>
      <c r="D2" s="90"/>
      <c r="E2" s="90"/>
      <c r="F2" s="90"/>
      <c r="G2" s="91"/>
      <c r="H2" s="92"/>
      <c r="I2" s="92"/>
      <c r="J2" s="92"/>
      <c r="K2" s="92"/>
      <c r="L2" s="92"/>
      <c r="M2" s="92"/>
      <c r="N2" s="92"/>
      <c r="O2" s="90"/>
      <c r="P2" s="224"/>
      <c r="Q2" s="224"/>
    </row>
    <row r="3" spans="1:17" ht="15.75" thickBot="1" x14ac:dyDescent="0.3">
      <c r="A3" s="89"/>
      <c r="B3" s="90"/>
      <c r="C3" s="90"/>
      <c r="D3" s="90"/>
      <c r="E3" s="90"/>
      <c r="F3" s="90"/>
      <c r="G3" s="91"/>
      <c r="H3" s="90"/>
      <c r="I3" s="90"/>
      <c r="J3" s="90"/>
      <c r="K3" s="90"/>
      <c r="L3" s="90"/>
      <c r="M3" s="90"/>
      <c r="N3" s="90"/>
      <c r="O3" s="90"/>
      <c r="P3" s="90"/>
      <c r="Q3" s="93"/>
    </row>
    <row r="4" spans="1:17" ht="15.75" thickBot="1" x14ac:dyDescent="0.3">
      <c r="A4" s="225" t="s">
        <v>134</v>
      </c>
      <c r="B4" s="225"/>
      <c r="C4" s="225"/>
      <c r="D4" s="225"/>
      <c r="E4" s="225"/>
      <c r="F4" s="225"/>
      <c r="G4" s="226" t="str">
        <f>'[1]NP DPBS'!D3</f>
        <v>040 - MINISTERIO DE SALUD</v>
      </c>
      <c r="H4" s="226"/>
      <c r="I4" s="226"/>
      <c r="J4" s="226"/>
      <c r="K4" s="226"/>
      <c r="L4" s="226"/>
      <c r="M4" s="226"/>
      <c r="N4" s="226"/>
      <c r="O4" s="226"/>
      <c r="P4" s="226"/>
      <c r="Q4" s="226"/>
    </row>
    <row r="5" spans="1:17" ht="15.75" thickBot="1" x14ac:dyDescent="0.3">
      <c r="A5" s="227" t="s">
        <v>119</v>
      </c>
      <c r="B5" s="227"/>
      <c r="C5" s="227"/>
      <c r="D5" s="227"/>
      <c r="E5" s="227"/>
      <c r="F5" s="227"/>
      <c r="G5" s="226" t="str">
        <f>'[1]NP DPBS'!D4</f>
        <v>011 - DIRECCION PROVINCIAL DE ADMINISTRACION - MINISTERIO DE SALUD</v>
      </c>
      <c r="H5" s="226"/>
      <c r="I5" s="226"/>
      <c r="J5" s="226"/>
      <c r="K5" s="226"/>
      <c r="L5" s="226"/>
      <c r="M5" s="226"/>
      <c r="N5" s="226"/>
      <c r="O5" s="226"/>
      <c r="P5" s="226"/>
      <c r="Q5" s="226"/>
    </row>
    <row r="6" spans="1:17" ht="15.75" thickBot="1" x14ac:dyDescent="0.3">
      <c r="A6" s="227" t="s">
        <v>120</v>
      </c>
      <c r="B6" s="227"/>
      <c r="C6" s="227"/>
      <c r="D6" s="227"/>
      <c r="E6" s="227"/>
      <c r="F6" s="227"/>
      <c r="G6" s="226" t="s">
        <v>171</v>
      </c>
      <c r="H6" s="226"/>
      <c r="I6" s="226"/>
      <c r="J6" s="226"/>
      <c r="K6" s="226"/>
      <c r="L6" s="226"/>
      <c r="M6" s="226"/>
      <c r="N6" s="226"/>
      <c r="O6" s="226"/>
      <c r="P6" s="226"/>
      <c r="Q6" s="226"/>
    </row>
    <row r="7" spans="1:17" ht="15.75" thickBot="1" x14ac:dyDescent="0.3">
      <c r="A7" s="227" t="s">
        <v>122</v>
      </c>
      <c r="B7" s="227"/>
      <c r="C7" s="227"/>
      <c r="D7" s="227"/>
      <c r="E7" s="227"/>
      <c r="F7" s="227"/>
      <c r="G7" s="226" t="s">
        <v>171</v>
      </c>
      <c r="H7" s="226"/>
      <c r="I7" s="226"/>
      <c r="J7" s="226"/>
      <c r="K7" s="226"/>
      <c r="L7" s="226"/>
      <c r="M7" s="226"/>
      <c r="N7" s="226"/>
      <c r="O7" s="226"/>
      <c r="P7" s="226"/>
      <c r="Q7" s="226"/>
    </row>
    <row r="8" spans="1:17" ht="15.75" thickBot="1" x14ac:dyDescent="0.3">
      <c r="A8" s="228" t="s">
        <v>135</v>
      </c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  <c r="M8" s="228"/>
      <c r="N8" s="228"/>
      <c r="O8" s="228"/>
      <c r="P8" s="228"/>
      <c r="Q8" s="228"/>
    </row>
    <row r="9" spans="1:17" x14ac:dyDescent="0.25">
      <c r="A9" s="221" t="s">
        <v>136</v>
      </c>
      <c r="B9" s="221"/>
      <c r="C9" s="221"/>
      <c r="D9" s="221"/>
      <c r="E9" s="221"/>
      <c r="F9" s="221"/>
      <c r="G9" s="221"/>
      <c r="H9" s="221"/>
      <c r="I9" s="221"/>
      <c r="J9" s="221"/>
      <c r="K9" s="221"/>
      <c r="L9" s="221"/>
      <c r="M9" s="221"/>
      <c r="N9" s="221"/>
      <c r="O9" s="221"/>
      <c r="P9" s="221"/>
      <c r="Q9" s="221"/>
    </row>
    <row r="10" spans="1:17" x14ac:dyDescent="0.25">
      <c r="A10" s="212" t="s">
        <v>137</v>
      </c>
      <c r="B10" s="212"/>
      <c r="C10" s="212"/>
      <c r="D10" s="212"/>
      <c r="E10" s="212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</row>
    <row r="11" spans="1:17" ht="15.75" thickBot="1" x14ac:dyDescent="0.3">
      <c r="A11" s="94"/>
      <c r="B11" s="95"/>
      <c r="C11" s="95"/>
      <c r="D11" s="95"/>
      <c r="E11" s="95"/>
      <c r="F11" s="95"/>
      <c r="G11" s="96"/>
      <c r="H11" s="95"/>
      <c r="I11" s="95"/>
      <c r="J11" s="95"/>
      <c r="K11" s="95"/>
      <c r="L11" s="95"/>
      <c r="M11" s="95"/>
      <c r="N11" s="95"/>
      <c r="O11" s="95"/>
      <c r="P11" s="95"/>
      <c r="Q11" s="97"/>
    </row>
    <row r="12" spans="1:17" ht="15.75" thickBot="1" x14ac:dyDescent="0.3">
      <c r="A12" s="213" t="s">
        <v>138</v>
      </c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</row>
    <row r="13" spans="1:17" ht="15.75" thickBot="1" x14ac:dyDescent="0.3">
      <c r="A13" s="214" t="s">
        <v>139</v>
      </c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5" t="s">
        <v>140</v>
      </c>
      <c r="P13" s="215"/>
      <c r="Q13" s="216" t="s">
        <v>141</v>
      </c>
    </row>
    <row r="14" spans="1:17" ht="15.75" thickBot="1" x14ac:dyDescent="0.3">
      <c r="A14" s="98" t="s">
        <v>142</v>
      </c>
      <c r="B14" s="99" t="s">
        <v>143</v>
      </c>
      <c r="C14" s="99" t="s">
        <v>144</v>
      </c>
      <c r="D14" s="99" t="s">
        <v>145</v>
      </c>
      <c r="E14" s="99" t="s">
        <v>146</v>
      </c>
      <c r="F14" s="99" t="s">
        <v>147</v>
      </c>
      <c r="G14" s="100" t="s">
        <v>148</v>
      </c>
      <c r="H14" s="99" t="s">
        <v>149</v>
      </c>
      <c r="I14" s="99" t="s">
        <v>150</v>
      </c>
      <c r="J14" s="99" t="s">
        <v>151</v>
      </c>
      <c r="K14" s="99" t="s">
        <v>151</v>
      </c>
      <c r="L14" s="99" t="s">
        <v>152</v>
      </c>
      <c r="M14" s="101" t="s">
        <v>153</v>
      </c>
      <c r="N14" s="102" t="s">
        <v>154</v>
      </c>
      <c r="O14" s="215"/>
      <c r="P14" s="215"/>
      <c r="Q14" s="216"/>
    </row>
    <row r="15" spans="1:17" x14ac:dyDescent="0.25">
      <c r="A15" s="129">
        <v>40</v>
      </c>
      <c r="B15" s="129"/>
      <c r="C15" s="129"/>
      <c r="D15" s="129">
        <v>1</v>
      </c>
      <c r="E15" s="129"/>
      <c r="F15" s="129">
        <v>4901</v>
      </c>
      <c r="G15" s="129">
        <v>3</v>
      </c>
      <c r="H15" s="129">
        <v>1</v>
      </c>
      <c r="I15" s="129">
        <v>2</v>
      </c>
      <c r="J15" s="129">
        <v>3</v>
      </c>
      <c r="K15" s="129">
        <v>4</v>
      </c>
      <c r="L15" s="129"/>
      <c r="M15" s="129">
        <v>1</v>
      </c>
      <c r="N15" s="129" t="s">
        <v>155</v>
      </c>
      <c r="O15" s="229" t="s">
        <v>174</v>
      </c>
      <c r="P15" s="217"/>
      <c r="Q15" s="103">
        <v>6500</v>
      </c>
    </row>
    <row r="16" spans="1:17" x14ac:dyDescent="0.25">
      <c r="A16" s="129">
        <v>40</v>
      </c>
      <c r="B16" s="129"/>
      <c r="C16" s="129"/>
      <c r="D16" s="129">
        <v>1</v>
      </c>
      <c r="E16" s="129"/>
      <c r="F16" s="129">
        <v>4901</v>
      </c>
      <c r="G16" s="129">
        <v>3</v>
      </c>
      <c r="H16" s="129">
        <v>1</v>
      </c>
      <c r="I16" s="105">
        <v>2</v>
      </c>
      <c r="J16" s="105">
        <v>9</v>
      </c>
      <c r="K16" s="105">
        <v>1</v>
      </c>
      <c r="L16" s="105"/>
      <c r="M16" s="129">
        <v>1</v>
      </c>
      <c r="N16" s="129" t="s">
        <v>155</v>
      </c>
      <c r="O16" s="230" t="s">
        <v>17</v>
      </c>
      <c r="P16" s="218"/>
      <c r="Q16" s="108">
        <v>12350</v>
      </c>
    </row>
    <row r="17" spans="1:17" x14ac:dyDescent="0.25">
      <c r="A17" s="104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6"/>
      <c r="N17" s="138"/>
      <c r="O17" s="211"/>
      <c r="P17" s="211"/>
      <c r="Q17" s="108"/>
    </row>
    <row r="18" spans="1:17" x14ac:dyDescent="0.25">
      <c r="A18" s="104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6"/>
      <c r="N18" s="138"/>
      <c r="O18" s="211"/>
      <c r="P18" s="211"/>
      <c r="Q18" s="108"/>
    </row>
    <row r="19" spans="1:17" x14ac:dyDescent="0.25">
      <c r="A19" s="104"/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6"/>
      <c r="N19" s="138"/>
      <c r="O19" s="211"/>
      <c r="P19" s="211"/>
      <c r="Q19" s="108"/>
    </row>
    <row r="20" spans="1:17" x14ac:dyDescent="0.25">
      <c r="A20" s="104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6"/>
      <c r="N20" s="138"/>
      <c r="O20" s="211"/>
      <c r="P20" s="211"/>
      <c r="Q20" s="108"/>
    </row>
    <row r="21" spans="1:17" x14ac:dyDescent="0.25">
      <c r="A21" s="104"/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6"/>
      <c r="N21" s="138"/>
      <c r="O21" s="211"/>
      <c r="P21" s="211"/>
      <c r="Q21" s="108"/>
    </row>
    <row r="22" spans="1:17" x14ac:dyDescent="0.25">
      <c r="A22" s="104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6"/>
      <c r="N22" s="138"/>
      <c r="O22" s="211"/>
      <c r="P22" s="211"/>
      <c r="Q22" s="108"/>
    </row>
    <row r="23" spans="1:17" x14ac:dyDescent="0.25">
      <c r="A23" s="104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6"/>
      <c r="N23" s="138"/>
      <c r="O23" s="211"/>
      <c r="P23" s="211"/>
      <c r="Q23" s="108"/>
    </row>
    <row r="24" spans="1:17" x14ac:dyDescent="0.25">
      <c r="A24" s="104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6"/>
      <c r="N24" s="138"/>
      <c r="O24" s="211"/>
      <c r="P24" s="211"/>
      <c r="Q24" s="108"/>
    </row>
    <row r="25" spans="1:17" x14ac:dyDescent="0.25">
      <c r="A25" s="104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6"/>
      <c r="N25" s="138"/>
      <c r="O25" s="211"/>
      <c r="P25" s="211"/>
      <c r="Q25" s="108"/>
    </row>
    <row r="26" spans="1:17" x14ac:dyDescent="0.25">
      <c r="A26" s="104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6"/>
      <c r="N26" s="138"/>
      <c r="O26" s="211"/>
      <c r="P26" s="211"/>
      <c r="Q26" s="108"/>
    </row>
    <row r="27" spans="1:17" x14ac:dyDescent="0.25">
      <c r="A27" s="104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6"/>
      <c r="N27" s="138"/>
      <c r="O27" s="211"/>
      <c r="P27" s="211"/>
      <c r="Q27" s="108"/>
    </row>
    <row r="28" spans="1:17" x14ac:dyDescent="0.25">
      <c r="A28" s="104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6"/>
      <c r="N28" s="138"/>
      <c r="O28" s="211"/>
      <c r="P28" s="211"/>
      <c r="Q28" s="108"/>
    </row>
    <row r="29" spans="1:17" x14ac:dyDescent="0.25">
      <c r="A29" s="104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6"/>
      <c r="N29" s="138"/>
      <c r="O29" s="211"/>
      <c r="P29" s="211"/>
      <c r="Q29" s="108"/>
    </row>
    <row r="30" spans="1:17" x14ac:dyDescent="0.25">
      <c r="A30" s="104"/>
      <c r="B30" s="105"/>
      <c r="C30" s="105"/>
      <c r="D30" s="105"/>
      <c r="E30" s="105"/>
      <c r="F30" s="138"/>
      <c r="G30" s="105"/>
      <c r="H30" s="105"/>
      <c r="I30" s="105"/>
      <c r="J30" s="105"/>
      <c r="K30" s="105"/>
      <c r="L30" s="105"/>
      <c r="M30" s="106"/>
      <c r="N30" s="138"/>
      <c r="O30" s="206"/>
      <c r="P30" s="206"/>
      <c r="Q30" s="108"/>
    </row>
    <row r="31" spans="1:17" x14ac:dyDescent="0.25">
      <c r="A31" s="104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6"/>
      <c r="N31" s="138"/>
      <c r="O31" s="206"/>
      <c r="P31" s="206"/>
      <c r="Q31" s="108"/>
    </row>
    <row r="32" spans="1:17" x14ac:dyDescent="0.25">
      <c r="A32" s="104"/>
      <c r="B32" s="105"/>
      <c r="C32" s="105"/>
      <c r="D32" s="105"/>
      <c r="E32" s="105"/>
      <c r="F32" s="138"/>
      <c r="G32" s="105"/>
      <c r="H32" s="105"/>
      <c r="I32" s="105"/>
      <c r="J32" s="105"/>
      <c r="K32" s="105"/>
      <c r="L32" s="105"/>
      <c r="M32" s="106"/>
      <c r="N32" s="138"/>
      <c r="O32" s="206"/>
      <c r="P32" s="206"/>
      <c r="Q32" s="108"/>
    </row>
    <row r="33" spans="1:17" x14ac:dyDescent="0.25">
      <c r="A33" s="104"/>
      <c r="B33" s="105"/>
      <c r="C33" s="105"/>
      <c r="D33" s="105"/>
      <c r="E33" s="105"/>
      <c r="F33" s="138"/>
      <c r="G33" s="105"/>
      <c r="H33" s="105"/>
      <c r="I33" s="105"/>
      <c r="J33" s="105"/>
      <c r="K33" s="105"/>
      <c r="L33" s="105"/>
      <c r="M33" s="106"/>
      <c r="N33" s="138"/>
      <c r="O33" s="206"/>
      <c r="P33" s="206"/>
      <c r="Q33" s="108"/>
    </row>
    <row r="34" spans="1:17" x14ac:dyDescent="0.25">
      <c r="A34" s="109"/>
      <c r="B34" s="110"/>
      <c r="C34" s="110"/>
      <c r="D34" s="110"/>
      <c r="E34" s="110"/>
      <c r="F34" s="111"/>
      <c r="G34" s="110"/>
      <c r="H34" s="110"/>
      <c r="I34" s="110"/>
      <c r="J34" s="110"/>
      <c r="K34" s="110"/>
      <c r="L34" s="110"/>
      <c r="M34" s="112"/>
      <c r="N34" s="113"/>
      <c r="O34" s="207"/>
      <c r="P34" s="207"/>
      <c r="Q34" s="108"/>
    </row>
    <row r="35" spans="1:17" ht="15.75" thickBot="1" x14ac:dyDescent="0.3">
      <c r="A35" s="114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6"/>
      <c r="N35" s="115"/>
      <c r="O35" s="208"/>
      <c r="P35" s="208"/>
      <c r="Q35" s="117"/>
    </row>
    <row r="36" spans="1:17" ht="15.75" thickBot="1" x14ac:dyDescent="0.3">
      <c r="A36" s="209" t="s">
        <v>172</v>
      </c>
      <c r="B36" s="209"/>
      <c r="C36" s="209"/>
      <c r="D36" s="209"/>
      <c r="E36" s="209"/>
      <c r="F36" s="209"/>
      <c r="G36" s="209"/>
      <c r="H36" s="209"/>
      <c r="I36" s="209"/>
      <c r="J36" s="209"/>
      <c r="K36" s="209"/>
      <c r="L36" s="209"/>
      <c r="M36" s="209"/>
      <c r="N36" s="209"/>
      <c r="O36" s="209"/>
      <c r="P36" s="209"/>
      <c r="Q36" s="118">
        <f>SUM(Q15:Q35)</f>
        <v>18850</v>
      </c>
    </row>
    <row r="37" spans="1:17" ht="15.75" thickBot="1" x14ac:dyDescent="0.3">
      <c r="A37" s="210"/>
      <c r="B37" s="210"/>
      <c r="C37" s="210"/>
      <c r="D37" s="210"/>
      <c r="E37" s="210"/>
      <c r="F37" s="210"/>
      <c r="G37" s="210"/>
      <c r="H37" s="210"/>
      <c r="I37" s="210"/>
      <c r="J37" s="210"/>
      <c r="K37" s="210"/>
      <c r="L37" s="210"/>
      <c r="M37" s="210"/>
      <c r="N37" s="210"/>
      <c r="O37" s="210"/>
      <c r="P37" s="210"/>
      <c r="Q37" s="210"/>
    </row>
    <row r="38" spans="1:17" ht="15.75" thickBot="1" x14ac:dyDescent="0.3">
      <c r="A38" s="203" t="s">
        <v>156</v>
      </c>
      <c r="B38" s="203"/>
      <c r="C38" s="203"/>
      <c r="D38" s="203"/>
      <c r="E38" s="203"/>
      <c r="F38" s="203"/>
      <c r="G38" s="204"/>
      <c r="H38" s="204"/>
      <c r="I38" s="204"/>
      <c r="J38" s="204"/>
      <c r="K38" s="204"/>
      <c r="L38" s="204"/>
      <c r="M38" s="204"/>
      <c r="N38" s="204"/>
      <c r="O38" s="204"/>
      <c r="P38" s="204"/>
      <c r="Q38" s="204"/>
    </row>
    <row r="39" spans="1:17" ht="15.75" thickBot="1" x14ac:dyDescent="0.3">
      <c r="A39" s="205" t="s">
        <v>158</v>
      </c>
      <c r="B39" s="205"/>
      <c r="C39" s="205"/>
      <c r="D39" s="205"/>
      <c r="E39" s="205"/>
      <c r="F39" s="205"/>
      <c r="G39" s="205"/>
      <c r="H39" s="205"/>
      <c r="I39" s="205"/>
      <c r="J39" s="205"/>
      <c r="K39" s="205"/>
      <c r="L39" s="205"/>
      <c r="M39" s="205"/>
      <c r="N39" s="205"/>
      <c r="O39" s="205"/>
      <c r="P39" s="205"/>
      <c r="Q39" s="205"/>
    </row>
    <row r="40" spans="1:17" ht="15.75" thickBot="1" x14ac:dyDescent="0.3">
      <c r="A40" s="205"/>
      <c r="B40" s="205"/>
      <c r="C40" s="205"/>
      <c r="D40" s="205"/>
      <c r="E40" s="205"/>
      <c r="F40" s="205"/>
      <c r="G40" s="205"/>
      <c r="H40" s="205"/>
      <c r="I40" s="205"/>
      <c r="J40" s="205"/>
      <c r="K40" s="205"/>
      <c r="L40" s="205"/>
      <c r="M40" s="205"/>
      <c r="N40" s="205"/>
      <c r="O40" s="205"/>
      <c r="P40" s="205"/>
      <c r="Q40" s="205"/>
    </row>
    <row r="41" spans="1:17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</row>
  </sheetData>
  <mergeCells count="44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39:Q40"/>
    <mergeCell ref="O34:P34"/>
    <mergeCell ref="O35:P35"/>
    <mergeCell ref="A36:P36"/>
    <mergeCell ref="A37:Q37"/>
    <mergeCell ref="A38:F38"/>
    <mergeCell ref="G38:Q38"/>
  </mergeCells>
  <pageMargins left="0.7" right="0.7" top="0.75" bottom="0.75" header="0.3" footer="0.3"/>
  <pageSetup paperSize="5"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17</vt:i4>
      </vt:variant>
    </vt:vector>
  </HeadingPairs>
  <TitlesOfParts>
    <vt:vector size="41" baseType="lpstr">
      <vt:lpstr>SAF 011</vt:lpstr>
      <vt:lpstr>NP BCO DESANGRE</vt:lpstr>
      <vt:lpstr>APG BCO SANGRE</vt:lpstr>
      <vt:lpstr>NP APS</vt:lpstr>
      <vt:lpstr>APG APS</vt:lpstr>
      <vt:lpstr>NP FARMACIA</vt:lpstr>
      <vt:lpstr>APG FARMACIA</vt:lpstr>
      <vt:lpstr>NP SAME</vt:lpstr>
      <vt:lpstr>APG SAME</vt:lpstr>
      <vt:lpstr>NP S.A.S.P.</vt:lpstr>
      <vt:lpstr>APG S.A.S.P.</vt:lpstr>
      <vt:lpstr>NPyE DPAIPD</vt:lpstr>
      <vt:lpstr>APG DPAIPD</vt:lpstr>
      <vt:lpstr>NP REGUL Y CONTROL</vt:lpstr>
      <vt:lpstr>APG REGUL Y CONTROL</vt:lpstr>
      <vt:lpstr>NPyE SPyGS</vt:lpstr>
      <vt:lpstr>APG SPyGS</vt:lpstr>
      <vt:lpstr>NP. EPIDEMIO.</vt:lpstr>
      <vt:lpstr>APG.   EPIDEMIO.</vt:lpstr>
      <vt:lpstr>NP. M.S.</vt:lpstr>
      <vt:lpstr>APG. M.S. </vt:lpstr>
      <vt:lpstr>Hoja1</vt:lpstr>
      <vt:lpstr>NP. SUMAR</vt:lpstr>
      <vt:lpstr>APG. SUMAR</vt:lpstr>
      <vt:lpstr>'APG APS'!Área_de_impresión</vt:lpstr>
      <vt:lpstr>'APG BCO SANGRE'!Área_de_impresión</vt:lpstr>
      <vt:lpstr>'APG FARMACIA'!Área_de_impresión</vt:lpstr>
      <vt:lpstr>'APG REGUL Y CONTROL'!Área_de_impresión</vt:lpstr>
      <vt:lpstr>'APG S.A.S.P.'!Área_de_impresión</vt:lpstr>
      <vt:lpstr>'APG SAME'!Área_de_impresión</vt:lpstr>
      <vt:lpstr>'APG.   EPIDEMIO.'!Área_de_impresión</vt:lpstr>
      <vt:lpstr>'APG. M.S. '!Área_de_impresión</vt:lpstr>
      <vt:lpstr>'APG. SUMAR'!Área_de_impresión</vt:lpstr>
      <vt:lpstr>'NP APS'!Área_de_impresión</vt:lpstr>
      <vt:lpstr>'NP FARMACIA'!Área_de_impresión</vt:lpstr>
      <vt:lpstr>'NP REGUL Y CONTROL'!Área_de_impresión</vt:lpstr>
      <vt:lpstr>'NP S.A.S.P.'!Área_de_impresión</vt:lpstr>
      <vt:lpstr>'NP SAME'!Área_de_impresión</vt:lpstr>
      <vt:lpstr>'NP. EPIDEMIO.'!Área_de_impresión</vt:lpstr>
      <vt:lpstr>'NP. M.S.'!Área_de_impresión</vt:lpstr>
      <vt:lpstr>'NP. SUMAR'!Área_de_impresión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MARIA MALDONADO</cp:lastModifiedBy>
  <cp:lastPrinted>2022-10-19T15:34:25Z</cp:lastPrinted>
  <dcterms:created xsi:type="dcterms:W3CDTF">2021-11-12T17:27:33Z</dcterms:created>
  <dcterms:modified xsi:type="dcterms:W3CDTF">2022-10-28T15:30:00Z</dcterms:modified>
</cp:coreProperties>
</file>