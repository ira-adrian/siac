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29"/>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5814BF36-7A96-4091-A750-E2DCE6EB9EF9}"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NDP" sheetId="2" r:id="rId2"/>
    <sheet name="APG" sheetId="3" r:id="rId3"/>
  </sheets>
  <definedNames>
    <definedName name="_xlnm.Print_Area" localSheetId="0">'Necesidades Trimestrales'!$A$1:$I$26</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Q21" i="3" l="1"/>
  <c r="I9" i="1" l="1"/>
  <c r="D9" i="1" l="1"/>
</calcChain>
</file>

<file path=xl/sharedStrings.xml><?xml version="1.0" encoding="utf-8"?>
<sst xmlns="http://schemas.openxmlformats.org/spreadsheetml/2006/main" count="89" uniqueCount="76">
  <si>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</si>
  <si>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</si>
  <si>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</si>
  <si>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</si>
  <si>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</si>
  <si>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</si>
  <si>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</si>
  <si>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</si>
  <si>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</si>
  <si>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</si>
  <si>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</si>
  <si>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</si>
  <si>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</si>
  <si>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</si>
  <si>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</si>
  <si>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</si>
  <si>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</si>
  <si>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</si>
  <si>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</si>
  <si>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50 - MINISTERIO DE EDUCACIÓN</t>
  </si>
  <si>
    <t>26 - DIRECCIÓN PROVINCIAL DE ADMINISTRACIÓN</t>
  </si>
  <si>
    <t>COMBUSTIBLES Y LUBRICANTES</t>
  </si>
  <si>
    <t>LITROS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</si>
  <si>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</si>
  <si>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Especificidades Item N° 1:</t>
  </si>
  <si>
    <t>NOTA DE PEDIDO</t>
  </si>
  <si>
    <t>N°</t>
  </si>
  <si>
    <t>06/2022</t>
  </si>
  <si>
    <t xml:space="preserve">JURISDICCIÓN: </t>
  </si>
  <si>
    <t>MINISTERIO DE EDUCACION</t>
  </si>
  <si>
    <t>SAF:</t>
  </si>
  <si>
    <t>UNIDAD EJECUTORA:</t>
  </si>
  <si>
    <t>DIRECCION PROVINCIAL DE PARQUE AUTOMOTOR</t>
  </si>
  <si>
    <t xml:space="preserve">DEPENDENCIA SOLICITANTE: </t>
  </si>
  <si>
    <t>PERIODO UTILIZACIÓN:</t>
  </si>
  <si>
    <t>TRES (3) MESES</t>
  </si>
  <si>
    <t>OBJETO:</t>
  </si>
  <si>
    <t>COMBUSTIBLE PARA VEHICULOS OFICIALES</t>
  </si>
  <si>
    <t>Ítem</t>
  </si>
  <si>
    <t>Codigo Item</t>
  </si>
  <si>
    <t>DESCRIPCIÓN</t>
  </si>
  <si>
    <t>Adjunta Detalle Técnico</t>
  </si>
  <si>
    <t>Unidad Medida</t>
  </si>
  <si>
    <t>Precio Unitario Estimado</t>
  </si>
  <si>
    <t>Cantidad Solicitada</t>
  </si>
  <si>
    <t>NO</t>
  </si>
  <si>
    <t>Costo total estimado: Dos Millones Seiscientos Noventa y Dos Mil Quinientos con 00/100.</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</si>
  <si>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</si>
  <si>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</si>
  <si>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</si>
  <si>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</si>
  <si>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Autorizo la realización de los  trámites correspondientes, a fin de (proveer a  este Organismo los bienes, servicios o ejecución de obras públicas que se detallan en Nota  de Pedido N°06/2022, afectando la erogación resultante a los créditos presupuestarios aprobados a favor de esta Unidad Ejecutora, conforme al siguiente detalle:</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</si>
  <si>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</si>
  <si>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</si>
  <si>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</si>
  <si>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</si>
  <si>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</si>
  <si>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</si>
  <si>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</si>
  <si>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</si>
  <si>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</si>
  <si>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</si>
  <si>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</si>
  <si>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</si>
  <si>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</si>
  <si>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</si>
  <si>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</si>
  <si>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</si>
  <si>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</si>
  <si>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</si>
  <si>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TOTAL DE PESOS: DOS MILLONES SEISCIENTOS NOVENTA Y DOS MIL QUINIENTOS CON 00/100</t>
  </si>
  <si>
    <t>JUSTIFICACIÓN:</t>
  </si>
  <si>
    <t>ADQUISICION DE COMBUSTIBLE PARA VEHICULOS OFICIALES DEL MINISTERIO DE EDUCACION.</t>
  </si>
  <si>
    <t>2.5.6-793.31</t>
  </si>
  <si>
    <t>GAS OIL; PRESENTACION: POR LITRO, USO: MOTORES DIESEL, COMERCIALIZACION: GRADO 3, DESTINO:DPTO. S.F.V DE CATAMARCA</t>
  </si>
  <si>
    <t>Se entregaran fraccionados bajo la forma de vales de 30 litros cada uno, cuando la cantidad adjudicada no permita la confeccion de dicho vale, se emitira el mismo po una fraccion menor hasta completar la cantidad solicitada. Los mismos se cargaran en Bocas de Expendios de San Fernando del Valle de Catamarca.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</si>
</sst>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quot; €&quot;_-;\-* #,##0.00&quot; €&quot;_-;_-* \-??&quot; €&quot;_-;_-@_-"/>
    <numFmt numFmtId="165" formatCode="[$$-2C0A]\ #,##0.00;[$$-2C0A]&quot; -&quot;#,##0.00"/>
    <numFmt numFmtId="166" formatCode="[$$-2C0A]\ #,##0.00"/>
    <numFmt numFmtId="167" formatCode="dd\-mm\-yy;@"/>
    <numFmt numFmtId="168" formatCode="_(\$* #,##0.00_);_(\$* \(#,##0.00\);_(\$* \-??_);_(@_)"/>
  </numFmts>
  <fonts count="23"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0"/>
      <name val="Times New Roman"/>
      <family val="1"/>
      <charset val="1"/>
    </font>
    <font>
      <b/>
      <sz val="10"/>
      <name val="Times New Roman"/>
      <family val="1"/>
      <charset val="1"/>
    </font>
    <font>
      <sz val="10"/>
      <name val="Times New Roman"/>
      <family val="1"/>
      <charset val="1"/>
    </font>
    <font>
      <b/>
      <sz val="8"/>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8">
    <border>
      <left/>
      <right/>
      <top/>
      <bottom/>
      <diagonal/>
    </border>
    <border>
      <left/>
      <right/>
      <top/>
      <bottom style="thick">
        <color rgb="FF33CCCC"/>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8" fontId="19" fillId="0" borderId="0" applyBorder="0" applyProtection="0"/>
  </cellStyleXfs>
  <cellXfs count="123">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8"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4" xfId="0" applyFont="1" applyBorder="1" applyAlignment="1">
      <alignment horizontal="center" vertical="center"/>
    </xf>
    <xf numFmtId="0" fontId="11"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0" xfId="0" applyFont="1" applyBorder="1"/>
    <xf numFmtId="0" fontId="4" fillId="0" borderId="11" xfId="0" applyFont="1" applyBorder="1"/>
    <xf numFmtId="0" fontId="11" fillId="0" borderId="10" xfId="0" applyFont="1" applyBorder="1" applyAlignment="1">
      <alignment horizontal="left" indent="3"/>
    </xf>
    <xf numFmtId="0" fontId="4" fillId="0" borderId="10" xfId="0" applyFont="1" applyBorder="1" applyAlignment="1">
      <alignment horizontal="left" indent="3"/>
    </xf>
    <xf numFmtId="0" fontId="4" fillId="0" borderId="0"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left" indent="3"/>
    </xf>
    <xf numFmtId="0" fontId="4" fillId="0" borderId="13" xfId="0" applyFont="1" applyBorder="1"/>
    <xf numFmtId="0" fontId="4" fillId="0" borderId="14" xfId="0" applyFont="1" applyBorder="1"/>
    <xf numFmtId="0" fontId="10" fillId="4" borderId="3" xfId="0" applyFont="1" applyFill="1" applyBorder="1" applyAlignment="1">
      <alignment horizontal="center" vertical="center" wrapText="1"/>
    </xf>
    <xf numFmtId="165" fontId="9" fillId="4" borderId="3" xfId="1" applyNumberFormat="1" applyFont="1" applyFill="1" applyBorder="1" applyAlignment="1" applyProtection="1">
      <alignment horizontal="right" vertical="center" wrapText="1"/>
    </xf>
    <xf numFmtId="0" fontId="7" fillId="0" borderId="5" xfId="0" applyFont="1" applyBorder="1" applyAlignment="1">
      <alignment horizontal="center"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0" fillId="0" borderId="5" xfId="0" applyBorder="1" applyAlignment="1">
      <alignment horizontal="center" vertical="center" wrapText="1"/>
    </xf>
    <xf numFmtId="0" fontId="0" fillId="0" borderId="5" xfId="0" applyBorder="1" applyAlignment="1">
      <alignment vertical="center" wrapText="1"/>
    </xf>
    <xf numFmtId="166" fontId="7" fillId="0" borderId="6" xfId="0" applyNumberFormat="1" applyFont="1" applyBorder="1" applyAlignment="1">
      <alignment horizontal="right" vertical="center" wrapText="1"/>
    </xf>
    <xf numFmtId="0" fontId="13" fillId="0" borderId="15" xfId="0" applyFont="1" applyBorder="1" applyAlignment="1">
      <alignment horizontal="right" vertical="center"/>
    </xf>
    <xf numFmtId="49" fontId="14" fillId="0" borderId="16" xfId="0" applyNumberFormat="1" applyFont="1" applyBorder="1" applyAlignment="1">
      <alignment horizontal="center" vertical="center"/>
    </xf>
    <xf numFmtId="0" fontId="13" fillId="0" borderId="17" xfId="0" applyFont="1" applyBorder="1" applyAlignment="1">
      <alignment vertical="center"/>
    </xf>
    <xf numFmtId="0" fontId="13" fillId="0" borderId="18" xfId="0" applyFont="1" applyBorder="1" applyAlignment="1">
      <alignment vertical="center"/>
    </xf>
    <xf numFmtId="0" fontId="13" fillId="0" borderId="0" xfId="0" applyFont="1" applyBorder="1" applyAlignment="1">
      <alignment vertical="center"/>
    </xf>
    <xf numFmtId="0" fontId="13" fillId="0" borderId="11" xfId="0" applyFont="1" applyBorder="1" applyAlignment="1">
      <alignment vertical="center"/>
    </xf>
    <xf numFmtId="0" fontId="15" fillId="0" borderId="10" xfId="0" applyFont="1" applyBorder="1" applyAlignment="1">
      <alignment horizontal="left" vertical="center"/>
    </xf>
    <xf numFmtId="0" fontId="15" fillId="0" borderId="0" xfId="0" applyFont="1" applyBorder="1" applyAlignment="1">
      <alignment horizontal="left" vertical="center"/>
    </xf>
    <xf numFmtId="0" fontId="14" fillId="0" borderId="0" xfId="0" applyFont="1" applyBorder="1" applyAlignment="1">
      <alignment horizontal="left" vertical="center" wrapText="1" indent="1"/>
    </xf>
    <xf numFmtId="0" fontId="14" fillId="0" borderId="11" xfId="0" applyFont="1" applyBorder="1" applyAlignment="1">
      <alignment horizontal="left" vertical="center" wrapText="1" indent="1"/>
    </xf>
    <xf numFmtId="0" fontId="15" fillId="0" borderId="27" xfId="0" applyFont="1" applyBorder="1" applyAlignment="1">
      <alignment horizontal="center" vertical="center"/>
    </xf>
    <xf numFmtId="0" fontId="15" fillId="0" borderId="3" xfId="0" applyFont="1" applyBorder="1" applyAlignment="1">
      <alignment horizontal="left" vertical="center"/>
    </xf>
    <xf numFmtId="0" fontId="15" fillId="0" borderId="3" xfId="0" applyFont="1" applyBorder="1" applyAlignment="1">
      <alignment horizontal="center" vertical="center"/>
    </xf>
    <xf numFmtId="0" fontId="15" fillId="0" borderId="3" xfId="0" applyFont="1" applyBorder="1" applyAlignment="1">
      <alignment horizontal="center" vertical="center" wrapText="1"/>
    </xf>
    <xf numFmtId="3" fontId="15" fillId="0" borderId="28" xfId="0" applyNumberFormat="1" applyFont="1" applyBorder="1" applyAlignment="1">
      <alignment horizontal="center" vertical="center"/>
    </xf>
    <xf numFmtId="3" fontId="17" fillId="0" borderId="8" xfId="0" applyNumberFormat="1" applyFont="1" applyBorder="1" applyAlignment="1"/>
    <xf numFmtId="167" fontId="0" fillId="0" borderId="8" xfId="0" applyNumberFormat="1" applyBorder="1" applyAlignment="1">
      <alignment horizontal="left"/>
    </xf>
    <xf numFmtId="0" fontId="0" fillId="0" borderId="8" xfId="0" applyBorder="1"/>
    <xf numFmtId="0" fontId="0" fillId="0" borderId="10" xfId="0" applyBorder="1"/>
    <xf numFmtId="0" fontId="0" fillId="0" borderId="0" xfId="0" applyBorder="1"/>
    <xf numFmtId="0" fontId="0" fillId="0" borderId="0" xfId="0" applyBorder="1" applyAlignment="1">
      <alignment horizontal="left"/>
    </xf>
    <xf numFmtId="167" fontId="0" fillId="0" borderId="0" xfId="0" applyNumberFormat="1" applyBorder="1" applyAlignment="1">
      <alignment horizontal="left"/>
    </xf>
    <xf numFmtId="0" fontId="0" fillId="0" borderId="11" xfId="0" applyBorder="1"/>
    <xf numFmtId="0" fontId="19" fillId="0" borderId="0" xfId="0" applyFont="1"/>
    <xf numFmtId="0" fontId="22" fillId="0" borderId="39" xfId="0" applyFont="1" applyBorder="1" applyAlignment="1">
      <alignment horizontal="center" vertical="center"/>
    </xf>
    <xf numFmtId="0" fontId="22" fillId="0" borderId="40" xfId="0" applyFont="1" applyBorder="1" applyAlignment="1">
      <alignment horizontal="center" vertical="center"/>
    </xf>
    <xf numFmtId="0" fontId="22" fillId="0" borderId="40" xfId="0" applyFont="1" applyBorder="1" applyAlignment="1">
      <alignment horizontal="left" vertical="center"/>
    </xf>
    <xf numFmtId="0" fontId="22" fillId="0" borderId="41" xfId="0" applyFont="1" applyBorder="1" applyAlignment="1">
      <alignment horizontal="center" vertical="center"/>
    </xf>
    <xf numFmtId="0" fontId="22" fillId="0" borderId="42" xfId="0" applyFont="1" applyBorder="1" applyAlignment="1">
      <alignment horizontal="center" vertical="center"/>
    </xf>
    <xf numFmtId="0" fontId="0"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165" fontId="0" fillId="0" borderId="46" xfId="4" applyNumberFormat="1" applyFont="1" applyBorder="1" applyAlignment="1" applyProtection="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165" fontId="0" fillId="0" borderId="51" xfId="4" applyNumberFormat="1" applyFont="1" applyBorder="1" applyAlignment="1" applyProtection="1">
      <alignment horizontal="center" vertical="center"/>
    </xf>
    <xf numFmtId="0" fontId="0" fillId="0" borderId="52" xfId="0"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165" fontId="0" fillId="0" borderId="55" xfId="4" applyNumberFormat="1" applyFont="1" applyBorder="1" applyAlignment="1" applyProtection="1">
      <alignment horizontal="center" vertical="center"/>
    </xf>
    <xf numFmtId="165" fontId="22" fillId="0" borderId="57" xfId="0" applyNumberFormat="1" applyFont="1" applyBorder="1" applyAlignment="1">
      <alignment horizontal="center" vertical="center"/>
    </xf>
    <xf numFmtId="0" fontId="0" fillId="0" borderId="0" xfId="0" applyAlignment="1">
      <alignment horizontal="left"/>
    </xf>
    <xf numFmtId="0" fontId="4" fillId="0" borderId="10" xfId="0" applyFont="1" applyBorder="1" applyAlignment="1">
      <alignment vertical="top" wrapText="1"/>
    </xf>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4" borderId="0" xfId="0" applyFont="1" applyFill="1" applyBorder="1" applyAlignment="1">
      <alignment horizontal="left" wrapText="1" indent="1"/>
    </xf>
    <xf numFmtId="0" fontId="4" fillId="4" borderId="0" xfId="0" applyFont="1" applyFill="1" applyBorder="1" applyAlignment="1">
      <alignment horizontal="left" wrapText="1"/>
    </xf>
    <xf numFmtId="0" fontId="4" fillId="4" borderId="11" xfId="0" applyFont="1" applyFill="1" applyBorder="1" applyAlignment="1">
      <alignment horizontal="left" wrapText="1"/>
    </xf>
    <xf numFmtId="0" fontId="4" fillId="4" borderId="0" xfId="0" applyFont="1" applyFill="1" applyBorder="1" applyAlignment="1">
      <alignment horizontal="left"/>
    </xf>
    <xf numFmtId="0" fontId="4" fillId="4" borderId="11" xfId="0" applyFont="1" applyFill="1" applyBorder="1" applyAlignment="1">
      <alignment horizontal="left"/>
    </xf>
    <xf numFmtId="0" fontId="4" fillId="0" borderId="0" xfId="0" applyFont="1" applyBorder="1" applyAlignment="1">
      <alignment horizontal="left" vertical="top" wrapText="1"/>
    </xf>
    <xf numFmtId="0" fontId="4" fillId="0" borderId="11" xfId="0" applyFont="1" applyBorder="1" applyAlignment="1">
      <alignment horizontal="left" vertical="top" wrapText="1"/>
    </xf>
    <xf numFmtId="0" fontId="16" fillId="0" borderId="26" xfId="0" applyFont="1" applyBorder="1" applyAlignment="1">
      <alignment horizontal="center" vertical="center" wrapText="1"/>
    </xf>
    <xf numFmtId="0" fontId="15" fillId="0" borderId="3" xfId="0" applyFont="1" applyBorder="1" applyAlignment="1">
      <alignment horizontal="left" vertical="center" wrapText="1"/>
    </xf>
    <xf numFmtId="0" fontId="14" fillId="0" borderId="29" xfId="0" applyFont="1" applyBorder="1" applyAlignment="1">
      <alignment horizontal="left" vertical="center" wrapText="1" indent="1"/>
    </xf>
    <xf numFmtId="166" fontId="15" fillId="0" borderId="29" xfId="0" applyNumberFormat="1" applyFont="1" applyBorder="1" applyAlignment="1">
      <alignment horizontal="center" vertical="center"/>
    </xf>
    <xf numFmtId="0" fontId="14" fillId="0" borderId="24" xfId="0" applyFont="1" applyBorder="1" applyAlignment="1">
      <alignment horizontal="center" vertical="center"/>
    </xf>
    <xf numFmtId="0" fontId="14" fillId="0" borderId="25" xfId="0" applyFont="1" applyBorder="1" applyAlignment="1">
      <alignment horizontal="center" vertical="center" wrapText="1"/>
    </xf>
    <xf numFmtId="0" fontId="16" fillId="0" borderId="25" xfId="0" applyFont="1" applyBorder="1" applyAlignment="1">
      <alignment horizontal="center" vertical="center" wrapText="1"/>
    </xf>
    <xf numFmtId="0" fontId="15" fillId="0" borderId="19" xfId="0" applyFont="1" applyBorder="1" applyAlignment="1">
      <alignment horizontal="left" vertical="center" wrapText="1"/>
    </xf>
    <xf numFmtId="0" fontId="14" fillId="0" borderId="20" xfId="0" applyFont="1" applyBorder="1" applyAlignment="1">
      <alignment horizontal="left" vertical="center" wrapText="1" indent="1"/>
    </xf>
    <xf numFmtId="0" fontId="15" fillId="0" borderId="21" xfId="0" applyFont="1" applyBorder="1" applyAlignment="1">
      <alignment horizontal="left" vertical="center" wrapText="1"/>
    </xf>
    <xf numFmtId="0" fontId="15" fillId="0" borderId="22" xfId="0" applyFont="1" applyBorder="1" applyAlignment="1">
      <alignment horizontal="left" vertical="center"/>
    </xf>
    <xf numFmtId="0" fontId="14" fillId="0" borderId="23" xfId="0" applyFont="1" applyBorder="1" applyAlignment="1">
      <alignment horizontal="left" vertical="center" wrapText="1" indent="1"/>
    </xf>
    <xf numFmtId="0" fontId="13" fillId="0" borderId="7" xfId="0" applyFont="1" applyBorder="1" applyAlignment="1">
      <alignment horizontal="center" vertical="center"/>
    </xf>
    <xf numFmtId="0" fontId="0" fillId="0" borderId="35" xfId="0" applyBorder="1"/>
    <xf numFmtId="0" fontId="17" fillId="0" borderId="20" xfId="0" applyFont="1" applyBorder="1" applyAlignment="1">
      <alignment vertical="center" wrapText="1"/>
    </xf>
    <xf numFmtId="0" fontId="20" fillId="0" borderId="38" xfId="0" applyFont="1" applyBorder="1" applyAlignment="1">
      <alignment vertical="center" wrapText="1"/>
    </xf>
    <xf numFmtId="0" fontId="20" fillId="0" borderId="29" xfId="0" applyFont="1" applyBorder="1" applyAlignment="1">
      <alignment horizontal="left" vertical="center" wrapText="1" indent="1"/>
    </xf>
    <xf numFmtId="49" fontId="20" fillId="0" borderId="10" xfId="0" applyNumberFormat="1" applyFont="1" applyBorder="1" applyAlignment="1">
      <alignment horizontal="justify" vertical="center" wrapText="1"/>
    </xf>
    <xf numFmtId="49" fontId="20" fillId="0" borderId="0" xfId="0" applyNumberFormat="1" applyFont="1" applyBorder="1" applyAlignment="1">
      <alignment horizontal="justify" vertical="center" wrapText="1"/>
    </xf>
    <xf numFmtId="49" fontId="20" fillId="0" borderId="11" xfId="0" applyNumberFormat="1" applyFont="1" applyBorder="1" applyAlignment="1">
      <alignment horizontal="justify" vertical="center" wrapText="1"/>
    </xf>
    <xf numFmtId="0" fontId="0" fillId="0" borderId="17" xfId="0" applyBorder="1" applyAlignment="1">
      <alignment wrapText="1"/>
    </xf>
    <xf numFmtId="0" fontId="0" fillId="0" borderId="18" xfId="0" applyBorder="1" applyAlignment="1">
      <alignment wrapText="1"/>
    </xf>
    <xf numFmtId="0" fontId="0" fillId="0" borderId="36" xfId="0" applyBorder="1" applyAlignment="1">
      <alignment wrapText="1"/>
    </xf>
    <xf numFmtId="0" fontId="0" fillId="0" borderId="50" xfId="0" applyFont="1" applyBorder="1" applyAlignment="1">
      <alignment horizontal="left" vertical="center"/>
    </xf>
    <xf numFmtId="0" fontId="0" fillId="0" borderId="50" xfId="0" applyBorder="1" applyAlignment="1">
      <alignment horizontal="center"/>
    </xf>
    <xf numFmtId="0" fontId="0" fillId="0" borderId="50" xfId="0" applyFont="1" applyBorder="1" applyAlignment="1">
      <alignment horizontal="center" vertical="center"/>
    </xf>
    <xf numFmtId="0" fontId="0" fillId="0" borderId="53" xfId="0" applyBorder="1" applyAlignment="1">
      <alignment horizontal="left" vertical="center"/>
    </xf>
    <xf numFmtId="0" fontId="17" fillId="0" borderId="56" xfId="0" applyFont="1" applyBorder="1" applyAlignment="1">
      <alignment horizontal="left" vertical="center" wrapText="1"/>
    </xf>
    <xf numFmtId="0" fontId="22" fillId="0" borderId="35" xfId="0" applyFont="1" applyBorder="1" applyAlignment="1">
      <alignment horizontal="center" vertical="center"/>
    </xf>
    <xf numFmtId="0" fontId="22" fillId="0" borderId="32" xfId="0" applyFont="1" applyBorder="1" applyAlignment="1">
      <alignment horizontal="center" vertical="center"/>
    </xf>
    <xf numFmtId="0" fontId="22" fillId="0" borderId="37" xfId="0" applyFont="1" applyBorder="1" applyAlignment="1">
      <alignment horizontal="center" vertical="center" wrapText="1"/>
    </xf>
    <xf numFmtId="0" fontId="22" fillId="0" borderId="38" xfId="0" applyFont="1" applyBorder="1" applyAlignment="1">
      <alignment horizontal="center" vertical="center"/>
    </xf>
    <xf numFmtId="0" fontId="0" fillId="0" borderId="44" xfId="0" applyFont="1" applyBorder="1" applyAlignment="1">
      <alignment horizontal="left" vertical="center" wrapText="1"/>
    </xf>
    <xf numFmtId="0" fontId="20" fillId="0" borderId="35" xfId="0" applyFont="1" applyBorder="1" applyAlignment="1">
      <alignment horizontal="left"/>
    </xf>
    <xf numFmtId="0" fontId="0" fillId="0" borderId="30" xfId="0" applyFont="1" applyBorder="1" applyAlignment="1">
      <alignment horizontal="center"/>
    </xf>
    <xf numFmtId="3" fontId="17" fillId="0" borderId="31" xfId="0" applyNumberFormat="1" applyFont="1" applyBorder="1" applyAlignment="1">
      <alignment horizontal="center"/>
    </xf>
    <xf numFmtId="0" fontId="18" fillId="0" borderId="16" xfId="0" applyFont="1" applyBorder="1" applyAlignment="1">
      <alignment horizontal="center" vertical="center" wrapText="1"/>
    </xf>
    <xf numFmtId="0" fontId="19" fillId="0" borderId="32" xfId="0" applyFont="1" applyBorder="1"/>
    <xf numFmtId="0" fontId="20" fillId="0" borderId="33" xfId="0" applyFont="1" applyBorder="1" applyAlignment="1">
      <alignment horizontal="left" indent="1"/>
    </xf>
    <xf numFmtId="0" fontId="15" fillId="0" borderId="32" xfId="0" applyFont="1" applyBorder="1" applyAlignment="1">
      <alignment horizontal="left" vertical="center" wrapText="1"/>
    </xf>
    <xf numFmtId="0" fontId="21" fillId="0" borderId="34" xfId="0" applyFont="1" applyBorder="1" applyAlignment="1">
      <alignment horizontal="left"/>
    </xf>
  </cellXfs>
  <cellStyles count="5">
    <cellStyle name="Encabezado 1" xfId="2" xr:uid="{00000000-0005-0000-0000-000000000000}"/>
    <cellStyle name="Moneda" xfId="1" builtinId="4"/>
    <cellStyle name="Moneda_AUTORIZACION Y NOTA DE PEDIDO" xfId="4"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zoomScale="130" zoomScaleNormal="130" workbookViewId="0">
      <selection activeCell="C15" sqref="C15:E15"/>
    </sheetView>
  </sheetViews>
  <sheetFormatPr baseColWidth="10" defaultColWidth="11" defaultRowHeight="12.75" x14ac:dyDescent="0.2"/>
  <cols>
    <col min="1" max="1" width="4.5703125" style="1" customWidth="1"/>
    <col min="2" max="2" width="12.140625" style="1" customWidth="1"/>
    <col min="3" max="3" width="23"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 style="1"/>
  </cols>
  <sheetData>
    <row r="1" spans="1:9" ht="27" x14ac:dyDescent="0.35">
      <c r="B1" s="73" t="s">
        <v>0</v>
      </c>
      <c r="C1" s="73"/>
      <c r="D1" s="73"/>
      <c r="E1" s="73"/>
      <c r="F1" s="73"/>
      <c r="G1" s="73"/>
      <c r="H1" s="73"/>
    </row>
    <row r="3" spans="1:9" ht="18" customHeight="1" x14ac:dyDescent="0.25">
      <c r="A3" s="74" t="s">
        <v>1</v>
      </c>
      <c r="B3" s="74"/>
      <c r="C3" s="75" t="s">
        <v>19</v>
      </c>
      <c r="D3" s="75"/>
      <c r="E3" s="75"/>
      <c r="F3" s="2"/>
      <c r="G3" s="3"/>
      <c r="H3" s="2"/>
    </row>
    <row r="4" spans="1:9" ht="18" customHeight="1" x14ac:dyDescent="0.25">
      <c r="A4" s="74" t="s">
        <v>2</v>
      </c>
      <c r="B4" s="74"/>
      <c r="C4" s="75" t="s">
        <v>20</v>
      </c>
      <c r="D4" s="75"/>
      <c r="E4" s="75"/>
      <c r="F4" s="2"/>
      <c r="G4" s="3"/>
      <c r="H4" s="2"/>
    </row>
    <row r="5" spans="1:9" ht="16.5" customHeight="1" x14ac:dyDescent="0.25">
      <c r="A5" s="74" t="s">
        <v>3</v>
      </c>
      <c r="B5" s="74"/>
      <c r="C5" s="23">
        <v>2022</v>
      </c>
      <c r="D5" s="24"/>
      <c r="E5" s="24"/>
      <c r="F5" s="2"/>
      <c r="G5" s="3"/>
      <c r="H5" s="2"/>
    </row>
    <row r="6" spans="1:9" ht="16.5" customHeight="1" x14ac:dyDescent="0.25">
      <c r="A6" s="74" t="s">
        <v>4</v>
      </c>
      <c r="B6" s="74"/>
      <c r="C6" s="23">
        <v>1</v>
      </c>
      <c r="D6" s="24"/>
      <c r="E6" s="24"/>
      <c r="F6" s="2"/>
      <c r="G6" s="3"/>
      <c r="H6" s="2"/>
    </row>
    <row r="7" spans="1:9" x14ac:dyDescent="0.2">
      <c r="B7" s="2"/>
      <c r="C7" s="3"/>
      <c r="D7" s="2"/>
      <c r="E7" s="2"/>
      <c r="F7" s="2"/>
      <c r="G7" s="3"/>
      <c r="H7" s="2"/>
    </row>
    <row r="8" spans="1:9" ht="39.75" thickTop="1" thickBot="1" x14ac:dyDescent="0.25">
      <c r="A8" s="4" t="s">
        <v>5</v>
      </c>
      <c r="B8" s="4" t="s">
        <v>6</v>
      </c>
      <c r="C8" s="4" t="s">
        <v>7</v>
      </c>
      <c r="D8" s="4" t="s">
        <v>8</v>
      </c>
      <c r="E8" s="4" t="s">
        <v>9</v>
      </c>
      <c r="F8" s="4" t="s">
        <v>10</v>
      </c>
      <c r="G8" s="4" t="s">
        <v>11</v>
      </c>
      <c r="H8" s="4" t="s">
        <v>12</v>
      </c>
      <c r="I8" s="4" t="s">
        <v>13</v>
      </c>
    </row>
    <row r="9" spans="1:9" ht="47.25" customHeight="1" x14ac:dyDescent="0.2">
      <c r="A9" s="6">
        <v>1</v>
      </c>
      <c r="B9" s="39" t="s">
        <v>73</v>
      </c>
      <c r="C9" s="25" t="s">
        <v>21</v>
      </c>
      <c r="D9" s="5" t="str">
        <f>LEFT(B9,5)</f>
        <v>2.5.6</v>
      </c>
      <c r="E9" s="26" t="s">
        <v>74</v>
      </c>
      <c r="F9" s="20" t="s">
        <v>22</v>
      </c>
      <c r="G9" s="22">
        <v>25000</v>
      </c>
      <c r="H9" s="21">
        <v>107.7</v>
      </c>
      <c r="I9" s="27">
        <f>H9*G9</f>
        <v>2692500</v>
      </c>
    </row>
    <row r="12" spans="1:9" x14ac:dyDescent="0.2">
      <c r="B12" s="7" t="s">
        <v>24</v>
      </c>
      <c r="C12" s="8"/>
      <c r="D12" s="8"/>
      <c r="E12" s="9"/>
    </row>
    <row r="13" spans="1:9" ht="5.25" customHeight="1" x14ac:dyDescent="0.2">
      <c r="B13" s="10"/>
      <c r="C13" s="11"/>
      <c r="D13" s="11"/>
      <c r="E13" s="12"/>
    </row>
    <row r="14" spans="1:9" x14ac:dyDescent="0.2">
      <c r="B14" s="13" t="s">
        <v>14</v>
      </c>
      <c r="C14" s="11"/>
      <c r="D14" s="11"/>
      <c r="E14" s="12"/>
    </row>
    <row r="15" spans="1:9" ht="51.75" customHeight="1" x14ac:dyDescent="0.2">
      <c r="B15" s="72"/>
      <c r="C15" s="80" t="s">
        <v>75</v>
      </c>
      <c r="D15" s="80"/>
      <c r="E15" s="81"/>
    </row>
    <row r="16" spans="1:9" x14ac:dyDescent="0.2">
      <c r="B16" s="13" t="s">
        <v>15</v>
      </c>
      <c r="C16" s="11"/>
      <c r="D16" s="11"/>
      <c r="E16" s="12"/>
    </row>
    <row r="17" spans="2:5" ht="25.5" customHeight="1" x14ac:dyDescent="0.2">
      <c r="B17" s="14"/>
      <c r="C17" s="76" t="s">
        <v>23</v>
      </c>
      <c r="D17" s="76"/>
      <c r="E17" s="77"/>
    </row>
    <row r="18" spans="2:5" ht="37.5" customHeight="1" x14ac:dyDescent="0.2">
      <c r="B18" s="14"/>
      <c r="C18" s="76"/>
      <c r="D18" s="76"/>
      <c r="E18" s="77"/>
    </row>
    <row r="19" spans="2:5" x14ac:dyDescent="0.2">
      <c r="B19" s="13" t="s">
        <v>16</v>
      </c>
      <c r="C19" s="11"/>
      <c r="D19" s="11"/>
      <c r="E19" s="12"/>
    </row>
    <row r="20" spans="2:5" ht="9.75" customHeight="1" x14ac:dyDescent="0.2">
      <c r="B20" s="14"/>
      <c r="C20" s="76"/>
      <c r="D20" s="76"/>
      <c r="E20" s="77"/>
    </row>
    <row r="21" spans="2:5" x14ac:dyDescent="0.2">
      <c r="B21" s="13" t="s">
        <v>17</v>
      </c>
      <c r="C21" s="15"/>
      <c r="D21" s="15"/>
      <c r="E21" s="16"/>
    </row>
    <row r="22" spans="2:5" ht="7.5" customHeight="1" x14ac:dyDescent="0.2">
      <c r="B22" s="14"/>
      <c r="C22" s="76"/>
      <c r="D22" s="76"/>
      <c r="E22" s="77"/>
    </row>
    <row r="23" spans="2:5" x14ac:dyDescent="0.2">
      <c r="B23" s="13" t="s">
        <v>18</v>
      </c>
      <c r="C23" s="11"/>
      <c r="D23" s="11"/>
      <c r="E23" s="12"/>
    </row>
    <row r="24" spans="2:5" ht="13.5" customHeight="1" x14ac:dyDescent="0.2">
      <c r="B24" s="13"/>
      <c r="C24" s="76"/>
      <c r="D24" s="78"/>
      <c r="E24" s="79"/>
    </row>
    <row r="25" spans="2:5" ht="7.5" customHeight="1" thickBot="1" x14ac:dyDescent="0.25">
      <c r="B25" s="17"/>
      <c r="C25" s="18"/>
      <c r="D25" s="18"/>
      <c r="E25" s="19"/>
    </row>
  </sheetData>
  <mergeCells count="12">
    <mergeCell ref="C20:E20"/>
    <mergeCell ref="C22:E22"/>
    <mergeCell ref="C24:E24"/>
    <mergeCell ref="A5:B5"/>
    <mergeCell ref="A6:B6"/>
    <mergeCell ref="C17:E18"/>
    <mergeCell ref="C15:E15"/>
    <mergeCell ref="B1:H1"/>
    <mergeCell ref="A3:B3"/>
    <mergeCell ref="C3:E3"/>
    <mergeCell ref="A4:B4"/>
    <mergeCell ref="C4:E4"/>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workbookViewId="0">
      <selection activeCell="C12" sqref="C12:G12"/>
    </sheetView>
  </sheetViews>
  <sheetFormatPr baseColWidth="10" defaultColWidth="9.140625" defaultRowHeight="12.75" x14ac:dyDescent="0.2"/>
  <cols>
    <col min="2" max="2" width="10.140625" customWidth="1"/>
    <col min="3" max="3" width="7.28515625" customWidth="1"/>
    <col min="7" max="7" width="1" customWidth="1"/>
    <col min="8" max="8" width="6.85546875" customWidth="1"/>
    <col min="9" max="9" width="7.85546875" customWidth="1"/>
    <col min="10" max="10" width="6.42578125" customWidth="1"/>
    <col min="11" max="11" width="7.28515625" customWidth="1"/>
  </cols>
  <sheetData>
    <row r="1" spans="1:11" ht="13.5" thickBot="1" x14ac:dyDescent="0.25">
      <c r="A1" s="94" t="s">
        <v>25</v>
      </c>
      <c r="B1" s="94"/>
      <c r="C1" s="94"/>
      <c r="D1" s="94"/>
      <c r="E1" s="94"/>
      <c r="F1" s="94"/>
      <c r="G1" s="94"/>
      <c r="H1" s="94"/>
      <c r="I1" s="94"/>
      <c r="J1" s="28" t="s">
        <v>26</v>
      </c>
      <c r="K1" s="29" t="s">
        <v>27</v>
      </c>
    </row>
    <row r="2" spans="1:11" ht="13.5" thickBot="1" x14ac:dyDescent="0.25">
      <c r="A2" s="30"/>
      <c r="B2" s="31"/>
      <c r="C2" s="31"/>
      <c r="D2" s="32"/>
      <c r="E2" s="32"/>
      <c r="F2" s="32"/>
      <c r="G2" s="32"/>
      <c r="H2" s="32"/>
      <c r="I2" s="32"/>
      <c r="J2" s="32"/>
      <c r="K2" s="33"/>
    </row>
    <row r="3" spans="1:11" ht="13.5" thickBot="1" x14ac:dyDescent="0.25">
      <c r="A3" s="89" t="s">
        <v>28</v>
      </c>
      <c r="B3" s="89"/>
      <c r="C3" s="89"/>
      <c r="D3" s="90" t="s">
        <v>29</v>
      </c>
      <c r="E3" s="90"/>
      <c r="F3" s="90"/>
      <c r="G3" s="90"/>
      <c r="H3" s="90"/>
      <c r="I3" s="90"/>
      <c r="J3" s="90"/>
      <c r="K3" s="90"/>
    </row>
    <row r="4" spans="1:11" ht="13.5" thickBot="1" x14ac:dyDescent="0.25">
      <c r="A4" s="91" t="s">
        <v>30</v>
      </c>
      <c r="B4" s="91"/>
      <c r="C4" s="91"/>
      <c r="D4" s="90">
        <v>26</v>
      </c>
      <c r="E4" s="90"/>
      <c r="F4" s="90"/>
      <c r="G4" s="90"/>
      <c r="H4" s="90"/>
      <c r="I4" s="90"/>
      <c r="J4" s="90"/>
      <c r="K4" s="90"/>
    </row>
    <row r="5" spans="1:11" ht="13.5" thickBot="1" x14ac:dyDescent="0.25">
      <c r="A5" s="91" t="s">
        <v>31</v>
      </c>
      <c r="B5" s="91"/>
      <c r="C5" s="91"/>
      <c r="D5" s="90" t="s">
        <v>32</v>
      </c>
      <c r="E5" s="90"/>
      <c r="F5" s="90"/>
      <c r="G5" s="90"/>
      <c r="H5" s="90"/>
      <c r="I5" s="90"/>
      <c r="J5" s="90"/>
      <c r="K5" s="90"/>
    </row>
    <row r="6" spans="1:11" ht="13.5" thickBot="1" x14ac:dyDescent="0.25">
      <c r="A6" s="89" t="s">
        <v>33</v>
      </c>
      <c r="B6" s="89"/>
      <c r="C6" s="89"/>
      <c r="D6" s="90" t="s">
        <v>32</v>
      </c>
      <c r="E6" s="90"/>
      <c r="F6" s="90"/>
      <c r="G6" s="90"/>
      <c r="H6" s="90"/>
      <c r="I6" s="90"/>
      <c r="J6" s="90"/>
      <c r="K6" s="90"/>
    </row>
    <row r="7" spans="1:11" ht="13.5" thickBot="1" x14ac:dyDescent="0.25">
      <c r="A7" s="91" t="s">
        <v>34</v>
      </c>
      <c r="B7" s="91"/>
      <c r="C7" s="91"/>
      <c r="D7" s="90" t="s">
        <v>35</v>
      </c>
      <c r="E7" s="90"/>
      <c r="F7" s="90"/>
      <c r="G7" s="90"/>
      <c r="H7" s="90"/>
      <c r="I7" s="90"/>
      <c r="J7" s="90"/>
      <c r="K7" s="90"/>
    </row>
    <row r="8" spans="1:11" ht="13.5" thickBot="1" x14ac:dyDescent="0.25">
      <c r="A8" s="92" t="s">
        <v>36</v>
      </c>
      <c r="B8" s="92"/>
      <c r="C8" s="92"/>
      <c r="D8" s="93" t="s">
        <v>37</v>
      </c>
      <c r="E8" s="93"/>
      <c r="F8" s="93"/>
      <c r="G8" s="93"/>
      <c r="H8" s="93"/>
      <c r="I8" s="93"/>
      <c r="J8" s="93"/>
      <c r="K8" s="93"/>
    </row>
    <row r="9" spans="1:11" ht="13.5" thickBot="1" x14ac:dyDescent="0.25">
      <c r="A9" s="34"/>
      <c r="B9" s="35"/>
      <c r="C9" s="35"/>
      <c r="D9" s="36"/>
      <c r="E9" s="36"/>
      <c r="F9" s="36"/>
      <c r="G9" s="36"/>
      <c r="H9" s="36"/>
      <c r="I9" s="36"/>
      <c r="J9" s="36"/>
      <c r="K9" s="37"/>
    </row>
    <row r="10" spans="1:11" ht="13.5" thickBot="1" x14ac:dyDescent="0.25">
      <c r="A10" s="86" t="s">
        <v>38</v>
      </c>
      <c r="B10" s="87" t="s">
        <v>39</v>
      </c>
      <c r="C10" s="87" t="s">
        <v>40</v>
      </c>
      <c r="D10" s="87"/>
      <c r="E10" s="87"/>
      <c r="F10" s="87"/>
      <c r="G10" s="87"/>
      <c r="H10" s="88" t="s">
        <v>41</v>
      </c>
      <c r="I10" s="88" t="s">
        <v>42</v>
      </c>
      <c r="J10" s="88" t="s">
        <v>43</v>
      </c>
      <c r="K10" s="82" t="s">
        <v>44</v>
      </c>
    </row>
    <row r="11" spans="1:11" ht="13.5" thickBot="1" x14ac:dyDescent="0.25">
      <c r="A11" s="86"/>
      <c r="B11" s="87"/>
      <c r="C11" s="87"/>
      <c r="D11" s="87"/>
      <c r="E11" s="87"/>
      <c r="F11" s="87"/>
      <c r="G11" s="87"/>
      <c r="H11" s="88"/>
      <c r="I11" s="88"/>
      <c r="J11" s="88"/>
      <c r="K11" s="82"/>
    </row>
    <row r="12" spans="1:11" ht="66" customHeight="1" x14ac:dyDescent="0.2">
      <c r="A12" s="38">
        <v>1</v>
      </c>
      <c r="B12" s="39" t="s">
        <v>73</v>
      </c>
      <c r="C12" s="83" t="s">
        <v>74</v>
      </c>
      <c r="D12" s="83"/>
      <c r="E12" s="83"/>
      <c r="F12" s="83"/>
      <c r="G12" s="83"/>
      <c r="H12" s="40" t="s">
        <v>45</v>
      </c>
      <c r="I12" s="41" t="s">
        <v>22</v>
      </c>
      <c r="J12" s="41">
        <v>107.7</v>
      </c>
      <c r="K12" s="42">
        <v>25000</v>
      </c>
    </row>
    <row r="13" spans="1:11" ht="23.25" customHeight="1" thickBot="1" x14ac:dyDescent="0.25">
      <c r="A13" s="84" t="s">
        <v>46</v>
      </c>
      <c r="B13" s="84"/>
      <c r="C13" s="84"/>
      <c r="D13" s="84"/>
      <c r="E13" s="84"/>
      <c r="F13" s="84"/>
      <c r="G13" s="84"/>
      <c r="H13" s="84"/>
      <c r="I13" s="84"/>
      <c r="J13" s="85">
        <v>2692500</v>
      </c>
      <c r="K13" s="85"/>
    </row>
  </sheetData>
  <mergeCells count="23">
    <mergeCell ref="A5:C5"/>
    <mergeCell ref="D5:K5"/>
    <mergeCell ref="A1:I1"/>
    <mergeCell ref="A3:C3"/>
    <mergeCell ref="D3:K3"/>
    <mergeCell ref="A4:C4"/>
    <mergeCell ref="D4:K4"/>
    <mergeCell ref="A6:C6"/>
    <mergeCell ref="D6:K6"/>
    <mergeCell ref="A7:C7"/>
    <mergeCell ref="D7:K7"/>
    <mergeCell ref="A8:C8"/>
    <mergeCell ref="D8:K8"/>
    <mergeCell ref="K10:K11"/>
    <mergeCell ref="C12:G12"/>
    <mergeCell ref="A13:I13"/>
    <mergeCell ref="J13:K13"/>
    <mergeCell ref="A10:A11"/>
    <mergeCell ref="B10:B11"/>
    <mergeCell ref="C10:G11"/>
    <mergeCell ref="H10:H11"/>
    <mergeCell ref="I10:I11"/>
    <mergeCell ref="J10: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selection activeCell="A24" sqref="A24:Q25"/>
    </sheetView>
  </sheetViews>
  <sheetFormatPr baseColWidth="10" defaultColWidth="11" defaultRowHeight="12.75" x14ac:dyDescent="0.2"/>
  <cols>
    <col min="1" max="5" width="4.42578125" customWidth="1"/>
    <col min="6" max="6" width="5.140625" customWidth="1"/>
    <col min="7" max="7" width="4.42578125" style="71" customWidth="1"/>
    <col min="8" max="14" width="4.42578125" customWidth="1"/>
    <col min="15" max="16" width="14.85546875" customWidth="1"/>
    <col min="17" max="17" width="14.7109375" customWidth="1"/>
  </cols>
  <sheetData>
    <row r="1" spans="1:17" ht="15.75" thickBot="1" x14ac:dyDescent="0.3">
      <c r="A1" s="116" t="s">
        <v>3</v>
      </c>
      <c r="B1" s="116"/>
      <c r="C1" s="116"/>
      <c r="D1" s="117">
        <v>2022</v>
      </c>
      <c r="E1" s="117"/>
      <c r="F1" s="43"/>
      <c r="G1" s="43"/>
      <c r="H1" s="44"/>
      <c r="I1" s="44"/>
      <c r="J1" s="44"/>
      <c r="K1" s="44"/>
      <c r="L1" s="44"/>
      <c r="M1" s="44"/>
      <c r="N1" s="44"/>
      <c r="O1" s="45"/>
      <c r="P1" s="118" t="s">
        <v>47</v>
      </c>
      <c r="Q1" s="118"/>
    </row>
    <row r="2" spans="1:17" ht="15.75" customHeight="1" thickBot="1" x14ac:dyDescent="0.25">
      <c r="A2" s="46"/>
      <c r="B2" s="47"/>
      <c r="C2" s="47"/>
      <c r="D2" s="47"/>
      <c r="E2" s="47"/>
      <c r="F2" s="47"/>
      <c r="G2" s="48"/>
      <c r="H2" s="49"/>
      <c r="I2" s="49"/>
      <c r="J2" s="49"/>
      <c r="K2" s="49"/>
      <c r="L2" s="49"/>
      <c r="M2" s="49"/>
      <c r="N2" s="49"/>
      <c r="O2" s="47"/>
      <c r="P2" s="118"/>
      <c r="Q2" s="118"/>
    </row>
    <row r="3" spans="1:17" ht="13.5" thickBot="1" x14ac:dyDescent="0.25">
      <c r="A3" s="46"/>
      <c r="B3" s="47"/>
      <c r="C3" s="47"/>
      <c r="D3" s="47"/>
      <c r="E3" s="47"/>
      <c r="F3" s="47"/>
      <c r="G3" s="48"/>
      <c r="H3" s="47"/>
      <c r="I3" s="47"/>
      <c r="J3" s="47"/>
      <c r="K3" s="47"/>
      <c r="L3" s="47"/>
      <c r="M3" s="47"/>
      <c r="N3" s="47"/>
      <c r="O3" s="47"/>
      <c r="P3" s="47"/>
      <c r="Q3" s="50"/>
    </row>
    <row r="4" spans="1:17" s="51" customFormat="1" ht="15" thickBot="1" x14ac:dyDescent="0.25">
      <c r="A4" s="119" t="s">
        <v>48</v>
      </c>
      <c r="B4" s="119"/>
      <c r="C4" s="119"/>
      <c r="D4" s="119"/>
      <c r="E4" s="119"/>
      <c r="F4" s="119"/>
      <c r="G4" s="120" t="s">
        <v>29</v>
      </c>
      <c r="H4" s="120"/>
      <c r="I4" s="120"/>
      <c r="J4" s="120"/>
      <c r="K4" s="120"/>
      <c r="L4" s="120"/>
      <c r="M4" s="120"/>
      <c r="N4" s="120"/>
      <c r="O4" s="120"/>
      <c r="P4" s="120"/>
      <c r="Q4" s="120"/>
    </row>
    <row r="5" spans="1:17" s="51" customFormat="1" ht="15" thickBot="1" x14ac:dyDescent="0.25">
      <c r="A5" s="121" t="s">
        <v>30</v>
      </c>
      <c r="B5" s="121"/>
      <c r="C5" s="121"/>
      <c r="D5" s="121"/>
      <c r="E5" s="121"/>
      <c r="F5" s="121"/>
      <c r="G5" s="120">
        <v>26</v>
      </c>
      <c r="H5" s="120"/>
      <c r="I5" s="120"/>
      <c r="J5" s="120"/>
      <c r="K5" s="120"/>
      <c r="L5" s="120"/>
      <c r="M5" s="120"/>
      <c r="N5" s="120"/>
      <c r="O5" s="120"/>
      <c r="P5" s="120"/>
      <c r="Q5" s="120"/>
    </row>
    <row r="6" spans="1:17" s="51" customFormat="1" ht="15" thickBot="1" x14ac:dyDescent="0.25">
      <c r="A6" s="121" t="s">
        <v>31</v>
      </c>
      <c r="B6" s="121"/>
      <c r="C6" s="121"/>
      <c r="D6" s="121"/>
      <c r="E6" s="121"/>
      <c r="F6" s="121"/>
      <c r="G6" s="120" t="s">
        <v>32</v>
      </c>
      <c r="H6" s="120"/>
      <c r="I6" s="120"/>
      <c r="J6" s="120"/>
      <c r="K6" s="120"/>
      <c r="L6" s="120"/>
      <c r="M6" s="120"/>
      <c r="N6" s="120"/>
      <c r="O6" s="120"/>
      <c r="P6" s="120"/>
      <c r="Q6" s="120"/>
    </row>
    <row r="7" spans="1:17" s="51" customFormat="1" ht="15" thickBot="1" x14ac:dyDescent="0.25">
      <c r="A7" s="121" t="s">
        <v>33</v>
      </c>
      <c r="B7" s="121"/>
      <c r="C7" s="121"/>
      <c r="D7" s="121"/>
      <c r="E7" s="121"/>
      <c r="F7" s="121"/>
      <c r="G7" s="120" t="s">
        <v>32</v>
      </c>
      <c r="H7" s="120"/>
      <c r="I7" s="120"/>
      <c r="J7" s="120"/>
      <c r="K7" s="120"/>
      <c r="L7" s="120"/>
      <c r="M7" s="120"/>
      <c r="N7" s="120"/>
      <c r="O7" s="120"/>
      <c r="P7" s="120"/>
      <c r="Q7" s="120"/>
    </row>
    <row r="8" spans="1:17" ht="18" customHeight="1" thickBot="1" x14ac:dyDescent="0.25">
      <c r="A8" s="122" t="s">
        <v>49</v>
      </c>
      <c r="B8" s="122"/>
      <c r="C8" s="122"/>
      <c r="D8" s="122"/>
      <c r="E8" s="122"/>
      <c r="F8" s="122"/>
      <c r="G8" s="122"/>
      <c r="H8" s="122"/>
      <c r="I8" s="122"/>
      <c r="J8" s="122"/>
      <c r="K8" s="122"/>
      <c r="L8" s="122"/>
      <c r="M8" s="122"/>
      <c r="N8" s="122"/>
      <c r="O8" s="122"/>
      <c r="P8" s="122"/>
      <c r="Q8" s="122"/>
    </row>
    <row r="9" spans="1:17" ht="14.25" customHeight="1" x14ac:dyDescent="0.2">
      <c r="A9" s="115" t="s">
        <v>50</v>
      </c>
      <c r="B9" s="115"/>
      <c r="C9" s="115"/>
      <c r="D9" s="115"/>
      <c r="E9" s="115"/>
      <c r="F9" s="115"/>
      <c r="G9" s="115"/>
      <c r="H9" s="115"/>
      <c r="I9" s="115"/>
      <c r="J9" s="115"/>
      <c r="K9" s="115"/>
      <c r="L9" s="115"/>
      <c r="M9" s="115"/>
      <c r="N9" s="115"/>
      <c r="O9" s="115"/>
      <c r="P9" s="115"/>
      <c r="Q9" s="115"/>
    </row>
    <row r="10" spans="1:17" ht="14.25" customHeight="1" x14ac:dyDescent="0.2">
      <c r="A10" s="99" t="s">
        <v>51</v>
      </c>
      <c r="B10" s="100"/>
      <c r="C10" s="100"/>
      <c r="D10" s="100"/>
      <c r="E10" s="100"/>
      <c r="F10" s="100"/>
      <c r="G10" s="100"/>
      <c r="H10" s="100"/>
      <c r="I10" s="100"/>
      <c r="J10" s="100"/>
      <c r="K10" s="100"/>
      <c r="L10" s="100"/>
      <c r="M10" s="100"/>
      <c r="N10" s="100"/>
      <c r="O10" s="100"/>
      <c r="P10" s="100"/>
      <c r="Q10" s="101"/>
    </row>
    <row r="11" spans="1:17" ht="30" customHeight="1" thickBot="1" x14ac:dyDescent="0.25">
      <c r="A11" s="102"/>
      <c r="B11" s="103"/>
      <c r="C11" s="103"/>
      <c r="D11" s="103"/>
      <c r="E11" s="103"/>
      <c r="F11" s="103"/>
      <c r="G11" s="103"/>
      <c r="H11" s="103"/>
      <c r="I11" s="103"/>
      <c r="J11" s="103"/>
      <c r="K11" s="103"/>
      <c r="L11" s="103"/>
      <c r="M11" s="103"/>
      <c r="N11" s="103"/>
      <c r="O11" s="103"/>
      <c r="P11" s="103"/>
      <c r="Q11" s="104"/>
    </row>
    <row r="12" spans="1:17" ht="15.75" customHeight="1" thickBot="1" x14ac:dyDescent="0.25">
      <c r="A12" s="110" t="s">
        <v>52</v>
      </c>
      <c r="B12" s="110"/>
      <c r="C12" s="110"/>
      <c r="D12" s="110"/>
      <c r="E12" s="110"/>
      <c r="F12" s="110"/>
      <c r="G12" s="110"/>
      <c r="H12" s="110"/>
      <c r="I12" s="110"/>
      <c r="J12" s="110"/>
      <c r="K12" s="110"/>
      <c r="L12" s="110"/>
      <c r="M12" s="110"/>
      <c r="N12" s="110"/>
      <c r="O12" s="110"/>
      <c r="P12" s="110"/>
      <c r="Q12" s="110"/>
    </row>
    <row r="13" spans="1:17" ht="15.75" customHeight="1" thickBot="1" x14ac:dyDescent="0.25">
      <c r="A13" s="111" t="s">
        <v>53</v>
      </c>
      <c r="B13" s="111"/>
      <c r="C13" s="111"/>
      <c r="D13" s="111"/>
      <c r="E13" s="111"/>
      <c r="F13" s="111"/>
      <c r="G13" s="111"/>
      <c r="H13" s="111"/>
      <c r="I13" s="111"/>
      <c r="J13" s="111"/>
      <c r="K13" s="111"/>
      <c r="L13" s="111"/>
      <c r="M13" s="111"/>
      <c r="N13" s="111"/>
      <c r="O13" s="112" t="s">
        <v>54</v>
      </c>
      <c r="P13" s="112"/>
      <c r="Q13" s="113" t="s">
        <v>55</v>
      </c>
    </row>
    <row r="14" spans="1:17" ht="15.75" customHeight="1" thickBot="1" x14ac:dyDescent="0.25">
      <c r="A14" s="52" t="s">
        <v>56</v>
      </c>
      <c r="B14" s="53" t="s">
        <v>57</v>
      </c>
      <c r="C14" s="53" t="s">
        <v>58</v>
      </c>
      <c r="D14" s="53" t="s">
        <v>59</v>
      </c>
      <c r="E14" s="53" t="s">
        <v>60</v>
      </c>
      <c r="F14" s="53" t="s">
        <v>61</v>
      </c>
      <c r="G14" s="54" t="s">
        <v>62</v>
      </c>
      <c r="H14" s="53" t="s">
        <v>63</v>
      </c>
      <c r="I14" s="53" t="s">
        <v>64</v>
      </c>
      <c r="J14" s="53" t="s">
        <v>65</v>
      </c>
      <c r="K14" s="53" t="s">
        <v>65</v>
      </c>
      <c r="L14" s="53" t="s">
        <v>66</v>
      </c>
      <c r="M14" s="55" t="s">
        <v>67</v>
      </c>
      <c r="N14" s="56" t="s">
        <v>68</v>
      </c>
      <c r="O14" s="112"/>
      <c r="P14" s="112"/>
      <c r="Q14" s="113"/>
    </row>
    <row r="15" spans="1:17" ht="17.25" customHeight="1" x14ac:dyDescent="0.2">
      <c r="A15" s="57">
        <v>34</v>
      </c>
      <c r="B15" s="58">
        <v>0</v>
      </c>
      <c r="C15" s="58">
        <v>0</v>
      </c>
      <c r="D15" s="58">
        <v>2</v>
      </c>
      <c r="E15" s="58">
        <v>0</v>
      </c>
      <c r="F15" s="58">
        <v>4901</v>
      </c>
      <c r="G15" s="58">
        <v>1</v>
      </c>
      <c r="H15" s="58">
        <v>3</v>
      </c>
      <c r="I15" s="58">
        <v>2</v>
      </c>
      <c r="J15" s="58">
        <v>5</v>
      </c>
      <c r="K15" s="58">
        <v>6</v>
      </c>
      <c r="L15" s="58">
        <v>0</v>
      </c>
      <c r="M15" s="59">
        <v>1</v>
      </c>
      <c r="N15" s="58" t="s">
        <v>69</v>
      </c>
      <c r="O15" s="114" t="s">
        <v>21</v>
      </c>
      <c r="P15" s="114"/>
      <c r="Q15" s="60">
        <v>2692500</v>
      </c>
    </row>
    <row r="16" spans="1:17" ht="17.25" customHeight="1" x14ac:dyDescent="0.2">
      <c r="A16" s="61"/>
      <c r="B16" s="62"/>
      <c r="C16" s="62"/>
      <c r="D16" s="62"/>
      <c r="E16" s="62"/>
      <c r="F16" s="62"/>
      <c r="G16" s="62"/>
      <c r="H16" s="62"/>
      <c r="I16" s="62"/>
      <c r="J16" s="62"/>
      <c r="K16" s="62"/>
      <c r="L16" s="62"/>
      <c r="M16" s="63"/>
      <c r="N16" s="64"/>
      <c r="O16" s="105"/>
      <c r="P16" s="105"/>
      <c r="Q16" s="65"/>
    </row>
    <row r="17" spans="1:17" ht="17.25" customHeight="1" x14ac:dyDescent="0.2">
      <c r="A17" s="61"/>
      <c r="B17" s="62"/>
      <c r="C17" s="62"/>
      <c r="D17" s="62"/>
      <c r="E17" s="62"/>
      <c r="F17" s="62"/>
      <c r="G17" s="62"/>
      <c r="H17" s="62"/>
      <c r="I17" s="62"/>
      <c r="J17" s="62"/>
      <c r="K17" s="62"/>
      <c r="L17" s="62"/>
      <c r="M17" s="63"/>
      <c r="N17" s="64"/>
      <c r="O17" s="106"/>
      <c r="P17" s="106"/>
      <c r="Q17" s="65"/>
    </row>
    <row r="18" spans="1:17" ht="17.25" customHeight="1" x14ac:dyDescent="0.2">
      <c r="A18" s="61"/>
      <c r="B18" s="62"/>
      <c r="C18" s="62"/>
      <c r="D18" s="62"/>
      <c r="E18" s="62"/>
      <c r="F18" s="62"/>
      <c r="G18" s="62"/>
      <c r="H18" s="62"/>
      <c r="I18" s="62"/>
      <c r="J18" s="62"/>
      <c r="K18" s="62"/>
      <c r="L18" s="62"/>
      <c r="M18" s="63"/>
      <c r="N18" s="64"/>
      <c r="O18" s="107"/>
      <c r="P18" s="107"/>
      <c r="Q18" s="65"/>
    </row>
    <row r="19" spans="1:17" ht="17.25" customHeight="1" x14ac:dyDescent="0.2">
      <c r="A19" s="61"/>
      <c r="B19" s="62"/>
      <c r="C19" s="62"/>
      <c r="D19" s="62"/>
      <c r="E19" s="62"/>
      <c r="F19" s="62"/>
      <c r="G19" s="62"/>
      <c r="H19" s="62"/>
      <c r="I19" s="62"/>
      <c r="J19" s="62"/>
      <c r="K19" s="62"/>
      <c r="L19" s="62"/>
      <c r="M19" s="63"/>
      <c r="N19" s="64"/>
      <c r="O19" s="107"/>
      <c r="P19" s="107"/>
      <c r="Q19" s="65"/>
    </row>
    <row r="20" spans="1:17" ht="13.5" thickBot="1" x14ac:dyDescent="0.25">
      <c r="A20" s="66"/>
      <c r="B20" s="67"/>
      <c r="C20" s="67"/>
      <c r="D20" s="67"/>
      <c r="E20" s="67"/>
      <c r="F20" s="67"/>
      <c r="G20" s="67"/>
      <c r="H20" s="67"/>
      <c r="I20" s="67"/>
      <c r="J20" s="67"/>
      <c r="K20" s="67"/>
      <c r="L20" s="67"/>
      <c r="M20" s="68"/>
      <c r="N20" s="67"/>
      <c r="O20" s="108"/>
      <c r="P20" s="108"/>
      <c r="Q20" s="69"/>
    </row>
    <row r="21" spans="1:17" ht="15.75" thickBot="1" x14ac:dyDescent="0.25">
      <c r="A21" s="109" t="s">
        <v>70</v>
      </c>
      <c r="B21" s="109"/>
      <c r="C21" s="109"/>
      <c r="D21" s="109"/>
      <c r="E21" s="109"/>
      <c r="F21" s="109"/>
      <c r="G21" s="109"/>
      <c r="H21" s="109"/>
      <c r="I21" s="109"/>
      <c r="J21" s="109"/>
      <c r="K21" s="109"/>
      <c r="L21" s="109"/>
      <c r="M21" s="109"/>
      <c r="N21" s="109"/>
      <c r="O21" s="109"/>
      <c r="P21" s="109"/>
      <c r="Q21" s="70">
        <f>SUM(Q15:Q20)</f>
        <v>2692500</v>
      </c>
    </row>
    <row r="22" spans="1:17" ht="18" customHeight="1" thickBot="1" x14ac:dyDescent="0.25">
      <c r="A22" s="95"/>
      <c r="B22" s="95"/>
      <c r="C22" s="95"/>
      <c r="D22" s="95"/>
      <c r="E22" s="95"/>
      <c r="F22" s="95"/>
      <c r="G22" s="95"/>
      <c r="H22" s="95"/>
      <c r="I22" s="95"/>
      <c r="J22" s="95"/>
      <c r="K22" s="95"/>
      <c r="L22" s="95"/>
      <c r="M22" s="95"/>
      <c r="N22" s="95"/>
      <c r="O22" s="95"/>
      <c r="P22" s="95"/>
      <c r="Q22" s="95"/>
    </row>
    <row r="23" spans="1:17" ht="15.75" thickBot="1" x14ac:dyDescent="0.25">
      <c r="A23" s="96" t="s">
        <v>71</v>
      </c>
      <c r="B23" s="96"/>
      <c r="C23" s="96"/>
      <c r="D23" s="96"/>
      <c r="E23" s="96"/>
      <c r="F23" s="96"/>
      <c r="G23" s="97"/>
      <c r="H23" s="97"/>
      <c r="I23" s="97"/>
      <c r="J23" s="97"/>
      <c r="K23" s="97"/>
      <c r="L23" s="97"/>
      <c r="M23" s="97"/>
      <c r="N23" s="97"/>
      <c r="O23" s="97"/>
      <c r="P23" s="97"/>
      <c r="Q23" s="97"/>
    </row>
    <row r="24" spans="1:17" ht="18" customHeight="1" thickBot="1" x14ac:dyDescent="0.25">
      <c r="A24" s="98" t="s">
        <v>72</v>
      </c>
      <c r="B24" s="98"/>
      <c r="C24" s="98"/>
      <c r="D24" s="98"/>
      <c r="E24" s="98"/>
      <c r="F24" s="98"/>
      <c r="G24" s="98"/>
      <c r="H24" s="98"/>
      <c r="I24" s="98"/>
      <c r="J24" s="98"/>
      <c r="K24" s="98"/>
      <c r="L24" s="98"/>
      <c r="M24" s="98"/>
      <c r="N24" s="98"/>
      <c r="O24" s="98"/>
      <c r="P24" s="98"/>
      <c r="Q24" s="98"/>
    </row>
    <row r="25" spans="1:17" ht="63.75" customHeight="1" thickBot="1" x14ac:dyDescent="0.25">
      <c r="A25" s="98"/>
      <c r="B25" s="98"/>
      <c r="C25" s="98"/>
      <c r="D25" s="98"/>
      <c r="E25" s="98"/>
      <c r="F25" s="98"/>
      <c r="G25" s="98"/>
      <c r="H25" s="98"/>
      <c r="I25" s="98"/>
      <c r="J25" s="98"/>
      <c r="K25" s="98"/>
      <c r="L25" s="98"/>
      <c r="M25" s="98"/>
      <c r="N25" s="98"/>
      <c r="O25" s="98"/>
      <c r="P25" s="98"/>
      <c r="Q25" s="98"/>
    </row>
  </sheetData>
  <mergeCells count="29">
    <mergeCell ref="A9:Q9"/>
    <mergeCell ref="A1:C1"/>
    <mergeCell ref="D1:E1"/>
    <mergeCell ref="P1:Q2"/>
    <mergeCell ref="A4:F4"/>
    <mergeCell ref="G4:Q4"/>
    <mergeCell ref="A5:F5"/>
    <mergeCell ref="G5:Q5"/>
    <mergeCell ref="A6:F6"/>
    <mergeCell ref="G6:Q6"/>
    <mergeCell ref="A7:F7"/>
    <mergeCell ref="G7:Q7"/>
    <mergeCell ref="A8:Q8"/>
    <mergeCell ref="A22:Q22"/>
    <mergeCell ref="A23:F23"/>
    <mergeCell ref="G23:Q23"/>
    <mergeCell ref="A24:Q25"/>
    <mergeCell ref="A10:Q11"/>
    <mergeCell ref="O16:P16"/>
    <mergeCell ref="O17:P17"/>
    <mergeCell ref="O18:P18"/>
    <mergeCell ref="O19:P19"/>
    <mergeCell ref="O20:P20"/>
    <mergeCell ref="A21:P21"/>
    <mergeCell ref="A12:Q12"/>
    <mergeCell ref="A13:N13"/>
    <mergeCell ref="O13:P14"/>
    <mergeCell ref="Q13:Q14"/>
    <mergeCell ref="O15:P15"/>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2020-08-31T11:09:41Z</cp:lastPrinted>
  <dcterms:created xsi:type="dcterms:W3CDTF">2020-07-17T23:44:49Z</dcterms:created>
  <dcterms:modified xsi:type="dcterms:W3CDTF">2022-02-01T13:40:34Z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