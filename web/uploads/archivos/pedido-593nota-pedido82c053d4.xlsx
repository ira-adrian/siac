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PP\4° TRIMESTRE\ALIMENTOS NO PERECEDEROS\"/>
    </mc:Choice>
  </mc:AlternateContent>
  <xr:revisionPtr revIDLastSave="0" documentId="13_ncr:1_{FF6FC594-AA63-418E-BB9F-239F62691788}" xr6:coauthVersionLast="47" xr6:coauthVersionMax="47" xr10:uidLastSave="{00000000-0000-0000-0000-000000000000}"/>
  <bookViews>
    <workbookView showHorizontalScroll="0" showVerticalScroll="0" xWindow="-120" yWindow="-120" windowWidth="20730" windowHeight="11160" activeTab="2" xr2:uid="{B1C1627D-A941-41B9-A052-E40042347C36}"/>
  </bookViews>
  <sheets>
    <sheet name="NECESIDADES TRIMESTRALES" sheetId="1" r:id="rId1"/>
    <sheet name="NOTA DE PEDIDO" sheetId="2" r:id="rId2"/>
    <sheet name="APG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2" l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C14" i="2" l="1"/>
  <c r="C13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I38" i="1"/>
  <c r="B39" i="2"/>
  <c r="I35" i="2"/>
  <c r="B33" i="2"/>
  <c r="G6" i="3" l="1"/>
  <c r="D4" i="2"/>
  <c r="G5" i="3" s="1"/>
  <c r="D3" i="2"/>
  <c r="G4" i="3" s="1"/>
  <c r="G7" i="3"/>
  <c r="Q22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6" i="2"/>
  <c r="I37" i="2"/>
  <c r="I38" i="2"/>
  <c r="I39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4" i="2"/>
  <c r="B35" i="2"/>
  <c r="B36" i="2"/>
  <c r="B37" i="2"/>
  <c r="B38" i="2"/>
  <c r="B13" i="2"/>
  <c r="A36" i="2"/>
  <c r="A37" i="2"/>
  <c r="A38" i="2"/>
  <c r="A39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K12" i="2"/>
  <c r="J12" i="2"/>
  <c r="I12" i="2"/>
  <c r="C12" i="2"/>
  <c r="B12" i="2"/>
  <c r="A12" i="2"/>
  <c r="J40" i="2" l="1"/>
</calcChain>
</file>

<file path=xl/sharedStrings.xml><?xml version="1.0" encoding="utf-8"?>
<sst xmlns="http://schemas.openxmlformats.org/spreadsheetml/2006/main" count="247" uniqueCount="138">
  <si>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</si>
  <si>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</si>
  <si>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</si>
  <si>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</si>
  <si>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</si>
  <si>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</si>
  <si>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</si>
  <si>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</si>
  <si>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</si>
  <si>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</si>
  <si>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</si>
  <si>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</si>
  <si>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</si>
  <si>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</si>
  <si>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</si>
  <si>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</si>
  <si>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</si>
  <si>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</si>
  <si>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CAJA</t>
  </si>
  <si>
    <t>BOLSA</t>
  </si>
  <si>
    <t>BOTELLA</t>
  </si>
  <si>
    <t>2.1.1-438.37</t>
  </si>
  <si>
    <t>ADEREZOS; TIPO: MAYONESA, ENVASE: BOLSA, CONTENIDO: 2,9 Kg, PRESENTACION: ENVASE X 2,9 Kg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</si>
  <si>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</si>
  <si>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</si>
  <si>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</si>
  <si>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2.1.1-709.9</t>
  </si>
  <si>
    <t>CAFE; ESTADO: MOLIDO, CONTENIDO: 1000 GR, PROCESO: TOSTADO C/AZUCAR, ENVASE: PAQUETE, TIPO: SIN VALOR, PRESENTACION: ENVASE X 1000 GR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</si>
  <si>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</si>
  <si>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</si>
  <si>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</si>
  <si>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2.1.1-481.28</t>
  </si>
  <si>
    <t>AZUCARES; TIPO: BLANCA, ESTADO: MOLIDA, PESO: 1 Kg, MATERIAL ENVASE: PAPEL, CERTIFICADO FORESTAL (GFS): SIN, ELEM. TRANSPORTE: SIN, MATERIAL ELEM. TRANSPORTE: SIN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</si>
  <si>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</si>
  <si>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</si>
  <si>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</si>
  <si>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</si>
  <si>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</si>
  <si>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</si>
  <si>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</si>
  <si>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</si>
  <si>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</si>
  <si>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</si>
  <si>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</si>
  <si>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</si>
  <si>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</si>
  <si>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</si>
  <si>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</si>
  <si>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</si>
  <si>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</si>
  <si>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</si>
  <si>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</si>
  <si>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</si>
  <si>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2.1.1-489.77</t>
  </si>
  <si>
    <t>ESPECIAS; PRESENTACION: PAQUETE X 1 Kg, TIPO: LAUREL</t>
  </si>
  <si>
    <t>2.1.1-5917.8</t>
  </si>
  <si>
    <t>CEREALES; TIPO: TRIGO BURGOL, PRESENTACION: ENVASE X 1 Kg</t>
  </si>
  <si>
    <t>2.1.1-708.19</t>
  </si>
  <si>
    <t>CONSERVAS PESCADO Y FRUTOS MAR; ESPECIE: CABALLA, ESTADO: EN ACEITE, PESO: 380 GR, ENVASE: LATA, TIPO: CABALLA</t>
  </si>
  <si>
    <t>2.1.1-482.63</t>
  </si>
  <si>
    <t>HARINAS; TIPO: MAIZ, PRESENTACION: ENVASE X 750 GR, MATERIAL ENVASE: PAPEL, CERTICADO FORESTAL (GFS): SIN, ELEM. TRANSPORTE: SIN, MATERIAL ELEM. TRANSPORTE: SIN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</si>
  <si>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</si>
  <si>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</si>
  <si>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</si>
  <si>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</si>
  <si>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2.1.1-514.12</t>
  </si>
  <si>
    <t>SAL DE MESA; ENVASE: BOLSA, PESO: 50 Kg, CONSISTENCIA: ENTREFINA, TIPO: SIN VALOR</t>
  </si>
  <si>
    <t>2.1.1-2616.10</t>
  </si>
  <si>
    <t>MAIZ; TIPO: BLANCO, PRESENTACION: ENVASE X 1 Kg, FORMA DE PRESENTACION: GRANULADO</t>
  </si>
  <si>
    <t>2.1.1-2127.1</t>
  </si>
  <si>
    <t>MEJORADOR DE PANIFICACION: ESTADO: NATURAL, PESO: 10 KG. PRESENTACION: BOLSA</t>
  </si>
  <si>
    <t>COSTO TOTAL ESTIMADO ALIMENTOS NO PERECEDEROS</t>
  </si>
  <si>
    <t>Descripción técnica</t>
  </si>
  <si>
    <t>Plazo de Entrega</t>
  </si>
  <si>
    <t>La entrega debe realizarse dentro de los 10 días de la Notificación de la Orden de Compra.</t>
  </si>
  <si>
    <t>Lugar de Enttrega</t>
  </si>
  <si>
    <t>Servicio Penitenciario Provincial, Ruta Nacional 38, km 558 Colonia del Valle, Capayan</t>
  </si>
  <si>
    <t>Calidad Minima esperada</t>
  </si>
  <si>
    <t>Los productos deben ser de 1° calidad, según condiciones establecidas en nota</t>
  </si>
  <si>
    <t>Mantenimiento</t>
  </si>
  <si>
    <t>45 días</t>
  </si>
  <si>
    <t>Garantia</t>
  </si>
  <si>
    <t>2.1.1-514.15</t>
  </si>
  <si>
    <t>SAL DE MESA; CONSISTENCIA: GRUESA, ENVASE: BOLSA, PESO: 1 Kg, TIPO: SIN VALOR</t>
  </si>
  <si>
    <t>2.1.1-705.105</t>
  </si>
  <si>
    <t>2.1.1-705.95</t>
  </si>
  <si>
    <t>2.1.1-705.103</t>
  </si>
  <si>
    <t>LECHE; ESTADO: LIQUIDO, TIPO: ENTERA, PROCESO: PASTEURIZADA, AGREGADO: VITAMINAS Y MINERALES, PRESENTACION: ENVASE X 1 L, MATERIAL ENVASE: CARTON, ELEM. TRANSPORTE: SIN, MATERIAL ELEM. TRANSPORTE: SIN, CERTIFICADO FORESTAL (GFS): SIN, LIBRE DE GLUTEN: SI</t>
  </si>
  <si>
    <t>LECHE; ESTADO: LIQUIDO, TIPO: DESCREMADA, PROCESO: PASTEURIZADA, AGREGADO: VITAMINAS Y MINERALES, PRESENTACION: ENVASE X 1 L, MATERIAL ENVASE: CARTON, ELEM. TRANSPORTE: SIN, MATERIAL ELEM. TRANSPORTE: SIN, CERTIFICADO FORESTAL (GFS): SIN, LIBRE DE GLUTEN: SI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</si>
  <si>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</si>
  <si>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</si>
  <si>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</si>
  <si>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</si>
  <si>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</si>
  <si>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</si>
  <si>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</si>
  <si>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</si>
  <si>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</si>
  <si>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</si>
  <si>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</si>
  <si>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</si>
  <si>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</si>
  <si>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</si>
  <si>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</si>
  <si>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</si>
  <si>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</si>
  <si>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</si>
  <si>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</si>
  <si>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</si>
  <si>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</si>
  <si>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</si>
  <si>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</si>
  <si>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</si>
  <si>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</si>
  <si>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</si>
  <si>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</si>
  <si>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</si>
  <si>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</si>
  <si>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</si>
  <si>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</si>
  <si>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</si>
  <si>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</si>
  <si>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</si>
  <si>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</si>
  <si>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</si>
  <si>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</si>
  <si>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</si>
  <si>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Señor Director de Administración o Titular del Servicio Administrativo Financiero:</t>
  </si>
  <si>
    <t xml:space="preserve">TOTAL DE PESOS: </t>
  </si>
  <si>
    <t>LOGISTICA</t>
  </si>
  <si>
    <t>3 MESES</t>
  </si>
  <si>
    <t>BIENES</t>
  </si>
  <si>
    <r>
      <t>AUTORIZACIÓN</t>
    </r>
    <r>
      <rPr>
        <b/>
        <sz val="10"/>
        <rFont val="Times New Roman"/>
        <family val="1"/>
      </rPr>
      <t>:</t>
    </r>
  </si>
  <si>
    <t>Costo total estimado</t>
  </si>
  <si>
    <t>SERVICIO PENITENCIARIO PROVINCIAL</t>
  </si>
  <si>
    <t>Alimentos Para Personas</t>
  </si>
  <si>
    <t>Especificidades Item N° 1-28: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</si>
  <si>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DOCFI-2022-02111944-CAT-SPC#SSD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</si>
</sst>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[$$-2C0A]\ #,##0.00;[$$-2C0A]&quot; -&quot;#,##0.00"/>
    <numFmt numFmtId="166" formatCode="[$$-2C0A]\ #,##0.00"/>
    <numFmt numFmtId="167" formatCode="dd\-mm\-yy;@"/>
    <numFmt numFmtId="168" formatCode="_(\$* #,##0.00_);_(\$* \(#,##0.00\);_(\$* \-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b/>
      <u/>
      <sz val="1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168" fontId="15" fillId="0" borderId="0" applyBorder="0" applyProtection="0"/>
  </cellStyleXfs>
  <cellXfs count="16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64" fontId="2" fillId="0" borderId="0" xfId="1" applyNumberFormat="1" applyFont="1" applyAlignment="1">
      <alignment vertical="center"/>
    </xf>
    <xf numFmtId="0" fontId="5" fillId="0" borderId="0" xfId="0" applyFont="1" applyAlignment="1">
      <alignment horizontal="left" wrapText="1" inden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4" fontId="10" fillId="0" borderId="4" xfId="2" applyNumberFormat="1" applyFont="1" applyFill="1" applyBorder="1" applyAlignment="1" applyProtection="1">
      <alignment horizontal="right" vertical="center" wrapText="1"/>
    </xf>
    <xf numFmtId="0" fontId="10" fillId="0" borderId="4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left" vertical="center" wrapText="1"/>
    </xf>
    <xf numFmtId="164" fontId="9" fillId="2" borderId="4" xfId="3" applyNumberFormat="1" applyFont="1" applyFill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3" fontId="16" fillId="0" borderId="37" xfId="0" applyNumberFormat="1" applyFont="1" applyBorder="1"/>
    <xf numFmtId="167" fontId="0" fillId="0" borderId="37" xfId="0" applyNumberFormat="1" applyBorder="1" applyAlignment="1">
      <alignment horizontal="left"/>
    </xf>
    <xf numFmtId="0" fontId="0" fillId="0" borderId="37" xfId="0" applyBorder="1"/>
    <xf numFmtId="0" fontId="0" fillId="0" borderId="40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42" xfId="0" applyBorder="1"/>
    <xf numFmtId="0" fontId="20" fillId="0" borderId="42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5" xfId="0" applyFont="1" applyBorder="1" applyAlignment="1">
      <alignment horizontal="left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20" fillId="0" borderId="49" xfId="4" applyNumberFormat="1" applyFont="1" applyBorder="1" applyAlignment="1" applyProtection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65" fontId="20" fillId="0" borderId="70" xfId="4" applyNumberFormat="1" applyFont="1" applyBorder="1" applyAlignment="1" applyProtection="1">
      <alignment horizontal="center" vertical="center"/>
    </xf>
    <xf numFmtId="165" fontId="9" fillId="0" borderId="33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2" fillId="0" borderId="16" xfId="0" applyFont="1" applyBorder="1" applyAlignment="1">
      <alignment horizontal="right" vertical="center"/>
    </xf>
    <xf numFmtId="49" fontId="23" fillId="0" borderId="1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/>
    <xf numFmtId="0" fontId="22" fillId="0" borderId="18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 indent="1"/>
    </xf>
    <xf numFmtId="0" fontId="2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5" fontId="2" fillId="0" borderId="24" xfId="1" applyNumberFormat="1" applyFont="1" applyFill="1" applyBorder="1" applyAlignment="1" applyProtection="1">
      <alignment horizontal="right" vertical="center" wrapText="1"/>
    </xf>
    <xf numFmtId="3" fontId="2" fillId="0" borderId="24" xfId="0" applyNumberFormat="1" applyFont="1" applyBorder="1" applyAlignment="1">
      <alignment horizontal="center" vertical="center"/>
    </xf>
    <xf numFmtId="166" fontId="0" fillId="0" borderId="0" xfId="0" applyNumberForma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  <xf numFmtId="0" fontId="9" fillId="2" borderId="5" xfId="3" applyFont="1" applyFill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2" fillId="0" borderId="1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left" wrapText="1"/>
    </xf>
    <xf numFmtId="0" fontId="20" fillId="0" borderId="6" xfId="0" applyFont="1" applyBorder="1" applyAlignment="1">
      <alignment horizontal="left" wrapText="1"/>
    </xf>
    <xf numFmtId="0" fontId="20" fillId="0" borderId="7" xfId="0" applyFont="1" applyBorder="1" applyAlignment="1">
      <alignment horizontal="left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166" fontId="23" fillId="0" borderId="4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 indent="1"/>
    </xf>
    <xf numFmtId="0" fontId="24" fillId="0" borderId="20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 wrapText="1" indent="1"/>
    </xf>
    <xf numFmtId="0" fontId="22" fillId="0" borderId="0" xfId="0" applyFont="1" applyAlignment="1">
      <alignment horizontal="center" vertical="center"/>
    </xf>
    <xf numFmtId="0" fontId="20" fillId="0" borderId="27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21" fillId="0" borderId="55" xfId="0" applyFont="1" applyBorder="1" applyAlignment="1">
      <alignment vertical="center" wrapText="1"/>
    </xf>
    <xf numFmtId="0" fontId="21" fillId="0" borderId="56" xfId="0" applyFont="1" applyBorder="1" applyAlignment="1">
      <alignment vertical="center" wrapText="1"/>
    </xf>
    <xf numFmtId="0" fontId="18" fillId="0" borderId="57" xfId="0" applyFont="1" applyBorder="1" applyAlignment="1">
      <alignment vertical="center" wrapText="1"/>
    </xf>
    <xf numFmtId="0" fontId="18" fillId="0" borderId="58" xfId="0" applyFont="1" applyBorder="1" applyAlignment="1">
      <alignment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/>
    </xf>
    <xf numFmtId="0" fontId="18" fillId="0" borderId="31" xfId="0" applyFont="1" applyBorder="1" applyAlignment="1">
      <alignment horizontal="left"/>
    </xf>
    <xf numFmtId="0" fontId="18" fillId="0" borderId="44" xfId="0" applyFont="1" applyBorder="1" applyAlignment="1">
      <alignment horizontal="left"/>
    </xf>
    <xf numFmtId="0" fontId="18" fillId="0" borderId="4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8" fillId="0" borderId="72" xfId="0" applyFont="1" applyBorder="1" applyAlignment="1">
      <alignment horizontal="left" vertical="center" wrapText="1"/>
    </xf>
    <xf numFmtId="0" fontId="18" fillId="0" borderId="73" xfId="0" applyFont="1" applyBorder="1" applyAlignment="1">
      <alignment horizontal="left" vertical="center" wrapText="1"/>
    </xf>
    <xf numFmtId="0" fontId="18" fillId="0" borderId="7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 vertical="center" wrapText="1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2" fillId="0" borderId="74" xfId="0" applyFont="1" applyBorder="1" applyAlignment="1">
      <alignment horizontal="left" vertical="center" wrapText="1"/>
    </xf>
    <xf numFmtId="0" fontId="2" fillId="0" borderId="75" xfId="0" applyFont="1" applyBorder="1" applyAlignment="1">
      <alignment horizontal="left" vertical="center" wrapText="1"/>
    </xf>
    <xf numFmtId="0" fontId="2" fillId="0" borderId="7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indent="1"/>
    </xf>
    <xf numFmtId="0" fontId="18" fillId="0" borderId="29" xfId="0" applyFont="1" applyBorder="1" applyAlignment="1">
      <alignment horizontal="left" indent="1"/>
    </xf>
    <xf numFmtId="0" fontId="18" fillId="0" borderId="46" xfId="0" applyFont="1" applyBorder="1" applyAlignment="1">
      <alignment horizontal="left" indent="1"/>
    </xf>
    <xf numFmtId="0" fontId="2" fillId="0" borderId="72" xfId="0" applyFont="1" applyBorder="1" applyAlignment="1">
      <alignment horizontal="left" vertical="center" wrapText="1"/>
    </xf>
    <xf numFmtId="0" fontId="2" fillId="0" borderId="73" xfId="0" applyFont="1" applyBorder="1" applyAlignment="1">
      <alignment horizontal="left" vertical="center" wrapText="1"/>
    </xf>
    <xf numFmtId="0" fontId="18" fillId="0" borderId="59" xfId="0" applyNumberFormat="1" applyFont="1" applyBorder="1" applyAlignment="1">
      <alignment horizontal="left" vertical="center" indent="1"/>
    </xf>
    <xf numFmtId="0" fontId="18" fillId="0" borderId="60" xfId="0" applyNumberFormat="1" applyFont="1" applyBorder="1" applyAlignment="1">
      <alignment horizontal="left" vertical="center" indent="1"/>
    </xf>
    <xf numFmtId="0" fontId="18" fillId="0" borderId="61" xfId="0" applyNumberFormat="1" applyFont="1" applyBorder="1" applyAlignment="1">
      <alignment horizontal="left" vertical="center" indent="1"/>
    </xf>
    <xf numFmtId="0" fontId="19" fillId="0" borderId="51" xfId="0" applyFont="1" applyBorder="1" applyAlignment="1">
      <alignment horizontal="left"/>
    </xf>
    <xf numFmtId="0" fontId="19" fillId="0" borderId="30" xfId="0" applyFont="1" applyBorder="1" applyAlignment="1">
      <alignment horizontal="left"/>
    </xf>
    <xf numFmtId="0" fontId="19" fillId="0" borderId="50" xfId="0" applyFont="1" applyBorder="1" applyAlignment="1">
      <alignment horizontal="left"/>
    </xf>
    <xf numFmtId="0" fontId="18" fillId="0" borderId="59" xfId="0" applyFont="1" applyBorder="1" applyAlignment="1">
      <alignment horizontal="left" indent="1"/>
    </xf>
    <xf numFmtId="0" fontId="18" fillId="0" borderId="60" xfId="0" applyFont="1" applyBorder="1" applyAlignment="1">
      <alignment horizontal="left" indent="1"/>
    </xf>
    <xf numFmtId="0" fontId="18" fillId="0" borderId="61" xfId="0" applyFont="1" applyBorder="1" applyAlignment="1">
      <alignment horizontal="left" indent="1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3" fontId="16" fillId="0" borderId="36" xfId="0" applyNumberFormat="1" applyFont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2" fillId="0" borderId="77" xfId="0" applyFont="1" applyBorder="1"/>
    <xf numFmtId="0" fontId="2" fillId="0" borderId="71" xfId="0" applyFont="1" applyBorder="1"/>
    <xf numFmtId="0" fontId="18" fillId="0" borderId="71" xfId="0" applyFont="1" applyBorder="1" applyAlignment="1">
      <alignment horizontal="left" indent="1"/>
    </xf>
    <xf numFmtId="0" fontId="18" fillId="0" borderId="63" xfId="0" applyFont="1" applyBorder="1" applyAlignment="1">
      <alignment horizontal="left" indent="1"/>
    </xf>
  </cellXfs>
  <cellStyles count="5">
    <cellStyle name="Moneda" xfId="1" builtinId="4"/>
    <cellStyle name="Moneda 2" xfId="2" xr:uid="{58D0025A-D887-4E47-A467-7974F0A7478C}"/>
    <cellStyle name="Moneda_AUTORIZACION Y NOTA DE PEDIDO" xfId="4" xr:uid="{085A205E-18B8-4ED3-8B10-EAFED8B3CE7B}"/>
    <cellStyle name="Normal" xfId="0" builtinId="0"/>
    <cellStyle name="Normal 2" xfId="3" xr:uid="{3BC40DF0-7733-4879-82F4-CDCA312A5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EF8A-366F-446B-B034-5B7FA724761E}">
  <dimension ref="A2:J263"/>
  <sheetViews>
    <sheetView topLeftCell="A21" zoomScale="70" zoomScaleNormal="70" workbookViewId="0">
      <selection activeCell="E33" sqref="E33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5" customWidth="1"/>
    <col min="9" max="9" width="18.5703125" style="2" customWidth="1"/>
    <col min="10" max="16384" width="11" style="1"/>
  </cols>
  <sheetData>
    <row r="2" spans="1:9" ht="27" x14ac:dyDescent="0.35">
      <c r="B2" s="62" t="s">
        <v>0</v>
      </c>
      <c r="C2" s="62"/>
      <c r="D2" s="62"/>
      <c r="E2" s="62"/>
      <c r="F2" s="62"/>
      <c r="G2" s="62"/>
      <c r="H2" s="62"/>
    </row>
    <row r="4" spans="1:9" ht="18" customHeight="1" x14ac:dyDescent="0.25">
      <c r="A4" s="61" t="s">
        <v>1</v>
      </c>
      <c r="B4" s="61"/>
      <c r="C4" s="63" t="s">
        <v>2</v>
      </c>
      <c r="D4" s="63"/>
      <c r="E4" s="63"/>
      <c r="F4" s="3"/>
      <c r="G4" s="4"/>
    </row>
    <row r="5" spans="1:9" ht="18" customHeight="1" x14ac:dyDescent="0.25">
      <c r="A5" s="61" t="s">
        <v>3</v>
      </c>
      <c r="B5" s="61"/>
      <c r="C5" s="63" t="s">
        <v>4</v>
      </c>
      <c r="D5" s="63"/>
      <c r="E5" s="63"/>
      <c r="F5" s="3"/>
      <c r="G5" s="4"/>
    </row>
    <row r="6" spans="1:9" ht="16.5" customHeight="1" x14ac:dyDescent="0.25">
      <c r="A6" s="61" t="s">
        <v>5</v>
      </c>
      <c r="B6" s="61"/>
      <c r="C6" s="6">
        <v>2022</v>
      </c>
      <c r="D6" s="7"/>
      <c r="E6" s="7"/>
      <c r="F6" s="3"/>
      <c r="G6" s="4"/>
    </row>
    <row r="7" spans="1:9" ht="16.5" customHeight="1" x14ac:dyDescent="0.25">
      <c r="A7" s="61" t="s">
        <v>6</v>
      </c>
      <c r="B7" s="61"/>
      <c r="C7" s="6">
        <v>4</v>
      </c>
      <c r="D7" s="7"/>
      <c r="E7" s="7"/>
      <c r="F7" s="3"/>
      <c r="G7" s="4"/>
    </row>
    <row r="8" spans="1:9" ht="13.5" thickBot="1" x14ac:dyDescent="0.25">
      <c r="B8" s="3"/>
      <c r="C8" s="4"/>
      <c r="D8" s="3"/>
      <c r="E8" s="3"/>
      <c r="F8" s="3"/>
      <c r="G8" s="4"/>
    </row>
    <row r="9" spans="1:9" ht="46.5" customHeight="1" thickBot="1" x14ac:dyDescent="0.25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10" t="s">
        <v>14</v>
      </c>
      <c r="I9" s="11" t="s">
        <v>15</v>
      </c>
    </row>
    <row r="10" spans="1:9" ht="13.5" thickBot="1" x14ac:dyDescent="0.25">
      <c r="A10" s="15">
        <v>1</v>
      </c>
      <c r="B10" s="16" t="s">
        <v>55</v>
      </c>
      <c r="C10" s="13" t="s">
        <v>16</v>
      </c>
      <c r="D10" s="16" t="s">
        <v>17</v>
      </c>
      <c r="E10" s="17" t="s">
        <v>56</v>
      </c>
      <c r="F10" s="16" t="s">
        <v>19</v>
      </c>
      <c r="G10" s="16">
        <v>150</v>
      </c>
      <c r="H10" s="16">
        <v>600</v>
      </c>
      <c r="I10" s="14">
        <f>H10*G10</f>
        <v>90000</v>
      </c>
    </row>
    <row r="11" spans="1:9" ht="24.75" thickBot="1" x14ac:dyDescent="0.25">
      <c r="A11" s="15">
        <v>2</v>
      </c>
      <c r="B11" s="16" t="s">
        <v>21</v>
      </c>
      <c r="C11" s="13" t="s">
        <v>16</v>
      </c>
      <c r="D11" s="16" t="s">
        <v>17</v>
      </c>
      <c r="E11" s="17" t="s">
        <v>22</v>
      </c>
      <c r="F11" s="16" t="s">
        <v>19</v>
      </c>
      <c r="G11" s="16">
        <v>20</v>
      </c>
      <c r="H11" s="16">
        <v>1500</v>
      </c>
      <c r="I11" s="14">
        <f t="shared" ref="I11:I37" si="0">H11*G11</f>
        <v>30000</v>
      </c>
    </row>
    <row r="12" spans="1:9" ht="48.75" thickBot="1" x14ac:dyDescent="0.25">
      <c r="A12" s="15">
        <v>3</v>
      </c>
      <c r="B12" s="16" t="s">
        <v>23</v>
      </c>
      <c r="C12" s="13" t="s">
        <v>16</v>
      </c>
      <c r="D12" s="16" t="s">
        <v>17</v>
      </c>
      <c r="E12" s="17" t="s">
        <v>24</v>
      </c>
      <c r="F12" s="16" t="s">
        <v>25</v>
      </c>
      <c r="G12" s="16">
        <v>5000</v>
      </c>
      <c r="H12" s="16">
        <v>230</v>
      </c>
      <c r="I12" s="14">
        <f t="shared" si="0"/>
        <v>1150000</v>
      </c>
    </row>
    <row r="13" spans="1:9" ht="24.75" thickBot="1" x14ac:dyDescent="0.25">
      <c r="A13" s="15">
        <v>4</v>
      </c>
      <c r="B13" s="16" t="s">
        <v>26</v>
      </c>
      <c r="C13" s="13" t="s">
        <v>16</v>
      </c>
      <c r="D13" s="16" t="s">
        <v>17</v>
      </c>
      <c r="E13" s="17" t="s">
        <v>27</v>
      </c>
      <c r="F13" s="16" t="s">
        <v>25</v>
      </c>
      <c r="G13" s="16">
        <v>50</v>
      </c>
      <c r="H13" s="16">
        <v>2300</v>
      </c>
      <c r="I13" s="14">
        <f t="shared" si="0"/>
        <v>115000</v>
      </c>
    </row>
    <row r="14" spans="1:9" ht="36.75" thickBot="1" x14ac:dyDescent="0.25">
      <c r="A14" s="15">
        <v>5</v>
      </c>
      <c r="B14" s="16" t="s">
        <v>28</v>
      </c>
      <c r="C14" s="13" t="s">
        <v>16</v>
      </c>
      <c r="D14" s="16" t="s">
        <v>17</v>
      </c>
      <c r="E14" s="17" t="s">
        <v>29</v>
      </c>
      <c r="F14" s="16" t="s">
        <v>30</v>
      </c>
      <c r="G14" s="16">
        <v>1500</v>
      </c>
      <c r="H14" s="16">
        <v>75</v>
      </c>
      <c r="I14" s="14">
        <f t="shared" si="0"/>
        <v>112500</v>
      </c>
    </row>
    <row r="15" spans="1:9" ht="36.75" thickBot="1" x14ac:dyDescent="0.25">
      <c r="A15" s="15">
        <v>6</v>
      </c>
      <c r="B15" s="16" t="s">
        <v>31</v>
      </c>
      <c r="C15" s="13" t="s">
        <v>16</v>
      </c>
      <c r="D15" s="16" t="s">
        <v>17</v>
      </c>
      <c r="E15" s="17" t="s">
        <v>32</v>
      </c>
      <c r="F15" s="16" t="s">
        <v>25</v>
      </c>
      <c r="G15" s="16">
        <v>4000</v>
      </c>
      <c r="H15" s="16">
        <v>340</v>
      </c>
      <c r="I15" s="14">
        <f t="shared" si="0"/>
        <v>1360000</v>
      </c>
    </row>
    <row r="16" spans="1:9" ht="24.75" thickBot="1" x14ac:dyDescent="0.25">
      <c r="A16" s="15">
        <v>7</v>
      </c>
      <c r="B16" s="16" t="s">
        <v>33</v>
      </c>
      <c r="C16" s="13" t="s">
        <v>16</v>
      </c>
      <c r="D16" s="16" t="s">
        <v>17</v>
      </c>
      <c r="E16" s="17" t="s">
        <v>34</v>
      </c>
      <c r="F16" s="16" t="s">
        <v>20</v>
      </c>
      <c r="G16" s="16">
        <v>400</v>
      </c>
      <c r="H16" s="16">
        <v>350</v>
      </c>
      <c r="I16" s="14">
        <f t="shared" si="0"/>
        <v>140000</v>
      </c>
    </row>
    <row r="17" spans="1:10" ht="36.75" thickBot="1" x14ac:dyDescent="0.25">
      <c r="A17" s="15">
        <v>8</v>
      </c>
      <c r="B17" s="16" t="s">
        <v>35</v>
      </c>
      <c r="C17" s="13" t="s">
        <v>16</v>
      </c>
      <c r="D17" s="16" t="s">
        <v>17</v>
      </c>
      <c r="E17" s="17" t="s">
        <v>36</v>
      </c>
      <c r="F17" s="16" t="s">
        <v>25</v>
      </c>
      <c r="G17" s="16">
        <v>4000</v>
      </c>
      <c r="H17" s="16">
        <v>190</v>
      </c>
      <c r="I17" s="14">
        <f t="shared" si="0"/>
        <v>760000</v>
      </c>
    </row>
    <row r="18" spans="1:10" ht="36.75" thickBot="1" x14ac:dyDescent="0.25">
      <c r="A18" s="15">
        <v>9</v>
      </c>
      <c r="B18" s="16" t="s">
        <v>37</v>
      </c>
      <c r="C18" s="13" t="s">
        <v>16</v>
      </c>
      <c r="D18" s="16" t="s">
        <v>17</v>
      </c>
      <c r="E18" s="17" t="s">
        <v>38</v>
      </c>
      <c r="F18" s="16" t="s">
        <v>25</v>
      </c>
      <c r="G18" s="16">
        <v>4000</v>
      </c>
      <c r="H18" s="16">
        <v>190</v>
      </c>
      <c r="I18" s="14">
        <f t="shared" si="0"/>
        <v>760000</v>
      </c>
    </row>
    <row r="19" spans="1:10" ht="48.75" thickBot="1" x14ac:dyDescent="0.25">
      <c r="A19" s="15">
        <v>10</v>
      </c>
      <c r="B19" s="16" t="s">
        <v>86</v>
      </c>
      <c r="C19" s="13" t="s">
        <v>16</v>
      </c>
      <c r="D19" s="16" t="s">
        <v>17</v>
      </c>
      <c r="E19" s="17" t="s">
        <v>87</v>
      </c>
      <c r="F19" s="16" t="s">
        <v>18</v>
      </c>
      <c r="G19" s="16">
        <v>400</v>
      </c>
      <c r="H19" s="16">
        <v>230</v>
      </c>
      <c r="I19" s="14">
        <f t="shared" si="0"/>
        <v>92000</v>
      </c>
    </row>
    <row r="20" spans="1:10" ht="48.75" thickBot="1" x14ac:dyDescent="0.25">
      <c r="A20" s="15">
        <v>11</v>
      </c>
      <c r="B20" s="16" t="s">
        <v>84</v>
      </c>
      <c r="C20" s="13" t="s">
        <v>16</v>
      </c>
      <c r="D20" s="16" t="s">
        <v>17</v>
      </c>
      <c r="E20" s="17" t="s">
        <v>88</v>
      </c>
      <c r="F20" s="16" t="s">
        <v>18</v>
      </c>
      <c r="G20" s="16">
        <v>100</v>
      </c>
      <c r="H20" s="16">
        <v>230</v>
      </c>
      <c r="I20" s="14">
        <f t="shared" si="0"/>
        <v>23000</v>
      </c>
    </row>
    <row r="21" spans="1:10" ht="48.75" thickBot="1" x14ac:dyDescent="0.25">
      <c r="A21" s="15">
        <v>12</v>
      </c>
      <c r="B21" s="16" t="s">
        <v>39</v>
      </c>
      <c r="C21" s="13" t="s">
        <v>16</v>
      </c>
      <c r="D21" s="16" t="s">
        <v>17</v>
      </c>
      <c r="E21" s="17" t="s">
        <v>40</v>
      </c>
      <c r="F21" s="16" t="s">
        <v>18</v>
      </c>
      <c r="G21" s="16">
        <v>1200</v>
      </c>
      <c r="H21" s="16">
        <v>1500</v>
      </c>
      <c r="I21" s="14">
        <f t="shared" si="0"/>
        <v>1800000</v>
      </c>
    </row>
    <row r="22" spans="1:10" ht="48.75" thickBot="1" x14ac:dyDescent="0.25">
      <c r="A22" s="15">
        <v>13</v>
      </c>
      <c r="B22" s="16" t="s">
        <v>85</v>
      </c>
      <c r="C22" s="13" t="s">
        <v>16</v>
      </c>
      <c r="D22" s="16" t="s">
        <v>17</v>
      </c>
      <c r="E22" s="17" t="s">
        <v>89</v>
      </c>
      <c r="F22" s="16" t="s">
        <v>18</v>
      </c>
      <c r="G22" s="16">
        <v>200</v>
      </c>
      <c r="H22" s="16">
        <v>750</v>
      </c>
      <c r="I22" s="14">
        <f t="shared" si="0"/>
        <v>150000</v>
      </c>
    </row>
    <row r="23" spans="1:10" ht="15" thickBot="1" x14ac:dyDescent="0.25">
      <c r="A23" s="15">
        <v>14</v>
      </c>
      <c r="B23" s="16" t="s">
        <v>41</v>
      </c>
      <c r="C23" s="13" t="s">
        <v>16</v>
      </c>
      <c r="D23" s="16" t="s">
        <v>17</v>
      </c>
      <c r="E23" s="17" t="s">
        <v>42</v>
      </c>
      <c r="F23" s="16" t="s">
        <v>18</v>
      </c>
      <c r="G23" s="16">
        <v>3000</v>
      </c>
      <c r="H23" s="16">
        <v>95</v>
      </c>
      <c r="I23" s="14">
        <f t="shared" si="0"/>
        <v>285000</v>
      </c>
      <c r="J23" s="19"/>
    </row>
    <row r="24" spans="1:10" ht="13.5" thickBot="1" x14ac:dyDescent="0.25">
      <c r="A24" s="15">
        <v>15</v>
      </c>
      <c r="B24" s="16" t="s">
        <v>43</v>
      </c>
      <c r="C24" s="13" t="s">
        <v>16</v>
      </c>
      <c r="D24" s="16" t="s">
        <v>17</v>
      </c>
      <c r="E24" s="17" t="s">
        <v>44</v>
      </c>
      <c r="F24" s="16" t="s">
        <v>25</v>
      </c>
      <c r="G24" s="16">
        <v>600</v>
      </c>
      <c r="H24" s="16">
        <v>100</v>
      </c>
      <c r="I24" s="14">
        <f t="shared" si="0"/>
        <v>60000</v>
      </c>
    </row>
    <row r="25" spans="1:10" ht="13.5" thickBot="1" x14ac:dyDescent="0.25">
      <c r="A25" s="15">
        <v>16</v>
      </c>
      <c r="B25" s="16" t="s">
        <v>82</v>
      </c>
      <c r="C25" s="13" t="s">
        <v>16</v>
      </c>
      <c r="D25" s="16" t="s">
        <v>17</v>
      </c>
      <c r="E25" s="17" t="s">
        <v>83</v>
      </c>
      <c r="F25" s="16" t="s">
        <v>19</v>
      </c>
      <c r="G25" s="16">
        <v>600</v>
      </c>
      <c r="H25" s="16">
        <v>130</v>
      </c>
      <c r="I25" s="14">
        <f t="shared" si="0"/>
        <v>78000</v>
      </c>
    </row>
    <row r="26" spans="1:10" ht="24.75" thickBot="1" x14ac:dyDescent="0.25">
      <c r="A26" s="15">
        <v>17</v>
      </c>
      <c r="B26" s="16" t="s">
        <v>45</v>
      </c>
      <c r="C26" s="13" t="s">
        <v>16</v>
      </c>
      <c r="D26" s="16" t="s">
        <v>17</v>
      </c>
      <c r="E26" s="17" t="s">
        <v>46</v>
      </c>
      <c r="F26" s="16" t="s">
        <v>25</v>
      </c>
      <c r="G26" s="16">
        <v>500</v>
      </c>
      <c r="H26" s="16">
        <v>650</v>
      </c>
      <c r="I26" s="14">
        <f t="shared" si="0"/>
        <v>325000</v>
      </c>
    </row>
    <row r="27" spans="1:10" ht="13.5" thickBot="1" x14ac:dyDescent="0.25">
      <c r="A27" s="15">
        <v>18</v>
      </c>
      <c r="B27" s="16" t="s">
        <v>47</v>
      </c>
      <c r="C27" s="13" t="s">
        <v>16</v>
      </c>
      <c r="D27" s="16" t="s">
        <v>17</v>
      </c>
      <c r="E27" s="17" t="s">
        <v>48</v>
      </c>
      <c r="F27" s="16" t="s">
        <v>19</v>
      </c>
      <c r="G27" s="16">
        <v>150</v>
      </c>
      <c r="H27" s="16">
        <v>1100</v>
      </c>
      <c r="I27" s="14">
        <f t="shared" si="0"/>
        <v>165000</v>
      </c>
    </row>
    <row r="28" spans="1:10" ht="13.5" thickBot="1" x14ac:dyDescent="0.25">
      <c r="A28" s="15">
        <v>19</v>
      </c>
      <c r="B28" s="16" t="s">
        <v>49</v>
      </c>
      <c r="C28" s="13" t="s">
        <v>16</v>
      </c>
      <c r="D28" s="16" t="s">
        <v>17</v>
      </c>
      <c r="E28" s="17" t="s">
        <v>50</v>
      </c>
      <c r="F28" s="16" t="s">
        <v>19</v>
      </c>
      <c r="G28" s="16">
        <v>150</v>
      </c>
      <c r="H28" s="16">
        <v>1100</v>
      </c>
      <c r="I28" s="14">
        <f t="shared" si="0"/>
        <v>165000</v>
      </c>
    </row>
    <row r="29" spans="1:10" ht="13.5" thickBot="1" x14ac:dyDescent="0.25">
      <c r="A29" s="15">
        <v>20</v>
      </c>
      <c r="B29" s="16" t="s">
        <v>51</v>
      </c>
      <c r="C29" s="13" t="s">
        <v>16</v>
      </c>
      <c r="D29" s="16" t="s">
        <v>17</v>
      </c>
      <c r="E29" s="17" t="s">
        <v>52</v>
      </c>
      <c r="F29" s="16" t="s">
        <v>19</v>
      </c>
      <c r="G29" s="16">
        <v>600</v>
      </c>
      <c r="H29" s="16">
        <v>450</v>
      </c>
      <c r="I29" s="14">
        <f t="shared" si="0"/>
        <v>270000</v>
      </c>
    </row>
    <row r="30" spans="1:10" ht="13.5" thickBot="1" x14ac:dyDescent="0.25">
      <c r="A30" s="15">
        <v>21</v>
      </c>
      <c r="B30" s="16" t="s">
        <v>53</v>
      </c>
      <c r="C30" s="13" t="s">
        <v>16</v>
      </c>
      <c r="D30" s="16" t="s">
        <v>17</v>
      </c>
      <c r="E30" s="17" t="s">
        <v>54</v>
      </c>
      <c r="F30" s="16" t="s">
        <v>25</v>
      </c>
      <c r="G30" s="16">
        <v>80</v>
      </c>
      <c r="H30" s="16">
        <v>1100</v>
      </c>
      <c r="I30" s="14">
        <f t="shared" si="0"/>
        <v>88000</v>
      </c>
    </row>
    <row r="31" spans="1:10" ht="24.75" thickBot="1" x14ac:dyDescent="0.25">
      <c r="A31" s="15">
        <v>22</v>
      </c>
      <c r="B31" s="16" t="s">
        <v>57</v>
      </c>
      <c r="C31" s="13" t="s">
        <v>16</v>
      </c>
      <c r="D31" s="16" t="s">
        <v>17</v>
      </c>
      <c r="E31" s="17" t="s">
        <v>58</v>
      </c>
      <c r="F31" s="16" t="s">
        <v>30</v>
      </c>
      <c r="G31" s="16">
        <v>550</v>
      </c>
      <c r="H31" s="16">
        <v>600</v>
      </c>
      <c r="I31" s="14">
        <f t="shared" si="0"/>
        <v>330000</v>
      </c>
    </row>
    <row r="32" spans="1:10" ht="36.75" thickBot="1" x14ac:dyDescent="0.25">
      <c r="A32" s="15">
        <v>23</v>
      </c>
      <c r="B32" s="16" t="s">
        <v>59</v>
      </c>
      <c r="C32" s="13" t="s">
        <v>16</v>
      </c>
      <c r="D32" s="16" t="s">
        <v>17</v>
      </c>
      <c r="E32" s="17" t="s">
        <v>60</v>
      </c>
      <c r="F32" s="16" t="s">
        <v>19</v>
      </c>
      <c r="G32" s="16">
        <v>500</v>
      </c>
      <c r="H32" s="16">
        <v>190</v>
      </c>
      <c r="I32" s="14">
        <f t="shared" si="0"/>
        <v>95000</v>
      </c>
    </row>
    <row r="33" spans="1:9" ht="36.75" thickBot="1" x14ac:dyDescent="0.25">
      <c r="A33" s="15">
        <v>24</v>
      </c>
      <c r="B33" s="16" t="s">
        <v>61</v>
      </c>
      <c r="C33" s="13" t="s">
        <v>16</v>
      </c>
      <c r="D33" s="16" t="s">
        <v>17</v>
      </c>
      <c r="E33" s="17" t="s">
        <v>62</v>
      </c>
      <c r="F33" s="16" t="s">
        <v>19</v>
      </c>
      <c r="G33" s="12">
        <v>700</v>
      </c>
      <c r="H33" s="12">
        <v>4000</v>
      </c>
      <c r="I33" s="14">
        <f t="shared" si="0"/>
        <v>2800000</v>
      </c>
    </row>
    <row r="34" spans="1:9" ht="24.75" thickBot="1" x14ac:dyDescent="0.25">
      <c r="A34" s="15">
        <v>25</v>
      </c>
      <c r="B34" s="16" t="s">
        <v>63</v>
      </c>
      <c r="C34" s="13" t="s">
        <v>16</v>
      </c>
      <c r="D34" s="16" t="s">
        <v>17</v>
      </c>
      <c r="E34" s="17" t="s">
        <v>64</v>
      </c>
      <c r="F34" s="16" t="s">
        <v>19</v>
      </c>
      <c r="G34" s="12">
        <v>1500</v>
      </c>
      <c r="H34" s="12">
        <v>800</v>
      </c>
      <c r="I34" s="14">
        <f t="shared" si="0"/>
        <v>1200000</v>
      </c>
    </row>
    <row r="35" spans="1:9" ht="25.5" customHeight="1" thickBot="1" x14ac:dyDescent="0.25">
      <c r="A35" s="15">
        <v>26</v>
      </c>
      <c r="B35" s="16" t="s">
        <v>65</v>
      </c>
      <c r="C35" s="13" t="s">
        <v>16</v>
      </c>
      <c r="D35" s="16" t="s">
        <v>17</v>
      </c>
      <c r="E35" s="17" t="s">
        <v>66</v>
      </c>
      <c r="F35" s="16" t="s">
        <v>19</v>
      </c>
      <c r="G35" s="12">
        <v>10</v>
      </c>
      <c r="H35" s="12">
        <v>2500</v>
      </c>
      <c r="I35" s="14">
        <f t="shared" si="0"/>
        <v>25000</v>
      </c>
    </row>
    <row r="36" spans="1:9" ht="24.75" thickBot="1" x14ac:dyDescent="0.25">
      <c r="A36" s="15">
        <v>27</v>
      </c>
      <c r="B36" s="16" t="s">
        <v>67</v>
      </c>
      <c r="C36" s="13" t="s">
        <v>16</v>
      </c>
      <c r="D36" s="16" t="s">
        <v>17</v>
      </c>
      <c r="E36" s="17" t="s">
        <v>68</v>
      </c>
      <c r="F36" s="16" t="s">
        <v>19</v>
      </c>
      <c r="G36" s="12">
        <v>500</v>
      </c>
      <c r="H36" s="12">
        <v>450</v>
      </c>
      <c r="I36" s="14">
        <f t="shared" si="0"/>
        <v>225000</v>
      </c>
    </row>
    <row r="37" spans="1:9" ht="13.5" thickBot="1" x14ac:dyDescent="0.25">
      <c r="A37" s="15">
        <v>28</v>
      </c>
      <c r="B37" s="16" t="s">
        <v>69</v>
      </c>
      <c r="C37" s="13" t="s">
        <v>16</v>
      </c>
      <c r="D37" s="16" t="s">
        <v>17</v>
      </c>
      <c r="E37" s="17" t="s">
        <v>70</v>
      </c>
      <c r="F37" s="16" t="s">
        <v>19</v>
      </c>
      <c r="G37" s="12">
        <v>20</v>
      </c>
      <c r="H37" s="12">
        <v>6000</v>
      </c>
      <c r="I37" s="14">
        <f t="shared" si="0"/>
        <v>120000</v>
      </c>
    </row>
    <row r="38" spans="1:9" ht="13.5" thickBot="1" x14ac:dyDescent="0.25">
      <c r="A38" s="64" t="s">
        <v>71</v>
      </c>
      <c r="B38" s="65"/>
      <c r="C38" s="65"/>
      <c r="D38" s="65"/>
      <c r="E38" s="65"/>
      <c r="F38" s="65"/>
      <c r="G38" s="65"/>
      <c r="H38" s="66"/>
      <c r="I38" s="18">
        <f>SUM(I10:I37)</f>
        <v>12813500</v>
      </c>
    </row>
    <row r="39" spans="1:9" ht="13.5" thickBot="1" x14ac:dyDescent="0.25"/>
    <row r="40" spans="1:9" x14ac:dyDescent="0.2">
      <c r="C40" s="67" t="s">
        <v>136</v>
      </c>
      <c r="D40" s="69"/>
      <c r="E40" s="69"/>
      <c r="F40" s="70"/>
    </row>
    <row r="41" spans="1:9" x14ac:dyDescent="0.2">
      <c r="C41" s="68"/>
      <c r="D41" s="71"/>
      <c r="E41" s="71"/>
      <c r="F41" s="72"/>
    </row>
    <row r="42" spans="1:9" x14ac:dyDescent="0.2">
      <c r="C42" s="68" t="s">
        <v>72</v>
      </c>
      <c r="D42" s="73"/>
      <c r="E42" s="73"/>
      <c r="F42" s="74"/>
    </row>
    <row r="43" spans="1:9" x14ac:dyDescent="0.2">
      <c r="C43" s="68"/>
      <c r="D43" s="73"/>
      <c r="E43" s="73"/>
      <c r="F43" s="74"/>
    </row>
    <row r="44" spans="1:9" x14ac:dyDescent="0.2">
      <c r="C44" s="82" t="s">
        <v>73</v>
      </c>
      <c r="D44" s="75" t="s">
        <v>74</v>
      </c>
      <c r="E44" s="75"/>
      <c r="F44" s="76"/>
    </row>
    <row r="45" spans="1:9" x14ac:dyDescent="0.2">
      <c r="C45" s="82"/>
      <c r="D45" s="75"/>
      <c r="E45" s="75"/>
      <c r="F45" s="76"/>
    </row>
    <row r="46" spans="1:9" x14ac:dyDescent="0.2">
      <c r="C46" s="82"/>
      <c r="D46" s="75"/>
      <c r="E46" s="75"/>
      <c r="F46" s="76"/>
    </row>
    <row r="47" spans="1:9" x14ac:dyDescent="0.2">
      <c r="C47" s="82"/>
      <c r="D47" s="75"/>
      <c r="E47" s="75"/>
      <c r="F47" s="76"/>
    </row>
    <row r="48" spans="1:9" x14ac:dyDescent="0.2">
      <c r="C48" s="82"/>
      <c r="D48" s="75"/>
      <c r="E48" s="75"/>
      <c r="F48" s="76"/>
    </row>
    <row r="49" spans="3:6" x14ac:dyDescent="0.2">
      <c r="C49" s="82"/>
      <c r="D49" s="75"/>
      <c r="E49" s="75"/>
      <c r="F49" s="76"/>
    </row>
    <row r="50" spans="3:6" x14ac:dyDescent="0.2">
      <c r="C50" s="82"/>
      <c r="D50" s="75"/>
      <c r="E50" s="75"/>
      <c r="F50" s="76"/>
    </row>
    <row r="51" spans="3:6" x14ac:dyDescent="0.2">
      <c r="C51" s="82"/>
      <c r="D51" s="75"/>
      <c r="E51" s="75"/>
      <c r="F51" s="76"/>
    </row>
    <row r="52" spans="3:6" ht="12.75" customHeight="1" x14ac:dyDescent="0.2">
      <c r="C52" s="82" t="s">
        <v>75</v>
      </c>
      <c r="D52" s="78" t="s">
        <v>76</v>
      </c>
      <c r="E52" s="78"/>
      <c r="F52" s="79"/>
    </row>
    <row r="53" spans="3:6" ht="12.75" customHeight="1" x14ac:dyDescent="0.2">
      <c r="C53" s="82"/>
      <c r="D53" s="78"/>
      <c r="E53" s="78"/>
      <c r="F53" s="79"/>
    </row>
    <row r="54" spans="3:6" x14ac:dyDescent="0.2">
      <c r="C54" s="68" t="s">
        <v>77</v>
      </c>
      <c r="D54" s="78" t="s">
        <v>78</v>
      </c>
      <c r="E54" s="78"/>
      <c r="F54" s="79"/>
    </row>
    <row r="55" spans="3:6" x14ac:dyDescent="0.2">
      <c r="C55" s="68"/>
      <c r="D55" s="78"/>
      <c r="E55" s="78"/>
      <c r="F55" s="79"/>
    </row>
    <row r="56" spans="3:6" x14ac:dyDescent="0.2">
      <c r="C56" s="68" t="s">
        <v>79</v>
      </c>
      <c r="D56" s="75" t="s">
        <v>80</v>
      </c>
      <c r="E56" s="75"/>
      <c r="F56" s="76"/>
    </row>
    <row r="57" spans="3:6" x14ac:dyDescent="0.2">
      <c r="C57" s="68"/>
      <c r="D57" s="75"/>
      <c r="E57" s="75"/>
      <c r="F57" s="76"/>
    </row>
    <row r="58" spans="3:6" x14ac:dyDescent="0.2">
      <c r="C58" s="68" t="s">
        <v>81</v>
      </c>
      <c r="D58" s="78"/>
      <c r="E58" s="78"/>
      <c r="F58" s="79"/>
    </row>
    <row r="59" spans="3:6" ht="13.5" thickBot="1" x14ac:dyDescent="0.25">
      <c r="C59" s="77"/>
      <c r="D59" s="80"/>
      <c r="E59" s="80"/>
      <c r="F59" s="81"/>
    </row>
    <row r="64" spans="3:6" ht="12.75" customHeight="1" x14ac:dyDescent="0.2"/>
    <row r="74" ht="12.75" customHeight="1" x14ac:dyDescent="0.2"/>
    <row r="84" ht="12.75" customHeight="1" x14ac:dyDescent="0.2"/>
    <row r="93" ht="12.75" customHeight="1" x14ac:dyDescent="0.2"/>
    <row r="95" ht="12.75" customHeight="1" x14ac:dyDescent="0.2"/>
    <row r="101" ht="12.75" customHeight="1" x14ac:dyDescent="0.2"/>
    <row r="111" ht="12.75" customHeight="1" x14ac:dyDescent="0.2"/>
    <row r="116" ht="12.75" customHeight="1" x14ac:dyDescent="0.2"/>
    <row r="128" ht="12.75" customHeight="1" x14ac:dyDescent="0.2"/>
    <row r="129" ht="13.5" customHeight="1" x14ac:dyDescent="0.2"/>
    <row r="137" ht="12.75" customHeight="1" x14ac:dyDescent="0.2"/>
    <row r="152" ht="12.75" customHeight="1" x14ac:dyDescent="0.2"/>
    <row r="156" ht="12.75" customHeight="1" x14ac:dyDescent="0.2"/>
    <row r="158" ht="12.75" customHeight="1" x14ac:dyDescent="0.2"/>
    <row r="160" ht="12.75" customHeight="1" x14ac:dyDescent="0.2"/>
    <row r="179" ht="12.75" customHeight="1" x14ac:dyDescent="0.2"/>
    <row r="186" ht="12.75" customHeight="1" x14ac:dyDescent="0.2"/>
    <row r="198" ht="12.75" customHeight="1" x14ac:dyDescent="0.2"/>
    <row r="200" ht="12.75" customHeight="1" x14ac:dyDescent="0.2"/>
    <row r="221" ht="12.75" customHeight="1" x14ac:dyDescent="0.2"/>
    <row r="242" ht="12.75" customHeight="1" x14ac:dyDescent="0.2"/>
    <row r="263" ht="12.75" customHeight="1" x14ac:dyDescent="0.2"/>
  </sheetData>
  <mergeCells count="22">
    <mergeCell ref="C56:C57"/>
    <mergeCell ref="D56:F57"/>
    <mergeCell ref="C58:C59"/>
    <mergeCell ref="D58:F59"/>
    <mergeCell ref="C44:C51"/>
    <mergeCell ref="D44:F51"/>
    <mergeCell ref="C52:C53"/>
    <mergeCell ref="D52:F53"/>
    <mergeCell ref="C54:C55"/>
    <mergeCell ref="D54:F55"/>
    <mergeCell ref="A7:B7"/>
    <mergeCell ref="A38:H38"/>
    <mergeCell ref="C40:C41"/>
    <mergeCell ref="D40:F41"/>
    <mergeCell ref="C42:C43"/>
    <mergeCell ref="D42:F43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0F75-D1B1-4196-8CE6-1630E1B45551}">
  <dimension ref="A1:AMK40"/>
  <sheetViews>
    <sheetView zoomScale="70" zoomScaleNormal="70" workbookViewId="0">
      <selection activeCell="A38" sqref="A38:XFD38"/>
    </sheetView>
  </sheetViews>
  <sheetFormatPr baseColWidth="10" defaultColWidth="9.140625" defaultRowHeight="15" x14ac:dyDescent="0.25"/>
  <cols>
    <col min="1" max="1" width="5.5703125" style="49" customWidth="1"/>
    <col min="2" max="2" width="15.140625" style="49" customWidth="1"/>
    <col min="3" max="3" width="14.140625" style="49" customWidth="1"/>
    <col min="4" max="4" width="26" style="49" customWidth="1"/>
    <col min="5" max="5" width="8" style="49" customWidth="1"/>
    <col min="6" max="6" width="7.85546875" style="49" customWidth="1"/>
    <col min="7" max="7" width="51" style="49" customWidth="1"/>
    <col min="8" max="8" width="9.28515625" style="49" customWidth="1"/>
    <col min="9" max="9" width="10.140625" style="49" customWidth="1"/>
    <col min="10" max="10" width="11.28515625" style="49" customWidth="1"/>
    <col min="11" max="11" width="15.5703125" style="49" customWidth="1"/>
    <col min="12" max="14" width="5.85546875" style="49" customWidth="1"/>
    <col min="15" max="15" width="12.5703125" style="49" customWidth="1"/>
    <col min="16" max="1025" width="9.140625" style="49"/>
    <col min="1026" max="16384" width="9.140625" style="50"/>
  </cols>
  <sheetData>
    <row r="1" spans="1:11" ht="16.5" thickBot="1" x14ac:dyDescent="0.3">
      <c r="A1" s="96" t="s">
        <v>90</v>
      </c>
      <c r="B1" s="96"/>
      <c r="C1" s="96"/>
      <c r="D1" s="96"/>
      <c r="E1" s="96"/>
      <c r="F1" s="96"/>
      <c r="G1" s="96"/>
      <c r="H1" s="96"/>
      <c r="I1" s="96"/>
      <c r="J1" s="47" t="s">
        <v>91</v>
      </c>
      <c r="K1" s="48"/>
    </row>
    <row r="2" spans="1:11" ht="16.5" thickBot="1" x14ac:dyDescent="0.3">
      <c r="A2" s="51"/>
      <c r="B2" s="51"/>
      <c r="C2" s="51"/>
      <c r="D2" s="52"/>
      <c r="E2" s="52"/>
      <c r="F2" s="52"/>
      <c r="G2" s="52"/>
      <c r="H2" s="52"/>
      <c r="I2" s="52"/>
      <c r="J2" s="52"/>
      <c r="K2" s="52"/>
    </row>
    <row r="3" spans="1:11" ht="16.5" thickBot="1" x14ac:dyDescent="0.3">
      <c r="A3" s="91" t="s">
        <v>92</v>
      </c>
      <c r="B3" s="91"/>
      <c r="C3" s="91"/>
      <c r="D3" s="92" t="str">
        <f>'NECESIDADES TRIMESTRALES'!C4</f>
        <v>90 - MINISTERIO DE SEGURIDAD</v>
      </c>
      <c r="E3" s="92"/>
      <c r="F3" s="92"/>
      <c r="G3" s="92"/>
      <c r="H3" s="92"/>
      <c r="I3" s="92"/>
      <c r="J3" s="92"/>
      <c r="K3" s="92"/>
    </row>
    <row r="4" spans="1:11" ht="16.5" thickBot="1" x14ac:dyDescent="0.3">
      <c r="A4" s="93" t="s">
        <v>93</v>
      </c>
      <c r="B4" s="93"/>
      <c r="C4" s="93"/>
      <c r="D4" s="92" t="str">
        <f>'NECESIDADES TRIMESTRALES'!C5</f>
        <v>8 - DIRECCION GENERAL SERVICIO PENITENCIARIO PROVINCIAL</v>
      </c>
      <c r="E4" s="92"/>
      <c r="F4" s="92"/>
      <c r="G4" s="92"/>
      <c r="H4" s="92"/>
      <c r="I4" s="92"/>
      <c r="J4" s="92"/>
      <c r="K4" s="92"/>
    </row>
    <row r="5" spans="1:11" ht="16.5" thickBot="1" x14ac:dyDescent="0.3">
      <c r="A5" s="93" t="s">
        <v>94</v>
      </c>
      <c r="B5" s="93"/>
      <c r="C5" s="93"/>
      <c r="D5" s="92" t="s">
        <v>134</v>
      </c>
      <c r="E5" s="92"/>
      <c r="F5" s="92"/>
      <c r="G5" s="92"/>
      <c r="H5" s="92"/>
      <c r="I5" s="92"/>
      <c r="J5" s="92"/>
      <c r="K5" s="92"/>
    </row>
    <row r="6" spans="1:11" ht="16.5" thickBot="1" x14ac:dyDescent="0.3">
      <c r="A6" s="91" t="s">
        <v>95</v>
      </c>
      <c r="B6" s="91"/>
      <c r="C6" s="91"/>
      <c r="D6" s="92" t="s">
        <v>129</v>
      </c>
      <c r="E6" s="92"/>
      <c r="F6" s="92"/>
      <c r="G6" s="92"/>
      <c r="H6" s="92"/>
      <c r="I6" s="92"/>
      <c r="J6" s="92"/>
      <c r="K6" s="92"/>
    </row>
    <row r="7" spans="1:11" ht="16.5" thickBot="1" x14ac:dyDescent="0.3">
      <c r="A7" s="93" t="s">
        <v>96</v>
      </c>
      <c r="B7" s="93"/>
      <c r="C7" s="93"/>
      <c r="D7" s="92" t="s">
        <v>130</v>
      </c>
      <c r="E7" s="92"/>
      <c r="F7" s="92"/>
      <c r="G7" s="92"/>
      <c r="H7" s="92"/>
      <c r="I7" s="92"/>
      <c r="J7" s="92"/>
      <c r="K7" s="92"/>
    </row>
    <row r="8" spans="1:11" ht="16.5" thickBot="1" x14ac:dyDescent="0.3">
      <c r="A8" s="94" t="s">
        <v>97</v>
      </c>
      <c r="B8" s="94"/>
      <c r="C8" s="94"/>
      <c r="D8" s="95" t="s">
        <v>131</v>
      </c>
      <c r="E8" s="95"/>
      <c r="F8" s="95"/>
      <c r="G8" s="95"/>
      <c r="H8" s="95"/>
      <c r="I8" s="95"/>
      <c r="J8" s="95"/>
      <c r="K8" s="95"/>
    </row>
    <row r="9" spans="1:11" ht="16.5" thickBot="1" x14ac:dyDescent="0.3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1" ht="18.75" customHeight="1" thickBot="1" x14ac:dyDescent="0.3">
      <c r="A10" s="90" t="s">
        <v>98</v>
      </c>
      <c r="B10" s="87" t="s">
        <v>99</v>
      </c>
      <c r="C10" s="87" t="s">
        <v>100</v>
      </c>
      <c r="D10" s="87"/>
      <c r="E10" s="87"/>
      <c r="F10" s="87"/>
      <c r="G10" s="87"/>
      <c r="H10" s="87" t="s">
        <v>101</v>
      </c>
      <c r="I10" s="87" t="s">
        <v>102</v>
      </c>
      <c r="J10" s="87" t="s">
        <v>103</v>
      </c>
      <c r="K10" s="86" t="s">
        <v>104</v>
      </c>
    </row>
    <row r="11" spans="1:11" ht="24" customHeight="1" thickBot="1" x14ac:dyDescent="0.3">
      <c r="A11" s="90"/>
      <c r="B11" s="87"/>
      <c r="C11" s="87"/>
      <c r="D11" s="87"/>
      <c r="E11" s="87"/>
      <c r="F11" s="87"/>
      <c r="G11" s="87"/>
      <c r="H11" s="87"/>
      <c r="I11" s="87"/>
      <c r="J11" s="87"/>
      <c r="K11" s="86"/>
    </row>
    <row r="12" spans="1:11" ht="15.75" customHeight="1" thickBot="1" x14ac:dyDescent="0.3">
      <c r="A12" s="55">
        <f>'NECESIDADES TRIMESTRALES'!A10</f>
        <v>1</v>
      </c>
      <c r="B12" s="56" t="str">
        <f>'NECESIDADES TRIMESTRALES'!B10</f>
        <v>2.1.1-5917.8</v>
      </c>
      <c r="C12" s="83" t="str">
        <f>'NECESIDADES TRIMESTRALES'!E10</f>
        <v>CEREALES; TIPO: TRIGO BURGOL, PRESENTACION: ENVASE X 1 Kg</v>
      </c>
      <c r="D12" s="84"/>
      <c r="E12" s="84"/>
      <c r="F12" s="84"/>
      <c r="G12" s="85"/>
      <c r="H12" s="55" t="s">
        <v>105</v>
      </c>
      <c r="I12" s="57" t="str">
        <f>'NECESIDADES TRIMESTRALES'!F10</f>
        <v>BOLSA</v>
      </c>
      <c r="J12" s="58">
        <f>'NECESIDADES TRIMESTRALES'!H10</f>
        <v>600</v>
      </c>
      <c r="K12" s="59">
        <f>'NECESIDADES TRIMESTRALES'!G10</f>
        <v>150</v>
      </c>
    </row>
    <row r="13" spans="1:11" ht="15.75" customHeight="1" thickBot="1" x14ac:dyDescent="0.3">
      <c r="A13" s="55">
        <f>'NECESIDADES TRIMESTRALES'!A11</f>
        <v>2</v>
      </c>
      <c r="B13" s="56" t="str">
        <f>'NECESIDADES TRIMESTRALES'!B11</f>
        <v>2.1.1-438.37</v>
      </c>
      <c r="C13" s="83" t="str">
        <f>'NECESIDADES TRIMESTRALES'!E11</f>
        <v>ADEREZOS; TIPO: MAYONESA, ENVASE: BOLSA, CONTENIDO: 2,9 Kg, PRESENTACION: ENVASE X 2,9 Kg</v>
      </c>
      <c r="D13" s="84"/>
      <c r="E13" s="84"/>
      <c r="F13" s="84"/>
      <c r="G13" s="85"/>
      <c r="H13" s="55" t="s">
        <v>105</v>
      </c>
      <c r="I13" s="57" t="str">
        <f>'NECESIDADES TRIMESTRALES'!F11</f>
        <v>BOLSA</v>
      </c>
      <c r="J13" s="58">
        <f>'NECESIDADES TRIMESTRALES'!H11</f>
        <v>1500</v>
      </c>
      <c r="K13" s="59">
        <f>'NECESIDADES TRIMESTRALES'!G11</f>
        <v>20</v>
      </c>
    </row>
    <row r="14" spans="1:11" ht="48.75" customHeight="1" thickBot="1" x14ac:dyDescent="0.3">
      <c r="A14" s="55">
        <f>'NECESIDADES TRIMESTRALES'!A12</f>
        <v>3</v>
      </c>
      <c r="B14" s="56" t="str">
        <f>'NECESIDADES TRIMESTRALES'!B12</f>
        <v>2.1.1-435.60</v>
      </c>
      <c r="C14" s="83" t="str">
        <f>'NECESIDADES TRIMESTRALES'!E12</f>
        <v>ARROZ; TIPO GRANO: LARGO-FINO, TIPO: BLANCO, PROCESO: SIN CASCARA, PRESENTACION: BOLSA X 1 Kg, MATERIAL ENVASE: PLASTICO, CERTIFICADO FORESTAL (GFS): SIN, ELEM. TRANSPORTE: SIN, MATERIAL ELEM. TRANSPORTE: SIN, LIBRE DE GLUTEN: SI</v>
      </c>
      <c r="D14" s="84"/>
      <c r="E14" s="84"/>
      <c r="F14" s="84"/>
      <c r="G14" s="85"/>
      <c r="H14" s="55" t="s">
        <v>105</v>
      </c>
      <c r="I14" s="57" t="str">
        <f>'NECESIDADES TRIMESTRALES'!F12</f>
        <v>PAQUETE</v>
      </c>
      <c r="J14" s="58">
        <f>'NECESIDADES TRIMESTRALES'!H12</f>
        <v>230</v>
      </c>
      <c r="K14" s="59">
        <f>'NECESIDADES TRIMESTRALES'!G12</f>
        <v>5000</v>
      </c>
    </row>
    <row r="15" spans="1:11" ht="31.5" customHeight="1" thickBot="1" x14ac:dyDescent="0.3">
      <c r="A15" s="55">
        <f>'NECESIDADES TRIMESTRALES'!A13</f>
        <v>4</v>
      </c>
      <c r="B15" s="56" t="str">
        <f>'NECESIDADES TRIMESTRALES'!B13</f>
        <v>2.1.1-709.9</v>
      </c>
      <c r="C15" s="83" t="str">
        <f>'NECESIDADES TRIMESTRALES'!E13</f>
        <v>CAFE; ESTADO: MOLIDO, CONTENIDO: 1000 GR, PROCESO: TOSTADO C/AZUCAR, ENVASE: PAQUETE, TIPO: SIN VALOR, PRESENTACION: ENVASE X 1000 GR</v>
      </c>
      <c r="D15" s="84"/>
      <c r="E15" s="84"/>
      <c r="F15" s="84"/>
      <c r="G15" s="85"/>
      <c r="H15" s="55" t="s">
        <v>105</v>
      </c>
      <c r="I15" s="57" t="str">
        <f>'NECESIDADES TRIMESTRALES'!F13</f>
        <v>PAQUETE</v>
      </c>
      <c r="J15" s="58">
        <f>'NECESIDADES TRIMESTRALES'!H13</f>
        <v>2300</v>
      </c>
      <c r="K15" s="59">
        <f>'NECESIDADES TRIMESTRALES'!G13</f>
        <v>50</v>
      </c>
    </row>
    <row r="16" spans="1:11" ht="33" customHeight="1" thickBot="1" x14ac:dyDescent="0.3">
      <c r="A16" s="55">
        <f>'NECESIDADES TRIMESTRALES'!A14</f>
        <v>5</v>
      </c>
      <c r="B16" s="56" t="str">
        <f>'NECESIDADES TRIMESTRALES'!B14</f>
        <v>2.1.1-6547.84</v>
      </c>
      <c r="C16" s="83" t="str">
        <f>'NECESIDADES TRIMESTRALES'!E14</f>
        <v>LEGUMBRES; VARIEDAD: ARVEJAS, ESTADO: CONSERVA, PRESENTACION: LATA, PESO: 350 GR, MATERIAL ENVASE: METAL, ELEM. TRANSPORTE: SIN, MATERIAL ELEM. TRANSPORTE: SIN, LIBRE DE GLUTEN: NO</v>
      </c>
      <c r="D16" s="84"/>
      <c r="E16" s="84"/>
      <c r="F16" s="84"/>
      <c r="G16" s="85"/>
      <c r="H16" s="55" t="s">
        <v>105</v>
      </c>
      <c r="I16" s="57" t="str">
        <f>'NECESIDADES TRIMESTRALES'!F14</f>
        <v>LATA</v>
      </c>
      <c r="J16" s="58">
        <f>'NECESIDADES TRIMESTRALES'!H14</f>
        <v>75</v>
      </c>
      <c r="K16" s="59">
        <f>'NECESIDADES TRIMESTRALES'!G14</f>
        <v>1500</v>
      </c>
    </row>
    <row r="17" spans="1:11" ht="30.75" customHeight="1" thickBot="1" x14ac:dyDescent="0.3">
      <c r="A17" s="55">
        <f>'NECESIDADES TRIMESTRALES'!A15</f>
        <v>6</v>
      </c>
      <c r="B17" s="56" t="str">
        <f>'NECESIDADES TRIMESTRALES'!B15</f>
        <v>2.1.1-481.28</v>
      </c>
      <c r="C17" s="83" t="str">
        <f>'NECESIDADES TRIMESTRALES'!E15</f>
        <v>AZUCARES; TIPO: BLANCA, ESTADO: MOLIDA, PESO: 1 Kg, MATERIAL ENVASE: PAPEL, CERTIFICADO FORESTAL (GFS): SIN, ELEM. TRANSPORTE: SIN, MATERIAL ELEM. TRANSPORTE: SIN</v>
      </c>
      <c r="D17" s="84"/>
      <c r="E17" s="84"/>
      <c r="F17" s="84"/>
      <c r="G17" s="85"/>
      <c r="H17" s="55" t="s">
        <v>105</v>
      </c>
      <c r="I17" s="57" t="str">
        <f>'NECESIDADES TRIMESTRALES'!F15</f>
        <v>PAQUETE</v>
      </c>
      <c r="J17" s="58">
        <f>'NECESIDADES TRIMESTRALES'!H15</f>
        <v>340</v>
      </c>
      <c r="K17" s="59">
        <f>'NECESIDADES TRIMESTRALES'!G15</f>
        <v>4000</v>
      </c>
    </row>
    <row r="18" spans="1:11" ht="15.75" thickBot="1" x14ac:dyDescent="0.3">
      <c r="A18" s="55">
        <f>'NECESIDADES TRIMESTRALES'!A16</f>
        <v>7</v>
      </c>
      <c r="B18" s="56" t="str">
        <f>'NECESIDADES TRIMESTRALES'!B16</f>
        <v>2.1.1-595.2</v>
      </c>
      <c r="C18" s="83" t="str">
        <f>'NECESIDADES TRIMESTRALES'!E16</f>
        <v>EDULCORANTES; PRESENTACION: LIQUIDO, ENVASE: BOTELLA PLASTICA, CONTENIDO: 500 CM3</v>
      </c>
      <c r="D18" s="84"/>
      <c r="E18" s="84"/>
      <c r="F18" s="84"/>
      <c r="G18" s="85"/>
      <c r="H18" s="55" t="s">
        <v>105</v>
      </c>
      <c r="I18" s="57" t="str">
        <f>'NECESIDADES TRIMESTRALES'!F16</f>
        <v>BOTELLA</v>
      </c>
      <c r="J18" s="58">
        <f>'NECESIDADES TRIMESTRALES'!H16</f>
        <v>350</v>
      </c>
      <c r="K18" s="59">
        <f>'NECESIDADES TRIMESTRALES'!G16</f>
        <v>400</v>
      </c>
    </row>
    <row r="19" spans="1:11" ht="30.75" customHeight="1" thickBot="1" x14ac:dyDescent="0.3">
      <c r="A19" s="55">
        <f>'NECESIDADES TRIMESTRALES'!A17</f>
        <v>8</v>
      </c>
      <c r="B19" s="56" t="str">
        <f>'NECESIDADES TRIMESTRALES'!B17</f>
        <v>2.1.1-2868.53</v>
      </c>
      <c r="C19" s="83" t="str">
        <f>'NECESIDADES TRIMESTRALES'!E17</f>
        <v>FIDEOS SECOS; VARIEDAD: TIRABUZON, RELLENO: SIN, PRESENTACION: ENVASE X 500 GR, MATERIAL ENVASE: PLASTICO 1 (PET), ELEM. TRANSPORTE: SIN, MATERIAL ELEM. TRANSPORTE: SIN, CERTIFICADO FORESTAL (GFS): SIN, LIBRE DE GLUTEN: NO</v>
      </c>
      <c r="D19" s="84"/>
      <c r="E19" s="84"/>
      <c r="F19" s="84"/>
      <c r="G19" s="85"/>
      <c r="H19" s="55" t="s">
        <v>105</v>
      </c>
      <c r="I19" s="57" t="str">
        <f>'NECESIDADES TRIMESTRALES'!F17</f>
        <v>PAQUETE</v>
      </c>
      <c r="J19" s="58">
        <f>'NECESIDADES TRIMESTRALES'!H17</f>
        <v>190</v>
      </c>
      <c r="K19" s="59">
        <f>'NECESIDADES TRIMESTRALES'!G17</f>
        <v>4000</v>
      </c>
    </row>
    <row r="20" spans="1:11" ht="31.5" customHeight="1" thickBot="1" x14ac:dyDescent="0.3">
      <c r="A20" s="55">
        <f>'NECESIDADES TRIMESTRALES'!A18</f>
        <v>9</v>
      </c>
      <c r="B20" s="56" t="str">
        <f>'NECESIDADES TRIMESTRALES'!B18</f>
        <v>2.1.1-2868.55</v>
      </c>
      <c r="C20" s="83" t="str">
        <f>'NECESIDADES TRIMESTRALES'!E18</f>
        <v>FIDEOS SECOS; VARIEDAD: TALLARIN, RELLENO: SIN, PRESENTACION: ENVASE X 500 GR, MATERIAL ENVASE: PLASTICO 1 (PET), ELEM. TRANSPORTE: SIN, MATERIAL ELEM. TRANSPORTE: SIN, CERTIFICADO FORESTAL (GFS): SIN, LIBRE DE GLUTEN: NO</v>
      </c>
      <c r="D20" s="84"/>
      <c r="E20" s="84"/>
      <c r="F20" s="84"/>
      <c r="G20" s="85"/>
      <c r="H20" s="55" t="s">
        <v>105</v>
      </c>
      <c r="I20" s="57" t="str">
        <f>'NECESIDADES TRIMESTRALES'!F18</f>
        <v>PAQUETE</v>
      </c>
      <c r="J20" s="58">
        <f>'NECESIDADES TRIMESTRALES'!H18</f>
        <v>190</v>
      </c>
      <c r="K20" s="59">
        <f>'NECESIDADES TRIMESTRALES'!G18</f>
        <v>4000</v>
      </c>
    </row>
    <row r="21" spans="1:11" ht="31.5" customHeight="1" thickBot="1" x14ac:dyDescent="0.3">
      <c r="A21" s="55">
        <f>'NECESIDADES TRIMESTRALES'!A19</f>
        <v>10</v>
      </c>
      <c r="B21" s="56" t="str">
        <f>'NECESIDADES TRIMESTRALES'!B19</f>
        <v>2.1.1-705.103</v>
      </c>
      <c r="C21" s="83" t="str">
        <f>'NECESIDADES TRIMESTRALES'!E19</f>
        <v>LECHE; ESTADO: LIQUIDO, TIPO: ENTERA, PROCESO: PASTEURIZADA, AGREGADO: VITAMINAS Y MINERALES, PRESENTACION: ENVASE X 1 L, MATERIAL ENVASE: CARTON, ELEM. TRANSPORTE: SIN, MATERIAL ELEM. TRANSPORTE: SIN, CERTIFICADO FORESTAL (GFS): SIN, LIBRE DE GLUTEN: SI</v>
      </c>
      <c r="D21" s="84"/>
      <c r="E21" s="84"/>
      <c r="F21" s="84"/>
      <c r="G21" s="85"/>
      <c r="H21" s="55" t="s">
        <v>105</v>
      </c>
      <c r="I21" s="57" t="str">
        <f>'NECESIDADES TRIMESTRALES'!F19</f>
        <v>CAJA</v>
      </c>
      <c r="J21" s="58">
        <f>'NECESIDADES TRIMESTRALES'!H19</f>
        <v>230</v>
      </c>
      <c r="K21" s="59">
        <f>'NECESIDADES TRIMESTRALES'!G19</f>
        <v>400</v>
      </c>
    </row>
    <row r="22" spans="1:11" ht="15.75" customHeight="1" thickBot="1" x14ac:dyDescent="0.3">
      <c r="A22" s="55">
        <f>'NECESIDADES TRIMESTRALES'!A20</f>
        <v>11</v>
      </c>
      <c r="B22" s="56" t="str">
        <f>'NECESIDADES TRIMESTRALES'!B20</f>
        <v>2.1.1-705.105</v>
      </c>
      <c r="C22" s="83" t="str">
        <f>'NECESIDADES TRIMESTRALES'!E20</f>
        <v>LECHE; ESTADO: LIQUIDO, TIPO: DESCREMADA, PROCESO: PASTEURIZADA, AGREGADO: VITAMINAS Y MINERALES, PRESENTACION: ENVASE X 1 L, MATERIAL ENVASE: CARTON, ELEM. TRANSPORTE: SIN, MATERIAL ELEM. TRANSPORTE: SIN, CERTIFICADO FORESTAL (GFS): SIN, LIBRE DE GLUTEN: SI</v>
      </c>
      <c r="D22" s="84"/>
      <c r="E22" s="84"/>
      <c r="F22" s="84"/>
      <c r="G22" s="85"/>
      <c r="H22" s="55" t="s">
        <v>105</v>
      </c>
      <c r="I22" s="57" t="str">
        <f>'NECESIDADES TRIMESTRALES'!F20</f>
        <v>CAJA</v>
      </c>
      <c r="J22" s="58">
        <f>'NECESIDADES TRIMESTRALES'!H20</f>
        <v>230</v>
      </c>
      <c r="K22" s="59">
        <f>'NECESIDADES TRIMESTRALES'!G20</f>
        <v>100</v>
      </c>
    </row>
    <row r="23" spans="1:11" ht="31.5" customHeight="1" thickBot="1" x14ac:dyDescent="0.3">
      <c r="A23" s="55">
        <f>'NECESIDADES TRIMESTRALES'!A21</f>
        <v>12</v>
      </c>
      <c r="B23" s="56" t="str">
        <f>'NECESIDADES TRIMESTRALES'!B21</f>
        <v>2.1.1-705.93</v>
      </c>
      <c r="C23" s="83" t="str">
        <f>'NECESIDADES TRIMESTRALES'!E21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23" s="84"/>
      <c r="E23" s="84"/>
      <c r="F23" s="84"/>
      <c r="G23" s="85"/>
      <c r="H23" s="55" t="s">
        <v>105</v>
      </c>
      <c r="I23" s="57" t="str">
        <f>'NECESIDADES TRIMESTRALES'!F21</f>
        <v>CAJA</v>
      </c>
      <c r="J23" s="58">
        <f>'NECESIDADES TRIMESTRALES'!H21</f>
        <v>1500</v>
      </c>
      <c r="K23" s="59">
        <f>'NECESIDADES TRIMESTRALES'!G21</f>
        <v>1200</v>
      </c>
    </row>
    <row r="24" spans="1:11" ht="33" customHeight="1" thickBot="1" x14ac:dyDescent="0.3">
      <c r="A24" s="55">
        <f>'NECESIDADES TRIMESTRALES'!A22</f>
        <v>13</v>
      </c>
      <c r="B24" s="56" t="str">
        <f>'NECESIDADES TRIMESTRALES'!B22</f>
        <v>2.1.1-705.95</v>
      </c>
      <c r="C24" s="83" t="str">
        <f>'NECESIDADES TRIMESTRALES'!E22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24" s="84"/>
      <c r="E24" s="84"/>
      <c r="F24" s="84"/>
      <c r="G24" s="85"/>
      <c r="H24" s="55" t="s">
        <v>105</v>
      </c>
      <c r="I24" s="57" t="str">
        <f>'NECESIDADES TRIMESTRALES'!F22</f>
        <v>CAJA</v>
      </c>
      <c r="J24" s="58">
        <f>'NECESIDADES TRIMESTRALES'!H22</f>
        <v>750</v>
      </c>
      <c r="K24" s="59">
        <f>'NECESIDADES TRIMESTRALES'!G22</f>
        <v>200</v>
      </c>
    </row>
    <row r="25" spans="1:11" ht="15.75" thickBot="1" x14ac:dyDescent="0.3">
      <c r="A25" s="55">
        <f>'NECESIDADES TRIMESTRALES'!A23</f>
        <v>14</v>
      </c>
      <c r="B25" s="56" t="str">
        <f>'NECESIDADES TRIMESTRALES'!B23</f>
        <v>2.1.1-509.10</v>
      </c>
      <c r="C25" s="83" t="str">
        <f>'NECESIDADES TRIMESTRALES'!E23</f>
        <v>PURE; TIPO: DE TOMATE, ENVASE: CAJA DE CARTON, PESO: 530 GR</v>
      </c>
      <c r="D25" s="84"/>
      <c r="E25" s="84"/>
      <c r="F25" s="84"/>
      <c r="G25" s="85"/>
      <c r="H25" s="55" t="s">
        <v>105</v>
      </c>
      <c r="I25" s="57" t="str">
        <f>'NECESIDADES TRIMESTRALES'!F23</f>
        <v>CAJA</v>
      </c>
      <c r="J25" s="58">
        <f>'NECESIDADES TRIMESTRALES'!H23</f>
        <v>95</v>
      </c>
      <c r="K25" s="59">
        <f>'NECESIDADES TRIMESTRALES'!G23</f>
        <v>3000</v>
      </c>
    </row>
    <row r="26" spans="1:11" ht="15.75" thickBot="1" x14ac:dyDescent="0.3">
      <c r="A26" s="55">
        <f>'NECESIDADES TRIMESTRALES'!A24</f>
        <v>15</v>
      </c>
      <c r="B26" s="56" t="str">
        <f>'NECESIDADES TRIMESTRALES'!B24</f>
        <v>2.1.1-514.2</v>
      </c>
      <c r="C26" s="83" t="str">
        <f>'NECESIDADES TRIMESTRALES'!E24</f>
        <v>SAL DE MESA; CONSISTENCIA: FINA, PESO: 500 GR, TIPO: SIN VALOR, ENVASE: PAQUETE</v>
      </c>
      <c r="D26" s="84"/>
      <c r="E26" s="84"/>
      <c r="F26" s="84"/>
      <c r="G26" s="85"/>
      <c r="H26" s="55" t="s">
        <v>105</v>
      </c>
      <c r="I26" s="57" t="str">
        <f>'NECESIDADES TRIMESTRALES'!F24</f>
        <v>PAQUETE</v>
      </c>
      <c r="J26" s="58">
        <f>'NECESIDADES TRIMESTRALES'!H24</f>
        <v>100</v>
      </c>
      <c r="K26" s="59">
        <f>'NECESIDADES TRIMESTRALES'!G24</f>
        <v>600</v>
      </c>
    </row>
    <row r="27" spans="1:11" ht="15.75" thickBot="1" x14ac:dyDescent="0.3">
      <c r="A27" s="55">
        <f>'NECESIDADES TRIMESTRALES'!A25</f>
        <v>16</v>
      </c>
      <c r="B27" s="56" t="str">
        <f>'NECESIDADES TRIMESTRALES'!B25</f>
        <v>2.1.1-514.15</v>
      </c>
      <c r="C27" s="83" t="str">
        <f>'NECESIDADES TRIMESTRALES'!E25</f>
        <v>SAL DE MESA; CONSISTENCIA: GRUESA, ENVASE: BOLSA, PESO: 1 Kg, TIPO: SIN VALOR</v>
      </c>
      <c r="D27" s="84"/>
      <c r="E27" s="84"/>
      <c r="F27" s="84"/>
      <c r="G27" s="85"/>
      <c r="H27" s="55" t="s">
        <v>105</v>
      </c>
      <c r="I27" s="57" t="str">
        <f>'NECESIDADES TRIMESTRALES'!F25</f>
        <v>BOLSA</v>
      </c>
      <c r="J27" s="58">
        <f>'NECESIDADES TRIMESTRALES'!H25</f>
        <v>130</v>
      </c>
      <c r="K27" s="59">
        <f>'NECESIDADES TRIMESTRALES'!G25</f>
        <v>600</v>
      </c>
    </row>
    <row r="28" spans="1:11" ht="30" customHeight="1" thickBot="1" x14ac:dyDescent="0.3">
      <c r="A28" s="55">
        <f>'NECESIDADES TRIMESTRALES'!A26</f>
        <v>17</v>
      </c>
      <c r="B28" s="56" t="str">
        <f>'NECESIDADES TRIMESTRALES'!B26</f>
        <v>2.1.1-454.28</v>
      </c>
      <c r="C28" s="83" t="str">
        <f>'NECESIDADES TRIMESTRALES'!E26</f>
        <v>YERBAS; PALO: SIN, PESO: 1 Kg, MATERIAL ENVASE : PAPEL, CERTIFICADO FORESTAL (GFS): CON, ELEM. TRANSPORTE: SIN, MATERIAL ELEM. TRANSPORTE: SIN, LIBRE DE GLUTEN: SI</v>
      </c>
      <c r="D28" s="84"/>
      <c r="E28" s="84"/>
      <c r="F28" s="84"/>
      <c r="G28" s="85"/>
      <c r="H28" s="55" t="s">
        <v>105</v>
      </c>
      <c r="I28" s="57" t="str">
        <f>'NECESIDADES TRIMESTRALES'!F26</f>
        <v>PAQUETE</v>
      </c>
      <c r="J28" s="58">
        <f>'NECESIDADES TRIMESTRALES'!H26</f>
        <v>650</v>
      </c>
      <c r="K28" s="59">
        <f>'NECESIDADES TRIMESTRALES'!G26</f>
        <v>500</v>
      </c>
    </row>
    <row r="29" spans="1:11" ht="15.75" customHeight="1" thickBot="1" x14ac:dyDescent="0.3">
      <c r="A29" s="55">
        <f>'NECESIDADES TRIMESTRALES'!A27</f>
        <v>18</v>
      </c>
      <c r="B29" s="56" t="str">
        <f>'NECESIDADES TRIMESTRALES'!B27</f>
        <v>2.1.1-489.67</v>
      </c>
      <c r="C29" s="83" t="str">
        <f>'NECESIDADES TRIMESTRALES'!E27</f>
        <v>ESPECIAS; TIPO: PIMENTON, PRESENTACION: BOLSA DE 1 Kg</v>
      </c>
      <c r="D29" s="84"/>
      <c r="E29" s="84"/>
      <c r="F29" s="84"/>
      <c r="G29" s="85"/>
      <c r="H29" s="55" t="s">
        <v>105</v>
      </c>
      <c r="I29" s="57" t="str">
        <f>'NECESIDADES TRIMESTRALES'!F27</f>
        <v>BOLSA</v>
      </c>
      <c r="J29" s="58">
        <f>'NECESIDADES TRIMESTRALES'!H27</f>
        <v>1100</v>
      </c>
      <c r="K29" s="59">
        <f>'NECESIDADES TRIMESTRALES'!G27</f>
        <v>150</v>
      </c>
    </row>
    <row r="30" spans="1:11" ht="15.75" customHeight="1" thickBot="1" x14ac:dyDescent="0.3">
      <c r="A30" s="55">
        <f>'NECESIDADES TRIMESTRALES'!A28</f>
        <v>19</v>
      </c>
      <c r="B30" s="56" t="str">
        <f>'NECESIDADES TRIMESTRALES'!B28</f>
        <v>2.1.1-489.109</v>
      </c>
      <c r="C30" s="83" t="str">
        <f>'NECESIDADES TRIMESTRALES'!E28</f>
        <v>ESPECIAS; TIPO: PROVENZAL, PRESENTACION: PAQUETE X 1 Kg</v>
      </c>
      <c r="D30" s="84"/>
      <c r="E30" s="84"/>
      <c r="F30" s="84"/>
      <c r="G30" s="85"/>
      <c r="H30" s="55" t="s">
        <v>105</v>
      </c>
      <c r="I30" s="57" t="str">
        <f>'NECESIDADES TRIMESTRALES'!F28</f>
        <v>BOLSA</v>
      </c>
      <c r="J30" s="58">
        <f>'NECESIDADES TRIMESTRALES'!H28</f>
        <v>1100</v>
      </c>
      <c r="K30" s="59">
        <f>'NECESIDADES TRIMESTRALES'!G28</f>
        <v>150</v>
      </c>
    </row>
    <row r="31" spans="1:11" ht="15.75" customHeight="1" thickBot="1" x14ac:dyDescent="0.3">
      <c r="A31" s="55">
        <f>'NECESIDADES TRIMESTRALES'!A29</f>
        <v>20</v>
      </c>
      <c r="B31" s="56" t="str">
        <f>'NECESIDADES TRIMESTRALES'!B29</f>
        <v>2.1.1-6547.70</v>
      </c>
      <c r="C31" s="83" t="str">
        <f>'NECESIDADES TRIMESTRALES'!E29</f>
        <v>LEGUMBRES: VARIEDAD; LENTEJA, ESTADO: SECO, PRESENTACION: BOLSA, PESO: 1 KG.</v>
      </c>
      <c r="D31" s="84"/>
      <c r="E31" s="84"/>
      <c r="F31" s="84"/>
      <c r="G31" s="85"/>
      <c r="H31" s="55" t="s">
        <v>105</v>
      </c>
      <c r="I31" s="57" t="str">
        <f>'NECESIDADES TRIMESTRALES'!F29</f>
        <v>BOLSA</v>
      </c>
      <c r="J31" s="58">
        <f>'NECESIDADES TRIMESTRALES'!H29</f>
        <v>450</v>
      </c>
      <c r="K31" s="59">
        <f>'NECESIDADES TRIMESTRALES'!G29</f>
        <v>600</v>
      </c>
    </row>
    <row r="32" spans="1:11" ht="15.75" thickBot="1" x14ac:dyDescent="0.3">
      <c r="A32" s="55">
        <f>'NECESIDADES TRIMESTRALES'!A30</f>
        <v>21</v>
      </c>
      <c r="B32" s="56" t="str">
        <f>'NECESIDADES TRIMESTRALES'!B30</f>
        <v>2.1.1-489.77</v>
      </c>
      <c r="C32" s="83" t="str">
        <f>'NECESIDADES TRIMESTRALES'!E30</f>
        <v>ESPECIAS; PRESENTACION: PAQUETE X 1 Kg, TIPO: LAUREL</v>
      </c>
      <c r="D32" s="84"/>
      <c r="E32" s="84"/>
      <c r="F32" s="84"/>
      <c r="G32" s="85"/>
      <c r="H32" s="55" t="s">
        <v>105</v>
      </c>
      <c r="I32" s="57" t="str">
        <f>'NECESIDADES TRIMESTRALES'!F30</f>
        <v>PAQUETE</v>
      </c>
      <c r="J32" s="58">
        <f>'NECESIDADES TRIMESTRALES'!H30</f>
        <v>1100</v>
      </c>
      <c r="K32" s="59">
        <f>'NECESIDADES TRIMESTRALES'!G30</f>
        <v>80</v>
      </c>
    </row>
    <row r="33" spans="1:11" ht="33" customHeight="1" thickBot="1" x14ac:dyDescent="0.3">
      <c r="A33" s="55">
        <f>'NECESIDADES TRIMESTRALES'!A31</f>
        <v>22</v>
      </c>
      <c r="B33" s="56" t="str">
        <f>'NECESIDADES TRIMESTRALES'!B31</f>
        <v>2.1.1-708.19</v>
      </c>
      <c r="C33" s="83" t="str">
        <f>'NECESIDADES TRIMESTRALES'!E31</f>
        <v>CONSERVAS PESCADO Y FRUTOS MAR; ESPECIE: CABALLA, ESTADO: EN ACEITE, PESO: 380 GR, ENVASE: LATA, TIPO: CABALLA</v>
      </c>
      <c r="D33" s="84"/>
      <c r="E33" s="84"/>
      <c r="F33" s="84"/>
      <c r="G33" s="85"/>
      <c r="H33" s="55" t="s">
        <v>105</v>
      </c>
      <c r="I33" s="57" t="str">
        <f>'NECESIDADES TRIMESTRALES'!F31</f>
        <v>LATA</v>
      </c>
      <c r="J33" s="58">
        <f>'NECESIDADES TRIMESTRALES'!H31</f>
        <v>600</v>
      </c>
      <c r="K33" s="59">
        <f>'NECESIDADES TRIMESTRALES'!G31</f>
        <v>550</v>
      </c>
    </row>
    <row r="34" spans="1:11" ht="31.5" customHeight="1" thickBot="1" x14ac:dyDescent="0.3">
      <c r="A34" s="55">
        <f>'NECESIDADES TRIMESTRALES'!A32</f>
        <v>23</v>
      </c>
      <c r="B34" s="56" t="str">
        <f>'NECESIDADES TRIMESTRALES'!B32</f>
        <v>2.1.1-482.63</v>
      </c>
      <c r="C34" s="83" t="str">
        <f>'NECESIDADES TRIMESTRALES'!E32</f>
        <v>HARINAS; TIPO: MAIZ, PRESENTACION: ENVASE X 750 GR, MATERIAL ENVASE: PAPEL, CERTICADO FORESTAL (GFS): SIN, ELEM. TRANSPORTE: SIN, MATERIAL ELEM. TRANSPORTE: SIN</v>
      </c>
      <c r="D34" s="84"/>
      <c r="E34" s="84"/>
      <c r="F34" s="84"/>
      <c r="G34" s="85"/>
      <c r="H34" s="55" t="s">
        <v>105</v>
      </c>
      <c r="I34" s="57" t="str">
        <f>'NECESIDADES TRIMESTRALES'!F32</f>
        <v>BOLSA</v>
      </c>
      <c r="J34" s="58">
        <f>'NECESIDADES TRIMESTRALES'!H32</f>
        <v>190</v>
      </c>
      <c r="K34" s="59">
        <f>'NECESIDADES TRIMESTRALES'!G32</f>
        <v>500</v>
      </c>
    </row>
    <row r="35" spans="1:11" ht="33.75" customHeight="1" thickBot="1" x14ac:dyDescent="0.3">
      <c r="A35" s="55">
        <f>'NECESIDADES TRIMESTRALES'!A33</f>
        <v>24</v>
      </c>
      <c r="B35" s="56" t="str">
        <f>'NECESIDADES TRIMESTRALES'!B33</f>
        <v>2.1.1-482.87</v>
      </c>
      <c r="C35" s="83" t="str">
        <f>'NECESIDADES TRIMESTRALES'!E33</f>
        <v>HARINAS; TIPO: DE TRIGO 000, PRESENTACION: ENVASE X 25 Kg, MATERIAL ENVASE: PAPEL, CERTICADO FORESTAL (GFS): SIN, ELEM. TRANSPORTE: SIN, MATERIAL ELEM. TRANSPORTE: SIN, LIBRE DE GLUTEN: NO</v>
      </c>
      <c r="D35" s="84"/>
      <c r="E35" s="84"/>
      <c r="F35" s="84"/>
      <c r="G35" s="85"/>
      <c r="H35" s="55" t="s">
        <v>105</v>
      </c>
      <c r="I35" s="57" t="str">
        <f>'NECESIDADES TRIMESTRALES'!F33</f>
        <v>BOLSA</v>
      </c>
      <c r="J35" s="58">
        <f>'NECESIDADES TRIMESTRALES'!H33</f>
        <v>4000</v>
      </c>
      <c r="K35" s="59">
        <f>'NECESIDADES TRIMESTRALES'!G33</f>
        <v>700</v>
      </c>
    </row>
    <row r="36" spans="1:11" ht="33" customHeight="1" thickBot="1" x14ac:dyDescent="0.3">
      <c r="A36" s="55">
        <f>'NECESIDADES TRIMESTRALES'!A34</f>
        <v>25</v>
      </c>
      <c r="B36" s="56" t="str">
        <f>'NECESIDADES TRIMESTRALES'!B34</f>
        <v>2.1.1-2175.1</v>
      </c>
      <c r="C36" s="83" t="str">
        <f>'NECESIDADES TRIMESTRALES'!E34</f>
        <v>GRASAS COMESTIBLES: TIPO: VACUNA, PRESENTACION: BOLSA X 1 KG. ESTADO: NORMAL, FORMA DE PRESENTACION: NORMAL</v>
      </c>
      <c r="D36" s="84"/>
      <c r="E36" s="84"/>
      <c r="F36" s="84"/>
      <c r="G36" s="85"/>
      <c r="H36" s="55" t="s">
        <v>105</v>
      </c>
      <c r="I36" s="57" t="str">
        <f>'NECESIDADES TRIMESTRALES'!F34</f>
        <v>BOLSA</v>
      </c>
      <c r="J36" s="58">
        <f>'NECESIDADES TRIMESTRALES'!H34</f>
        <v>800</v>
      </c>
      <c r="K36" s="59">
        <f>'NECESIDADES TRIMESTRALES'!G34</f>
        <v>1500</v>
      </c>
    </row>
    <row r="37" spans="1:11" ht="15.75" customHeight="1" thickBot="1" x14ac:dyDescent="0.3">
      <c r="A37" s="55">
        <f>'NECESIDADES TRIMESTRALES'!A35</f>
        <v>26</v>
      </c>
      <c r="B37" s="56" t="str">
        <f>'NECESIDADES TRIMESTRALES'!B35</f>
        <v>2.1.1-514.12</v>
      </c>
      <c r="C37" s="83" t="str">
        <f>'NECESIDADES TRIMESTRALES'!E35</f>
        <v>SAL DE MESA; ENVASE: BOLSA, PESO: 50 Kg, CONSISTENCIA: ENTREFINA, TIPO: SIN VALOR</v>
      </c>
      <c r="D37" s="84"/>
      <c r="E37" s="84"/>
      <c r="F37" s="84"/>
      <c r="G37" s="85"/>
      <c r="H37" s="55" t="s">
        <v>105</v>
      </c>
      <c r="I37" s="57" t="str">
        <f>'NECESIDADES TRIMESTRALES'!F35</f>
        <v>BOLSA</v>
      </c>
      <c r="J37" s="58">
        <f>'NECESIDADES TRIMESTRALES'!H35</f>
        <v>2500</v>
      </c>
      <c r="K37" s="59">
        <f>'NECESIDADES TRIMESTRALES'!G35</f>
        <v>10</v>
      </c>
    </row>
    <row r="38" spans="1:11" ht="15.75" customHeight="1" thickBot="1" x14ac:dyDescent="0.3">
      <c r="A38" s="55">
        <f>'NECESIDADES TRIMESTRALES'!A36</f>
        <v>27</v>
      </c>
      <c r="B38" s="56" t="str">
        <f>'NECESIDADES TRIMESTRALES'!B36</f>
        <v>2.1.1-2616.10</v>
      </c>
      <c r="C38" s="83" t="str">
        <f>'NECESIDADES TRIMESTRALES'!E36</f>
        <v>MAIZ; TIPO: BLANCO, PRESENTACION: ENVASE X 1 Kg, FORMA DE PRESENTACION: GRANULADO</v>
      </c>
      <c r="D38" s="84"/>
      <c r="E38" s="84"/>
      <c r="F38" s="84"/>
      <c r="G38" s="85"/>
      <c r="H38" s="55" t="s">
        <v>105</v>
      </c>
      <c r="I38" s="57" t="str">
        <f>'NECESIDADES TRIMESTRALES'!F36</f>
        <v>BOLSA</v>
      </c>
      <c r="J38" s="58">
        <f>'NECESIDADES TRIMESTRALES'!H36</f>
        <v>450</v>
      </c>
      <c r="K38" s="59">
        <f>'NECESIDADES TRIMESTRALES'!G36</f>
        <v>500</v>
      </c>
    </row>
    <row r="39" spans="1:11" ht="15.75" customHeight="1" thickBot="1" x14ac:dyDescent="0.3">
      <c r="A39" s="55">
        <f>'NECESIDADES TRIMESTRALES'!A37</f>
        <v>28</v>
      </c>
      <c r="B39" s="56" t="str">
        <f>'NECESIDADES TRIMESTRALES'!B37</f>
        <v>2.1.1-2127.1</v>
      </c>
      <c r="C39" s="83" t="str">
        <f>'NECESIDADES TRIMESTRALES'!E37</f>
        <v>MEJORADOR DE PANIFICACION: ESTADO: NATURAL, PESO: 10 KG. PRESENTACION: BOLSA</v>
      </c>
      <c r="D39" s="84"/>
      <c r="E39" s="84"/>
      <c r="F39" s="84"/>
      <c r="G39" s="85"/>
      <c r="H39" s="55" t="s">
        <v>105</v>
      </c>
      <c r="I39" s="57" t="str">
        <f>'NECESIDADES TRIMESTRALES'!F37</f>
        <v>BOLSA</v>
      </c>
      <c r="J39" s="58">
        <f>'NECESIDADES TRIMESTRALES'!H37</f>
        <v>6000</v>
      </c>
      <c r="K39" s="59">
        <f>'NECESIDADES TRIMESTRALES'!G37</f>
        <v>20</v>
      </c>
    </row>
    <row r="40" spans="1:11" ht="16.5" thickBot="1" x14ac:dyDescent="0.3">
      <c r="A40" s="88" t="s">
        <v>133</v>
      </c>
      <c r="B40" s="88"/>
      <c r="C40" s="88"/>
      <c r="D40" s="88"/>
      <c r="E40" s="88"/>
      <c r="F40" s="88"/>
      <c r="G40" s="88"/>
      <c r="H40" s="88"/>
      <c r="I40" s="88"/>
      <c r="J40" s="89">
        <f>SUMPRODUCT(J12:J39,K12:K39)</f>
        <v>12813500</v>
      </c>
      <c r="K40" s="89"/>
    </row>
  </sheetData>
  <mergeCells count="5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4:G24"/>
    <mergeCell ref="C25:G25"/>
    <mergeCell ref="A40:I40"/>
    <mergeCell ref="J40:K40"/>
    <mergeCell ref="C13:G13"/>
    <mergeCell ref="C14:G14"/>
    <mergeCell ref="C20:G20"/>
    <mergeCell ref="C26:G26"/>
    <mergeCell ref="C27:G27"/>
    <mergeCell ref="C28:G28"/>
    <mergeCell ref="C29:G29"/>
    <mergeCell ref="C30:G30"/>
    <mergeCell ref="C31:G31"/>
    <mergeCell ref="C33:G33"/>
    <mergeCell ref="C34:G34"/>
    <mergeCell ref="C35:G35"/>
    <mergeCell ref="C36:G36"/>
    <mergeCell ref="C37:G37"/>
    <mergeCell ref="C38:G38"/>
    <mergeCell ref="C39:G39"/>
    <mergeCell ref="K10:K11"/>
    <mergeCell ref="C12:G12"/>
    <mergeCell ref="J10:J11"/>
    <mergeCell ref="C15:G15"/>
    <mergeCell ref="C16:G16"/>
    <mergeCell ref="C17:G17"/>
    <mergeCell ref="C18:G18"/>
    <mergeCell ref="C19:G19"/>
    <mergeCell ref="C32:G32"/>
    <mergeCell ref="C21:G21"/>
    <mergeCell ref="C22:G22"/>
    <mergeCell ref="C23:G2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A6B5-1923-4D75-AD9D-186E1EDB56BF}">
  <dimension ref="A1:S26"/>
  <sheetViews>
    <sheetView tabSelected="1" topLeftCell="A7" workbookViewId="0">
      <selection activeCell="Q16" sqref="Q16"/>
    </sheetView>
  </sheetViews>
  <sheetFormatPr baseColWidth="10" defaultColWidth="9.140625" defaultRowHeight="15" x14ac:dyDescent="0.25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20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5" max="15" width="11.42578125"/>
    <col min="16" max="16" width="12.28515625" customWidth="1"/>
    <col min="17" max="17" width="16" customWidth="1"/>
    <col min="18" max="18" width="11" customWidth="1"/>
    <col min="19" max="19" width="13.140625" bestFit="1" customWidth="1"/>
    <col min="20" max="1025" width="11" customWidth="1"/>
  </cols>
  <sheetData>
    <row r="1" spans="1:19" ht="15.75" customHeight="1" thickBot="1" x14ac:dyDescent="0.3">
      <c r="A1" s="150" t="s">
        <v>5</v>
      </c>
      <c r="B1" s="151"/>
      <c r="C1" s="151"/>
      <c r="D1" s="152">
        <v>2022</v>
      </c>
      <c r="E1" s="152"/>
      <c r="F1" s="22"/>
      <c r="G1" s="22"/>
      <c r="H1" s="23"/>
      <c r="I1" s="23"/>
      <c r="J1" s="23"/>
      <c r="K1" s="23"/>
      <c r="L1" s="23"/>
      <c r="M1" s="23"/>
      <c r="N1" s="23"/>
      <c r="O1" s="24"/>
      <c r="P1" s="153" t="s">
        <v>106</v>
      </c>
      <c r="Q1" s="154"/>
    </row>
    <row r="2" spans="1:19" ht="15.75" customHeight="1" thickBot="1" x14ac:dyDescent="0.3">
      <c r="A2" s="25"/>
      <c r="B2" s="26"/>
      <c r="C2" s="26"/>
      <c r="D2" s="26"/>
      <c r="E2" s="26"/>
      <c r="F2" s="26"/>
      <c r="G2" s="27"/>
      <c r="H2" s="28"/>
      <c r="I2" s="28"/>
      <c r="J2" s="28"/>
      <c r="K2" s="28"/>
      <c r="L2" s="28"/>
      <c r="M2" s="28"/>
      <c r="N2" s="28"/>
      <c r="O2" s="26"/>
      <c r="P2" s="155"/>
      <c r="Q2" s="156"/>
    </row>
    <row r="3" spans="1:19" ht="15.75" thickBot="1" x14ac:dyDescent="0.3">
      <c r="A3" s="25"/>
      <c r="B3" s="26"/>
      <c r="C3" s="26"/>
      <c r="D3" s="26"/>
      <c r="E3" s="26"/>
      <c r="F3" s="26"/>
      <c r="G3" s="27"/>
      <c r="H3" s="26"/>
      <c r="I3" s="26"/>
      <c r="J3" s="26"/>
      <c r="K3" s="26"/>
      <c r="L3" s="26"/>
      <c r="M3" s="26"/>
      <c r="N3" s="26"/>
      <c r="O3" s="26"/>
      <c r="P3" s="26"/>
      <c r="Q3" s="29"/>
    </row>
    <row r="4" spans="1:19" s="21" customFormat="1" ht="15.75" thickBot="1" x14ac:dyDescent="0.3">
      <c r="A4" s="157" t="s">
        <v>107</v>
      </c>
      <c r="B4" s="158"/>
      <c r="C4" s="158"/>
      <c r="D4" s="158"/>
      <c r="E4" s="158"/>
      <c r="F4" s="158"/>
      <c r="G4" s="159" t="str">
        <f>'NOTA DE PEDIDO'!D3</f>
        <v>90 - MINISTERIO DE SEGURIDAD</v>
      </c>
      <c r="H4" s="159"/>
      <c r="I4" s="159"/>
      <c r="J4" s="159"/>
      <c r="K4" s="159"/>
      <c r="L4" s="159"/>
      <c r="M4" s="159"/>
      <c r="N4" s="159"/>
      <c r="O4" s="159"/>
      <c r="P4" s="159"/>
      <c r="Q4" s="160"/>
    </row>
    <row r="5" spans="1:19" s="21" customFormat="1" ht="15" customHeight="1" thickBot="1" x14ac:dyDescent="0.3">
      <c r="A5" s="133" t="s">
        <v>93</v>
      </c>
      <c r="B5" s="134"/>
      <c r="C5" s="134"/>
      <c r="D5" s="134"/>
      <c r="E5" s="134"/>
      <c r="F5" s="135"/>
      <c r="G5" s="147" t="str">
        <f>'NOTA DE PEDIDO'!D4</f>
        <v>8 - DIRECCION GENERAL SERVICIO PENITENCIARIO PROVINCIAL</v>
      </c>
      <c r="H5" s="148"/>
      <c r="I5" s="148"/>
      <c r="J5" s="148"/>
      <c r="K5" s="148"/>
      <c r="L5" s="148"/>
      <c r="M5" s="148"/>
      <c r="N5" s="148"/>
      <c r="O5" s="148"/>
      <c r="P5" s="148"/>
      <c r="Q5" s="149"/>
    </row>
    <row r="6" spans="1:19" s="21" customFormat="1" ht="15" customHeight="1" thickBot="1" x14ac:dyDescent="0.3">
      <c r="A6" s="133" t="s">
        <v>94</v>
      </c>
      <c r="B6" s="134"/>
      <c r="C6" s="134"/>
      <c r="D6" s="134"/>
      <c r="E6" s="134"/>
      <c r="F6" s="135"/>
      <c r="G6" s="136" t="str">
        <f>'NOTA DE PEDIDO'!D5</f>
        <v>SERVICIO PENITENCIARIO PROVINCIAL</v>
      </c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9" s="21" customFormat="1" ht="25.5" customHeight="1" thickBot="1" x14ac:dyDescent="0.25">
      <c r="A7" s="139" t="s">
        <v>95</v>
      </c>
      <c r="B7" s="140"/>
      <c r="C7" s="140"/>
      <c r="D7" s="140"/>
      <c r="E7" s="140"/>
      <c r="F7" s="140"/>
      <c r="G7" s="141" t="str">
        <f>'NOTA DE PEDIDO'!D6</f>
        <v>LOGISTICA</v>
      </c>
      <c r="H7" s="142"/>
      <c r="I7" s="142"/>
      <c r="J7" s="142"/>
      <c r="K7" s="142"/>
      <c r="L7" s="142"/>
      <c r="M7" s="142"/>
      <c r="N7" s="142"/>
      <c r="O7" s="142"/>
      <c r="P7" s="142"/>
      <c r="Q7" s="143"/>
    </row>
    <row r="8" spans="1:19" ht="15.75" thickBot="1" x14ac:dyDescent="0.3">
      <c r="A8" s="144" t="s">
        <v>132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6"/>
    </row>
    <row r="9" spans="1:19" x14ac:dyDescent="0.25">
      <c r="A9" s="111" t="s">
        <v>127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3"/>
    </row>
    <row r="10" spans="1:19" ht="27" customHeight="1" x14ac:dyDescent="0.25">
      <c r="A10" s="114" t="s">
        <v>137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6"/>
    </row>
    <row r="11" spans="1:19" ht="33" customHeight="1" thickBot="1" x14ac:dyDescent="0.3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9"/>
    </row>
    <row r="12" spans="1:19" ht="15.75" thickBot="1" x14ac:dyDescent="0.3">
      <c r="A12" s="124" t="s">
        <v>108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6"/>
    </row>
    <row r="13" spans="1:19" ht="18" customHeight="1" thickBot="1" x14ac:dyDescent="0.3">
      <c r="A13" s="124" t="s">
        <v>109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6"/>
      <c r="O13" s="127" t="s">
        <v>110</v>
      </c>
      <c r="P13" s="128"/>
      <c r="Q13" s="131" t="s">
        <v>111</v>
      </c>
    </row>
    <row r="14" spans="1:19" ht="19.5" customHeight="1" thickBot="1" x14ac:dyDescent="0.3">
      <c r="A14" s="31" t="s">
        <v>112</v>
      </c>
      <c r="B14" s="32" t="s">
        <v>113</v>
      </c>
      <c r="C14" s="32" t="s">
        <v>114</v>
      </c>
      <c r="D14" s="32" t="s">
        <v>115</v>
      </c>
      <c r="E14" s="32" t="s">
        <v>116</v>
      </c>
      <c r="F14" s="32" t="s">
        <v>117</v>
      </c>
      <c r="G14" s="33" t="s">
        <v>118</v>
      </c>
      <c r="H14" s="32" t="s">
        <v>119</v>
      </c>
      <c r="I14" s="32" t="s">
        <v>120</v>
      </c>
      <c r="J14" s="32" t="s">
        <v>121</v>
      </c>
      <c r="K14" s="32" t="s">
        <v>121</v>
      </c>
      <c r="L14" s="32" t="s">
        <v>122</v>
      </c>
      <c r="M14" s="34" t="s">
        <v>123</v>
      </c>
      <c r="N14" s="35" t="s">
        <v>124</v>
      </c>
      <c r="O14" s="129"/>
      <c r="P14" s="130"/>
      <c r="Q14" s="132"/>
    </row>
    <row r="15" spans="1:19" ht="15" customHeight="1" x14ac:dyDescent="0.25">
      <c r="A15" s="36">
        <v>21</v>
      </c>
      <c r="B15" s="37"/>
      <c r="C15" s="37"/>
      <c r="D15" s="37">
        <v>2</v>
      </c>
      <c r="E15" s="37"/>
      <c r="F15" s="37">
        <v>4201</v>
      </c>
      <c r="G15" s="37">
        <v>2</v>
      </c>
      <c r="H15" s="37">
        <v>220</v>
      </c>
      <c r="I15" s="37">
        <v>2</v>
      </c>
      <c r="J15" s="37">
        <v>1</v>
      </c>
      <c r="K15" s="37">
        <v>1</v>
      </c>
      <c r="L15" s="37"/>
      <c r="M15" s="37">
        <v>1</v>
      </c>
      <c r="N15" s="37" t="s">
        <v>125</v>
      </c>
      <c r="O15" s="120" t="s">
        <v>135</v>
      </c>
      <c r="P15" s="121"/>
      <c r="Q15" s="40">
        <v>12813500</v>
      </c>
      <c r="S15" s="60"/>
    </row>
    <row r="16" spans="1:19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122"/>
      <c r="P16" s="122"/>
      <c r="Q16" s="40"/>
    </row>
    <row r="17" spans="1:17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123"/>
      <c r="P17" s="123"/>
      <c r="Q17" s="40"/>
    </row>
    <row r="18" spans="1:17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97"/>
      <c r="P18" s="97"/>
      <c r="Q18" s="40"/>
    </row>
    <row r="19" spans="1:17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97"/>
      <c r="P19" s="97"/>
      <c r="Q19" s="40"/>
    </row>
    <row r="20" spans="1:17" x14ac:dyDescent="0.25">
      <c r="A20" s="41"/>
      <c r="B20" s="42"/>
      <c r="C20" s="42"/>
      <c r="D20" s="42"/>
      <c r="E20" s="42"/>
      <c r="F20" s="39"/>
      <c r="G20" s="42"/>
      <c r="H20" s="42"/>
      <c r="I20" s="42"/>
      <c r="J20" s="42"/>
      <c r="K20" s="42"/>
      <c r="L20" s="42"/>
      <c r="M20" s="42"/>
      <c r="N20" s="42"/>
      <c r="O20" s="97"/>
      <c r="P20" s="97"/>
      <c r="Q20" s="40"/>
    </row>
    <row r="21" spans="1:17" ht="15.75" thickBot="1" x14ac:dyDescent="0.3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97"/>
      <c r="P21" s="97"/>
      <c r="Q21" s="43"/>
    </row>
    <row r="22" spans="1:17" ht="15.75" thickBot="1" x14ac:dyDescent="0.3">
      <c r="A22" s="98" t="s">
        <v>128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100"/>
      <c r="Q22" s="44">
        <f>SUM(Q15:Q21)</f>
        <v>12813500</v>
      </c>
    </row>
    <row r="23" spans="1:17" ht="15.75" thickBot="1" x14ac:dyDescent="0.3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30"/>
    </row>
    <row r="24" spans="1:17" ht="15.75" thickBot="1" x14ac:dyDescent="0.3">
      <c r="A24" s="101" t="s">
        <v>126</v>
      </c>
      <c r="B24" s="102"/>
      <c r="C24" s="102"/>
      <c r="D24" s="102"/>
      <c r="E24" s="102"/>
      <c r="F24" s="102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4"/>
    </row>
    <row r="25" spans="1:17" ht="15.75" thickBot="1" x14ac:dyDescent="0.3">
      <c r="A25" s="10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7"/>
    </row>
    <row r="26" spans="1:17" ht="15.75" thickBot="1" x14ac:dyDescent="0.3">
      <c r="A26" s="108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10"/>
    </row>
  </sheetData>
  <mergeCells count="29">
    <mergeCell ref="A5:F5"/>
    <mergeCell ref="G5:Q5"/>
    <mergeCell ref="A1:C1"/>
    <mergeCell ref="D1:E1"/>
    <mergeCell ref="P1:Q2"/>
    <mergeCell ref="A4:F4"/>
    <mergeCell ref="G4:Q4"/>
    <mergeCell ref="A6:F6"/>
    <mergeCell ref="G6:Q6"/>
    <mergeCell ref="A7:F7"/>
    <mergeCell ref="G7:Q7"/>
    <mergeCell ref="A8:Q8"/>
    <mergeCell ref="O18:P18"/>
    <mergeCell ref="O19:P19"/>
    <mergeCell ref="O20:P20"/>
    <mergeCell ref="A12:Q12"/>
    <mergeCell ref="A13:N13"/>
    <mergeCell ref="O13:P14"/>
    <mergeCell ref="Q13:Q14"/>
    <mergeCell ref="O15:P15"/>
    <mergeCell ref="A9:Q9"/>
    <mergeCell ref="A10:Q11"/>
    <mergeCell ref="O16:P16"/>
    <mergeCell ref="O17:P17"/>
    <mergeCell ref="O21:P21"/>
    <mergeCell ref="A22:P22"/>
    <mergeCell ref="A24:F24"/>
    <mergeCell ref="G24:Q24"/>
    <mergeCell ref="A25:Q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NOTA DE PEDIDO</vt:lpstr>
      <vt:lpstr>APG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soy_gisuarez@hotmail.com</cp:lastModifiedBy>
  <dcterms:created xsi:type="dcterms:W3CDTF">2022-06-28T11:43:19Z</dcterms:created>
  <dcterms:modified xsi:type="dcterms:W3CDTF">2022-11-01T14:56:23Z</dcterms:modified>
</cp:coreProperties>
</file>