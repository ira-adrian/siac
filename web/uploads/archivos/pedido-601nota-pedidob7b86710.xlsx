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Rodolfo\CONSOLIDADOS\MDSD- MSEG-MVU\MSEG\"/>
    </mc:Choice>
  </mc:AlternateContent>
  <xr:revisionPtr revIDLastSave="0" documentId="8_{359EEAAC-C734-489B-A1A5-E5DC50C73C5B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COMBUSTIBLE" sheetId="5" r:id="rId1"/>
    <sheet name="Autor Gastar" sheetId="3" r:id="rId2"/>
    <sheet name="PARQUE AUTOMOTOR" sheetId="4" r:id="rId3"/>
    <sheet name="Hoja1" sheetId="6" r:id="rId4"/>
  </sheets>
  <definedNames>
    <definedName name="_xlnm.Print_Area" localSheetId="1">'Autor Gastar'!$A$1:$Q$22</definedName>
  </definedNames>
  <calcPr calcId="181029"/>
</workbook>
</file>

<file path=xl/calcChain.xml><?xml version="1.0" encoding="utf-8"?>
<calcChain xmlns="http://schemas.openxmlformats.org/spreadsheetml/2006/main">
  <c r="Q18" i="3" l="1"/>
  <c r="F27" i="4" l="1"/>
  <c r="A18" i="3" l="1"/>
  <c r="G5" i="3"/>
  <c r="G4" i="3"/>
  <c r="I10" i="5" l="1"/>
  <c r="I11" i="5" s="1"/>
</calcChain>
</file>

<file path=xl/sharedStrings.xml><?xml version="1.0" encoding="utf-8"?>
<sst xmlns="http://schemas.openxmlformats.org/spreadsheetml/2006/main" count="146" uniqueCount="118">
  <si>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</si>
  <si>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</si>
  <si>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</si>
  <si>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</si>
  <si>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</si>
  <si>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</si>
  <si>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</si>
  <si>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</si>
  <si>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</si>
  <si>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</si>
  <si>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</si>
  <si>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</si>
  <si>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</si>
  <si>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</si>
  <si>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</si>
  <si>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</si>
  <si>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</si>
  <si>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</si>
  <si>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</si>
  <si>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</si>
  <si>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</si>
  <si>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</si>
  <si>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</si>
  <si>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</si>
  <si>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</si>
  <si>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</si>
  <si>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</si>
  <si>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</si>
  <si>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</si>
  <si>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</si>
  <si>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</si>
  <si>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</si>
  <si>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</si>
  <si>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</si>
  <si>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</si>
  <si>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</si>
  <si>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</si>
  <si>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</si>
  <si>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SAF: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</si>
  <si>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</si>
  <si>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</si>
  <si>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1.1</t>
  </si>
  <si>
    <t>COMBUSTIBLES Y LUBRICANTES</t>
  </si>
  <si>
    <t>2.5.6</t>
  </si>
  <si>
    <t>2.5.6-793.31</t>
  </si>
  <si>
    <t>GAS OIL; PRESENTACION: POR LITRO, USO: MOTORES DIESEL, COMERCIALIZACION: GRADO 3,  DESTINO: DPTO. S.F.V. DE CATAMARCA</t>
  </si>
  <si>
    <t xml:space="preserve">LITROS </t>
  </si>
  <si>
    <t>Calidad Mínima esperada</t>
  </si>
  <si>
    <t>Garantía</t>
  </si>
  <si>
    <t>Autorizo la realización de los  trámites correspondientes, a fin de proveer a  este Organismo los bienes y/o servicios que se detallan en la Nesecidad Trimestral para el 4to Trimestre,  afectando la erogación resultante a los créditos presupuestarios aprobados a favor de esta Unidad Ejecutora, conforme al siguiente detalle:</t>
  </si>
  <si>
    <t>MINISTERIO DE SEGURIDAD</t>
  </si>
  <si>
    <t xml:space="preserve">INFORME TECNICO DE PROVISION DE COMBUSTIBLE PARA LAS DISTINTAS UNIDADES MOVILES </t>
  </si>
  <si>
    <t>N°</t>
  </si>
  <si>
    <t>MARCA-MODELO</t>
  </si>
  <si>
    <t>ORGANISMO</t>
  </si>
  <si>
    <t>AÑO</t>
  </si>
  <si>
    <t>DOMINIO</t>
  </si>
  <si>
    <t>LITROS</t>
  </si>
  <si>
    <t>FORD RANGER 3.2 XLS MT TCI 4X4 L/18</t>
  </si>
  <si>
    <t>DEFENSA CIVIL</t>
  </si>
  <si>
    <t>AC-168-AQ</t>
  </si>
  <si>
    <t>FORD RANGER XL PLUS DC 3.0 4X4</t>
  </si>
  <si>
    <t>HSZ- 751</t>
  </si>
  <si>
    <t>FORD RANGER XL PLUS 4X4 2.8 DC-</t>
  </si>
  <si>
    <t>EQE-468</t>
  </si>
  <si>
    <t>FORD RANGER XL PLUS 4X4 2.8 DC</t>
  </si>
  <si>
    <t>EQE- 469</t>
  </si>
  <si>
    <t>FORD F 100 CS- PICK-UP</t>
  </si>
  <si>
    <t>ERA-553</t>
  </si>
  <si>
    <t>CHEVROLET S10 DC 2.8 DLX 4X4 L/09</t>
  </si>
  <si>
    <t>HRC-104</t>
  </si>
  <si>
    <t>CHEVROLET S10 DC 2.8 TD 4X2 LS</t>
  </si>
  <si>
    <t>ODN-563</t>
  </si>
  <si>
    <t>CHEVROLET S10 DC 2.8 TD 4X4LS L/17</t>
  </si>
  <si>
    <t>AD-027-IH</t>
  </si>
  <si>
    <t>CHEVROLET S10 CS 2.8 TD 4X2 LS</t>
  </si>
  <si>
    <t>AD-027-IG</t>
  </si>
  <si>
    <t>CITROEN JUMPER 2.8 FURGON HDI L/06-</t>
  </si>
  <si>
    <t>HKX-867</t>
  </si>
  <si>
    <t>HONDA TRX 500 CUATRICICLO</t>
  </si>
  <si>
    <t>082-ILU</t>
  </si>
  <si>
    <t>VOLKSWAGEN AMAROK STARLINE 140 CV PICK-UP 4X2</t>
  </si>
  <si>
    <t>POLICIA</t>
  </si>
  <si>
    <t>PIO -393</t>
  </si>
  <si>
    <t>TOYOTA COROLLA 1.8 XEI AUTOMOVIL</t>
  </si>
  <si>
    <t>LWM -102</t>
  </si>
  <si>
    <t>RENAULT KANGOO 2 EX 1.6 FURGON</t>
  </si>
  <si>
    <t>MINISTERIO</t>
  </si>
  <si>
    <t>OTA 060</t>
  </si>
  <si>
    <t>RENAULT KANGOO Ph 3 FURGON</t>
  </si>
  <si>
    <t xml:space="preserve">OTA 061   </t>
  </si>
  <si>
    <t>CHEVROLET CAPTIVA 2.0 D LT S W 5 PTAS</t>
  </si>
  <si>
    <t>JMY-241</t>
  </si>
  <si>
    <t>CHEVROLET S 10 PICK-UP</t>
  </si>
  <si>
    <t>BUX-778</t>
  </si>
  <si>
    <t>NISSAN FRONTIER PICK UP</t>
  </si>
  <si>
    <t xml:space="preserve">BRIGADA INCENDIOS </t>
  </si>
  <si>
    <t>FHS-448</t>
  </si>
  <si>
    <t>FORD F-100 PICK UP</t>
  </si>
  <si>
    <t>BRIGADA INCENDIOS</t>
  </si>
  <si>
    <t>KGM-490</t>
  </si>
  <si>
    <t>SCAM AR010 CAMION AUTOBOMBA</t>
  </si>
  <si>
    <t>NBU-047</t>
  </si>
  <si>
    <t>SCAM AR015 CAMION AUTOBOMBA</t>
  </si>
  <si>
    <t>NBU-022</t>
  </si>
  <si>
    <t>URO 2034 CAMION AUTOBOMBA</t>
  </si>
  <si>
    <t>AC 676 BX</t>
  </si>
  <si>
    <t>ASTRA 5005 CAMION AUTOBOMBA</t>
  </si>
  <si>
    <t>LZG-159</t>
  </si>
  <si>
    <t>UNIDAD DE TRASLADO 9009 AMBULANCIA</t>
  </si>
  <si>
    <t>NVC-394</t>
  </si>
  <si>
    <t>TOTAL LITROS</t>
  </si>
  <si>
    <t>SAF 19 - DIRECCION PROVINCIAL DE ADM. Y RR.HH. DEL MINISTERIO DE SEGURIDAD</t>
  </si>
  <si>
    <t>Primera Calidad</t>
  </si>
  <si>
    <t>30 (Treinta) días</t>
  </si>
  <si>
    <t>Adquisición de combustible para el Parque Automotor de este Ministerio.</t>
  </si>
  <si>
    <r>
      <rPr>
        <b/>
        <sz val="10"/>
        <rFont val="Times New Roman"/>
        <family val="1"/>
      </rPr>
      <t>Plazo de Entrega: T</t>
    </r>
    <r>
      <rPr>
        <sz val="10"/>
        <rFont val="Times New Roman"/>
        <family val="1"/>
      </rPr>
      <t xml:space="preserve">res 3 días hábiles. </t>
    </r>
    <r>
      <rPr>
        <b/>
        <sz val="10"/>
        <rFont val="Times New Roman"/>
        <family val="1"/>
      </rPr>
      <t>Periodo de utilización</t>
    </r>
    <r>
      <rPr>
        <sz val="10"/>
        <rFont val="Times New Roman"/>
        <family val="1"/>
      </rPr>
      <t xml:space="preserve">  60 dias. </t>
    </r>
    <r>
      <rPr>
        <b/>
        <sz val="10"/>
        <rFont val="Times New Roman"/>
        <family val="1"/>
      </rPr>
      <t>ENTREGA EN VALES DE  10, 15 Y 20 LITROS</t>
    </r>
    <r>
      <rPr>
        <sz val="10"/>
        <rFont val="Times New Roman"/>
        <family val="1"/>
      </rPr>
      <t>, según pliego, en la</t>
    </r>
    <r>
      <rPr>
        <b/>
        <sz val="10"/>
        <rFont val="Times New Roman"/>
        <family val="1"/>
      </rPr>
      <t xml:space="preserve"> DIRECCIÓN DE ADM. Y RR.HH. </t>
    </r>
    <r>
      <rPr>
        <sz val="10"/>
        <rFont val="Times New Roman"/>
        <family val="1"/>
      </rPr>
      <t>sito en calle San Martin N° 414 , San Fernando del Valle de Catamarca, en horario de 8 a 12 horas. El COMBUSTIBLE en la boca de expendio.</t>
    </r>
  </si>
  <si>
    <t>COSTO ESTIMADO TOTAL: Un Millon Novecientos Noventa y Nueve  Mil Novecientos Setenta y Uno con 30/100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</si>
</sst>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_ [$$-2C0A]\ * #,##0.00_ ;_ [$$-2C0A]\ * \-#,##0.00_ ;_ [$$-2C0A]\ * &quot;-&quot;??_ ;_ @_ 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b/>
      <sz val="11"/>
      <color rgb="FF2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31">
    <xf numFmtId="0" fontId="0" fillId="0" borderId="0" xfId="0"/>
    <xf numFmtId="0" fontId="6" fillId="0" borderId="0" xfId="0" applyFont="1"/>
    <xf numFmtId="0" fontId="6" fillId="0" borderId="0" xfId="0" applyFont="1" applyBorder="1"/>
    <xf numFmtId="3" fontId="11" fillId="0" borderId="0" xfId="0" applyNumberFormat="1" applyFont="1" applyBorder="1" applyAlignment="1"/>
    <xf numFmtId="167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12" xfId="0" applyFont="1" applyBorder="1"/>
    <xf numFmtId="0" fontId="6" fillId="0" borderId="23" xfId="0" applyFont="1" applyBorder="1"/>
    <xf numFmtId="0" fontId="6" fillId="0" borderId="14" xfId="0" applyFont="1" applyBorder="1"/>
    <xf numFmtId="0" fontId="6" fillId="0" borderId="14" xfId="0" applyFont="1" applyBorder="1" applyAlignment="1">
      <alignment horizontal="left"/>
    </xf>
    <xf numFmtId="0" fontId="6" fillId="0" borderId="24" xfId="0" applyFont="1" applyBorder="1"/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165" fontId="6" fillId="0" borderId="16" xfId="2" applyNumberFormat="1" applyFont="1" applyFill="1" applyBorder="1" applyAlignment="1" applyProtection="1">
      <alignment horizontal="center" vertical="center"/>
    </xf>
    <xf numFmtId="166" fontId="6" fillId="0" borderId="0" xfId="0" applyNumberFormat="1" applyFont="1"/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Fill="1" applyAlignment="1">
      <alignment horizontal="left" wrapText="1" indent="1"/>
    </xf>
    <xf numFmtId="0" fontId="13" fillId="0" borderId="0" xfId="0" applyFont="1" applyFill="1" applyAlignment="1">
      <alignment horizontal="left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left" indent="3"/>
    </xf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 applyAlignment="1">
      <alignment horizontal="left" indent="3"/>
    </xf>
    <xf numFmtId="0" fontId="22" fillId="0" borderId="7" xfId="0" applyFont="1" applyBorder="1" applyAlignment="1">
      <alignment horizontal="left" indent="3"/>
    </xf>
    <xf numFmtId="0" fontId="15" fillId="0" borderId="0" xfId="0" applyFont="1" applyBorder="1"/>
    <xf numFmtId="0" fontId="15" fillId="0" borderId="8" xfId="0" applyFont="1" applyBorder="1"/>
    <xf numFmtId="0" fontId="15" fillId="0" borderId="0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left" indent="3"/>
    </xf>
    <xf numFmtId="0" fontId="15" fillId="0" borderId="10" xfId="0" applyFont="1" applyBorder="1"/>
    <xf numFmtId="0" fontId="15" fillId="0" borderId="11" xfId="0" applyFont="1" applyBorder="1"/>
    <xf numFmtId="168" fontId="15" fillId="0" borderId="19" xfId="0" applyNumberFormat="1" applyFont="1" applyBorder="1"/>
    <xf numFmtId="0" fontId="19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 wrapText="1"/>
    </xf>
    <xf numFmtId="0" fontId="15" fillId="0" borderId="47" xfId="0" applyFont="1" applyBorder="1" applyAlignment="1">
      <alignment vertical="center"/>
    </xf>
    <xf numFmtId="0" fontId="15" fillId="0" borderId="47" xfId="0" applyFont="1" applyBorder="1" applyAlignment="1">
      <alignment vertical="center" wrapText="1"/>
    </xf>
    <xf numFmtId="0" fontId="21" fillId="0" borderId="47" xfId="0" applyFont="1" applyBorder="1" applyAlignment="1">
      <alignment horizontal="center" vertical="center" wrapText="1"/>
    </xf>
    <xf numFmtId="1" fontId="21" fillId="0" borderId="47" xfId="0" applyNumberFormat="1" applyFont="1" applyBorder="1" applyAlignment="1">
      <alignment horizontal="center" vertical="center" wrapText="1"/>
    </xf>
    <xf numFmtId="168" fontId="18" fillId="0" borderId="47" xfId="0" applyNumberFormat="1" applyFont="1" applyBorder="1" applyAlignment="1">
      <alignment horizontal="center" vertical="center" wrapText="1"/>
    </xf>
    <xf numFmtId="168" fontId="18" fillId="0" borderId="41" xfId="0" applyNumberFormat="1" applyFont="1" applyBorder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14" fillId="3" borderId="16" xfId="0" applyFont="1" applyFill="1" applyBorder="1" applyAlignment="1">
      <alignment horizontal="center"/>
    </xf>
    <xf numFmtId="0" fontId="24" fillId="3" borderId="16" xfId="0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/>
    </xf>
    <xf numFmtId="0" fontId="25" fillId="3" borderId="19" xfId="0" applyFont="1" applyFill="1" applyBorder="1" applyAlignment="1">
      <alignment horizontal="center" vertical="center" wrapText="1"/>
    </xf>
    <xf numFmtId="0" fontId="0" fillId="0" borderId="49" xfId="0" applyFont="1" applyBorder="1" applyAlignment="1">
      <alignment horizontal="center"/>
    </xf>
    <xf numFmtId="0" fontId="28" fillId="0" borderId="49" xfId="0" applyFont="1" applyBorder="1" applyAlignment="1">
      <alignment vertical="center" wrapText="1"/>
    </xf>
    <xf numFmtId="0" fontId="29" fillId="4" borderId="49" xfId="0" applyFont="1" applyFill="1" applyBorder="1" applyAlignment="1">
      <alignment horizontal="center" vertical="center" wrapText="1"/>
    </xf>
    <xf numFmtId="0" fontId="29" fillId="4" borderId="49" xfId="0" applyFont="1" applyFill="1" applyBorder="1" applyAlignment="1">
      <alignment vertical="center" wrapText="1"/>
    </xf>
    <xf numFmtId="0" fontId="0" fillId="0" borderId="3" xfId="0" applyFont="1" applyBorder="1" applyAlignment="1">
      <alignment horizontal="center"/>
    </xf>
    <xf numFmtId="0" fontId="28" fillId="0" borderId="3" xfId="0" applyFont="1" applyBorder="1" applyAlignment="1">
      <alignment vertical="center" wrapText="1"/>
    </xf>
    <xf numFmtId="0" fontId="31" fillId="4" borderId="3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 wrapText="1"/>
    </xf>
    <xf numFmtId="0" fontId="32" fillId="4" borderId="3" xfId="0" applyFont="1" applyFill="1" applyBorder="1" applyAlignment="1">
      <alignment vertical="center" wrapText="1"/>
    </xf>
    <xf numFmtId="0" fontId="0" fillId="0" borderId="0" xfId="0" applyBorder="1"/>
    <xf numFmtId="0" fontId="32" fillId="0" borderId="3" xfId="0" applyFont="1" applyBorder="1" applyAlignment="1">
      <alignment vertical="center" wrapText="1"/>
    </xf>
    <xf numFmtId="0" fontId="31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4" fontId="0" fillId="0" borderId="0" xfId="0" applyNumberFormat="1"/>
    <xf numFmtId="0" fontId="0" fillId="0" borderId="47" xfId="0" applyFont="1" applyBorder="1" applyAlignment="1">
      <alignment horizontal="center"/>
    </xf>
    <xf numFmtId="0" fontId="32" fillId="0" borderId="47" xfId="0" applyFont="1" applyBorder="1" applyAlignment="1">
      <alignment vertical="center" wrapText="1"/>
    </xf>
    <xf numFmtId="0" fontId="31" fillId="0" borderId="47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0" fillId="0" borderId="18" xfId="0" applyFont="1" applyBorder="1"/>
    <xf numFmtId="0" fontId="32" fillId="0" borderId="16" xfId="0" applyFont="1" applyFill="1" applyBorder="1" applyAlignment="1">
      <alignment vertical="center" wrapText="1"/>
    </xf>
    <xf numFmtId="0" fontId="0" fillId="0" borderId="48" xfId="0" applyFont="1" applyBorder="1"/>
    <xf numFmtId="4" fontId="0" fillId="0" borderId="16" xfId="0" applyNumberFormat="1" applyFont="1" applyBorder="1" applyAlignment="1">
      <alignment horizontal="center"/>
    </xf>
    <xf numFmtId="0" fontId="0" fillId="0" borderId="16" xfId="0" applyBorder="1"/>
    <xf numFmtId="0" fontId="0" fillId="0" borderId="0" xfId="0" applyAlignment="1">
      <alignment horizontal="center"/>
    </xf>
    <xf numFmtId="0" fontId="31" fillId="4" borderId="49" xfId="0" applyFont="1" applyFill="1" applyBorder="1" applyAlignment="1">
      <alignment horizontal="center" vertical="center"/>
    </xf>
    <xf numFmtId="0" fontId="10" fillId="0" borderId="15" xfId="0" applyFont="1" applyBorder="1" applyAlignment="1"/>
    <xf numFmtId="0" fontId="10" fillId="0" borderId="34" xfId="0" applyFont="1" applyBorder="1" applyAlignment="1"/>
    <xf numFmtId="0" fontId="10" fillId="0" borderId="35" xfId="0" applyFont="1" applyBorder="1" applyAlignmen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wrapText="1" inden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wrapText="1"/>
    </xf>
    <xf numFmtId="0" fontId="15" fillId="0" borderId="8" xfId="0" applyFont="1" applyFill="1" applyBorder="1" applyAlignment="1">
      <alignment horizontal="left" wrapText="1"/>
    </xf>
    <xf numFmtId="0" fontId="15" fillId="0" borderId="8" xfId="0" applyFont="1" applyFill="1" applyBorder="1" applyAlignment="1">
      <alignment horizontal="center"/>
    </xf>
    <xf numFmtId="0" fontId="23" fillId="0" borderId="38" xfId="0" applyFont="1" applyBorder="1" applyAlignment="1">
      <alignment horizontal="left"/>
    </xf>
    <xf numFmtId="0" fontId="23" fillId="0" borderId="39" xfId="0" applyFont="1" applyBorder="1" applyAlignment="1">
      <alignment horizontal="left"/>
    </xf>
    <xf numFmtId="0" fontId="23" fillId="0" borderId="40" xfId="0" applyFont="1" applyBorder="1" applyAlignment="1">
      <alignment horizontal="left"/>
    </xf>
    <xf numFmtId="0" fontId="15" fillId="0" borderId="0" xfId="0" applyFont="1" applyFill="1" applyBorder="1" applyAlignment="1">
      <alignment vertical="center" wrapText="1"/>
    </xf>
    <xf numFmtId="0" fontId="15" fillId="0" borderId="8" xfId="0" applyFont="1" applyFill="1" applyBorder="1" applyAlignment="1">
      <alignment vertical="center" wrapText="1"/>
    </xf>
    <xf numFmtId="0" fontId="10" fillId="0" borderId="21" xfId="0" applyFont="1" applyBorder="1"/>
    <xf numFmtId="0" fontId="10" fillId="0" borderId="22" xfId="0" applyFont="1" applyBorder="1" applyAlignment="1">
      <alignment horizontal="left" vertical="center" wrapText="1" indent="1"/>
    </xf>
    <xf numFmtId="0" fontId="9" fillId="0" borderId="20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/>
    </xf>
    <xf numFmtId="0" fontId="10" fillId="0" borderId="13" xfId="0" applyFont="1" applyBorder="1" applyAlignment="1">
      <alignment horizontal="left" indent="1"/>
    </xf>
    <xf numFmtId="0" fontId="6" fillId="0" borderId="18" xfId="0" applyFont="1" applyBorder="1" applyAlignment="1">
      <alignment horizontal="center"/>
    </xf>
    <xf numFmtId="3" fontId="11" fillId="0" borderId="19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6" fillId="0" borderId="13" xfId="0" applyFont="1" applyBorder="1"/>
    <xf numFmtId="0" fontId="10" fillId="0" borderId="32" xfId="0" applyFont="1" applyFill="1" applyBorder="1" applyAlignment="1">
      <alignment horizontal="left" vertical="center" wrapText="1" indent="1"/>
    </xf>
    <xf numFmtId="0" fontId="11" fillId="0" borderId="32" xfId="0" applyFont="1" applyBorder="1" applyAlignment="1">
      <alignment horizontal="left" vertical="center" wrapText="1"/>
    </xf>
    <xf numFmtId="0" fontId="6" fillId="0" borderId="20" xfId="0" applyFont="1" applyBorder="1"/>
    <xf numFmtId="0" fontId="9" fillId="0" borderId="1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11" fillId="0" borderId="18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6" fillId="0" borderId="36" xfId="0" applyFont="1" applyFill="1" applyBorder="1" applyAlignment="1">
      <alignment horizontal="left" vertical="center" wrapText="1"/>
    </xf>
    <xf numFmtId="0" fontId="6" fillId="0" borderId="37" xfId="0" applyFont="1" applyFill="1" applyBorder="1" applyAlignment="1">
      <alignment horizontal="left" vertical="center" wrapText="1"/>
    </xf>
    <xf numFmtId="0" fontId="33" fillId="0" borderId="0" xfId="0" applyFont="1" applyBorder="1" applyAlignment="1">
      <alignment horizontal="center"/>
    </xf>
    <xf numFmtId="0" fontId="14" fillId="3" borderId="18" xfId="0" applyFont="1" applyFill="1" applyBorder="1" applyAlignment="1">
      <alignment horizontal="center" vertical="center"/>
    </xf>
    <xf numFmtId="0" fontId="14" fillId="3" borderId="4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5" fillId="0" borderId="0" xfId="0" applyFont="1"/>
    <xf numFmtId="0" fontId="30" fillId="0" borderId="0" xfId="0" applyFont="1" applyBorder="1" applyAlignment="1">
      <alignment horizontal="center" vertical="center"/>
    </xf>
  </cellXfs>
  <cellStyles count="5">
    <cellStyle name="Encabezado 1" xfId="1" xr:uid="{00000000-0005-0000-0000-000000000000}"/>
    <cellStyle name="Moneda_AUTORIZACION Y NOTA DE PEDIDO" xfId="2" xr:uid="{00000000-0005-0000-0000-000001000000}"/>
    <cellStyle name="Neutral 1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2"/>
  <sheetViews>
    <sheetView zoomScale="85" zoomScaleNormal="85" workbookViewId="0">
      <selection activeCell="H14" sqref="H14"/>
    </sheetView>
  </sheetViews>
  <sheetFormatPr baseColWidth="10" defaultColWidth="11" defaultRowHeight="12.75" x14ac:dyDescent="0.2"/>
  <cols>
    <col min="1" max="1" width="4.5703125" style="22" customWidth="1"/>
    <col min="2" max="2" width="12.85546875" style="22" customWidth="1"/>
    <col min="3" max="3" width="32.42578125" style="22" customWidth="1"/>
    <col min="4" max="4" width="8.42578125" style="22" customWidth="1"/>
    <col min="5" max="5" width="82.28515625" style="22" customWidth="1"/>
    <col min="6" max="6" width="11" style="22"/>
    <col min="7" max="7" width="12.7109375" style="22" customWidth="1"/>
    <col min="8" max="8" width="13.85546875" style="22" customWidth="1"/>
    <col min="9" max="9" width="18.5703125" style="22" customWidth="1"/>
    <col min="10" max="16384" width="11" style="22"/>
  </cols>
  <sheetData>
    <row r="2" spans="1:9" ht="27" x14ac:dyDescent="0.35">
      <c r="B2" s="86" t="s">
        <v>0</v>
      </c>
      <c r="C2" s="86"/>
      <c r="D2" s="86"/>
      <c r="E2" s="86"/>
      <c r="F2" s="86"/>
      <c r="G2" s="86"/>
      <c r="H2" s="86"/>
    </row>
    <row r="4" spans="1:9" ht="18" customHeight="1" x14ac:dyDescent="0.25">
      <c r="A4" s="87" t="s">
        <v>1</v>
      </c>
      <c r="B4" s="87"/>
      <c r="C4" s="88" t="s">
        <v>50</v>
      </c>
      <c r="D4" s="88"/>
      <c r="E4" s="88"/>
      <c r="F4" s="23"/>
      <c r="G4" s="24"/>
      <c r="H4" s="23"/>
    </row>
    <row r="5" spans="1:9" ht="18" customHeight="1" x14ac:dyDescent="0.25">
      <c r="A5" s="87" t="s">
        <v>2</v>
      </c>
      <c r="B5" s="87"/>
      <c r="C5" s="88" t="s">
        <v>112</v>
      </c>
      <c r="D5" s="88"/>
      <c r="E5" s="88"/>
      <c r="F5" s="23"/>
      <c r="G5" s="24"/>
      <c r="H5" s="23"/>
    </row>
    <row r="6" spans="1:9" ht="16.5" customHeight="1" x14ac:dyDescent="0.25">
      <c r="A6" s="87" t="s">
        <v>3</v>
      </c>
      <c r="B6" s="87"/>
      <c r="C6" s="25">
        <v>2021</v>
      </c>
      <c r="D6" s="26"/>
      <c r="E6" s="26"/>
      <c r="F6" s="23"/>
      <c r="G6" s="24"/>
      <c r="H6" s="23"/>
    </row>
    <row r="7" spans="1:9" ht="16.5" customHeight="1" x14ac:dyDescent="0.25">
      <c r="A7" s="87" t="s">
        <v>4</v>
      </c>
      <c r="B7" s="87"/>
      <c r="C7" s="25">
        <v>4</v>
      </c>
      <c r="D7" s="26"/>
      <c r="E7" s="26"/>
      <c r="F7" s="23"/>
      <c r="G7" s="24"/>
      <c r="H7" s="23"/>
    </row>
    <row r="8" spans="1:9" ht="13.5" thickBot="1" x14ac:dyDescent="0.25">
      <c r="B8" s="23"/>
      <c r="C8" s="24"/>
      <c r="D8" s="23"/>
      <c r="E8" s="23"/>
      <c r="F8" s="23"/>
      <c r="G8" s="24"/>
      <c r="H8" s="23"/>
    </row>
    <row r="9" spans="1:9" ht="39.75" thickTop="1" thickBot="1" x14ac:dyDescent="0.25">
      <c r="A9" s="27" t="s">
        <v>5</v>
      </c>
      <c r="B9" s="28" t="s">
        <v>6</v>
      </c>
      <c r="C9" s="28" t="s">
        <v>7</v>
      </c>
      <c r="D9" s="28" t="s">
        <v>8</v>
      </c>
      <c r="E9" s="29" t="s">
        <v>9</v>
      </c>
      <c r="F9" s="30" t="s">
        <v>10</v>
      </c>
      <c r="G9" s="31" t="s">
        <v>11</v>
      </c>
      <c r="H9" s="31" t="s">
        <v>12</v>
      </c>
      <c r="I9" s="31" t="s">
        <v>13</v>
      </c>
    </row>
    <row r="10" spans="1:9" s="53" customFormat="1" ht="26.25" thickBot="1" x14ac:dyDescent="0.25">
      <c r="A10" s="45">
        <v>2</v>
      </c>
      <c r="B10" s="47" t="s">
        <v>44</v>
      </c>
      <c r="C10" s="47" t="s">
        <v>42</v>
      </c>
      <c r="D10" s="46" t="s">
        <v>43</v>
      </c>
      <c r="E10" s="48" t="s">
        <v>45</v>
      </c>
      <c r="F10" s="49" t="s">
        <v>46</v>
      </c>
      <c r="G10" s="50">
        <v>18399</v>
      </c>
      <c r="H10" s="51">
        <v>108.7</v>
      </c>
      <c r="I10" s="52">
        <f>G10*H10</f>
        <v>1999971.3</v>
      </c>
    </row>
    <row r="11" spans="1:9" ht="23.25" customHeight="1" thickBot="1" x14ac:dyDescent="0.25">
      <c r="A11" s="94" t="s">
        <v>117</v>
      </c>
      <c r="B11" s="95"/>
      <c r="C11" s="95"/>
      <c r="D11" s="95"/>
      <c r="E11" s="95"/>
      <c r="F11" s="95"/>
      <c r="G11" s="95"/>
      <c r="H11" s="96"/>
      <c r="I11" s="44">
        <f>SUM(I10:I10)</f>
        <v>1999971.3</v>
      </c>
    </row>
    <row r="12" spans="1:9" ht="45" customHeight="1" thickBot="1" x14ac:dyDescent="0.25"/>
    <row r="13" spans="1:9" ht="31.5" customHeight="1" x14ac:dyDescent="0.2">
      <c r="B13" s="32" t="s">
        <v>14</v>
      </c>
      <c r="C13" s="33"/>
      <c r="D13" s="33"/>
      <c r="E13" s="34"/>
    </row>
    <row r="14" spans="1:9" ht="12.75" customHeight="1" x14ac:dyDescent="0.2">
      <c r="B14" s="35"/>
      <c r="C14" s="97"/>
      <c r="D14" s="97"/>
      <c r="E14" s="98"/>
    </row>
    <row r="15" spans="1:9" ht="60.75" customHeight="1" x14ac:dyDescent="0.2">
      <c r="B15" s="35"/>
      <c r="C15" s="97" t="s">
        <v>116</v>
      </c>
      <c r="D15" s="97"/>
      <c r="E15" s="98"/>
    </row>
    <row r="16" spans="1:9" x14ac:dyDescent="0.2">
      <c r="B16" s="36" t="s">
        <v>47</v>
      </c>
      <c r="C16" s="37"/>
      <c r="D16" s="37"/>
      <c r="E16" s="38"/>
    </row>
    <row r="17" spans="2:5" ht="26.25" customHeight="1" x14ac:dyDescent="0.2">
      <c r="B17" s="35"/>
      <c r="C17" s="89" t="s">
        <v>113</v>
      </c>
      <c r="D17" s="89"/>
      <c r="E17" s="90"/>
    </row>
    <row r="18" spans="2:5" ht="36.75" customHeight="1" x14ac:dyDescent="0.2">
      <c r="B18" s="36" t="s">
        <v>15</v>
      </c>
      <c r="C18" s="39"/>
      <c r="D18" s="39"/>
      <c r="E18" s="40"/>
    </row>
    <row r="19" spans="2:5" ht="26.25" customHeight="1" x14ac:dyDescent="0.2">
      <c r="B19" s="35"/>
      <c r="C19" s="91" t="s">
        <v>114</v>
      </c>
      <c r="D19" s="91"/>
      <c r="E19" s="92"/>
    </row>
    <row r="20" spans="2:5" x14ac:dyDescent="0.2">
      <c r="B20" s="36" t="s">
        <v>48</v>
      </c>
      <c r="C20" s="37"/>
      <c r="D20" s="37"/>
      <c r="E20" s="38"/>
    </row>
    <row r="21" spans="2:5" ht="23.25" customHeight="1" x14ac:dyDescent="0.2">
      <c r="B21" s="36"/>
      <c r="C21" s="93"/>
      <c r="D21" s="93"/>
      <c r="E21" s="93"/>
    </row>
    <row r="22" spans="2:5" ht="13.5" thickBot="1" x14ac:dyDescent="0.25">
      <c r="B22" s="41"/>
      <c r="C22" s="42"/>
      <c r="D22" s="42"/>
      <c r="E22" s="43"/>
    </row>
  </sheetData>
  <mergeCells count="13">
    <mergeCell ref="C17:E17"/>
    <mergeCell ref="C19:E19"/>
    <mergeCell ref="C21:E21"/>
    <mergeCell ref="A6:B6"/>
    <mergeCell ref="A11:H11"/>
    <mergeCell ref="A7:B7"/>
    <mergeCell ref="C14:E14"/>
    <mergeCell ref="C15:E15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"/>
  <sheetViews>
    <sheetView tabSelected="1" zoomScale="115" zoomScaleNormal="115" workbookViewId="0">
      <selection activeCell="R19" sqref="R19"/>
    </sheetView>
  </sheetViews>
  <sheetFormatPr baseColWidth="10" defaultColWidth="11" defaultRowHeight="13.5" x14ac:dyDescent="0.25"/>
  <cols>
    <col min="1" max="5" width="4.42578125" style="1" customWidth="1"/>
    <col min="6" max="6" width="5.14062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24.140625" style="1" customWidth="1"/>
    <col min="18" max="18" width="11" style="1"/>
    <col min="19" max="19" width="11.7109375" style="1" bestFit="1" customWidth="1"/>
    <col min="20" max="16384" width="11" style="1"/>
  </cols>
  <sheetData>
    <row r="1" spans="1:17" ht="15.75" customHeight="1" x14ac:dyDescent="0.25">
      <c r="A1" s="107" t="s">
        <v>3</v>
      </c>
      <c r="B1" s="107"/>
      <c r="C1" s="107"/>
      <c r="D1" s="108">
        <v>2021</v>
      </c>
      <c r="E1" s="108"/>
      <c r="F1" s="3"/>
      <c r="G1" s="3"/>
      <c r="H1" s="4"/>
      <c r="I1" s="4"/>
      <c r="J1" s="4"/>
      <c r="K1" s="4"/>
      <c r="L1" s="4"/>
      <c r="M1" s="4"/>
      <c r="N1" s="4"/>
      <c r="P1" s="109" t="s">
        <v>16</v>
      </c>
      <c r="Q1" s="109"/>
    </row>
    <row r="2" spans="1:17" ht="15.75" customHeight="1" x14ac:dyDescent="0.25">
      <c r="H2" s="4"/>
      <c r="I2" s="4"/>
      <c r="J2" s="4"/>
      <c r="K2" s="4"/>
      <c r="L2" s="4"/>
      <c r="M2" s="4"/>
      <c r="N2" s="4"/>
      <c r="P2" s="109"/>
      <c r="Q2" s="109"/>
    </row>
    <row r="4" spans="1:17" ht="18" customHeight="1" thickBot="1" x14ac:dyDescent="0.35">
      <c r="A4" s="110" t="s">
        <v>17</v>
      </c>
      <c r="B4" s="110"/>
      <c r="C4" s="110"/>
      <c r="D4" s="110"/>
      <c r="E4" s="110"/>
      <c r="F4" s="110"/>
      <c r="G4" s="106" t="str">
        <f>+COMBUSTIBLE!C4</f>
        <v>MINISTERIO DE SEGURIDAD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spans="1:17" ht="18" customHeight="1" thickBot="1" x14ac:dyDescent="0.35">
      <c r="A5" s="102" t="s">
        <v>38</v>
      </c>
      <c r="B5" s="103"/>
      <c r="C5" s="103"/>
      <c r="D5" s="103"/>
      <c r="E5" s="103"/>
      <c r="F5" s="104"/>
      <c r="G5" s="83" t="str">
        <f>+COMBUSTIBLE!C5</f>
        <v>SAF 19 - DIRECCION PROVINCIAL DE ADM. Y RR.HH. DEL MINISTERIO DE SEGURIDAD</v>
      </c>
      <c r="H5" s="84"/>
      <c r="I5" s="84"/>
      <c r="J5" s="84"/>
      <c r="K5" s="84"/>
      <c r="L5" s="84"/>
      <c r="M5" s="84"/>
      <c r="N5" s="84"/>
      <c r="O5" s="84"/>
      <c r="P5" s="84"/>
      <c r="Q5" s="85"/>
    </row>
    <row r="6" spans="1:17" ht="18" customHeight="1" thickBot="1" x14ac:dyDescent="0.35">
      <c r="A6" s="102" t="s">
        <v>18</v>
      </c>
      <c r="B6" s="103"/>
      <c r="C6" s="103"/>
      <c r="D6" s="103"/>
      <c r="E6" s="103"/>
      <c r="F6" s="104"/>
      <c r="G6" s="106" t="s">
        <v>50</v>
      </c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17" ht="18" customHeight="1" thickBot="1" x14ac:dyDescent="0.35">
      <c r="A7" s="102" t="s">
        <v>39</v>
      </c>
      <c r="B7" s="103"/>
      <c r="C7" s="103"/>
      <c r="D7" s="103"/>
      <c r="E7" s="103"/>
      <c r="F7" s="104"/>
      <c r="G7" s="106" t="s">
        <v>50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8" spans="1:17" ht="18" customHeight="1" thickBot="1" x14ac:dyDescent="0.3">
      <c r="A8" s="105" t="s">
        <v>40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</row>
    <row r="9" spans="1:17" ht="18" customHeight="1" x14ac:dyDescent="0.3">
      <c r="A9" s="99" t="s">
        <v>19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2"/>
      <c r="P9" s="2"/>
      <c r="Q9" s="6"/>
    </row>
    <row r="10" spans="1:17" ht="65.25" customHeight="1" x14ac:dyDescent="0.25">
      <c r="A10" s="100" t="s">
        <v>49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5">
      <c r="A12" s="101" t="s">
        <v>20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</row>
    <row r="13" spans="1:17" ht="15.75" customHeight="1" x14ac:dyDescent="0.25">
      <c r="A13" s="114" t="s">
        <v>21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22</v>
      </c>
      <c r="P13" s="115"/>
      <c r="Q13" s="116" t="s">
        <v>23</v>
      </c>
    </row>
    <row r="14" spans="1:17" ht="15.75" customHeight="1" thickBot="1" x14ac:dyDescent="0.3">
      <c r="A14" s="11" t="s">
        <v>24</v>
      </c>
      <c r="B14" s="12" t="s">
        <v>25</v>
      </c>
      <c r="C14" s="12" t="s">
        <v>26</v>
      </c>
      <c r="D14" s="12" t="s">
        <v>27</v>
      </c>
      <c r="E14" s="12" t="s">
        <v>28</v>
      </c>
      <c r="F14" s="12" t="s">
        <v>29</v>
      </c>
      <c r="G14" s="13" t="s">
        <v>30</v>
      </c>
      <c r="H14" s="12" t="s">
        <v>31</v>
      </c>
      <c r="I14" s="12" t="s">
        <v>32</v>
      </c>
      <c r="J14" s="12" t="s">
        <v>33</v>
      </c>
      <c r="K14" s="12" t="s">
        <v>33</v>
      </c>
      <c r="L14" s="12" t="s">
        <v>34</v>
      </c>
      <c r="M14" s="14" t="s">
        <v>35</v>
      </c>
      <c r="N14" s="15" t="s">
        <v>36</v>
      </c>
      <c r="O14" s="115"/>
      <c r="P14" s="115"/>
      <c r="Q14" s="116"/>
    </row>
    <row r="15" spans="1:17" ht="15.75" customHeight="1" thickBot="1" x14ac:dyDescent="0.3">
      <c r="A15" s="17">
        <v>1</v>
      </c>
      <c r="B15" s="18">
        <v>0</v>
      </c>
      <c r="C15" s="18">
        <v>0</v>
      </c>
      <c r="D15" s="18">
        <v>1</v>
      </c>
      <c r="E15" s="18">
        <v>0</v>
      </c>
      <c r="F15" s="18">
        <v>4901</v>
      </c>
      <c r="G15" s="18">
        <v>2</v>
      </c>
      <c r="H15" s="18">
        <v>1</v>
      </c>
      <c r="I15" s="18">
        <v>2</v>
      </c>
      <c r="J15" s="18">
        <v>5</v>
      </c>
      <c r="K15" s="18">
        <v>6</v>
      </c>
      <c r="L15" s="18">
        <v>0</v>
      </c>
      <c r="M15" s="19">
        <v>1</v>
      </c>
      <c r="N15" s="18" t="s">
        <v>41</v>
      </c>
      <c r="O15" s="121" t="s">
        <v>42</v>
      </c>
      <c r="P15" s="122"/>
      <c r="Q15" s="20">
        <v>1000000</v>
      </c>
    </row>
    <row r="16" spans="1:17" ht="15.75" customHeight="1" thickBot="1" x14ac:dyDescent="0.3">
      <c r="A16" s="17">
        <v>1</v>
      </c>
      <c r="B16" s="18">
        <v>0</v>
      </c>
      <c r="C16" s="18">
        <v>0</v>
      </c>
      <c r="D16" s="18">
        <v>3</v>
      </c>
      <c r="E16" s="18">
        <v>0</v>
      </c>
      <c r="F16" s="18">
        <v>4901</v>
      </c>
      <c r="G16" s="18">
        <v>2</v>
      </c>
      <c r="H16" s="18">
        <v>1</v>
      </c>
      <c r="I16" s="18">
        <v>2</v>
      </c>
      <c r="J16" s="18">
        <v>5</v>
      </c>
      <c r="K16" s="18">
        <v>6</v>
      </c>
      <c r="L16" s="18">
        <v>0</v>
      </c>
      <c r="M16" s="19">
        <v>1</v>
      </c>
      <c r="N16" s="18" t="s">
        <v>41</v>
      </c>
      <c r="O16" s="121" t="s">
        <v>42</v>
      </c>
      <c r="P16" s="122"/>
      <c r="Q16" s="20">
        <v>500000</v>
      </c>
    </row>
    <row r="17" spans="1:19" ht="17.25" customHeight="1" thickBot="1" x14ac:dyDescent="0.3">
      <c r="A17" s="17">
        <v>1</v>
      </c>
      <c r="B17" s="18">
        <v>0</v>
      </c>
      <c r="C17" s="18">
        <v>0</v>
      </c>
      <c r="D17" s="18">
        <v>4</v>
      </c>
      <c r="E17" s="18">
        <v>0</v>
      </c>
      <c r="F17" s="18">
        <v>10</v>
      </c>
      <c r="G17" s="18">
        <v>2</v>
      </c>
      <c r="H17" s="18">
        <v>1</v>
      </c>
      <c r="I17" s="18">
        <v>2</v>
      </c>
      <c r="J17" s="18">
        <v>5</v>
      </c>
      <c r="K17" s="18">
        <v>6</v>
      </c>
      <c r="L17" s="18">
        <v>0</v>
      </c>
      <c r="M17" s="19">
        <v>1</v>
      </c>
      <c r="N17" s="18" t="s">
        <v>41</v>
      </c>
      <c r="O17" s="121" t="s">
        <v>42</v>
      </c>
      <c r="P17" s="122"/>
      <c r="Q17" s="20">
        <v>499971.3</v>
      </c>
      <c r="S17" s="21"/>
    </row>
    <row r="18" spans="1:19" ht="28.5" customHeight="1" thickBot="1" x14ac:dyDescent="0.3">
      <c r="A18" s="112" t="str">
        <f>+COMBUSTIBLE!A11</f>
        <v>COSTO ESTIMADO TOTAL: Un Millon Novecientos Noventa y Nueve  Mil Novecientos Setenta y Uno con 30/100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6">
        <f>SUM(Q15:Q17)</f>
        <v>1999971.3</v>
      </c>
    </row>
    <row r="19" spans="1:19" ht="18" customHeight="1" thickBot="1" x14ac:dyDescent="0.3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</row>
    <row r="20" spans="1:19" ht="17.25" customHeight="1" thickBot="1" x14ac:dyDescent="0.3">
      <c r="A20" s="117" t="s">
        <v>37</v>
      </c>
      <c r="B20" s="118"/>
      <c r="C20" s="118"/>
      <c r="D20" s="118"/>
      <c r="E20" s="118"/>
      <c r="F20" s="119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</row>
    <row r="21" spans="1:19" ht="18" customHeight="1" thickBot="1" x14ac:dyDescent="0.3">
      <c r="A21" s="111" t="s">
        <v>115</v>
      </c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</row>
    <row r="22" spans="1:19" ht="15" customHeight="1" x14ac:dyDescent="0.25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</row>
  </sheetData>
  <mergeCells count="25">
    <mergeCell ref="A21:Q22"/>
    <mergeCell ref="A18:P18"/>
    <mergeCell ref="A19:Q19"/>
    <mergeCell ref="A13:N13"/>
    <mergeCell ref="O13:P14"/>
    <mergeCell ref="Q13:Q14"/>
    <mergeCell ref="A20:F20"/>
    <mergeCell ref="G20:Q20"/>
    <mergeCell ref="O17:P17"/>
    <mergeCell ref="O15:P15"/>
    <mergeCell ref="O16:P16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A8:Q8"/>
    <mergeCell ref="A6:F6"/>
    <mergeCell ref="G6:Q6"/>
    <mergeCell ref="A7:F7"/>
    <mergeCell ref="G7:Q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4"/>
  <sheetViews>
    <sheetView topLeftCell="A19" workbookViewId="0">
      <selection activeCell="H6" sqref="H6"/>
    </sheetView>
  </sheetViews>
  <sheetFormatPr baseColWidth="10" defaultRowHeight="12.75" x14ac:dyDescent="0.2"/>
  <cols>
    <col min="1" max="1" width="6.7109375" customWidth="1"/>
    <col min="2" max="2" width="49.85546875" customWidth="1"/>
    <col min="3" max="3" width="23.85546875" customWidth="1"/>
    <col min="4" max="4" width="13.140625" customWidth="1"/>
    <col min="5" max="5" width="11.7109375" customWidth="1"/>
    <col min="6" max="6" width="11.42578125" style="81"/>
  </cols>
  <sheetData>
    <row r="1" spans="1:19" ht="21.75" customHeight="1" thickBot="1" x14ac:dyDescent="0.25">
      <c r="A1" s="124" t="s">
        <v>51</v>
      </c>
      <c r="B1" s="125"/>
      <c r="C1" s="125"/>
      <c r="D1" s="125"/>
      <c r="E1" s="125"/>
      <c r="F1" s="126"/>
    </row>
    <row r="2" spans="1:19" ht="24.75" customHeight="1" thickBot="1" x14ac:dyDescent="0.3">
      <c r="A2" s="54" t="s">
        <v>52</v>
      </c>
      <c r="B2" s="55" t="s">
        <v>53</v>
      </c>
      <c r="C2" s="56" t="s">
        <v>54</v>
      </c>
      <c r="D2" s="56" t="s">
        <v>55</v>
      </c>
      <c r="E2" s="56" t="s">
        <v>56</v>
      </c>
      <c r="F2" s="57" t="s">
        <v>57</v>
      </c>
      <c r="I2" s="127"/>
      <c r="J2" s="127"/>
      <c r="K2" s="127"/>
      <c r="L2" s="127"/>
      <c r="M2" s="127"/>
      <c r="N2" s="127"/>
      <c r="O2" s="127"/>
      <c r="P2" s="128"/>
      <c r="Q2" s="128"/>
      <c r="R2" s="129"/>
      <c r="S2" s="129"/>
    </row>
    <row r="3" spans="1:19" ht="20.100000000000001" customHeight="1" x14ac:dyDescent="0.2">
      <c r="A3" s="58">
        <v>1</v>
      </c>
      <c r="B3" s="59" t="s">
        <v>58</v>
      </c>
      <c r="C3" s="82" t="s">
        <v>59</v>
      </c>
      <c r="D3" s="60">
        <v>2017</v>
      </c>
      <c r="E3" s="61" t="s">
        <v>60</v>
      </c>
      <c r="F3" s="60">
        <v>739</v>
      </c>
      <c r="I3" s="130"/>
      <c r="J3" s="130"/>
      <c r="K3" s="130"/>
      <c r="L3" s="130"/>
      <c r="M3" s="130"/>
      <c r="N3" s="130"/>
      <c r="O3" s="130"/>
      <c r="P3" s="128"/>
      <c r="Q3" s="128"/>
      <c r="R3" s="129"/>
      <c r="S3" s="129"/>
    </row>
    <row r="4" spans="1:19" ht="20.100000000000001" customHeight="1" x14ac:dyDescent="0.2">
      <c r="A4" s="62">
        <v>2</v>
      </c>
      <c r="B4" s="63" t="s">
        <v>61</v>
      </c>
      <c r="C4" s="64" t="s">
        <v>59</v>
      </c>
      <c r="D4" s="65">
        <v>2009</v>
      </c>
      <c r="E4" s="66" t="s">
        <v>62</v>
      </c>
      <c r="F4" s="60">
        <v>766</v>
      </c>
      <c r="I4" s="123"/>
      <c r="J4" s="123"/>
      <c r="K4" s="123"/>
      <c r="L4" s="123"/>
      <c r="M4" s="123"/>
      <c r="N4" s="123"/>
      <c r="O4" s="123"/>
    </row>
    <row r="5" spans="1:19" ht="20.100000000000001" customHeight="1" x14ac:dyDescent="0.2">
      <c r="A5" s="62">
        <v>3</v>
      </c>
      <c r="B5" s="63" t="s">
        <v>63</v>
      </c>
      <c r="C5" s="64" t="s">
        <v>59</v>
      </c>
      <c r="D5" s="65">
        <v>2004</v>
      </c>
      <c r="E5" s="66" t="s">
        <v>64</v>
      </c>
      <c r="F5" s="60">
        <v>766</v>
      </c>
      <c r="I5" s="67"/>
      <c r="J5" s="67"/>
      <c r="K5" s="67"/>
      <c r="L5" s="67"/>
      <c r="M5" s="67"/>
      <c r="N5" s="67"/>
      <c r="O5" s="67"/>
    </row>
    <row r="6" spans="1:19" ht="20.100000000000001" customHeight="1" x14ac:dyDescent="0.2">
      <c r="A6" s="62">
        <v>4</v>
      </c>
      <c r="B6" s="63" t="s">
        <v>65</v>
      </c>
      <c r="C6" s="64" t="s">
        <v>59</v>
      </c>
      <c r="D6" s="65">
        <v>2004</v>
      </c>
      <c r="E6" s="66" t="s">
        <v>66</v>
      </c>
      <c r="F6" s="60">
        <v>766</v>
      </c>
    </row>
    <row r="7" spans="1:19" ht="20.100000000000001" customHeight="1" x14ac:dyDescent="0.2">
      <c r="A7" s="62">
        <v>5</v>
      </c>
      <c r="B7" s="63" t="s">
        <v>67</v>
      </c>
      <c r="C7" s="64" t="s">
        <v>59</v>
      </c>
      <c r="D7" s="65">
        <v>2004</v>
      </c>
      <c r="E7" s="66" t="s">
        <v>68</v>
      </c>
      <c r="F7" s="60">
        <v>766</v>
      </c>
    </row>
    <row r="8" spans="1:19" ht="20.100000000000001" customHeight="1" x14ac:dyDescent="0.2">
      <c r="A8" s="62">
        <v>6</v>
      </c>
      <c r="B8" s="63" t="s">
        <v>69</v>
      </c>
      <c r="C8" s="64" t="s">
        <v>59</v>
      </c>
      <c r="D8" s="65">
        <v>2008</v>
      </c>
      <c r="E8" s="66" t="s">
        <v>70</v>
      </c>
      <c r="F8" s="60">
        <v>766</v>
      </c>
    </row>
    <row r="9" spans="1:19" ht="20.100000000000001" customHeight="1" x14ac:dyDescent="0.2">
      <c r="A9" s="62">
        <v>7</v>
      </c>
      <c r="B9" s="63" t="s">
        <v>71</v>
      </c>
      <c r="C9" s="64" t="s">
        <v>59</v>
      </c>
      <c r="D9" s="65">
        <v>2013</v>
      </c>
      <c r="E9" s="66" t="s">
        <v>72</v>
      </c>
      <c r="F9" s="60">
        <v>766</v>
      </c>
    </row>
    <row r="10" spans="1:19" ht="20.100000000000001" customHeight="1" x14ac:dyDescent="0.2">
      <c r="A10" s="62">
        <v>8</v>
      </c>
      <c r="B10" s="63" t="s">
        <v>73</v>
      </c>
      <c r="C10" s="64" t="s">
        <v>59</v>
      </c>
      <c r="D10" s="65">
        <v>2018</v>
      </c>
      <c r="E10" s="66" t="s">
        <v>74</v>
      </c>
      <c r="F10" s="60">
        <v>766</v>
      </c>
    </row>
    <row r="11" spans="1:19" ht="20.100000000000001" customHeight="1" x14ac:dyDescent="0.2">
      <c r="A11" s="62">
        <v>9</v>
      </c>
      <c r="B11" s="63" t="s">
        <v>75</v>
      </c>
      <c r="C11" s="64" t="s">
        <v>59</v>
      </c>
      <c r="D11" s="65">
        <v>2018</v>
      </c>
      <c r="E11" s="66" t="s">
        <v>76</v>
      </c>
      <c r="F11" s="60">
        <v>766</v>
      </c>
    </row>
    <row r="12" spans="1:19" ht="20.100000000000001" customHeight="1" x14ac:dyDescent="0.2">
      <c r="A12" s="62">
        <v>10</v>
      </c>
      <c r="B12" s="63" t="s">
        <v>77</v>
      </c>
      <c r="C12" s="64" t="s">
        <v>59</v>
      </c>
      <c r="D12" s="65">
        <v>2008</v>
      </c>
      <c r="E12" s="66" t="s">
        <v>78</v>
      </c>
      <c r="F12" s="60">
        <v>766</v>
      </c>
    </row>
    <row r="13" spans="1:19" ht="20.100000000000001" customHeight="1" x14ac:dyDescent="0.2">
      <c r="A13" s="62">
        <v>11</v>
      </c>
      <c r="B13" s="63" t="s">
        <v>79</v>
      </c>
      <c r="C13" s="64" t="s">
        <v>59</v>
      </c>
      <c r="D13" s="65">
        <v>2008</v>
      </c>
      <c r="E13" s="66" t="s">
        <v>80</v>
      </c>
      <c r="F13" s="60">
        <v>766</v>
      </c>
    </row>
    <row r="14" spans="1:19" ht="20.100000000000001" customHeight="1" x14ac:dyDescent="0.2">
      <c r="A14" s="62">
        <v>12</v>
      </c>
      <c r="B14" s="68" t="s">
        <v>81</v>
      </c>
      <c r="C14" s="69" t="s">
        <v>82</v>
      </c>
      <c r="D14" s="70">
        <v>2015</v>
      </c>
      <c r="E14" s="68" t="s">
        <v>83</v>
      </c>
      <c r="F14" s="60">
        <v>500</v>
      </c>
    </row>
    <row r="15" spans="1:19" ht="20.100000000000001" customHeight="1" x14ac:dyDescent="0.2">
      <c r="A15" s="62">
        <v>13</v>
      </c>
      <c r="B15" s="68" t="s">
        <v>84</v>
      </c>
      <c r="C15" s="69" t="s">
        <v>82</v>
      </c>
      <c r="D15" s="70">
        <v>2012</v>
      </c>
      <c r="E15" s="68" t="s">
        <v>85</v>
      </c>
      <c r="F15" s="60">
        <v>500</v>
      </c>
    </row>
    <row r="16" spans="1:19" ht="20.100000000000001" customHeight="1" x14ac:dyDescent="0.2">
      <c r="A16" s="62">
        <v>14</v>
      </c>
      <c r="B16" s="68" t="s">
        <v>86</v>
      </c>
      <c r="C16" s="69" t="s">
        <v>87</v>
      </c>
      <c r="D16" s="70">
        <v>2015</v>
      </c>
      <c r="E16" s="68" t="s">
        <v>88</v>
      </c>
      <c r="F16" s="60">
        <v>500</v>
      </c>
    </row>
    <row r="17" spans="1:10" ht="15" x14ac:dyDescent="0.2">
      <c r="A17" s="62">
        <v>15</v>
      </c>
      <c r="B17" s="68" t="s">
        <v>89</v>
      </c>
      <c r="C17" s="69" t="s">
        <v>87</v>
      </c>
      <c r="D17" s="70">
        <v>2015</v>
      </c>
      <c r="E17" s="68" t="s">
        <v>90</v>
      </c>
      <c r="F17" s="60">
        <v>500</v>
      </c>
    </row>
    <row r="18" spans="1:10" ht="15" x14ac:dyDescent="0.2">
      <c r="A18" s="62">
        <v>16</v>
      </c>
      <c r="B18" s="68" t="s">
        <v>91</v>
      </c>
      <c r="C18" s="69" t="s">
        <v>87</v>
      </c>
      <c r="D18" s="70">
        <v>2010</v>
      </c>
      <c r="E18" s="68" t="s">
        <v>92</v>
      </c>
      <c r="F18" s="60">
        <v>500</v>
      </c>
    </row>
    <row r="19" spans="1:10" ht="15" x14ac:dyDescent="0.2">
      <c r="A19" s="62">
        <v>17</v>
      </c>
      <c r="B19" s="68" t="s">
        <v>93</v>
      </c>
      <c r="C19" s="69" t="s">
        <v>87</v>
      </c>
      <c r="D19" s="70">
        <v>1998</v>
      </c>
      <c r="E19" s="68" t="s">
        <v>94</v>
      </c>
      <c r="F19" s="60">
        <v>500</v>
      </c>
    </row>
    <row r="20" spans="1:10" ht="15" x14ac:dyDescent="0.2">
      <c r="A20" s="62">
        <v>18</v>
      </c>
      <c r="B20" s="68" t="s">
        <v>95</v>
      </c>
      <c r="C20" s="69" t="s">
        <v>96</v>
      </c>
      <c r="D20" s="70">
        <v>2008</v>
      </c>
      <c r="E20" s="68" t="s">
        <v>97</v>
      </c>
      <c r="F20" s="60">
        <v>1000</v>
      </c>
    </row>
    <row r="21" spans="1:10" ht="15" x14ac:dyDescent="0.2">
      <c r="A21" s="62">
        <v>19</v>
      </c>
      <c r="B21" s="68" t="s">
        <v>98</v>
      </c>
      <c r="C21" s="69" t="s">
        <v>99</v>
      </c>
      <c r="D21" s="70">
        <v>2011</v>
      </c>
      <c r="E21" s="68" t="s">
        <v>100</v>
      </c>
      <c r="F21" s="60">
        <v>1000</v>
      </c>
    </row>
    <row r="22" spans="1:10" ht="15" x14ac:dyDescent="0.2">
      <c r="A22" s="62">
        <v>20</v>
      </c>
      <c r="B22" s="68" t="s">
        <v>101</v>
      </c>
      <c r="C22" s="69" t="s">
        <v>99</v>
      </c>
      <c r="D22" s="70">
        <v>2013</v>
      </c>
      <c r="E22" s="68" t="s">
        <v>102</v>
      </c>
      <c r="F22" s="60">
        <v>1000</v>
      </c>
    </row>
    <row r="23" spans="1:10" ht="15" x14ac:dyDescent="0.2">
      <c r="A23" s="62">
        <v>21</v>
      </c>
      <c r="B23" s="68" t="s">
        <v>103</v>
      </c>
      <c r="C23" s="69" t="s">
        <v>99</v>
      </c>
      <c r="D23" s="70">
        <v>2013</v>
      </c>
      <c r="E23" s="68" t="s">
        <v>104</v>
      </c>
      <c r="F23" s="60">
        <v>1000</v>
      </c>
    </row>
    <row r="24" spans="1:10" ht="15" x14ac:dyDescent="0.2">
      <c r="A24" s="62">
        <v>22</v>
      </c>
      <c r="B24" s="68" t="s">
        <v>105</v>
      </c>
      <c r="C24" s="69" t="s">
        <v>99</v>
      </c>
      <c r="D24" s="70">
        <v>2018</v>
      </c>
      <c r="E24" s="68" t="s">
        <v>106</v>
      </c>
      <c r="F24" s="60">
        <v>1000</v>
      </c>
    </row>
    <row r="25" spans="1:10" ht="15" x14ac:dyDescent="0.2">
      <c r="A25" s="62">
        <v>23</v>
      </c>
      <c r="B25" s="68" t="s">
        <v>107</v>
      </c>
      <c r="C25" s="69" t="s">
        <v>99</v>
      </c>
      <c r="D25" s="70">
        <v>2012</v>
      </c>
      <c r="E25" s="68" t="s">
        <v>108</v>
      </c>
      <c r="F25" s="60">
        <v>1000</v>
      </c>
      <c r="J25" s="71"/>
    </row>
    <row r="26" spans="1:10" ht="15.75" thickBot="1" x14ac:dyDescent="0.25">
      <c r="A26" s="72">
        <v>24</v>
      </c>
      <c r="B26" s="73" t="s">
        <v>109</v>
      </c>
      <c r="C26" s="74" t="s">
        <v>99</v>
      </c>
      <c r="D26" s="75">
        <v>2014</v>
      </c>
      <c r="E26" s="73" t="s">
        <v>110</v>
      </c>
      <c r="F26" s="60">
        <v>1000</v>
      </c>
    </row>
    <row r="27" spans="1:10" ht="13.5" thickBot="1" x14ac:dyDescent="0.25">
      <c r="A27" s="76"/>
      <c r="B27" s="77" t="s">
        <v>111</v>
      </c>
      <c r="C27" s="78"/>
      <c r="D27" s="78"/>
      <c r="E27" s="78"/>
      <c r="F27" s="79">
        <f>SUM(F3:F26)</f>
        <v>18399</v>
      </c>
    </row>
    <row r="33" spans="3:3" customFormat="1" ht="13.5" thickBot="1" x14ac:dyDescent="0.25"/>
    <row r="34" spans="3:3" customFormat="1" ht="13.5" thickBot="1" x14ac:dyDescent="0.25">
      <c r="C34" s="80"/>
    </row>
  </sheetData>
  <mergeCells count="6">
    <mergeCell ref="I4:O4"/>
    <mergeCell ref="A1:F1"/>
    <mergeCell ref="I2:O2"/>
    <mergeCell ref="P2:Q3"/>
    <mergeCell ref="R2:S3"/>
    <mergeCell ref="I3:O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K30" sqref="K30"/>
    </sheetView>
  </sheetViews>
  <sheetFormatPr baseColWidth="10" defaultRowHeight="12.75" x14ac:dyDescent="0.2"/>
  <cols>
    <col min="2" max="6" width="3.7109375" customWidth="1"/>
    <col min="7" max="7" width="4.28515625" customWidth="1"/>
    <col min="8" max="15" width="3.7109375" customWidth="1"/>
    <col min="16" max="16" width="18.28515625" customWidth="1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COMBUSTIBLE</vt:lpstr>
      <vt:lpstr>Autor Gastar</vt:lpstr>
      <vt:lpstr>PARQUE AUTOMOTOR</vt:lpstr>
      <vt:lpstr>Hoja1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Secretaria1</dc:creator>
  <cp:lastModifiedBy>RODOLFO SARTOR</cp:lastModifiedBy>
  <cp:revision>2</cp:revision>
  <cp:lastPrinted>2021-10-28T13:38:57Z</cp:lastPrinted>
  <dcterms:created xsi:type="dcterms:W3CDTF">2020-07-17T23:44:49Z</dcterms:created>
  <dcterms:modified xsi:type="dcterms:W3CDTF">2021-11-03T15:02:28Z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