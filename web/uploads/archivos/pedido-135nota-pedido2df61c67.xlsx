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3EEAC75-3997-4D82-86B2-0072F37069CC}" xr6:coauthVersionLast="46" xr6:coauthVersionMax="46" xr10:uidLastSave="{00000000-0000-0000-0000-000000000000}"/>
  <bookViews>
    <workbookView xWindow="-120" yWindow="-120" windowWidth="29040" windowHeight="15840" tabRatio="938" xr2:uid="{00000000-000D-0000-FFFF-FFFF00000000}"/>
  </bookViews>
  <sheets>
    <sheet name="NECESIDADES TRIMESTRALES" sheetId="2" r:id="rId1"/>
    <sheet name="NP - MHP" sheetId="3" r:id="rId2"/>
    <sheet name="APG - MHP" sheetId="4" r:id="rId3"/>
    <sheet name="NP - SAF" sheetId="5" r:id="rId4"/>
    <sheet name="APG - SAF" sheetId="6" r:id="rId5"/>
    <sheet name="NP - SCyA" sheetId="7" r:id="rId6"/>
    <sheet name="APG - SCyA" sheetId="8" r:id="rId7"/>
    <sheet name="NP - FINANZAS" sheetId="9" r:id="rId8"/>
    <sheet name="APG - FINANZAS" sheetId="10" r:id="rId9"/>
    <sheet name="NP - TGP" sheetId="11" r:id="rId10"/>
    <sheet name="APG - TGP" sheetId="12" r:id="rId11"/>
    <sheet name="NP - SSP" sheetId="14" r:id="rId12"/>
    <sheet name="APG - SSP" sheetId="15" r:id="rId13"/>
    <sheet name="NP - CGP" sheetId="16" r:id="rId14"/>
    <sheet name="APG - CGP" sheetId="17" r:id="rId15"/>
    <sheet name="NP - CAU" sheetId="18" r:id="rId16"/>
    <sheet name="APG - CAU" sheetId="19" r:id="rId17"/>
    <sheet name="NP - CP" sheetId="20" r:id="rId18"/>
    <sheet name="APG - CP" sheetId="21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81029"/>
</workbook>
</file>

<file path=xl/calcChain.xml><?xml version="1.0" encoding="utf-8"?>
<calcChain xmlns="http://schemas.openxmlformats.org/spreadsheetml/2006/main">
  <c r="I21" i="2" l="1"/>
  <c r="Q22" i="8"/>
  <c r="A10" i="8"/>
  <c r="D1" i="8"/>
  <c r="G12" i="2"/>
  <c r="G8" i="2"/>
  <c r="G14" i="20"/>
  <c r="F13" i="20"/>
  <c r="H12" i="20"/>
  <c r="H11" i="20"/>
  <c r="Q19" i="21"/>
  <c r="G16" i="18" l="1"/>
  <c r="H14" i="18"/>
  <c r="F15" i="18"/>
  <c r="H13" i="18"/>
  <c r="H12" i="18"/>
  <c r="H11" i="18"/>
  <c r="Q19" i="19" l="1"/>
  <c r="G11" i="2"/>
  <c r="G15" i="16"/>
  <c r="H12" i="16"/>
  <c r="H11" i="16"/>
  <c r="Q23" i="17"/>
  <c r="H13" i="16" l="1"/>
  <c r="F14" i="16" s="1"/>
  <c r="Q18" i="15" l="1"/>
  <c r="D1" i="15"/>
  <c r="G15" i="14"/>
  <c r="H13" i="14"/>
  <c r="H12" i="14"/>
  <c r="H11" i="14"/>
  <c r="F14" i="14" l="1"/>
  <c r="G20" i="2"/>
  <c r="G19" i="2"/>
  <c r="G18" i="2"/>
  <c r="G17" i="2"/>
  <c r="G16" i="2"/>
  <c r="G15" i="2"/>
  <c r="G14" i="2"/>
  <c r="G13" i="2"/>
  <c r="G16" i="11"/>
  <c r="F15" i="11"/>
  <c r="H11" i="11"/>
  <c r="H12" i="11"/>
  <c r="H13" i="11"/>
  <c r="H14" i="11"/>
  <c r="Q22" i="12"/>
  <c r="Q18" i="10" l="1"/>
  <c r="D1" i="10"/>
  <c r="G10" i="2"/>
  <c r="G9" i="2"/>
  <c r="G16" i="9" l="1"/>
  <c r="G21" i="7"/>
  <c r="G21" i="2" s="1"/>
  <c r="Q18" i="6" l="1"/>
  <c r="D1" i="6"/>
  <c r="G16" i="5" l="1"/>
  <c r="G16" i="3"/>
  <c r="Q18" i="4"/>
  <c r="D1" i="4"/>
  <c r="H14" i="3"/>
  <c r="H13" i="3"/>
  <c r="H12" i="3"/>
  <c r="H11" i="3"/>
  <c r="F15" i="3" l="1"/>
  <c r="I11" i="2"/>
  <c r="H14" i="9" l="1"/>
  <c r="H13" i="9"/>
  <c r="H12" i="9"/>
  <c r="H11" i="9"/>
  <c r="F15" i="9" l="1"/>
  <c r="H19" i="7"/>
  <c r="H18" i="7"/>
  <c r="H17" i="7"/>
  <c r="H16" i="7"/>
  <c r="H15" i="7"/>
  <c r="H14" i="7"/>
  <c r="H13" i="7"/>
  <c r="H12" i="7"/>
  <c r="H11" i="7"/>
  <c r="F20" i="7" l="1"/>
  <c r="I10" i="2"/>
  <c r="H11" i="5"/>
  <c r="H14" i="5"/>
  <c r="H13" i="5"/>
  <c r="H12" i="5"/>
  <c r="F15" i="5" l="1"/>
  <c r="I20" i="2"/>
  <c r="I19" i="2"/>
  <c r="I18" i="2"/>
  <c r="I16" i="2"/>
  <c r="I15" i="2"/>
  <c r="I14" i="2"/>
  <c r="I13" i="2"/>
  <c r="I12" i="2"/>
  <c r="I9" i="2"/>
  <c r="I8" i="2"/>
  <c r="I17" i="2" l="1"/>
</calcChain>
</file>

<file path=xl/sharedStrings.xml><?xml version="1.0" encoding="utf-8"?>
<sst xmlns="http://schemas.openxmlformats.org/spreadsheetml/2006/main" count="821" uniqueCount="176">
  <si>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</si>
  <si>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</si>
  <si>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</si>
  <si>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</si>
  <si>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</si>
  <si>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</si>
  <si>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</si>
  <si>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</si>
  <si>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</si>
  <si>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</si>
  <si>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</si>
  <si>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</si>
  <si>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</si>
  <si>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</si>
  <si>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SAF 9 - DIRECCION PROVINCIAL DE ADMINISTRACION DE LA SECRETARIA DE FINANZAS PUBLICAS</t>
  </si>
  <si>
    <t>30 - MINISTERIO DE HACIENDA PUBLICA</t>
  </si>
  <si>
    <t>CODIGO</t>
  </si>
  <si>
    <t>ADJUNTA DETALLE TECNICO</t>
  </si>
  <si>
    <t>NOTA DE PEDIDO</t>
  </si>
  <si>
    <t>Nº</t>
  </si>
  <si>
    <t>SI</t>
  </si>
  <si>
    <t>AUTORIZACION PARA GASTAR</t>
  </si>
  <si>
    <t>JURISDICCIÓN:</t>
  </si>
  <si>
    <t>30 - Ministerio de Hacienda Publica</t>
  </si>
  <si>
    <t>SAF:</t>
  </si>
  <si>
    <t>9 - Direccion Provincial de Administracion de la Secretaria de Finanzas Publicas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</si>
  <si>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</si>
  <si>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</si>
  <si>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</si>
  <si>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</si>
  <si>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</si>
  <si>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</si>
  <si>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</si>
  <si>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</si>
  <si>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</si>
  <si>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</si>
  <si>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</si>
  <si>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</si>
  <si>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</si>
  <si>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</si>
  <si>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</si>
  <si>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</si>
  <si>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</si>
  <si>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</si>
  <si>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</si>
  <si>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</si>
  <si>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</si>
  <si>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</si>
  <si>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</si>
  <si>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OBSERVACIONES:</t>
  </si>
  <si>
    <t>UNIDAD EJECUTORA</t>
  </si>
  <si>
    <t>DEPENDENCIA SOLICITANTE</t>
  </si>
  <si>
    <t>TERCER TRIMESTRE 2021</t>
  </si>
  <si>
    <t>OBJETO</t>
  </si>
  <si>
    <t>MINISTERIO DE HACIENDA PUBLICA</t>
  </si>
  <si>
    <t>UNIDAD</t>
  </si>
  <si>
    <t>Descripción técnica</t>
  </si>
  <si>
    <r>
      <rPr>
        <u/>
        <sz val="12"/>
        <rFont val="Times New Roman"/>
        <family val="1"/>
      </rPr>
      <t>Manteniniento de Oferta</t>
    </r>
    <r>
      <rPr>
        <sz val="12"/>
        <rFont val="Times New Roman"/>
        <family val="1"/>
      </rPr>
      <t>: 45 días</t>
    </r>
  </si>
  <si>
    <t>NO</t>
  </si>
  <si>
    <t>TOTAL DE PESOS: SESENTA Y NUEVE MIL QUINIENTOS CON 00/100</t>
  </si>
  <si>
    <t>03/2021</t>
  </si>
  <si>
    <t>Autorizo la realización de los  trámites correspondientes, a fin de proveer a  este Organismo los bienes y/o servicios que se detallan en Nota  de Pedido N° 03/2021,  afectando la erogación resultante a los créditos presupuestarios aprobados a favor de esta Unidad Ejecutora, conforme al siguiente detalle.</t>
  </si>
  <si>
    <t>COSTO TOTAL ESTIMADO</t>
  </si>
  <si>
    <t>PESOS SESENTA Y NUEVE MIL QUINIENTOS CON 00/100</t>
  </si>
  <si>
    <t>DIRECCION PROVINCIAL DE ADMINISTRACION DE LA SECRETARIA DE FINANZAS PUBLICAS</t>
  </si>
  <si>
    <t>SECRETARIA DE COMPRAS Y ABASTECIMIENTO</t>
  </si>
  <si>
    <t>Secretaria de Compras y Abastecimiento</t>
  </si>
  <si>
    <t>SECRETARIA DE FINANZAS PUBLICAS</t>
  </si>
  <si>
    <t>30 - Ministerio de Hacienda Pública</t>
  </si>
  <si>
    <t>Tesorería General de la Provincia</t>
  </si>
  <si>
    <t>3º trimestre</t>
  </si>
  <si>
    <t>TESORERIA GENERAL DE LA PROVINCIA</t>
  </si>
  <si>
    <t>9 - Dirección Provincial de Administración de la Secretaría de Finanzas Públicas</t>
  </si>
  <si>
    <t>Señor Director de Administración o Titular del Servicio Administrativo Financiero:</t>
  </si>
  <si>
    <t>CONTROL</t>
  </si>
  <si>
    <t>Especificidades Item N°:</t>
  </si>
  <si>
    <t>Secretaría de Finanzas Públicas - Sarmiento 589, 8vo Piso</t>
  </si>
  <si>
    <t>Subsecretaría de Presupuesto - Sarmiento 589, 7mo piso</t>
  </si>
  <si>
    <t>Dir. Prov. De Adm. De Finanzas - Sarmiento 589, 5to piso</t>
  </si>
  <si>
    <t>Dir. Prov. De Credito Público - Sarmiento 589, 5to piso</t>
  </si>
  <si>
    <t>Centro de Ayuda a Usuarios - Sarmiento 589, 5to piso</t>
  </si>
  <si>
    <t>Ministerio de Hacienda Pública - Sarmiento 589, 8vo Piso</t>
  </si>
  <si>
    <t>Contaduria Gral. de la Prov. - Av Venezuela S/N - CAPE Pabellón 21</t>
  </si>
  <si>
    <t>Sec. De Compras y Abastecimiento - Av Venezuela S/N - CAPE Pabellón 21</t>
  </si>
  <si>
    <t>Tesorería Gral de la Prov.  - Av Venezuela S/N - CAPE Pabellón 21</t>
  </si>
  <si>
    <t>Lugares de Entrega:</t>
  </si>
  <si>
    <t>2.5.2-711.33</t>
  </si>
  <si>
    <t>PROD. MEDICO/FARMACEUTICOS/LAB</t>
  </si>
  <si>
    <t>2.5.2</t>
  </si>
  <si>
    <t>ALCOHOL USO MEDICINAL; PUREZA: 70 %, PRESENTACION: ENVASE X 500 CM3</t>
  </si>
  <si>
    <t>2.5.2-711.15</t>
  </si>
  <si>
    <t>ALCOHOL USO MEDICINAL; PUREZA: 70 %, PRESENTACION: ENVASE X 1 L</t>
  </si>
  <si>
    <t>2.5.2-711.45</t>
  </si>
  <si>
    <t>ALCOHOL USO MEDICINAL; PUREZA: 70 %, PRESENTACION: GEL ENVASE X 1  L</t>
  </si>
  <si>
    <t>2.5.2-711.24</t>
  </si>
  <si>
    <t>ALCOHOL USO MEDICINAL; PUREZA: 70 %, PRESENTACION: GEL EN ENVASE X 5 L</t>
  </si>
  <si>
    <t>2.9.5-428.19</t>
  </si>
  <si>
    <t>2.9.5</t>
  </si>
  <si>
    <t>BARBIJOS; TIPO: PLISADO</t>
  </si>
  <si>
    <t>2.5.2-710.1</t>
  </si>
  <si>
    <t>AGUA OXIGENADA; CAPACIDAD: 100 CM3, VOLUMEN: 10, PRESENTACION: ENVASE X 100 CM3</t>
  </si>
  <si>
    <t>2.9.5-470.14</t>
  </si>
  <si>
    <t>ALGODONES; CAPACIDAD: 200 GR, TIPO: PLISADO, PRESENTACION: ENVASE X 200 GR</t>
  </si>
  <si>
    <t>2.5.2-1723.14</t>
  </si>
  <si>
    <t>ANTISEPTICOS LOCALES P/PERSONA; DROGA GENERICA: POVIDONA IODADA, FORMA FARMACEUTICA: SOLUCION, PRESENTACION: FRASCO X 100 mL, TIPO: MONODROGA</t>
  </si>
  <si>
    <t>2.9.5-427.23</t>
  </si>
  <si>
    <t>APOSITOS; TIPO: TELA ADHESIVA, TAMAÑO: MEDIANO X 10 UN</t>
  </si>
  <si>
    <t>4.3.3-65.20</t>
  </si>
  <si>
    <t>BOTIQUINES PRIMEROS AUXILIOS; MEDIDA: 31 X 42 X 15 Cm, MATERIAL: PLASTICO</t>
  </si>
  <si>
    <t>2.9.5-473.16</t>
  </si>
  <si>
    <t>GASAS; MEDIDA: 10 X 10 Cm, UNIDAD VENTA: CAJA X 20 UN, TIPO: FURANIZADA, PRESENTACION: CAJA X 20 UN</t>
  </si>
  <si>
    <t>2.9.5-931.1</t>
  </si>
  <si>
    <t>TELAS ADHESIVAS; ANCHO: 1.25 Cm, LONG.DE CUERPO: 9 M, TIPO: HIPOALERGENICA</t>
  </si>
  <si>
    <t>05/2021</t>
  </si>
  <si>
    <t>Adquisicion de elementos de higiene y cuidado personal para el Ministerio de Hacienda Pública</t>
  </si>
  <si>
    <t>Autorizo la realización de los  trámites correspondientes, a fin de proveer a  este Organismo los bienes y/o servicios que se detallan en Nota  de Pedido N° 05/2021,  afectando la erogación resultante a los créditos presupuestarios aprobados a favor de esta Unidad Ejecutora, conforme al siguiente detalle.</t>
  </si>
  <si>
    <t>Productos Farmacéuticos y Medicinales</t>
  </si>
  <si>
    <t>Utiles Menores Médico, Quirúrgico y de Laboratorio</t>
  </si>
  <si>
    <t>TOTAL DE PESOS: TREINTA Y OCHO MIL SETECIENTOS CINCUENTA CON 00/100</t>
  </si>
  <si>
    <t>PESOS TREINTA Y OCHO MIL SETECIENTOS CINCUENTA CON 00/100</t>
  </si>
  <si>
    <t>178/2021</t>
  </si>
  <si>
    <t xml:space="preserve">Adquisicion de elementos de higiene y cuidado personal </t>
  </si>
  <si>
    <t>Autorizo la realización de los  trámites correspondientes, a fin de proveer a  este Organismo los bienes y/o servicios que se detallan en Nota  de Pedido N° 178/2021,  afectando la erogación resultante a los créditos presupuestarios aprobados a favor de esta Unidad Ejecutora, conforme al siguiente detalle.</t>
  </si>
  <si>
    <t>Productos farmaceuticos y medicinales</t>
  </si>
  <si>
    <t>Utiles menores medico,quirurgico y de laboratorio</t>
  </si>
  <si>
    <t>TOTAL DE PESOS: Veintisiete mil treinta con 00/100.-</t>
  </si>
  <si>
    <t>Adquisicion de elementos e insumos medicos para el armado de un botiquin destinado a la S.C.A-M.H.P.</t>
  </si>
  <si>
    <t>98/2021</t>
  </si>
  <si>
    <t>PESOS VEINTE MIL TREINTA CON 00/100.-</t>
  </si>
  <si>
    <t>Autorizo la realización de los  trámites correspondientes, a fin de (proveer a  este Organismo los bienes, servicios o ejecución de obras públicas que se detallan en Nota  de Pedido N° 03/21, afectando la erogación resultante a los créditos presupuestarios aprobados a favor de esta Unidad Ejecutora, conforme al siguiente detalle:</t>
  </si>
  <si>
    <t>Productos farmacéuticos y medicinales</t>
  </si>
  <si>
    <t>Utiles menores médicos quirurgicos y de laboratorio</t>
  </si>
  <si>
    <t>TOTAL DE PESOS: CINCUENTA MIL, QUINIENTOS.-</t>
  </si>
  <si>
    <t>Adquisición de productos farmaceuticos destinados a prevensión COVID19 del personal de la T.G.P.- MHP</t>
  </si>
  <si>
    <t>Adquisición de productos farmaceuticos destinados a prevensión COVID19.</t>
  </si>
  <si>
    <t>PESOS CINCUENTA MIL QUINIENTOS CON 00/100</t>
  </si>
  <si>
    <t>Alcohol - 70% - 500cc - con rociador - tipo Bialcohol Porta</t>
  </si>
  <si>
    <t>Alcohol - 70% - para reponer - 1 litro (o equivalente en bidones de 5 litros) - tipo Bialcohol Porta</t>
  </si>
  <si>
    <t>Alcohol en GEL - 70% - con pico dosificador - envase 1 litro -   tipo Bialcohol Porta</t>
  </si>
  <si>
    <t>Alcohol en GEL - 70% -  para reponer - bidones de 5 litros -  Tipo Bialcohol Porta</t>
  </si>
  <si>
    <t>Barbijos AtomProtect (barbijos del CONICET) con capas de telas con activos sanitizantes ANTIBACTERIAL, ANTIVIRAL y ANTIHONGOS</t>
  </si>
  <si>
    <t>4/2021</t>
  </si>
  <si>
    <t>SUBSECRETARIA DE PRESUPUESTO</t>
  </si>
  <si>
    <t>PESOS SETENTA Y UN MIL CON 00/100</t>
  </si>
  <si>
    <t>Autorizo la realización de los  trámites correspondientes, a fin de proveer a  este Organismo los bienes y/o servicios que se detallan en Nota  de Pedido N° 4/2021,  afectando la erogación resultante a los créditos presupuestarios aprobados a favor de esta Unidad Ejecutora, conforme al siguiente detalle.</t>
  </si>
  <si>
    <t>TOTAL DE PESOS: SETENTA Y UN MIL CON 00/100</t>
  </si>
  <si>
    <t>EJERCICIO: 2021</t>
  </si>
  <si>
    <t>Contaduria General de la Provincia</t>
  </si>
  <si>
    <r>
      <t xml:space="preserve">Autorizo la realización de los  trámites correspondientes, a fin de proveer a  este Organismo los bienes y/o servicios que se detallan en Nota  de Pedido </t>
    </r>
    <r>
      <rPr>
        <b/>
        <sz val="11"/>
        <rFont val="Arial"/>
        <family val="2"/>
      </rPr>
      <t>N° 09/2021</t>
    </r>
    <r>
      <rPr>
        <sz val="11"/>
        <rFont val="Arial"/>
        <family val="2"/>
        <charset val="1"/>
      </rPr>
      <t>,  afectando la erogación resultante a los créditos presupuestarios aprobados a favor de esta Unidad Ejecutora, conforme al siguiente detalle:</t>
    </r>
  </si>
  <si>
    <t>029</t>
  </si>
  <si>
    <t>Productos Farmaceúticos y Medicinales</t>
  </si>
  <si>
    <t>TOTAL DE PESOS: Veintidos Mil Setecientos con 00/100.-</t>
  </si>
  <si>
    <t>ADQUISICIÓN DE ELEMENTOS DE HIGIENE PERSONAL DESTINADOS AL FUNCIONAMIENTO DE C.G.P- MHP</t>
  </si>
  <si>
    <t>CONTADURIA GENERAL DE LA PROVINCIA</t>
  </si>
  <si>
    <t>Adquisición de Elementos de Higiene Personal</t>
  </si>
  <si>
    <t>9/2021</t>
  </si>
  <si>
    <t>PESOS VEINTIDOS MIL SETECIENTOS CON 00/100</t>
  </si>
  <si>
    <t>CENTRO DE ATENCION AL USUARIO - ESIDIF</t>
  </si>
  <si>
    <t>Autorizo la realización de los  trámites correspondientes, a fin de proveer a  este Organismo los bienes y/o servicios que se detallan en Nota  de Pedido N° 01/2021,  afectando la erogación resultante a los créditos presupuestarios aprobados a favor de esta Unidad Ejecutora, conforme al siguiente detalle.</t>
  </si>
  <si>
    <t xml:space="preserve">Utiles Menores, Médico, Quirúrgico y de Lab. </t>
  </si>
  <si>
    <t>TOTAL DE PESOS: TREINTA Y TRES MIL QUINIENTOS SETENTA Y CINCO CON 00/100</t>
  </si>
  <si>
    <t>Adquisicion de elementos de higiene</t>
  </si>
  <si>
    <t>1/2021</t>
  </si>
  <si>
    <t>Adquisicion de elementos de Higiene personal.</t>
  </si>
  <si>
    <t>PESOS TREINTA Y TRES MIL QUINIENTOS SETENTA Y CINCO CON 00/100</t>
  </si>
  <si>
    <t>DIRECCION PROVINCIAL DE CREDITO PUBLICO</t>
  </si>
  <si>
    <t>Autorizo la realización de los  trámites correspondientes, a fin de proveer a  este Organismo los bienes y/o servicios que se detallan en Nota  de Pedido N° 02/2021,  afectando la erogación resultante a los créditos presupuestarios aprobados a favor de esta Unidad Ejecutora, conforme al siguiente detalle.</t>
  </si>
  <si>
    <t>TOTAL DE PESOS: QUINCE MIL CIEN CON 00/100</t>
  </si>
  <si>
    <t>Adquisicion de elementos de Higiene Personal</t>
  </si>
  <si>
    <t>PESOS QUINCE MIL CIEN CON 00/100</t>
  </si>
  <si>
    <t>2/2021</t>
  </si>
  <si>
    <t>2.5.2-1724.121</t>
  </si>
  <si>
    <t>ANALGESICOS ; TIPO: MONODROGA, DROGA GENERICA: IBUPROFENO 400 mGr, FORMA FARMACEUTICA: COMPRIMIDO, PRESENTACION: ENVASE X 10 UN</t>
  </si>
  <si>
    <t>CAJA</t>
  </si>
  <si>
    <t>FRASCO</t>
  </si>
  <si>
    <r>
      <rPr>
        <b/>
        <sz val="12"/>
        <rFont val="Times New Roman"/>
        <family val="1"/>
      </rPr>
      <t xml:space="preserve">PARA TODOS LOS ITEMS: </t>
    </r>
    <r>
      <rPr>
        <sz val="12"/>
        <rFont val="Times New Roman"/>
        <family val="1"/>
      </rPr>
      <t xml:space="preserve">El plazo de entrega  no podrá ser superior a los diez (10) días hábiles a partir de la fecha de recepción de la respectiva Orden de Compra en el domicilio especial electrónico constituido, en virtud del método de contratación.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</si>
</sst>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&quot;$&quot;\ #,##0.00"/>
    <numFmt numFmtId="166" formatCode="_-[$$-2C0A]\ * #,##0.00_-;\-[$$-2C0A]\ * #,##0.00_-;_-[$$-2C0A]\ * &quot;-&quot;??_-;_-@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[$$-2C0A]\ * #,##0.00_-;\-[$$-2C0A]\ * #,##0.00_-;_-[$$-2C0A]\ * &quot;-&quot;??_-;_-@_-"/>
    <numFmt numFmtId="172" formatCode="[$$-2C0A]\ #,##0.00;\-[$$-2C0A]\ #,##0.00"/>
  </numFmts>
  <fonts count="35" x14ac:knownFonts="1">
    <font>
      <sz val="10"/>
      <color rgb="FF000000"/>
      <name val="Arial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rgb="FF333333"/>
      <name val="Arial"/>
      <family val="2"/>
    </font>
    <font>
      <sz val="10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rgb="FF000000"/>
      <name val="Arial"/>
      <family val="2"/>
    </font>
    <font>
      <b/>
      <u/>
      <sz val="22"/>
      <name val="Times New Roman"/>
      <family val="1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18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u/>
      <sz val="12"/>
      <name val="Times New Roman"/>
      <family val="1"/>
    </font>
    <font>
      <sz val="10"/>
      <color theme="0"/>
      <name val="Arial"/>
      <family val="2"/>
    </font>
    <font>
      <sz val="8"/>
      <name val="Arial"/>
      <family val="2"/>
    </font>
    <font>
      <sz val="8"/>
      <color rgb="FF333333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b/>
      <u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 tint="-4.9989318521683403E-2"/>
        <bgColor rgb="FFCCFFFF"/>
      </patternFill>
    </fill>
  </fills>
  <borders count="1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indexed="64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3D3D3D"/>
      </left>
      <right style="thin">
        <color rgb="FF3D3D3D"/>
      </right>
      <top style="thin">
        <color auto="1"/>
      </top>
      <bottom style="thin">
        <color rgb="FF3D3D3D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D3D3D"/>
      </bottom>
      <diagonal/>
    </border>
    <border>
      <left style="thin">
        <color auto="1"/>
      </left>
      <right style="medium">
        <color rgb="FF3D3D3D"/>
      </right>
      <top style="thin">
        <color auto="1"/>
      </top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thin">
        <color indexed="64"/>
      </right>
      <top style="medium">
        <color rgb="FF3D3D3D"/>
      </top>
      <bottom style="thin">
        <color rgb="FF3D3D3D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D3D3D"/>
      </left>
      <right style="medium">
        <color indexed="64"/>
      </right>
      <top/>
      <bottom style="thin">
        <color rgb="FF3D3D3D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/>
      <top style="thin">
        <color indexed="64"/>
      </top>
      <bottom/>
      <diagonal/>
    </border>
    <border>
      <left/>
      <right style="thin">
        <color rgb="FF3D3D3D"/>
      </right>
      <top style="thin">
        <color indexed="64"/>
      </top>
      <bottom/>
      <diagonal/>
    </border>
    <border>
      <left style="thin">
        <color rgb="FF3D3D3D"/>
      </left>
      <right style="medium">
        <color rgb="FF3D3D3D"/>
      </right>
      <top style="thin">
        <color indexed="64"/>
      </top>
      <bottom/>
      <diagonal/>
    </border>
    <border>
      <left style="medium">
        <color auto="1"/>
      </left>
      <right style="thin">
        <color rgb="FF3D3D3D"/>
      </right>
      <top style="thin">
        <color auto="1"/>
      </top>
      <bottom style="thin">
        <color rgb="FF3D3D3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4" fillId="0" borderId="0" applyFont="0" applyFill="0" applyBorder="0" applyAlignment="0" applyProtection="0"/>
    <xf numFmtId="169" fontId="17" fillId="0" borderId="1" applyBorder="0" applyProtection="0"/>
    <xf numFmtId="0" fontId="13" fillId="0" borderId="1"/>
    <xf numFmtId="164" fontId="13" fillId="0" borderId="1" applyFont="0" applyFill="0" applyBorder="0" applyAlignment="0" applyProtection="0"/>
  </cellStyleXfs>
  <cellXfs count="389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7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5" fillId="3" borderId="10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3" fontId="15" fillId="0" borderId="1" xfId="0" applyNumberFormat="1" applyFont="1" applyBorder="1"/>
    <xf numFmtId="168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7" fillId="0" borderId="0" xfId="0" applyFont="1"/>
    <xf numFmtId="0" fontId="0" fillId="0" borderId="1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23" xfId="0" applyBorder="1"/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70" fontId="0" fillId="0" borderId="36" xfId="2" applyNumberFormat="1" applyFont="1" applyBorder="1" applyAlignment="1" applyProtection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70" fontId="0" fillId="0" borderId="40" xfId="2" applyNumberFormat="1" applyFont="1" applyBorder="1" applyAlignment="1" applyProtection="1">
      <alignment horizontal="center" vertical="center"/>
    </xf>
    <xf numFmtId="170" fontId="21" fillId="0" borderId="4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49" fontId="23" fillId="0" borderId="10" xfId="0" applyNumberFormat="1" applyFont="1" applyBorder="1" applyAlignment="1">
      <alignment vertical="center"/>
    </xf>
    <xf numFmtId="0" fontId="24" fillId="0" borderId="9" xfId="0" applyFont="1" applyBorder="1" applyAlignment="1">
      <alignment horizontal="right" vertical="center"/>
    </xf>
    <xf numFmtId="0" fontId="6" fillId="0" borderId="4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6" fontId="10" fillId="0" borderId="1" xfId="0" applyNumberFormat="1" applyFont="1" applyBorder="1"/>
    <xf numFmtId="0" fontId="10" fillId="0" borderId="0" xfId="0" applyFont="1"/>
    <xf numFmtId="0" fontId="10" fillId="0" borderId="47" xfId="0" applyFont="1" applyBorder="1"/>
    <xf numFmtId="0" fontId="10" fillId="0" borderId="48" xfId="0" applyFont="1" applyBorder="1"/>
    <xf numFmtId="0" fontId="6" fillId="0" borderId="52" xfId="0" applyFont="1" applyBorder="1" applyAlignment="1">
      <alignment horizontal="center" vertical="center"/>
    </xf>
    <xf numFmtId="0" fontId="6" fillId="0" borderId="52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/>
    </xf>
    <xf numFmtId="165" fontId="7" fillId="0" borderId="52" xfId="0" applyNumberFormat="1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4" fontId="26" fillId="0" borderId="0" xfId="0" applyNumberFormat="1" applyFont="1" applyAlignment="1">
      <alignment vertical="center"/>
    </xf>
    <xf numFmtId="0" fontId="0" fillId="0" borderId="5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0" fontId="6" fillId="6" borderId="5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wrapText="1"/>
    </xf>
    <xf numFmtId="0" fontId="10" fillId="0" borderId="48" xfId="0" applyFont="1" applyBorder="1" applyAlignment="1">
      <alignment horizontal="left" wrapText="1"/>
    </xf>
    <xf numFmtId="0" fontId="27" fillId="6" borderId="56" xfId="0" applyFont="1" applyFill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left" vertical="center" wrapText="1"/>
    </xf>
    <xf numFmtId="165" fontId="27" fillId="0" borderId="57" xfId="0" applyNumberFormat="1" applyFont="1" applyBorder="1" applyAlignment="1">
      <alignment vertical="center"/>
    </xf>
    <xf numFmtId="166" fontId="29" fillId="5" borderId="57" xfId="0" applyNumberFormat="1" applyFont="1" applyFill="1" applyBorder="1" applyAlignment="1">
      <alignment vertical="center"/>
    </xf>
    <xf numFmtId="0" fontId="27" fillId="6" borderId="55" xfId="0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left" vertical="center" wrapText="1"/>
    </xf>
    <xf numFmtId="165" fontId="27" fillId="0" borderId="44" xfId="0" applyNumberFormat="1" applyFont="1" applyBorder="1" applyAlignment="1">
      <alignment vertical="center"/>
    </xf>
    <xf numFmtId="166" fontId="29" fillId="5" borderId="44" xfId="0" applyNumberFormat="1" applyFont="1" applyFill="1" applyBorder="1" applyAlignment="1">
      <alignment vertical="center"/>
    </xf>
    <xf numFmtId="0" fontId="30" fillId="0" borderId="44" xfId="0" applyFont="1" applyBorder="1" applyAlignment="1">
      <alignment horizontal="center" vertical="center"/>
    </xf>
    <xf numFmtId="0" fontId="0" fillId="0" borderId="60" xfId="0" applyFont="1" applyBorder="1" applyAlignment="1">
      <alignment vertical="center"/>
    </xf>
    <xf numFmtId="0" fontId="32" fillId="0" borderId="5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6" borderId="6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1" fontId="14" fillId="0" borderId="36" xfId="1" applyNumberFormat="1" applyBorder="1" applyProtection="1"/>
    <xf numFmtId="3" fontId="15" fillId="0" borderId="46" xfId="0" applyNumberFormat="1" applyFont="1" applyBorder="1"/>
    <xf numFmtId="168" fontId="0" fillId="0" borderId="46" xfId="0" applyNumberFormat="1" applyBorder="1" applyAlignment="1">
      <alignment horizontal="left"/>
    </xf>
    <xf numFmtId="0" fontId="0" fillId="0" borderId="46" xfId="0" applyBorder="1"/>
    <xf numFmtId="0" fontId="0" fillId="0" borderId="2" xfId="0" applyBorder="1"/>
    <xf numFmtId="0" fontId="0" fillId="0" borderId="1" xfId="0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0" fillId="0" borderId="48" xfId="0" applyBorder="1"/>
    <xf numFmtId="0" fontId="0" fillId="0" borderId="65" xfId="0" applyBorder="1"/>
    <xf numFmtId="0" fontId="0" fillId="0" borderId="72" xfId="0" applyBorder="1"/>
    <xf numFmtId="0" fontId="21" fillId="0" borderId="74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3" fillId="0" borderId="62" xfId="0" applyFont="1" applyBorder="1" applyAlignment="1">
      <alignment horizontal="center" vertical="center"/>
    </xf>
    <xf numFmtId="170" fontId="0" fillId="0" borderId="76" xfId="2" applyNumberFormat="1" applyFont="1" applyBorder="1" applyAlignment="1" applyProtection="1">
      <alignment horizontal="center" vertical="center"/>
    </xf>
    <xf numFmtId="0" fontId="0" fillId="0" borderId="77" xfId="0" applyBorder="1" applyAlignment="1">
      <alignment horizontal="center" vertical="center"/>
    </xf>
    <xf numFmtId="170" fontId="0" fillId="0" borderId="78" xfId="2" applyNumberFormat="1" applyFont="1" applyBorder="1" applyAlignment="1" applyProtection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170" fontId="0" fillId="0" borderId="80" xfId="2" applyNumberFormat="1" applyFont="1" applyBorder="1" applyAlignment="1" applyProtection="1">
      <alignment horizontal="center" vertical="center"/>
    </xf>
    <xf numFmtId="170" fontId="21" fillId="0" borderId="8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8" fillId="0" borderId="49" xfId="0" applyFont="1" applyBorder="1" applyAlignment="1">
      <alignment vertical="center" wrapText="1"/>
    </xf>
    <xf numFmtId="0" fontId="18" fillId="0" borderId="50" xfId="0" applyFont="1" applyBorder="1" applyAlignment="1">
      <alignment vertical="center" wrapText="1"/>
    </xf>
    <xf numFmtId="0" fontId="18" fillId="0" borderId="51" xfId="0" applyFont="1" applyBorder="1" applyAlignment="1">
      <alignment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166" fontId="10" fillId="8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25" fillId="0" borderId="2" xfId="0" applyFont="1" applyBorder="1" applyAlignment="1"/>
    <xf numFmtId="0" fontId="10" fillId="0" borderId="51" xfId="0" applyFont="1" applyBorder="1"/>
    <xf numFmtId="0" fontId="8" fillId="0" borderId="46" xfId="0" applyFont="1" applyBorder="1"/>
    <xf numFmtId="0" fontId="34" fillId="0" borderId="2" xfId="0" applyFont="1" applyBorder="1" applyAlignment="1">
      <alignment horizontal="right"/>
    </xf>
    <xf numFmtId="0" fontId="34" fillId="0" borderId="1" xfId="0" applyFont="1" applyBorder="1" applyAlignment="1">
      <alignment horizontal="right"/>
    </xf>
    <xf numFmtId="0" fontId="8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48" xfId="0" applyFont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7" borderId="49" xfId="0" applyFont="1" applyFill="1" applyBorder="1" applyAlignment="1">
      <alignment horizontal="left" vertical="center" wrapText="1"/>
    </xf>
    <xf numFmtId="0" fontId="10" fillId="7" borderId="50" xfId="0" applyFont="1" applyFill="1" applyBorder="1" applyAlignment="1">
      <alignment horizontal="left" vertical="center" wrapText="1"/>
    </xf>
    <xf numFmtId="0" fontId="10" fillId="0" borderId="1" xfId="0" applyFont="1" applyBorder="1"/>
    <xf numFmtId="0" fontId="0" fillId="0" borderId="50" xfId="0" applyFont="1" applyBorder="1" applyAlignment="1">
      <alignment horizontal="center" vertical="center"/>
    </xf>
    <xf numFmtId="0" fontId="0" fillId="0" borderId="50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3" fontId="7" fillId="0" borderId="52" xfId="0" applyNumberFormat="1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167" fontId="0" fillId="0" borderId="85" xfId="2" applyNumberFormat="1" applyFont="1" applyBorder="1" applyAlignment="1" applyProtection="1">
      <alignment horizontal="right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167" fontId="0" fillId="0" borderId="88" xfId="2" applyNumberFormat="1" applyFont="1" applyBorder="1" applyAlignment="1" applyProtection="1">
      <alignment horizontal="right" vertical="center"/>
    </xf>
    <xf numFmtId="3" fontId="0" fillId="8" borderId="0" xfId="0" applyNumberFormat="1" applyFill="1" applyAlignment="1">
      <alignment vertical="center"/>
    </xf>
    <xf numFmtId="3" fontId="8" fillId="8" borderId="1" xfId="0" applyNumberFormat="1" applyFont="1" applyFill="1" applyBorder="1" applyAlignment="1">
      <alignment horizontal="center" vertical="center" wrapText="1"/>
    </xf>
    <xf numFmtId="171" fontId="0" fillId="0" borderId="36" xfId="2" applyNumberFormat="1" applyFont="1" applyBorder="1" applyAlignment="1" applyProtection="1">
      <alignment horizontal="center" vertical="center"/>
    </xf>
    <xf numFmtId="3" fontId="27" fillId="0" borderId="57" xfId="0" applyNumberFormat="1" applyFont="1" applyBorder="1" applyAlignment="1">
      <alignment horizontal="center" vertical="center"/>
    </xf>
    <xf numFmtId="3" fontId="27" fillId="0" borderId="4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3" fontId="15" fillId="9" borderId="1" xfId="0" applyNumberFormat="1" applyFont="1" applyFill="1" applyBorder="1"/>
    <xf numFmtId="168" fontId="0" fillId="9" borderId="0" xfId="0" applyNumberFormat="1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49" fontId="0" fillId="9" borderId="75" xfId="0" applyNumberFormat="1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172" fontId="6" fillId="10" borderId="98" xfId="0" applyNumberFormat="1" applyFont="1" applyFill="1" applyBorder="1" applyAlignment="1">
      <alignment horizontal="left" vertical="center"/>
    </xf>
    <xf numFmtId="49" fontId="0" fillId="9" borderId="77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171" fontId="4" fillId="9" borderId="99" xfId="1" applyNumberFormat="1" applyFont="1" applyFill="1" applyBorder="1" applyAlignment="1" applyProtection="1">
      <alignment vertical="center"/>
    </xf>
    <xf numFmtId="172" fontId="7" fillId="11" borderId="10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167" fontId="14" fillId="0" borderId="109" xfId="1" applyNumberFormat="1" applyBorder="1" applyAlignment="1" applyProtection="1">
      <alignment horizontal="right"/>
    </xf>
    <xf numFmtId="0" fontId="0" fillId="0" borderId="110" xfId="0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67" fontId="0" fillId="0" borderId="31" xfId="2" applyNumberFormat="1" applyFont="1" applyBorder="1" applyAlignment="1" applyProtection="1">
      <alignment horizontal="right" vertic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center" vertical="center"/>
    </xf>
    <xf numFmtId="165" fontId="7" fillId="0" borderId="44" xfId="0" applyNumberFormat="1" applyFont="1" applyBorder="1" applyAlignment="1">
      <alignment horizontal="center" vertical="center"/>
    </xf>
    <xf numFmtId="3" fontId="7" fillId="0" borderId="4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3" fontId="15" fillId="0" borderId="1" xfId="3" applyNumberFormat="1" applyFont="1"/>
    <xf numFmtId="168" fontId="13" fillId="0" borderId="1" xfId="3" applyNumberFormat="1" applyAlignment="1">
      <alignment horizontal="left"/>
    </xf>
    <xf numFmtId="0" fontId="13" fillId="0" borderId="1" xfId="3"/>
    <xf numFmtId="0" fontId="13" fillId="0" borderId="19" xfId="3" applyBorder="1"/>
    <xf numFmtId="0" fontId="13" fillId="0" borderId="21" xfId="3" applyBorder="1"/>
    <xf numFmtId="0" fontId="13" fillId="0" borderId="22" xfId="3" applyBorder="1"/>
    <xf numFmtId="0" fontId="13" fillId="0" borderId="22" xfId="3" applyBorder="1" applyAlignment="1">
      <alignment horizontal="left"/>
    </xf>
    <xf numFmtId="0" fontId="13" fillId="0" borderId="23" xfId="3" applyBorder="1"/>
    <xf numFmtId="0" fontId="21" fillId="0" borderId="26" xfId="3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/>
    </xf>
    <xf numFmtId="0" fontId="21" fillId="0" borderId="27" xfId="3" applyFont="1" applyBorder="1" applyAlignment="1">
      <alignment horizontal="left" vertical="center"/>
    </xf>
    <xf numFmtId="0" fontId="21" fillId="0" borderId="28" xfId="3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/>
    </xf>
    <xf numFmtId="0" fontId="13" fillId="0" borderId="104" xfId="3" applyBorder="1" applyAlignment="1">
      <alignment horizontal="center" vertical="center"/>
    </xf>
    <xf numFmtId="0" fontId="13" fillId="0" borderId="105" xfId="3" applyBorder="1" applyAlignment="1">
      <alignment horizontal="center" vertical="center"/>
    </xf>
    <xf numFmtId="0" fontId="13" fillId="0" borderId="106" xfId="3" applyBorder="1" applyAlignment="1">
      <alignment horizontal="center" vertical="center"/>
    </xf>
    <xf numFmtId="0" fontId="4" fillId="0" borderId="105" xfId="3" applyFont="1" applyBorder="1" applyAlignment="1">
      <alignment horizontal="center" vertical="center"/>
    </xf>
    <xf numFmtId="167" fontId="13" fillId="0" borderId="109" xfId="4" applyNumberFormat="1" applyBorder="1" applyAlignment="1" applyProtection="1">
      <alignment horizontal="right"/>
    </xf>
    <xf numFmtId="0" fontId="13" fillId="0" borderId="110" xfId="3" applyBorder="1" applyAlignment="1">
      <alignment horizontal="center" vertical="center"/>
    </xf>
    <xf numFmtId="0" fontId="13" fillId="0" borderId="53" xfId="3" applyBorder="1" applyAlignment="1">
      <alignment horizontal="center" vertical="center"/>
    </xf>
    <xf numFmtId="0" fontId="13" fillId="0" borderId="29" xfId="3" applyBorder="1" applyAlignment="1">
      <alignment horizontal="center" vertical="center"/>
    </xf>
    <xf numFmtId="0" fontId="4" fillId="0" borderId="53" xfId="3" applyFont="1" applyBorder="1" applyAlignment="1">
      <alignment horizontal="center" vertical="center"/>
    </xf>
    <xf numFmtId="167" fontId="13" fillId="0" borderId="31" xfId="2" applyNumberFormat="1" applyFont="1" applyBorder="1" applyAlignment="1" applyProtection="1">
      <alignment horizontal="right" vertical="center"/>
    </xf>
    <xf numFmtId="0" fontId="18" fillId="0" borderId="32" xfId="3" applyFont="1" applyBorder="1" applyAlignment="1">
      <alignment horizontal="center" vertical="center"/>
    </xf>
    <xf numFmtId="0" fontId="18" fillId="0" borderId="33" xfId="3" applyFont="1" applyBorder="1" applyAlignment="1">
      <alignment horizontal="center" vertical="center"/>
    </xf>
    <xf numFmtId="0" fontId="13" fillId="0" borderId="35" xfId="3" applyBorder="1" applyAlignment="1">
      <alignment horizontal="center" vertical="center"/>
    </xf>
    <xf numFmtId="0" fontId="18" fillId="0" borderId="34" xfId="3" applyFont="1" applyBorder="1" applyAlignment="1">
      <alignment horizontal="center" vertical="center"/>
    </xf>
    <xf numFmtId="0" fontId="18" fillId="0" borderId="35" xfId="3" applyFont="1" applyBorder="1" applyAlignment="1">
      <alignment horizontal="center" vertical="center"/>
    </xf>
    <xf numFmtId="170" fontId="13" fillId="0" borderId="36" xfId="2" applyNumberFormat="1" applyFont="1" applyBorder="1" applyAlignment="1" applyProtection="1">
      <alignment horizontal="center" vertical="center"/>
    </xf>
    <xf numFmtId="0" fontId="13" fillId="0" borderId="37" xfId="3" applyBorder="1" applyAlignment="1">
      <alignment horizontal="center" vertical="center"/>
    </xf>
    <xf numFmtId="0" fontId="13" fillId="0" borderId="38" xfId="3" applyBorder="1" applyAlignment="1">
      <alignment horizontal="center" vertical="center"/>
    </xf>
    <xf numFmtId="0" fontId="13" fillId="0" borderId="39" xfId="3" applyBorder="1" applyAlignment="1">
      <alignment horizontal="center" vertical="center"/>
    </xf>
    <xf numFmtId="170" fontId="13" fillId="0" borderId="40" xfId="2" applyNumberFormat="1" applyFont="1" applyBorder="1" applyAlignment="1" applyProtection="1">
      <alignment horizontal="center" vertical="center"/>
    </xf>
    <xf numFmtId="170" fontId="21" fillId="0" borderId="41" xfId="3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8" fillId="0" borderId="44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right"/>
    </xf>
    <xf numFmtId="0" fontId="34" fillId="0" borderId="46" xfId="0" applyFont="1" applyBorder="1" applyAlignment="1">
      <alignment horizontal="right"/>
    </xf>
    <xf numFmtId="0" fontId="10" fillId="7" borderId="2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48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 vertical="center" wrapText="1"/>
    </xf>
    <xf numFmtId="0" fontId="10" fillId="7" borderId="49" xfId="0" applyFont="1" applyFill="1" applyBorder="1" applyAlignment="1">
      <alignment horizontal="left" vertical="center" wrapText="1"/>
    </xf>
    <xf numFmtId="0" fontId="10" fillId="7" borderId="50" xfId="0" applyFont="1" applyFill="1" applyBorder="1" applyAlignment="1">
      <alignment horizontal="left" vertical="center" wrapText="1"/>
    </xf>
    <xf numFmtId="0" fontId="10" fillId="0" borderId="45" xfId="0" applyFont="1" applyBorder="1" applyAlignment="1">
      <alignment horizontal="left" wrapText="1"/>
    </xf>
    <xf numFmtId="0" fontId="10" fillId="0" borderId="46" xfId="0" applyFont="1" applyBorder="1" applyAlignment="1">
      <alignment horizontal="left" wrapText="1"/>
    </xf>
    <xf numFmtId="0" fontId="10" fillId="0" borderId="47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48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7" borderId="51" xfId="0" applyFont="1" applyFill="1" applyBorder="1" applyAlignment="1">
      <alignment horizontal="left" vertical="center" wrapText="1"/>
    </xf>
    <xf numFmtId="0" fontId="10" fillId="0" borderId="1" xfId="0" applyFont="1" applyBorder="1"/>
    <xf numFmtId="0" fontId="25" fillId="7" borderId="2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5" fillId="7" borderId="48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2" fillId="0" borderId="58" xfId="0" applyFont="1" applyBorder="1" applyAlignment="1">
      <alignment horizontal="right" vertical="center"/>
    </xf>
    <xf numFmtId="167" fontId="31" fillId="0" borderId="60" xfId="0" applyNumberFormat="1" applyFont="1" applyBorder="1" applyAlignment="1">
      <alignment horizontal="center" vertical="center"/>
    </xf>
    <xf numFmtId="167" fontId="31" fillId="0" borderId="59" xfId="0" applyNumberFormat="1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 indent="1"/>
    </xf>
    <xf numFmtId="0" fontId="15" fillId="0" borderId="4" xfId="0" applyFont="1" applyBorder="1" applyAlignment="1">
      <alignment vertical="center" wrapText="1"/>
    </xf>
    <xf numFmtId="0" fontId="15" fillId="0" borderId="42" xfId="0" applyFont="1" applyBorder="1" applyAlignment="1">
      <alignment vertical="center" wrapText="1"/>
    </xf>
    <xf numFmtId="0" fontId="15" fillId="0" borderId="43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4" fillId="0" borderId="84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0" fillId="0" borderId="24" xfId="0" applyBorder="1"/>
    <xf numFmtId="0" fontId="18" fillId="0" borderId="20" xfId="0" applyFont="1" applyBorder="1" applyAlignment="1">
      <alignment horizontal="left" vertical="center" wrapText="1" indent="1"/>
    </xf>
    <xf numFmtId="0" fontId="21" fillId="0" borderId="2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18" fillId="0" borderId="18" xfId="0" applyFont="1" applyBorder="1"/>
    <xf numFmtId="0" fontId="1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15" fillId="0" borderId="5" xfId="0" applyNumberFormat="1" applyFont="1" applyBorder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17" fillId="0" borderId="14" xfId="0" applyFont="1" applyBorder="1"/>
    <xf numFmtId="0" fontId="18" fillId="0" borderId="14" xfId="0" applyFont="1" applyBorder="1" applyAlignment="1">
      <alignment horizontal="left" inden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/>
    </xf>
    <xf numFmtId="0" fontId="4" fillId="0" borderId="87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/>
    </xf>
    <xf numFmtId="0" fontId="4" fillId="0" borderId="35" xfId="0" applyFont="1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19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indent="1"/>
    </xf>
    <xf numFmtId="1" fontId="15" fillId="0" borderId="5" xfId="0" applyNumberFormat="1" applyFont="1" applyBorder="1" applyAlignment="1">
      <alignment horizontal="center"/>
    </xf>
    <xf numFmtId="0" fontId="16" fillId="0" borderId="64" xfId="0" applyFont="1" applyBorder="1" applyAlignment="1">
      <alignment horizontal="center" vertical="center" wrapText="1"/>
    </xf>
    <xf numFmtId="0" fontId="17" fillId="0" borderId="67" xfId="0" applyFont="1" applyBorder="1"/>
    <xf numFmtId="0" fontId="33" fillId="0" borderId="62" xfId="0" applyFont="1" applyBorder="1" applyAlignment="1">
      <alignment horizontal="left" vertical="center" wrapText="1"/>
    </xf>
    <xf numFmtId="0" fontId="20" fillId="0" borderId="69" xfId="0" applyFont="1" applyBorder="1" applyAlignment="1">
      <alignment horizontal="left"/>
    </xf>
    <xf numFmtId="0" fontId="18" fillId="0" borderId="70" xfId="0" applyFont="1" applyBorder="1" applyAlignment="1">
      <alignment horizontal="left"/>
    </xf>
    <xf numFmtId="49" fontId="18" fillId="0" borderId="71" xfId="0" applyNumberFormat="1" applyFont="1" applyBorder="1" applyAlignment="1">
      <alignment horizontal="justify" vertical="center" wrapText="1"/>
    </xf>
    <xf numFmtId="0" fontId="21" fillId="0" borderId="70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15" fillId="0" borderId="66" xfId="0" applyFont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0" fontId="15" fillId="0" borderId="81" xfId="0" applyFont="1" applyBorder="1" applyAlignment="1">
      <alignment horizontal="left" vertical="center" wrapText="1"/>
    </xf>
    <xf numFmtId="0" fontId="0" fillId="0" borderId="70" xfId="0" applyBorder="1"/>
    <xf numFmtId="0" fontId="18" fillId="0" borderId="73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48" xfId="0" applyFont="1" applyBorder="1" applyAlignment="1">
      <alignment vertical="center" wrapText="1"/>
    </xf>
    <xf numFmtId="0" fontId="18" fillId="0" borderId="2" xfId="0" applyFont="1" applyBorder="1"/>
    <xf numFmtId="0" fontId="4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3" fontId="15" fillId="9" borderId="5" xfId="0" applyNumberFormat="1" applyFont="1" applyFill="1" applyBorder="1" applyAlignment="1">
      <alignment horizontal="center"/>
    </xf>
    <xf numFmtId="0" fontId="16" fillId="9" borderId="14" xfId="0" applyFont="1" applyFill="1" applyBorder="1" applyAlignment="1">
      <alignment horizontal="center" vertical="center" wrapText="1"/>
    </xf>
    <xf numFmtId="0" fontId="17" fillId="0" borderId="89" xfId="0" applyFont="1" applyBorder="1"/>
    <xf numFmtId="0" fontId="17" fillId="0" borderId="90" xfId="0" applyFont="1" applyBorder="1"/>
    <xf numFmtId="0" fontId="18" fillId="0" borderId="90" xfId="0" applyFont="1" applyBorder="1" applyAlignment="1">
      <alignment horizontal="left" indent="1"/>
    </xf>
    <xf numFmtId="0" fontId="18" fillId="0" borderId="64" xfId="0" applyFont="1" applyBorder="1" applyAlignment="1">
      <alignment horizontal="left" indent="1"/>
    </xf>
    <xf numFmtId="0" fontId="19" fillId="0" borderId="91" xfId="0" applyFont="1" applyBorder="1" applyAlignment="1">
      <alignment horizontal="left" vertical="center" wrapText="1"/>
    </xf>
    <xf numFmtId="0" fontId="20" fillId="0" borderId="67" xfId="0" applyFont="1" applyBorder="1" applyAlignment="1">
      <alignment horizontal="left"/>
    </xf>
    <xf numFmtId="0" fontId="20" fillId="0" borderId="68" xfId="0" applyFont="1" applyBorder="1" applyAlignment="1">
      <alignment horizontal="left"/>
    </xf>
    <xf numFmtId="0" fontId="18" fillId="0" borderId="2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0" fontId="18" fillId="0" borderId="48" xfId="0" applyFont="1" applyBorder="1" applyAlignment="1">
      <alignment horizontal="left" vertical="center" wrapText="1" indent="1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 wrapText="1"/>
    </xf>
    <xf numFmtId="0" fontId="21" fillId="0" borderId="95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4" fillId="9" borderId="63" xfId="0" applyFont="1" applyFill="1" applyBorder="1" applyAlignment="1">
      <alignment horizontal="left" vertical="center" wrapText="1"/>
    </xf>
    <xf numFmtId="0" fontId="4" fillId="9" borderId="97" xfId="0" applyFont="1" applyFill="1" applyBorder="1" applyAlignment="1">
      <alignment horizontal="left" vertical="center" wrapText="1"/>
    </xf>
    <xf numFmtId="0" fontId="0" fillId="9" borderId="35" xfId="0" applyFill="1" applyBorder="1" applyAlignment="1">
      <alignment horizontal="left" vertical="center" wrapText="1"/>
    </xf>
    <xf numFmtId="0" fontId="18" fillId="0" borderId="81" xfId="0" applyFont="1" applyBorder="1" applyAlignment="1">
      <alignment horizontal="left" vertical="center" wrapText="1" indent="1"/>
    </xf>
    <xf numFmtId="0" fontId="18" fillId="0" borderId="82" xfId="0" applyFont="1" applyBorder="1" applyAlignment="1">
      <alignment horizontal="left" vertical="center" wrapText="1" indent="1"/>
    </xf>
    <xf numFmtId="0" fontId="18" fillId="0" borderId="101" xfId="0" applyFont="1" applyBorder="1" applyAlignment="1">
      <alignment horizontal="left" vertical="center" wrapText="1" indent="1"/>
    </xf>
    <xf numFmtId="0" fontId="18" fillId="0" borderId="102" xfId="0" applyFont="1" applyBorder="1" applyAlignment="1">
      <alignment horizontal="left" vertical="center" wrapText="1" indent="1"/>
    </xf>
    <xf numFmtId="0" fontId="18" fillId="0" borderId="103" xfId="0" applyFont="1" applyBorder="1" applyAlignment="1">
      <alignment horizontal="left" vertical="center" wrapText="1" indent="1"/>
    </xf>
    <xf numFmtId="0" fontId="0" fillId="0" borderId="92" xfId="0" applyBorder="1"/>
    <xf numFmtId="0" fontId="0" fillId="0" borderId="93" xfId="0" applyBorder="1"/>
    <xf numFmtId="0" fontId="4" fillId="0" borderId="107" xfId="0" applyFont="1" applyBorder="1" applyAlignment="1">
      <alignment horizontal="left" vertical="center" wrapText="1"/>
    </xf>
    <xf numFmtId="0" fontId="4" fillId="0" borderId="10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19" fillId="0" borderId="15" xfId="3" applyFont="1" applyBorder="1" applyAlignment="1">
      <alignment horizontal="left" vertical="center" wrapText="1"/>
    </xf>
    <xf numFmtId="0" fontId="19" fillId="0" borderId="16" xfId="3" applyFont="1" applyBorder="1" applyAlignment="1">
      <alignment horizontal="left" vertical="center" wrapText="1"/>
    </xf>
    <xf numFmtId="0" fontId="19" fillId="0" borderId="17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left" indent="1"/>
    </xf>
    <xf numFmtId="0" fontId="13" fillId="0" borderId="4" xfId="3" applyBorder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0" fontId="17" fillId="0" borderId="14" xfId="3" applyFont="1" applyBorder="1"/>
    <xf numFmtId="0" fontId="4" fillId="0" borderId="111" xfId="0" applyFont="1" applyBorder="1" applyAlignment="1">
      <alignment horizontal="left" vertical="center" wrapText="1"/>
    </xf>
    <xf numFmtId="0" fontId="4" fillId="0" borderId="112" xfId="0" applyFont="1" applyBorder="1" applyAlignment="1">
      <alignment horizontal="left" vertical="center" wrapText="1"/>
    </xf>
    <xf numFmtId="0" fontId="20" fillId="0" borderId="14" xfId="3" applyFont="1" applyBorder="1" applyAlignment="1">
      <alignment horizontal="left"/>
    </xf>
    <xf numFmtId="0" fontId="18" fillId="0" borderId="18" xfId="3" applyFont="1" applyBorder="1"/>
    <xf numFmtId="0" fontId="18" fillId="0" borderId="20" xfId="3" applyFont="1" applyBorder="1" applyAlignment="1">
      <alignment horizontal="left" vertical="center" wrapText="1" indent="1"/>
    </xf>
    <xf numFmtId="0" fontId="21" fillId="0" borderId="24" xfId="3" applyFont="1" applyBorder="1" applyAlignment="1">
      <alignment horizontal="center" vertical="center"/>
    </xf>
    <xf numFmtId="0" fontId="21" fillId="0" borderId="14" xfId="3" applyFont="1" applyBorder="1" applyAlignment="1">
      <alignment horizontal="center" vertical="center"/>
    </xf>
    <xf numFmtId="0" fontId="21" fillId="0" borderId="24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/>
    </xf>
    <xf numFmtId="0" fontId="18" fillId="0" borderId="41" xfId="3" applyFont="1" applyBorder="1" applyAlignment="1">
      <alignment horizontal="left" vertical="center" wrapText="1" indent="1"/>
    </xf>
    <xf numFmtId="0" fontId="15" fillId="0" borderId="4" xfId="3" applyFont="1" applyBorder="1" applyAlignment="1">
      <alignment vertical="center" wrapText="1"/>
    </xf>
    <xf numFmtId="0" fontId="15" fillId="0" borderId="42" xfId="3" applyFont="1" applyBorder="1" applyAlignment="1">
      <alignment vertical="center" wrapText="1"/>
    </xf>
    <xf numFmtId="0" fontId="15" fillId="0" borderId="43" xfId="3" applyFont="1" applyBorder="1" applyAlignment="1">
      <alignment vertical="center" wrapText="1"/>
    </xf>
    <xf numFmtId="0" fontId="18" fillId="0" borderId="25" xfId="3" applyFont="1" applyBorder="1" applyAlignment="1">
      <alignment vertical="center" wrapText="1"/>
    </xf>
    <xf numFmtId="0" fontId="13" fillId="0" borderId="35" xfId="3" applyBorder="1" applyAlignment="1">
      <alignment horizontal="left" vertical="center"/>
    </xf>
    <xf numFmtId="0" fontId="13" fillId="0" borderId="38" xfId="3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3" fillId="0" borderId="24" xfId="3" applyBorder="1"/>
  </cellXfs>
  <cellStyles count="5">
    <cellStyle name="Moneda" xfId="1" builtinId="4"/>
    <cellStyle name="Moneda 2" xfId="4" xr:uid="{67A0A117-0F65-4A24-80A3-C9BBABFE026A}"/>
    <cellStyle name="Moneda_AUTORIZACION Y NOTA DE PEDIDO" xfId="2" xr:uid="{A9A85BC4-0D5B-4EF3-9F39-5D8B0305FB8B}"/>
    <cellStyle name="Normal" xfId="0" builtinId="0"/>
    <cellStyle name="Normal 24" xfId="3" xr:uid="{7C3140B7-E363-4960-960A-42A7A8D553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11D15922-58F2-4815-AC62-FF1C8C196721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7C12262B-BCF8-41D0-88AD-ADDE93307D90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B9FC27EC-D540-4CE6-B994-966A9F558A0E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1ABB6689-59D3-4811-A515-A607DDD327D6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25C75855-FC39-4801-83C5-38CD6D017308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F7D110F9-C91C-48D4-9CC1-4D062571BEB5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89BDE61F-20AD-48EE-BA82-6AC5B74BDBAB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6A5C5B2B-C4A2-41C7-8248-0003E781FF9B}"/>
            </a:ext>
          </a:extLst>
        </xdr:cNvPr>
        <xdr:cNvSpPr/>
      </xdr:nvSpPr>
      <xdr:spPr>
        <a:xfrm>
          <a:off x="7381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EB31F996-D8C6-4CD2-806E-1F3AB8A4E3E9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42CF55D4-505D-4792-A6F2-843CDF6B0572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877F4046-C089-4E67-98B4-4A6BB3047A04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84B815FA-AACC-436A-96F8-FE72E5269755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35D9D9B4-7B20-44B0-A463-56A49989DCB5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69EB9038-4C24-4015-A4E9-4E8DA55B893E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85141EA6-E20F-4173-B5BA-2BBAC8A63348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62BCB9D1-178F-44D5-8833-071FE7FD6A4C}"/>
            </a:ext>
          </a:extLst>
        </xdr:cNvPr>
        <xdr:cNvSpPr/>
      </xdr:nvSpPr>
      <xdr:spPr>
        <a:xfrm>
          <a:off x="80104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1-04-13%20-%20COPIA%203%20DIAS%20sin%20oficina\TRIMESTRAL\2021\03-JULIO-AGOSTO-SEPTIEMBRE\00-COMPRA%20OFICIAL\01-MHP\03-1-1-HIGIENE-MHP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1-04-13%20-%20COPIA%203%20DIAS%20sin%20oficina\TRIMESTRAL\2021\03-JULIO-AGOSTO-SEPTIEMBRE\00-COMPRA%20OFICIAL\03-SAF9\03-1-1-HIGIENE-SAF-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1-04-13%20-%20COPIA%203%20DIAS%20sin%20oficina\TRIMESTRAL\2021\03-JULIO-AGOSTO-SEPTIEMBRE\00-COMPRA%20OFICIAL\04-Sec%20Compras%20y%20Abast\0-NecesidadesTrimestrales-NP-APG%20BOTIQU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1-04-13%20-%20COPIA%203%20DIAS%20sin%20oficina\TRIMESTRAL\2021\03-JULIO-AGOSTO-SEPTIEMBRE\00-COMPRA%20OFICIAL\05-FINANZAS\03-1-1-HIGIENE-FINANZAS-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MPRAS-2021\16-06-21\03-1-1-HIGIENE-SAF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>
        <row r="6">
          <cell r="C6">
            <v>2021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>
        <row r="6">
          <cell r="C6">
            <v>2021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1">
          <cell r="H1" t="str">
            <v>98/2021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>
        <row r="6">
          <cell r="C6">
            <v>2021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 refreshError="1">
        <row r="6">
          <cell r="C6">
            <v>2021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topLeftCell="A7" zoomScale="115" zoomScaleNormal="115" workbookViewId="0">
      <selection activeCell="I22" sqref="I22"/>
    </sheetView>
  </sheetViews>
  <sheetFormatPr baseColWidth="10" defaultColWidth="12.5703125" defaultRowHeight="12.75" x14ac:dyDescent="0.2"/>
  <cols>
    <col min="1" max="1" width="4.140625" style="4" customWidth="1"/>
    <col min="2" max="2" width="12.7109375" style="14" customWidth="1"/>
    <col min="3" max="3" width="24" style="4" customWidth="1"/>
    <col min="4" max="4" width="6.140625" style="14" customWidth="1"/>
    <col min="5" max="5" width="62" style="4" customWidth="1"/>
    <col min="6" max="6" width="11.28515625" style="4" customWidth="1"/>
    <col min="7" max="7" width="12.140625" style="4" customWidth="1"/>
    <col min="8" max="8" width="13.28515625" style="4" customWidth="1"/>
    <col min="9" max="9" width="15.5703125" style="4" customWidth="1"/>
    <col min="10" max="28" width="11" style="4" customWidth="1"/>
    <col min="29" max="16384" width="12.5703125" style="4"/>
  </cols>
  <sheetData>
    <row r="1" spans="1:28" ht="27" x14ac:dyDescent="0.2">
      <c r="A1" s="21"/>
      <c r="B1" s="262" t="s">
        <v>0</v>
      </c>
      <c r="C1" s="262"/>
      <c r="D1" s="262"/>
      <c r="E1" s="262"/>
      <c r="F1" s="262"/>
      <c r="G1" s="262"/>
      <c r="H1" s="262"/>
      <c r="I1" s="2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8" ht="15" x14ac:dyDescent="0.2">
      <c r="A2" s="23"/>
      <c r="B2" s="24"/>
      <c r="C2" s="24"/>
      <c r="D2" s="24"/>
      <c r="E2" s="25"/>
      <c r="F2" s="26"/>
      <c r="G2" s="26"/>
      <c r="H2" s="27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8" customFormat="1" ht="24.75" customHeight="1" x14ac:dyDescent="0.2">
      <c r="A3" s="264" t="s">
        <v>1</v>
      </c>
      <c r="B3" s="265"/>
      <c r="C3" s="266" t="s">
        <v>15</v>
      </c>
      <c r="D3" s="268"/>
      <c r="E3" s="268"/>
      <c r="F3" s="5"/>
      <c r="G3" s="6"/>
      <c r="H3" s="7"/>
      <c r="I3" s="2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8" customFormat="1" ht="26.25" customHeight="1" x14ac:dyDescent="0.2">
      <c r="A4" s="264" t="s">
        <v>2</v>
      </c>
      <c r="B4" s="265"/>
      <c r="C4" s="266" t="s">
        <v>14</v>
      </c>
      <c r="D4" s="266"/>
      <c r="E4" s="266"/>
      <c r="F4" s="266"/>
      <c r="G4" s="266"/>
      <c r="H4" s="266"/>
      <c r="I4" s="26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s="8" customFormat="1" ht="21.75" customHeight="1" x14ac:dyDescent="0.2">
      <c r="A5" s="264" t="s">
        <v>3</v>
      </c>
      <c r="B5" s="265"/>
      <c r="C5" s="18">
        <v>2021</v>
      </c>
      <c r="D5" s="9"/>
      <c r="E5" s="18"/>
      <c r="F5" s="5"/>
      <c r="G5" s="6"/>
      <c r="H5" s="7"/>
      <c r="I5" s="2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s="8" customFormat="1" ht="21" customHeight="1" x14ac:dyDescent="0.2">
      <c r="A6" s="264" t="s">
        <v>4</v>
      </c>
      <c r="B6" s="265"/>
      <c r="C6" s="18">
        <v>3</v>
      </c>
      <c r="D6" s="9"/>
      <c r="E6" s="18"/>
      <c r="F6" s="5"/>
      <c r="G6" s="6"/>
      <c r="H6" s="7"/>
      <c r="I6" s="2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s="8" customFormat="1" ht="45.75" thickBot="1" x14ac:dyDescent="0.2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12</v>
      </c>
      <c r="I7" s="19" t="s">
        <v>13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8" customFormat="1" ht="15" x14ac:dyDescent="0.2">
      <c r="A8" s="85">
        <v>1</v>
      </c>
      <c r="B8" s="86" t="s">
        <v>86</v>
      </c>
      <c r="C8" s="86" t="s">
        <v>87</v>
      </c>
      <c r="D8" s="87" t="s">
        <v>88</v>
      </c>
      <c r="E8" s="88" t="s">
        <v>89</v>
      </c>
      <c r="F8" s="86" t="s">
        <v>55</v>
      </c>
      <c r="G8" s="169">
        <f>+'NP - MHP'!G11+'NP - SAF'!G11+'NP - FINANZAS'!G11+'NP - TGP'!G11+'NP - SSP'!G11+'NP - CGP'!G13+'NP - CAU'!G11+'NP - CP'!G11</f>
        <v>121</v>
      </c>
      <c r="H8" s="89">
        <v>275</v>
      </c>
      <c r="I8" s="90">
        <f t="shared" ref="I8:I20" si="0">H8*G8</f>
        <v>33275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s="8" customFormat="1" ht="22.5" x14ac:dyDescent="0.2">
      <c r="A9" s="91">
        <v>2</v>
      </c>
      <c r="B9" s="92" t="s">
        <v>90</v>
      </c>
      <c r="C9" s="93" t="s">
        <v>87</v>
      </c>
      <c r="D9" s="94" t="s">
        <v>88</v>
      </c>
      <c r="E9" s="95" t="s">
        <v>91</v>
      </c>
      <c r="F9" s="93" t="s">
        <v>55</v>
      </c>
      <c r="G9" s="170">
        <f>+'NP - MHP'!G12+'NP - SAF'!G12+'NP - SCyA'!G12+'NP - FINANZAS'!G12+'NP - TGP'!G12+'NP - SSP'!G12+'NP - CGP'!G12+'NP - CAU'!G12</f>
        <v>247</v>
      </c>
      <c r="H9" s="96">
        <v>260</v>
      </c>
      <c r="I9" s="97">
        <f t="shared" si="0"/>
        <v>64220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s="8" customFormat="1" ht="22.5" x14ac:dyDescent="0.2">
      <c r="A10" s="91">
        <v>3</v>
      </c>
      <c r="B10" s="92" t="s">
        <v>92</v>
      </c>
      <c r="C10" s="93" t="s">
        <v>87</v>
      </c>
      <c r="D10" s="94" t="s">
        <v>88</v>
      </c>
      <c r="E10" s="95" t="s">
        <v>93</v>
      </c>
      <c r="F10" s="93" t="s">
        <v>55</v>
      </c>
      <c r="G10" s="170">
        <f>+'NP - MHP'!G13+'NP - SAF'!G13+'NP - FINANZAS'!G13+'NP - TGP'!G13+'NP - CAU'!G13</f>
        <v>61</v>
      </c>
      <c r="H10" s="96">
        <v>450</v>
      </c>
      <c r="I10" s="97">
        <f t="shared" si="0"/>
        <v>27450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s="8" customFormat="1" ht="22.5" x14ac:dyDescent="0.2">
      <c r="A11" s="91">
        <v>4</v>
      </c>
      <c r="B11" s="92" t="s">
        <v>94</v>
      </c>
      <c r="C11" s="93" t="s">
        <v>87</v>
      </c>
      <c r="D11" s="94" t="s">
        <v>88</v>
      </c>
      <c r="E11" s="95" t="s">
        <v>95</v>
      </c>
      <c r="F11" s="93" t="s">
        <v>55</v>
      </c>
      <c r="G11" s="170">
        <f>+'NP - CGP'!G11</f>
        <v>10</v>
      </c>
      <c r="H11" s="96">
        <v>1300</v>
      </c>
      <c r="I11" s="97">
        <f t="shared" si="0"/>
        <v>13000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s="8" customFormat="1" ht="22.5" x14ac:dyDescent="0.2">
      <c r="A12" s="91">
        <v>5</v>
      </c>
      <c r="B12" s="92" t="s">
        <v>96</v>
      </c>
      <c r="C12" s="93" t="s">
        <v>87</v>
      </c>
      <c r="D12" s="94" t="s">
        <v>97</v>
      </c>
      <c r="E12" s="95" t="s">
        <v>98</v>
      </c>
      <c r="F12" s="93" t="s">
        <v>55</v>
      </c>
      <c r="G12" s="170">
        <f>+'NP - MHP'!G14+'NP - SAF'!G14+'NP - FINANZAS'!G14+'NP - TGP'!G14+'NP - SSP'!G13+'NP - CAU'!G14+'NP - CP'!G12</f>
        <v>330</v>
      </c>
      <c r="H12" s="96">
        <v>650</v>
      </c>
      <c r="I12" s="97">
        <f t="shared" si="0"/>
        <v>214500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s="8" customFormat="1" ht="22.5" x14ac:dyDescent="0.2">
      <c r="A13" s="91">
        <v>6</v>
      </c>
      <c r="B13" s="92" t="s">
        <v>99</v>
      </c>
      <c r="C13" s="93" t="s">
        <v>87</v>
      </c>
      <c r="D13" s="94" t="s">
        <v>88</v>
      </c>
      <c r="E13" s="95" t="s">
        <v>100</v>
      </c>
      <c r="F13" s="93" t="s">
        <v>55</v>
      </c>
      <c r="G13" s="92">
        <f>+'NP - SCyA'!G11</f>
        <v>1</v>
      </c>
      <c r="H13" s="96">
        <v>100</v>
      </c>
      <c r="I13" s="97">
        <f t="shared" si="0"/>
        <v>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8" customFormat="1" ht="22.5" x14ac:dyDescent="0.2">
      <c r="A14" s="91">
        <v>7</v>
      </c>
      <c r="B14" s="92" t="s">
        <v>101</v>
      </c>
      <c r="C14" s="93" t="s">
        <v>87</v>
      </c>
      <c r="D14" s="94" t="s">
        <v>97</v>
      </c>
      <c r="E14" s="95" t="s">
        <v>102</v>
      </c>
      <c r="F14" s="93" t="s">
        <v>55</v>
      </c>
      <c r="G14" s="92">
        <f>+'NP - SCyA'!G13</f>
        <v>1</v>
      </c>
      <c r="H14" s="96">
        <v>200</v>
      </c>
      <c r="I14" s="97">
        <f t="shared" si="0"/>
        <v>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s="8" customFormat="1" ht="22.5" x14ac:dyDescent="0.2">
      <c r="A15" s="91">
        <v>8</v>
      </c>
      <c r="B15" s="92" t="s">
        <v>171</v>
      </c>
      <c r="C15" s="93" t="s">
        <v>87</v>
      </c>
      <c r="D15" s="94" t="s">
        <v>88</v>
      </c>
      <c r="E15" s="95" t="s">
        <v>172</v>
      </c>
      <c r="F15" s="93" t="s">
        <v>173</v>
      </c>
      <c r="G15" s="92">
        <f>+'NP - SCyA'!G14</f>
        <v>2</v>
      </c>
      <c r="H15" s="96">
        <v>100</v>
      </c>
      <c r="I15" s="97">
        <f t="shared" si="0"/>
        <v>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s="8" customFormat="1" ht="33.75" x14ac:dyDescent="0.2">
      <c r="A16" s="91">
        <v>9</v>
      </c>
      <c r="B16" s="92" t="s">
        <v>103</v>
      </c>
      <c r="C16" s="93" t="s">
        <v>87</v>
      </c>
      <c r="D16" s="94" t="s">
        <v>88</v>
      </c>
      <c r="E16" s="95" t="s">
        <v>104</v>
      </c>
      <c r="F16" s="93" t="s">
        <v>174</v>
      </c>
      <c r="G16" s="92">
        <f>+'NP - SCyA'!G15</f>
        <v>1</v>
      </c>
      <c r="H16" s="96">
        <v>400</v>
      </c>
      <c r="I16" s="97">
        <f t="shared" si="0"/>
        <v>400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s="8" customFormat="1" ht="22.5" x14ac:dyDescent="0.2">
      <c r="A17" s="91">
        <v>10</v>
      </c>
      <c r="B17" s="98" t="s">
        <v>105</v>
      </c>
      <c r="C17" s="93" t="s">
        <v>87</v>
      </c>
      <c r="D17" s="94" t="s">
        <v>97</v>
      </c>
      <c r="E17" s="95" t="s">
        <v>106</v>
      </c>
      <c r="F17" s="93" t="s">
        <v>173</v>
      </c>
      <c r="G17" s="92">
        <f>+'NP - SCyA'!G16</f>
        <v>2</v>
      </c>
      <c r="H17" s="96">
        <v>90</v>
      </c>
      <c r="I17" s="97">
        <f t="shared" si="0"/>
        <v>180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8" customFormat="1" ht="22.5" x14ac:dyDescent="0.2">
      <c r="A18" s="91">
        <v>11</v>
      </c>
      <c r="B18" s="98" t="s">
        <v>107</v>
      </c>
      <c r="C18" s="93" t="s">
        <v>87</v>
      </c>
      <c r="D18" s="238">
        <v>295</v>
      </c>
      <c r="E18" s="95" t="s">
        <v>108</v>
      </c>
      <c r="F18" s="93" t="s">
        <v>55</v>
      </c>
      <c r="G18" s="92">
        <f>+'NP - SCyA'!G17</f>
        <v>1</v>
      </c>
      <c r="H18" s="96">
        <v>1100</v>
      </c>
      <c r="I18" s="97">
        <f t="shared" si="0"/>
        <v>1100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s="8" customFormat="1" ht="22.5" x14ac:dyDescent="0.2">
      <c r="A19" s="91">
        <v>12</v>
      </c>
      <c r="B19" s="98" t="s">
        <v>109</v>
      </c>
      <c r="C19" s="93" t="s">
        <v>87</v>
      </c>
      <c r="D19" s="94" t="s">
        <v>97</v>
      </c>
      <c r="E19" s="95" t="s">
        <v>110</v>
      </c>
      <c r="F19" s="93" t="s">
        <v>173</v>
      </c>
      <c r="G19" s="92">
        <f>+'NP - SCyA'!G18</f>
        <v>1</v>
      </c>
      <c r="H19" s="96">
        <v>900</v>
      </c>
      <c r="I19" s="97">
        <f t="shared" si="0"/>
        <v>900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8" customFormat="1" ht="22.5" x14ac:dyDescent="0.2">
      <c r="A20" s="91">
        <v>13</v>
      </c>
      <c r="B20" s="92" t="s">
        <v>111</v>
      </c>
      <c r="C20" s="93" t="s">
        <v>87</v>
      </c>
      <c r="D20" s="94" t="s">
        <v>97</v>
      </c>
      <c r="E20" s="95" t="s">
        <v>112</v>
      </c>
      <c r="F20" s="93" t="s">
        <v>55</v>
      </c>
      <c r="G20" s="92">
        <f>+'NP - SCyA'!G19</f>
        <v>2</v>
      </c>
      <c r="H20" s="96">
        <v>275</v>
      </c>
      <c r="I20" s="97">
        <f t="shared" si="0"/>
        <v>550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6.5" hidden="1" customHeight="1" x14ac:dyDescent="0.2">
      <c r="A21" s="15"/>
      <c r="B21" s="15"/>
      <c r="C21" s="15"/>
      <c r="D21" s="15"/>
      <c r="E21" s="16"/>
      <c r="F21" s="15"/>
      <c r="G21" s="167">
        <f>+'NP - MHP'!G16+'NP - SAF'!G16+'NP - SCyA'!G21+'NP - FINANZAS'!G16+'NP - TGP'!G16+'NP - SSP'!G15+'NP - CGP'!G15+'NP - CAU'!G16+'NP - CP'!G14</f>
        <v>780</v>
      </c>
      <c r="H21" s="134" t="s">
        <v>74</v>
      </c>
      <c r="I21" s="136">
        <f>+'APG - MHP'!Q18+'APG - SAF'!Q18+'APG - SCyA'!Q22+'APG - FINANZAS'!Q18+'APG - TGP'!Q22+'APG - SSP'!Q18+'APG - CGP'!Q23+'APG - CAU'!Q19+'APG - CP'!Q19</f>
        <v>366905</v>
      </c>
      <c r="J21" s="1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26.25" customHeight="1" thickBot="1" x14ac:dyDescent="0.25">
      <c r="A22" s="10"/>
      <c r="B22" s="2"/>
      <c r="C22" s="2"/>
      <c r="D22" s="2"/>
      <c r="E22" s="11"/>
      <c r="F22" s="10"/>
      <c r="G22" s="10"/>
      <c r="H22" s="12"/>
      <c r="I22" s="13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s="33" customFormat="1" ht="15.75" x14ac:dyDescent="0.25">
      <c r="A23" s="65"/>
      <c r="B23" s="249" t="s">
        <v>175</v>
      </c>
      <c r="C23" s="250"/>
      <c r="D23" s="250"/>
      <c r="E23" s="251"/>
      <c r="F23" s="65"/>
      <c r="G23" s="65"/>
      <c r="H23" s="66"/>
      <c r="I23" s="67"/>
    </row>
    <row r="24" spans="1:28" s="33" customFormat="1" ht="15.75" x14ac:dyDescent="0.25">
      <c r="A24" s="65"/>
      <c r="B24" s="252"/>
      <c r="C24" s="253"/>
      <c r="D24" s="253"/>
      <c r="E24" s="254"/>
      <c r="F24" s="65"/>
      <c r="G24" s="65"/>
      <c r="H24" s="66"/>
      <c r="I24" s="67"/>
    </row>
    <row r="25" spans="1:28" s="33" customFormat="1" ht="15.75" customHeight="1" x14ac:dyDescent="0.25">
      <c r="A25" s="65"/>
      <c r="B25" s="252"/>
      <c r="C25" s="253"/>
      <c r="D25" s="253"/>
      <c r="E25" s="254"/>
      <c r="F25" s="65"/>
      <c r="G25" s="65"/>
      <c r="H25" s="66"/>
      <c r="I25" s="67"/>
    </row>
    <row r="26" spans="1:28" s="33" customFormat="1" ht="7.5" customHeight="1" x14ac:dyDescent="0.25">
      <c r="A26" s="65"/>
      <c r="B26" s="252"/>
      <c r="C26" s="253"/>
      <c r="D26" s="253"/>
      <c r="E26" s="254"/>
      <c r="F26" s="65"/>
      <c r="G26" s="65"/>
      <c r="H26" s="66"/>
      <c r="I26" s="67"/>
    </row>
    <row r="27" spans="1:28" s="68" customFormat="1" ht="15.75" x14ac:dyDescent="0.25">
      <c r="B27" s="252"/>
      <c r="C27" s="253"/>
      <c r="D27" s="253"/>
      <c r="E27" s="254"/>
    </row>
    <row r="28" spans="1:28" s="68" customFormat="1" ht="15.75" x14ac:dyDescent="0.25">
      <c r="B28" s="255" t="s">
        <v>57</v>
      </c>
      <c r="C28" s="256"/>
      <c r="D28" s="83"/>
      <c r="E28" s="84"/>
    </row>
    <row r="29" spans="1:28" s="68" customFormat="1" ht="6.75" customHeight="1" x14ac:dyDescent="0.25">
      <c r="B29" s="150"/>
      <c r="C29" s="149"/>
      <c r="D29" s="83"/>
      <c r="E29" s="84"/>
    </row>
    <row r="30" spans="1:28" ht="23.25" customHeight="1" x14ac:dyDescent="0.2">
      <c r="B30" s="259" t="s">
        <v>85</v>
      </c>
      <c r="C30" s="260"/>
      <c r="D30" s="260"/>
      <c r="E30" s="261"/>
    </row>
    <row r="31" spans="1:28" ht="15.75" customHeight="1" x14ac:dyDescent="0.2">
      <c r="B31" s="241" t="s">
        <v>81</v>
      </c>
      <c r="C31" s="242"/>
      <c r="D31" s="242"/>
      <c r="E31" s="243"/>
    </row>
    <row r="32" spans="1:28" ht="15.75" customHeight="1" x14ac:dyDescent="0.2">
      <c r="B32" s="241" t="s">
        <v>76</v>
      </c>
      <c r="C32" s="242"/>
      <c r="D32" s="242"/>
      <c r="E32" s="243"/>
    </row>
    <row r="33" spans="2:5" ht="15.75" customHeight="1" x14ac:dyDescent="0.2">
      <c r="B33" s="241" t="s">
        <v>77</v>
      </c>
      <c r="C33" s="242"/>
      <c r="D33" s="242"/>
      <c r="E33" s="243"/>
    </row>
    <row r="34" spans="2:5" ht="15.75" customHeight="1" x14ac:dyDescent="0.2">
      <c r="B34" s="241" t="s">
        <v>78</v>
      </c>
      <c r="C34" s="242"/>
      <c r="D34" s="242"/>
      <c r="E34" s="243"/>
    </row>
    <row r="35" spans="2:5" ht="15.75" customHeight="1" x14ac:dyDescent="0.2">
      <c r="B35" s="241" t="s">
        <v>79</v>
      </c>
      <c r="C35" s="242"/>
      <c r="D35" s="242"/>
      <c r="E35" s="243"/>
    </row>
    <row r="36" spans="2:5" ht="15.75" customHeight="1" x14ac:dyDescent="0.2">
      <c r="B36" s="241" t="s">
        <v>80</v>
      </c>
      <c r="C36" s="242"/>
      <c r="D36" s="242"/>
      <c r="E36" s="243"/>
    </row>
    <row r="37" spans="2:5" ht="15.75" customHeight="1" x14ac:dyDescent="0.2">
      <c r="B37" s="241" t="s">
        <v>82</v>
      </c>
      <c r="C37" s="242"/>
      <c r="D37" s="242"/>
      <c r="E37" s="243"/>
    </row>
    <row r="38" spans="2:5" ht="15.75" customHeight="1" x14ac:dyDescent="0.2">
      <c r="B38" s="241" t="s">
        <v>83</v>
      </c>
      <c r="C38" s="242"/>
      <c r="D38" s="242"/>
      <c r="E38" s="243"/>
    </row>
    <row r="39" spans="2:5" ht="15.75" customHeight="1" thickBot="1" x14ac:dyDescent="0.25">
      <c r="B39" s="247" t="s">
        <v>84</v>
      </c>
      <c r="C39" s="248"/>
      <c r="D39" s="248"/>
      <c r="E39" s="257"/>
    </row>
    <row r="40" spans="2:5" ht="16.5" thickBot="1" x14ac:dyDescent="0.3">
      <c r="B40" s="258"/>
      <c r="C40" s="258"/>
      <c r="D40" s="258"/>
      <c r="E40" s="258"/>
    </row>
    <row r="41" spans="2:5" ht="15.75" x14ac:dyDescent="0.25">
      <c r="B41" s="239" t="s">
        <v>75</v>
      </c>
      <c r="C41" s="240"/>
      <c r="D41" s="140">
        <v>1</v>
      </c>
      <c r="E41" s="69"/>
    </row>
    <row r="42" spans="2:5" ht="15.75" x14ac:dyDescent="0.25">
      <c r="B42" s="141"/>
      <c r="C42" s="142"/>
      <c r="D42" s="143"/>
      <c r="E42" s="70"/>
    </row>
    <row r="43" spans="2:5" ht="15.75" x14ac:dyDescent="0.25">
      <c r="B43" s="138" t="s">
        <v>56</v>
      </c>
      <c r="C43" s="68"/>
      <c r="D43" s="68"/>
      <c r="E43" s="70"/>
    </row>
    <row r="44" spans="2:5" ht="15.75" customHeight="1" x14ac:dyDescent="0.2">
      <c r="B44" s="241" t="s">
        <v>136</v>
      </c>
      <c r="C44" s="242"/>
      <c r="D44" s="242"/>
      <c r="E44" s="243"/>
    </row>
    <row r="45" spans="2:5" ht="16.5" thickBot="1" x14ac:dyDescent="0.3">
      <c r="B45" s="151"/>
      <c r="C45" s="152"/>
      <c r="D45" s="152"/>
      <c r="E45" s="139"/>
    </row>
    <row r="46" spans="2:5" ht="15.75" x14ac:dyDescent="0.25">
      <c r="B46" s="153"/>
      <c r="C46" s="153"/>
      <c r="D46" s="153"/>
      <c r="E46" s="153"/>
    </row>
    <row r="47" spans="2:5" ht="13.5" thickBot="1" x14ac:dyDescent="0.25"/>
    <row r="48" spans="2:5" ht="15.75" x14ac:dyDescent="0.25">
      <c r="B48" s="239" t="s">
        <v>75</v>
      </c>
      <c r="C48" s="240"/>
      <c r="D48" s="140">
        <v>2</v>
      </c>
      <c r="E48" s="69"/>
    </row>
    <row r="49" spans="2:5" ht="15.75" x14ac:dyDescent="0.25">
      <c r="B49" s="141"/>
      <c r="C49" s="142"/>
      <c r="D49" s="143"/>
      <c r="E49" s="70"/>
    </row>
    <row r="50" spans="2:5" ht="15.75" x14ac:dyDescent="0.25">
      <c r="B50" s="138" t="s">
        <v>56</v>
      </c>
      <c r="C50" s="68"/>
      <c r="D50" s="68"/>
      <c r="E50" s="70"/>
    </row>
    <row r="51" spans="2:5" ht="15.75" customHeight="1" x14ac:dyDescent="0.2">
      <c r="B51" s="241" t="s">
        <v>137</v>
      </c>
      <c r="C51" s="242"/>
      <c r="D51" s="242"/>
      <c r="E51" s="243"/>
    </row>
    <row r="52" spans="2:5" ht="16.5" thickBot="1" x14ac:dyDescent="0.3">
      <c r="B52" s="151"/>
      <c r="C52" s="152"/>
      <c r="D52" s="152"/>
      <c r="E52" s="139"/>
    </row>
    <row r="54" spans="2:5" ht="13.5" thickBot="1" x14ac:dyDescent="0.25">
      <c r="B54" s="154"/>
      <c r="C54" s="155"/>
      <c r="D54" s="154"/>
      <c r="E54" s="155"/>
    </row>
    <row r="55" spans="2:5" ht="15.75" x14ac:dyDescent="0.25">
      <c r="B55" s="239" t="s">
        <v>75</v>
      </c>
      <c r="C55" s="240"/>
      <c r="D55" s="140">
        <v>3</v>
      </c>
      <c r="E55" s="69"/>
    </row>
    <row r="56" spans="2:5" ht="15.75" x14ac:dyDescent="0.25">
      <c r="B56" s="141"/>
      <c r="C56" s="142"/>
      <c r="D56" s="143"/>
      <c r="E56" s="70"/>
    </row>
    <row r="57" spans="2:5" ht="15.75" x14ac:dyDescent="0.25">
      <c r="B57" s="138" t="s">
        <v>56</v>
      </c>
      <c r="C57" s="68"/>
      <c r="D57" s="68"/>
      <c r="E57" s="70"/>
    </row>
    <row r="58" spans="2:5" ht="15.75" customHeight="1" x14ac:dyDescent="0.2">
      <c r="B58" s="241" t="s">
        <v>138</v>
      </c>
      <c r="C58" s="242"/>
      <c r="D58" s="242"/>
      <c r="E58" s="243"/>
    </row>
    <row r="59" spans="2:5" ht="16.5" thickBot="1" x14ac:dyDescent="0.3">
      <c r="B59" s="151"/>
      <c r="C59" s="152"/>
      <c r="D59" s="152"/>
      <c r="E59" s="139"/>
    </row>
    <row r="60" spans="2:5" ht="16.5" thickBot="1" x14ac:dyDescent="0.3">
      <c r="B60" s="137"/>
      <c r="C60" s="137"/>
      <c r="D60" s="137"/>
      <c r="E60" s="153"/>
    </row>
    <row r="61" spans="2:5" ht="15.75" x14ac:dyDescent="0.25">
      <c r="B61" s="239" t="s">
        <v>75</v>
      </c>
      <c r="C61" s="240"/>
      <c r="D61" s="140">
        <v>4</v>
      </c>
      <c r="E61" s="69"/>
    </row>
    <row r="62" spans="2:5" ht="15.75" x14ac:dyDescent="0.25">
      <c r="B62" s="141"/>
      <c r="C62" s="142"/>
      <c r="D62" s="143"/>
      <c r="E62" s="70"/>
    </row>
    <row r="63" spans="2:5" ht="15.75" x14ac:dyDescent="0.25">
      <c r="B63" s="138" t="s">
        <v>56</v>
      </c>
      <c r="C63" s="68"/>
      <c r="D63" s="68"/>
      <c r="E63" s="70"/>
    </row>
    <row r="64" spans="2:5" ht="35.25" customHeight="1" x14ac:dyDescent="0.2">
      <c r="B64" s="241" t="s">
        <v>139</v>
      </c>
      <c r="C64" s="242"/>
      <c r="D64" s="242"/>
      <c r="E64" s="243"/>
    </row>
    <row r="65" spans="2:5" ht="16.5" thickBot="1" x14ac:dyDescent="0.3">
      <c r="B65" s="151"/>
      <c r="C65" s="152"/>
      <c r="D65" s="152"/>
      <c r="E65" s="139"/>
    </row>
    <row r="66" spans="2:5" ht="13.5" thickBot="1" x14ac:dyDescent="0.25"/>
    <row r="67" spans="2:5" ht="15.75" x14ac:dyDescent="0.25">
      <c r="B67" s="239" t="s">
        <v>75</v>
      </c>
      <c r="C67" s="240"/>
      <c r="D67" s="140">
        <v>5</v>
      </c>
      <c r="E67" s="69"/>
    </row>
    <row r="68" spans="2:5" ht="15.75" x14ac:dyDescent="0.25">
      <c r="B68" s="141"/>
      <c r="C68" s="142"/>
      <c r="D68" s="143"/>
      <c r="E68" s="70"/>
    </row>
    <row r="69" spans="2:5" ht="15.75" x14ac:dyDescent="0.25">
      <c r="B69" s="138" t="s">
        <v>56</v>
      </c>
      <c r="C69" s="153"/>
      <c r="D69" s="153"/>
      <c r="E69" s="70"/>
    </row>
    <row r="70" spans="2:5" ht="47.25" customHeight="1" x14ac:dyDescent="0.2">
      <c r="B70" s="244" t="s">
        <v>140</v>
      </c>
      <c r="C70" s="245"/>
      <c r="D70" s="245"/>
      <c r="E70" s="246"/>
    </row>
    <row r="71" spans="2:5" ht="16.5" thickBot="1" x14ac:dyDescent="0.3">
      <c r="B71" s="247"/>
      <c r="C71" s="248"/>
      <c r="D71" s="248"/>
      <c r="E71" s="139"/>
    </row>
  </sheetData>
  <mergeCells count="31">
    <mergeCell ref="B41:C41"/>
    <mergeCell ref="B30:E30"/>
    <mergeCell ref="B31:E31"/>
    <mergeCell ref="B1:I1"/>
    <mergeCell ref="A6:B6"/>
    <mergeCell ref="C4:I4"/>
    <mergeCell ref="A5:B5"/>
    <mergeCell ref="A3:B3"/>
    <mergeCell ref="C3:E3"/>
    <mergeCell ref="A4:B4"/>
    <mergeCell ref="B71:D71"/>
    <mergeCell ref="B61:C61"/>
    <mergeCell ref="B64:E64"/>
    <mergeCell ref="B23:E27"/>
    <mergeCell ref="B28:C28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8:C48"/>
    <mergeCell ref="B44:E44"/>
    <mergeCell ref="B55:C55"/>
    <mergeCell ref="B58:E58"/>
    <mergeCell ref="B51:E51"/>
    <mergeCell ref="B70:E70"/>
    <mergeCell ref="B67:C67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C8D6-5E37-4542-9318-B4303E4FE153}">
  <dimension ref="A1:Z17"/>
  <sheetViews>
    <sheetView zoomScale="115" zoomScaleNormal="115" workbookViewId="0">
      <selection activeCell="B22" sqref="B22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x14ac:dyDescent="0.2">
      <c r="A6" s="264" t="s">
        <v>50</v>
      </c>
      <c r="B6" s="265"/>
      <c r="C6" s="266" t="s">
        <v>54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54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6.5" customHeight="1" x14ac:dyDescent="0.2">
      <c r="A8" s="264" t="s">
        <v>4</v>
      </c>
      <c r="B8" s="265"/>
      <c r="C8" s="144" t="s">
        <v>52</v>
      </c>
      <c r="D8" s="144"/>
      <c r="E8" s="9"/>
      <c r="F8" s="144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20.25" customHeight="1" x14ac:dyDescent="0.2">
      <c r="A9" s="264" t="s">
        <v>53</v>
      </c>
      <c r="B9" s="265"/>
      <c r="C9" s="275" t="s">
        <v>114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20</v>
      </c>
      <c r="E11" s="74" t="s">
        <v>55</v>
      </c>
      <c r="F11" s="75">
        <v>350</v>
      </c>
      <c r="G11" s="157">
        <v>20</v>
      </c>
      <c r="H11" s="77">
        <f t="shared" ref="H11:H13" si="0">+G11*F11</f>
        <v>7000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ht="28.5" x14ac:dyDescent="0.2">
      <c r="A12" s="81">
        <v>2</v>
      </c>
      <c r="B12" s="71" t="s">
        <v>90</v>
      </c>
      <c r="C12" s="72" t="s">
        <v>91</v>
      </c>
      <c r="D12" s="63" t="s">
        <v>20</v>
      </c>
      <c r="E12" s="64" t="s">
        <v>55</v>
      </c>
      <c r="F12" s="75">
        <v>275</v>
      </c>
      <c r="G12" s="157">
        <v>20</v>
      </c>
      <c r="H12" s="77">
        <f t="shared" si="0"/>
        <v>5500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6" ht="28.5" x14ac:dyDescent="0.2">
      <c r="A13" s="81">
        <v>3</v>
      </c>
      <c r="B13" s="71" t="s">
        <v>92</v>
      </c>
      <c r="C13" s="72" t="s">
        <v>93</v>
      </c>
      <c r="D13" s="76" t="s">
        <v>20</v>
      </c>
      <c r="E13" s="64" t="s">
        <v>55</v>
      </c>
      <c r="F13" s="75">
        <v>450</v>
      </c>
      <c r="G13" s="157">
        <v>15</v>
      </c>
      <c r="H13" s="77">
        <f t="shared" si="0"/>
        <v>6750</v>
      </c>
    </row>
    <row r="14" spans="1:26" ht="33.75" customHeight="1" x14ac:dyDescent="0.2">
      <c r="A14" s="81">
        <v>4</v>
      </c>
      <c r="B14" s="71" t="s">
        <v>96</v>
      </c>
      <c r="C14" s="72" t="s">
        <v>98</v>
      </c>
      <c r="D14" s="76" t="s">
        <v>20</v>
      </c>
      <c r="E14" s="64" t="s">
        <v>55</v>
      </c>
      <c r="F14" s="75">
        <v>650</v>
      </c>
      <c r="G14" s="157">
        <v>30</v>
      </c>
      <c r="H14" s="77">
        <f>+G14*F14</f>
        <v>19500</v>
      </c>
    </row>
    <row r="15" spans="1:26" s="4" customFormat="1" ht="25.5" customHeight="1" x14ac:dyDescent="0.2">
      <c r="A15" s="99"/>
      <c r="B15" s="100" t="s">
        <v>62</v>
      </c>
      <c r="C15" s="277" t="s">
        <v>119</v>
      </c>
      <c r="D15" s="277"/>
      <c r="E15" s="277"/>
      <c r="F15" s="278">
        <f>+H14+H13+H12+H11+H10+H9+H8</f>
        <v>38750</v>
      </c>
      <c r="G15" s="279"/>
    </row>
    <row r="16" spans="1:26" hidden="1" x14ac:dyDescent="0.2">
      <c r="G16" s="166">
        <f>+G14+G13+G12+G11</f>
        <v>85</v>
      </c>
    </row>
    <row r="17" ht="25.5" customHeight="1" x14ac:dyDescent="0.2"/>
  </sheetData>
  <mergeCells count="14">
    <mergeCell ref="A9:B9"/>
    <mergeCell ref="C9:G9"/>
    <mergeCell ref="A8:B8"/>
    <mergeCell ref="C15:E15"/>
    <mergeCell ref="F15:G15"/>
    <mergeCell ref="A6:B6"/>
    <mergeCell ref="C6:F6"/>
    <mergeCell ref="A7:B7"/>
    <mergeCell ref="C7:F7"/>
    <mergeCell ref="A1:E1"/>
    <mergeCell ref="A4:B4"/>
    <mergeCell ref="C4:F4"/>
    <mergeCell ref="A5:B5"/>
    <mergeCell ref="C5:F5"/>
  </mergeCells>
  <pageMargins left="0.7" right="0.7" top="0.75" bottom="0.75" header="0.3" footer="0.3"/>
  <pageSetup paperSize="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AA25-CF92-4780-B708-74969BD2C6FB}">
  <dimension ref="A1:R26"/>
  <sheetViews>
    <sheetView zoomScale="115" zoomScaleNormal="115" workbookViewId="0">
      <selection activeCell="Q16" sqref="Q16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6" width="14.85546875" style="33" customWidth="1"/>
    <col min="17" max="17" width="14.7109375" style="33" customWidth="1"/>
    <col min="18" max="16384" width="11" style="33"/>
  </cols>
  <sheetData>
    <row r="1" spans="1:18" ht="15.75" thickBot="1" x14ac:dyDescent="0.3">
      <c r="A1" s="294" t="s">
        <v>3</v>
      </c>
      <c r="B1" s="295"/>
      <c r="C1" s="295"/>
      <c r="D1" s="296">
        <f>+'[1]NECESIDADES TRIMESTRALES'!C6</f>
        <v>2021</v>
      </c>
      <c r="E1" s="296"/>
      <c r="F1" s="31"/>
      <c r="G1" s="31"/>
      <c r="H1" s="32"/>
      <c r="I1" s="32"/>
      <c r="J1" s="32"/>
      <c r="K1" s="32"/>
      <c r="L1" s="32"/>
      <c r="M1" s="32"/>
      <c r="N1" s="32"/>
      <c r="P1" s="297" t="s">
        <v>21</v>
      </c>
      <c r="Q1" s="297"/>
    </row>
    <row r="2" spans="1:18" ht="15.75" customHeight="1" thickBot="1" x14ac:dyDescent="0.25">
      <c r="H2" s="32"/>
      <c r="I2" s="32"/>
      <c r="J2" s="32"/>
      <c r="K2" s="32"/>
      <c r="L2" s="32"/>
      <c r="M2" s="32"/>
      <c r="N2" s="32"/>
      <c r="P2" s="297"/>
      <c r="Q2" s="297"/>
    </row>
    <row r="4" spans="1:18" s="35" customFormat="1" ht="15" thickBot="1" x14ac:dyDescent="0.25">
      <c r="A4" s="298" t="s">
        <v>22</v>
      </c>
      <c r="B4" s="298"/>
      <c r="C4" s="298"/>
      <c r="D4" s="298"/>
      <c r="E4" s="298"/>
      <c r="F4" s="298"/>
      <c r="G4" s="299" t="s">
        <v>23</v>
      </c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8" s="35" customFormat="1" ht="17.25" customHeight="1" thickBot="1" x14ac:dyDescent="0.25">
      <c r="A5" s="300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299"/>
    </row>
    <row r="6" spans="1:18" s="35" customFormat="1" ht="18.75" customHeight="1" thickBot="1" x14ac:dyDescent="0.25">
      <c r="A6" s="300" t="s">
        <v>26</v>
      </c>
      <c r="B6" s="301"/>
      <c r="C6" s="301"/>
      <c r="D6" s="301"/>
      <c r="E6" s="301"/>
      <c r="F6" s="302"/>
      <c r="G6" s="299" t="s">
        <v>54</v>
      </c>
      <c r="H6" s="299"/>
      <c r="I6" s="299"/>
      <c r="J6" s="299"/>
      <c r="K6" s="299"/>
      <c r="L6" s="299"/>
      <c r="M6" s="299"/>
      <c r="N6" s="299"/>
      <c r="O6" s="299"/>
      <c r="P6" s="299"/>
      <c r="Q6" s="299"/>
    </row>
    <row r="7" spans="1:18" s="35" customFormat="1" ht="18" customHeight="1" thickBot="1" x14ac:dyDescent="0.25">
      <c r="A7" s="300" t="s">
        <v>27</v>
      </c>
      <c r="B7" s="301"/>
      <c r="C7" s="301"/>
      <c r="D7" s="301"/>
      <c r="E7" s="301"/>
      <c r="F7" s="302"/>
      <c r="G7" s="299" t="s">
        <v>54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1:18" ht="18" customHeight="1" thickBot="1" x14ac:dyDescent="0.25">
      <c r="A8" s="303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</row>
    <row r="9" spans="1:18" ht="14.25" x14ac:dyDescent="0.2">
      <c r="A9" s="293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37"/>
    </row>
    <row r="10" spans="1:18" ht="56.25" customHeight="1" x14ac:dyDescent="0.2">
      <c r="A10" s="288" t="s">
        <v>115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</row>
    <row r="11" spans="1:18" ht="9" customHeight="1" thickBot="1" x14ac:dyDescent="0.25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8" ht="15.75" customHeight="1" thickBot="1" x14ac:dyDescent="0.25">
      <c r="A12" s="289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8" ht="15.75" customHeight="1" thickBot="1" x14ac:dyDescent="0.25">
      <c r="A13" s="290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291"/>
      <c r="Q13" s="292" t="s">
        <v>33</v>
      </c>
    </row>
    <row r="14" spans="1:18" ht="15.75" customHeight="1" thickBot="1" x14ac:dyDescent="0.25">
      <c r="A14" s="42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292"/>
    </row>
    <row r="15" spans="1:18" ht="24.75" customHeight="1" x14ac:dyDescent="0.2">
      <c r="A15" s="158">
        <v>1</v>
      </c>
      <c r="B15" s="159">
        <v>0</v>
      </c>
      <c r="C15" s="159">
        <v>0</v>
      </c>
      <c r="D15" s="159">
        <v>1</v>
      </c>
      <c r="E15" s="159">
        <v>0</v>
      </c>
      <c r="F15" s="159">
        <v>4901</v>
      </c>
      <c r="G15" s="159">
        <v>1</v>
      </c>
      <c r="H15" s="159">
        <v>3</v>
      </c>
      <c r="I15" s="159">
        <v>2</v>
      </c>
      <c r="J15" s="159">
        <v>5</v>
      </c>
      <c r="K15" s="159">
        <v>2</v>
      </c>
      <c r="L15" s="159">
        <v>0</v>
      </c>
      <c r="M15" s="159">
        <v>1</v>
      </c>
      <c r="N15" s="160" t="s">
        <v>47</v>
      </c>
      <c r="O15" s="285" t="s">
        <v>116</v>
      </c>
      <c r="P15" s="285"/>
      <c r="Q15" s="161">
        <v>19250</v>
      </c>
    </row>
    <row r="16" spans="1:18" ht="30" customHeight="1" x14ac:dyDescent="0.2">
      <c r="A16" s="162">
        <v>1</v>
      </c>
      <c r="B16" s="163">
        <v>0</v>
      </c>
      <c r="C16" s="163">
        <v>0</v>
      </c>
      <c r="D16" s="163">
        <v>1</v>
      </c>
      <c r="E16" s="163">
        <v>0</v>
      </c>
      <c r="F16" s="163">
        <v>4901</v>
      </c>
      <c r="G16" s="163">
        <v>1</v>
      </c>
      <c r="H16" s="163">
        <v>3</v>
      </c>
      <c r="I16" s="163">
        <v>2</v>
      </c>
      <c r="J16" s="163">
        <v>9</v>
      </c>
      <c r="K16" s="163">
        <v>5</v>
      </c>
      <c r="L16" s="163">
        <v>0</v>
      </c>
      <c r="M16" s="163">
        <v>1</v>
      </c>
      <c r="N16" s="164" t="s">
        <v>47</v>
      </c>
      <c r="O16" s="304" t="s">
        <v>117</v>
      </c>
      <c r="P16" s="304"/>
      <c r="Q16" s="165">
        <v>19500</v>
      </c>
      <c r="R16" s="36"/>
    </row>
    <row r="17" spans="1:17" ht="13.5" thickBo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53"/>
      <c r="O17" s="305"/>
      <c r="P17" s="305"/>
      <c r="Q17" s="55"/>
    </row>
    <row r="18" spans="1:17" ht="17.25" customHeight="1" thickBot="1" x14ac:dyDescent="0.25">
      <c r="A18" s="286" t="s">
        <v>118</v>
      </c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56">
        <f>SUM(Q15:Q17)</f>
        <v>38750</v>
      </c>
    </row>
    <row r="19" spans="1:17" ht="15.75" customHeight="1" thickBot="1" x14ac:dyDescent="0.25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</row>
    <row r="20" spans="1:17" ht="15.75" thickBot="1" x14ac:dyDescent="0.25">
      <c r="A20" s="281" t="s">
        <v>48</v>
      </c>
      <c r="B20" s="282"/>
      <c r="C20" s="282"/>
      <c r="D20" s="282"/>
      <c r="E20" s="282"/>
      <c r="F20" s="283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</row>
    <row r="21" spans="1:17" ht="15.75" customHeight="1" thickBot="1" x14ac:dyDescent="0.25">
      <c r="A21" s="280" t="s">
        <v>114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</row>
    <row r="22" spans="1:17" ht="13.5" thickBot="1" x14ac:dyDescent="0.25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</row>
    <row r="23" spans="1:17" ht="13.5" customHeight="1" thickBot="1" x14ac:dyDescent="0.25">
      <c r="A23" s="281" t="s">
        <v>49</v>
      </c>
      <c r="B23" s="282"/>
      <c r="C23" s="282"/>
      <c r="D23" s="282"/>
      <c r="E23" s="282"/>
      <c r="F23" s="283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</row>
    <row r="24" spans="1:17" ht="15.75" customHeight="1" thickBot="1" x14ac:dyDescent="0.25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</row>
    <row r="25" spans="1:17" ht="13.5" thickBot="1" x14ac:dyDescent="0.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 spans="1:17" ht="13.5" customHeight="1" x14ac:dyDescent="0.2"/>
  </sheetData>
  <mergeCells count="29">
    <mergeCell ref="A24:Q2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6:P16"/>
    <mergeCell ref="O17:P17"/>
    <mergeCell ref="A10:Q10"/>
    <mergeCell ref="A12:Q12"/>
    <mergeCell ref="A13:N13"/>
    <mergeCell ref="O13:P14"/>
    <mergeCell ref="Q13:Q14"/>
    <mergeCell ref="A21:Q22"/>
    <mergeCell ref="A23:F23"/>
    <mergeCell ref="G23:Q23"/>
    <mergeCell ref="O15:P15"/>
    <mergeCell ref="A18:P18"/>
    <mergeCell ref="A19:Q19"/>
    <mergeCell ref="A20:F20"/>
    <mergeCell ref="G20:Q20"/>
  </mergeCells>
  <pageMargins left="0.7" right="0.7" top="0.75" bottom="0.75" header="0.3" footer="0.3"/>
  <pageSetup paperSize="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5A79-DD53-4D4F-AF85-0133B49EC957}">
  <dimension ref="A1:Z16"/>
  <sheetViews>
    <sheetView workbookViewId="0">
      <selection activeCell="C31" sqref="C31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customHeight="1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customHeight="1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customHeight="1" x14ac:dyDescent="0.2">
      <c r="A6" s="264" t="s">
        <v>50</v>
      </c>
      <c r="B6" s="265"/>
      <c r="C6" s="266" t="s">
        <v>64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64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customHeight="1" x14ac:dyDescent="0.2">
      <c r="A8" s="264" t="s">
        <v>4</v>
      </c>
      <c r="B8" s="265"/>
      <c r="C8" s="144" t="s">
        <v>52</v>
      </c>
      <c r="D8" s="144"/>
      <c r="E8" s="9"/>
      <c r="F8" s="144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customHeight="1" x14ac:dyDescent="0.2">
      <c r="A9" s="264" t="s">
        <v>53</v>
      </c>
      <c r="B9" s="265"/>
      <c r="C9" s="275" t="s">
        <v>121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20</v>
      </c>
      <c r="E11" s="74" t="s">
        <v>55</v>
      </c>
      <c r="F11" s="75">
        <v>350</v>
      </c>
      <c r="G11" s="157">
        <v>15</v>
      </c>
      <c r="H11" s="77">
        <f t="shared" ref="H11:H14" si="0">+G11*F11</f>
        <v>5250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28.5" x14ac:dyDescent="0.2">
      <c r="A12" s="81">
        <v>2</v>
      </c>
      <c r="B12" s="71" t="s">
        <v>90</v>
      </c>
      <c r="C12" s="72" t="s">
        <v>91</v>
      </c>
      <c r="D12" s="63" t="s">
        <v>20</v>
      </c>
      <c r="E12" s="64" t="s">
        <v>55</v>
      </c>
      <c r="F12" s="75">
        <v>275</v>
      </c>
      <c r="G12" s="157">
        <v>20</v>
      </c>
      <c r="H12" s="77">
        <f t="shared" si="0"/>
        <v>5500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8" customFormat="1" ht="28.5" x14ac:dyDescent="0.2">
      <c r="A13" s="81">
        <v>3</v>
      </c>
      <c r="B13" s="71" t="s">
        <v>92</v>
      </c>
      <c r="C13" s="72" t="s">
        <v>93</v>
      </c>
      <c r="D13" s="76" t="s">
        <v>20</v>
      </c>
      <c r="E13" s="64" t="s">
        <v>55</v>
      </c>
      <c r="F13" s="75">
        <v>450</v>
      </c>
      <c r="G13" s="157">
        <v>15</v>
      </c>
      <c r="H13" s="77">
        <f t="shared" si="0"/>
        <v>6750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ht="15" x14ac:dyDescent="0.2">
      <c r="A14" s="81">
        <v>4</v>
      </c>
      <c r="B14" s="71" t="s">
        <v>96</v>
      </c>
      <c r="C14" s="72" t="s">
        <v>98</v>
      </c>
      <c r="D14" s="76" t="s">
        <v>20</v>
      </c>
      <c r="E14" s="64" t="s">
        <v>55</v>
      </c>
      <c r="F14" s="75">
        <v>650</v>
      </c>
      <c r="G14" s="157">
        <v>80</v>
      </c>
      <c r="H14" s="77">
        <f t="shared" si="0"/>
        <v>52000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6" s="4" customFormat="1" ht="25.5" customHeight="1" x14ac:dyDescent="0.2">
      <c r="A15" s="99"/>
      <c r="B15" s="100" t="s">
        <v>62</v>
      </c>
      <c r="C15" s="277" t="s">
        <v>63</v>
      </c>
      <c r="D15" s="277"/>
      <c r="E15" s="277"/>
      <c r="F15" s="278">
        <f>+H14+H13+H12+H11</f>
        <v>69500</v>
      </c>
      <c r="G15" s="279"/>
    </row>
    <row r="16" spans="1:26" hidden="1" x14ac:dyDescent="0.2">
      <c r="G16" s="166">
        <f>+G13+G14+G12+G11</f>
        <v>130</v>
      </c>
    </row>
  </sheetData>
  <mergeCells count="14">
    <mergeCell ref="C15:E15"/>
    <mergeCell ref="F15:G15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1A77-B4E5-4A57-9A90-E366439650B4}">
  <dimension ref="A1:R26"/>
  <sheetViews>
    <sheetView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5" width="14.85546875" style="33" customWidth="1"/>
    <col min="16" max="16" width="27.5703125" style="33" customWidth="1"/>
    <col min="17" max="17" width="22.5703125" style="33" customWidth="1"/>
    <col min="18" max="16384" width="11" style="33"/>
  </cols>
  <sheetData>
    <row r="1" spans="1:18" ht="15.75" thickBot="1" x14ac:dyDescent="0.3">
      <c r="A1" s="294" t="s">
        <v>3</v>
      </c>
      <c r="B1" s="295"/>
      <c r="C1" s="295"/>
      <c r="D1" s="296">
        <f>+'[2]NECESIDADES TRIMESTRALES'!C6</f>
        <v>2021</v>
      </c>
      <c r="E1" s="296"/>
      <c r="F1" s="31"/>
      <c r="G1" s="31"/>
      <c r="H1" s="32"/>
      <c r="I1" s="32"/>
      <c r="J1" s="32"/>
      <c r="K1" s="32"/>
      <c r="L1" s="32"/>
      <c r="M1" s="32"/>
      <c r="N1" s="32"/>
      <c r="P1" s="297" t="s">
        <v>21</v>
      </c>
      <c r="Q1" s="297"/>
    </row>
    <row r="2" spans="1:18" ht="13.5" customHeight="1" thickBot="1" x14ac:dyDescent="0.25">
      <c r="H2" s="32"/>
      <c r="I2" s="32"/>
      <c r="J2" s="32"/>
      <c r="K2" s="32"/>
      <c r="L2" s="32"/>
      <c r="M2" s="32"/>
      <c r="N2" s="32"/>
      <c r="P2" s="297"/>
      <c r="Q2" s="297"/>
    </row>
    <row r="4" spans="1:18" s="35" customFormat="1" ht="15" thickBot="1" x14ac:dyDescent="0.25">
      <c r="A4" s="298" t="s">
        <v>22</v>
      </c>
      <c r="B4" s="298"/>
      <c r="C4" s="298"/>
      <c r="D4" s="298"/>
      <c r="E4" s="298"/>
      <c r="F4" s="298"/>
      <c r="G4" s="299" t="s">
        <v>23</v>
      </c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8" s="35" customFormat="1" ht="15" customHeight="1" thickBot="1" x14ac:dyDescent="0.25">
      <c r="A5" s="300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299"/>
    </row>
    <row r="6" spans="1:18" s="35" customFormat="1" ht="15" customHeight="1" thickBot="1" x14ac:dyDescent="0.25">
      <c r="A6" s="300" t="s">
        <v>26</v>
      </c>
      <c r="B6" s="301"/>
      <c r="C6" s="301"/>
      <c r="D6" s="301"/>
      <c r="E6" s="301"/>
      <c r="F6" s="302"/>
      <c r="G6" s="299" t="s">
        <v>64</v>
      </c>
      <c r="H6" s="299"/>
      <c r="I6" s="299"/>
      <c r="J6" s="299"/>
      <c r="K6" s="299"/>
      <c r="L6" s="299"/>
      <c r="M6" s="299"/>
      <c r="N6" s="299"/>
      <c r="O6" s="299"/>
      <c r="P6" s="299"/>
      <c r="Q6" s="299"/>
    </row>
    <row r="7" spans="1:18" s="35" customFormat="1" ht="15" customHeight="1" thickBot="1" x14ac:dyDescent="0.25">
      <c r="A7" s="300" t="s">
        <v>27</v>
      </c>
      <c r="B7" s="301"/>
      <c r="C7" s="301"/>
      <c r="D7" s="301"/>
      <c r="E7" s="301"/>
      <c r="F7" s="302"/>
      <c r="G7" s="299" t="s">
        <v>64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1:18" ht="13.5" thickBot="1" x14ac:dyDescent="0.25">
      <c r="A8" s="303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</row>
    <row r="9" spans="1:18" ht="14.25" x14ac:dyDescent="0.2">
      <c r="A9" s="293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37"/>
    </row>
    <row r="10" spans="1:18" ht="58.5" customHeight="1" x14ac:dyDescent="0.2">
      <c r="A10" s="288" t="s">
        <v>122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</row>
    <row r="11" spans="1:18" ht="13.5" thickBot="1" x14ac:dyDescent="0.25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8" ht="13.5" thickBot="1" x14ac:dyDescent="0.25">
      <c r="A12" s="289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8" ht="13.5" customHeight="1" thickBot="1" x14ac:dyDescent="0.25">
      <c r="A13" s="290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291"/>
      <c r="Q13" s="292" t="s">
        <v>33</v>
      </c>
    </row>
    <row r="14" spans="1:18" ht="13.5" thickBot="1" x14ac:dyDescent="0.25">
      <c r="A14" s="42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292"/>
    </row>
    <row r="15" spans="1:18" ht="12.75" customHeight="1" x14ac:dyDescent="0.2">
      <c r="A15" s="158">
        <v>2</v>
      </c>
      <c r="B15" s="159">
        <v>0</v>
      </c>
      <c r="C15" s="159">
        <v>0</v>
      </c>
      <c r="D15" s="159">
        <v>1</v>
      </c>
      <c r="E15" s="159">
        <v>0</v>
      </c>
      <c r="F15" s="159">
        <v>4901</v>
      </c>
      <c r="G15" s="159">
        <v>1</v>
      </c>
      <c r="H15" s="159">
        <v>6</v>
      </c>
      <c r="I15" s="159">
        <v>2</v>
      </c>
      <c r="J15" s="159">
        <v>5</v>
      </c>
      <c r="K15" s="159">
        <v>2</v>
      </c>
      <c r="L15" s="159">
        <v>0</v>
      </c>
      <c r="M15" s="159">
        <v>1</v>
      </c>
      <c r="N15" s="160" t="s">
        <v>47</v>
      </c>
      <c r="O15" s="285" t="s">
        <v>116</v>
      </c>
      <c r="P15" s="285"/>
      <c r="Q15" s="161">
        <v>17500</v>
      </c>
    </row>
    <row r="16" spans="1:18" ht="12.75" customHeight="1" x14ac:dyDescent="0.2">
      <c r="A16" s="162">
        <v>2</v>
      </c>
      <c r="B16" s="163">
        <v>0</v>
      </c>
      <c r="C16" s="163">
        <v>0</v>
      </c>
      <c r="D16" s="163">
        <v>1</v>
      </c>
      <c r="E16" s="163">
        <v>0</v>
      </c>
      <c r="F16" s="163">
        <v>4901</v>
      </c>
      <c r="G16" s="163">
        <v>1</v>
      </c>
      <c r="H16" s="163">
        <v>6</v>
      </c>
      <c r="I16" s="163">
        <v>2</v>
      </c>
      <c r="J16" s="163">
        <v>9</v>
      </c>
      <c r="K16" s="163">
        <v>5</v>
      </c>
      <c r="L16" s="163">
        <v>0</v>
      </c>
      <c r="M16" s="163">
        <v>1</v>
      </c>
      <c r="N16" s="164" t="s">
        <v>47</v>
      </c>
      <c r="O16" s="304" t="s">
        <v>117</v>
      </c>
      <c r="P16" s="304"/>
      <c r="Q16" s="165">
        <v>52000</v>
      </c>
      <c r="R16" s="36"/>
    </row>
    <row r="17" spans="1:17" ht="13.5" thickBo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53"/>
      <c r="O17" s="305"/>
      <c r="P17" s="305"/>
      <c r="Q17" s="55"/>
    </row>
    <row r="18" spans="1:17" ht="15.75" thickBot="1" x14ac:dyDescent="0.25">
      <c r="A18" s="286" t="s">
        <v>59</v>
      </c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56">
        <f>SUM(Q15:Q17)</f>
        <v>69500</v>
      </c>
    </row>
    <row r="19" spans="1:17" ht="15.75" customHeight="1" thickBot="1" x14ac:dyDescent="0.25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</row>
    <row r="20" spans="1:17" ht="15.75" thickBot="1" x14ac:dyDescent="0.25">
      <c r="A20" s="281" t="s">
        <v>48</v>
      </c>
      <c r="B20" s="282"/>
      <c r="C20" s="282"/>
      <c r="D20" s="282"/>
      <c r="E20" s="282"/>
      <c r="F20" s="283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</row>
    <row r="21" spans="1:17" ht="15.75" customHeight="1" thickBot="1" x14ac:dyDescent="0.25">
      <c r="A21" s="280" t="s">
        <v>121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</row>
    <row r="22" spans="1:17" ht="13.5" thickBot="1" x14ac:dyDescent="0.25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</row>
    <row r="23" spans="1:17" ht="13.5" customHeight="1" thickBot="1" x14ac:dyDescent="0.25">
      <c r="A23" s="281" t="s">
        <v>49</v>
      </c>
      <c r="B23" s="282"/>
      <c r="C23" s="282"/>
      <c r="D23" s="282"/>
      <c r="E23" s="282"/>
      <c r="F23" s="283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</row>
    <row r="24" spans="1:17" ht="15.75" customHeight="1" thickBot="1" x14ac:dyDescent="0.25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</row>
    <row r="25" spans="1:17" ht="13.5" thickBot="1" x14ac:dyDescent="0.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 spans="1:17" ht="13.5" customHeight="1" x14ac:dyDescent="0.2"/>
  </sheetData>
  <mergeCells count="29">
    <mergeCell ref="A23:F23"/>
    <mergeCell ref="G23:Q23"/>
    <mergeCell ref="A24:Q25"/>
    <mergeCell ref="O16:P16"/>
    <mergeCell ref="O17:P17"/>
    <mergeCell ref="A18:P18"/>
    <mergeCell ref="A19:Q19"/>
    <mergeCell ref="A20:F20"/>
    <mergeCell ref="G20:Q20"/>
    <mergeCell ref="A21:Q22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FC4B-CF72-423A-BA43-51F776617CF7}">
  <dimension ref="A1:Z21"/>
  <sheetViews>
    <sheetView workbookViewId="0">
      <selection activeCell="E18" sqref="E18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6.8554687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127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x14ac:dyDescent="0.2">
      <c r="A6" s="264" t="s">
        <v>50</v>
      </c>
      <c r="B6" s="265"/>
      <c r="C6" s="266" t="s">
        <v>65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65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x14ac:dyDescent="0.2">
      <c r="A8" s="264" t="s">
        <v>4</v>
      </c>
      <c r="B8" s="265"/>
      <c r="C8" s="82" t="s">
        <v>52</v>
      </c>
      <c r="D8" s="82"/>
      <c r="E8" s="9"/>
      <c r="F8" s="82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x14ac:dyDescent="0.2">
      <c r="A9" s="264" t="s">
        <v>53</v>
      </c>
      <c r="B9" s="265"/>
      <c r="C9" s="275" t="s">
        <v>126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99</v>
      </c>
      <c r="C11" s="72" t="s">
        <v>100</v>
      </c>
      <c r="D11" s="73" t="s">
        <v>58</v>
      </c>
      <c r="E11" s="74" t="s">
        <v>55</v>
      </c>
      <c r="F11" s="75">
        <v>100</v>
      </c>
      <c r="G11" s="74">
        <v>1</v>
      </c>
      <c r="H11" s="77">
        <f t="shared" ref="H11:H19" si="0">+G11*F11</f>
        <v>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28.5" x14ac:dyDescent="0.2">
      <c r="A12" s="102">
        <v>2</v>
      </c>
      <c r="B12" s="71" t="s">
        <v>90</v>
      </c>
      <c r="C12" s="72" t="s">
        <v>91</v>
      </c>
      <c r="D12" s="73" t="s">
        <v>58</v>
      </c>
      <c r="E12" s="74" t="s">
        <v>55</v>
      </c>
      <c r="F12" s="75">
        <v>260</v>
      </c>
      <c r="G12" s="74">
        <v>90</v>
      </c>
      <c r="H12" s="77">
        <f t="shared" si="0"/>
        <v>23400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8" customFormat="1" ht="28.5" x14ac:dyDescent="0.2">
      <c r="A13" s="102">
        <v>3</v>
      </c>
      <c r="B13" s="71" t="s">
        <v>101</v>
      </c>
      <c r="C13" s="72" t="s">
        <v>102</v>
      </c>
      <c r="D13" s="73" t="s">
        <v>58</v>
      </c>
      <c r="E13" s="74" t="s">
        <v>55</v>
      </c>
      <c r="F13" s="75">
        <v>200</v>
      </c>
      <c r="G13" s="74">
        <v>1</v>
      </c>
      <c r="H13" s="77">
        <f t="shared" si="0"/>
        <v>200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ht="57" x14ac:dyDescent="0.2">
      <c r="A14" s="81">
        <v>4</v>
      </c>
      <c r="B14" s="71" t="s">
        <v>171</v>
      </c>
      <c r="C14" s="72" t="s">
        <v>172</v>
      </c>
      <c r="D14" s="73" t="s">
        <v>58</v>
      </c>
      <c r="E14" s="74" t="s">
        <v>173</v>
      </c>
      <c r="F14" s="75">
        <v>100</v>
      </c>
      <c r="G14" s="74">
        <v>2</v>
      </c>
      <c r="H14" s="77">
        <f t="shared" si="0"/>
        <v>200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6" ht="57" x14ac:dyDescent="0.2">
      <c r="A15" s="81">
        <v>5</v>
      </c>
      <c r="B15" s="71" t="s">
        <v>103</v>
      </c>
      <c r="C15" s="72" t="s">
        <v>104</v>
      </c>
      <c r="D15" s="73" t="s">
        <v>58</v>
      </c>
      <c r="E15" s="74" t="s">
        <v>174</v>
      </c>
      <c r="F15" s="75">
        <v>400</v>
      </c>
      <c r="G15" s="74">
        <v>1</v>
      </c>
      <c r="H15" s="77">
        <f t="shared" si="0"/>
        <v>400</v>
      </c>
    </row>
    <row r="16" spans="1:26" ht="28.5" x14ac:dyDescent="0.2">
      <c r="A16" s="81">
        <v>6</v>
      </c>
      <c r="B16" s="71" t="s">
        <v>105</v>
      </c>
      <c r="C16" s="72" t="s">
        <v>106</v>
      </c>
      <c r="D16" s="73" t="s">
        <v>58</v>
      </c>
      <c r="E16" s="74" t="s">
        <v>173</v>
      </c>
      <c r="F16" s="75">
        <v>90</v>
      </c>
      <c r="G16" s="74">
        <v>2</v>
      </c>
      <c r="H16" s="77">
        <f t="shared" si="0"/>
        <v>180</v>
      </c>
    </row>
    <row r="17" spans="1:8" ht="28.5" x14ac:dyDescent="0.2">
      <c r="A17" s="81">
        <v>7</v>
      </c>
      <c r="B17" s="71" t="s">
        <v>107</v>
      </c>
      <c r="C17" s="72" t="s">
        <v>108</v>
      </c>
      <c r="D17" s="73" t="s">
        <v>58</v>
      </c>
      <c r="E17" s="74" t="s">
        <v>55</v>
      </c>
      <c r="F17" s="75">
        <v>1100</v>
      </c>
      <c r="G17" s="74">
        <v>1</v>
      </c>
      <c r="H17" s="77">
        <f t="shared" si="0"/>
        <v>1100</v>
      </c>
    </row>
    <row r="18" spans="1:8" ht="42.75" x14ac:dyDescent="0.2">
      <c r="A18" s="81">
        <v>8</v>
      </c>
      <c r="B18" s="71" t="s">
        <v>109</v>
      </c>
      <c r="C18" s="72" t="s">
        <v>110</v>
      </c>
      <c r="D18" s="73" t="s">
        <v>58</v>
      </c>
      <c r="E18" s="74" t="s">
        <v>173</v>
      </c>
      <c r="F18" s="75">
        <v>900</v>
      </c>
      <c r="G18" s="74">
        <v>1</v>
      </c>
      <c r="H18" s="77">
        <f t="shared" si="0"/>
        <v>900</v>
      </c>
    </row>
    <row r="19" spans="1:8" ht="28.5" x14ac:dyDescent="0.2">
      <c r="A19" s="81">
        <v>9</v>
      </c>
      <c r="B19" s="71" t="s">
        <v>111</v>
      </c>
      <c r="C19" s="72" t="s">
        <v>112</v>
      </c>
      <c r="D19" s="73" t="s">
        <v>58</v>
      </c>
      <c r="E19" s="74" t="s">
        <v>55</v>
      </c>
      <c r="F19" s="75">
        <v>275</v>
      </c>
      <c r="G19" s="74">
        <v>2</v>
      </c>
      <c r="H19" s="77">
        <f t="shared" si="0"/>
        <v>550</v>
      </c>
    </row>
    <row r="20" spans="1:8" s="4" customFormat="1" ht="25.5" customHeight="1" x14ac:dyDescent="0.2">
      <c r="A20" s="99"/>
      <c r="B20" s="100" t="s">
        <v>62</v>
      </c>
      <c r="C20" s="277" t="s">
        <v>128</v>
      </c>
      <c r="D20" s="277"/>
      <c r="E20" s="277"/>
      <c r="F20" s="278">
        <f>+H19+H18+H17+H16+H15+H14+H13+H12+H11</f>
        <v>27030</v>
      </c>
      <c r="G20" s="279"/>
    </row>
    <row r="21" spans="1:8" hidden="1" x14ac:dyDescent="0.2">
      <c r="G21" s="135">
        <f>+G19+G18+G17+G16+G15+G14+G13+G12+G11</f>
        <v>101</v>
      </c>
    </row>
  </sheetData>
  <mergeCells count="14">
    <mergeCell ref="C20:E20"/>
    <mergeCell ref="F20:G20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9529-7D3F-4AB1-A629-754C97D41652}">
  <dimension ref="A1:R31"/>
  <sheetViews>
    <sheetView workbookViewId="0">
      <selection activeCell="S25" sqref="S25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6" width="14.85546875" style="33" customWidth="1"/>
    <col min="17" max="17" width="14.7109375" style="33" customWidth="1"/>
    <col min="18" max="16384" width="11" style="33"/>
  </cols>
  <sheetData>
    <row r="1" spans="1:17" ht="15.75" customHeight="1" thickBot="1" x14ac:dyDescent="0.3">
      <c r="A1" s="295" t="s">
        <v>3</v>
      </c>
      <c r="B1" s="295"/>
      <c r="C1" s="295"/>
      <c r="D1" s="296">
        <f>'[3]Necesidades Trimestrales'!C6</f>
        <v>2021</v>
      </c>
      <c r="E1" s="296"/>
      <c r="F1" s="31"/>
      <c r="G1" s="31"/>
      <c r="H1" s="32"/>
      <c r="I1" s="32"/>
      <c r="J1" s="32"/>
      <c r="K1" s="32"/>
      <c r="L1" s="32"/>
      <c r="M1" s="32"/>
      <c r="N1" s="32"/>
      <c r="P1" s="297" t="s">
        <v>21</v>
      </c>
      <c r="Q1" s="297"/>
    </row>
    <row r="2" spans="1:17" ht="15.75" customHeight="1" thickBot="1" x14ac:dyDescent="0.25">
      <c r="H2" s="32"/>
      <c r="I2" s="32"/>
      <c r="J2" s="32"/>
      <c r="K2" s="32"/>
      <c r="L2" s="32"/>
      <c r="M2" s="32"/>
      <c r="N2" s="32"/>
      <c r="P2" s="297"/>
      <c r="Q2" s="297"/>
    </row>
    <row r="4" spans="1:17" s="35" customFormat="1" ht="15" thickBot="1" x14ac:dyDescent="0.25">
      <c r="A4" s="298" t="s">
        <v>22</v>
      </c>
      <c r="B4" s="298"/>
      <c r="C4" s="298"/>
      <c r="D4" s="298"/>
      <c r="E4" s="298"/>
      <c r="F4" s="298"/>
      <c r="G4" s="299" t="s">
        <v>23</v>
      </c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7" s="35" customFormat="1" ht="15" customHeight="1" thickBot="1" x14ac:dyDescent="0.25">
      <c r="A5" s="300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299"/>
    </row>
    <row r="6" spans="1:17" s="35" customFormat="1" ht="15" customHeight="1" thickBot="1" x14ac:dyDescent="0.25">
      <c r="A6" s="300" t="s">
        <v>26</v>
      </c>
      <c r="B6" s="301"/>
      <c r="C6" s="301"/>
      <c r="D6" s="301"/>
      <c r="E6" s="301"/>
      <c r="F6" s="302"/>
      <c r="G6" s="299" t="s">
        <v>66</v>
      </c>
      <c r="H6" s="299"/>
      <c r="I6" s="299"/>
      <c r="J6" s="299"/>
      <c r="K6" s="299"/>
      <c r="L6" s="299"/>
      <c r="M6" s="299"/>
      <c r="N6" s="299"/>
      <c r="O6" s="299"/>
      <c r="P6" s="299"/>
      <c r="Q6" s="299"/>
    </row>
    <row r="7" spans="1:17" s="35" customFormat="1" ht="15" customHeight="1" thickBot="1" x14ac:dyDescent="0.25">
      <c r="A7" s="300" t="s">
        <v>27</v>
      </c>
      <c r="B7" s="301"/>
      <c r="C7" s="301"/>
      <c r="D7" s="301"/>
      <c r="E7" s="301"/>
      <c r="F7" s="302"/>
      <c r="G7" s="299" t="s">
        <v>66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1:17" ht="13.5" thickBot="1" x14ac:dyDescent="0.25">
      <c r="A8" s="303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</row>
    <row r="9" spans="1:17" ht="14.25" x14ac:dyDescent="0.2">
      <c r="A9" s="293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37"/>
    </row>
    <row r="10" spans="1:17" ht="54" customHeight="1" x14ac:dyDescent="0.2">
      <c r="A10" s="288" t="str">
        <f>"Autorizo la realización de los  trámites correspondientes, a fin de proveer a  este Organismo los bienes y/o servicios que se detallan en Nota  de Pedido N° " &amp; '[3] NotaPedido'!H1&amp;",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98/2021,  afectando la erogación resultante a los créditos presupuestarios aprobados a favor de esta Unidad Ejecutora, conforme al siguiente detalle: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</row>
    <row r="11" spans="1:17" ht="9" customHeight="1" thickBot="1" x14ac:dyDescent="0.25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7" ht="15.75" customHeight="1" thickBot="1" x14ac:dyDescent="0.25">
      <c r="A12" s="289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7" ht="15.75" customHeight="1" thickBot="1" x14ac:dyDescent="0.25">
      <c r="A13" s="290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291"/>
      <c r="Q13" s="292" t="s">
        <v>33</v>
      </c>
    </row>
    <row r="14" spans="1:17" x14ac:dyDescent="0.2">
      <c r="A14" s="42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292"/>
    </row>
    <row r="15" spans="1:17" ht="24.75" customHeight="1" x14ac:dyDescent="0.2">
      <c r="A15" s="106">
        <v>4</v>
      </c>
      <c r="B15" s="107">
        <v>0</v>
      </c>
      <c r="C15" s="107">
        <v>0</v>
      </c>
      <c r="D15" s="107">
        <v>1</v>
      </c>
      <c r="E15" s="107">
        <v>0</v>
      </c>
      <c r="F15" s="107">
        <v>4901</v>
      </c>
      <c r="G15" s="107">
        <v>1</v>
      </c>
      <c r="H15" s="107">
        <v>7</v>
      </c>
      <c r="I15" s="107">
        <v>2</v>
      </c>
      <c r="J15" s="107">
        <v>5</v>
      </c>
      <c r="K15" s="107">
        <v>2</v>
      </c>
      <c r="L15" s="107">
        <v>0</v>
      </c>
      <c r="M15" s="108">
        <v>1</v>
      </c>
      <c r="N15" s="237" t="s">
        <v>47</v>
      </c>
      <c r="O15" s="306" t="s">
        <v>123</v>
      </c>
      <c r="P15" s="307"/>
      <c r="Q15" s="109">
        <v>24100</v>
      </c>
    </row>
    <row r="16" spans="1:17" ht="24.75" customHeight="1" x14ac:dyDescent="0.2">
      <c r="A16" s="106">
        <v>4</v>
      </c>
      <c r="B16" s="107">
        <v>0</v>
      </c>
      <c r="C16" s="107">
        <v>0</v>
      </c>
      <c r="D16" s="107">
        <v>1</v>
      </c>
      <c r="E16" s="107">
        <v>0</v>
      </c>
      <c r="F16" s="107">
        <v>4901</v>
      </c>
      <c r="G16" s="107">
        <v>1</v>
      </c>
      <c r="H16" s="107">
        <v>7</v>
      </c>
      <c r="I16" s="107">
        <v>2</v>
      </c>
      <c r="J16" s="107">
        <v>9</v>
      </c>
      <c r="K16" s="107">
        <v>5</v>
      </c>
      <c r="L16" s="107">
        <v>0</v>
      </c>
      <c r="M16" s="108">
        <v>1</v>
      </c>
      <c r="N16" s="237" t="s">
        <v>47</v>
      </c>
      <c r="O16" s="306" t="s">
        <v>124</v>
      </c>
      <c r="P16" s="307"/>
      <c r="Q16" s="168">
        <v>2930</v>
      </c>
    </row>
    <row r="17" spans="1:18" ht="29.25" customHeight="1" x14ac:dyDescent="0.2">
      <c r="A17" s="106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8"/>
      <c r="N17" s="237"/>
      <c r="O17" s="308"/>
      <c r="P17" s="308"/>
      <c r="Q17" s="47"/>
    </row>
    <row r="18" spans="1:18" ht="17.25" customHeight="1" x14ac:dyDescent="0.2">
      <c r="A18" s="106"/>
      <c r="B18" s="107"/>
      <c r="C18" s="107"/>
      <c r="D18" s="107"/>
      <c r="E18" s="107"/>
      <c r="F18" s="237"/>
      <c r="G18" s="107"/>
      <c r="H18" s="107"/>
      <c r="I18" s="107"/>
      <c r="J18" s="107"/>
      <c r="K18" s="107"/>
      <c r="L18" s="107"/>
      <c r="M18" s="108"/>
      <c r="N18" s="237"/>
      <c r="O18" s="308"/>
      <c r="P18" s="308"/>
      <c r="Q18" s="47"/>
    </row>
    <row r="19" spans="1:18" ht="17.25" customHeight="1" x14ac:dyDescent="0.2">
      <c r="A19" s="106"/>
      <c r="B19" s="107"/>
      <c r="C19" s="107"/>
      <c r="D19" s="107"/>
      <c r="E19" s="107"/>
      <c r="F19" s="237"/>
      <c r="G19" s="107"/>
      <c r="H19" s="107"/>
      <c r="I19" s="107"/>
      <c r="J19" s="107"/>
      <c r="K19" s="107"/>
      <c r="L19" s="107"/>
      <c r="M19" s="108"/>
      <c r="N19" s="237"/>
      <c r="O19" s="308"/>
      <c r="P19" s="308"/>
      <c r="Q19" s="47"/>
    </row>
    <row r="20" spans="1:18" ht="17.25" customHeight="1" x14ac:dyDescent="0.2">
      <c r="A20" s="48"/>
      <c r="B20" s="49"/>
      <c r="C20" s="49"/>
      <c r="D20" s="49"/>
      <c r="E20" s="49"/>
      <c r="F20" s="237"/>
      <c r="G20" s="49"/>
      <c r="H20" s="49"/>
      <c r="I20" s="49"/>
      <c r="J20" s="49"/>
      <c r="K20" s="49"/>
      <c r="L20" s="49"/>
      <c r="M20" s="50"/>
      <c r="N20" s="51"/>
      <c r="O20" s="308"/>
      <c r="P20" s="308"/>
      <c r="Q20" s="47"/>
      <c r="R20" s="36"/>
    </row>
    <row r="21" spans="1:18" ht="17.25" customHeight="1" thickBo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53"/>
      <c r="O21" s="305"/>
      <c r="P21" s="305"/>
      <c r="Q21" s="55"/>
    </row>
    <row r="22" spans="1:18" ht="15.75" thickBot="1" x14ac:dyDescent="0.25">
      <c r="A22" s="286" t="s">
        <v>125</v>
      </c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56">
        <f>+Q15+Q16</f>
        <v>27030</v>
      </c>
    </row>
    <row r="23" spans="1:18" ht="17.25" customHeight="1" thickBot="1" x14ac:dyDescent="0.25">
      <c r="A23" s="287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</row>
    <row r="24" spans="1:18" ht="15.75" customHeight="1" thickBot="1" x14ac:dyDescent="0.25">
      <c r="A24" s="281" t="s">
        <v>48</v>
      </c>
      <c r="B24" s="282"/>
      <c r="C24" s="282"/>
      <c r="D24" s="282"/>
      <c r="E24" s="282"/>
      <c r="F24" s="283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</row>
    <row r="25" spans="1:18" ht="15.75" customHeight="1" thickBot="1" x14ac:dyDescent="0.25">
      <c r="A25" s="280" t="s">
        <v>126</v>
      </c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 spans="1:18" ht="15.75" customHeight="1" thickBot="1" x14ac:dyDescent="0.25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</row>
    <row r="27" spans="1:18" ht="13.5" customHeight="1" thickBot="1" x14ac:dyDescent="0.25">
      <c r="A27" s="281" t="s">
        <v>49</v>
      </c>
      <c r="B27" s="282"/>
      <c r="C27" s="282"/>
      <c r="D27" s="282"/>
      <c r="E27" s="282"/>
      <c r="F27" s="283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</row>
    <row r="28" spans="1:18" ht="13.5" thickBot="1" x14ac:dyDescent="0.25">
      <c r="A28" s="280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</row>
    <row r="29" spans="1:18" ht="15.75" customHeight="1" thickBot="1" x14ac:dyDescent="0.25">
      <c r="A29" s="280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</row>
    <row r="30" spans="1:18" ht="13.5" customHeight="1" x14ac:dyDescent="0.2"/>
    <row r="31" spans="1:18" ht="13.5" customHeight="1" x14ac:dyDescent="0.2"/>
  </sheetData>
  <mergeCells count="33">
    <mergeCell ref="A28:Q29"/>
    <mergeCell ref="A22:P22"/>
    <mergeCell ref="A23:Q23"/>
    <mergeCell ref="A24:F24"/>
    <mergeCell ref="G24:Q24"/>
    <mergeCell ref="A25:Q26"/>
    <mergeCell ref="A27:F27"/>
    <mergeCell ref="G27:Q27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2FD7-2C3D-4039-8448-5786A143D94E}">
  <dimension ref="A1:Z16"/>
  <sheetViews>
    <sheetView workbookViewId="0">
      <selection activeCell="H20" sqref="H20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60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customHeight="1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customHeight="1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customHeight="1" x14ac:dyDescent="0.2">
      <c r="A6" s="264" t="s">
        <v>50</v>
      </c>
      <c r="B6" s="265"/>
      <c r="C6" s="266" t="s">
        <v>67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67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customHeight="1" x14ac:dyDescent="0.2">
      <c r="A8" s="264" t="s">
        <v>4</v>
      </c>
      <c r="B8" s="265"/>
      <c r="C8" s="144" t="s">
        <v>52</v>
      </c>
      <c r="D8" s="144"/>
      <c r="E8" s="9"/>
      <c r="F8" s="144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customHeight="1" x14ac:dyDescent="0.2">
      <c r="A9" s="264" t="s">
        <v>53</v>
      </c>
      <c r="B9" s="265"/>
      <c r="C9" s="275" t="s">
        <v>121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20</v>
      </c>
      <c r="E11" s="74" t="s">
        <v>55</v>
      </c>
      <c r="F11" s="75">
        <v>350</v>
      </c>
      <c r="G11" s="157">
        <v>20</v>
      </c>
      <c r="H11" s="77">
        <f>+G11*F11</f>
        <v>7000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ht="28.5" x14ac:dyDescent="0.2">
      <c r="A12" s="81">
        <v>2</v>
      </c>
      <c r="B12" s="71" t="s">
        <v>90</v>
      </c>
      <c r="C12" s="72" t="s">
        <v>91</v>
      </c>
      <c r="D12" s="63" t="s">
        <v>20</v>
      </c>
      <c r="E12" s="64" t="s">
        <v>55</v>
      </c>
      <c r="F12" s="75">
        <v>275</v>
      </c>
      <c r="G12" s="157">
        <v>20</v>
      </c>
      <c r="H12" s="77">
        <f t="shared" ref="H12:H14" si="0">+G12*F12</f>
        <v>5500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6" ht="28.5" x14ac:dyDescent="0.2">
      <c r="A13" s="81">
        <v>3</v>
      </c>
      <c r="B13" s="71" t="s">
        <v>92</v>
      </c>
      <c r="C13" s="72" t="s">
        <v>93</v>
      </c>
      <c r="D13" s="76" t="s">
        <v>20</v>
      </c>
      <c r="E13" s="64" t="s">
        <v>55</v>
      </c>
      <c r="F13" s="75">
        <v>450</v>
      </c>
      <c r="G13" s="157">
        <v>15</v>
      </c>
      <c r="H13" s="77">
        <f t="shared" si="0"/>
        <v>6750</v>
      </c>
    </row>
    <row r="14" spans="1:26" ht="15" x14ac:dyDescent="0.2">
      <c r="A14" s="81">
        <v>4</v>
      </c>
      <c r="B14" s="71" t="s">
        <v>96</v>
      </c>
      <c r="C14" s="72" t="s">
        <v>98</v>
      </c>
      <c r="D14" s="76" t="s">
        <v>20</v>
      </c>
      <c r="E14" s="64" t="s">
        <v>55</v>
      </c>
      <c r="F14" s="75">
        <v>650</v>
      </c>
      <c r="G14" s="157">
        <v>30</v>
      </c>
      <c r="H14" s="77">
        <f t="shared" si="0"/>
        <v>19500</v>
      </c>
    </row>
    <row r="15" spans="1:26" s="4" customFormat="1" ht="25.5" customHeight="1" x14ac:dyDescent="0.2">
      <c r="A15" s="99"/>
      <c r="B15" s="100" t="s">
        <v>62</v>
      </c>
      <c r="C15" s="277" t="s">
        <v>119</v>
      </c>
      <c r="D15" s="277"/>
      <c r="E15" s="277"/>
      <c r="F15" s="278">
        <f>+H14+H13+H12+H11</f>
        <v>38750</v>
      </c>
      <c r="G15" s="279"/>
    </row>
    <row r="16" spans="1:26" hidden="1" x14ac:dyDescent="0.2">
      <c r="G16" s="166">
        <f>+G14+G13+G12+G11</f>
        <v>85</v>
      </c>
    </row>
  </sheetData>
  <mergeCells count="14">
    <mergeCell ref="C15:E15"/>
    <mergeCell ref="F15:G15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B959-FBAF-4F46-9B92-9684B8797BCF}">
  <dimension ref="A1:R26"/>
  <sheetViews>
    <sheetView workbookViewId="0">
      <selection activeCell="O16" sqref="O16:P16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6" width="14.85546875" style="33" customWidth="1"/>
    <col min="17" max="17" width="14.7109375" style="33" customWidth="1"/>
    <col min="18" max="16384" width="11" style="33"/>
  </cols>
  <sheetData>
    <row r="1" spans="1:18" ht="15.75" thickBot="1" x14ac:dyDescent="0.3">
      <c r="A1" s="294" t="s">
        <v>3</v>
      </c>
      <c r="B1" s="295"/>
      <c r="C1" s="295"/>
      <c r="D1" s="296">
        <f>+'[4]NECESIDADES TRIMESTRALES'!C6</f>
        <v>2021</v>
      </c>
      <c r="E1" s="296"/>
      <c r="F1" s="31"/>
      <c r="G1" s="31"/>
      <c r="H1" s="32"/>
      <c r="I1" s="32"/>
      <c r="J1" s="32"/>
      <c r="K1" s="32"/>
      <c r="L1" s="32"/>
      <c r="M1" s="32"/>
      <c r="N1" s="32"/>
      <c r="P1" s="297" t="s">
        <v>21</v>
      </c>
      <c r="Q1" s="297"/>
    </row>
    <row r="2" spans="1:18" ht="13.5" customHeight="1" thickBot="1" x14ac:dyDescent="0.25">
      <c r="H2" s="32"/>
      <c r="I2" s="32"/>
      <c r="J2" s="32"/>
      <c r="K2" s="32"/>
      <c r="L2" s="32"/>
      <c r="M2" s="32"/>
      <c r="N2" s="32"/>
      <c r="P2" s="297"/>
      <c r="Q2" s="297"/>
    </row>
    <row r="4" spans="1:18" s="35" customFormat="1" ht="15" thickBot="1" x14ac:dyDescent="0.25">
      <c r="A4" s="298" t="s">
        <v>22</v>
      </c>
      <c r="B4" s="298"/>
      <c r="C4" s="298"/>
      <c r="D4" s="298"/>
      <c r="E4" s="298"/>
      <c r="F4" s="298"/>
      <c r="G4" s="299" t="s">
        <v>23</v>
      </c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8" s="35" customFormat="1" ht="15" customHeight="1" thickBot="1" x14ac:dyDescent="0.25">
      <c r="A5" s="300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299"/>
    </row>
    <row r="6" spans="1:18" s="35" customFormat="1" ht="15" customHeight="1" thickBot="1" x14ac:dyDescent="0.25">
      <c r="A6" s="300" t="s">
        <v>26</v>
      </c>
      <c r="B6" s="301"/>
      <c r="C6" s="301"/>
      <c r="D6" s="301"/>
      <c r="E6" s="301"/>
      <c r="F6" s="302"/>
      <c r="G6" s="299" t="s">
        <v>67</v>
      </c>
      <c r="H6" s="299"/>
      <c r="I6" s="299"/>
      <c r="J6" s="299"/>
      <c r="K6" s="299"/>
      <c r="L6" s="299"/>
      <c r="M6" s="299"/>
      <c r="N6" s="299"/>
      <c r="O6" s="299"/>
      <c r="P6" s="299"/>
      <c r="Q6" s="299"/>
    </row>
    <row r="7" spans="1:18" s="35" customFormat="1" ht="15" customHeight="1" thickBot="1" x14ac:dyDescent="0.25">
      <c r="A7" s="300" t="s">
        <v>27</v>
      </c>
      <c r="B7" s="301"/>
      <c r="C7" s="301"/>
      <c r="D7" s="301"/>
      <c r="E7" s="301"/>
      <c r="F7" s="302"/>
      <c r="G7" s="299" t="s">
        <v>67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1:18" ht="13.5" thickBot="1" x14ac:dyDescent="0.25">
      <c r="A8" s="303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</row>
    <row r="9" spans="1:18" ht="14.25" x14ac:dyDescent="0.2">
      <c r="A9" s="293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37"/>
    </row>
    <row r="10" spans="1:18" ht="62.25" customHeight="1" x14ac:dyDescent="0.2">
      <c r="A10" s="288" t="s">
        <v>61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</row>
    <row r="11" spans="1:18" ht="13.5" thickBot="1" x14ac:dyDescent="0.25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8" ht="13.5" thickBot="1" x14ac:dyDescent="0.25">
      <c r="A12" s="289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8" ht="13.5" customHeight="1" thickBot="1" x14ac:dyDescent="0.25">
      <c r="A13" s="290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291"/>
      <c r="Q13" s="292" t="s">
        <v>33</v>
      </c>
    </row>
    <row r="14" spans="1:18" ht="13.5" thickBot="1" x14ac:dyDescent="0.25">
      <c r="A14" s="42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292"/>
    </row>
    <row r="15" spans="1:18" ht="24.75" customHeight="1" x14ac:dyDescent="0.2">
      <c r="A15" s="158">
        <v>17</v>
      </c>
      <c r="B15" s="159">
        <v>0</v>
      </c>
      <c r="C15" s="159">
        <v>0</v>
      </c>
      <c r="D15" s="159">
        <v>1</v>
      </c>
      <c r="E15" s="159">
        <v>0</v>
      </c>
      <c r="F15" s="159">
        <v>4901</v>
      </c>
      <c r="G15" s="159">
        <v>1</v>
      </c>
      <c r="H15" s="159">
        <v>6</v>
      </c>
      <c r="I15" s="159">
        <v>2</v>
      </c>
      <c r="J15" s="159">
        <v>5</v>
      </c>
      <c r="K15" s="159">
        <v>2</v>
      </c>
      <c r="L15" s="159">
        <v>0</v>
      </c>
      <c r="M15" s="159">
        <v>1</v>
      </c>
      <c r="N15" s="160" t="s">
        <v>47</v>
      </c>
      <c r="O15" s="285" t="s">
        <v>116</v>
      </c>
      <c r="P15" s="285"/>
      <c r="Q15" s="161">
        <v>19250</v>
      </c>
    </row>
    <row r="16" spans="1:18" ht="30" customHeight="1" x14ac:dyDescent="0.2">
      <c r="A16" s="162">
        <v>17</v>
      </c>
      <c r="B16" s="163">
        <v>0</v>
      </c>
      <c r="C16" s="163">
        <v>0</v>
      </c>
      <c r="D16" s="163">
        <v>1</v>
      </c>
      <c r="E16" s="163">
        <v>0</v>
      </c>
      <c r="F16" s="163">
        <v>4901</v>
      </c>
      <c r="G16" s="163">
        <v>1</v>
      </c>
      <c r="H16" s="163">
        <v>6</v>
      </c>
      <c r="I16" s="163">
        <v>2</v>
      </c>
      <c r="J16" s="163">
        <v>9</v>
      </c>
      <c r="K16" s="163">
        <v>5</v>
      </c>
      <c r="L16" s="163">
        <v>0</v>
      </c>
      <c r="M16" s="163">
        <v>1</v>
      </c>
      <c r="N16" s="164" t="s">
        <v>47</v>
      </c>
      <c r="O16" s="304" t="s">
        <v>117</v>
      </c>
      <c r="P16" s="304"/>
      <c r="Q16" s="165">
        <v>19500</v>
      </c>
      <c r="R16" s="36"/>
    </row>
    <row r="17" spans="1:17" ht="13.5" thickBo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53"/>
      <c r="O17" s="305"/>
      <c r="P17" s="305"/>
      <c r="Q17" s="55"/>
    </row>
    <row r="18" spans="1:17" ht="15.75" thickBot="1" x14ac:dyDescent="0.25">
      <c r="A18" s="286" t="s">
        <v>118</v>
      </c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56">
        <f>SUM(Q15:Q17)</f>
        <v>38750</v>
      </c>
    </row>
    <row r="19" spans="1:17" ht="15.75" customHeight="1" thickBot="1" x14ac:dyDescent="0.25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</row>
    <row r="20" spans="1:17" ht="15.75" thickBot="1" x14ac:dyDescent="0.25">
      <c r="A20" s="281" t="s">
        <v>48</v>
      </c>
      <c r="B20" s="282"/>
      <c r="C20" s="282"/>
      <c r="D20" s="282"/>
      <c r="E20" s="282"/>
      <c r="F20" s="283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</row>
    <row r="21" spans="1:17" ht="15.75" customHeight="1" thickBot="1" x14ac:dyDescent="0.25">
      <c r="A21" s="280" t="s">
        <v>121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</row>
    <row r="22" spans="1:17" ht="13.5" thickBot="1" x14ac:dyDescent="0.25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</row>
    <row r="23" spans="1:17" ht="13.5" customHeight="1" thickBot="1" x14ac:dyDescent="0.25">
      <c r="A23" s="281" t="s">
        <v>49</v>
      </c>
      <c r="B23" s="282"/>
      <c r="C23" s="282"/>
      <c r="D23" s="282"/>
      <c r="E23" s="282"/>
      <c r="F23" s="283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</row>
    <row r="24" spans="1:17" ht="15.75" customHeight="1" thickBot="1" x14ac:dyDescent="0.25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</row>
    <row r="25" spans="1:17" ht="13.5" thickBot="1" x14ac:dyDescent="0.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 spans="1:17" ht="13.5" customHeight="1" x14ac:dyDescent="0.2"/>
  </sheetData>
  <mergeCells count="29">
    <mergeCell ref="A23:F23"/>
    <mergeCell ref="G23:Q23"/>
    <mergeCell ref="A24:Q25"/>
    <mergeCell ref="O16:P16"/>
    <mergeCell ref="O17:P17"/>
    <mergeCell ref="A18:P18"/>
    <mergeCell ref="A19:Q19"/>
    <mergeCell ref="A20:F20"/>
    <mergeCell ref="G20:Q20"/>
    <mergeCell ref="A21:Q22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2346-EB8A-4732-B894-78138086FF12}">
  <dimension ref="A1:Z16"/>
  <sheetViews>
    <sheetView workbookViewId="0">
      <selection activeCell="C32" sqref="C32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8554687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60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x14ac:dyDescent="0.2">
      <c r="A6" s="264" t="s">
        <v>50</v>
      </c>
      <c r="B6" s="265"/>
      <c r="C6" s="266" t="s">
        <v>71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x14ac:dyDescent="0.2">
      <c r="A7" s="264" t="s">
        <v>51</v>
      </c>
      <c r="B7" s="265"/>
      <c r="C7" s="266" t="s">
        <v>71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x14ac:dyDescent="0.2">
      <c r="A8" s="264" t="s">
        <v>4</v>
      </c>
      <c r="B8" s="265"/>
      <c r="C8" s="82" t="s">
        <v>70</v>
      </c>
      <c r="D8" s="82"/>
      <c r="E8" s="9"/>
      <c r="F8" s="82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x14ac:dyDescent="0.2">
      <c r="A9" s="264" t="s">
        <v>53</v>
      </c>
      <c r="B9" s="265"/>
      <c r="C9" s="275" t="s">
        <v>134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20</v>
      </c>
      <c r="E11" s="74" t="s">
        <v>55</v>
      </c>
      <c r="F11" s="75">
        <v>350</v>
      </c>
      <c r="G11" s="74">
        <v>15</v>
      </c>
      <c r="H11" s="77">
        <f>+G11*F11</f>
        <v>5250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28.5" x14ac:dyDescent="0.2">
      <c r="A12" s="80">
        <v>2</v>
      </c>
      <c r="B12" s="71" t="s">
        <v>90</v>
      </c>
      <c r="C12" s="72" t="s">
        <v>91</v>
      </c>
      <c r="D12" s="73" t="s">
        <v>20</v>
      </c>
      <c r="E12" s="74" t="s">
        <v>55</v>
      </c>
      <c r="F12" s="75">
        <v>275</v>
      </c>
      <c r="G12" s="74">
        <v>30</v>
      </c>
      <c r="H12" s="77">
        <f t="shared" ref="H12:H14" si="0">+G12*F12</f>
        <v>8250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8" customFormat="1" ht="28.5" x14ac:dyDescent="0.2">
      <c r="A13" s="80">
        <v>3</v>
      </c>
      <c r="B13" s="71" t="s">
        <v>92</v>
      </c>
      <c r="C13" s="72" t="s">
        <v>93</v>
      </c>
      <c r="D13" s="73" t="s">
        <v>20</v>
      </c>
      <c r="E13" s="74" t="s">
        <v>55</v>
      </c>
      <c r="F13" s="75">
        <v>450</v>
      </c>
      <c r="G13" s="74">
        <v>10</v>
      </c>
      <c r="H13" s="77">
        <f t="shared" si="0"/>
        <v>4500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s="8" customFormat="1" ht="15" x14ac:dyDescent="0.2">
      <c r="A14" s="80">
        <v>4</v>
      </c>
      <c r="B14" s="71" t="s">
        <v>96</v>
      </c>
      <c r="C14" s="72" t="s">
        <v>98</v>
      </c>
      <c r="D14" s="73" t="s">
        <v>20</v>
      </c>
      <c r="E14" s="74" t="s">
        <v>55</v>
      </c>
      <c r="F14" s="75">
        <v>650</v>
      </c>
      <c r="G14" s="74">
        <v>50</v>
      </c>
      <c r="H14" s="77">
        <f t="shared" si="0"/>
        <v>32500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s="4" customFormat="1" ht="25.5" customHeight="1" x14ac:dyDescent="0.2">
      <c r="A15" s="99"/>
      <c r="B15" s="100" t="s">
        <v>62</v>
      </c>
      <c r="C15" s="277" t="s">
        <v>135</v>
      </c>
      <c r="D15" s="277"/>
      <c r="E15" s="277"/>
      <c r="F15" s="278">
        <f>+H14+H13+H12+H11</f>
        <v>50500</v>
      </c>
      <c r="G15" s="279"/>
    </row>
    <row r="16" spans="1:26" hidden="1" x14ac:dyDescent="0.2">
      <c r="G16" s="135">
        <f>+G14+G13+G12+G11</f>
        <v>105</v>
      </c>
    </row>
  </sheetData>
  <mergeCells count="14">
    <mergeCell ref="A9:B9"/>
    <mergeCell ref="C9:G9"/>
    <mergeCell ref="C15:E15"/>
    <mergeCell ref="F15:G15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C5AF-F45A-4CD6-8923-6AAA655045FD}">
  <dimension ref="A1:R42"/>
  <sheetViews>
    <sheetView workbookViewId="0">
      <selection activeCell="Q16" sqref="Q16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6" width="23.28515625" style="33" customWidth="1"/>
    <col min="17" max="17" width="14.7109375" style="33" customWidth="1"/>
    <col min="18" max="16384" width="11" style="33"/>
  </cols>
  <sheetData>
    <row r="1" spans="1:17" ht="15.75" customHeight="1" thickBot="1" x14ac:dyDescent="0.3">
      <c r="A1" s="295" t="s">
        <v>3</v>
      </c>
      <c r="B1" s="295"/>
      <c r="C1" s="295"/>
      <c r="D1" s="311">
        <v>2021</v>
      </c>
      <c r="E1" s="311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312" t="s">
        <v>21</v>
      </c>
      <c r="Q1" s="312"/>
    </row>
    <row r="2" spans="1:17" ht="13.5" customHeight="1" thickBot="1" x14ac:dyDescent="0.25">
      <c r="A2" s="113"/>
      <c r="B2" s="36"/>
      <c r="C2" s="36"/>
      <c r="D2" s="36"/>
      <c r="E2" s="36"/>
      <c r="F2" s="36"/>
      <c r="G2" s="114"/>
      <c r="H2" s="115"/>
      <c r="I2" s="115"/>
      <c r="J2" s="115"/>
      <c r="K2" s="115"/>
      <c r="L2" s="115"/>
      <c r="M2" s="115"/>
      <c r="N2" s="115"/>
      <c r="O2" s="36"/>
      <c r="P2" s="312"/>
      <c r="Q2" s="312"/>
    </row>
    <row r="3" spans="1:17" ht="13.5" thickBot="1" x14ac:dyDescent="0.25">
      <c r="A3" s="113"/>
      <c r="B3" s="36"/>
      <c r="C3" s="36"/>
      <c r="D3" s="36"/>
      <c r="E3" s="36"/>
      <c r="F3" s="36"/>
      <c r="G3" s="114"/>
      <c r="H3" s="36"/>
      <c r="I3" s="36"/>
      <c r="J3" s="36"/>
      <c r="K3" s="36"/>
      <c r="L3" s="36"/>
      <c r="M3" s="36"/>
      <c r="N3" s="36"/>
      <c r="O3" s="36"/>
      <c r="P3" s="36"/>
      <c r="Q3" s="116"/>
    </row>
    <row r="4" spans="1:17" s="35" customFormat="1" ht="15" thickBot="1" x14ac:dyDescent="0.25">
      <c r="A4" s="313" t="s">
        <v>22</v>
      </c>
      <c r="B4" s="313"/>
      <c r="C4" s="313"/>
      <c r="D4" s="313"/>
      <c r="E4" s="313"/>
      <c r="F4" s="313"/>
      <c r="G4" s="310" t="s">
        <v>68</v>
      </c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s="35" customFormat="1" ht="15" customHeight="1" thickBot="1" x14ac:dyDescent="0.25">
      <c r="A5" s="309" t="s">
        <v>24</v>
      </c>
      <c r="B5" s="309"/>
      <c r="C5" s="309"/>
      <c r="D5" s="309"/>
      <c r="E5" s="309"/>
      <c r="F5" s="309"/>
      <c r="G5" s="310" t="s">
        <v>72</v>
      </c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s="35" customFormat="1" ht="15" customHeight="1" thickBot="1" x14ac:dyDescent="0.25">
      <c r="A6" s="309" t="s">
        <v>26</v>
      </c>
      <c r="B6" s="309"/>
      <c r="C6" s="309"/>
      <c r="D6" s="309"/>
      <c r="E6" s="309"/>
      <c r="F6" s="309"/>
      <c r="G6" s="310" t="s">
        <v>69</v>
      </c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s="35" customFormat="1" ht="15" customHeight="1" thickBot="1" x14ac:dyDescent="0.25">
      <c r="A7" s="309" t="s">
        <v>27</v>
      </c>
      <c r="B7" s="309"/>
      <c r="C7" s="309"/>
      <c r="D7" s="309"/>
      <c r="E7" s="309"/>
      <c r="F7" s="309"/>
      <c r="G7" s="310" t="s">
        <v>69</v>
      </c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ht="13.5" thickBot="1" x14ac:dyDescent="0.25">
      <c r="A8" s="315" t="s">
        <v>28</v>
      </c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</row>
    <row r="9" spans="1:17" ht="14.25" x14ac:dyDescent="0.2">
      <c r="A9" s="316" t="s">
        <v>73</v>
      </c>
      <c r="B9" s="316"/>
      <c r="C9" s="316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</row>
    <row r="10" spans="1:17" ht="60" customHeight="1" x14ac:dyDescent="0.2">
      <c r="A10" s="317" t="s">
        <v>129</v>
      </c>
      <c r="B10" s="317"/>
      <c r="C10" s="317"/>
      <c r="D10" s="317"/>
      <c r="E10" s="317"/>
      <c r="F10" s="317"/>
      <c r="G10" s="317"/>
      <c r="H10" s="317"/>
      <c r="I10" s="317"/>
      <c r="J10" s="317"/>
      <c r="K10" s="317"/>
      <c r="L10" s="317"/>
      <c r="M10" s="317"/>
      <c r="N10" s="317"/>
      <c r="O10" s="317"/>
      <c r="P10" s="317"/>
      <c r="Q10" s="317"/>
    </row>
    <row r="11" spans="1:17" ht="13.5" thickBot="1" x14ac:dyDescent="0.25">
      <c r="A11" s="117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118"/>
    </row>
    <row r="12" spans="1:17" ht="13.5" thickBot="1" x14ac:dyDescent="0.25">
      <c r="A12" s="318" t="s">
        <v>30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</row>
    <row r="13" spans="1:17" ht="13.5" customHeight="1" thickBot="1" x14ac:dyDescent="0.25">
      <c r="A13" s="319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291" t="s">
        <v>32</v>
      </c>
      <c r="P13" s="291"/>
      <c r="Q13" s="320" t="s">
        <v>33</v>
      </c>
    </row>
    <row r="14" spans="1:17" ht="13.5" thickBot="1" x14ac:dyDescent="0.25">
      <c r="A14" s="119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320"/>
    </row>
    <row r="15" spans="1:17" ht="15" customHeight="1" x14ac:dyDescent="0.2">
      <c r="A15" s="120">
        <v>17</v>
      </c>
      <c r="B15" s="104"/>
      <c r="C15" s="104"/>
      <c r="D15" s="104">
        <v>2</v>
      </c>
      <c r="E15" s="104"/>
      <c r="F15" s="104">
        <v>4901</v>
      </c>
      <c r="G15" s="104">
        <v>1</v>
      </c>
      <c r="H15" s="104">
        <v>6</v>
      </c>
      <c r="I15" s="104">
        <v>2</v>
      </c>
      <c r="J15" s="104">
        <v>5</v>
      </c>
      <c r="K15" s="104">
        <v>2</v>
      </c>
      <c r="L15" s="104"/>
      <c r="M15" s="105">
        <v>1</v>
      </c>
      <c r="N15" s="121" t="s">
        <v>47</v>
      </c>
      <c r="O15" s="314" t="s">
        <v>130</v>
      </c>
      <c r="P15" s="314"/>
      <c r="Q15" s="122">
        <v>18000</v>
      </c>
    </row>
    <row r="16" spans="1:17" x14ac:dyDescent="0.2">
      <c r="A16" s="123">
        <v>17</v>
      </c>
      <c r="B16" s="107"/>
      <c r="C16" s="107"/>
      <c r="D16" s="107">
        <v>2</v>
      </c>
      <c r="E16" s="107"/>
      <c r="F16" s="107">
        <v>4901</v>
      </c>
      <c r="G16" s="107">
        <v>1</v>
      </c>
      <c r="H16" s="107">
        <v>6</v>
      </c>
      <c r="I16" s="107">
        <v>2</v>
      </c>
      <c r="J16" s="107">
        <v>9</v>
      </c>
      <c r="K16" s="107">
        <v>5</v>
      </c>
      <c r="L16" s="107"/>
      <c r="M16" s="108">
        <v>1</v>
      </c>
      <c r="N16" s="148" t="s">
        <v>47</v>
      </c>
      <c r="O16" s="308" t="s">
        <v>131</v>
      </c>
      <c r="P16" s="308"/>
      <c r="Q16" s="124">
        <v>32500</v>
      </c>
    </row>
    <row r="17" spans="1:18" x14ac:dyDescent="0.2">
      <c r="A17" s="123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8"/>
      <c r="N17" s="148"/>
      <c r="O17" s="322"/>
      <c r="P17" s="322"/>
      <c r="Q17" s="124"/>
    </row>
    <row r="18" spans="1:18" x14ac:dyDescent="0.2">
      <c r="A18" s="123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48"/>
      <c r="O18" s="322"/>
      <c r="P18" s="322"/>
      <c r="Q18" s="124"/>
    </row>
    <row r="19" spans="1:18" x14ac:dyDescent="0.2">
      <c r="A19" s="123"/>
      <c r="B19" s="107"/>
      <c r="C19" s="107"/>
      <c r="D19" s="107"/>
      <c r="E19" s="107"/>
      <c r="F19" s="148"/>
      <c r="G19" s="107"/>
      <c r="H19" s="107"/>
      <c r="I19" s="107"/>
      <c r="J19" s="107"/>
      <c r="K19" s="107"/>
      <c r="L19" s="107"/>
      <c r="M19" s="108"/>
      <c r="N19" s="148"/>
      <c r="O19" s="308"/>
      <c r="P19" s="308"/>
      <c r="Q19" s="124"/>
    </row>
    <row r="20" spans="1:18" ht="14.25" x14ac:dyDescent="0.2">
      <c r="A20" s="125"/>
      <c r="B20" s="49"/>
      <c r="C20" s="49"/>
      <c r="D20" s="49"/>
      <c r="E20" s="49"/>
      <c r="F20" s="148"/>
      <c r="G20" s="49"/>
      <c r="H20" s="49"/>
      <c r="I20" s="49"/>
      <c r="J20" s="49"/>
      <c r="K20" s="49"/>
      <c r="L20" s="49"/>
      <c r="M20" s="50"/>
      <c r="N20" s="51"/>
      <c r="O20" s="308"/>
      <c r="P20" s="308"/>
      <c r="Q20" s="124"/>
      <c r="R20" s="36"/>
    </row>
    <row r="21" spans="1:18" ht="13.5" thickBot="1" x14ac:dyDescent="0.25">
      <c r="A21" s="126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53"/>
      <c r="O21" s="305"/>
      <c r="P21" s="305"/>
      <c r="Q21" s="127"/>
    </row>
    <row r="22" spans="1:18" ht="15.75" customHeight="1" thickBot="1" x14ac:dyDescent="0.25">
      <c r="A22" s="323" t="s">
        <v>132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128">
        <f>SUM(Q15:Q21)</f>
        <v>50500</v>
      </c>
    </row>
    <row r="23" spans="1:18" ht="13.5" thickBot="1" x14ac:dyDescent="0.25">
      <c r="A23" s="324"/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</row>
    <row r="24" spans="1:18" ht="15.75" customHeight="1" thickBot="1" x14ac:dyDescent="0.25">
      <c r="A24" s="321" t="s">
        <v>48</v>
      </c>
      <c r="B24" s="321"/>
      <c r="C24" s="321"/>
      <c r="D24" s="321"/>
      <c r="E24" s="321"/>
      <c r="F24" s="321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</row>
    <row r="25" spans="1:18" ht="14.25" customHeight="1" x14ac:dyDescent="0.2">
      <c r="A25" s="326" t="s">
        <v>133</v>
      </c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8"/>
    </row>
    <row r="26" spans="1:18" ht="15" thickBot="1" x14ac:dyDescent="0.25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7"/>
    </row>
    <row r="27" spans="1:18" ht="15.75" customHeight="1" thickBot="1" x14ac:dyDescent="0.25">
      <c r="A27" s="321" t="s">
        <v>49</v>
      </c>
      <c r="B27" s="321"/>
      <c r="C27" s="321"/>
      <c r="D27" s="321"/>
      <c r="E27" s="321"/>
      <c r="F27" s="321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7"/>
    </row>
    <row r="28" spans="1:18" ht="15" x14ac:dyDescent="0.2">
      <c r="A28" s="129"/>
      <c r="B28" s="130"/>
      <c r="C28" s="130"/>
      <c r="D28" s="130"/>
      <c r="E28" s="130"/>
      <c r="F28" s="130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7"/>
    </row>
    <row r="29" spans="1:18" ht="15" thickBot="1" x14ac:dyDescent="0.25">
      <c r="A29" s="131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3"/>
    </row>
    <row r="33" s="33" customFormat="1" x14ac:dyDescent="0.2"/>
    <row r="34" s="33" customFormat="1" x14ac:dyDescent="0.2"/>
    <row r="35" s="33" customFormat="1" x14ac:dyDescent="0.2"/>
    <row r="36" s="33" customFormat="1" x14ac:dyDescent="0.2"/>
    <row r="37" s="33" customFormat="1" x14ac:dyDescent="0.2"/>
    <row r="38" s="33" customFormat="1" x14ac:dyDescent="0.2"/>
    <row r="39" s="33" customFormat="1" x14ac:dyDescent="0.2"/>
    <row r="40" s="33" customFormat="1" x14ac:dyDescent="0.2"/>
    <row r="41" s="33" customFormat="1" x14ac:dyDescent="0.2"/>
    <row r="42" s="33" customFormat="1" x14ac:dyDescent="0.2"/>
  </sheetData>
  <mergeCells count="31">
    <mergeCell ref="A27:F27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  <mergeCell ref="A25:Q25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146D-FE84-45D6-A1E8-A985BD8CAEB5}">
  <dimension ref="A1:Z15"/>
  <sheetViews>
    <sheetView workbookViewId="0">
      <selection activeCell="D29" sqref="D29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141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customHeight="1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customHeight="1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customHeight="1" x14ac:dyDescent="0.2">
      <c r="A6" s="264" t="s">
        <v>50</v>
      </c>
      <c r="B6" s="265"/>
      <c r="C6" s="266" t="s">
        <v>142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142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customHeight="1" x14ac:dyDescent="0.2">
      <c r="A8" s="264" t="s">
        <v>4</v>
      </c>
      <c r="B8" s="265"/>
      <c r="C8" s="156" t="s">
        <v>52</v>
      </c>
      <c r="D8" s="156"/>
      <c r="E8" s="9"/>
      <c r="F8" s="156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customHeight="1" x14ac:dyDescent="0.2">
      <c r="A9" s="264" t="s">
        <v>53</v>
      </c>
      <c r="B9" s="265"/>
      <c r="C9" s="275" t="s">
        <v>121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58</v>
      </c>
      <c r="E11" s="74" t="s">
        <v>55</v>
      </c>
      <c r="F11" s="75">
        <v>350</v>
      </c>
      <c r="G11" s="157">
        <v>15</v>
      </c>
      <c r="H11" s="77">
        <f t="shared" ref="H11:H13" si="0">+G11*F11</f>
        <v>5250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28.5" x14ac:dyDescent="0.2">
      <c r="A12" s="81">
        <v>2</v>
      </c>
      <c r="B12" s="71" t="s">
        <v>90</v>
      </c>
      <c r="C12" s="72" t="s">
        <v>91</v>
      </c>
      <c r="D12" s="73" t="s">
        <v>58</v>
      </c>
      <c r="E12" s="74" t="s">
        <v>55</v>
      </c>
      <c r="F12" s="75">
        <v>275</v>
      </c>
      <c r="G12" s="157">
        <v>50</v>
      </c>
      <c r="H12" s="77">
        <f t="shared" si="0"/>
        <v>13750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8" customFormat="1" ht="15" x14ac:dyDescent="0.2">
      <c r="A13" s="81">
        <v>3</v>
      </c>
      <c r="B13" s="71" t="s">
        <v>96</v>
      </c>
      <c r="C13" s="72" t="s">
        <v>98</v>
      </c>
      <c r="D13" s="73" t="s">
        <v>20</v>
      </c>
      <c r="E13" s="74" t="s">
        <v>55</v>
      </c>
      <c r="F13" s="75">
        <v>650</v>
      </c>
      <c r="G13" s="157">
        <v>80</v>
      </c>
      <c r="H13" s="77">
        <f t="shared" si="0"/>
        <v>52000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s="4" customFormat="1" ht="25.5" customHeight="1" x14ac:dyDescent="0.2">
      <c r="A14" s="99"/>
      <c r="B14" s="100" t="s">
        <v>62</v>
      </c>
      <c r="C14" s="277" t="s">
        <v>143</v>
      </c>
      <c r="D14" s="277"/>
      <c r="E14" s="277"/>
      <c r="F14" s="278">
        <f>+H13+H12+H11</f>
        <v>71000</v>
      </c>
      <c r="G14" s="279"/>
    </row>
    <row r="15" spans="1:26" hidden="1" x14ac:dyDescent="0.2">
      <c r="G15" s="166">
        <f>+G13+G12+G11</f>
        <v>145</v>
      </c>
    </row>
  </sheetData>
  <mergeCells count="14">
    <mergeCell ref="C14:E14"/>
    <mergeCell ref="F14:G14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  <pageSetup paperSize="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BFF0-F669-4E98-8A41-2EF27CCD5900}">
  <dimension ref="A1:R25"/>
  <sheetViews>
    <sheetView zoomScale="115" zoomScaleNormal="115" workbookViewId="0">
      <selection activeCell="Q15" sqref="Q15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5" width="14.85546875" style="33" customWidth="1"/>
    <col min="16" max="16" width="27.5703125" style="33" customWidth="1"/>
    <col min="17" max="17" width="22.5703125" style="33" customWidth="1"/>
    <col min="18" max="16384" width="11" style="33"/>
  </cols>
  <sheetData>
    <row r="1" spans="1:18" ht="15.75" thickBot="1" x14ac:dyDescent="0.3">
      <c r="A1" s="294" t="s">
        <v>3</v>
      </c>
      <c r="B1" s="295"/>
      <c r="C1" s="295"/>
      <c r="D1" s="296">
        <f>+'[5]NECESIDADES TRIMESTRALES'!C6</f>
        <v>2021</v>
      </c>
      <c r="E1" s="296"/>
      <c r="F1" s="31"/>
      <c r="G1" s="31"/>
      <c r="H1" s="32"/>
      <c r="I1" s="32"/>
      <c r="J1" s="32"/>
      <c r="K1" s="32"/>
      <c r="L1" s="32"/>
      <c r="M1" s="32"/>
      <c r="N1" s="32"/>
      <c r="P1" s="297" t="s">
        <v>21</v>
      </c>
      <c r="Q1" s="297"/>
    </row>
    <row r="2" spans="1:18" ht="13.5" thickBot="1" x14ac:dyDescent="0.25">
      <c r="H2" s="32"/>
      <c r="I2" s="32"/>
      <c r="J2" s="32"/>
      <c r="K2" s="32"/>
      <c r="L2" s="32"/>
      <c r="M2" s="32"/>
      <c r="N2" s="32"/>
      <c r="P2" s="297"/>
      <c r="Q2" s="297"/>
    </row>
    <row r="4" spans="1:18" s="35" customFormat="1" ht="15" thickBot="1" x14ac:dyDescent="0.25">
      <c r="A4" s="298" t="s">
        <v>22</v>
      </c>
      <c r="B4" s="298"/>
      <c r="C4" s="298"/>
      <c r="D4" s="298"/>
      <c r="E4" s="298"/>
      <c r="F4" s="298"/>
      <c r="G4" s="299" t="s">
        <v>23</v>
      </c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8" s="35" customFormat="1" ht="15" thickBot="1" x14ac:dyDescent="0.25">
      <c r="A5" s="300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299"/>
    </row>
    <row r="6" spans="1:18" s="35" customFormat="1" ht="15" thickBot="1" x14ac:dyDescent="0.25">
      <c r="A6" s="300" t="s">
        <v>26</v>
      </c>
      <c r="B6" s="301"/>
      <c r="C6" s="301"/>
      <c r="D6" s="301"/>
      <c r="E6" s="301"/>
      <c r="F6" s="302"/>
      <c r="G6" s="299" t="s">
        <v>142</v>
      </c>
      <c r="H6" s="299"/>
      <c r="I6" s="299"/>
      <c r="J6" s="299"/>
      <c r="K6" s="299"/>
      <c r="L6" s="299"/>
      <c r="M6" s="299"/>
      <c r="N6" s="299"/>
      <c r="O6" s="299"/>
      <c r="P6" s="299"/>
      <c r="Q6" s="299"/>
    </row>
    <row r="7" spans="1:18" s="35" customFormat="1" ht="15" thickBot="1" x14ac:dyDescent="0.25">
      <c r="A7" s="300" t="s">
        <v>27</v>
      </c>
      <c r="B7" s="301"/>
      <c r="C7" s="301"/>
      <c r="D7" s="301"/>
      <c r="E7" s="301"/>
      <c r="F7" s="302"/>
      <c r="G7" s="299" t="s">
        <v>142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1:18" ht="13.5" thickBot="1" x14ac:dyDescent="0.25">
      <c r="A8" s="303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</row>
    <row r="9" spans="1:18" ht="14.25" x14ac:dyDescent="0.2">
      <c r="A9" s="293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37"/>
    </row>
    <row r="10" spans="1:18" ht="51" customHeight="1" x14ac:dyDescent="0.2">
      <c r="A10" s="288" t="s">
        <v>144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</row>
    <row r="11" spans="1:18" ht="13.5" thickBot="1" x14ac:dyDescent="0.25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8" ht="13.5" thickBot="1" x14ac:dyDescent="0.25">
      <c r="A12" s="289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8" ht="13.5" thickBot="1" x14ac:dyDescent="0.25">
      <c r="A13" s="290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291"/>
      <c r="Q13" s="292" t="s">
        <v>33</v>
      </c>
    </row>
    <row r="14" spans="1:18" ht="13.5" thickBot="1" x14ac:dyDescent="0.25">
      <c r="A14" s="42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292"/>
    </row>
    <row r="15" spans="1:18" x14ac:dyDescent="0.2">
      <c r="A15" s="158">
        <v>25</v>
      </c>
      <c r="B15" s="159">
        <v>0</v>
      </c>
      <c r="C15" s="159">
        <v>0</v>
      </c>
      <c r="D15" s="159">
        <v>1</v>
      </c>
      <c r="E15" s="159">
        <v>0</v>
      </c>
      <c r="F15" s="159">
        <v>4901</v>
      </c>
      <c r="G15" s="159">
        <v>1</v>
      </c>
      <c r="H15" s="159">
        <v>6</v>
      </c>
      <c r="I15" s="159">
        <v>2</v>
      </c>
      <c r="J15" s="159">
        <v>5</v>
      </c>
      <c r="K15" s="159">
        <v>2</v>
      </c>
      <c r="L15" s="159">
        <v>0</v>
      </c>
      <c r="M15" s="159">
        <v>1</v>
      </c>
      <c r="N15" s="160" t="s">
        <v>47</v>
      </c>
      <c r="O15" s="285" t="s">
        <v>116</v>
      </c>
      <c r="P15" s="285"/>
      <c r="Q15" s="161">
        <v>19000</v>
      </c>
    </row>
    <row r="16" spans="1:18" x14ac:dyDescent="0.2">
      <c r="A16" s="162">
        <v>25</v>
      </c>
      <c r="B16" s="163">
        <v>0</v>
      </c>
      <c r="C16" s="163">
        <v>0</v>
      </c>
      <c r="D16" s="163">
        <v>1</v>
      </c>
      <c r="E16" s="163">
        <v>0</v>
      </c>
      <c r="F16" s="163">
        <v>4901</v>
      </c>
      <c r="G16" s="163">
        <v>1</v>
      </c>
      <c r="H16" s="163">
        <v>6</v>
      </c>
      <c r="I16" s="163">
        <v>2</v>
      </c>
      <c r="J16" s="163">
        <v>9</v>
      </c>
      <c r="K16" s="163">
        <v>5</v>
      </c>
      <c r="L16" s="163">
        <v>0</v>
      </c>
      <c r="M16" s="163">
        <v>1</v>
      </c>
      <c r="N16" s="164" t="s">
        <v>47</v>
      </c>
      <c r="O16" s="304" t="s">
        <v>117</v>
      </c>
      <c r="P16" s="304"/>
      <c r="Q16" s="165">
        <v>52000</v>
      </c>
      <c r="R16" s="36"/>
    </row>
    <row r="17" spans="1:17" ht="13.5" thickBo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53"/>
      <c r="O17" s="305"/>
      <c r="P17" s="305"/>
      <c r="Q17" s="55"/>
    </row>
    <row r="18" spans="1:17" ht="15.75" thickBot="1" x14ac:dyDescent="0.25">
      <c r="A18" s="286" t="s">
        <v>145</v>
      </c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56">
        <f>SUM(Q15:Q17)</f>
        <v>71000</v>
      </c>
    </row>
    <row r="19" spans="1:17" ht="13.5" thickBot="1" x14ac:dyDescent="0.25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</row>
    <row r="20" spans="1:17" ht="15.75" thickBot="1" x14ac:dyDescent="0.25">
      <c r="A20" s="281" t="s">
        <v>48</v>
      </c>
      <c r="B20" s="282"/>
      <c r="C20" s="282"/>
      <c r="D20" s="282"/>
      <c r="E20" s="282"/>
      <c r="F20" s="283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</row>
    <row r="21" spans="1:17" ht="13.5" thickBot="1" x14ac:dyDescent="0.25">
      <c r="A21" s="280" t="s">
        <v>121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</row>
    <row r="22" spans="1:17" ht="13.5" thickBot="1" x14ac:dyDescent="0.25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</row>
    <row r="23" spans="1:17" ht="15.75" thickBot="1" x14ac:dyDescent="0.25">
      <c r="A23" s="281" t="s">
        <v>49</v>
      </c>
      <c r="B23" s="282"/>
      <c r="C23" s="282"/>
      <c r="D23" s="282"/>
      <c r="E23" s="282"/>
      <c r="F23" s="283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</row>
    <row r="24" spans="1:17" ht="13.5" thickBot="1" x14ac:dyDescent="0.25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</row>
    <row r="25" spans="1:17" ht="13.5" thickBot="1" x14ac:dyDescent="0.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</sheetData>
  <mergeCells count="29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1:Q22"/>
    <mergeCell ref="A23:F23"/>
    <mergeCell ref="G23:Q23"/>
    <mergeCell ref="A24:Q25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pageSetup paperSize="5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1166-E850-41A6-B4DD-82655012EDA0}">
  <dimension ref="A1:Z15"/>
  <sheetViews>
    <sheetView workbookViewId="0">
      <selection activeCell="H36" sqref="H36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155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customHeight="1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customHeight="1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customHeight="1" x14ac:dyDescent="0.2">
      <c r="A6" s="264" t="s">
        <v>50</v>
      </c>
      <c r="B6" s="265"/>
      <c r="C6" s="266" t="s">
        <v>153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153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customHeight="1" x14ac:dyDescent="0.2">
      <c r="A8" s="264" t="s">
        <v>4</v>
      </c>
      <c r="B8" s="265"/>
      <c r="C8" s="171" t="s">
        <v>52</v>
      </c>
      <c r="D8" s="171"/>
      <c r="E8" s="9"/>
      <c r="F8" s="171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customHeight="1" x14ac:dyDescent="0.2">
      <c r="A9" s="264" t="s">
        <v>53</v>
      </c>
      <c r="B9" s="265"/>
      <c r="C9" s="275" t="s">
        <v>154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94</v>
      </c>
      <c r="C11" s="72" t="s">
        <v>95</v>
      </c>
      <c r="D11" s="73" t="s">
        <v>20</v>
      </c>
      <c r="E11" s="74" t="s">
        <v>55</v>
      </c>
      <c r="F11" s="75">
        <v>1300</v>
      </c>
      <c r="G11" s="157">
        <v>10</v>
      </c>
      <c r="H11" s="77">
        <f t="shared" ref="H11:H13" si="0">+G11*F11</f>
        <v>13000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28.5" x14ac:dyDescent="0.2">
      <c r="A12" s="81">
        <v>2</v>
      </c>
      <c r="B12" s="71" t="s">
        <v>90</v>
      </c>
      <c r="C12" s="72" t="s">
        <v>91</v>
      </c>
      <c r="D12" s="73" t="s">
        <v>20</v>
      </c>
      <c r="E12" s="74" t="s">
        <v>55</v>
      </c>
      <c r="F12" s="75">
        <v>350</v>
      </c>
      <c r="G12" s="157">
        <v>12</v>
      </c>
      <c r="H12" s="77">
        <f t="shared" si="0"/>
        <v>4200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8" customFormat="1" ht="28.5" x14ac:dyDescent="0.2">
      <c r="A13" s="81">
        <v>3</v>
      </c>
      <c r="B13" s="71" t="s">
        <v>86</v>
      </c>
      <c r="C13" s="72" t="s">
        <v>89</v>
      </c>
      <c r="D13" s="73" t="s">
        <v>20</v>
      </c>
      <c r="E13" s="74" t="s">
        <v>55</v>
      </c>
      <c r="F13" s="75">
        <v>275</v>
      </c>
      <c r="G13" s="157">
        <v>20</v>
      </c>
      <c r="H13" s="77">
        <f t="shared" si="0"/>
        <v>5500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s="4" customFormat="1" ht="25.5" customHeight="1" x14ac:dyDescent="0.2">
      <c r="A14" s="99"/>
      <c r="B14" s="100" t="s">
        <v>62</v>
      </c>
      <c r="C14" s="277" t="s">
        <v>156</v>
      </c>
      <c r="D14" s="277"/>
      <c r="E14" s="277"/>
      <c r="F14" s="278">
        <f>+H13+H12+H11</f>
        <v>22700</v>
      </c>
      <c r="G14" s="279"/>
    </row>
    <row r="15" spans="1:26" hidden="1" x14ac:dyDescent="0.2">
      <c r="G15" s="166">
        <f>+G13+G12+G11</f>
        <v>42</v>
      </c>
    </row>
  </sheetData>
  <mergeCells count="14">
    <mergeCell ref="C14:E14"/>
    <mergeCell ref="F14:G14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F392-EB34-4A8A-B621-D13BC247C8B2}">
  <dimension ref="A1:Q30"/>
  <sheetViews>
    <sheetView workbookViewId="0">
      <selection activeCell="T28" sqref="T28"/>
    </sheetView>
  </sheetViews>
  <sheetFormatPr baseColWidth="10" defaultRowHeight="12.75" x14ac:dyDescent="0.2"/>
  <cols>
    <col min="1" max="2" width="4.42578125" style="33" customWidth="1"/>
    <col min="3" max="3" width="7.85546875" style="33" customWidth="1"/>
    <col min="4" max="4" width="4.42578125" style="33" customWidth="1"/>
    <col min="5" max="5" width="4" style="33" bestFit="1" customWidth="1"/>
    <col min="6" max="6" width="5.28515625" style="33" customWidth="1"/>
    <col min="7" max="11" width="4.42578125" style="33" customWidth="1"/>
    <col min="12" max="12" width="5.85546875" style="33" bestFit="1" customWidth="1"/>
    <col min="13" max="14" width="4.42578125" style="33" customWidth="1"/>
    <col min="15" max="15" width="14.85546875" style="33" customWidth="1"/>
    <col min="16" max="16" width="12.42578125" style="33" customWidth="1"/>
    <col min="17" max="17" width="14.7109375" style="33" customWidth="1"/>
    <col min="18" max="16384" width="11.42578125" style="33"/>
  </cols>
  <sheetData>
    <row r="1" spans="1:17" ht="15.75" thickBot="1" x14ac:dyDescent="0.3">
      <c r="A1" s="330" t="s">
        <v>146</v>
      </c>
      <c r="B1" s="331"/>
      <c r="C1" s="331"/>
      <c r="D1" s="332"/>
      <c r="E1" s="332"/>
      <c r="F1" s="173"/>
      <c r="G1" s="173"/>
      <c r="H1" s="174"/>
      <c r="I1" s="174"/>
      <c r="J1" s="174"/>
      <c r="K1" s="174"/>
      <c r="L1" s="174"/>
      <c r="M1" s="174"/>
      <c r="N1" s="174"/>
      <c r="O1" s="175"/>
      <c r="P1" s="333" t="s">
        <v>21</v>
      </c>
      <c r="Q1" s="333"/>
    </row>
    <row r="2" spans="1:17" ht="13.5" thickBot="1" x14ac:dyDescent="0.25">
      <c r="A2" s="175"/>
      <c r="B2" s="175"/>
      <c r="C2" s="175"/>
      <c r="D2" s="175"/>
      <c r="E2" s="175"/>
      <c r="F2" s="175"/>
      <c r="G2" s="176"/>
      <c r="H2" s="174"/>
      <c r="I2" s="174"/>
      <c r="J2" s="174"/>
      <c r="K2" s="174"/>
      <c r="L2" s="174"/>
      <c r="M2" s="174"/>
      <c r="N2" s="174"/>
      <c r="O2" s="175"/>
      <c r="P2" s="333"/>
      <c r="Q2" s="333"/>
    </row>
    <row r="3" spans="1:17" ht="13.5" thickBot="1" x14ac:dyDescent="0.25">
      <c r="G3" s="34"/>
    </row>
    <row r="4" spans="1:17" ht="15" thickBot="1" x14ac:dyDescent="0.25">
      <c r="A4" s="334" t="s">
        <v>22</v>
      </c>
      <c r="B4" s="335"/>
      <c r="C4" s="335"/>
      <c r="D4" s="335"/>
      <c r="E4" s="335"/>
      <c r="F4" s="335"/>
      <c r="G4" s="336" t="s">
        <v>23</v>
      </c>
      <c r="H4" s="336"/>
      <c r="I4" s="336"/>
      <c r="J4" s="336"/>
      <c r="K4" s="336"/>
      <c r="L4" s="336"/>
      <c r="M4" s="336"/>
      <c r="N4" s="336"/>
      <c r="O4" s="336"/>
      <c r="P4" s="336"/>
      <c r="Q4" s="337"/>
    </row>
    <row r="5" spans="1:17" ht="15" thickBot="1" x14ac:dyDescent="0.25">
      <c r="A5" s="338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310"/>
    </row>
    <row r="6" spans="1:17" ht="15" thickBot="1" x14ac:dyDescent="0.25">
      <c r="A6" s="338" t="s">
        <v>26</v>
      </c>
      <c r="B6" s="301"/>
      <c r="C6" s="301"/>
      <c r="D6" s="301"/>
      <c r="E6" s="301"/>
      <c r="F6" s="302"/>
      <c r="G6" s="299" t="s">
        <v>147</v>
      </c>
      <c r="H6" s="299"/>
      <c r="I6" s="299"/>
      <c r="J6" s="299"/>
      <c r="K6" s="299"/>
      <c r="L6" s="299"/>
      <c r="M6" s="299"/>
      <c r="N6" s="299"/>
      <c r="O6" s="299"/>
      <c r="P6" s="299"/>
      <c r="Q6" s="310"/>
    </row>
    <row r="7" spans="1:17" ht="15" thickBot="1" x14ac:dyDescent="0.25">
      <c r="A7" s="338" t="s">
        <v>27</v>
      </c>
      <c r="B7" s="301"/>
      <c r="C7" s="301"/>
      <c r="D7" s="301"/>
      <c r="E7" s="301"/>
      <c r="F7" s="302"/>
      <c r="G7" s="299" t="s">
        <v>147</v>
      </c>
      <c r="H7" s="299"/>
      <c r="I7" s="299"/>
      <c r="J7" s="299"/>
      <c r="K7" s="299"/>
      <c r="L7" s="299"/>
      <c r="M7" s="299"/>
      <c r="N7" s="299"/>
      <c r="O7" s="299"/>
      <c r="P7" s="299"/>
      <c r="Q7" s="310"/>
    </row>
    <row r="8" spans="1:17" ht="13.5" thickBot="1" x14ac:dyDescent="0.25">
      <c r="A8" s="339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40"/>
    </row>
    <row r="9" spans="1:17" ht="14.25" x14ac:dyDescent="0.2">
      <c r="A9" s="329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116"/>
    </row>
    <row r="10" spans="1:17" ht="45.75" customHeight="1" x14ac:dyDescent="0.2">
      <c r="A10" s="341" t="s">
        <v>148</v>
      </c>
      <c r="B10" s="342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3"/>
    </row>
    <row r="11" spans="1:17" ht="13.5" thickBot="1" x14ac:dyDescent="0.25">
      <c r="A11" s="117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118"/>
    </row>
    <row r="12" spans="1:17" ht="13.5" thickBot="1" x14ac:dyDescent="0.25">
      <c r="A12" s="344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345"/>
    </row>
    <row r="13" spans="1:17" ht="13.5" thickBot="1" x14ac:dyDescent="0.25">
      <c r="A13" s="319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346"/>
      <c r="Q13" s="347" t="s">
        <v>33</v>
      </c>
    </row>
    <row r="14" spans="1:17" ht="13.5" thickBot="1" x14ac:dyDescent="0.25">
      <c r="A14" s="119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346"/>
      <c r="Q14" s="348"/>
    </row>
    <row r="15" spans="1:17" ht="29.25" customHeight="1" x14ac:dyDescent="0.2">
      <c r="A15" s="177" t="s">
        <v>149</v>
      </c>
      <c r="B15" s="178">
        <v>0</v>
      </c>
      <c r="C15" s="178">
        <v>0</v>
      </c>
      <c r="D15" s="178">
        <v>1</v>
      </c>
      <c r="E15" s="178">
        <v>0</v>
      </c>
      <c r="F15" s="178">
        <v>4901</v>
      </c>
      <c r="G15" s="178">
        <v>1</v>
      </c>
      <c r="H15" s="178">
        <v>7</v>
      </c>
      <c r="I15" s="178">
        <v>2</v>
      </c>
      <c r="J15" s="178">
        <v>5</v>
      </c>
      <c r="K15" s="178">
        <v>2</v>
      </c>
      <c r="L15" s="178">
        <v>0</v>
      </c>
      <c r="M15" s="179">
        <v>1</v>
      </c>
      <c r="N15" s="178" t="s">
        <v>47</v>
      </c>
      <c r="O15" s="349" t="s">
        <v>150</v>
      </c>
      <c r="P15" s="350"/>
      <c r="Q15" s="180">
        <v>22700</v>
      </c>
    </row>
    <row r="16" spans="1:17" x14ac:dyDescent="0.2">
      <c r="A16" s="181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3"/>
      <c r="N16" s="184"/>
      <c r="O16" s="351"/>
      <c r="P16" s="351"/>
      <c r="Q16" s="185"/>
    </row>
    <row r="17" spans="1:17" x14ac:dyDescent="0.2">
      <c r="A17" s="123"/>
      <c r="B17" s="107"/>
      <c r="C17" s="107"/>
      <c r="D17" s="107"/>
      <c r="E17" s="107"/>
      <c r="F17" s="172"/>
      <c r="G17" s="107"/>
      <c r="H17" s="107"/>
      <c r="I17" s="107"/>
      <c r="J17" s="107"/>
      <c r="K17" s="107"/>
      <c r="L17" s="107"/>
      <c r="M17" s="108"/>
      <c r="N17" s="172"/>
      <c r="O17" s="308"/>
      <c r="P17" s="308"/>
      <c r="Q17" s="124"/>
    </row>
    <row r="18" spans="1:17" x14ac:dyDescent="0.2">
      <c r="A18" s="123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72"/>
      <c r="O18" s="308"/>
      <c r="P18" s="308"/>
      <c r="Q18" s="124"/>
    </row>
    <row r="19" spans="1:17" x14ac:dyDescent="0.2">
      <c r="A19" s="123"/>
      <c r="B19" s="107"/>
      <c r="C19" s="107"/>
      <c r="D19" s="107"/>
      <c r="E19" s="107"/>
      <c r="F19" s="172"/>
      <c r="G19" s="107"/>
      <c r="H19" s="107"/>
      <c r="I19" s="107"/>
      <c r="J19" s="107"/>
      <c r="K19" s="107"/>
      <c r="L19" s="107"/>
      <c r="M19" s="108"/>
      <c r="N19" s="172"/>
      <c r="O19" s="308"/>
      <c r="P19" s="308"/>
      <c r="Q19" s="124"/>
    </row>
    <row r="20" spans="1:17" x14ac:dyDescent="0.2">
      <c r="A20" s="123"/>
      <c r="B20" s="107"/>
      <c r="C20" s="107"/>
      <c r="D20" s="107"/>
      <c r="E20" s="107"/>
      <c r="F20" s="172"/>
      <c r="G20" s="107"/>
      <c r="H20" s="107"/>
      <c r="I20" s="107"/>
      <c r="J20" s="107"/>
      <c r="K20" s="107"/>
      <c r="L20" s="107"/>
      <c r="M20" s="108"/>
      <c r="N20" s="172"/>
      <c r="O20" s="308"/>
      <c r="P20" s="308"/>
      <c r="Q20" s="124"/>
    </row>
    <row r="21" spans="1:17" ht="14.25" x14ac:dyDescent="0.2">
      <c r="A21" s="125"/>
      <c r="B21" s="49"/>
      <c r="C21" s="49"/>
      <c r="D21" s="49"/>
      <c r="E21" s="49"/>
      <c r="F21" s="172"/>
      <c r="G21" s="49"/>
      <c r="H21" s="49"/>
      <c r="I21" s="49"/>
      <c r="J21" s="49"/>
      <c r="K21" s="49"/>
      <c r="L21" s="49"/>
      <c r="M21" s="50"/>
      <c r="N21" s="51"/>
      <c r="O21" s="308"/>
      <c r="P21" s="308"/>
      <c r="Q21" s="124"/>
    </row>
    <row r="22" spans="1:17" ht="13.5" thickBot="1" x14ac:dyDescent="0.25">
      <c r="A22" s="126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53"/>
      <c r="O22" s="305"/>
      <c r="P22" s="305"/>
      <c r="Q22" s="127"/>
    </row>
    <row r="23" spans="1:17" ht="15.75" thickBot="1" x14ac:dyDescent="0.25">
      <c r="A23" s="323" t="s">
        <v>151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186">
        <f>SUM(Q15:Q22)</f>
        <v>22700</v>
      </c>
    </row>
    <row r="24" spans="1:17" ht="13.5" thickBot="1" x14ac:dyDescent="0.25">
      <c r="A24" s="35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358"/>
    </row>
    <row r="25" spans="1:17" ht="15.75" thickBot="1" x14ac:dyDescent="0.25">
      <c r="A25" s="281" t="s">
        <v>48</v>
      </c>
      <c r="B25" s="282"/>
      <c r="C25" s="282"/>
      <c r="D25" s="282"/>
      <c r="E25" s="282"/>
      <c r="F25" s="283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325"/>
    </row>
    <row r="26" spans="1:17" ht="13.5" thickBot="1" x14ac:dyDescent="0.25">
      <c r="A26" s="352" t="s">
        <v>152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353"/>
    </row>
    <row r="27" spans="1:17" ht="13.5" thickBot="1" x14ac:dyDescent="0.25">
      <c r="A27" s="352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353"/>
    </row>
    <row r="28" spans="1:17" ht="15.75" thickBot="1" x14ac:dyDescent="0.25">
      <c r="A28" s="281" t="s">
        <v>49</v>
      </c>
      <c r="B28" s="282"/>
      <c r="C28" s="282"/>
      <c r="D28" s="282"/>
      <c r="E28" s="282"/>
      <c r="F28" s="283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325"/>
    </row>
    <row r="29" spans="1:17" ht="13.5" thickBot="1" x14ac:dyDescent="0.25">
      <c r="A29" s="352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353"/>
    </row>
    <row r="30" spans="1:17" ht="13.5" thickBot="1" x14ac:dyDescent="0.25">
      <c r="A30" s="354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6"/>
    </row>
  </sheetData>
  <mergeCells count="34">
    <mergeCell ref="A28:F28"/>
    <mergeCell ref="G28:Q28"/>
    <mergeCell ref="A29:Q30"/>
    <mergeCell ref="O22:P22"/>
    <mergeCell ref="A23:P23"/>
    <mergeCell ref="A24:Q24"/>
    <mergeCell ref="A25:F25"/>
    <mergeCell ref="G25:Q25"/>
    <mergeCell ref="A26:Q27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1331-89B0-436E-817A-71F550BA967A}">
  <dimension ref="A1:Z16"/>
  <sheetViews>
    <sheetView workbookViewId="0">
      <selection activeCell="L28" sqref="L28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162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customHeight="1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customHeight="1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customHeight="1" x14ac:dyDescent="0.2">
      <c r="A6" s="264" t="s">
        <v>50</v>
      </c>
      <c r="B6" s="265"/>
      <c r="C6" s="266" t="s">
        <v>157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157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customHeight="1" x14ac:dyDescent="0.2">
      <c r="A8" s="264" t="s">
        <v>4</v>
      </c>
      <c r="B8" s="265"/>
      <c r="C8" s="187" t="s">
        <v>52</v>
      </c>
      <c r="D8" s="187"/>
      <c r="E8" s="9"/>
      <c r="F8" s="187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customHeight="1" x14ac:dyDescent="0.2">
      <c r="A9" s="264" t="s">
        <v>53</v>
      </c>
      <c r="B9" s="265"/>
      <c r="C9" s="275" t="s">
        <v>163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20</v>
      </c>
      <c r="E11" s="74" t="s">
        <v>55</v>
      </c>
      <c r="F11" s="75">
        <v>350</v>
      </c>
      <c r="G11" s="157">
        <v>10</v>
      </c>
      <c r="H11" s="77">
        <f t="shared" ref="H11:H14" si="0">+G11*F11</f>
        <v>3500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28.5" x14ac:dyDescent="0.2">
      <c r="A12" s="81">
        <v>2</v>
      </c>
      <c r="B12" s="71" t="s">
        <v>90</v>
      </c>
      <c r="C12" s="72" t="s">
        <v>91</v>
      </c>
      <c r="D12" s="73" t="s">
        <v>20</v>
      </c>
      <c r="E12" s="74" t="s">
        <v>55</v>
      </c>
      <c r="F12" s="75">
        <v>275</v>
      </c>
      <c r="G12" s="157">
        <v>5</v>
      </c>
      <c r="H12" s="77">
        <f t="shared" si="0"/>
        <v>1375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8" customFormat="1" ht="28.5" x14ac:dyDescent="0.2">
      <c r="A13" s="81">
        <v>3</v>
      </c>
      <c r="B13" s="197" t="s">
        <v>92</v>
      </c>
      <c r="C13" s="198" t="s">
        <v>93</v>
      </c>
      <c r="D13" s="63" t="s">
        <v>20</v>
      </c>
      <c r="E13" s="199" t="s">
        <v>55</v>
      </c>
      <c r="F13" s="200">
        <v>450</v>
      </c>
      <c r="G13" s="201">
        <v>6</v>
      </c>
      <c r="H13" s="77">
        <f t="shared" si="0"/>
        <v>2700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s="8" customFormat="1" ht="27.75" customHeight="1" x14ac:dyDescent="0.2">
      <c r="A14" s="81">
        <v>4</v>
      </c>
      <c r="B14" s="197" t="s">
        <v>96</v>
      </c>
      <c r="C14" s="198" t="s">
        <v>98</v>
      </c>
      <c r="D14" s="63" t="s">
        <v>20</v>
      </c>
      <c r="E14" s="199" t="s">
        <v>55</v>
      </c>
      <c r="F14" s="200">
        <v>650</v>
      </c>
      <c r="G14" s="201">
        <v>40</v>
      </c>
      <c r="H14" s="77">
        <f t="shared" si="0"/>
        <v>26000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s="4" customFormat="1" ht="25.5" customHeight="1" x14ac:dyDescent="0.2">
      <c r="A15" s="99"/>
      <c r="B15" s="100" t="s">
        <v>62</v>
      </c>
      <c r="C15" s="277" t="s">
        <v>164</v>
      </c>
      <c r="D15" s="277"/>
      <c r="E15" s="277"/>
      <c r="F15" s="278">
        <f>+H13+H12+H11+H14</f>
        <v>33575</v>
      </c>
      <c r="G15" s="279"/>
    </row>
    <row r="16" spans="1:26" hidden="1" x14ac:dyDescent="0.2">
      <c r="G16" s="166">
        <f>+G14+G13+G12+G11</f>
        <v>61</v>
      </c>
    </row>
  </sheetData>
  <mergeCells count="14">
    <mergeCell ref="C15:E15"/>
    <mergeCell ref="F15:G15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  <pageSetup paperSize="5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63FE-7D9B-4ABA-BDBF-57A753CD60A9}">
  <dimension ref="A1:R26"/>
  <sheetViews>
    <sheetView workbookViewId="0">
      <selection activeCell="W22" sqref="W22"/>
    </sheetView>
  </sheetViews>
  <sheetFormatPr baseColWidth="10" defaultColWidth="11" defaultRowHeight="12.75" x14ac:dyDescent="0.2"/>
  <cols>
    <col min="1" max="5" width="4.42578125" style="33" customWidth="1"/>
    <col min="6" max="6" width="5" style="33" bestFit="1" customWidth="1"/>
    <col min="7" max="7" width="4.42578125" style="34" customWidth="1"/>
    <col min="8" max="14" width="4.42578125" style="33" customWidth="1"/>
    <col min="15" max="15" width="14.85546875" style="33" customWidth="1"/>
    <col min="16" max="16" width="24.140625" style="33" customWidth="1"/>
    <col min="17" max="17" width="23.7109375" style="33" customWidth="1"/>
    <col min="18" max="16384" width="11" style="33"/>
  </cols>
  <sheetData>
    <row r="1" spans="1:17" ht="15.75" thickBot="1" x14ac:dyDescent="0.3">
      <c r="A1" s="294" t="s">
        <v>3</v>
      </c>
      <c r="B1" s="295"/>
      <c r="C1" s="295"/>
      <c r="D1" s="296">
        <v>2021</v>
      </c>
      <c r="E1" s="296"/>
      <c r="F1" s="31"/>
      <c r="G1" s="31"/>
      <c r="H1" s="32"/>
      <c r="I1" s="32"/>
      <c r="J1" s="32"/>
      <c r="K1" s="32"/>
      <c r="L1" s="32"/>
      <c r="M1" s="32"/>
      <c r="N1" s="32"/>
      <c r="P1" s="297" t="s">
        <v>21</v>
      </c>
      <c r="Q1" s="297"/>
    </row>
    <row r="2" spans="1:17" ht="13.5" thickBot="1" x14ac:dyDescent="0.25">
      <c r="H2" s="32"/>
      <c r="I2" s="32"/>
      <c r="J2" s="32"/>
      <c r="K2" s="32"/>
      <c r="L2" s="32"/>
      <c r="M2" s="32"/>
      <c r="N2" s="32"/>
      <c r="P2" s="297"/>
      <c r="Q2" s="297"/>
    </row>
    <row r="4" spans="1:17" s="35" customFormat="1" ht="15" thickBot="1" x14ac:dyDescent="0.25">
      <c r="A4" s="298" t="s">
        <v>22</v>
      </c>
      <c r="B4" s="298"/>
      <c r="C4" s="298"/>
      <c r="D4" s="298"/>
      <c r="E4" s="298"/>
      <c r="F4" s="298"/>
      <c r="G4" s="299" t="s">
        <v>23</v>
      </c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17" s="35" customFormat="1" ht="15" thickBot="1" x14ac:dyDescent="0.25">
      <c r="A5" s="300" t="s">
        <v>24</v>
      </c>
      <c r="B5" s="301"/>
      <c r="C5" s="301"/>
      <c r="D5" s="301"/>
      <c r="E5" s="301"/>
      <c r="F5" s="302"/>
      <c r="G5" s="299" t="s">
        <v>25</v>
      </c>
      <c r="H5" s="299"/>
      <c r="I5" s="299"/>
      <c r="J5" s="299"/>
      <c r="K5" s="299"/>
      <c r="L5" s="299"/>
      <c r="M5" s="299"/>
      <c r="N5" s="299"/>
      <c r="O5" s="299"/>
      <c r="P5" s="299"/>
      <c r="Q5" s="299"/>
    </row>
    <row r="6" spans="1:17" s="35" customFormat="1" ht="15" thickBot="1" x14ac:dyDescent="0.25">
      <c r="A6" s="300" t="s">
        <v>26</v>
      </c>
      <c r="B6" s="301"/>
      <c r="C6" s="301"/>
      <c r="D6" s="301"/>
      <c r="E6" s="301"/>
      <c r="F6" s="302"/>
      <c r="G6" s="299" t="s">
        <v>157</v>
      </c>
      <c r="H6" s="299"/>
      <c r="I6" s="299"/>
      <c r="J6" s="299"/>
      <c r="K6" s="299"/>
      <c r="L6" s="299"/>
      <c r="M6" s="299"/>
      <c r="N6" s="299"/>
      <c r="O6" s="299"/>
      <c r="P6" s="299"/>
      <c r="Q6" s="299"/>
    </row>
    <row r="7" spans="1:17" s="35" customFormat="1" ht="15" thickBot="1" x14ac:dyDescent="0.25">
      <c r="A7" s="300" t="s">
        <v>27</v>
      </c>
      <c r="B7" s="301"/>
      <c r="C7" s="301"/>
      <c r="D7" s="301"/>
      <c r="E7" s="301"/>
      <c r="F7" s="302"/>
      <c r="G7" s="299" t="s">
        <v>157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1:17" ht="13.5" thickBot="1" x14ac:dyDescent="0.25">
      <c r="A8" s="303" t="s">
        <v>28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</row>
    <row r="9" spans="1:17" ht="14.25" x14ac:dyDescent="0.2">
      <c r="A9" s="293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6"/>
      <c r="P9" s="36"/>
      <c r="Q9" s="37"/>
    </row>
    <row r="10" spans="1:17" ht="57" customHeight="1" x14ac:dyDescent="0.2">
      <c r="A10" s="288" t="s">
        <v>158</v>
      </c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</row>
    <row r="11" spans="1:17" ht="13.5" thickBot="1" x14ac:dyDescent="0.25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7" ht="13.5" thickBot="1" x14ac:dyDescent="0.25">
      <c r="A12" s="289" t="s">
        <v>30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7" ht="13.5" thickBot="1" x14ac:dyDescent="0.25">
      <c r="A13" s="290" t="s">
        <v>31</v>
      </c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1" t="s">
        <v>32</v>
      </c>
      <c r="P13" s="291"/>
      <c r="Q13" s="292" t="s">
        <v>33</v>
      </c>
    </row>
    <row r="14" spans="1:17" ht="13.5" thickBot="1" x14ac:dyDescent="0.25">
      <c r="A14" s="42" t="s">
        <v>34</v>
      </c>
      <c r="B14" s="43" t="s">
        <v>35</v>
      </c>
      <c r="C14" s="43" t="s">
        <v>36</v>
      </c>
      <c r="D14" s="43" t="s">
        <v>37</v>
      </c>
      <c r="E14" s="43" t="s">
        <v>38</v>
      </c>
      <c r="F14" s="43" t="s">
        <v>39</v>
      </c>
      <c r="G14" s="44" t="s">
        <v>40</v>
      </c>
      <c r="H14" s="43" t="s">
        <v>41</v>
      </c>
      <c r="I14" s="43" t="s">
        <v>42</v>
      </c>
      <c r="J14" s="43" t="s">
        <v>43</v>
      </c>
      <c r="K14" s="43" t="s">
        <v>43</v>
      </c>
      <c r="L14" s="43" t="s">
        <v>44</v>
      </c>
      <c r="M14" s="45" t="s">
        <v>45</v>
      </c>
      <c r="N14" s="46" t="s">
        <v>46</v>
      </c>
      <c r="O14" s="291"/>
      <c r="P14" s="291"/>
      <c r="Q14" s="292"/>
    </row>
    <row r="15" spans="1:17" ht="24.75" customHeight="1" x14ac:dyDescent="0.2">
      <c r="A15" s="189">
        <v>1</v>
      </c>
      <c r="B15" s="190">
        <v>0</v>
      </c>
      <c r="C15" s="190">
        <v>0</v>
      </c>
      <c r="D15" s="190">
        <v>3</v>
      </c>
      <c r="E15" s="190">
        <v>0</v>
      </c>
      <c r="F15" s="190">
        <v>4901</v>
      </c>
      <c r="G15" s="190">
        <v>1</v>
      </c>
      <c r="H15" s="190">
        <v>3</v>
      </c>
      <c r="I15" s="190">
        <v>2</v>
      </c>
      <c r="J15" s="190">
        <v>5</v>
      </c>
      <c r="K15" s="190">
        <v>2</v>
      </c>
      <c r="L15" s="190">
        <v>0</v>
      </c>
      <c r="M15" s="191">
        <v>1</v>
      </c>
      <c r="N15" s="192" t="s">
        <v>47</v>
      </c>
      <c r="O15" s="359" t="s">
        <v>116</v>
      </c>
      <c r="P15" s="360"/>
      <c r="Q15" s="193">
        <v>7575</v>
      </c>
    </row>
    <row r="16" spans="1:17" ht="30" customHeight="1" x14ac:dyDescent="0.2">
      <c r="A16" s="194">
        <v>1</v>
      </c>
      <c r="B16" s="78">
        <v>0</v>
      </c>
      <c r="C16" s="78">
        <v>0</v>
      </c>
      <c r="D16" s="78">
        <v>3</v>
      </c>
      <c r="E16" s="78">
        <v>0</v>
      </c>
      <c r="F16" s="78">
        <v>4901</v>
      </c>
      <c r="G16" s="78">
        <v>1</v>
      </c>
      <c r="H16" s="78">
        <v>3</v>
      </c>
      <c r="I16" s="78">
        <v>2</v>
      </c>
      <c r="J16" s="78">
        <v>9</v>
      </c>
      <c r="K16" s="78">
        <v>5</v>
      </c>
      <c r="L16" s="78">
        <v>0</v>
      </c>
      <c r="M16" s="79">
        <v>1</v>
      </c>
      <c r="N16" s="195" t="s">
        <v>47</v>
      </c>
      <c r="O16" s="361" t="s">
        <v>159</v>
      </c>
      <c r="P16" s="362"/>
      <c r="Q16" s="196">
        <v>26000</v>
      </c>
    </row>
    <row r="17" spans="1:18" ht="14.25" x14ac:dyDescent="0.2">
      <c r="A17" s="48"/>
      <c r="B17" s="49"/>
      <c r="C17" s="49"/>
      <c r="D17" s="49"/>
      <c r="E17" s="49"/>
      <c r="F17" s="188"/>
      <c r="G17" s="49"/>
      <c r="H17" s="49"/>
      <c r="I17" s="49"/>
      <c r="J17" s="49"/>
      <c r="K17" s="49"/>
      <c r="L17" s="49"/>
      <c r="M17" s="50"/>
      <c r="N17" s="51"/>
      <c r="O17" s="308"/>
      <c r="P17" s="308"/>
      <c r="Q17" s="47"/>
      <c r="R17" s="36"/>
    </row>
    <row r="18" spans="1:18" ht="13.5" thickBo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53"/>
      <c r="O18" s="305"/>
      <c r="P18" s="305"/>
      <c r="Q18" s="55"/>
    </row>
    <row r="19" spans="1:18" ht="15.75" thickBot="1" x14ac:dyDescent="0.25">
      <c r="A19" s="286" t="s">
        <v>160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56">
        <f>SUM(Q15:Q18)</f>
        <v>33575</v>
      </c>
    </row>
    <row r="20" spans="1:18" ht="13.5" thickBot="1" x14ac:dyDescent="0.25">
      <c r="A20" s="287"/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</row>
    <row r="21" spans="1:18" ht="15.75" thickBot="1" x14ac:dyDescent="0.25">
      <c r="A21" s="281" t="s">
        <v>48</v>
      </c>
      <c r="B21" s="282"/>
      <c r="C21" s="282"/>
      <c r="D21" s="282"/>
      <c r="E21" s="282"/>
      <c r="F21" s="283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</row>
    <row r="22" spans="1:18" ht="13.5" thickBot="1" x14ac:dyDescent="0.25">
      <c r="A22" s="280" t="s">
        <v>161</v>
      </c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</row>
    <row r="23" spans="1:18" ht="13.5" thickBot="1" x14ac:dyDescent="0.25">
      <c r="A23" s="280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</row>
    <row r="24" spans="1:18" ht="15.75" thickBot="1" x14ac:dyDescent="0.25">
      <c r="A24" s="281" t="s">
        <v>49</v>
      </c>
      <c r="B24" s="282"/>
      <c r="C24" s="282"/>
      <c r="D24" s="282"/>
      <c r="E24" s="282"/>
      <c r="F24" s="283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</row>
    <row r="25" spans="1:18" ht="13.5" thickBot="1" x14ac:dyDescent="0.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 spans="1:18" ht="13.5" thickBot="1" x14ac:dyDescent="0.25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</row>
  </sheetData>
  <mergeCells count="30">
    <mergeCell ref="A22:Q23"/>
    <mergeCell ref="A24:F24"/>
    <mergeCell ref="G24:Q24"/>
    <mergeCell ref="A25:Q26"/>
    <mergeCell ref="O16:P16"/>
    <mergeCell ref="O17:P17"/>
    <mergeCell ref="O18:P18"/>
    <mergeCell ref="A19:P19"/>
    <mergeCell ref="A20:Q20"/>
    <mergeCell ref="A21:F21"/>
    <mergeCell ref="G21:Q21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62F6-E196-47E1-BFBC-11A964A6F5F2}">
  <dimension ref="A1:Z14"/>
  <sheetViews>
    <sheetView workbookViewId="0">
      <selection activeCell="G28" sqref="G28"/>
    </sheetView>
  </sheetViews>
  <sheetFormatPr baseColWidth="10" defaultColWidth="12.5703125" defaultRowHeight="12.75" x14ac:dyDescent="0.2"/>
  <cols>
    <col min="1" max="1" width="4.140625" style="101" customWidth="1"/>
    <col min="2" max="2" width="27.28515625" style="103" customWidth="1"/>
    <col min="3" max="3" width="55.140625" style="101" customWidth="1"/>
    <col min="4" max="4" width="13.7109375" style="101" customWidth="1"/>
    <col min="5" max="5" width="12.85546875" style="103" customWidth="1"/>
    <col min="6" max="6" width="13.5703125" style="101" customWidth="1"/>
    <col min="7" max="7" width="11.85546875" style="101" customWidth="1"/>
    <col min="8" max="25" width="11" style="101" customWidth="1"/>
    <col min="26" max="16384" width="12.5703125" style="101"/>
  </cols>
  <sheetData>
    <row r="1" spans="1:26" ht="23.25" x14ac:dyDescent="0.2">
      <c r="A1" s="269" t="s">
        <v>18</v>
      </c>
      <c r="B1" s="270"/>
      <c r="C1" s="270"/>
      <c r="D1" s="270"/>
      <c r="E1" s="270"/>
      <c r="F1" s="62" t="s">
        <v>19</v>
      </c>
      <c r="G1" s="61" t="s">
        <v>170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7"/>
      <c r="B2" s="58"/>
      <c r="C2" s="59"/>
      <c r="D2" s="59"/>
      <c r="E2" s="58"/>
      <c r="F2" s="59"/>
      <c r="G2" s="60"/>
    </row>
    <row r="3" spans="1:26" ht="15" x14ac:dyDescent="0.2">
      <c r="A3" s="23"/>
      <c r="B3" s="24"/>
      <c r="C3" s="24"/>
      <c r="D3" s="24"/>
      <c r="E3" s="24"/>
      <c r="F3" s="25"/>
      <c r="G3" s="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s="8" customFormat="1" ht="15" customHeight="1" x14ac:dyDescent="0.2">
      <c r="A4" s="271" t="s">
        <v>1</v>
      </c>
      <c r="B4" s="272"/>
      <c r="C4" s="273" t="s">
        <v>15</v>
      </c>
      <c r="D4" s="273"/>
      <c r="E4" s="274"/>
      <c r="F4" s="274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s="8" customFormat="1" ht="15" customHeight="1" x14ac:dyDescent="0.2">
      <c r="A5" s="264" t="s">
        <v>2</v>
      </c>
      <c r="B5" s="265"/>
      <c r="C5" s="266" t="s">
        <v>14</v>
      </c>
      <c r="D5" s="266"/>
      <c r="E5" s="268"/>
      <c r="F5" s="268"/>
      <c r="G5" s="3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s="8" customFormat="1" ht="15" customHeight="1" x14ac:dyDescent="0.2">
      <c r="A6" s="264" t="s">
        <v>50</v>
      </c>
      <c r="B6" s="265"/>
      <c r="C6" s="266" t="s">
        <v>165</v>
      </c>
      <c r="D6" s="266"/>
      <c r="E6" s="268"/>
      <c r="F6" s="268"/>
      <c r="G6" s="3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6" s="8" customFormat="1" ht="15" customHeight="1" x14ac:dyDescent="0.2">
      <c r="A7" s="264" t="s">
        <v>51</v>
      </c>
      <c r="B7" s="265"/>
      <c r="C7" s="266" t="s">
        <v>165</v>
      </c>
      <c r="D7" s="266"/>
      <c r="E7" s="268"/>
      <c r="F7" s="268"/>
      <c r="G7" s="3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s="8" customFormat="1" ht="15" customHeight="1" x14ac:dyDescent="0.2">
      <c r="A8" s="264" t="s">
        <v>4</v>
      </c>
      <c r="B8" s="265"/>
      <c r="C8" s="202" t="s">
        <v>52</v>
      </c>
      <c r="D8" s="202"/>
      <c r="E8" s="9"/>
      <c r="F8" s="202"/>
      <c r="G8" s="3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s="8" customFormat="1" ht="15" customHeight="1" x14ac:dyDescent="0.2">
      <c r="A9" s="264" t="s">
        <v>53</v>
      </c>
      <c r="B9" s="265"/>
      <c r="C9" s="275" t="s">
        <v>163</v>
      </c>
      <c r="D9" s="275"/>
      <c r="E9" s="275"/>
      <c r="F9" s="275"/>
      <c r="G9" s="27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s="8" customFormat="1" ht="45" x14ac:dyDescent="0.2">
      <c r="A10" s="19" t="s">
        <v>5</v>
      </c>
      <c r="B10" s="19" t="s">
        <v>16</v>
      </c>
      <c r="C10" s="19" t="s">
        <v>9</v>
      </c>
      <c r="D10" s="19" t="s">
        <v>17</v>
      </c>
      <c r="E10" s="19" t="s">
        <v>10</v>
      </c>
      <c r="F10" s="19" t="s">
        <v>12</v>
      </c>
      <c r="G10" s="20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s="8" customFormat="1" ht="28.5" x14ac:dyDescent="0.2">
      <c r="A11" s="80">
        <v>1</v>
      </c>
      <c r="B11" s="71" t="s">
        <v>86</v>
      </c>
      <c r="C11" s="72" t="s">
        <v>89</v>
      </c>
      <c r="D11" s="73" t="s">
        <v>20</v>
      </c>
      <c r="E11" s="74" t="s">
        <v>55</v>
      </c>
      <c r="F11" s="75">
        <v>350</v>
      </c>
      <c r="G11" s="157">
        <v>6</v>
      </c>
      <c r="H11" s="77">
        <f t="shared" ref="H11:H12" si="0">+G11*F11</f>
        <v>2100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s="8" customFormat="1" ht="15" x14ac:dyDescent="0.2">
      <c r="A12" s="81">
        <v>2</v>
      </c>
      <c r="B12" s="71" t="s">
        <v>96</v>
      </c>
      <c r="C12" s="72" t="s">
        <v>98</v>
      </c>
      <c r="D12" s="73" t="s">
        <v>20</v>
      </c>
      <c r="E12" s="74" t="s">
        <v>55</v>
      </c>
      <c r="F12" s="75">
        <v>650</v>
      </c>
      <c r="G12" s="157">
        <v>20</v>
      </c>
      <c r="H12" s="77">
        <f t="shared" si="0"/>
        <v>13000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s="4" customFormat="1" ht="25.5" customHeight="1" x14ac:dyDescent="0.2">
      <c r="A13" s="99"/>
      <c r="B13" s="100" t="s">
        <v>62</v>
      </c>
      <c r="C13" s="277" t="s">
        <v>169</v>
      </c>
      <c r="D13" s="277"/>
      <c r="E13" s="277"/>
      <c r="F13" s="278">
        <f>+H12+H11</f>
        <v>15100</v>
      </c>
      <c r="G13" s="279"/>
    </row>
    <row r="14" spans="1:26" hidden="1" x14ac:dyDescent="0.2">
      <c r="G14" s="166">
        <f>+G12+G11</f>
        <v>26</v>
      </c>
    </row>
  </sheetData>
  <mergeCells count="14">
    <mergeCell ref="C13:E13"/>
    <mergeCell ref="F13:G13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35AE-A8BD-42EF-B542-8AAA46AAEAB1}">
  <dimension ref="A1:Q26"/>
  <sheetViews>
    <sheetView workbookViewId="0">
      <selection activeCell="P32" sqref="P32"/>
    </sheetView>
  </sheetViews>
  <sheetFormatPr baseColWidth="10" defaultRowHeight="12.75" x14ac:dyDescent="0.2"/>
  <cols>
    <col min="1" max="15" width="5.7109375" style="33" customWidth="1"/>
    <col min="16" max="16" width="35.28515625" style="33" customWidth="1"/>
    <col min="17" max="17" width="20.140625" style="33" customWidth="1"/>
    <col min="18" max="16384" width="11.42578125" style="33"/>
  </cols>
  <sheetData>
    <row r="1" spans="1:17" ht="15.75" thickBot="1" x14ac:dyDescent="0.3">
      <c r="A1" s="367" t="s">
        <v>3</v>
      </c>
      <c r="B1" s="367"/>
      <c r="C1" s="367"/>
      <c r="D1" s="368">
        <v>2021</v>
      </c>
      <c r="E1" s="368"/>
      <c r="F1" s="203"/>
      <c r="G1" s="203"/>
      <c r="H1" s="204"/>
      <c r="I1" s="204"/>
      <c r="J1" s="204"/>
      <c r="K1" s="204"/>
      <c r="L1" s="204"/>
      <c r="M1" s="204"/>
      <c r="N1" s="204"/>
      <c r="O1" s="205"/>
      <c r="P1" s="369" t="s">
        <v>21</v>
      </c>
      <c r="Q1" s="369"/>
    </row>
    <row r="2" spans="1:17" ht="13.5" thickBot="1" x14ac:dyDescent="0.25">
      <c r="A2" s="205"/>
      <c r="B2" s="205"/>
      <c r="C2" s="205"/>
      <c r="D2" s="205"/>
      <c r="E2" s="205"/>
      <c r="F2" s="205"/>
      <c r="G2" s="205"/>
      <c r="H2" s="204"/>
      <c r="I2" s="204"/>
      <c r="J2" s="204"/>
      <c r="K2" s="204"/>
      <c r="L2" s="204"/>
      <c r="M2" s="204"/>
      <c r="N2" s="204"/>
      <c r="O2" s="205"/>
      <c r="P2" s="369"/>
      <c r="Q2" s="369"/>
    </row>
    <row r="3" spans="1:17" ht="13.5" thickBot="1" x14ac:dyDescent="0.25"/>
    <row r="4" spans="1:17" ht="15" thickBot="1" x14ac:dyDescent="0.25">
      <c r="A4" s="370" t="s">
        <v>22</v>
      </c>
      <c r="B4" s="370"/>
      <c r="C4" s="370"/>
      <c r="D4" s="370"/>
      <c r="E4" s="370"/>
      <c r="F4" s="370"/>
      <c r="G4" s="366" t="s">
        <v>23</v>
      </c>
      <c r="H4" s="366"/>
      <c r="I4" s="366"/>
      <c r="J4" s="366"/>
      <c r="K4" s="366"/>
      <c r="L4" s="366"/>
      <c r="M4" s="366"/>
      <c r="N4" s="366"/>
      <c r="O4" s="366"/>
      <c r="P4" s="366"/>
      <c r="Q4" s="366"/>
    </row>
    <row r="5" spans="1:17" ht="15" thickBot="1" x14ac:dyDescent="0.25">
      <c r="A5" s="363" t="s">
        <v>24</v>
      </c>
      <c r="B5" s="364"/>
      <c r="C5" s="364"/>
      <c r="D5" s="364"/>
      <c r="E5" s="364"/>
      <c r="F5" s="365"/>
      <c r="G5" s="366" t="s">
        <v>25</v>
      </c>
      <c r="H5" s="366"/>
      <c r="I5" s="366"/>
      <c r="J5" s="366"/>
      <c r="K5" s="366"/>
      <c r="L5" s="366"/>
      <c r="M5" s="366"/>
      <c r="N5" s="366"/>
      <c r="O5" s="366"/>
      <c r="P5" s="366"/>
      <c r="Q5" s="366"/>
    </row>
    <row r="6" spans="1:17" ht="15" thickBot="1" x14ac:dyDescent="0.25">
      <c r="A6" s="363" t="s">
        <v>26</v>
      </c>
      <c r="B6" s="364"/>
      <c r="C6" s="364"/>
      <c r="D6" s="364"/>
      <c r="E6" s="364"/>
      <c r="F6" s="365"/>
      <c r="G6" s="366" t="s">
        <v>165</v>
      </c>
      <c r="H6" s="366"/>
      <c r="I6" s="366"/>
      <c r="J6" s="366"/>
      <c r="K6" s="366"/>
      <c r="L6" s="366"/>
      <c r="M6" s="366"/>
      <c r="N6" s="366"/>
      <c r="O6" s="366"/>
      <c r="P6" s="366"/>
      <c r="Q6" s="366"/>
    </row>
    <row r="7" spans="1:17" ht="15" thickBot="1" x14ac:dyDescent="0.25">
      <c r="A7" s="363" t="s">
        <v>27</v>
      </c>
      <c r="B7" s="364"/>
      <c r="C7" s="364"/>
      <c r="D7" s="364"/>
      <c r="E7" s="364"/>
      <c r="F7" s="365"/>
      <c r="G7" s="366" t="s">
        <v>165</v>
      </c>
      <c r="H7" s="366"/>
      <c r="I7" s="366"/>
      <c r="J7" s="366"/>
      <c r="K7" s="366"/>
      <c r="L7" s="366"/>
      <c r="M7" s="366"/>
      <c r="N7" s="366"/>
      <c r="O7" s="366"/>
      <c r="P7" s="366"/>
      <c r="Q7" s="366"/>
    </row>
    <row r="8" spans="1:17" ht="13.5" thickBot="1" x14ac:dyDescent="0.25">
      <c r="A8" s="373" t="s">
        <v>28</v>
      </c>
      <c r="B8" s="373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</row>
    <row r="9" spans="1:17" ht="14.25" x14ac:dyDescent="0.2">
      <c r="A9" s="374" t="s">
        <v>29</v>
      </c>
      <c r="B9" s="374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205"/>
      <c r="P9" s="205"/>
      <c r="Q9" s="206"/>
    </row>
    <row r="10" spans="1:17" ht="51" customHeight="1" x14ac:dyDescent="0.2">
      <c r="A10" s="375" t="s">
        <v>166</v>
      </c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375"/>
    </row>
    <row r="11" spans="1:17" ht="13.5" thickBot="1" x14ac:dyDescent="0.25">
      <c r="A11" s="207"/>
      <c r="B11" s="208"/>
      <c r="C11" s="208"/>
      <c r="D11" s="208"/>
      <c r="E11" s="208"/>
      <c r="F11" s="208"/>
      <c r="G11" s="209"/>
      <c r="H11" s="208"/>
      <c r="I11" s="208"/>
      <c r="J11" s="208"/>
      <c r="K11" s="208"/>
      <c r="L11" s="208"/>
      <c r="M11" s="208"/>
      <c r="N11" s="208"/>
      <c r="O11" s="208"/>
      <c r="P11" s="208"/>
      <c r="Q11" s="210"/>
    </row>
    <row r="12" spans="1:17" ht="13.5" thickBot="1" x14ac:dyDescent="0.25">
      <c r="A12" s="376" t="s">
        <v>30</v>
      </c>
      <c r="B12" s="376"/>
      <c r="C12" s="376"/>
      <c r="D12" s="376"/>
      <c r="E12" s="376"/>
      <c r="F12" s="376"/>
      <c r="G12" s="376"/>
      <c r="H12" s="376"/>
      <c r="I12" s="376"/>
      <c r="J12" s="376"/>
      <c r="K12" s="376"/>
      <c r="L12" s="376"/>
      <c r="M12" s="376"/>
      <c r="N12" s="376"/>
      <c r="O12" s="376"/>
      <c r="P12" s="376"/>
      <c r="Q12" s="376"/>
    </row>
    <row r="13" spans="1:17" ht="13.5" thickBot="1" x14ac:dyDescent="0.25">
      <c r="A13" s="377" t="s">
        <v>31</v>
      </c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8" t="s">
        <v>32</v>
      </c>
      <c r="P13" s="378"/>
      <c r="Q13" s="379" t="s">
        <v>33</v>
      </c>
    </row>
    <row r="14" spans="1:17" ht="13.5" thickBot="1" x14ac:dyDescent="0.25">
      <c r="A14" s="211" t="s">
        <v>34</v>
      </c>
      <c r="B14" s="212" t="s">
        <v>35</v>
      </c>
      <c r="C14" s="212" t="s">
        <v>36</v>
      </c>
      <c r="D14" s="212" t="s">
        <v>37</v>
      </c>
      <c r="E14" s="212" t="s">
        <v>38</v>
      </c>
      <c r="F14" s="212" t="s">
        <v>39</v>
      </c>
      <c r="G14" s="213" t="s">
        <v>40</v>
      </c>
      <c r="H14" s="212" t="s">
        <v>41</v>
      </c>
      <c r="I14" s="212" t="s">
        <v>42</v>
      </c>
      <c r="J14" s="212" t="s">
        <v>43</v>
      </c>
      <c r="K14" s="212" t="s">
        <v>43</v>
      </c>
      <c r="L14" s="212" t="s">
        <v>44</v>
      </c>
      <c r="M14" s="214" t="s">
        <v>45</v>
      </c>
      <c r="N14" s="215" t="s">
        <v>46</v>
      </c>
      <c r="O14" s="378"/>
      <c r="P14" s="378"/>
      <c r="Q14" s="379"/>
    </row>
    <row r="15" spans="1:17" ht="25.5" customHeight="1" x14ac:dyDescent="0.2">
      <c r="A15" s="216">
        <v>27</v>
      </c>
      <c r="B15" s="217">
        <v>0</v>
      </c>
      <c r="C15" s="217">
        <v>0</v>
      </c>
      <c r="D15" s="217">
        <v>1</v>
      </c>
      <c r="E15" s="217">
        <v>0</v>
      </c>
      <c r="F15" s="217">
        <v>4901</v>
      </c>
      <c r="G15" s="217">
        <v>1</v>
      </c>
      <c r="H15" s="217">
        <v>6</v>
      </c>
      <c r="I15" s="217">
        <v>2</v>
      </c>
      <c r="J15" s="217">
        <v>5</v>
      </c>
      <c r="K15" s="217">
        <v>2</v>
      </c>
      <c r="L15" s="217">
        <v>0</v>
      </c>
      <c r="M15" s="218">
        <v>1</v>
      </c>
      <c r="N15" s="219" t="s">
        <v>47</v>
      </c>
      <c r="O15" s="371" t="s">
        <v>150</v>
      </c>
      <c r="P15" s="372"/>
      <c r="Q15" s="220">
        <v>2100</v>
      </c>
    </row>
    <row r="16" spans="1:17" ht="32.25" customHeight="1" x14ac:dyDescent="0.2">
      <c r="A16" s="221">
        <v>27</v>
      </c>
      <c r="B16" s="222">
        <v>0</v>
      </c>
      <c r="C16" s="222">
        <v>0</v>
      </c>
      <c r="D16" s="222">
        <v>1</v>
      </c>
      <c r="E16" s="222">
        <v>0</v>
      </c>
      <c r="F16" s="222">
        <v>4901</v>
      </c>
      <c r="G16" s="222">
        <v>1</v>
      </c>
      <c r="H16" s="222">
        <v>6</v>
      </c>
      <c r="I16" s="222">
        <v>2</v>
      </c>
      <c r="J16" s="222">
        <v>9</v>
      </c>
      <c r="K16" s="222">
        <v>5</v>
      </c>
      <c r="L16" s="222">
        <v>0</v>
      </c>
      <c r="M16" s="223">
        <v>1</v>
      </c>
      <c r="N16" s="224" t="s">
        <v>47</v>
      </c>
      <c r="O16" s="371" t="s">
        <v>117</v>
      </c>
      <c r="P16" s="372"/>
      <c r="Q16" s="225">
        <v>13000</v>
      </c>
    </row>
    <row r="17" spans="1:17" ht="14.25" x14ac:dyDescent="0.2">
      <c r="A17" s="226"/>
      <c r="B17" s="227"/>
      <c r="C17" s="227"/>
      <c r="D17" s="227"/>
      <c r="E17" s="227"/>
      <c r="F17" s="228"/>
      <c r="G17" s="227"/>
      <c r="H17" s="227"/>
      <c r="I17" s="227"/>
      <c r="J17" s="227"/>
      <c r="K17" s="227"/>
      <c r="L17" s="227"/>
      <c r="M17" s="229"/>
      <c r="N17" s="230"/>
      <c r="O17" s="385"/>
      <c r="P17" s="385"/>
      <c r="Q17" s="231"/>
    </row>
    <row r="18" spans="1:17" ht="13.5" thickBot="1" x14ac:dyDescent="0.25">
      <c r="A18" s="232"/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4"/>
      <c r="N18" s="233"/>
      <c r="O18" s="386"/>
      <c r="P18" s="386"/>
      <c r="Q18" s="235"/>
    </row>
    <row r="19" spans="1:17" ht="15.75" thickBot="1" x14ac:dyDescent="0.25">
      <c r="A19" s="387" t="s">
        <v>167</v>
      </c>
      <c r="B19" s="387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236">
        <f>SUM(Q15:Q18)</f>
        <v>15100</v>
      </c>
    </row>
    <row r="20" spans="1:17" ht="13.5" thickBot="1" x14ac:dyDescent="0.25">
      <c r="A20" s="388"/>
      <c r="B20" s="388"/>
      <c r="C20" s="388"/>
      <c r="D20" s="388"/>
      <c r="E20" s="388"/>
      <c r="F20" s="388"/>
      <c r="G20" s="388"/>
      <c r="H20" s="388"/>
      <c r="I20" s="388"/>
      <c r="J20" s="388"/>
      <c r="K20" s="388"/>
      <c r="L20" s="388"/>
      <c r="M20" s="388"/>
      <c r="N20" s="388"/>
      <c r="O20" s="388"/>
      <c r="P20" s="388"/>
      <c r="Q20" s="388"/>
    </row>
    <row r="21" spans="1:17" ht="15.75" thickBot="1" x14ac:dyDescent="0.25">
      <c r="A21" s="381" t="s">
        <v>48</v>
      </c>
      <c r="B21" s="382"/>
      <c r="C21" s="382"/>
      <c r="D21" s="382"/>
      <c r="E21" s="382"/>
      <c r="F21" s="383"/>
      <c r="G21" s="384"/>
      <c r="H21" s="384"/>
      <c r="I21" s="384"/>
      <c r="J21" s="384"/>
      <c r="K21" s="384"/>
      <c r="L21" s="384"/>
      <c r="M21" s="384"/>
      <c r="N21" s="384"/>
      <c r="O21" s="384"/>
      <c r="P21" s="384"/>
      <c r="Q21" s="384"/>
    </row>
    <row r="22" spans="1:17" ht="13.5" thickBot="1" x14ac:dyDescent="0.25">
      <c r="A22" s="380" t="s">
        <v>168</v>
      </c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</row>
    <row r="23" spans="1:17" ht="13.5" thickBot="1" x14ac:dyDescent="0.25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</row>
    <row r="24" spans="1:17" ht="15.75" thickBot="1" x14ac:dyDescent="0.25">
      <c r="A24" s="381" t="s">
        <v>49</v>
      </c>
      <c r="B24" s="382"/>
      <c r="C24" s="382"/>
      <c r="D24" s="382"/>
      <c r="E24" s="382"/>
      <c r="F24" s="383"/>
      <c r="G24" s="384"/>
      <c r="H24" s="384"/>
      <c r="I24" s="384"/>
      <c r="J24" s="384"/>
      <c r="K24" s="384"/>
      <c r="L24" s="384"/>
      <c r="M24" s="384"/>
      <c r="N24" s="384"/>
      <c r="O24" s="384"/>
      <c r="P24" s="384"/>
      <c r="Q24" s="384"/>
    </row>
    <row r="25" spans="1:17" ht="13.5" thickBot="1" x14ac:dyDescent="0.25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</row>
    <row r="26" spans="1:17" ht="13.5" thickBot="1" x14ac:dyDescent="0.25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</row>
  </sheetData>
  <mergeCells count="30">
    <mergeCell ref="A22:Q23"/>
    <mergeCell ref="A24:F24"/>
    <mergeCell ref="G24:Q24"/>
    <mergeCell ref="A25:Q26"/>
    <mergeCell ref="O16:P16"/>
    <mergeCell ref="O17:P17"/>
    <mergeCell ref="O18:P18"/>
    <mergeCell ref="A19:P19"/>
    <mergeCell ref="A20:Q20"/>
    <mergeCell ref="A21:F21"/>
    <mergeCell ref="G21:Q21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NECESIDADES TRIMESTRALES</vt:lpstr>
      <vt:lpstr>NP - MHP</vt:lpstr>
      <vt:lpstr>APG - MHP</vt:lpstr>
      <vt:lpstr>NP - SAF</vt:lpstr>
      <vt:lpstr>APG - SAF</vt:lpstr>
      <vt:lpstr>NP - SCyA</vt:lpstr>
      <vt:lpstr>APG - SCyA</vt:lpstr>
      <vt:lpstr>NP - FINANZAS</vt:lpstr>
      <vt:lpstr>APG - FINANZAS</vt:lpstr>
      <vt:lpstr>NP - TGP</vt:lpstr>
      <vt:lpstr>APG - TGP</vt:lpstr>
      <vt:lpstr>NP - SSP</vt:lpstr>
      <vt:lpstr>APG - SSP</vt:lpstr>
      <vt:lpstr>NP - CGP</vt:lpstr>
      <vt:lpstr>APG - CGP</vt:lpstr>
      <vt:lpstr>NP - CAU</vt:lpstr>
      <vt:lpstr>APG - CAU</vt:lpstr>
      <vt:lpstr>NP - CP</vt:lpstr>
      <vt:lpstr>APG - 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2021-06-25T12:58:29Z</cp:lastPrinted>
  <dcterms:created xsi:type="dcterms:W3CDTF">2020-07-17T23:44:49Z</dcterms:created>
  <dcterms:modified xsi:type="dcterms:W3CDTF">2021-08-12T12:12:57Z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