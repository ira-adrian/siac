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TRH\Libreria\Consolidado\"/>
    </mc:Choice>
  </mc:AlternateContent>
  <xr:revisionPtr revIDLastSave="0" documentId="13_ncr:1_{1EA662F3-325E-4551-A8D0-CADBDB342FF2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Utiles de Escritorio" sheetId="4" r:id="rId1"/>
    <sheet name="Autor Gastar" sheetId="3" r:id="rId2"/>
  </sheets>
  <definedNames>
    <definedName name="_xlnm._FilterDatabase" localSheetId="0" hidden="1">'Utiles de Escritorio'!$A$9:$J$69</definedName>
    <definedName name="_xlnm.Print_Area" localSheetId="1">'Autor Gastar'!$A$1:$Q$25</definedName>
  </definedNames>
  <calcPr calcId="181029"/>
</workbook>
</file>

<file path=xl/calcChain.xml><?xml version="1.0" encoding="utf-8"?>
<calcChain xmlns="http://schemas.openxmlformats.org/spreadsheetml/2006/main">
  <c r="M11" i="4" l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10" i="4"/>
  <c r="A24" i="3" l="1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10" i="4"/>
  <c r="I69" i="4" l="1"/>
  <c r="D68" i="4" l="1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Q15" i="3" l="1"/>
  <c r="Q24" i="3" s="1"/>
</calcChain>
</file>

<file path=xl/sharedStrings.xml><?xml version="1.0" encoding="utf-8"?>
<sst xmlns="http://schemas.openxmlformats.org/spreadsheetml/2006/main" count="418" uniqueCount="271">
  <si>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</si>
  <si>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</si>
  <si>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</si>
  <si>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</si>
  <si>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</si>
  <si>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</si>
  <si>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</si>
  <si>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</si>
  <si>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</si>
  <si>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</si>
  <si>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</si>
  <si>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</si>
  <si>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</si>
  <si>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</si>
  <si>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</si>
  <si>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Mantenimiento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</si>
  <si>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</si>
  <si>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</si>
  <si>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</si>
  <si>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</si>
  <si>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</si>
  <si>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</si>
  <si>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</si>
  <si>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</si>
  <si>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</si>
  <si>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</si>
  <si>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</si>
  <si>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</si>
  <si>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</si>
  <si>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</si>
  <si>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</si>
  <si>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</si>
  <si>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</si>
  <si>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</si>
  <si>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</si>
  <si>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</si>
  <si>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</si>
  <si>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SAF:</t>
  </si>
  <si>
    <t xml:space="preserve">DEPENDENCIA SOLICITANTE: 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</si>
  <si>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</si>
  <si>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r>
      <t>AUTORIZACIÓN</t>
    </r>
    <r>
      <rPr>
        <b/>
        <sz val="10"/>
        <rFont val="Century Gothic"/>
        <family val="2"/>
      </rPr>
      <t>:</t>
    </r>
  </si>
  <si>
    <t>1.1</t>
  </si>
  <si>
    <t>12 -Ministerio de Trabajo y Recursos Humanos</t>
  </si>
  <si>
    <t>Ministerio de Trabajo y Reursos Humanos</t>
  </si>
  <si>
    <t>UNIDAD</t>
  </si>
  <si>
    <t>Descripción técnica</t>
  </si>
  <si>
    <t>2.2.1-1053.108</t>
  </si>
  <si>
    <t>INDUMENT TEXTIL Y CONFECCIONES</t>
  </si>
  <si>
    <r>
      <rPr>
        <b/>
        <sz val="10"/>
        <rFont val="Times New Roman"/>
        <family val="1"/>
      </rPr>
      <t>HILO DE ALGODON</t>
    </r>
    <r>
      <rPr>
        <sz val="10"/>
        <rFont val="Times New Roman"/>
        <family val="1"/>
      </rPr>
      <t>; PRESENTACION: OVILLO, USO: P/ATAR, NUMERO: 4 HEBRAS, LARGO: 800 M, TONALIDAD: BLANCO</t>
    </r>
  </si>
  <si>
    <t>2.3.1-6563.1009</t>
  </si>
  <si>
    <t>LIBRERIA,PAP. Y UTILES OFICINA</t>
  </si>
  <si>
    <r>
      <t xml:space="preserve">PAPELES EN HOJA; TIPO DE PAPEL: BLANCO, DIMENSION: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 xml:space="preserve">, GRAMAJE: 80 GR, PRESENTACION: </t>
    </r>
    <r>
      <rPr>
        <b/>
        <sz val="10"/>
        <rFont val="Times New Roman"/>
        <family val="1"/>
      </rPr>
      <t>ENVASE X 500 HOJAS</t>
    </r>
    <r>
      <rPr>
        <sz val="10"/>
        <rFont val="Times New Roman"/>
        <family val="1"/>
      </rPr>
      <t>, CERTIFICADO FORESTAL (GFS): SIN, PORC. FIBRAS RECICLADAS: 0 %, CERT. FIBRA ALTERNATIVA (FCA): SIN</t>
    </r>
  </si>
  <si>
    <t>2.3.1-6563.968</t>
  </si>
  <si>
    <r>
      <t>PAPELES EN HOJA; TIPO DE PAPEL: EXTRA BLANCO, DIMENSION:</t>
    </r>
    <r>
      <rPr>
        <b/>
        <sz val="10"/>
        <rFont val="Times New Roman"/>
        <family val="1"/>
      </rPr>
      <t xml:space="preserve"> A4</t>
    </r>
    <r>
      <rPr>
        <sz val="10"/>
        <rFont val="Times New Roman"/>
        <family val="1"/>
      </rPr>
      <t>, GRAMAJE: 80 GR, PRESENTACION:</t>
    </r>
    <r>
      <rPr>
        <b/>
        <sz val="10"/>
        <rFont val="Times New Roman"/>
        <family val="1"/>
      </rPr>
      <t xml:space="preserve"> RESMA X 500 HOJAS</t>
    </r>
    <r>
      <rPr>
        <sz val="10"/>
        <rFont val="Times New Roman"/>
        <family val="1"/>
      </rPr>
      <t>, CERTIFICADO FORESTAL (GFS): SIN, PORC. FIBRAS RECICLADAS: 0 %, CERT. FIBRA ALTERNATIVA (FCA): CON</t>
    </r>
  </si>
  <si>
    <t>2.3.1-6587.333</t>
  </si>
  <si>
    <r>
      <t xml:space="preserve">PAPELES ENCUADERNADOS; CANT. DE </t>
    </r>
    <r>
      <rPr>
        <b/>
        <sz val="10"/>
        <rFont val="Times New Roman"/>
        <family val="1"/>
      </rPr>
      <t xml:space="preserve">HOJAS: 84 HOJAS, TAMAÑO: 21 X 29,7 Cm, TIPO: RAYADO ESPIRALADO, </t>
    </r>
    <r>
      <rPr>
        <sz val="10"/>
        <rFont val="Times New Roman"/>
        <family val="1"/>
      </rPr>
      <t>CERTIFICADO FORESTAL (GFS): CON, PORC. FIBRAS RECICLADAS: 0 %, CERT. FIBRA ALTERNATIVA (FCA): SIN</t>
    </r>
  </si>
  <si>
    <t>2.3.1-6587.346</t>
  </si>
  <si>
    <r>
      <t xml:space="preserve">PAPELES ENCUADERNADOS; CANT. DE </t>
    </r>
    <r>
      <rPr>
        <b/>
        <sz val="10"/>
        <rFont val="Times New Roman"/>
        <family val="1"/>
      </rPr>
      <t>HOJAS: 100, TAMAÑO: A4, TIPO: CUADERNO ESPIRALADO TAPA DURA, C</t>
    </r>
    <r>
      <rPr>
        <sz val="10"/>
        <rFont val="Times New Roman"/>
        <family val="1"/>
      </rPr>
      <t>ERTIFICADO FORESTAL (GFS): SIN, PORC. FIBRAS RECICLADAS: 0 %, CERT. FIBRA ALTERNATIVA (FCA): SIN</t>
    </r>
  </si>
  <si>
    <t>2.3.1-6590.555</t>
  </si>
  <si>
    <r>
      <rPr>
        <b/>
        <sz val="10"/>
        <rFont val="Times New Roman"/>
        <family val="1"/>
      </rPr>
      <t>SOBRES DE PAPEL</t>
    </r>
    <r>
      <rPr>
        <sz val="10"/>
        <rFont val="Times New Roman"/>
        <family val="1"/>
      </rPr>
      <t>; TIPO: MANILA, TAMAÑO: OFICIO, GRAMAJE: 80 GR, PRESENTACION: UNIDAD, CERTIFICADO FORESTAL (GFS): SIN, PORC. FIBRAS RECICLADAS: 0 %, CERT. FIBRA ALTERNATIVA (FCA): SIN</t>
    </r>
  </si>
  <si>
    <t>2.3.1-6590.556</t>
  </si>
  <si>
    <r>
      <rPr>
        <b/>
        <sz val="10"/>
        <rFont val="Times New Roman"/>
        <family val="1"/>
      </rPr>
      <t>SOBRES DE PAPEL;</t>
    </r>
    <r>
      <rPr>
        <sz val="10"/>
        <rFont val="Times New Roman"/>
        <family val="1"/>
      </rPr>
      <t xml:space="preserve"> TIPO: MANILA, TAMAÑO: A4, GRAMAJE: 80 GR, PRESENTACION: UNIDAD, CERTIFICADO FORESTAL (GFS): SIN, PORC. FIBRAS RECICLADAS: 0 %, CERT. FIBRA ALTERNATIVA (FCA): SIN</t>
    </r>
  </si>
  <si>
    <t>2.9.2-1062.5</t>
  </si>
  <si>
    <r>
      <rPr>
        <b/>
        <sz val="10"/>
        <rFont val="Times New Roman"/>
        <family val="1"/>
      </rPr>
      <t>PAPELES ANOTADOR AUTOADHESIVOS;</t>
    </r>
    <r>
      <rPr>
        <sz val="10"/>
        <rFont val="Times New Roman"/>
        <family val="1"/>
      </rPr>
      <t xml:space="preserve"> PRESENTACION: 400 HOJAS, LARGO X ANCHO: 9 X 9 Cm, DIMENSION: SIN VALOR, MATERIAL: SIN VALOR</t>
    </r>
  </si>
  <si>
    <t>2.9.2-1153.35</t>
  </si>
  <si>
    <r>
      <rPr>
        <b/>
        <sz val="10"/>
        <rFont val="Times New Roman"/>
        <family val="1"/>
      </rPr>
      <t>CINTAS ADHESIVAS; TIPO: EMBALAR, COLOR MARRON</t>
    </r>
    <r>
      <rPr>
        <sz val="10"/>
        <rFont val="Times New Roman"/>
        <family val="1"/>
      </rPr>
      <t>, ANCHO: 5 Cm, LARGO ROLLO: 50 M, MATERIAL: CELOFAN, ACCESORIO: SIN, LARGO: 50 M</t>
    </r>
  </si>
  <si>
    <t>2.9.2-1153.47</t>
  </si>
  <si>
    <r>
      <rPr>
        <b/>
        <sz val="10"/>
        <rFont val="Times New Roman"/>
        <family val="1"/>
      </rPr>
      <t xml:space="preserve">CINTAS ADHESIVAS; TIPO: ADHESIVA, ANCHO: 12 Cm, </t>
    </r>
    <r>
      <rPr>
        <sz val="10"/>
        <rFont val="Times New Roman"/>
        <family val="1"/>
      </rPr>
      <t>LARGO ROLLO: 50 M, MATERIAL: PLASTICO, ACCESORIO: SIN, LARGO: 50 M</t>
    </r>
  </si>
  <si>
    <t>2.9.2-1153.90</t>
  </si>
  <si>
    <r>
      <rPr>
        <b/>
        <sz val="10"/>
        <rFont val="Times New Roman"/>
        <family val="1"/>
      </rPr>
      <t>CINTAS ADHESIVAS; TIPO: EMBALAR, ANCHO: 48 mm</t>
    </r>
    <r>
      <rPr>
        <sz val="10"/>
        <rFont val="Times New Roman"/>
        <family val="1"/>
      </rPr>
      <t>, LARGO ROLLO: 50 M, MATERIAL: PLASTICO, ACCESORIO: SIN, LARGO: 50 M</t>
    </r>
  </si>
  <si>
    <t>2.9.2-1354.15</t>
  </si>
  <si>
    <r>
      <rPr>
        <b/>
        <sz val="10"/>
        <rFont val="Times New Roman"/>
        <family val="1"/>
      </rPr>
      <t>RESALTADORES; PUNTA: 3</t>
    </r>
    <r>
      <rPr>
        <sz val="10"/>
        <rFont val="Times New Roman"/>
        <family val="1"/>
      </rPr>
      <t xml:space="preserve"> PLANA mm, ACCESORIO: SIN, COLOR: VERDE, TIPO PUNTA: 3 PLANA mm</t>
    </r>
  </si>
  <si>
    <t>2.9.2-1354.17</t>
  </si>
  <si>
    <r>
      <rPr>
        <b/>
        <sz val="10"/>
        <rFont val="Times New Roman"/>
        <family val="1"/>
      </rPr>
      <t>RESALTADORES; PUNTA: 5 PLANA</t>
    </r>
    <r>
      <rPr>
        <sz val="10"/>
        <rFont val="Times New Roman"/>
        <family val="1"/>
      </rPr>
      <t>, ACCESORIO: SIN, COLOR: AZUL, TIPO PUNTA: 5 PLANA</t>
    </r>
  </si>
  <si>
    <t>2.9.2-1354.28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</si>
  <si>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>, ACCESORIO: SIN, COLOR: AMARILLO, TIPO PUNTA: FINA</t>
    </r>
  </si>
  <si>
    <t>2.9.2-1354.29</t>
  </si>
  <si>
    <r>
      <rPr>
        <b/>
        <sz val="10"/>
        <rFont val="Times New Roman"/>
        <family val="1"/>
      </rPr>
      <t>RESALTADORES; PUNTA: FINA</t>
    </r>
    <r>
      <rPr>
        <sz val="10"/>
        <rFont val="Times New Roman"/>
        <family val="1"/>
      </rPr>
      <t>, ACCESORIO: SIN, COLOR: VERDE, TIPO PUNTA: FINA</t>
    </r>
  </si>
  <si>
    <t>2.9.2-1358.34</t>
  </si>
  <si>
    <t>CARPETAS; MATERIAL PVC - TAMAÑO OFICIO</t>
  </si>
  <si>
    <t>2.9.2-1358.35</t>
  </si>
  <si>
    <t>CARPETAS; MATERIAL PVC - TAMAÑO A4</t>
  </si>
  <si>
    <t>2.9.2-1450.30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</si>
  <si>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ENVASE: 60 CM3, COLOR: AZUL, PRESENTACION: ENVASE X 60 CM3</t>
    </r>
  </si>
  <si>
    <t xml:space="preserve">UNIDAD </t>
  </si>
  <si>
    <t>2.9.2-1450.4</t>
  </si>
  <si>
    <t>2.9.2-1616.134</t>
  </si>
  <si>
    <t>2.9.2-1616.79</t>
  </si>
  <si>
    <t>2.9.2-261.11</t>
  </si>
  <si>
    <r>
      <rPr>
        <b/>
        <sz val="10"/>
        <rFont val="Times New Roman"/>
        <family val="1"/>
      </rPr>
      <t>ABROCHADORAS DE PAPEL</t>
    </r>
    <r>
      <rPr>
        <sz val="10"/>
        <rFont val="Times New Roman"/>
        <family val="1"/>
      </rPr>
      <t>; MATERIAL: METALICA, TIPO: DE ESCRITORIO, MEDIDA: 23, P/BROCHES: 23</t>
    </r>
  </si>
  <si>
    <t>2.9.2-262.4</t>
  </si>
  <si>
    <r>
      <t xml:space="preserve">ADHESIVOS P/PAPEL; PRESENTACION: 250 GR, TIPO: </t>
    </r>
    <r>
      <rPr>
        <b/>
        <sz val="10"/>
        <rFont val="Times New Roman"/>
        <family val="1"/>
      </rPr>
      <t>COLA VINILICA</t>
    </r>
  </si>
  <si>
    <t>2.9.2-262.45</t>
  </si>
  <si>
    <r>
      <rPr>
        <b/>
        <sz val="10"/>
        <rFont val="Times New Roman"/>
        <family val="1"/>
      </rPr>
      <t xml:space="preserve">ADHESIVOS P/PAPEL; </t>
    </r>
    <r>
      <rPr>
        <sz val="10"/>
        <rFont val="Times New Roman"/>
        <family val="1"/>
      </rPr>
      <t>PRESENTACION: 30 CM3, TIPO: TRANSPARENTE</t>
    </r>
  </si>
  <si>
    <t>2.9.2-274.49</t>
  </si>
  <si>
    <r>
      <rPr>
        <b/>
        <sz val="10"/>
        <rFont val="Times New Roman"/>
        <family val="1"/>
      </rPr>
      <t>BIBLIORATOS;</t>
    </r>
    <r>
      <rPr>
        <sz val="10"/>
        <rFont val="Times New Roman"/>
        <family val="1"/>
      </rPr>
      <t xml:space="preserve"> COLOR: GRIS, ANCHO: 28 Cm, ANILLO: 2 Y PALANCA, TAMAÑO: </t>
    </r>
    <r>
      <rPr>
        <b/>
        <sz val="10"/>
        <rFont val="Times New Roman"/>
        <family val="1"/>
      </rPr>
      <t>OFICIO</t>
    </r>
    <r>
      <rPr>
        <sz val="10"/>
        <rFont val="Times New Roman"/>
        <family val="1"/>
      </rPr>
      <t>, TAPAS: CARTON, LOMO: CARTON, MATERIAL: CARTON</t>
    </r>
  </si>
  <si>
    <t>2.9.2-274.73</t>
  </si>
  <si>
    <r>
      <rPr>
        <b/>
        <sz val="10"/>
        <rFont val="Times New Roman"/>
        <family val="1"/>
      </rPr>
      <t>BIBLIORATOS</t>
    </r>
    <r>
      <rPr>
        <sz val="10"/>
        <rFont val="Times New Roman"/>
        <family val="1"/>
      </rPr>
      <t xml:space="preserve">; ANCHO: 80 mm, ANILLO: 2 Y PALANCA, TAMAÑO: </t>
    </r>
    <r>
      <rPr>
        <b/>
        <sz val="10"/>
        <rFont val="Times New Roman"/>
        <family val="1"/>
      </rPr>
      <t>A4</t>
    </r>
    <r>
      <rPr>
        <sz val="10"/>
        <rFont val="Times New Roman"/>
        <family val="1"/>
      </rPr>
      <t>, MATERIAL: CARTON FORRADO EN PVC</t>
    </r>
  </si>
  <si>
    <t>2.9.2-291.3</t>
  </si>
  <si>
    <r>
      <rPr>
        <b/>
        <sz val="10"/>
        <rFont val="Times New Roman"/>
        <family val="1"/>
      </rPr>
      <t>ALMOHADILLAS P/SELLOS</t>
    </r>
    <r>
      <rPr>
        <sz val="10"/>
        <rFont val="Times New Roman"/>
        <family val="1"/>
      </rPr>
      <t>; MEDIDA: 8 X 12 Cm, MATERIAL: PLASTICO</t>
    </r>
  </si>
  <si>
    <t>2.9.2-317.1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</si>
  <si>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COLOR TINTA: AZUL, TRAZO: 0,7 mm</t>
    </r>
  </si>
  <si>
    <t>2.9.2-317.21</t>
  </si>
  <si>
    <r>
      <rPr>
        <b/>
        <sz val="10"/>
        <rFont val="Times New Roman"/>
        <family val="1"/>
      </rPr>
      <t>BOLIGRAFOS;</t>
    </r>
    <r>
      <rPr>
        <sz val="10"/>
        <rFont val="Times New Roman"/>
        <family val="1"/>
      </rPr>
      <t xml:space="preserve"> TRAZO: 0,1 mm, COLOR TINTA: AZUL</t>
    </r>
  </si>
  <si>
    <t>2.9.2-317.17</t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</si>
  <si>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TRAZO: GRUESO, COLOR TINTA: NEGRO</t>
    </r>
  </si>
  <si>
    <t>2.9.2-323.4</t>
  </si>
  <si>
    <t>2.9.2-660.10</t>
  </si>
  <si>
    <t>2.9.2-674.9</t>
  </si>
  <si>
    <r>
      <rPr>
        <b/>
        <sz val="10"/>
        <rFont val="Times New Roman"/>
        <family val="1"/>
      </rPr>
      <t>REGLAS GRADUADAS</t>
    </r>
    <r>
      <rPr>
        <sz val="10"/>
        <rFont val="Times New Roman"/>
        <family val="1"/>
      </rPr>
      <t>; TIPO: PLANA, MATERIAL: PLASTICO, LONG.DE CUERPO: 30 Cm</t>
    </r>
  </si>
  <si>
    <t>2.9.2-700.2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</si>
  <si>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21/6, PRESENTACION: CAJA X 1000 UNIDADES</t>
    </r>
  </si>
  <si>
    <t>2.9.2-700.28</t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</si>
  <si>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10/50, PRESENTACION: CAJA X 1000 UNIDADES</t>
    </r>
  </si>
  <si>
    <t>2.9.2-700.59</t>
  </si>
  <si>
    <t>2.9.2-753.11</t>
  </si>
  <si>
    <t>2.9.2-758.8</t>
  </si>
  <si>
    <r>
      <rPr>
        <b/>
        <sz val="10"/>
        <rFont val="Times New Roman"/>
        <family val="1"/>
      </rPr>
      <t xml:space="preserve">TIJERAS </t>
    </r>
    <r>
      <rPr>
        <sz val="10"/>
        <rFont val="Times New Roman"/>
        <family val="1"/>
      </rPr>
      <t>P/CORTAR PAPELES; CUCHILLA: PUNTIAGUDAS, MATERIAL: ACERO BRUÑIDO, MANGO: PLASTICO, LONG.DE CUERPO: 17 Cm</t>
    </r>
  </si>
  <si>
    <t>2.9.2-790.10</t>
  </si>
  <si>
    <r>
      <rPr>
        <b/>
        <sz val="10"/>
        <rFont val="Times New Roman"/>
        <family val="1"/>
      </rPr>
      <t xml:space="preserve">CUTER; </t>
    </r>
    <r>
      <rPr>
        <sz val="10"/>
        <rFont val="Times New Roman"/>
        <family val="1"/>
      </rPr>
      <t>ANCHO HOJA: 12 mm, MATERIAL MANGO: METAL, TIPO HOJA: MOVIL SECCIONABLE, TIPO DE HOJA: MOVIL SECCIONABLE, ANCHO DE HOJA: 12 mm</t>
    </r>
  </si>
  <si>
    <t>2.9.2-791.9</t>
  </si>
  <si>
    <r>
      <rPr>
        <b/>
        <sz val="10"/>
        <rFont val="Times New Roman"/>
        <family val="1"/>
      </rPr>
      <t xml:space="preserve">TALONARIOS NOTAS </t>
    </r>
    <r>
      <rPr>
        <sz val="10"/>
        <rFont val="Times New Roman"/>
        <family val="1"/>
      </rPr>
      <t>AUTOADHESIVAS; MEDIDA 76 X 76mm</t>
    </r>
  </si>
  <si>
    <t>2.9.2-844.13</t>
  </si>
  <si>
    <r>
      <rPr>
        <b/>
        <sz val="10"/>
        <rFont val="Times New Roman"/>
        <family val="1"/>
      </rPr>
      <t>PORTA CINTA ADHESIVA</t>
    </r>
    <r>
      <rPr>
        <sz val="10"/>
        <rFont val="Times New Roman"/>
        <family val="1"/>
      </rPr>
      <t>; MATERIAL: PLASTICO, ROLLO: 50 M, MEDIDA: 50 M</t>
    </r>
  </si>
  <si>
    <t>2.9.2-848.20</t>
  </si>
  <si>
    <r>
      <rPr>
        <b/>
        <sz val="10"/>
        <rFont val="Times New Roman"/>
        <family val="1"/>
      </rPr>
      <t>LAPIZ</t>
    </r>
    <r>
      <rPr>
        <sz val="10"/>
        <rFont val="Times New Roman"/>
        <family val="1"/>
      </rPr>
      <t>; TIPO: 2HB, COLOR: NEGRO</t>
    </r>
  </si>
  <si>
    <t>2.9.2-848.22</t>
  </si>
  <si>
    <r>
      <rPr>
        <b/>
        <sz val="10"/>
        <rFont val="Times New Roman"/>
        <family val="1"/>
      </rPr>
      <t>LAPIZ;</t>
    </r>
    <r>
      <rPr>
        <sz val="10"/>
        <rFont val="Times New Roman"/>
        <family val="1"/>
      </rPr>
      <t xml:space="preserve"> TIPO: CON GOMA, COLOR: NEGRO</t>
    </r>
  </si>
  <si>
    <t>2.9.2-661.11</t>
  </si>
  <si>
    <t>2.9.2-850.1</t>
  </si>
  <si>
    <r>
      <rPr>
        <b/>
        <sz val="10"/>
        <rFont val="Times New Roman"/>
        <family val="1"/>
      </rPr>
      <t>CAJAS DE ARCHIVO</t>
    </r>
    <r>
      <rPr>
        <sz val="10"/>
        <rFont val="Times New Roman"/>
        <family val="1"/>
      </rPr>
      <t>; DIMENSION: 26.5 X 38 X 9 Cm, COLOR: AZUL, MATERIAL: PLASTICO</t>
    </r>
  </si>
  <si>
    <t>2.9.2-853.17</t>
  </si>
  <si>
    <r>
      <rPr>
        <b/>
        <sz val="10"/>
        <rFont val="Times New Roman"/>
        <family val="1"/>
      </rPr>
      <t>BROCHES</t>
    </r>
    <r>
      <rPr>
        <sz val="10"/>
        <rFont val="Times New Roman"/>
        <family val="1"/>
      </rPr>
      <t xml:space="preserve"> P/EXPEDIENTE; TIPO:</t>
    </r>
    <r>
      <rPr>
        <b/>
        <sz val="10"/>
        <rFont val="Times New Roman"/>
        <family val="1"/>
      </rPr>
      <t xml:space="preserve"> MARIPOSA,</t>
    </r>
    <r>
      <rPr>
        <sz val="10"/>
        <rFont val="Times New Roman"/>
        <family val="1"/>
      </rPr>
      <t xml:space="preserve"> LONG.DE CUERPO: 65 mm</t>
    </r>
  </si>
  <si>
    <t>2.9.2-853.30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</si>
  <si>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 xml:space="preserve">; TIPO: </t>
    </r>
    <r>
      <rPr>
        <b/>
        <sz val="10"/>
        <rFont val="Times New Roman"/>
        <family val="1"/>
      </rPr>
      <t>MARIPOSA</t>
    </r>
    <r>
      <rPr>
        <sz val="10"/>
        <rFont val="Times New Roman"/>
        <family val="1"/>
      </rPr>
      <t>, LONG.DE CUERPO: 25 mm</t>
    </r>
  </si>
  <si>
    <t>2.9.2-853.31</t>
  </si>
  <si>
    <r>
      <rPr>
        <b/>
        <sz val="10"/>
        <rFont val="Times New Roman"/>
        <family val="1"/>
      </rPr>
      <t>BROCHES P/EXPEDIENTE</t>
    </r>
    <r>
      <rPr>
        <sz val="10"/>
        <rFont val="Times New Roman"/>
        <family val="1"/>
      </rPr>
      <t>; TIPO: MARIPOSA, LONG.DE CUERPO: 75 mm</t>
    </r>
  </si>
  <si>
    <t>2.9.2-858.7</t>
  </si>
  <si>
    <r>
      <rPr>
        <b/>
        <sz val="10"/>
        <rFont val="Times New Roman"/>
        <family val="1"/>
      </rPr>
      <t>PERFORADORAS</t>
    </r>
    <r>
      <rPr>
        <sz val="10"/>
        <rFont val="Times New Roman"/>
        <family val="1"/>
      </rPr>
      <t>; DIST. ENTRE AGUJ.: FIJO, N° PERFORACIONES: 2, MATERIAL ESTRUCTURA: FUNDICION HIERRO BASE MADERA, GUIA POSICION PAPEL: CON, TAMAÑO: GRANDE, MATERIAL: FUNDICION HIERRO BASE MADERA</t>
    </r>
  </si>
  <si>
    <t>2.9.2-866.4</t>
  </si>
  <si>
    <r>
      <rPr>
        <b/>
        <sz val="10"/>
        <rFont val="Times New Roman"/>
        <family val="1"/>
      </rPr>
      <t>MAQUINAS SACABROCHE</t>
    </r>
    <r>
      <rPr>
        <sz val="10"/>
        <rFont val="Times New Roman"/>
        <family val="1"/>
      </rPr>
      <t>S; EXTRACTOR: ACERO INOXIDABLE, MATERIAL: PLASTICO</t>
    </r>
  </si>
  <si>
    <t>2.3.1-928.8</t>
  </si>
  <si>
    <t>2.9.2-873.1</t>
  </si>
  <si>
    <r>
      <rPr>
        <b/>
        <sz val="10"/>
        <rFont val="Times New Roman"/>
        <family val="1"/>
      </rPr>
      <t>PINCHES P/PAPELES</t>
    </r>
    <r>
      <rPr>
        <sz val="10"/>
        <rFont val="Times New Roman"/>
        <family val="1"/>
      </rPr>
      <t>; ALTURA 125mm - BASE METAL</t>
    </r>
  </si>
  <si>
    <t>HILADOS Y TELAS</t>
  </si>
  <si>
    <t>PAPEL DE ESCRITORIO Y CARTON</t>
  </si>
  <si>
    <t>UTILES DE ESCRITORIO, OFICINA Y ENSEÑANZA</t>
  </si>
  <si>
    <t>22 - Secretaria de Administracion del Ministerio de Trabajo y Recursos Humanos</t>
  </si>
  <si>
    <t>2.9.2-2230.46</t>
  </si>
  <si>
    <t>2.3.1-6587.235</t>
  </si>
  <si>
    <r>
      <rPr>
        <b/>
        <sz val="10"/>
        <rFont val="Times New Roman"/>
        <family val="1"/>
      </rPr>
      <t>PAPELES ENCUADERNADOS</t>
    </r>
    <r>
      <rPr>
        <sz val="10"/>
        <rFont val="Times New Roman"/>
        <family val="1"/>
      </rPr>
      <t>; CANT. DE HOJAS: 80, TAMAÑO: 16 X 21 Cm, TIPO: CUADERNO, CERTIFICADO FORESTAL (GFS): SIN</t>
    </r>
  </si>
  <si>
    <t>2.9.2-1510.1</t>
  </si>
  <si>
    <t>2.9.2-317.5</t>
  </si>
  <si>
    <t>2.9.2-1122.10</t>
  </si>
  <si>
    <r>
      <rPr>
        <b/>
        <u/>
        <sz val="10"/>
        <rFont val="Times New Roman"/>
        <family val="1"/>
      </rPr>
      <t>BROCHES A TORNILLO</t>
    </r>
    <r>
      <rPr>
        <sz val="10"/>
        <rFont val="Times New Roman"/>
        <family val="1"/>
      </rPr>
      <t>; MATERIAL: METALICO, LONG.DE CUERPO: 10 mm, PRESENTACION: EXTENSIBLE</t>
    </r>
  </si>
  <si>
    <t>2.9.2-1122.11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</si>
  <si>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Pabellón Nº 20 Ministerio de Trabajo y Recursos Humanos (CAPE), sito en Av. Presidente Castillo y Av.  Venezuela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</si>
  <si>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Autorizo la realización de los  trámites correspondientes, a fin de proveer a  este Organismo los bienes y/o servicios que se detallan en la Necesidad Trimestral Programada para el 4to Trimestre,  afectando la erogación resultante a los créditos presupuestarios aprobados a favor de esta Unidad Ejecutora, conforme al siguiente detalle:</t>
  </si>
  <si>
    <t>JUSTIFICACIÓN: Adquisición de Utiles de Escritorio para las distintas dependencias de este Ministerio.</t>
  </si>
  <si>
    <t>CAJA</t>
  </si>
  <si>
    <t>PAQUETE</t>
  </si>
  <si>
    <r>
      <rPr>
        <b/>
        <u/>
        <sz val="10"/>
        <rFont val="Times New Roman"/>
        <family val="1"/>
      </rPr>
      <t>CARPETAS COLGANTES</t>
    </r>
    <r>
      <rPr>
        <sz val="10"/>
        <rFont val="Times New Roman"/>
        <family val="1"/>
      </rPr>
      <t>; MATERIAL: CARTULINA GRUESA, TAMAÑO: OFICIO, SUJECION: GANCHOS EN 4 PUNTAS, VISOR: PVC SECCION TRIANGULAR, PRESENTACION:</t>
    </r>
    <r>
      <rPr>
        <b/>
        <sz val="10"/>
        <rFont val="Times New Roman"/>
        <family val="1"/>
      </rPr>
      <t xml:space="preserve"> CAJA DE 50 UNIDADES</t>
    </r>
    <r>
      <rPr>
        <sz val="10"/>
        <rFont val="Times New Roman"/>
        <family val="1"/>
      </rPr>
      <t>, TIPO: EXTERIOR, COLOR: MARRON</t>
    </r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</si>
  <si>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FINO, PUNTA: REDONDA, COLOR: NEGRO, RECARGABLE: NO</t>
    </r>
  </si>
  <si>
    <r>
      <rPr>
        <b/>
        <sz val="10"/>
        <rFont val="Times New Roman"/>
        <family val="1"/>
      </rPr>
      <t>BOLIGRAFOS</t>
    </r>
    <r>
      <rPr>
        <sz val="10"/>
        <rFont val="Times New Roman"/>
        <family val="1"/>
      </rPr>
      <t>; TRAZO 1,0mm</t>
    </r>
  </si>
  <si>
    <r>
      <rPr>
        <b/>
        <sz val="10"/>
        <rFont val="Times New Roman"/>
        <family val="1"/>
      </rPr>
      <t>CORRECTORES DE ESCRITURA</t>
    </r>
    <r>
      <rPr>
        <sz val="10"/>
        <rFont val="Times New Roman"/>
        <family val="1"/>
      </rPr>
      <t>; CAPACIDAD: 7 mL, ENVASE: LAPIZ (PUNTA METAL), PRESENTACION: LAPIZ (PUNTA METAL) X 7 mL</t>
    </r>
  </si>
  <si>
    <t>Especificidades Ítem N° 3:</t>
  </si>
  <si>
    <t>Especificidades Ítem N° 5:</t>
  </si>
  <si>
    <t>Especificidades Ítem N° 7:</t>
  </si>
  <si>
    <t>Especificidades Ítem N° 18:</t>
  </si>
  <si>
    <t>Especificidades Ítem N° 19:</t>
  </si>
  <si>
    <t>Especificidades Ítem N° 20:</t>
  </si>
  <si>
    <t>Especificidades Ítem N° 29</t>
  </si>
  <si>
    <t>Especificidades Ítem N° 34</t>
  </si>
  <si>
    <t>Especificidades Ítem N° 35</t>
  </si>
  <si>
    <t>Calidad Mínima esperada</t>
  </si>
  <si>
    <t>30 (treinta)  días hábiles</t>
  </si>
  <si>
    <t>Garantía</t>
  </si>
  <si>
    <t>22 - Secretaria de Administración del Ministerio de Trabajo y Recursos Humanos</t>
  </si>
  <si>
    <r>
      <rPr>
        <b/>
        <u/>
        <sz val="10"/>
        <rFont val="Times New Roman"/>
        <family val="1"/>
      </rPr>
      <t>MONTO ESTIMADO TOTAL</t>
    </r>
    <r>
      <rPr>
        <sz val="10"/>
        <rFont val="Times New Roman"/>
        <family val="1"/>
      </rPr>
      <t>: Un Millón Setenta y Dos Mil Ciento Cuarenta con 75/100</t>
    </r>
  </si>
  <si>
    <r>
      <rPr>
        <b/>
        <sz val="10"/>
        <rFont val="Times New Roman"/>
        <family val="1"/>
      </rPr>
      <t>CARATULAS</t>
    </r>
    <r>
      <rPr>
        <sz val="10"/>
        <rFont val="Times New Roman"/>
        <family val="1"/>
      </rPr>
      <t xml:space="preserve">; TIPO: P/EXPEDIENTE, PRESENTACION: </t>
    </r>
    <r>
      <rPr>
        <b/>
        <sz val="10"/>
        <rFont val="Times New Roman"/>
        <family val="1"/>
      </rPr>
      <t xml:space="preserve">PAQUETE X 500 </t>
    </r>
    <r>
      <rPr>
        <sz val="10"/>
        <rFont val="Times New Roman"/>
        <family val="1"/>
      </rPr>
      <t>UN, MATERIAL: CARTULINA, DIMENSION: A4</t>
    </r>
  </si>
  <si>
    <r>
      <t xml:space="preserve">CARATULAS; TIPO: P/EXPEDIENTE, PRESENTACION: </t>
    </r>
    <r>
      <rPr>
        <b/>
        <u/>
        <sz val="24"/>
        <rFont val="Times New Roman"/>
        <family val="1"/>
      </rPr>
      <t>PAQUETE X 500</t>
    </r>
    <r>
      <rPr>
        <sz val="10"/>
        <rFont val="Times New Roman"/>
        <family val="1"/>
      </rPr>
      <t xml:space="preserve"> UN, MATERIAL: CARTULINA, DIMENSION: A4</t>
    </r>
  </si>
  <si>
    <r>
      <t>PAPELES ENCUADERNADOS; CANT. DE HOJAS: 100, TAMAÑO: A4, TIPO: CUADERNO ESPIRALADO TAPA DURA, CERTIFICADO FORESTAL (GFS): SIN, PORC. FIBRAS RECICLADAS: 0 %, CERT. FIBRA ALTERNATIVA (FCA): SIN.</t>
    </r>
    <r>
      <rPr>
        <sz val="20"/>
        <rFont val="Times New Roman"/>
        <family val="1"/>
      </rPr>
      <t xml:space="preserve"> </t>
    </r>
    <r>
      <rPr>
        <b/>
        <u/>
        <sz val="20"/>
        <rFont val="Times New Roman"/>
        <family val="1"/>
      </rPr>
      <t>RAYADO</t>
    </r>
    <r>
      <rPr>
        <sz val="20"/>
        <rFont val="Times New Roman"/>
        <family val="1"/>
      </rPr>
      <t>.</t>
    </r>
  </si>
  <si>
    <r>
      <t xml:space="preserve">PAPELES ENCUADERNADOS; CANT. DE HOJAS: 80, TAMAÑO: 16 X 21 Cm, TIPO: CUADERNO, CERTIFICADO FORESTAL (GFS): SIN
</t>
    </r>
    <r>
      <rPr>
        <b/>
        <u/>
        <sz val="20"/>
        <rFont val="Times New Roman"/>
        <family val="1"/>
      </rPr>
      <t>ESPIRALADO CON TAPA DURA. FORMATO: RAYADO</t>
    </r>
  </si>
  <si>
    <r>
      <t>CARPETAS COLGANTES; MATERIAL: CARTULINA GRUESA, TAMAÑO: OFICIO, SUJECION: GANCHOS EN 4 PUNTAS, VISOR: PVC SECCION TRIANGULAR, PRESENTACION:</t>
    </r>
    <r>
      <rPr>
        <sz val="20"/>
        <rFont val="Times New Roman"/>
        <family val="1"/>
      </rPr>
      <t xml:space="preserve"> </t>
    </r>
    <r>
      <rPr>
        <b/>
        <u/>
        <sz val="20"/>
        <rFont val="Times New Roman"/>
        <family val="1"/>
      </rPr>
      <t>CAJA DE 50 UNIDADES CADA UNA</t>
    </r>
    <r>
      <rPr>
        <sz val="10"/>
        <rFont val="Times New Roman"/>
        <family val="1"/>
      </rPr>
      <t>, TIPO: EXTERIOR, COLOR: MARRON</t>
    </r>
  </si>
  <si>
    <r>
      <t xml:space="preserve">CARPETAS; COLOR: NEGRO, TIPO: </t>
    </r>
    <r>
      <rPr>
        <b/>
        <u/>
        <sz val="20"/>
        <rFont val="Times New Roman"/>
        <family val="1"/>
      </rPr>
      <t>TAPA TRANSPARENTE</t>
    </r>
    <r>
      <rPr>
        <b/>
        <u/>
        <sz val="10"/>
        <rFont val="Times New Roman"/>
        <family val="1"/>
      </rPr>
      <t>,</t>
    </r>
    <r>
      <rPr>
        <sz val="10"/>
        <rFont val="Times New Roman"/>
        <family val="1"/>
      </rPr>
      <t xml:space="preserve"> PRESENTACION:</t>
    </r>
    <r>
      <rPr>
        <b/>
        <sz val="10"/>
        <rFont val="Times New Roman"/>
        <family val="1"/>
      </rPr>
      <t xml:space="preserve"> </t>
    </r>
    <r>
      <rPr>
        <b/>
        <sz val="20"/>
        <rFont val="Times New Roman"/>
        <family val="1"/>
      </rPr>
      <t xml:space="preserve">PAQUETE DE 10 UNIDADES </t>
    </r>
    <r>
      <rPr>
        <sz val="10"/>
        <rFont val="Times New Roman"/>
        <family val="1"/>
      </rPr>
      <t>CADA UNO, SUJECION BROCHE TIPO NEPACO, MATERIAL: PVC, TAMAÑO: OFICIO. CANTIDAD SOLICITADA: TRECE (13) PAQUETES DE 10 UNIDADES, EN TOTAL 130 UNIDADES.</t>
    </r>
  </si>
  <si>
    <r>
      <t>CARPETAS; COLOR: NEGRO, TIPO:</t>
    </r>
    <r>
      <rPr>
        <sz val="20"/>
        <rFont val="Times New Roman"/>
        <family val="1"/>
      </rPr>
      <t xml:space="preserve"> </t>
    </r>
    <r>
      <rPr>
        <b/>
        <u/>
        <sz val="20"/>
        <rFont val="Times New Roman"/>
        <family val="1"/>
      </rPr>
      <t>TAPA TRANSPARENTE</t>
    </r>
    <r>
      <rPr>
        <sz val="20"/>
        <rFont val="Times New Roman"/>
        <family val="1"/>
      </rPr>
      <t xml:space="preserve">, </t>
    </r>
    <r>
      <rPr>
        <sz val="10"/>
        <rFont val="Times New Roman"/>
        <family val="1"/>
      </rPr>
      <t xml:space="preserve">PRESENTACION: </t>
    </r>
    <r>
      <rPr>
        <b/>
        <sz val="20"/>
        <rFont val="Times New Roman"/>
        <family val="1"/>
      </rPr>
      <t>PAQUETE DE 10  UNIDADES</t>
    </r>
    <r>
      <rPr>
        <sz val="20"/>
        <rFont val="Times New Roman"/>
        <family val="1"/>
      </rPr>
      <t xml:space="preserve"> </t>
    </r>
    <r>
      <rPr>
        <sz val="10"/>
        <rFont val="Times New Roman"/>
        <family val="1"/>
      </rPr>
      <t>CADA UNO, SUJECION: BROCHE TIPO NEPACO, MATERIAL: PVC, TAMAÑO: A4. CANTIDAD SOLICITADA: TRECE (13) PAQUETES DE 10 UNIDADES, EN TOTAL 130 UNIDADES.</t>
    </r>
  </si>
  <si>
    <r>
      <rPr>
        <b/>
        <sz val="10"/>
        <rFont val="Times New Roman"/>
        <family val="1"/>
      </rPr>
      <t>BROCHES P/ABROCHADORA</t>
    </r>
    <r>
      <rPr>
        <sz val="10"/>
        <rFont val="Times New Roman"/>
        <family val="1"/>
      </rPr>
      <t>; NUMERO: 23, PRESENTACION: CAJA X 1000</t>
    </r>
  </si>
  <si>
    <r>
      <rPr>
        <b/>
        <sz val="10"/>
        <rFont val="Times New Roman"/>
        <family val="1"/>
      </rPr>
      <t>PORTA SELLOS</t>
    </r>
    <r>
      <rPr>
        <sz val="10"/>
        <rFont val="Times New Roman"/>
        <family val="1"/>
      </rPr>
      <t>; CANT. DE SELLOS: 12, MATERIAL: METAL</t>
    </r>
  </si>
  <si>
    <r>
      <rPr>
        <b/>
        <sz val="10"/>
        <rFont val="Times New Roman"/>
        <family val="1"/>
      </rPr>
      <t>GOMAS DE BORRAR;</t>
    </r>
    <r>
      <rPr>
        <sz val="10"/>
        <rFont val="Times New Roman"/>
        <family val="1"/>
      </rPr>
      <t xml:space="preserve"> USO: LAPIZ Y TINTA, CANT. X CAJA: 36, DIMENSION: 4 X 1 X 1 Cm, MATERIAL: PLASTICO, PRESENTACION: CAJA X 36</t>
    </r>
  </si>
  <si>
    <r>
      <rPr>
        <b/>
        <u/>
        <sz val="10"/>
        <rFont val="Times New Roman"/>
        <family val="1"/>
      </rPr>
      <t>BROCHES A TORNILLO;</t>
    </r>
    <r>
      <rPr>
        <sz val="10"/>
        <rFont val="Times New Roman"/>
        <family val="1"/>
      </rPr>
      <t xml:space="preserve"> MATERIAL: METALICO, LONG.DE CUERPO: 15 mm, </t>
    </r>
    <r>
      <rPr>
        <b/>
        <sz val="10"/>
        <rFont val="Times New Roman"/>
        <family val="1"/>
      </rPr>
      <t>PRESENTACION: CAJA X 100</t>
    </r>
  </si>
  <si>
    <r>
      <t xml:space="preserve">BIBLIORATOS; ANCHO: 80 mm, ANILLO: 2 Y PALANCA, TAMAÑO: A4, MATERIAL: CARTON FORRADO EN PVC. </t>
    </r>
    <r>
      <rPr>
        <b/>
        <sz val="20"/>
        <rFont val="Times New Roman"/>
        <family val="1"/>
      </rPr>
      <t>COLOR: GRIS.</t>
    </r>
  </si>
  <si>
    <r>
      <t xml:space="preserve">BOLIGRAFOS; TRAZO: GRUESO, COLOR </t>
    </r>
    <r>
      <rPr>
        <sz val="20"/>
        <rFont val="Times New Roman"/>
        <family val="1"/>
      </rPr>
      <t>TINT</t>
    </r>
    <r>
      <rPr>
        <u/>
        <sz val="20"/>
        <rFont val="Times New Roman"/>
        <family val="1"/>
      </rPr>
      <t xml:space="preserve">A: </t>
    </r>
    <r>
      <rPr>
        <b/>
        <u/>
        <sz val="20"/>
        <rFont val="Times New Roman"/>
        <family val="1"/>
      </rPr>
      <t>VERDE</t>
    </r>
  </si>
  <si>
    <t>Especificidades Ítem N° 51</t>
  </si>
  <si>
    <r>
      <t>BROCHES P/EXPEDIENTE; TIPO: MARIPOSA, LONG.DE CUERPO: 65 mm.</t>
    </r>
    <r>
      <rPr>
        <b/>
        <sz val="20"/>
        <rFont val="Times New Roman"/>
        <family val="1"/>
      </rPr>
      <t xml:space="preserve"> PRESENTACION: CAJA X 100 UNIDADES</t>
    </r>
  </si>
  <si>
    <t>Especificidades Ítem N° 52</t>
  </si>
  <si>
    <r>
      <t xml:space="preserve">BROCHES P/EXPEDIENTE; TIPO: MARIPOSA, LONG.DE CUERPO: 25 mm. </t>
    </r>
    <r>
      <rPr>
        <b/>
        <sz val="20"/>
        <rFont val="Times New Roman"/>
        <family val="1"/>
      </rPr>
      <t xml:space="preserve">PRESENTACION: CAJA X 100 </t>
    </r>
  </si>
  <si>
    <t>Especificidades Ítem N° 53</t>
  </si>
  <si>
    <r>
      <t xml:space="preserve">BROCHES P/EXPEDIENTE; TIPO: MARIPOSA, LONG.DE CUERPO: 75 mm </t>
    </r>
    <r>
      <rPr>
        <b/>
        <sz val="20"/>
        <rFont val="Times New Roman"/>
        <family val="1"/>
      </rPr>
      <t xml:space="preserve">PRESENTACION: CAJA X 100 </t>
    </r>
  </si>
  <si>
    <r>
      <rPr>
        <sz val="10"/>
        <rFont val="Times New Roman"/>
        <family val="1"/>
      </rPr>
      <t>BOLIGRAFOS; TRAZO: GRUESO, COLOR</t>
    </r>
    <r>
      <rPr>
        <sz val="20"/>
        <rFont val="Times New Roman"/>
        <family val="1"/>
      </rPr>
      <t xml:space="preserve"> TINT</t>
    </r>
    <r>
      <rPr>
        <u/>
        <sz val="20"/>
        <rFont val="Times New Roman"/>
        <family val="1"/>
      </rPr>
      <t xml:space="preserve">A: </t>
    </r>
    <r>
      <rPr>
        <b/>
        <u/>
        <sz val="20"/>
        <rFont val="Times New Roman"/>
        <family val="1"/>
      </rPr>
      <t>ROJA</t>
    </r>
  </si>
  <si>
    <t>HILO DE ALGODON; PRESENTACION: OVILLO, USO: P/ATAR, NUMERO: 4 HEBRAS, LARGO: 800 M, TONALIDAD: BLANCO</t>
  </si>
  <si>
    <t>PAPELES EN HOJA; TIPO DE PAPEL: BLANCO, DIMENSION: OFICIO, GRAMAJE: 80 GR, PRESENTACION: ENVASE X 500 HOJAS, CERTIFICADO FORESTAL (GFS): SIN, PORC. FIBRAS RECICLADAS: 0 %, CERT. FIBRA ALTERNATIVA (FCA): SIN</t>
  </si>
  <si>
    <t>CARATULAS; TIPO: P/EXPEDIENTE, PRESENTACION: PAQUETE X 500 UN, MATERIAL: CARTULINA, DIMENSION: A4</t>
  </si>
  <si>
    <t>PAPELES EN HOJA; TIPO DE PAPEL: EXTRA BLANCO, DIMENSION: A4, GRAMAJE: 80 GR, PRESENTACION: RESMA X 500 HOJAS, CERTIFICADO FORESTAL (GFS): SIN, PORC. FIBRAS RECICLADAS: 0 %, CERT. FIBRA ALTERNATIVA (FCA): CON</t>
  </si>
  <si>
    <t>PAPELES ENCUADERNADOS; CANT. DE HOJAS: 80, TAMAÑO: 16 X 21 Cm, TIPO: CUADERNO, CERTIFICADO FORESTAL (GFS): SIN</t>
  </si>
  <si>
    <t>PAPELES ENCUADERNADOS; CANT. DE HOJAS: 84 HOJAS, TAMAÑO: 21 X 29,7 Cm, TIPO: RAYADO ESPIRALADO, CERTIFICADO FORESTAL (GFS): CON, PORC. FIBRAS RECICLADAS: 0 %, CERT. FIBRA ALTERNATIVA (FCA): SIN</t>
  </si>
  <si>
    <t>PAPELES ENCUADERNADOS; CANT. DE HOJAS: 100, TAMAÑO: A4, TIPO: CUADERNO ESPIRALADO TAPA DURA, CERTIFICADO FORESTAL (GFS): SIN, PORC. FIBRAS RECICLADAS: 0 %, CERT. FIBRA ALTERNATIVA (FCA): SIN</t>
  </si>
  <si>
    <t>SOBRES DE PAPEL; TIPO: MANILA, TAMAÑO: OFICIO, GRAMAJE: 80 GR, PRESENTACION: UNIDAD, CERTIFICADO FORESTAL (GFS): SIN, PORC. FIBRAS RECICLADAS: 0 %, CERT. FIBRA ALTERNATIVA (FCA): SIN</t>
  </si>
  <si>
    <t>SOBRES DE PAPEL; TIPO: MANILA, TAMAÑO: A4, GRAMAJE: 80 GR, PRESENTACION: UNIDAD, CERTIFICADO FORESTAL (GFS): SIN, PORC. FIBRAS RECICLADAS: 0 %, CERT. FIBRA ALTERNATIVA (FCA): SIN</t>
  </si>
  <si>
    <t>PAPELES ANOTADOR AUTOADHESIVOS; PRESENTACION: 400 HOJAS, LARGO X ANCHO: 9 X 9 Cm, DIMENSION: SIN VALOR, MATERIAL: SIN VALOR</t>
  </si>
  <si>
    <t>CINTAS ADHESIVAS; TIPO: EMBALAR, COLOR MARRON, ANCHO: 5 Cm, LARGO ROLLO: 50 M, MATERIAL: CELOFAN, ACCESORIO: SIN, LARGO: 50 M</t>
  </si>
  <si>
    <t>CINTAS ADHESIVAS; TIPO: ADHESIVA, ANCHO: 12 Cm, LARGO ROLLO: 50 M, MATERIAL: PLASTICO, ACCESORIO: SIN, LARGO: 50 M</t>
  </si>
  <si>
    <t>CINTAS ADHESIVAS; TIPO: EMBALAR, ANCHO: 48 mm, LARGO ROLLO: 50 M, MATERIAL: PLASTICO, ACCESORIO: SIN, LARGO: 50 M</t>
  </si>
  <si>
    <t>RESALTADORES; PUNTA: 3 PLANA mm, ACCESORIO: SIN, COLOR: VERDE, TIPO PUNTA: 3 PLANA mm</t>
  </si>
  <si>
    <t>RESALTADORES; PUNTA: 5 PLANA, ACCESORIO: SIN, COLOR: AZUL, TIPO PUNTA: 5 PLANA</t>
  </si>
  <si>
    <t>RESALTADORES; PUNTA: FINA, ACCESORIO: SIN, COLOR: AMARILLO, TIPO PUNTA: FINA</t>
  </si>
  <si>
    <t>RESALTADORES; PUNTA: FINA, ACCESORIO: SIN, COLOR: VERDE, TIPO PUNTA: FINA</t>
  </si>
  <si>
    <t>CARPETAS COLGANTES; MATERIAL: CARTULINA GRUESA, TAMAÑO: OFICIO, SUJECION: GANCHOS EN 4 PUNTAS, VISOR: PVC SECCION TRIANGULAR, PRESENTACION: CAJA DE 50 UNIDADES, TIPO: EXTERIOR, COLOR: MARRON</t>
  </si>
  <si>
    <t>TINTAS P/SELLOS; TIPO DE SELLO: DE GOMA, ENVASE: 60 CM3, COLOR: AZUL, PRESENTACION: ENVASE X 60 CM3</t>
  </si>
  <si>
    <t>TINTAS P/SELLOS; TIPO DE SELLO: DE GOMA, COLOR: NEGRO, PRESENTACION: ENVASE X 50 CM3, ENVASE: 50 CM3</t>
  </si>
  <si>
    <t>MARCADORES; TIPO: AL SOLVENTE, TRAZO: GRUESO, PUNTA: CHANFLEADA, COLOR: VERDE, RECARGABLE: NO</t>
  </si>
  <si>
    <t>MARCADORES; TIPO: AL SOLVENTE, TRAZO: FINO, PUNTA: REDONDA, COLOR: NEGRO, RECARGABLE: NO</t>
  </si>
  <si>
    <t>ABROCHADORAS DE PAPEL; MATERIAL: METALICA, TIPO: DE ESCRITORIO, MEDIDA: 23, P/BROCHES: 23</t>
  </si>
  <si>
    <t>ADHESIVOS P/PAPEL; PRESENTACION: 250 GR, TIPO: COLA VINILICA</t>
  </si>
  <si>
    <t>ADHESIVOS P/PAPEL; PRESENTACION: 30 CM3, TIPO: TRANSPARENTE</t>
  </si>
  <si>
    <t>BIBLIORATOS; COLOR: GRIS, ANCHO: 28 Cm, ANILLO: 2 Y PALANCA, TAMAÑO: OFICIO, TAPAS: CARTON, LOMO: CARTON, MATERIAL: CARTON</t>
  </si>
  <si>
    <t>BIBLIORATOS; ANCHO: 80 mm, ANILLO: 2 Y PALANCA, TAMAÑO: A4, MATERIAL: CARTON FORRADO EN PVC</t>
  </si>
  <si>
    <t>ALMOHADILLAS P/SELLOS; MEDIDA: 8 X 12 Cm, MATERIAL: PLASTICO</t>
  </si>
  <si>
    <t>BOLIGRAFOS; COLOR TINTA: AZUL, TRAZO: 0,7 mm</t>
  </si>
  <si>
    <t>BOLIGRAFOS; TRAZO: 0,1 mm, COLOR TINTA: AZUL</t>
  </si>
  <si>
    <t>BOLIGRAFOS; TRAZO: GRUESO, COLOR TINTA: NEGRO</t>
  </si>
  <si>
    <t>BOLIGRAFOS; TRAZO 1,0mm</t>
  </si>
  <si>
    <t>CORRECTORES DE ESCRITURA; CAPACIDAD: 7 mL, ENVASE: LAPIZ (PUNTA METAL), PRESENTACION: LAPIZ (PUNTA METAL) X 7 mL</t>
  </si>
  <si>
    <t>CLIPS P/PAPEL; CANT. X CAJA: 50, NUMERO: 6, MATERIAL: METAL, PRESENTACION: CAJA X 50</t>
  </si>
  <si>
    <t>REGLAS GRADUADAS; TIPO: PLANA, MATERIAL: PLASTICO, LONG.DE CUERPO: 30 Cm</t>
  </si>
  <si>
    <t>BROCHES P/ABROCHADORA; NUMERO: 21/6, PRESENTACION: CAJA X 1000 UNIDADES</t>
  </si>
  <si>
    <t>BROCHES P/ABROCHADORA; NUMERO: 10/50, PRESENTACION: CAJA X 1000 UNIDADES</t>
  </si>
  <si>
    <t>BROCHES P/ABROCHADORA; NUMERO: 23, PRESENTACION: CAJA X 1000</t>
  </si>
  <si>
    <t>PORTA SELLOS; CANT. DE SELLOS: 12, MATERIAL: METAL</t>
  </si>
  <si>
    <t>TIJERAS P/CORTAR PAPELES; CUCHILLA: PUNTIAGUDAS, MATERIAL: ACERO BRUÑIDO, MANGO: PLASTICO, LONG.DE CUERPO: 17 Cm</t>
  </si>
  <si>
    <t>CUTER; ANCHO HOJA: 12 mm, MATERIAL MANGO: METAL, TIPO HOJA: MOVIL SECCIONABLE, TIPO DE HOJA: MOVIL SECCIONABLE, ANCHO DE HOJA: 12 mm</t>
  </si>
  <si>
    <t>TALONARIOS NOTAS AUTOADHESIVAS; MEDIDA 76 X 76mm</t>
  </si>
  <si>
    <t>PORTA CINTA ADHESIVA; MATERIAL: PLASTICO, ROLLO: 50 M, MEDIDA: 50 M</t>
  </si>
  <si>
    <t>LAPIZ; TIPO: 2HB, COLOR: NEGRO</t>
  </si>
  <si>
    <t>LAPIZ; TIPO: CON GOMA, COLOR: NEGRO</t>
  </si>
  <si>
    <t>GOMAS DE BORRAR; USO: LAPIZ Y TINTA, CANT. X CAJA: 36, DIMENSION: 4 X 1 X 1 Cm, MATERIAL: PLASTICO, PRESENTACION: CAJA X 36</t>
  </si>
  <si>
    <t>CAJAS DE ARCHIVO; DIMENSION: 26.5 X 38 X 9 Cm, COLOR: AZUL, MATERIAL: PLASTICO</t>
  </si>
  <si>
    <t>BROCHES P/EXPEDIENTE; TIPO: MARIPOSA, LONG.DE CUERPO: 65 mm</t>
  </si>
  <si>
    <t>BROCHES P/EXPEDIENTE; TIPO: MARIPOSA, LONG.DE CUERPO: 25 mm</t>
  </si>
  <si>
    <t>BROCHES P/EXPEDIENTE; TIPO: MARIPOSA, LONG.DE CUERPO: 75 mm</t>
  </si>
  <si>
    <t>BROCHES A TORNILLO; MATERIAL: METALICO, LONG.DE CUERPO: 10 mm, PRESENTACION: EXTENSIBLE</t>
  </si>
  <si>
    <t>BROCHES A TORNILLO; MATERIAL: METALICO, LONG.DE CUERPO: 15 mm, PRESENTACION: CAJA X 100</t>
  </si>
  <si>
    <t>PERFORADORAS; DIST. ENTRE AGUJ.: FIJO, N° PERFORACIONES: 2, MATERIAL ESTRUCTURA: FUNDICION HIERRO BASE MADERA, GUIA POSICION PAPEL: CON, TAMAÑO: GRANDE, MATERIAL: FUNDICION HIERRO BASE MADERA</t>
  </si>
  <si>
    <t>MAQUINAS SACABROCHES; EXTRACTOR: ACERO INOXIDABLE, MATERIAL: PLASTICO</t>
  </si>
  <si>
    <t>ARANDELAS DE CARTON; DIAMETRO: 1 pulg, PRESENTACION: CAJA X 500 UNIDADES</t>
  </si>
  <si>
    <t>PINCHES P/PAPELES; ALTURA 125mm - BASE METAL</t>
  </si>
  <si>
    <t>SISTEMA COMPR.AR</t>
  </si>
  <si>
    <r>
      <rPr>
        <b/>
        <sz val="10"/>
        <rFont val="Times New Roman"/>
        <family val="1"/>
      </rPr>
      <t>TINTAS P/SELLOS</t>
    </r>
    <r>
      <rPr>
        <sz val="10"/>
        <rFont val="Times New Roman"/>
        <family val="1"/>
      </rPr>
      <t>; TIPO DE SELLO: DE GOMA, COLOR: NEGRO, PRESENTACION: ENVASE X 50 CM3, ENVASE: 50 CM3</t>
    </r>
  </si>
  <si>
    <r>
      <rPr>
        <b/>
        <sz val="10"/>
        <rFont val="Times New Roman"/>
        <family val="1"/>
      </rPr>
      <t>MARCADORES</t>
    </r>
    <r>
      <rPr>
        <sz val="10"/>
        <rFont val="Times New Roman"/>
        <family val="1"/>
      </rPr>
      <t>; TIPO: AL SOLVENTE, TRAZO: GRUESO, PUNTA: CHANFLEADA, COLOR: VERDE, RECARGABLE: NO</t>
    </r>
  </si>
  <si>
    <r>
      <rPr>
        <b/>
        <sz val="10"/>
        <rFont val="Times New Roman"/>
        <family val="1"/>
      </rPr>
      <t>CLIPS P/PAPEL</t>
    </r>
    <r>
      <rPr>
        <sz val="10"/>
        <rFont val="Times New Roman"/>
        <family val="1"/>
      </rPr>
      <t>; CANT. X CAJA: 50, NUMERO: 6, MATERIAL: METAL, PRESENTACION: CAJA X 50</t>
    </r>
  </si>
  <si>
    <r>
      <rPr>
        <b/>
        <sz val="10"/>
        <rFont val="Times New Roman"/>
        <family val="1"/>
      </rPr>
      <t>ARANDELAS DE CARTON;</t>
    </r>
    <r>
      <rPr>
        <sz val="10"/>
        <rFont val="Times New Roman"/>
        <family val="1"/>
      </rPr>
      <t xml:space="preserve"> DIAMETRO: 1 pulg, PRESENTACION: </t>
    </r>
    <r>
      <rPr>
        <b/>
        <sz val="10"/>
        <rFont val="Times New Roman"/>
        <family val="1"/>
      </rPr>
      <t>CAJA X 500 UNIDADES</t>
    </r>
  </si>
  <si>
    <t>PAPELES ENCUADERNADOS; CANT. DE HOJAS: 80, TAMAÑO: 16 X 21 Cm, TIPO: CUADERNO, CERTIFICADO FORESTAL (GFS): SIN; ESPIRALADO CON TAPA DURA. FORMATO: RAYADO</t>
  </si>
  <si>
    <t>PAPELES ENCUADERNADOS; CANT. DE HOJAS: 100, TAMAÑO: A4, TIPO: CUADERNO ESPIRALADO TAPA DURA, CERTIFICADO FORESTAL (GFS): SIN, PORC. FIBRAS RECICLADAS: 0 %, CERT. FIBRA ALTERNATIVA (FCA): SIN. RAYADO.</t>
  </si>
  <si>
    <t>CARPETAS COLGANTES; MATERIAL: CARTULINA GRUESA, TAMAÑO: OFICIO, SUJECION: GANCHOS EN 4 PUNTAS, VISOR: PVC SECCION TRIANGULAR, PRESENTACION: CAJA DE 50 UNIDADES CADA UNA, TIPO: EXTERIOR, COLOR: MARRON</t>
  </si>
  <si>
    <t>CARPETAS; COLOR: NEGRO, TIPO: TAPA TRANSPARENTE, PRESENTACION: PAQUETE DE 10 UNIDADES CADA UNO, SUJECION BROCHE TIPO NEPACO, MATERIAL: PVC, TAMAÑO: OFICIO. CANTIDAD SOLICITADA: TRECE (13) PAQUETES DE 10 UNIDADES, EN TOTAL 130 UNIDADES.</t>
  </si>
  <si>
    <t xml:space="preserve">CARPETAS; COLOR: NEGRO, TIPO: TAPA TRANSPARENTE, PRESENTACION: PAQUETE DE 10 UNIDADES CADA UNO, SUJECION BROCHE TIPO NEPACO, MATERIAL: PVC, TAMAÑO: OFICIO. CANTIDAD SOLICITADA: TRECE (13) PAQUETES DE 10 UNIDADES, EN TOTAL 130 </t>
  </si>
  <si>
    <t>BIBLIORATOS; ANCHO: 80 mm, ANILLO: 2 Y PALANCA, TAMAÑO: A4, MATERIAL: CARTON FORRADO EN PVC. COLOR: GRIS.</t>
  </si>
  <si>
    <t>BOLIGRAFOS; TRAZO: GRUESO, COLOR TINTA: ROJA</t>
  </si>
  <si>
    <t>BOLIGRAFOS; TRAZO: GRUESO, COLOR TINTA: VERDE</t>
  </si>
  <si>
    <t>BROCHES P/EXPEDIENTE; TIPO: MARIPOSA, LONG.DE CUERPO: 65 mm. PRESENTACION: CAJA X 100 UNIDADES</t>
  </si>
  <si>
    <t xml:space="preserve">BROCHES P/EXPEDIENTE; TIPO: MARIPOSA, LONG.DE CUERPO: 25 mm. PRESENTACION: CAJA X 100 </t>
  </si>
  <si>
    <t xml:space="preserve">BROCHES P/EXPEDIENTE; TIPO: MARIPOSA, LONG.DE CUERPO: 75 mm PRESENTACION: CAJA X 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</si>
</sst>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  <numFmt numFmtId="168" formatCode="_ [$$-2C0A]\ * #,##0.00_ ;_ [$$-2C0A]\ * \-#,##0.00_ ;_ [$$-2C0A]\ * &quot;-&quot;??_ ;_ @_ "/>
    <numFmt numFmtId="169" formatCode="_-[$$-2C0A]\ * #,##0.00_-;\-[$$-2C0A]\ * #,##0.00_-;_-[$$-2C0A]\ * &quot;-&quot;??_-;_-@_-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0"/>
      <name val="Arial"/>
      <family val="2"/>
    </font>
    <font>
      <b/>
      <u/>
      <sz val="24"/>
      <name val="Times New Roman"/>
      <family val="1"/>
    </font>
    <font>
      <sz val="20"/>
      <name val="Times New Roman"/>
      <family val="1"/>
    </font>
    <font>
      <b/>
      <u/>
      <sz val="20"/>
      <name val="Times New Roman"/>
      <family val="1"/>
    </font>
    <font>
      <b/>
      <sz val="20"/>
      <name val="Times New Roman"/>
      <family val="1"/>
    </font>
    <font>
      <u/>
      <sz val="20"/>
      <name val="Times New Roman"/>
      <family val="1"/>
    </font>
    <font>
      <b/>
      <i/>
      <u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3D3D3D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172">
    <xf numFmtId="0" fontId="0" fillId="0" borderId="0" xfId="0"/>
    <xf numFmtId="0" fontId="5" fillId="0" borderId="0" xfId="0" applyFont="1"/>
    <xf numFmtId="0" fontId="5" fillId="0" borderId="0" xfId="0" applyFont="1" applyBorder="1"/>
    <xf numFmtId="3" fontId="10" fillId="0" borderId="0" xfId="0" applyNumberFormat="1" applyFont="1" applyBorder="1" applyAlignment="1"/>
    <xf numFmtId="167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/>
    <xf numFmtId="0" fontId="13" fillId="0" borderId="6" xfId="0" applyFont="1" applyBorder="1"/>
    <xf numFmtId="0" fontId="13" fillId="0" borderId="0" xfId="0" applyFont="1" applyAlignment="1"/>
    <xf numFmtId="0" fontId="15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13" fillId="0" borderId="0" xfId="0" applyFont="1" applyFill="1" applyBorder="1"/>
    <xf numFmtId="0" fontId="13" fillId="0" borderId="6" xfId="0" applyFont="1" applyFill="1" applyBorder="1" applyAlignment="1">
      <alignment horizontal="left"/>
    </xf>
    <xf numFmtId="0" fontId="13" fillId="0" borderId="7" xfId="0" applyFont="1" applyBorder="1"/>
    <xf numFmtId="0" fontId="13" fillId="0" borderId="8" xfId="0" applyFont="1" applyBorder="1"/>
    <xf numFmtId="0" fontId="13" fillId="0" borderId="9" xfId="0" applyFont="1" applyBorder="1"/>
    <xf numFmtId="0" fontId="4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left" indent="3"/>
    </xf>
    <xf numFmtId="0" fontId="4" fillId="0" borderId="5" xfId="0" applyFont="1" applyBorder="1" applyAlignment="1"/>
    <xf numFmtId="0" fontId="14" fillId="0" borderId="5" xfId="0" applyFont="1" applyBorder="1" applyAlignment="1">
      <alignment horizontal="left" indent="3"/>
    </xf>
    <xf numFmtId="0" fontId="13" fillId="0" borderId="7" xfId="0" applyFont="1" applyBorder="1" applyAlignment="1">
      <alignment horizontal="left" indent="3"/>
    </xf>
    <xf numFmtId="0" fontId="13" fillId="0" borderId="0" xfId="0" applyFont="1" applyFill="1"/>
    <xf numFmtId="0" fontId="13" fillId="0" borderId="0" xfId="0" applyFont="1" applyBorder="1" applyAlignment="1">
      <alignment vertical="center" wrapText="1"/>
    </xf>
    <xf numFmtId="0" fontId="13" fillId="0" borderId="0" xfId="0" applyFont="1" applyAlignment="1">
      <alignment horizontal="center" wrapText="1"/>
    </xf>
    <xf numFmtId="168" fontId="3" fillId="0" borderId="0" xfId="1" applyNumberFormat="1" applyAlignment="1">
      <alignment horizontal="center" vertical="center"/>
    </xf>
    <xf numFmtId="168" fontId="13" fillId="0" borderId="0" xfId="0" applyNumberFormat="1" applyFont="1"/>
    <xf numFmtId="0" fontId="14" fillId="0" borderId="2" xfId="0" applyFont="1" applyBorder="1" applyAlignment="1"/>
    <xf numFmtId="0" fontId="13" fillId="0" borderId="5" xfId="0" applyFont="1" applyBorder="1" applyAlignment="1"/>
    <xf numFmtId="0" fontId="13" fillId="0" borderId="0" xfId="0" applyFont="1" applyBorder="1" applyAlignment="1">
      <alignment horizontal="center" wrapText="1"/>
    </xf>
    <xf numFmtId="0" fontId="14" fillId="0" borderId="5" xfId="0" applyFont="1" applyBorder="1" applyAlignment="1"/>
    <xf numFmtId="0" fontId="13" fillId="0" borderId="7" xfId="0" applyFont="1" applyBorder="1" applyAlignment="1"/>
    <xf numFmtId="0" fontId="13" fillId="0" borderId="8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166" fontId="5" fillId="0" borderId="0" xfId="0" applyNumberFormat="1" applyFont="1"/>
    <xf numFmtId="165" fontId="5" fillId="0" borderId="0" xfId="0" applyNumberFormat="1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 wrapText="1"/>
    </xf>
    <xf numFmtId="0" fontId="12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wrapText="1"/>
    </xf>
    <xf numFmtId="0" fontId="12" fillId="0" borderId="35" xfId="0" applyFont="1" applyBorder="1" applyAlignment="1">
      <alignment horizontal="center" vertical="center" wrapText="1"/>
    </xf>
    <xf numFmtId="168" fontId="22" fillId="0" borderId="35" xfId="1" applyNumberFormat="1" applyFont="1" applyBorder="1" applyAlignment="1">
      <alignment horizontal="center" vertical="center" wrapText="1"/>
    </xf>
    <xf numFmtId="168" fontId="12" fillId="0" borderId="36" xfId="0" applyNumberFormat="1" applyFont="1" applyBorder="1" applyAlignment="1">
      <alignment horizontal="center" vertical="center" wrapText="1"/>
    </xf>
    <xf numFmtId="0" fontId="14" fillId="0" borderId="7" xfId="0" applyFont="1" applyBorder="1" applyAlignment="1"/>
    <xf numFmtId="169" fontId="3" fillId="0" borderId="0" xfId="1" applyNumberFormat="1"/>
    <xf numFmtId="0" fontId="5" fillId="0" borderId="16" xfId="0" applyFont="1" applyBorder="1"/>
    <xf numFmtId="0" fontId="5" fillId="0" borderId="0" xfId="0" applyFont="1" applyBorder="1" applyAlignment="1">
      <alignment horizontal="left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69" fontId="3" fillId="0" borderId="10" xfId="1" applyNumberFormat="1" applyBorder="1"/>
    <xf numFmtId="0" fontId="14" fillId="0" borderId="0" xfId="0" applyFont="1" applyBorder="1" applyAlignment="1"/>
    <xf numFmtId="0" fontId="13" fillId="0" borderId="0" xfId="0" applyFont="1" applyBorder="1" applyAlignment="1"/>
    <xf numFmtId="0" fontId="13" fillId="0" borderId="0" xfId="0" applyFont="1" applyBorder="1" applyAlignment="1">
      <alignment horizontal="center"/>
    </xf>
    <xf numFmtId="168" fontId="3" fillId="0" borderId="0" xfId="1" applyNumberFormat="1" applyBorder="1" applyAlignment="1">
      <alignment horizontal="center" vertical="center"/>
    </xf>
    <xf numFmtId="168" fontId="13" fillId="0" borderId="0" xfId="0" applyNumberFormat="1" applyFont="1" applyBorder="1"/>
    <xf numFmtId="0" fontId="13" fillId="0" borderId="0" xfId="0" applyFont="1" applyBorder="1" applyAlignment="1">
      <alignment horizontal="center" vertical="center"/>
    </xf>
    <xf numFmtId="169" fontId="5" fillId="0" borderId="0" xfId="0" applyNumberFormat="1" applyFont="1"/>
    <xf numFmtId="169" fontId="8" fillId="0" borderId="0" xfId="0" applyNumberFormat="1" applyFont="1"/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169" fontId="13" fillId="0" borderId="0" xfId="0" applyNumberFormat="1" applyFont="1"/>
    <xf numFmtId="0" fontId="5" fillId="3" borderId="22" xfId="0" applyFont="1" applyFill="1" applyBorder="1" applyAlignment="1">
      <alignment horizontal="center" vertical="center"/>
    </xf>
    <xf numFmtId="169" fontId="3" fillId="3" borderId="22" xfId="1" applyNumberFormat="1" applyFill="1" applyBorder="1" applyProtection="1"/>
    <xf numFmtId="0" fontId="5" fillId="3" borderId="25" xfId="0" applyFont="1" applyFill="1" applyBorder="1" applyAlignment="1">
      <alignment horizontal="center" vertical="center"/>
    </xf>
    <xf numFmtId="169" fontId="3" fillId="3" borderId="25" xfId="1" applyNumberFormat="1" applyFill="1" applyBorder="1"/>
    <xf numFmtId="0" fontId="5" fillId="3" borderId="24" xfId="0" applyFont="1" applyFill="1" applyBorder="1" applyAlignment="1">
      <alignment horizontal="center" vertical="center"/>
    </xf>
    <xf numFmtId="169" fontId="3" fillId="3" borderId="26" xfId="1" applyNumberFormat="1" applyFill="1" applyBorder="1" applyProtection="1"/>
    <xf numFmtId="169" fontId="22" fillId="3" borderId="12" xfId="1" applyNumberFormat="1" applyFont="1" applyFill="1" applyBorder="1"/>
    <xf numFmtId="0" fontId="13" fillId="3" borderId="2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vertical="center"/>
    </xf>
    <xf numFmtId="0" fontId="13" fillId="3" borderId="25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vertical="center" wrapText="1"/>
    </xf>
    <xf numFmtId="0" fontId="13" fillId="3" borderId="25" xfId="0" applyFont="1" applyFill="1" applyBorder="1" applyAlignment="1">
      <alignment horizontal="center" vertical="center"/>
    </xf>
    <xf numFmtId="168" fontId="3" fillId="3" borderId="25" xfId="1" applyNumberFormat="1" applyFill="1" applyBorder="1" applyAlignment="1">
      <alignment horizontal="center" vertical="center"/>
    </xf>
    <xf numFmtId="168" fontId="13" fillId="3" borderId="38" xfId="1" applyNumberFormat="1" applyFont="1" applyFill="1" applyBorder="1" applyAlignment="1" applyProtection="1">
      <alignment horizontal="right" vertical="center" wrapText="1"/>
    </xf>
    <xf numFmtId="3" fontId="13" fillId="3" borderId="25" xfId="0" applyNumberFormat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 wrapText="1"/>
    </xf>
    <xf numFmtId="168" fontId="13" fillId="3" borderId="25" xfId="1" applyNumberFormat="1" applyFont="1" applyFill="1" applyBorder="1" applyAlignment="1">
      <alignment horizontal="center" vertical="center"/>
    </xf>
    <xf numFmtId="49" fontId="13" fillId="3" borderId="25" xfId="0" applyNumberFormat="1" applyFont="1" applyFill="1" applyBorder="1" applyAlignment="1">
      <alignment horizontal="center" vertical="center"/>
    </xf>
    <xf numFmtId="49" fontId="13" fillId="3" borderId="25" xfId="0" applyNumberFormat="1" applyFont="1" applyFill="1" applyBorder="1" applyAlignment="1">
      <alignment horizontal="left" vertical="center" wrapText="1"/>
    </xf>
    <xf numFmtId="169" fontId="13" fillId="3" borderId="0" xfId="0" applyNumberFormat="1" applyFont="1" applyFill="1" applyAlignment="1">
      <alignment horizontal="left" vertical="center" wrapText="1"/>
    </xf>
    <xf numFmtId="169" fontId="13" fillId="3" borderId="0" xfId="0" applyNumberFormat="1" applyFont="1" applyFill="1" applyAlignment="1">
      <alignment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/>
    </xf>
    <xf numFmtId="0" fontId="13" fillId="0" borderId="6" xfId="0" applyFont="1" applyFill="1" applyBorder="1" applyAlignment="1">
      <alignment horizontal="left" wrapText="1"/>
    </xf>
    <xf numFmtId="0" fontId="13" fillId="0" borderId="6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 vertical="center" wrapText="1"/>
    </xf>
    <xf numFmtId="0" fontId="16" fillId="0" borderId="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wrapText="1"/>
    </xf>
    <xf numFmtId="0" fontId="13" fillId="0" borderId="9" xfId="0" applyFont="1" applyFill="1" applyBorder="1" applyAlignment="1">
      <alignment horizontal="left" wrapText="1"/>
    </xf>
    <xf numFmtId="0" fontId="20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wrapText="1" indent="1"/>
    </xf>
    <xf numFmtId="0" fontId="5" fillId="3" borderId="25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169" fontId="3" fillId="0" borderId="33" xfId="1" applyNumberFormat="1" applyBorder="1"/>
    <xf numFmtId="169" fontId="3" fillId="0" borderId="48" xfId="1" applyNumberFormat="1" applyBorder="1"/>
    <xf numFmtId="0" fontId="5" fillId="3" borderId="22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indent="1"/>
    </xf>
    <xf numFmtId="0" fontId="9" fillId="0" borderId="20" xfId="0" applyFont="1" applyBorder="1" applyAlignment="1">
      <alignment horizontal="left" indent="1"/>
    </xf>
    <xf numFmtId="0" fontId="9" fillId="0" borderId="21" xfId="0" applyFont="1" applyBorder="1" applyAlignment="1">
      <alignment horizontal="left" indent="1"/>
    </xf>
    <xf numFmtId="0" fontId="10" fillId="3" borderId="14" xfId="0" applyFont="1" applyFill="1" applyBorder="1" applyAlignment="1">
      <alignment horizontal="left" vertical="center" wrapText="1"/>
    </xf>
    <xf numFmtId="0" fontId="10" fillId="3" borderId="2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3" fontId="10" fillId="0" borderId="15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20" xfId="0" applyFont="1" applyBorder="1"/>
    <xf numFmtId="0" fontId="5" fillId="0" borderId="21" xfId="0" applyFont="1" applyBorder="1"/>
    <xf numFmtId="0" fontId="9" fillId="0" borderId="13" xfId="0" applyFont="1" applyBorder="1"/>
    <xf numFmtId="0" fontId="9" fillId="0" borderId="27" xfId="0" applyFont="1" applyBorder="1"/>
    <xf numFmtId="0" fontId="9" fillId="3" borderId="16" xfId="0" applyFont="1" applyFill="1" applyBorder="1" applyAlignment="1">
      <alignment horizontal="left" vertical="center" wrapText="1" indent="1"/>
    </xf>
    <xf numFmtId="0" fontId="9" fillId="3" borderId="0" xfId="0" applyFont="1" applyFill="1" applyBorder="1" applyAlignment="1">
      <alignment horizontal="left" vertical="center" wrapText="1" indent="1"/>
    </xf>
    <xf numFmtId="0" fontId="9" fillId="3" borderId="10" xfId="0" applyFont="1" applyFill="1" applyBorder="1" applyAlignment="1">
      <alignment horizontal="left" vertical="center" wrapText="1" inden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3" fillId="3" borderId="37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vertical="center"/>
    </xf>
    <xf numFmtId="0" fontId="13" fillId="3" borderId="22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vertical="center" wrapText="1"/>
    </xf>
    <xf numFmtId="3" fontId="18" fillId="3" borderId="22" xfId="0" applyNumberFormat="1" applyFont="1" applyFill="1" applyBorder="1" applyAlignment="1">
      <alignment horizontal="center" vertical="center"/>
    </xf>
    <xf numFmtId="168" fontId="3" fillId="3" borderId="22" xfId="1" applyNumberForma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0" fontId="13" fillId="3" borderId="41" xfId="0" applyFont="1" applyFill="1" applyBorder="1" applyAlignment="1">
      <alignment horizontal="left" vertical="center"/>
    </xf>
    <xf numFmtId="168" fontId="19" fillId="3" borderId="15" xfId="0" applyNumberFormat="1" applyFont="1" applyFill="1" applyBorder="1"/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50"/>
  <sheetViews>
    <sheetView tabSelected="1" topLeftCell="A58" zoomScale="75" zoomScaleNormal="75" workbookViewId="0">
      <selection activeCell="J16" activeCellId="1" sqref="J14 J16"/>
    </sheetView>
  </sheetViews>
  <sheetFormatPr baseColWidth="10" defaultColWidth="11" defaultRowHeight="12.75" x14ac:dyDescent="0.2"/>
  <cols>
    <col min="1" max="1" width="4.5703125" style="6" customWidth="1"/>
    <col min="2" max="2" width="14.7109375" style="6" customWidth="1"/>
    <col min="3" max="3" width="32.5703125" style="32" customWidth="1"/>
    <col min="4" max="4" width="8.85546875" style="6" customWidth="1"/>
    <col min="5" max="5" width="79" style="6" customWidth="1"/>
    <col min="6" max="6" width="9.85546875" style="7" customWidth="1"/>
    <col min="7" max="7" width="12.7109375" style="7" customWidth="1"/>
    <col min="8" max="8" width="13.85546875" style="33" customWidth="1"/>
    <col min="9" max="9" width="17.42578125" style="34" customWidth="1"/>
    <col min="10" max="10" width="108.140625" style="6" bestFit="1" customWidth="1"/>
    <col min="11" max="11" width="11" style="6"/>
    <col min="12" max="12" width="81.140625" style="6" bestFit="1" customWidth="1"/>
    <col min="13" max="13" width="13.140625" style="6" bestFit="1" customWidth="1"/>
    <col min="14" max="16384" width="11" style="6"/>
  </cols>
  <sheetData>
    <row r="2" spans="1:13" ht="27" x14ac:dyDescent="0.35">
      <c r="B2" s="114" t="s">
        <v>0</v>
      </c>
      <c r="C2" s="114"/>
      <c r="D2" s="114"/>
      <c r="E2" s="114"/>
      <c r="F2" s="114"/>
      <c r="G2" s="114"/>
      <c r="H2" s="114"/>
    </row>
    <row r="4" spans="1:13" ht="18" customHeight="1" x14ac:dyDescent="0.25">
      <c r="A4" s="111" t="s">
        <v>1</v>
      </c>
      <c r="B4" s="111"/>
      <c r="C4" s="115" t="s">
        <v>42</v>
      </c>
      <c r="D4" s="115"/>
      <c r="E4" s="115"/>
      <c r="F4" s="46"/>
      <c r="G4" s="46"/>
    </row>
    <row r="5" spans="1:13" ht="18" customHeight="1" x14ac:dyDescent="0.25">
      <c r="A5" s="111" t="s">
        <v>2</v>
      </c>
      <c r="B5" s="111"/>
      <c r="C5" s="115" t="s">
        <v>177</v>
      </c>
      <c r="D5" s="115"/>
      <c r="E5" s="115"/>
      <c r="F5" s="46"/>
      <c r="G5" s="46"/>
    </row>
    <row r="6" spans="1:13" ht="16.5" customHeight="1" x14ac:dyDescent="0.25">
      <c r="A6" s="111" t="s">
        <v>3</v>
      </c>
      <c r="B6" s="111"/>
      <c r="C6" s="47">
        <v>2021</v>
      </c>
      <c r="D6" s="48"/>
      <c r="E6" s="48"/>
      <c r="F6" s="46"/>
      <c r="G6" s="46"/>
    </row>
    <row r="7" spans="1:13" ht="16.5" customHeight="1" x14ac:dyDescent="0.25">
      <c r="A7" s="111" t="s">
        <v>4</v>
      </c>
      <c r="B7" s="111"/>
      <c r="C7" s="47">
        <v>4</v>
      </c>
      <c r="D7" s="48"/>
      <c r="E7" s="48"/>
      <c r="F7" s="46"/>
      <c r="G7" s="46"/>
    </row>
    <row r="8" spans="1:13" ht="13.5" thickBot="1" x14ac:dyDescent="0.25">
      <c r="B8" s="45"/>
      <c r="C8" s="46"/>
      <c r="D8" s="45"/>
      <c r="E8" s="45"/>
      <c r="F8" s="46"/>
      <c r="G8" s="46"/>
    </row>
    <row r="9" spans="1:13" ht="40.5" customHeight="1" thickBot="1" x14ac:dyDescent="0.25">
      <c r="A9" s="49" t="s">
        <v>5</v>
      </c>
      <c r="B9" s="50" t="s">
        <v>6</v>
      </c>
      <c r="C9" s="51" t="s">
        <v>7</v>
      </c>
      <c r="D9" s="51" t="s">
        <v>8</v>
      </c>
      <c r="E9" s="51" t="s">
        <v>9</v>
      </c>
      <c r="F9" s="51" t="s">
        <v>10</v>
      </c>
      <c r="G9" s="51" t="s">
        <v>11</v>
      </c>
      <c r="H9" s="52" t="s">
        <v>12</v>
      </c>
      <c r="I9" s="53" t="s">
        <v>13</v>
      </c>
      <c r="L9" s="76" t="s">
        <v>255</v>
      </c>
    </row>
    <row r="10" spans="1:13" ht="40.5" customHeight="1" x14ac:dyDescent="0.2">
      <c r="A10" s="161">
        <v>1</v>
      </c>
      <c r="B10" s="162" t="s">
        <v>46</v>
      </c>
      <c r="C10" s="163" t="s">
        <v>47</v>
      </c>
      <c r="D10" s="164" t="str">
        <f>+LEFT(B10,5)</f>
        <v>2.2.1</v>
      </c>
      <c r="E10" s="165" t="s">
        <v>48</v>
      </c>
      <c r="F10" s="164" t="s">
        <v>44</v>
      </c>
      <c r="G10" s="166">
        <v>10</v>
      </c>
      <c r="H10" s="167">
        <v>903</v>
      </c>
      <c r="I10" s="92">
        <f>+H10*G10</f>
        <v>9030</v>
      </c>
      <c r="J10" s="77"/>
      <c r="L10" s="72" t="s">
        <v>199</v>
      </c>
      <c r="M10" s="8" t="b">
        <f>E10=L10</f>
        <v>1</v>
      </c>
    </row>
    <row r="11" spans="1:13" ht="49.5" customHeight="1" x14ac:dyDescent="0.2">
      <c r="A11" s="85">
        <v>2</v>
      </c>
      <c r="B11" s="86" t="s">
        <v>49</v>
      </c>
      <c r="C11" s="87" t="s">
        <v>50</v>
      </c>
      <c r="D11" s="87" t="str">
        <f t="shared" ref="D11:D67" si="0">+LEFT(B11,5)</f>
        <v>2.3.1</v>
      </c>
      <c r="E11" s="89" t="s">
        <v>51</v>
      </c>
      <c r="F11" s="87" t="s">
        <v>44</v>
      </c>
      <c r="G11" s="93">
        <v>100</v>
      </c>
      <c r="H11" s="91">
        <v>994.78</v>
      </c>
      <c r="I11" s="92">
        <f t="shared" ref="I11:I68" si="1">+H11*G11</f>
        <v>99478</v>
      </c>
      <c r="J11" s="77"/>
      <c r="L11" s="72" t="s">
        <v>200</v>
      </c>
      <c r="M11" s="8" t="b">
        <f t="shared" ref="M11:M68" si="2">E11=L11</f>
        <v>1</v>
      </c>
    </row>
    <row r="12" spans="1:13" ht="49.5" customHeight="1" x14ac:dyDescent="0.2">
      <c r="A12" s="85">
        <v>3</v>
      </c>
      <c r="B12" s="86" t="s">
        <v>148</v>
      </c>
      <c r="C12" s="87" t="s">
        <v>50</v>
      </c>
      <c r="D12" s="88" t="str">
        <f>+LEFT(B12,5)</f>
        <v>2.9.2</v>
      </c>
      <c r="E12" s="89" t="s">
        <v>179</v>
      </c>
      <c r="F12" s="88" t="s">
        <v>160</v>
      </c>
      <c r="G12" s="90">
        <v>1</v>
      </c>
      <c r="H12" s="91">
        <v>1960</v>
      </c>
      <c r="I12" s="92">
        <f t="shared" si="1"/>
        <v>1960</v>
      </c>
      <c r="J12" s="99" t="s">
        <v>201</v>
      </c>
      <c r="L12" s="73" t="s">
        <v>201</v>
      </c>
      <c r="M12" s="8" t="b">
        <f t="shared" si="2"/>
        <v>1</v>
      </c>
    </row>
    <row r="13" spans="1:13" ht="43.5" customHeight="1" x14ac:dyDescent="0.2">
      <c r="A13" s="85">
        <v>4</v>
      </c>
      <c r="B13" s="86" t="s">
        <v>52</v>
      </c>
      <c r="C13" s="87" t="s">
        <v>50</v>
      </c>
      <c r="D13" s="87" t="str">
        <f t="shared" si="0"/>
        <v>2.3.1</v>
      </c>
      <c r="E13" s="89" t="s">
        <v>53</v>
      </c>
      <c r="F13" s="87" t="s">
        <v>44</v>
      </c>
      <c r="G13" s="93">
        <v>150</v>
      </c>
      <c r="H13" s="91">
        <v>650</v>
      </c>
      <c r="I13" s="92">
        <f t="shared" si="1"/>
        <v>97500</v>
      </c>
      <c r="J13" s="77"/>
      <c r="L13" s="72" t="s">
        <v>202</v>
      </c>
      <c r="M13" s="8" t="b">
        <f t="shared" si="2"/>
        <v>1</v>
      </c>
    </row>
    <row r="14" spans="1:13" ht="49.5" customHeight="1" x14ac:dyDescent="0.2">
      <c r="A14" s="85">
        <v>5</v>
      </c>
      <c r="B14" s="86" t="s">
        <v>149</v>
      </c>
      <c r="C14" s="87" t="s">
        <v>50</v>
      </c>
      <c r="D14" s="87" t="str">
        <f t="shared" si="0"/>
        <v>2.3.1</v>
      </c>
      <c r="E14" s="89" t="s">
        <v>150</v>
      </c>
      <c r="F14" s="88" t="s">
        <v>44</v>
      </c>
      <c r="G14" s="90">
        <v>40</v>
      </c>
      <c r="H14" s="91">
        <v>562.79999999999995</v>
      </c>
      <c r="I14" s="92">
        <f t="shared" si="1"/>
        <v>22512</v>
      </c>
      <c r="J14" s="99" t="s">
        <v>260</v>
      </c>
      <c r="L14" s="72" t="s">
        <v>203</v>
      </c>
      <c r="M14" s="8" t="b">
        <f t="shared" si="2"/>
        <v>1</v>
      </c>
    </row>
    <row r="15" spans="1:13" ht="49.5" customHeight="1" x14ac:dyDescent="0.2">
      <c r="A15" s="85">
        <v>6</v>
      </c>
      <c r="B15" s="86" t="s">
        <v>54</v>
      </c>
      <c r="C15" s="87" t="s">
        <v>50</v>
      </c>
      <c r="D15" s="88" t="str">
        <f t="shared" si="0"/>
        <v>2.3.1</v>
      </c>
      <c r="E15" s="89" t="s">
        <v>55</v>
      </c>
      <c r="F15" s="88" t="s">
        <v>44</v>
      </c>
      <c r="G15" s="90">
        <v>30</v>
      </c>
      <c r="H15" s="91">
        <v>290.29000000000002</v>
      </c>
      <c r="I15" s="92">
        <f t="shared" si="1"/>
        <v>8708.7000000000007</v>
      </c>
      <c r="J15" s="77"/>
      <c r="L15" s="72" t="s">
        <v>204</v>
      </c>
      <c r="M15" s="8" t="b">
        <f t="shared" si="2"/>
        <v>1</v>
      </c>
    </row>
    <row r="16" spans="1:13" ht="49.5" customHeight="1" x14ac:dyDescent="0.2">
      <c r="A16" s="85">
        <v>7</v>
      </c>
      <c r="B16" s="86" t="s">
        <v>56</v>
      </c>
      <c r="C16" s="87" t="s">
        <v>50</v>
      </c>
      <c r="D16" s="88" t="str">
        <f t="shared" si="0"/>
        <v>2.3.1</v>
      </c>
      <c r="E16" s="89" t="s">
        <v>57</v>
      </c>
      <c r="F16" s="88" t="s">
        <v>44</v>
      </c>
      <c r="G16" s="90">
        <v>30</v>
      </c>
      <c r="H16" s="91">
        <v>785.29</v>
      </c>
      <c r="I16" s="92">
        <f t="shared" si="1"/>
        <v>23558.699999999997</v>
      </c>
      <c r="J16" s="99" t="s">
        <v>261</v>
      </c>
      <c r="L16" s="72" t="s">
        <v>205</v>
      </c>
      <c r="M16" s="8" t="b">
        <f t="shared" si="2"/>
        <v>1</v>
      </c>
    </row>
    <row r="17" spans="1:13" ht="49.5" customHeight="1" x14ac:dyDescent="0.2">
      <c r="A17" s="85">
        <v>8</v>
      </c>
      <c r="B17" s="86" t="s">
        <v>58</v>
      </c>
      <c r="C17" s="87" t="s">
        <v>50</v>
      </c>
      <c r="D17" s="88" t="str">
        <f t="shared" si="0"/>
        <v>2.3.1</v>
      </c>
      <c r="E17" s="89" t="s">
        <v>59</v>
      </c>
      <c r="F17" s="88" t="s">
        <v>44</v>
      </c>
      <c r="G17" s="90">
        <v>200</v>
      </c>
      <c r="H17" s="91">
        <v>8.0500000000000007</v>
      </c>
      <c r="I17" s="92">
        <f t="shared" si="1"/>
        <v>1610.0000000000002</v>
      </c>
      <c r="J17" s="77"/>
      <c r="L17" s="72" t="s">
        <v>206</v>
      </c>
      <c r="M17" s="8" t="b">
        <f t="shared" si="2"/>
        <v>1</v>
      </c>
    </row>
    <row r="18" spans="1:13" ht="49.5" customHeight="1" x14ac:dyDescent="0.2">
      <c r="A18" s="85">
        <v>9</v>
      </c>
      <c r="B18" s="86" t="s">
        <v>60</v>
      </c>
      <c r="C18" s="87" t="s">
        <v>50</v>
      </c>
      <c r="D18" s="88" t="str">
        <f t="shared" si="0"/>
        <v>2.3.1</v>
      </c>
      <c r="E18" s="89" t="s">
        <v>61</v>
      </c>
      <c r="F18" s="88" t="s">
        <v>44</v>
      </c>
      <c r="G18" s="90">
        <v>200</v>
      </c>
      <c r="H18" s="91">
        <v>5.05</v>
      </c>
      <c r="I18" s="92">
        <f t="shared" si="1"/>
        <v>1010</v>
      </c>
      <c r="J18" s="77"/>
      <c r="L18" s="72" t="s">
        <v>207</v>
      </c>
      <c r="M18" s="8" t="b">
        <f t="shared" si="2"/>
        <v>1</v>
      </c>
    </row>
    <row r="19" spans="1:13" ht="49.5" customHeight="1" x14ac:dyDescent="0.2">
      <c r="A19" s="85">
        <v>10</v>
      </c>
      <c r="B19" s="86" t="s">
        <v>62</v>
      </c>
      <c r="C19" s="87" t="s">
        <v>50</v>
      </c>
      <c r="D19" s="88" t="str">
        <f t="shared" si="0"/>
        <v>2.9.2</v>
      </c>
      <c r="E19" s="89" t="s">
        <v>63</v>
      </c>
      <c r="F19" s="88" t="s">
        <v>44</v>
      </c>
      <c r="G19" s="93">
        <v>60</v>
      </c>
      <c r="H19" s="91">
        <v>195</v>
      </c>
      <c r="I19" s="92">
        <f t="shared" si="1"/>
        <v>11700</v>
      </c>
      <c r="J19" s="77"/>
      <c r="L19" s="72" t="s">
        <v>208</v>
      </c>
      <c r="M19" s="8" t="b">
        <f t="shared" si="2"/>
        <v>1</v>
      </c>
    </row>
    <row r="20" spans="1:13" ht="49.5" customHeight="1" x14ac:dyDescent="0.2">
      <c r="A20" s="85">
        <v>11</v>
      </c>
      <c r="B20" s="86" t="s">
        <v>64</v>
      </c>
      <c r="C20" s="87" t="s">
        <v>50</v>
      </c>
      <c r="D20" s="88" t="str">
        <f t="shared" si="0"/>
        <v>2.9.2</v>
      </c>
      <c r="E20" s="89" t="s">
        <v>65</v>
      </c>
      <c r="F20" s="88" t="s">
        <v>44</v>
      </c>
      <c r="G20" s="90">
        <v>50</v>
      </c>
      <c r="H20" s="91">
        <v>250</v>
      </c>
      <c r="I20" s="92">
        <f t="shared" si="1"/>
        <v>12500</v>
      </c>
      <c r="J20" s="77"/>
      <c r="L20" s="72" t="s">
        <v>209</v>
      </c>
      <c r="M20" s="8" t="b">
        <f t="shared" si="2"/>
        <v>1</v>
      </c>
    </row>
    <row r="21" spans="1:13" ht="49.5" customHeight="1" x14ac:dyDescent="0.2">
      <c r="A21" s="85">
        <v>12</v>
      </c>
      <c r="B21" s="86" t="s">
        <v>66</v>
      </c>
      <c r="C21" s="87" t="s">
        <v>50</v>
      </c>
      <c r="D21" s="88" t="str">
        <f t="shared" si="0"/>
        <v>2.9.2</v>
      </c>
      <c r="E21" s="89" t="s">
        <v>67</v>
      </c>
      <c r="F21" s="88" t="s">
        <v>44</v>
      </c>
      <c r="G21" s="90">
        <v>50</v>
      </c>
      <c r="H21" s="91">
        <v>52.7</v>
      </c>
      <c r="I21" s="92">
        <f t="shared" si="1"/>
        <v>2635</v>
      </c>
      <c r="J21" s="77"/>
      <c r="L21" s="72" t="s">
        <v>210</v>
      </c>
      <c r="M21" s="8" t="b">
        <f t="shared" si="2"/>
        <v>1</v>
      </c>
    </row>
    <row r="22" spans="1:13" ht="49.5" customHeight="1" x14ac:dyDescent="0.2">
      <c r="A22" s="85">
        <v>13</v>
      </c>
      <c r="B22" s="86" t="s">
        <v>68</v>
      </c>
      <c r="C22" s="87" t="s">
        <v>50</v>
      </c>
      <c r="D22" s="88" t="str">
        <f t="shared" si="0"/>
        <v>2.9.2</v>
      </c>
      <c r="E22" s="89" t="s">
        <v>69</v>
      </c>
      <c r="F22" s="88" t="s">
        <v>44</v>
      </c>
      <c r="G22" s="93">
        <v>60</v>
      </c>
      <c r="H22" s="91">
        <v>165.5</v>
      </c>
      <c r="I22" s="92">
        <f t="shared" si="1"/>
        <v>9930</v>
      </c>
      <c r="J22" s="77"/>
      <c r="L22" s="72" t="s">
        <v>211</v>
      </c>
      <c r="M22" s="8" t="b">
        <f t="shared" si="2"/>
        <v>1</v>
      </c>
    </row>
    <row r="23" spans="1:13" ht="49.5" customHeight="1" x14ac:dyDescent="0.2">
      <c r="A23" s="85">
        <v>14</v>
      </c>
      <c r="B23" s="86" t="s">
        <v>70</v>
      </c>
      <c r="C23" s="87" t="s">
        <v>50</v>
      </c>
      <c r="D23" s="88" t="str">
        <f t="shared" si="0"/>
        <v>2.9.2</v>
      </c>
      <c r="E23" s="89" t="s">
        <v>71</v>
      </c>
      <c r="F23" s="88" t="s">
        <v>44</v>
      </c>
      <c r="G23" s="93">
        <v>60</v>
      </c>
      <c r="H23" s="91">
        <v>98</v>
      </c>
      <c r="I23" s="92">
        <f t="shared" si="1"/>
        <v>5880</v>
      </c>
      <c r="J23" s="77"/>
      <c r="L23" s="72" t="s">
        <v>212</v>
      </c>
      <c r="M23" s="8" t="b">
        <f t="shared" si="2"/>
        <v>1</v>
      </c>
    </row>
    <row r="24" spans="1:13" ht="49.5" customHeight="1" x14ac:dyDescent="0.2">
      <c r="A24" s="85">
        <v>15</v>
      </c>
      <c r="B24" s="86" t="s">
        <v>72</v>
      </c>
      <c r="C24" s="87" t="s">
        <v>50</v>
      </c>
      <c r="D24" s="88" t="str">
        <f t="shared" si="0"/>
        <v>2.9.2</v>
      </c>
      <c r="E24" s="89" t="s">
        <v>73</v>
      </c>
      <c r="F24" s="88" t="s">
        <v>44</v>
      </c>
      <c r="G24" s="93">
        <v>40</v>
      </c>
      <c r="H24" s="91">
        <v>98.15</v>
      </c>
      <c r="I24" s="92">
        <f t="shared" si="1"/>
        <v>3926</v>
      </c>
      <c r="J24" s="77"/>
      <c r="L24" s="72" t="s">
        <v>213</v>
      </c>
      <c r="M24" s="8" t="b">
        <f t="shared" si="2"/>
        <v>1</v>
      </c>
    </row>
    <row r="25" spans="1:13" ht="49.5" customHeight="1" x14ac:dyDescent="0.2">
      <c r="A25" s="85">
        <v>16</v>
      </c>
      <c r="B25" s="86" t="s">
        <v>74</v>
      </c>
      <c r="C25" s="87" t="s">
        <v>50</v>
      </c>
      <c r="D25" s="87" t="str">
        <f t="shared" si="0"/>
        <v>2.9.2</v>
      </c>
      <c r="E25" s="89" t="s">
        <v>75</v>
      </c>
      <c r="F25" s="87" t="s">
        <v>44</v>
      </c>
      <c r="G25" s="93">
        <v>100</v>
      </c>
      <c r="H25" s="91">
        <v>54.92</v>
      </c>
      <c r="I25" s="92">
        <f t="shared" si="1"/>
        <v>5492</v>
      </c>
      <c r="J25" s="77"/>
      <c r="L25" s="72" t="s">
        <v>214</v>
      </c>
      <c r="M25" s="8" t="b">
        <f t="shared" si="2"/>
        <v>1</v>
      </c>
    </row>
    <row r="26" spans="1:13" ht="49.5" customHeight="1" x14ac:dyDescent="0.2">
      <c r="A26" s="85">
        <v>17</v>
      </c>
      <c r="B26" s="86" t="s">
        <v>76</v>
      </c>
      <c r="C26" s="87" t="s">
        <v>50</v>
      </c>
      <c r="D26" s="87" t="str">
        <f>+LEFT(B26,5)</f>
        <v>2.9.2</v>
      </c>
      <c r="E26" s="89" t="s">
        <v>77</v>
      </c>
      <c r="F26" s="87" t="s">
        <v>44</v>
      </c>
      <c r="G26" s="93">
        <v>100</v>
      </c>
      <c r="H26" s="91">
        <v>91.58</v>
      </c>
      <c r="I26" s="92">
        <f t="shared" si="1"/>
        <v>9158</v>
      </c>
      <c r="J26" s="77"/>
      <c r="L26" s="72" t="s">
        <v>215</v>
      </c>
      <c r="M26" s="8" t="b">
        <f t="shared" si="2"/>
        <v>1</v>
      </c>
    </row>
    <row r="27" spans="1:13" ht="49.5" customHeight="1" x14ac:dyDescent="0.2">
      <c r="A27" s="85">
        <v>18</v>
      </c>
      <c r="B27" s="86" t="s">
        <v>151</v>
      </c>
      <c r="C27" s="87" t="s">
        <v>50</v>
      </c>
      <c r="D27" s="87" t="str">
        <f t="shared" si="0"/>
        <v>2.9.2</v>
      </c>
      <c r="E27" s="89" t="s">
        <v>161</v>
      </c>
      <c r="F27" s="87" t="s">
        <v>159</v>
      </c>
      <c r="G27" s="93">
        <v>2</v>
      </c>
      <c r="H27" s="91">
        <v>4578</v>
      </c>
      <c r="I27" s="92">
        <f t="shared" si="1"/>
        <v>9156</v>
      </c>
      <c r="J27" s="99" t="s">
        <v>262</v>
      </c>
      <c r="L27" s="72" t="s">
        <v>216</v>
      </c>
      <c r="M27" s="8" t="b">
        <f t="shared" si="2"/>
        <v>1</v>
      </c>
    </row>
    <row r="28" spans="1:13" ht="45" customHeight="1" x14ac:dyDescent="0.2">
      <c r="A28" s="85">
        <v>19</v>
      </c>
      <c r="B28" s="94" t="s">
        <v>78</v>
      </c>
      <c r="C28" s="87" t="s">
        <v>50</v>
      </c>
      <c r="D28" s="88" t="str">
        <f t="shared" si="0"/>
        <v>2.9.2</v>
      </c>
      <c r="E28" s="89" t="s">
        <v>79</v>
      </c>
      <c r="F28" s="88" t="s">
        <v>160</v>
      </c>
      <c r="G28" s="93">
        <v>13</v>
      </c>
      <c r="H28" s="91">
        <v>537</v>
      </c>
      <c r="I28" s="92">
        <f t="shared" si="1"/>
        <v>6981</v>
      </c>
      <c r="J28" s="99" t="s">
        <v>263</v>
      </c>
      <c r="L28" s="72" t="s">
        <v>79</v>
      </c>
      <c r="M28" s="8" t="b">
        <f t="shared" si="2"/>
        <v>1</v>
      </c>
    </row>
    <row r="29" spans="1:13" ht="49.5" customHeight="1" x14ac:dyDescent="0.2">
      <c r="A29" s="85">
        <v>20</v>
      </c>
      <c r="B29" s="86" t="s">
        <v>80</v>
      </c>
      <c r="C29" s="87" t="s">
        <v>50</v>
      </c>
      <c r="D29" s="88" t="str">
        <f t="shared" si="0"/>
        <v>2.9.2</v>
      </c>
      <c r="E29" s="89" t="s">
        <v>81</v>
      </c>
      <c r="F29" s="88" t="s">
        <v>160</v>
      </c>
      <c r="G29" s="93">
        <v>13</v>
      </c>
      <c r="H29" s="91">
        <v>517</v>
      </c>
      <c r="I29" s="92">
        <f t="shared" si="1"/>
        <v>6721</v>
      </c>
      <c r="J29" s="99" t="s">
        <v>264</v>
      </c>
      <c r="L29" s="72" t="s">
        <v>81</v>
      </c>
      <c r="M29" s="8" t="b">
        <f t="shared" si="2"/>
        <v>1</v>
      </c>
    </row>
    <row r="30" spans="1:13" ht="49.5" customHeight="1" x14ac:dyDescent="0.2">
      <c r="A30" s="85">
        <v>21</v>
      </c>
      <c r="B30" s="86" t="s">
        <v>82</v>
      </c>
      <c r="C30" s="87" t="s">
        <v>50</v>
      </c>
      <c r="D30" s="88" t="str">
        <f t="shared" si="0"/>
        <v>2.9.2</v>
      </c>
      <c r="E30" s="89" t="s">
        <v>83</v>
      </c>
      <c r="F30" s="88" t="s">
        <v>84</v>
      </c>
      <c r="G30" s="93">
        <v>60</v>
      </c>
      <c r="H30" s="91">
        <v>235</v>
      </c>
      <c r="I30" s="92">
        <f t="shared" si="1"/>
        <v>14100</v>
      </c>
      <c r="J30" s="77"/>
      <c r="L30" s="72" t="s">
        <v>217</v>
      </c>
      <c r="M30" s="8" t="b">
        <f t="shared" si="2"/>
        <v>1</v>
      </c>
    </row>
    <row r="31" spans="1:13" ht="49.5" customHeight="1" x14ac:dyDescent="0.2">
      <c r="A31" s="85">
        <v>22</v>
      </c>
      <c r="B31" s="86" t="s">
        <v>85</v>
      </c>
      <c r="C31" s="87" t="s">
        <v>50</v>
      </c>
      <c r="D31" s="88" t="str">
        <f t="shared" si="0"/>
        <v>2.9.2</v>
      </c>
      <c r="E31" s="89" t="s">
        <v>256</v>
      </c>
      <c r="F31" s="88" t="s">
        <v>44</v>
      </c>
      <c r="G31" s="93">
        <v>100</v>
      </c>
      <c r="H31" s="91">
        <v>244</v>
      </c>
      <c r="I31" s="92">
        <f t="shared" si="1"/>
        <v>24400</v>
      </c>
      <c r="J31" s="77"/>
      <c r="L31" s="72" t="s">
        <v>218</v>
      </c>
      <c r="M31" s="8" t="b">
        <f t="shared" si="2"/>
        <v>1</v>
      </c>
    </row>
    <row r="32" spans="1:13" ht="42.75" customHeight="1" x14ac:dyDescent="0.2">
      <c r="A32" s="85">
        <v>23</v>
      </c>
      <c r="B32" s="86" t="s">
        <v>86</v>
      </c>
      <c r="C32" s="87" t="s">
        <v>50</v>
      </c>
      <c r="D32" s="88" t="str">
        <f t="shared" si="0"/>
        <v>2.9.2</v>
      </c>
      <c r="E32" s="89" t="s">
        <v>257</v>
      </c>
      <c r="F32" s="88" t="s">
        <v>44</v>
      </c>
      <c r="G32" s="93">
        <v>50</v>
      </c>
      <c r="H32" s="91">
        <v>197</v>
      </c>
      <c r="I32" s="92">
        <f t="shared" si="1"/>
        <v>9850</v>
      </c>
      <c r="J32" s="77"/>
      <c r="L32" s="72" t="s">
        <v>219</v>
      </c>
      <c r="M32" s="8" t="b">
        <f t="shared" si="2"/>
        <v>1</v>
      </c>
    </row>
    <row r="33" spans="1:13" ht="45" customHeight="1" x14ac:dyDescent="0.2">
      <c r="A33" s="85">
        <v>24</v>
      </c>
      <c r="B33" s="94" t="s">
        <v>87</v>
      </c>
      <c r="C33" s="87" t="s">
        <v>50</v>
      </c>
      <c r="D33" s="88" t="str">
        <f t="shared" si="0"/>
        <v>2.9.2</v>
      </c>
      <c r="E33" s="95" t="s">
        <v>162</v>
      </c>
      <c r="F33" s="90" t="s">
        <v>44</v>
      </c>
      <c r="G33" s="90">
        <v>50</v>
      </c>
      <c r="H33" s="96">
        <v>179.99</v>
      </c>
      <c r="I33" s="92">
        <f t="shared" si="1"/>
        <v>8999.5</v>
      </c>
      <c r="J33" s="77"/>
      <c r="L33" s="72" t="s">
        <v>220</v>
      </c>
      <c r="M33" s="8" t="b">
        <f t="shared" si="2"/>
        <v>1</v>
      </c>
    </row>
    <row r="34" spans="1:13" ht="45" customHeight="1" x14ac:dyDescent="0.2">
      <c r="A34" s="85">
        <v>25</v>
      </c>
      <c r="B34" s="86" t="s">
        <v>88</v>
      </c>
      <c r="C34" s="87" t="s">
        <v>50</v>
      </c>
      <c r="D34" s="88" t="str">
        <f t="shared" si="0"/>
        <v>2.9.2</v>
      </c>
      <c r="E34" s="89" t="s">
        <v>89</v>
      </c>
      <c r="F34" s="88" t="s">
        <v>44</v>
      </c>
      <c r="G34" s="93">
        <v>2</v>
      </c>
      <c r="H34" s="91">
        <v>4000</v>
      </c>
      <c r="I34" s="92">
        <f t="shared" si="1"/>
        <v>8000</v>
      </c>
      <c r="J34" s="77"/>
      <c r="L34" s="72" t="s">
        <v>221</v>
      </c>
      <c r="M34" s="8" t="b">
        <f t="shared" si="2"/>
        <v>1</v>
      </c>
    </row>
    <row r="35" spans="1:13" ht="45" customHeight="1" x14ac:dyDescent="0.2">
      <c r="A35" s="85">
        <v>26</v>
      </c>
      <c r="B35" s="86" t="s">
        <v>90</v>
      </c>
      <c r="C35" s="87" t="s">
        <v>50</v>
      </c>
      <c r="D35" s="88" t="str">
        <f t="shared" si="0"/>
        <v>2.9.2</v>
      </c>
      <c r="E35" s="89" t="s">
        <v>91</v>
      </c>
      <c r="F35" s="88" t="s">
        <v>44</v>
      </c>
      <c r="G35" s="93">
        <v>20</v>
      </c>
      <c r="H35" s="91">
        <v>225</v>
      </c>
      <c r="I35" s="92">
        <f t="shared" si="1"/>
        <v>4500</v>
      </c>
      <c r="J35" s="77"/>
      <c r="L35" s="72" t="s">
        <v>222</v>
      </c>
      <c r="M35" s="8" t="b">
        <f t="shared" si="2"/>
        <v>1</v>
      </c>
    </row>
    <row r="36" spans="1:13" ht="49.5" customHeight="1" x14ac:dyDescent="0.2">
      <c r="A36" s="85">
        <v>27</v>
      </c>
      <c r="B36" s="86" t="s">
        <v>92</v>
      </c>
      <c r="C36" s="87" t="s">
        <v>50</v>
      </c>
      <c r="D36" s="88" t="str">
        <f t="shared" si="0"/>
        <v>2.9.2</v>
      </c>
      <c r="E36" s="89" t="s">
        <v>93</v>
      </c>
      <c r="F36" s="88" t="s">
        <v>44</v>
      </c>
      <c r="G36" s="93">
        <v>60</v>
      </c>
      <c r="H36" s="91">
        <v>126</v>
      </c>
      <c r="I36" s="92">
        <f t="shared" si="1"/>
        <v>7560</v>
      </c>
      <c r="J36" s="77"/>
      <c r="L36" s="72" t="s">
        <v>223</v>
      </c>
      <c r="M36" s="8" t="b">
        <f t="shared" si="2"/>
        <v>1</v>
      </c>
    </row>
    <row r="37" spans="1:13" ht="49.5" customHeight="1" x14ac:dyDescent="0.2">
      <c r="A37" s="85">
        <v>28</v>
      </c>
      <c r="B37" s="86" t="s">
        <v>94</v>
      </c>
      <c r="C37" s="87" t="s">
        <v>50</v>
      </c>
      <c r="D37" s="88" t="str">
        <f t="shared" si="0"/>
        <v>2.9.2</v>
      </c>
      <c r="E37" s="89" t="s">
        <v>95</v>
      </c>
      <c r="F37" s="88" t="s">
        <v>44</v>
      </c>
      <c r="G37" s="93">
        <v>50</v>
      </c>
      <c r="H37" s="91">
        <v>435</v>
      </c>
      <c r="I37" s="92">
        <f t="shared" si="1"/>
        <v>21750</v>
      </c>
      <c r="J37" s="77"/>
      <c r="L37" s="72" t="s">
        <v>224</v>
      </c>
      <c r="M37" s="8" t="b">
        <f t="shared" si="2"/>
        <v>1</v>
      </c>
    </row>
    <row r="38" spans="1:13" ht="49.5" customHeight="1" x14ac:dyDescent="0.2">
      <c r="A38" s="85">
        <v>29</v>
      </c>
      <c r="B38" s="86" t="s">
        <v>96</v>
      </c>
      <c r="C38" s="87" t="s">
        <v>50</v>
      </c>
      <c r="D38" s="88" t="str">
        <f t="shared" si="0"/>
        <v>2.9.2</v>
      </c>
      <c r="E38" s="89" t="s">
        <v>97</v>
      </c>
      <c r="F38" s="88" t="s">
        <v>44</v>
      </c>
      <c r="G38" s="93">
        <v>50</v>
      </c>
      <c r="H38" s="91">
        <v>435</v>
      </c>
      <c r="I38" s="92">
        <f t="shared" si="1"/>
        <v>21750</v>
      </c>
      <c r="J38" s="99" t="s">
        <v>265</v>
      </c>
      <c r="L38" s="72" t="s">
        <v>225</v>
      </c>
      <c r="M38" s="8" t="b">
        <f t="shared" si="2"/>
        <v>1</v>
      </c>
    </row>
    <row r="39" spans="1:13" ht="49.5" customHeight="1" x14ac:dyDescent="0.2">
      <c r="A39" s="85">
        <v>30</v>
      </c>
      <c r="B39" s="86" t="s">
        <v>98</v>
      </c>
      <c r="C39" s="87" t="s">
        <v>50</v>
      </c>
      <c r="D39" s="88" t="str">
        <f t="shared" si="0"/>
        <v>2.9.2</v>
      </c>
      <c r="E39" s="89" t="s">
        <v>99</v>
      </c>
      <c r="F39" s="88" t="s">
        <v>44</v>
      </c>
      <c r="G39" s="93">
        <v>20</v>
      </c>
      <c r="H39" s="91">
        <v>360</v>
      </c>
      <c r="I39" s="92">
        <f t="shared" si="1"/>
        <v>7200</v>
      </c>
      <c r="J39" s="77"/>
      <c r="L39" s="72" t="s">
        <v>226</v>
      </c>
      <c r="M39" s="8" t="b">
        <f t="shared" si="2"/>
        <v>1</v>
      </c>
    </row>
    <row r="40" spans="1:13" ht="49.5" customHeight="1" x14ac:dyDescent="0.2">
      <c r="A40" s="85">
        <v>31</v>
      </c>
      <c r="B40" s="86" t="s">
        <v>100</v>
      </c>
      <c r="C40" s="87" t="s">
        <v>50</v>
      </c>
      <c r="D40" s="88" t="str">
        <f>+LEFT(B40,5)</f>
        <v>2.9.2</v>
      </c>
      <c r="E40" s="89" t="s">
        <v>101</v>
      </c>
      <c r="F40" s="88" t="s">
        <v>44</v>
      </c>
      <c r="G40" s="93">
        <v>500</v>
      </c>
      <c r="H40" s="91">
        <v>90</v>
      </c>
      <c r="I40" s="92">
        <f t="shared" si="1"/>
        <v>45000</v>
      </c>
      <c r="J40" s="77"/>
      <c r="L40" s="72" t="s">
        <v>227</v>
      </c>
      <c r="M40" s="8" t="b">
        <f t="shared" si="2"/>
        <v>1</v>
      </c>
    </row>
    <row r="41" spans="1:13" ht="49.5" customHeight="1" x14ac:dyDescent="0.2">
      <c r="A41" s="85">
        <v>32</v>
      </c>
      <c r="B41" s="86" t="s">
        <v>102</v>
      </c>
      <c r="C41" s="87" t="s">
        <v>50</v>
      </c>
      <c r="D41" s="88" t="str">
        <f>+LEFT(B41,5)</f>
        <v>2.9.2</v>
      </c>
      <c r="E41" s="89" t="s">
        <v>103</v>
      </c>
      <c r="F41" s="88" t="s">
        <v>44</v>
      </c>
      <c r="G41" s="93">
        <v>500</v>
      </c>
      <c r="H41" s="91">
        <v>245</v>
      </c>
      <c r="I41" s="92">
        <f t="shared" si="1"/>
        <v>122500</v>
      </c>
      <c r="J41" s="77"/>
      <c r="L41" s="72" t="s">
        <v>228</v>
      </c>
      <c r="M41" s="8" t="b">
        <f t="shared" si="2"/>
        <v>1</v>
      </c>
    </row>
    <row r="42" spans="1:13" ht="49.5" customHeight="1" x14ac:dyDescent="0.2">
      <c r="A42" s="85">
        <v>33</v>
      </c>
      <c r="B42" s="86" t="s">
        <v>104</v>
      </c>
      <c r="C42" s="87" t="s">
        <v>50</v>
      </c>
      <c r="D42" s="88" t="str">
        <f t="shared" si="0"/>
        <v>2.9.2</v>
      </c>
      <c r="E42" s="89" t="s">
        <v>105</v>
      </c>
      <c r="F42" s="88" t="s">
        <v>44</v>
      </c>
      <c r="G42" s="93">
        <v>400</v>
      </c>
      <c r="H42" s="91">
        <v>112</v>
      </c>
      <c r="I42" s="92">
        <f t="shared" si="1"/>
        <v>44800</v>
      </c>
      <c r="J42" s="77"/>
      <c r="L42" s="72" t="s">
        <v>229</v>
      </c>
      <c r="M42" s="8" t="b">
        <f t="shared" si="2"/>
        <v>1</v>
      </c>
    </row>
    <row r="43" spans="1:13" ht="49.5" customHeight="1" x14ac:dyDescent="0.2">
      <c r="A43" s="85">
        <v>34</v>
      </c>
      <c r="B43" s="86" t="s">
        <v>152</v>
      </c>
      <c r="C43" s="87" t="s">
        <v>50</v>
      </c>
      <c r="D43" s="88" t="str">
        <f>+LEFT(B43,5)</f>
        <v>2.9.2</v>
      </c>
      <c r="E43" s="89" t="s">
        <v>163</v>
      </c>
      <c r="F43" s="88" t="s">
        <v>44</v>
      </c>
      <c r="G43" s="93">
        <v>200</v>
      </c>
      <c r="H43" s="91">
        <v>65</v>
      </c>
      <c r="I43" s="92">
        <f t="shared" si="1"/>
        <v>13000</v>
      </c>
      <c r="J43" s="99" t="s">
        <v>266</v>
      </c>
      <c r="L43" s="72" t="s">
        <v>230</v>
      </c>
      <c r="M43" s="8" t="b">
        <f t="shared" si="2"/>
        <v>1</v>
      </c>
    </row>
    <row r="44" spans="1:13" ht="49.5" customHeight="1" x14ac:dyDescent="0.2">
      <c r="A44" s="85">
        <v>35</v>
      </c>
      <c r="B44" s="86" t="s">
        <v>152</v>
      </c>
      <c r="C44" s="87" t="s">
        <v>50</v>
      </c>
      <c r="D44" s="88" t="str">
        <f>+LEFT(B44,5)</f>
        <v>2.9.2</v>
      </c>
      <c r="E44" s="89" t="s">
        <v>163</v>
      </c>
      <c r="F44" s="88" t="s">
        <v>44</v>
      </c>
      <c r="G44" s="93">
        <v>200</v>
      </c>
      <c r="H44" s="91">
        <v>96.25</v>
      </c>
      <c r="I44" s="92">
        <f t="shared" si="1"/>
        <v>19250</v>
      </c>
      <c r="J44" s="100" t="s">
        <v>267</v>
      </c>
      <c r="L44" s="72" t="s">
        <v>230</v>
      </c>
      <c r="M44" s="8" t="b">
        <f t="shared" si="2"/>
        <v>1</v>
      </c>
    </row>
    <row r="45" spans="1:13" ht="49.5" customHeight="1" x14ac:dyDescent="0.2">
      <c r="A45" s="85">
        <v>36</v>
      </c>
      <c r="B45" s="86" t="s">
        <v>106</v>
      </c>
      <c r="C45" s="87" t="s">
        <v>50</v>
      </c>
      <c r="D45" s="88" t="str">
        <f t="shared" si="0"/>
        <v>2.9.2</v>
      </c>
      <c r="E45" s="89" t="s">
        <v>164</v>
      </c>
      <c r="F45" s="88" t="s">
        <v>44</v>
      </c>
      <c r="G45" s="93">
        <v>150</v>
      </c>
      <c r="H45" s="91">
        <v>89</v>
      </c>
      <c r="I45" s="92">
        <f t="shared" si="1"/>
        <v>13350</v>
      </c>
      <c r="J45" s="77"/>
      <c r="L45" s="72" t="s">
        <v>231</v>
      </c>
      <c r="M45" s="8" t="b">
        <f t="shared" si="2"/>
        <v>1</v>
      </c>
    </row>
    <row r="46" spans="1:13" ht="49.5" customHeight="1" x14ac:dyDescent="0.2">
      <c r="A46" s="85">
        <v>37</v>
      </c>
      <c r="B46" s="86" t="s">
        <v>107</v>
      </c>
      <c r="C46" s="87" t="s">
        <v>50</v>
      </c>
      <c r="D46" s="88" t="str">
        <f t="shared" si="0"/>
        <v>2.9.2</v>
      </c>
      <c r="E46" s="89" t="s">
        <v>258</v>
      </c>
      <c r="F46" s="88" t="s">
        <v>159</v>
      </c>
      <c r="G46" s="93">
        <v>30</v>
      </c>
      <c r="H46" s="91">
        <v>115</v>
      </c>
      <c r="I46" s="92">
        <f t="shared" si="1"/>
        <v>3450</v>
      </c>
      <c r="J46" s="77"/>
      <c r="L46" s="72" t="s">
        <v>232</v>
      </c>
      <c r="M46" s="8" t="b">
        <f t="shared" si="2"/>
        <v>1</v>
      </c>
    </row>
    <row r="47" spans="1:13" ht="49.5" customHeight="1" x14ac:dyDescent="0.2">
      <c r="A47" s="85">
        <v>38</v>
      </c>
      <c r="B47" s="86" t="s">
        <v>108</v>
      </c>
      <c r="C47" s="87" t="s">
        <v>50</v>
      </c>
      <c r="D47" s="88" t="str">
        <f t="shared" si="0"/>
        <v>2.9.2</v>
      </c>
      <c r="E47" s="89" t="s">
        <v>109</v>
      </c>
      <c r="F47" s="88" t="s">
        <v>44</v>
      </c>
      <c r="G47" s="93">
        <v>30</v>
      </c>
      <c r="H47" s="91">
        <v>80.849999999999994</v>
      </c>
      <c r="I47" s="92">
        <f t="shared" si="1"/>
        <v>2425.5</v>
      </c>
      <c r="J47" s="77"/>
      <c r="L47" s="72" t="s">
        <v>233</v>
      </c>
      <c r="M47" s="8" t="b">
        <f t="shared" si="2"/>
        <v>1</v>
      </c>
    </row>
    <row r="48" spans="1:13" ht="49.5" customHeight="1" x14ac:dyDescent="0.2">
      <c r="A48" s="85">
        <v>39</v>
      </c>
      <c r="B48" s="86" t="s">
        <v>110</v>
      </c>
      <c r="C48" s="87" t="s">
        <v>50</v>
      </c>
      <c r="D48" s="88" t="str">
        <f t="shared" si="0"/>
        <v>2.9.2</v>
      </c>
      <c r="E48" s="89" t="s">
        <v>111</v>
      </c>
      <c r="F48" s="88" t="s">
        <v>159</v>
      </c>
      <c r="G48" s="93">
        <v>50</v>
      </c>
      <c r="H48" s="91">
        <v>130</v>
      </c>
      <c r="I48" s="92">
        <f t="shared" si="1"/>
        <v>6500</v>
      </c>
      <c r="J48" s="77"/>
      <c r="L48" s="72" t="s">
        <v>234</v>
      </c>
      <c r="M48" s="8" t="b">
        <f t="shared" si="2"/>
        <v>1</v>
      </c>
    </row>
    <row r="49" spans="1:13" ht="49.5" customHeight="1" x14ac:dyDescent="0.2">
      <c r="A49" s="85">
        <v>40</v>
      </c>
      <c r="B49" s="86" t="s">
        <v>112</v>
      </c>
      <c r="C49" s="87" t="s">
        <v>50</v>
      </c>
      <c r="D49" s="87" t="str">
        <f t="shared" si="0"/>
        <v>2.9.2</v>
      </c>
      <c r="E49" s="89" t="s">
        <v>113</v>
      </c>
      <c r="F49" s="87" t="s">
        <v>159</v>
      </c>
      <c r="G49" s="93">
        <v>200</v>
      </c>
      <c r="H49" s="91">
        <v>177.28</v>
      </c>
      <c r="I49" s="92">
        <f t="shared" si="1"/>
        <v>35456</v>
      </c>
      <c r="J49" s="77"/>
      <c r="L49" s="72" t="s">
        <v>235</v>
      </c>
      <c r="M49" s="8" t="b">
        <f t="shared" si="2"/>
        <v>1</v>
      </c>
    </row>
    <row r="50" spans="1:13" ht="49.5" customHeight="1" x14ac:dyDescent="0.2">
      <c r="A50" s="85">
        <v>41</v>
      </c>
      <c r="B50" s="86" t="s">
        <v>114</v>
      </c>
      <c r="C50" s="87" t="s">
        <v>50</v>
      </c>
      <c r="D50" s="87" t="str">
        <f t="shared" si="0"/>
        <v>2.9.2</v>
      </c>
      <c r="E50" s="89" t="s">
        <v>186</v>
      </c>
      <c r="F50" s="87" t="s">
        <v>159</v>
      </c>
      <c r="G50" s="93">
        <v>5</v>
      </c>
      <c r="H50" s="91">
        <v>607.27</v>
      </c>
      <c r="I50" s="92">
        <f t="shared" si="1"/>
        <v>3036.35</v>
      </c>
      <c r="J50" s="77"/>
      <c r="L50" s="74" t="s">
        <v>236</v>
      </c>
      <c r="M50" s="8" t="b">
        <f t="shared" si="2"/>
        <v>1</v>
      </c>
    </row>
    <row r="51" spans="1:13" s="30" customFormat="1" ht="49.5" customHeight="1" x14ac:dyDescent="0.2">
      <c r="A51" s="85">
        <v>42</v>
      </c>
      <c r="B51" s="86" t="s">
        <v>115</v>
      </c>
      <c r="C51" s="87" t="s">
        <v>50</v>
      </c>
      <c r="D51" s="87" t="str">
        <f t="shared" si="0"/>
        <v>2.9.2</v>
      </c>
      <c r="E51" s="89" t="s">
        <v>187</v>
      </c>
      <c r="F51" s="88" t="s">
        <v>44</v>
      </c>
      <c r="G51" s="93">
        <v>5</v>
      </c>
      <c r="H51" s="91">
        <v>390</v>
      </c>
      <c r="I51" s="92">
        <f t="shared" si="1"/>
        <v>1950</v>
      </c>
      <c r="J51" s="77"/>
      <c r="L51" s="72" t="s">
        <v>237</v>
      </c>
      <c r="M51" s="8" t="b">
        <f t="shared" si="2"/>
        <v>1</v>
      </c>
    </row>
    <row r="52" spans="1:13" ht="49.5" customHeight="1" x14ac:dyDescent="0.2">
      <c r="A52" s="85">
        <v>43</v>
      </c>
      <c r="B52" s="86" t="s">
        <v>116</v>
      </c>
      <c r="C52" s="87" t="s">
        <v>50</v>
      </c>
      <c r="D52" s="87" t="str">
        <f t="shared" si="0"/>
        <v>2.9.2</v>
      </c>
      <c r="E52" s="89" t="s">
        <v>117</v>
      </c>
      <c r="F52" s="87" t="s">
        <v>44</v>
      </c>
      <c r="G52" s="93">
        <v>30</v>
      </c>
      <c r="H52" s="91">
        <v>255</v>
      </c>
      <c r="I52" s="92">
        <f t="shared" si="1"/>
        <v>7650</v>
      </c>
      <c r="J52" s="77"/>
      <c r="L52" s="72" t="s">
        <v>238</v>
      </c>
      <c r="M52" s="8" t="b">
        <f t="shared" si="2"/>
        <v>1</v>
      </c>
    </row>
    <row r="53" spans="1:13" ht="49.5" customHeight="1" x14ac:dyDescent="0.2">
      <c r="A53" s="85">
        <v>44</v>
      </c>
      <c r="B53" s="86" t="s">
        <v>118</v>
      </c>
      <c r="C53" s="87" t="s">
        <v>50</v>
      </c>
      <c r="D53" s="88" t="str">
        <f t="shared" si="0"/>
        <v>2.9.2</v>
      </c>
      <c r="E53" s="89" t="s">
        <v>119</v>
      </c>
      <c r="F53" s="88" t="s">
        <v>44</v>
      </c>
      <c r="G53" s="93">
        <v>30</v>
      </c>
      <c r="H53" s="91">
        <v>96.9</v>
      </c>
      <c r="I53" s="92">
        <f t="shared" si="1"/>
        <v>2907</v>
      </c>
      <c r="J53" s="77"/>
      <c r="L53" s="72" t="s">
        <v>239</v>
      </c>
      <c r="M53" s="8" t="b">
        <f t="shared" si="2"/>
        <v>1</v>
      </c>
    </row>
    <row r="54" spans="1:13" ht="49.5" customHeight="1" x14ac:dyDescent="0.2">
      <c r="A54" s="85">
        <v>45</v>
      </c>
      <c r="B54" s="86" t="s">
        <v>120</v>
      </c>
      <c r="C54" s="87" t="s">
        <v>50</v>
      </c>
      <c r="D54" s="88" t="str">
        <f t="shared" si="0"/>
        <v>2.9.2</v>
      </c>
      <c r="E54" s="89" t="s">
        <v>121</v>
      </c>
      <c r="F54" s="88" t="s">
        <v>44</v>
      </c>
      <c r="G54" s="93">
        <v>100</v>
      </c>
      <c r="H54" s="91">
        <v>690</v>
      </c>
      <c r="I54" s="92">
        <f t="shared" si="1"/>
        <v>69000</v>
      </c>
      <c r="J54" s="77"/>
      <c r="L54" s="72" t="s">
        <v>240</v>
      </c>
      <c r="M54" s="8" t="b">
        <f t="shared" si="2"/>
        <v>1</v>
      </c>
    </row>
    <row r="55" spans="1:13" ht="49.5" customHeight="1" x14ac:dyDescent="0.2">
      <c r="A55" s="85">
        <v>46</v>
      </c>
      <c r="B55" s="86" t="s">
        <v>122</v>
      </c>
      <c r="C55" s="87" t="s">
        <v>50</v>
      </c>
      <c r="D55" s="88" t="str">
        <f t="shared" si="0"/>
        <v>2.9.2</v>
      </c>
      <c r="E55" s="89" t="s">
        <v>123</v>
      </c>
      <c r="F55" s="88" t="s">
        <v>44</v>
      </c>
      <c r="G55" s="93">
        <v>10</v>
      </c>
      <c r="H55" s="91">
        <v>1010</v>
      </c>
      <c r="I55" s="92">
        <f t="shared" si="1"/>
        <v>10100</v>
      </c>
      <c r="J55" s="77"/>
      <c r="L55" s="72" t="s">
        <v>241</v>
      </c>
      <c r="M55" s="8" t="b">
        <f t="shared" si="2"/>
        <v>1</v>
      </c>
    </row>
    <row r="56" spans="1:13" ht="49.5" customHeight="1" x14ac:dyDescent="0.2">
      <c r="A56" s="85">
        <v>47</v>
      </c>
      <c r="B56" s="86" t="s">
        <v>124</v>
      </c>
      <c r="C56" s="87" t="s">
        <v>50</v>
      </c>
      <c r="D56" s="88" t="str">
        <f t="shared" si="0"/>
        <v>2.9.2</v>
      </c>
      <c r="E56" s="89" t="s">
        <v>125</v>
      </c>
      <c r="F56" s="88" t="s">
        <v>44</v>
      </c>
      <c r="G56" s="93">
        <v>150</v>
      </c>
      <c r="H56" s="91">
        <v>69</v>
      </c>
      <c r="I56" s="92">
        <f t="shared" si="1"/>
        <v>10350</v>
      </c>
      <c r="J56" s="77"/>
      <c r="L56" s="72" t="s">
        <v>242</v>
      </c>
      <c r="M56" s="8" t="b">
        <f t="shared" si="2"/>
        <v>1</v>
      </c>
    </row>
    <row r="57" spans="1:13" ht="49.5" customHeight="1" x14ac:dyDescent="0.2">
      <c r="A57" s="85">
        <v>48</v>
      </c>
      <c r="B57" s="86" t="s">
        <v>126</v>
      </c>
      <c r="C57" s="87" t="s">
        <v>50</v>
      </c>
      <c r="D57" s="88" t="str">
        <f>+LEFT(B57,5)</f>
        <v>2.9.2</v>
      </c>
      <c r="E57" s="89" t="s">
        <v>127</v>
      </c>
      <c r="F57" s="88" t="s">
        <v>44</v>
      </c>
      <c r="G57" s="93">
        <v>50</v>
      </c>
      <c r="H57" s="91">
        <v>75</v>
      </c>
      <c r="I57" s="92">
        <f t="shared" si="1"/>
        <v>3750</v>
      </c>
      <c r="J57" s="77"/>
      <c r="L57" s="72" t="s">
        <v>243</v>
      </c>
      <c r="M57" s="8" t="b">
        <f t="shared" si="2"/>
        <v>1</v>
      </c>
    </row>
    <row r="58" spans="1:13" ht="49.5" customHeight="1" x14ac:dyDescent="0.2">
      <c r="A58" s="85">
        <v>49</v>
      </c>
      <c r="B58" s="86" t="s">
        <v>128</v>
      </c>
      <c r="C58" s="87" t="s">
        <v>50</v>
      </c>
      <c r="D58" s="88" t="str">
        <f>+LEFT(B58,5)</f>
        <v>2.9.2</v>
      </c>
      <c r="E58" s="89" t="s">
        <v>188</v>
      </c>
      <c r="F58" s="88" t="s">
        <v>159</v>
      </c>
      <c r="G58" s="93">
        <v>5</v>
      </c>
      <c r="H58" s="91">
        <v>910</v>
      </c>
      <c r="I58" s="92">
        <f t="shared" si="1"/>
        <v>4550</v>
      </c>
      <c r="J58" s="77"/>
      <c r="L58" s="75" t="s">
        <v>244</v>
      </c>
      <c r="M58" s="8" t="b">
        <f t="shared" si="2"/>
        <v>1</v>
      </c>
    </row>
    <row r="59" spans="1:13" ht="49.5" customHeight="1" x14ac:dyDescent="0.2">
      <c r="A59" s="85">
        <v>50</v>
      </c>
      <c r="B59" s="86" t="s">
        <v>129</v>
      </c>
      <c r="C59" s="87" t="s">
        <v>50</v>
      </c>
      <c r="D59" s="88" t="str">
        <f t="shared" si="0"/>
        <v>2.9.2</v>
      </c>
      <c r="E59" s="89" t="s">
        <v>130</v>
      </c>
      <c r="F59" s="88" t="s">
        <v>44</v>
      </c>
      <c r="G59" s="93">
        <v>150</v>
      </c>
      <c r="H59" s="91">
        <v>410</v>
      </c>
      <c r="I59" s="92">
        <f t="shared" si="1"/>
        <v>61500</v>
      </c>
      <c r="J59" s="77"/>
      <c r="L59" s="72" t="s">
        <v>245</v>
      </c>
      <c r="M59" s="8" t="b">
        <f t="shared" si="2"/>
        <v>1</v>
      </c>
    </row>
    <row r="60" spans="1:13" ht="49.5" customHeight="1" x14ac:dyDescent="0.2">
      <c r="A60" s="85">
        <v>51</v>
      </c>
      <c r="B60" s="86" t="s">
        <v>131</v>
      </c>
      <c r="C60" s="87" t="s">
        <v>50</v>
      </c>
      <c r="D60" s="88" t="str">
        <f t="shared" si="0"/>
        <v>2.9.2</v>
      </c>
      <c r="E60" s="89" t="s">
        <v>132</v>
      </c>
      <c r="F60" s="88" t="s">
        <v>44</v>
      </c>
      <c r="G60" s="93">
        <v>50</v>
      </c>
      <c r="H60" s="91">
        <v>490</v>
      </c>
      <c r="I60" s="92">
        <f t="shared" si="1"/>
        <v>24500</v>
      </c>
      <c r="J60" s="99" t="s">
        <v>268</v>
      </c>
      <c r="L60" s="72" t="s">
        <v>246</v>
      </c>
      <c r="M60" s="8" t="b">
        <f t="shared" si="2"/>
        <v>1</v>
      </c>
    </row>
    <row r="61" spans="1:13" ht="49.5" customHeight="1" x14ac:dyDescent="0.2">
      <c r="A61" s="85">
        <v>52</v>
      </c>
      <c r="B61" s="86" t="s">
        <v>133</v>
      </c>
      <c r="C61" s="87" t="s">
        <v>50</v>
      </c>
      <c r="D61" s="88" t="str">
        <f t="shared" si="0"/>
        <v>2.9.2</v>
      </c>
      <c r="E61" s="89" t="s">
        <v>134</v>
      </c>
      <c r="F61" s="88" t="s">
        <v>44</v>
      </c>
      <c r="G61" s="93">
        <v>50</v>
      </c>
      <c r="H61" s="91">
        <v>300</v>
      </c>
      <c r="I61" s="92">
        <f t="shared" si="1"/>
        <v>15000</v>
      </c>
      <c r="J61" s="99" t="s">
        <v>269</v>
      </c>
      <c r="L61" s="72" t="s">
        <v>247</v>
      </c>
      <c r="M61" s="8" t="b">
        <f t="shared" si="2"/>
        <v>1</v>
      </c>
    </row>
    <row r="62" spans="1:13" ht="49.5" customHeight="1" x14ac:dyDescent="0.2">
      <c r="A62" s="85">
        <v>53</v>
      </c>
      <c r="B62" s="86" t="s">
        <v>135</v>
      </c>
      <c r="C62" s="87" t="s">
        <v>50</v>
      </c>
      <c r="D62" s="88" t="str">
        <f t="shared" si="0"/>
        <v>2.9.2</v>
      </c>
      <c r="E62" s="89" t="s">
        <v>136</v>
      </c>
      <c r="F62" s="88" t="s">
        <v>44</v>
      </c>
      <c r="G62" s="93">
        <v>50</v>
      </c>
      <c r="H62" s="91">
        <v>400</v>
      </c>
      <c r="I62" s="92">
        <f t="shared" si="1"/>
        <v>20000</v>
      </c>
      <c r="J62" s="99" t="s">
        <v>270</v>
      </c>
      <c r="L62" s="72" t="s">
        <v>248</v>
      </c>
      <c r="M62" s="8" t="b">
        <f t="shared" si="2"/>
        <v>1</v>
      </c>
    </row>
    <row r="63" spans="1:13" s="8" customFormat="1" ht="30" customHeight="1" x14ac:dyDescent="0.2">
      <c r="A63" s="85">
        <v>54</v>
      </c>
      <c r="B63" s="97" t="s">
        <v>153</v>
      </c>
      <c r="C63" s="97" t="s">
        <v>50</v>
      </c>
      <c r="D63" s="88" t="str">
        <f t="shared" si="0"/>
        <v>2.9.2</v>
      </c>
      <c r="E63" s="98" t="s">
        <v>154</v>
      </c>
      <c r="F63" s="88" t="s">
        <v>44</v>
      </c>
      <c r="G63" s="93">
        <v>100</v>
      </c>
      <c r="H63" s="91">
        <v>60</v>
      </c>
      <c r="I63" s="92">
        <f t="shared" si="1"/>
        <v>6000</v>
      </c>
      <c r="J63" s="77"/>
      <c r="L63" s="72" t="s">
        <v>249</v>
      </c>
      <c r="M63" s="8" t="b">
        <f t="shared" si="2"/>
        <v>1</v>
      </c>
    </row>
    <row r="64" spans="1:13" ht="49.5" customHeight="1" x14ac:dyDescent="0.2">
      <c r="A64" s="85">
        <v>55</v>
      </c>
      <c r="B64" s="86" t="s">
        <v>155</v>
      </c>
      <c r="C64" s="87" t="s">
        <v>50</v>
      </c>
      <c r="D64" s="88" t="str">
        <f t="shared" si="0"/>
        <v>2.9.2</v>
      </c>
      <c r="E64" s="89" t="s">
        <v>189</v>
      </c>
      <c r="F64" s="88" t="s">
        <v>159</v>
      </c>
      <c r="G64" s="93">
        <v>2</v>
      </c>
      <c r="H64" s="91">
        <v>6200</v>
      </c>
      <c r="I64" s="92">
        <f t="shared" si="1"/>
        <v>12400</v>
      </c>
      <c r="J64" s="77"/>
      <c r="L64" s="75" t="s">
        <v>250</v>
      </c>
      <c r="M64" s="8" t="b">
        <f t="shared" si="2"/>
        <v>1</v>
      </c>
    </row>
    <row r="65" spans="1:13" ht="49.5" customHeight="1" x14ac:dyDescent="0.2">
      <c r="A65" s="85">
        <v>56</v>
      </c>
      <c r="B65" s="86" t="s">
        <v>137</v>
      </c>
      <c r="C65" s="87" t="s">
        <v>50</v>
      </c>
      <c r="D65" s="88" t="str">
        <f t="shared" si="0"/>
        <v>2.9.2</v>
      </c>
      <c r="E65" s="89" t="s">
        <v>138</v>
      </c>
      <c r="F65" s="88" t="s">
        <v>44</v>
      </c>
      <c r="G65" s="93">
        <v>10</v>
      </c>
      <c r="H65" s="91">
        <v>2270</v>
      </c>
      <c r="I65" s="92">
        <f t="shared" si="1"/>
        <v>22700</v>
      </c>
      <c r="J65" s="77"/>
      <c r="L65" s="72" t="s">
        <v>251</v>
      </c>
      <c r="M65" s="8" t="b">
        <f t="shared" si="2"/>
        <v>1</v>
      </c>
    </row>
    <row r="66" spans="1:13" s="31" customFormat="1" ht="49.5" customHeight="1" x14ac:dyDescent="0.2">
      <c r="A66" s="85">
        <v>57</v>
      </c>
      <c r="B66" s="89" t="s">
        <v>139</v>
      </c>
      <c r="C66" s="89" t="s">
        <v>50</v>
      </c>
      <c r="D66" s="88" t="str">
        <f t="shared" si="0"/>
        <v>2.9.2</v>
      </c>
      <c r="E66" s="89" t="s">
        <v>140</v>
      </c>
      <c r="F66" s="87" t="s">
        <v>44</v>
      </c>
      <c r="G66" s="87">
        <v>30</v>
      </c>
      <c r="H66" s="91">
        <v>192</v>
      </c>
      <c r="I66" s="92">
        <f t="shared" si="1"/>
        <v>5760</v>
      </c>
      <c r="J66" s="77"/>
      <c r="L66" s="72" t="s">
        <v>252</v>
      </c>
      <c r="M66" s="8" t="b">
        <f t="shared" si="2"/>
        <v>1</v>
      </c>
    </row>
    <row r="67" spans="1:13" s="31" customFormat="1" ht="49.5" customHeight="1" x14ac:dyDescent="0.2">
      <c r="A67" s="85">
        <v>58</v>
      </c>
      <c r="B67" s="89" t="s">
        <v>141</v>
      </c>
      <c r="C67" s="89" t="s">
        <v>50</v>
      </c>
      <c r="D67" s="88" t="str">
        <f t="shared" si="0"/>
        <v>2.3.1</v>
      </c>
      <c r="E67" s="89" t="s">
        <v>259</v>
      </c>
      <c r="F67" s="87" t="s">
        <v>159</v>
      </c>
      <c r="G67" s="87">
        <v>10</v>
      </c>
      <c r="H67" s="91">
        <v>450</v>
      </c>
      <c r="I67" s="92">
        <f t="shared" si="1"/>
        <v>4500</v>
      </c>
      <c r="J67" s="77"/>
      <c r="L67" s="72" t="s">
        <v>253</v>
      </c>
      <c r="M67" s="8" t="b">
        <f t="shared" si="2"/>
        <v>1</v>
      </c>
    </row>
    <row r="68" spans="1:13" s="31" customFormat="1" ht="49.5" customHeight="1" thickBot="1" x14ac:dyDescent="0.25">
      <c r="A68" s="85">
        <v>59</v>
      </c>
      <c r="B68" s="89" t="s">
        <v>142</v>
      </c>
      <c r="C68" s="89" t="s">
        <v>50</v>
      </c>
      <c r="D68" s="88" t="str">
        <f>+LEFT(B68,5)</f>
        <v>2.9.2</v>
      </c>
      <c r="E68" s="89" t="s">
        <v>143</v>
      </c>
      <c r="F68" s="87" t="s">
        <v>44</v>
      </c>
      <c r="G68" s="87">
        <v>20</v>
      </c>
      <c r="H68" s="91">
        <v>160</v>
      </c>
      <c r="I68" s="92">
        <f t="shared" si="1"/>
        <v>3200</v>
      </c>
      <c r="J68" s="77"/>
      <c r="L68" s="72" t="s">
        <v>254</v>
      </c>
      <c r="M68" s="8" t="b">
        <f t="shared" si="2"/>
        <v>1</v>
      </c>
    </row>
    <row r="69" spans="1:13" s="31" customFormat="1" ht="27.75" customHeight="1" thickBot="1" x14ac:dyDescent="0.25">
      <c r="A69" s="168" t="s">
        <v>178</v>
      </c>
      <c r="B69" s="169"/>
      <c r="C69" s="169"/>
      <c r="D69" s="169"/>
      <c r="E69" s="169"/>
      <c r="F69" s="169"/>
      <c r="G69" s="169"/>
      <c r="H69" s="170"/>
      <c r="I69" s="171">
        <f>SUM(I10:I68)</f>
        <v>1072140.75</v>
      </c>
    </row>
    <row r="70" spans="1:13" ht="13.5" thickBot="1" x14ac:dyDescent="0.25">
      <c r="B70" s="14"/>
      <c r="I70" s="6"/>
    </row>
    <row r="71" spans="1:13" x14ac:dyDescent="0.2">
      <c r="B71" s="35" t="s">
        <v>165</v>
      </c>
      <c r="C71" s="24"/>
      <c r="D71" s="9"/>
      <c r="E71" s="10"/>
    </row>
    <row r="72" spans="1:13" x14ac:dyDescent="0.2">
      <c r="B72" s="36"/>
      <c r="C72" s="37"/>
      <c r="D72" s="12"/>
      <c r="E72" s="13"/>
    </row>
    <row r="73" spans="1:13" ht="16.5" customHeight="1" x14ac:dyDescent="0.2">
      <c r="B73" s="38" t="s">
        <v>45</v>
      </c>
      <c r="C73" s="37"/>
      <c r="D73" s="12"/>
      <c r="E73" s="13"/>
    </row>
    <row r="74" spans="1:13" ht="47.25" customHeight="1" thickBot="1" x14ac:dyDescent="0.25">
      <c r="B74" s="54"/>
      <c r="C74" s="109" t="s">
        <v>180</v>
      </c>
      <c r="D74" s="109"/>
      <c r="E74" s="110"/>
    </row>
    <row r="75" spans="1:13" ht="39" customHeight="1" thickBot="1" x14ac:dyDescent="0.25">
      <c r="B75" s="64"/>
      <c r="C75" s="42"/>
      <c r="D75" s="42"/>
      <c r="E75" s="42"/>
    </row>
    <row r="76" spans="1:13" x14ac:dyDescent="0.2">
      <c r="B76" s="35" t="s">
        <v>166</v>
      </c>
      <c r="C76" s="24"/>
      <c r="D76" s="9"/>
      <c r="E76" s="10"/>
    </row>
    <row r="77" spans="1:13" x14ac:dyDescent="0.2">
      <c r="B77" s="36"/>
      <c r="C77" s="37"/>
      <c r="D77" s="12"/>
      <c r="E77" s="13"/>
    </row>
    <row r="78" spans="1:13" ht="29.25" customHeight="1" x14ac:dyDescent="0.2">
      <c r="B78" s="38" t="s">
        <v>45</v>
      </c>
      <c r="C78" s="37"/>
      <c r="D78" s="12"/>
      <c r="E78" s="13"/>
    </row>
    <row r="79" spans="1:13" ht="42.75" customHeight="1" thickBot="1" x14ac:dyDescent="0.25">
      <c r="B79" s="54"/>
      <c r="C79" s="109" t="s">
        <v>182</v>
      </c>
      <c r="D79" s="109"/>
      <c r="E79" s="110"/>
    </row>
    <row r="80" spans="1:13" ht="33" customHeight="1" thickBot="1" x14ac:dyDescent="0.25">
      <c r="B80" s="64"/>
      <c r="C80" s="42"/>
      <c r="D80" s="42"/>
      <c r="E80" s="42"/>
    </row>
    <row r="81" spans="2:9" x14ac:dyDescent="0.2">
      <c r="B81" s="35" t="s">
        <v>167</v>
      </c>
      <c r="C81" s="24"/>
      <c r="D81" s="9"/>
      <c r="E81" s="10"/>
    </row>
    <row r="82" spans="2:9" x14ac:dyDescent="0.2">
      <c r="B82" s="36"/>
      <c r="C82" s="37"/>
      <c r="D82" s="12"/>
      <c r="E82" s="13"/>
    </row>
    <row r="83" spans="2:9" ht="33.75" customHeight="1" x14ac:dyDescent="0.2">
      <c r="B83" s="38" t="s">
        <v>45</v>
      </c>
      <c r="C83" s="37"/>
      <c r="D83" s="12"/>
      <c r="E83" s="13"/>
    </row>
    <row r="84" spans="2:9" ht="54.75" customHeight="1" thickBot="1" x14ac:dyDescent="0.25">
      <c r="B84" s="54"/>
      <c r="C84" s="109" t="s">
        <v>181</v>
      </c>
      <c r="D84" s="109"/>
      <c r="E84" s="110"/>
    </row>
    <row r="85" spans="2:9" ht="33" customHeight="1" thickBot="1" x14ac:dyDescent="0.25">
      <c r="B85" s="64"/>
      <c r="C85" s="42"/>
      <c r="D85" s="42"/>
      <c r="E85" s="42"/>
    </row>
    <row r="86" spans="2:9" x14ac:dyDescent="0.2">
      <c r="B86" s="35" t="s">
        <v>168</v>
      </c>
      <c r="C86" s="24"/>
      <c r="D86" s="9"/>
      <c r="E86" s="10"/>
    </row>
    <row r="87" spans="2:9" x14ac:dyDescent="0.2">
      <c r="B87" s="36"/>
      <c r="C87" s="37"/>
      <c r="D87" s="12"/>
      <c r="E87" s="13"/>
    </row>
    <row r="88" spans="2:9" ht="33.75" customHeight="1" x14ac:dyDescent="0.2">
      <c r="B88" s="38" t="s">
        <v>45</v>
      </c>
      <c r="C88" s="37"/>
      <c r="D88" s="12"/>
      <c r="E88" s="13"/>
    </row>
    <row r="89" spans="2:9" ht="60.75" customHeight="1" thickBot="1" x14ac:dyDescent="0.25">
      <c r="B89" s="54"/>
      <c r="C89" s="109" t="s">
        <v>183</v>
      </c>
      <c r="D89" s="109"/>
      <c r="E89" s="110"/>
    </row>
    <row r="90" spans="2:9" s="12" customFormat="1" ht="33" customHeight="1" thickBot="1" x14ac:dyDescent="0.25">
      <c r="B90" s="64"/>
      <c r="C90" s="42"/>
      <c r="D90" s="42"/>
      <c r="E90" s="42"/>
      <c r="F90" s="66"/>
      <c r="G90" s="66"/>
      <c r="H90" s="67"/>
      <c r="I90" s="68"/>
    </row>
    <row r="91" spans="2:9" x14ac:dyDescent="0.2">
      <c r="B91" s="35" t="s">
        <v>169</v>
      </c>
      <c r="C91" s="24"/>
      <c r="D91" s="9"/>
      <c r="E91" s="10"/>
    </row>
    <row r="92" spans="2:9" x14ac:dyDescent="0.2">
      <c r="B92" s="36"/>
      <c r="C92" s="37"/>
      <c r="D92" s="12"/>
      <c r="E92" s="13"/>
    </row>
    <row r="93" spans="2:9" ht="29.25" customHeight="1" x14ac:dyDescent="0.2">
      <c r="B93" s="38" t="s">
        <v>45</v>
      </c>
      <c r="C93" s="37"/>
      <c r="D93" s="12"/>
      <c r="E93" s="13"/>
    </row>
    <row r="94" spans="2:9" ht="69.75" customHeight="1" thickBot="1" x14ac:dyDescent="0.25">
      <c r="B94" s="54"/>
      <c r="C94" s="112" t="s">
        <v>184</v>
      </c>
      <c r="D94" s="112"/>
      <c r="E94" s="113"/>
    </row>
    <row r="95" spans="2:9" ht="13.5" thickBot="1" x14ac:dyDescent="0.25">
      <c r="B95" s="14"/>
    </row>
    <row r="96" spans="2:9" x14ac:dyDescent="0.2">
      <c r="B96" s="35" t="s">
        <v>170</v>
      </c>
      <c r="C96" s="24"/>
      <c r="D96" s="9"/>
      <c r="E96" s="10"/>
    </row>
    <row r="97" spans="2:9" x14ac:dyDescent="0.2">
      <c r="B97" s="36"/>
      <c r="C97" s="37"/>
      <c r="D97" s="12"/>
      <c r="E97" s="13"/>
    </row>
    <row r="98" spans="2:9" ht="27.75" customHeight="1" x14ac:dyDescent="0.2">
      <c r="B98" s="38" t="s">
        <v>45</v>
      </c>
      <c r="C98" s="37"/>
      <c r="D98" s="12"/>
      <c r="E98" s="13"/>
    </row>
    <row r="99" spans="2:9" ht="67.5" customHeight="1" x14ac:dyDescent="0.2">
      <c r="B99" s="38"/>
      <c r="C99" s="103" t="s">
        <v>185</v>
      </c>
      <c r="D99" s="103"/>
      <c r="E99" s="104"/>
    </row>
    <row r="100" spans="2:9" ht="15.75" customHeight="1" thickBot="1" x14ac:dyDescent="0.25">
      <c r="B100" s="39"/>
      <c r="C100" s="40"/>
      <c r="D100" s="21"/>
      <c r="E100" s="22"/>
    </row>
    <row r="101" spans="2:9" s="12" customFormat="1" ht="15.75" customHeight="1" thickBot="1" x14ac:dyDescent="0.25">
      <c r="B101" s="65"/>
      <c r="C101" s="37"/>
      <c r="F101" s="66"/>
      <c r="G101" s="66"/>
      <c r="H101" s="67"/>
      <c r="I101" s="68"/>
    </row>
    <row r="102" spans="2:9" x14ac:dyDescent="0.2">
      <c r="B102" s="35" t="s">
        <v>171</v>
      </c>
      <c r="C102" s="24"/>
      <c r="D102" s="9"/>
      <c r="E102" s="10"/>
    </row>
    <row r="103" spans="2:9" x14ac:dyDescent="0.2">
      <c r="B103" s="36"/>
      <c r="C103" s="37"/>
      <c r="D103" s="12"/>
      <c r="E103" s="13"/>
    </row>
    <row r="104" spans="2:9" x14ac:dyDescent="0.2">
      <c r="B104" s="38" t="s">
        <v>45</v>
      </c>
      <c r="C104" s="37"/>
      <c r="D104" s="12"/>
      <c r="E104" s="13"/>
    </row>
    <row r="105" spans="2:9" ht="45" customHeight="1" x14ac:dyDescent="0.2">
      <c r="B105" s="38"/>
      <c r="C105" s="107" t="s">
        <v>190</v>
      </c>
      <c r="D105" s="107"/>
      <c r="E105" s="108"/>
    </row>
    <row r="106" spans="2:9" ht="13.5" thickBot="1" x14ac:dyDescent="0.25">
      <c r="B106" s="39"/>
      <c r="C106" s="40"/>
      <c r="D106" s="21"/>
      <c r="E106" s="22"/>
    </row>
    <row r="107" spans="2:9" ht="13.5" thickBot="1" x14ac:dyDescent="0.25">
      <c r="B107" s="14"/>
    </row>
    <row r="108" spans="2:9" x14ac:dyDescent="0.2">
      <c r="B108" s="35" t="s">
        <v>172</v>
      </c>
      <c r="C108" s="24"/>
      <c r="D108" s="9"/>
      <c r="E108" s="10"/>
    </row>
    <row r="109" spans="2:9" x14ac:dyDescent="0.2">
      <c r="B109" s="36"/>
      <c r="C109" s="37"/>
      <c r="D109" s="12"/>
      <c r="E109" s="13"/>
    </row>
    <row r="110" spans="2:9" x14ac:dyDescent="0.2">
      <c r="B110" s="38" t="s">
        <v>45</v>
      </c>
      <c r="C110" s="37"/>
      <c r="D110" s="12"/>
      <c r="E110" s="13"/>
    </row>
    <row r="111" spans="2:9" ht="30.75" customHeight="1" x14ac:dyDescent="0.2">
      <c r="B111" s="38"/>
      <c r="C111" s="107" t="s">
        <v>198</v>
      </c>
      <c r="D111" s="107"/>
      <c r="E111" s="108"/>
    </row>
    <row r="112" spans="2:9" ht="12" customHeight="1" thickBot="1" x14ac:dyDescent="0.25">
      <c r="B112" s="39"/>
      <c r="C112" s="40"/>
      <c r="D112" s="21"/>
      <c r="E112" s="22"/>
    </row>
    <row r="113" spans="1:9" ht="13.5" thickBot="1" x14ac:dyDescent="0.25">
      <c r="B113" s="14"/>
    </row>
    <row r="114" spans="1:9" x14ac:dyDescent="0.2">
      <c r="B114" s="35" t="s">
        <v>173</v>
      </c>
      <c r="C114" s="24"/>
      <c r="D114" s="9"/>
      <c r="E114" s="10"/>
    </row>
    <row r="115" spans="1:9" x14ac:dyDescent="0.2">
      <c r="B115" s="36"/>
      <c r="C115" s="37"/>
      <c r="D115" s="12"/>
      <c r="E115" s="13"/>
    </row>
    <row r="116" spans="1:9" x14ac:dyDescent="0.2">
      <c r="B116" s="38" t="s">
        <v>45</v>
      </c>
      <c r="C116" s="37"/>
      <c r="D116" s="12"/>
      <c r="E116" s="13"/>
    </row>
    <row r="117" spans="1:9" ht="28.5" customHeight="1" x14ac:dyDescent="0.2">
      <c r="B117" s="38"/>
      <c r="C117" s="101" t="s">
        <v>191</v>
      </c>
      <c r="D117" s="107"/>
      <c r="E117" s="108"/>
    </row>
    <row r="118" spans="1:9" ht="17.25" customHeight="1" thickBot="1" x14ac:dyDescent="0.25">
      <c r="A118" s="8"/>
      <c r="B118" s="39"/>
      <c r="C118" s="40"/>
      <c r="D118" s="21"/>
      <c r="E118" s="22"/>
    </row>
    <row r="119" spans="1:9" s="12" customFormat="1" ht="17.25" customHeight="1" thickBot="1" x14ac:dyDescent="0.25">
      <c r="A119" s="69"/>
      <c r="B119" s="65"/>
      <c r="C119" s="37"/>
      <c r="F119" s="66"/>
      <c r="G119" s="66"/>
      <c r="H119" s="67"/>
      <c r="I119" s="68"/>
    </row>
    <row r="120" spans="1:9" x14ac:dyDescent="0.2">
      <c r="B120" s="35" t="s">
        <v>192</v>
      </c>
      <c r="C120" s="24"/>
      <c r="D120" s="9"/>
      <c r="E120" s="10"/>
    </row>
    <row r="121" spans="1:9" x14ac:dyDescent="0.2">
      <c r="B121" s="36"/>
      <c r="C121" s="37"/>
      <c r="D121" s="12"/>
      <c r="E121" s="13"/>
    </row>
    <row r="122" spans="1:9" x14ac:dyDescent="0.2">
      <c r="B122" s="38" t="s">
        <v>45</v>
      </c>
      <c r="C122" s="37"/>
      <c r="D122" s="12"/>
      <c r="E122" s="13"/>
    </row>
    <row r="123" spans="1:9" ht="50.25" customHeight="1" x14ac:dyDescent="0.2">
      <c r="B123" s="38"/>
      <c r="C123" s="101" t="s">
        <v>193</v>
      </c>
      <c r="D123" s="107"/>
      <c r="E123" s="108"/>
    </row>
    <row r="124" spans="1:9" ht="17.25" customHeight="1" thickBot="1" x14ac:dyDescent="0.25">
      <c r="A124" s="8"/>
      <c r="B124" s="39"/>
      <c r="C124" s="40"/>
      <c r="D124" s="21"/>
      <c r="E124" s="22"/>
    </row>
    <row r="125" spans="1:9" ht="13.5" thickBot="1" x14ac:dyDescent="0.25">
      <c r="B125" s="14"/>
    </row>
    <row r="126" spans="1:9" x14ac:dyDescent="0.2">
      <c r="B126" s="35" t="s">
        <v>194</v>
      </c>
      <c r="C126" s="24"/>
      <c r="D126" s="9"/>
      <c r="E126" s="10"/>
    </row>
    <row r="127" spans="1:9" x14ac:dyDescent="0.2">
      <c r="B127" s="36"/>
      <c r="C127" s="37"/>
      <c r="D127" s="12"/>
      <c r="E127" s="13"/>
    </row>
    <row r="128" spans="1:9" x14ac:dyDescent="0.2">
      <c r="B128" s="38" t="s">
        <v>45</v>
      </c>
      <c r="C128" s="37"/>
      <c r="D128" s="12"/>
      <c r="E128" s="13"/>
    </row>
    <row r="129" spans="2:5" ht="39" customHeight="1" x14ac:dyDescent="0.2">
      <c r="B129" s="38"/>
      <c r="C129" s="101" t="s">
        <v>195</v>
      </c>
      <c r="D129" s="107"/>
      <c r="E129" s="108"/>
    </row>
    <row r="130" spans="2:5" ht="13.5" thickBot="1" x14ac:dyDescent="0.25">
      <c r="B130" s="39"/>
      <c r="C130" s="40"/>
      <c r="D130" s="21"/>
      <c r="E130" s="22"/>
    </row>
    <row r="131" spans="2:5" ht="13.5" thickBot="1" x14ac:dyDescent="0.25">
      <c r="B131" s="14"/>
    </row>
    <row r="132" spans="2:5" ht="17.25" customHeight="1" x14ac:dyDescent="0.2">
      <c r="B132" s="35" t="s">
        <v>196</v>
      </c>
      <c r="C132" s="24"/>
      <c r="D132" s="9"/>
      <c r="E132" s="10"/>
    </row>
    <row r="133" spans="2:5" x14ac:dyDescent="0.2">
      <c r="B133" s="36"/>
      <c r="C133" s="37"/>
      <c r="D133" s="12"/>
      <c r="E133" s="13"/>
    </row>
    <row r="134" spans="2:5" x14ac:dyDescent="0.2">
      <c r="B134" s="38" t="s">
        <v>45</v>
      </c>
      <c r="C134" s="37"/>
      <c r="D134" s="12"/>
      <c r="E134" s="13"/>
    </row>
    <row r="135" spans="2:5" ht="31.5" customHeight="1" x14ac:dyDescent="0.2">
      <c r="B135" s="38"/>
      <c r="C135" s="101" t="s">
        <v>197</v>
      </c>
      <c r="D135" s="107"/>
      <c r="E135" s="108"/>
    </row>
    <row r="136" spans="2:5" ht="15" customHeight="1" thickBot="1" x14ac:dyDescent="0.25">
      <c r="B136" s="39"/>
      <c r="C136" s="40"/>
      <c r="D136" s="21"/>
      <c r="E136" s="22"/>
    </row>
    <row r="137" spans="2:5" x14ac:dyDescent="0.2">
      <c r="B137" s="65"/>
      <c r="C137" s="37"/>
      <c r="D137" s="12"/>
      <c r="E137" s="12"/>
    </row>
    <row r="138" spans="2:5" ht="13.5" thickBot="1" x14ac:dyDescent="0.25">
      <c r="B138" s="14"/>
    </row>
    <row r="139" spans="2:5" ht="14.25" x14ac:dyDescent="0.2">
      <c r="B139" s="15" t="s">
        <v>14</v>
      </c>
      <c r="C139" s="41"/>
      <c r="D139" s="9"/>
      <c r="E139" s="16"/>
    </row>
    <row r="140" spans="2:5" ht="129" customHeight="1" x14ac:dyDescent="0.2">
      <c r="B140" s="11"/>
      <c r="C140" s="101" t="s">
        <v>156</v>
      </c>
      <c r="D140" s="101"/>
      <c r="E140" s="102"/>
    </row>
    <row r="141" spans="2:5" x14ac:dyDescent="0.2">
      <c r="B141" s="11"/>
      <c r="C141" s="106"/>
      <c r="D141" s="106"/>
      <c r="E141" s="105"/>
    </row>
    <row r="142" spans="2:5" x14ac:dyDescent="0.2">
      <c r="B142" s="17" t="s">
        <v>174</v>
      </c>
      <c r="C142" s="42"/>
      <c r="D142" s="18"/>
      <c r="E142" s="19"/>
    </row>
    <row r="143" spans="2:5" ht="18.75" customHeight="1" x14ac:dyDescent="0.2">
      <c r="B143" s="11"/>
      <c r="C143" s="101" t="s">
        <v>39</v>
      </c>
      <c r="D143" s="101"/>
      <c r="E143" s="102"/>
    </row>
    <row r="144" spans="2:5" ht="13.5" thickBot="1" x14ac:dyDescent="0.25">
      <c r="B144" s="20"/>
      <c r="C144" s="40"/>
      <c r="D144" s="21"/>
      <c r="E144" s="22"/>
    </row>
    <row r="145" spans="2:5" ht="13.5" thickBot="1" x14ac:dyDescent="0.25"/>
    <row r="146" spans="2:5" x14ac:dyDescent="0.2">
      <c r="B146" s="23" t="s">
        <v>15</v>
      </c>
      <c r="C146" s="24"/>
      <c r="D146" s="24"/>
      <c r="E146" s="25"/>
    </row>
    <row r="147" spans="2:5" x14ac:dyDescent="0.2">
      <c r="B147" s="26"/>
      <c r="C147" s="103" t="s">
        <v>175</v>
      </c>
      <c r="D147" s="103"/>
      <c r="E147" s="104"/>
    </row>
    <row r="148" spans="2:5" x14ac:dyDescent="0.2">
      <c r="B148" s="27" t="s">
        <v>176</v>
      </c>
      <c r="C148" s="37"/>
      <c r="D148" s="12"/>
      <c r="E148" s="13"/>
    </row>
    <row r="149" spans="2:5" x14ac:dyDescent="0.2">
      <c r="B149" s="28"/>
      <c r="C149" s="105"/>
      <c r="D149" s="105"/>
      <c r="E149" s="105"/>
    </row>
    <row r="150" spans="2:5" ht="13.5" thickBot="1" x14ac:dyDescent="0.25">
      <c r="B150" s="29"/>
      <c r="C150" s="40"/>
      <c r="D150" s="21"/>
      <c r="E150" s="22"/>
    </row>
  </sheetData>
  <autoFilter ref="A9:J69" xr:uid="{8914B9B5-3939-4FF2-ADDB-5A340CAD42FF}"/>
  <mergeCells count="25">
    <mergeCell ref="A6:B6"/>
    <mergeCell ref="B2:H2"/>
    <mergeCell ref="A4:B4"/>
    <mergeCell ref="C4:E4"/>
    <mergeCell ref="A5:B5"/>
    <mergeCell ref="C5:E5"/>
    <mergeCell ref="A7:B7"/>
    <mergeCell ref="C74:E74"/>
    <mergeCell ref="C94:E94"/>
    <mergeCell ref="C99:E99"/>
    <mergeCell ref="C111:E111"/>
    <mergeCell ref="C84:E84"/>
    <mergeCell ref="C89:E89"/>
    <mergeCell ref="C105:E105"/>
    <mergeCell ref="C143:E143"/>
    <mergeCell ref="C147:E147"/>
    <mergeCell ref="C149:E149"/>
    <mergeCell ref="A69:H69"/>
    <mergeCell ref="C140:E140"/>
    <mergeCell ref="C141:E141"/>
    <mergeCell ref="C117:E117"/>
    <mergeCell ref="C79:E79"/>
    <mergeCell ref="C123:E123"/>
    <mergeCell ref="C129:E129"/>
    <mergeCell ref="C135:E13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topLeftCell="A4" zoomScale="90" zoomScaleNormal="90" workbookViewId="0">
      <selection activeCell="A10" sqref="A10:Q10"/>
    </sheetView>
  </sheetViews>
  <sheetFormatPr baseColWidth="10" defaultColWidth="11" defaultRowHeight="13.5" x14ac:dyDescent="0.25"/>
  <cols>
    <col min="1" max="5" width="4.42578125" style="1" customWidth="1"/>
    <col min="6" max="6" width="5.5703125" style="1" customWidth="1"/>
    <col min="7" max="7" width="4.42578125" style="5" customWidth="1"/>
    <col min="8" max="14" width="4.42578125" style="1" customWidth="1"/>
    <col min="15" max="15" width="14.85546875" style="1" customWidth="1"/>
    <col min="16" max="16" width="17" style="1" customWidth="1"/>
    <col min="17" max="17" width="17.28515625" style="55" customWidth="1"/>
    <col min="18" max="18" width="11.7109375" style="1" bestFit="1" customWidth="1"/>
    <col min="19" max="19" width="16.42578125" style="1" customWidth="1"/>
    <col min="20" max="20" width="17.28515625" style="1" customWidth="1"/>
    <col min="21" max="16384" width="11" style="1"/>
  </cols>
  <sheetData>
    <row r="1" spans="1:20" ht="15.75" customHeight="1" thickBot="1" x14ac:dyDescent="0.3">
      <c r="A1" s="136" t="s">
        <v>3</v>
      </c>
      <c r="B1" s="137"/>
      <c r="C1" s="137"/>
      <c r="D1" s="138">
        <v>2021</v>
      </c>
      <c r="E1" s="139"/>
      <c r="F1" s="3"/>
      <c r="G1" s="3"/>
      <c r="H1" s="4"/>
      <c r="I1" s="4"/>
      <c r="J1" s="4"/>
      <c r="K1" s="4"/>
      <c r="L1" s="4"/>
      <c r="M1" s="4"/>
      <c r="N1" s="4"/>
      <c r="P1" s="140" t="s">
        <v>16</v>
      </c>
      <c r="Q1" s="141"/>
    </row>
    <row r="2" spans="1:20" ht="15.75" customHeight="1" thickBot="1" x14ac:dyDescent="0.3">
      <c r="H2" s="4"/>
      <c r="I2" s="4"/>
      <c r="J2" s="4"/>
      <c r="K2" s="4"/>
      <c r="L2" s="4"/>
      <c r="M2" s="4"/>
      <c r="N2" s="4"/>
      <c r="P2" s="142"/>
      <c r="Q2" s="143"/>
    </row>
    <row r="3" spans="1:20" ht="14.25" thickBot="1" x14ac:dyDescent="0.3"/>
    <row r="4" spans="1:20" ht="18" customHeight="1" thickBot="1" x14ac:dyDescent="0.35">
      <c r="A4" s="144" t="s">
        <v>17</v>
      </c>
      <c r="B4" s="145"/>
      <c r="C4" s="145"/>
      <c r="D4" s="145"/>
      <c r="E4" s="145"/>
      <c r="F4" s="146"/>
      <c r="G4" s="127" t="s">
        <v>42</v>
      </c>
      <c r="H4" s="128"/>
      <c r="I4" s="128"/>
      <c r="J4" s="128"/>
      <c r="K4" s="128"/>
      <c r="L4" s="128"/>
      <c r="M4" s="128"/>
      <c r="N4" s="128"/>
      <c r="O4" s="128"/>
      <c r="P4" s="128"/>
      <c r="Q4" s="129"/>
    </row>
    <row r="5" spans="1:20" ht="18" customHeight="1" thickBot="1" x14ac:dyDescent="0.35">
      <c r="A5" s="155" t="s">
        <v>37</v>
      </c>
      <c r="B5" s="156"/>
      <c r="C5" s="156"/>
      <c r="D5" s="156"/>
      <c r="E5" s="156"/>
      <c r="F5" s="157"/>
      <c r="G5" s="127" t="s">
        <v>147</v>
      </c>
      <c r="H5" s="128"/>
      <c r="I5" s="128"/>
      <c r="J5" s="128"/>
      <c r="K5" s="128"/>
      <c r="L5" s="128"/>
      <c r="M5" s="128"/>
      <c r="N5" s="128"/>
      <c r="O5" s="128"/>
      <c r="P5" s="128"/>
      <c r="Q5" s="129"/>
    </row>
    <row r="6" spans="1:20" ht="18" customHeight="1" thickBot="1" x14ac:dyDescent="0.35">
      <c r="A6" s="155" t="s">
        <v>18</v>
      </c>
      <c r="B6" s="156"/>
      <c r="C6" s="156"/>
      <c r="D6" s="156"/>
      <c r="E6" s="156"/>
      <c r="F6" s="157"/>
      <c r="G6" s="127" t="s">
        <v>43</v>
      </c>
      <c r="H6" s="128"/>
      <c r="I6" s="128"/>
      <c r="J6" s="128"/>
      <c r="K6" s="128"/>
      <c r="L6" s="128"/>
      <c r="M6" s="128"/>
      <c r="N6" s="128"/>
      <c r="O6" s="128"/>
      <c r="P6" s="128"/>
      <c r="Q6" s="129"/>
    </row>
    <row r="7" spans="1:20" ht="18" customHeight="1" thickBot="1" x14ac:dyDescent="0.35">
      <c r="A7" s="155" t="s">
        <v>38</v>
      </c>
      <c r="B7" s="156"/>
      <c r="C7" s="156"/>
      <c r="D7" s="156"/>
      <c r="E7" s="156"/>
      <c r="F7" s="157"/>
      <c r="G7" s="127" t="s">
        <v>43</v>
      </c>
      <c r="H7" s="128"/>
      <c r="I7" s="128"/>
      <c r="J7" s="128"/>
      <c r="K7" s="128"/>
      <c r="L7" s="128"/>
      <c r="M7" s="128"/>
      <c r="N7" s="128"/>
      <c r="O7" s="128"/>
      <c r="P7" s="128"/>
      <c r="Q7" s="129"/>
    </row>
    <row r="8" spans="1:20" ht="18" customHeight="1" thickBot="1" x14ac:dyDescent="0.3">
      <c r="A8" s="158" t="s">
        <v>40</v>
      </c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60"/>
    </row>
    <row r="9" spans="1:20" ht="18" customHeight="1" x14ac:dyDescent="0.3">
      <c r="A9" s="147" t="s">
        <v>19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2"/>
      <c r="P9" s="2"/>
      <c r="Q9" s="63"/>
    </row>
    <row r="10" spans="1:20" ht="65.25" customHeight="1" x14ac:dyDescent="0.25">
      <c r="A10" s="149" t="s">
        <v>157</v>
      </c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1"/>
    </row>
    <row r="11" spans="1:20" ht="9" customHeight="1" thickBot="1" x14ac:dyDescent="0.3">
      <c r="A11" s="56"/>
      <c r="B11" s="2"/>
      <c r="C11" s="2"/>
      <c r="D11" s="2"/>
      <c r="E11" s="2"/>
      <c r="F11" s="2"/>
      <c r="G11" s="57"/>
      <c r="H11" s="2"/>
      <c r="I11" s="2"/>
      <c r="J11" s="2"/>
      <c r="K11" s="2"/>
      <c r="L11" s="2"/>
      <c r="M11" s="2"/>
      <c r="N11" s="2"/>
      <c r="O11" s="2"/>
      <c r="P11" s="2"/>
      <c r="Q11" s="63"/>
    </row>
    <row r="12" spans="1:20" ht="15.75" customHeight="1" thickBot="1" x14ac:dyDescent="0.3">
      <c r="A12" s="152" t="s">
        <v>20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4"/>
    </row>
    <row r="13" spans="1:20" ht="15.75" customHeight="1" thickBot="1" x14ac:dyDescent="0.3">
      <c r="A13" s="117" t="s">
        <v>21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9"/>
      <c r="O13" s="120" t="s">
        <v>22</v>
      </c>
      <c r="P13" s="121"/>
      <c r="Q13" s="124" t="s">
        <v>23</v>
      </c>
    </row>
    <row r="14" spans="1:20" ht="15.75" customHeight="1" thickBot="1" x14ac:dyDescent="0.3">
      <c r="A14" s="58" t="s">
        <v>24</v>
      </c>
      <c r="B14" s="59" t="s">
        <v>25</v>
      </c>
      <c r="C14" s="59" t="s">
        <v>26</v>
      </c>
      <c r="D14" s="59" t="s">
        <v>27</v>
      </c>
      <c r="E14" s="59" t="s">
        <v>28</v>
      </c>
      <c r="F14" s="59" t="s">
        <v>29</v>
      </c>
      <c r="G14" s="60" t="s">
        <v>30</v>
      </c>
      <c r="H14" s="59" t="s">
        <v>31</v>
      </c>
      <c r="I14" s="59" t="s">
        <v>32</v>
      </c>
      <c r="J14" s="59" t="s">
        <v>33</v>
      </c>
      <c r="K14" s="59" t="s">
        <v>33</v>
      </c>
      <c r="L14" s="59" t="s">
        <v>34</v>
      </c>
      <c r="M14" s="61" t="s">
        <v>35</v>
      </c>
      <c r="N14" s="62" t="s">
        <v>36</v>
      </c>
      <c r="O14" s="122"/>
      <c r="P14" s="123"/>
      <c r="Q14" s="125"/>
    </row>
    <row r="15" spans="1:20" ht="15" customHeight="1" x14ac:dyDescent="0.25">
      <c r="A15" s="78">
        <v>1</v>
      </c>
      <c r="B15" s="78">
        <v>0</v>
      </c>
      <c r="C15" s="78">
        <v>0</v>
      </c>
      <c r="D15" s="78">
        <v>1</v>
      </c>
      <c r="E15" s="78">
        <v>0</v>
      </c>
      <c r="F15" s="78">
        <v>4901</v>
      </c>
      <c r="G15" s="78">
        <v>3</v>
      </c>
      <c r="H15" s="78">
        <v>6</v>
      </c>
      <c r="I15" s="78">
        <v>2</v>
      </c>
      <c r="J15" s="78">
        <v>2</v>
      </c>
      <c r="K15" s="78">
        <v>1</v>
      </c>
      <c r="L15" s="78">
        <v>0</v>
      </c>
      <c r="M15" s="78">
        <v>1</v>
      </c>
      <c r="N15" s="78" t="s">
        <v>41</v>
      </c>
      <c r="O15" s="126" t="s">
        <v>144</v>
      </c>
      <c r="P15" s="126"/>
      <c r="Q15" s="79">
        <f>+'Utiles de Escritorio'!I10</f>
        <v>9030</v>
      </c>
      <c r="T15" s="55"/>
    </row>
    <row r="16" spans="1:20" ht="27.75" customHeight="1" x14ac:dyDescent="0.25">
      <c r="A16" s="80">
        <v>1</v>
      </c>
      <c r="B16" s="80">
        <v>0</v>
      </c>
      <c r="C16" s="80">
        <v>0</v>
      </c>
      <c r="D16" s="80">
        <v>1</v>
      </c>
      <c r="E16" s="80">
        <v>0</v>
      </c>
      <c r="F16" s="80">
        <v>4901</v>
      </c>
      <c r="G16" s="80">
        <v>3</v>
      </c>
      <c r="H16" s="80">
        <v>6</v>
      </c>
      <c r="I16" s="80">
        <v>2</v>
      </c>
      <c r="J16" s="80">
        <v>3</v>
      </c>
      <c r="K16" s="80">
        <v>1</v>
      </c>
      <c r="L16" s="80">
        <v>0</v>
      </c>
      <c r="M16" s="80">
        <v>1</v>
      </c>
      <c r="N16" s="80" t="s">
        <v>41</v>
      </c>
      <c r="O16" s="116" t="s">
        <v>145</v>
      </c>
      <c r="P16" s="116"/>
      <c r="Q16" s="81">
        <v>258877.4</v>
      </c>
      <c r="T16" s="55"/>
    </row>
    <row r="17" spans="1:20" ht="29.25" customHeight="1" x14ac:dyDescent="0.25">
      <c r="A17" s="82">
        <v>1</v>
      </c>
      <c r="B17" s="80">
        <v>0</v>
      </c>
      <c r="C17" s="80">
        <v>0</v>
      </c>
      <c r="D17" s="80">
        <v>1</v>
      </c>
      <c r="E17" s="80">
        <v>0</v>
      </c>
      <c r="F17" s="80">
        <v>4901</v>
      </c>
      <c r="G17" s="80">
        <v>3</v>
      </c>
      <c r="H17" s="80">
        <v>6</v>
      </c>
      <c r="I17" s="80">
        <v>2</v>
      </c>
      <c r="J17" s="80">
        <v>9</v>
      </c>
      <c r="K17" s="80">
        <v>2</v>
      </c>
      <c r="L17" s="80">
        <v>0</v>
      </c>
      <c r="M17" s="80">
        <v>1</v>
      </c>
      <c r="N17" s="80" t="s">
        <v>41</v>
      </c>
      <c r="O17" s="116" t="s">
        <v>146</v>
      </c>
      <c r="P17" s="116"/>
      <c r="Q17" s="83">
        <v>232000</v>
      </c>
      <c r="S17" s="44"/>
      <c r="T17" s="70"/>
    </row>
    <row r="18" spans="1:20" ht="29.25" customHeight="1" x14ac:dyDescent="0.25">
      <c r="A18" s="82">
        <v>2</v>
      </c>
      <c r="B18" s="80">
        <v>0</v>
      </c>
      <c r="C18" s="80">
        <v>0</v>
      </c>
      <c r="D18" s="80">
        <v>1</v>
      </c>
      <c r="E18" s="80">
        <v>0</v>
      </c>
      <c r="F18" s="80">
        <v>4901</v>
      </c>
      <c r="G18" s="80">
        <v>3</v>
      </c>
      <c r="H18" s="80">
        <v>6</v>
      </c>
      <c r="I18" s="80">
        <v>2</v>
      </c>
      <c r="J18" s="80">
        <v>9</v>
      </c>
      <c r="K18" s="80">
        <v>2</v>
      </c>
      <c r="L18" s="80">
        <v>0</v>
      </c>
      <c r="M18" s="80">
        <v>1</v>
      </c>
      <c r="N18" s="80" t="s">
        <v>41</v>
      </c>
      <c r="O18" s="116" t="s">
        <v>146</v>
      </c>
      <c r="P18" s="116"/>
      <c r="Q18" s="83">
        <v>135000</v>
      </c>
      <c r="T18" s="71"/>
    </row>
    <row r="19" spans="1:20" ht="32.25" customHeight="1" x14ac:dyDescent="0.25">
      <c r="A19" s="82">
        <v>3</v>
      </c>
      <c r="B19" s="80">
        <v>0</v>
      </c>
      <c r="C19" s="80">
        <v>0</v>
      </c>
      <c r="D19" s="80">
        <v>1</v>
      </c>
      <c r="E19" s="80">
        <v>0</v>
      </c>
      <c r="F19" s="80">
        <v>4901</v>
      </c>
      <c r="G19" s="80">
        <v>1</v>
      </c>
      <c r="H19" s="80">
        <v>3</v>
      </c>
      <c r="I19" s="80">
        <v>2</v>
      </c>
      <c r="J19" s="80">
        <v>9</v>
      </c>
      <c r="K19" s="80">
        <v>2</v>
      </c>
      <c r="L19" s="80">
        <v>0</v>
      </c>
      <c r="M19" s="80">
        <v>1</v>
      </c>
      <c r="N19" s="80" t="s">
        <v>41</v>
      </c>
      <c r="O19" s="116" t="s">
        <v>146</v>
      </c>
      <c r="P19" s="116"/>
      <c r="Q19" s="83">
        <v>56000</v>
      </c>
    </row>
    <row r="20" spans="1:20" ht="29.25" customHeight="1" x14ac:dyDescent="0.25">
      <c r="A20" s="82">
        <v>4</v>
      </c>
      <c r="B20" s="80">
        <v>0</v>
      </c>
      <c r="C20" s="80">
        <v>0</v>
      </c>
      <c r="D20" s="80">
        <v>2</v>
      </c>
      <c r="E20" s="80">
        <v>0</v>
      </c>
      <c r="F20" s="80">
        <v>4901</v>
      </c>
      <c r="G20" s="80">
        <v>3</v>
      </c>
      <c r="H20" s="80">
        <v>1</v>
      </c>
      <c r="I20" s="80">
        <v>2</v>
      </c>
      <c r="J20" s="80">
        <v>9</v>
      </c>
      <c r="K20" s="80">
        <v>2</v>
      </c>
      <c r="L20" s="80">
        <v>0</v>
      </c>
      <c r="M20" s="80">
        <v>1</v>
      </c>
      <c r="N20" s="80" t="s">
        <v>41</v>
      </c>
      <c r="O20" s="116" t="s">
        <v>146</v>
      </c>
      <c r="P20" s="116"/>
      <c r="Q20" s="83">
        <v>73000</v>
      </c>
    </row>
    <row r="21" spans="1:20" ht="29.25" customHeight="1" x14ac:dyDescent="0.25">
      <c r="A21" s="82">
        <v>6</v>
      </c>
      <c r="B21" s="80">
        <v>0</v>
      </c>
      <c r="C21" s="80">
        <v>0</v>
      </c>
      <c r="D21" s="80">
        <v>1</v>
      </c>
      <c r="E21" s="80">
        <v>0</v>
      </c>
      <c r="F21" s="80">
        <v>4901</v>
      </c>
      <c r="G21" s="80">
        <v>1</v>
      </c>
      <c r="H21" s="80">
        <v>3</v>
      </c>
      <c r="I21" s="80">
        <v>2</v>
      </c>
      <c r="J21" s="80">
        <v>9</v>
      </c>
      <c r="K21" s="80">
        <v>2</v>
      </c>
      <c r="L21" s="80">
        <v>0</v>
      </c>
      <c r="M21" s="80">
        <v>1</v>
      </c>
      <c r="N21" s="80" t="s">
        <v>41</v>
      </c>
      <c r="O21" s="116" t="s">
        <v>146</v>
      </c>
      <c r="P21" s="116"/>
      <c r="Q21" s="83">
        <v>113000</v>
      </c>
    </row>
    <row r="22" spans="1:20" ht="29.25" customHeight="1" x14ac:dyDescent="0.25">
      <c r="A22" s="82">
        <v>6</v>
      </c>
      <c r="B22" s="80">
        <v>0</v>
      </c>
      <c r="C22" s="80">
        <v>0</v>
      </c>
      <c r="D22" s="80">
        <v>2</v>
      </c>
      <c r="E22" s="80">
        <v>0</v>
      </c>
      <c r="F22" s="80">
        <v>4901</v>
      </c>
      <c r="G22" s="80">
        <v>1</v>
      </c>
      <c r="H22" s="80">
        <v>3</v>
      </c>
      <c r="I22" s="80">
        <v>2</v>
      </c>
      <c r="J22" s="80">
        <v>9</v>
      </c>
      <c r="K22" s="80">
        <v>2</v>
      </c>
      <c r="L22" s="80">
        <v>0</v>
      </c>
      <c r="M22" s="80">
        <v>1</v>
      </c>
      <c r="N22" s="80" t="s">
        <v>41</v>
      </c>
      <c r="O22" s="116" t="s">
        <v>146</v>
      </c>
      <c r="P22" s="116"/>
      <c r="Q22" s="83">
        <v>129000</v>
      </c>
    </row>
    <row r="23" spans="1:20" ht="32.25" customHeight="1" thickBot="1" x14ac:dyDescent="0.3">
      <c r="A23" s="82">
        <v>6</v>
      </c>
      <c r="B23" s="80">
        <v>0</v>
      </c>
      <c r="C23" s="80">
        <v>0</v>
      </c>
      <c r="D23" s="80">
        <v>3</v>
      </c>
      <c r="E23" s="80">
        <v>0</v>
      </c>
      <c r="F23" s="80">
        <v>4901</v>
      </c>
      <c r="G23" s="80">
        <v>1</v>
      </c>
      <c r="H23" s="80">
        <v>8</v>
      </c>
      <c r="I23" s="80">
        <v>2</v>
      </c>
      <c r="J23" s="80">
        <v>9</v>
      </c>
      <c r="K23" s="80">
        <v>2</v>
      </c>
      <c r="L23" s="80">
        <v>0</v>
      </c>
      <c r="M23" s="80">
        <v>1</v>
      </c>
      <c r="N23" s="80" t="s">
        <v>41</v>
      </c>
      <c r="O23" s="116" t="s">
        <v>146</v>
      </c>
      <c r="P23" s="116"/>
      <c r="Q23" s="83">
        <v>66233.350000000006</v>
      </c>
      <c r="R23" s="43"/>
      <c r="S23" s="44"/>
    </row>
    <row r="24" spans="1:20" ht="15" customHeight="1" thickBot="1" x14ac:dyDescent="0.3">
      <c r="A24" s="133" t="str">
        <f>+'Utiles de Escritorio'!A69:H69</f>
        <v>MONTO ESTIMADO TOTAL: Un Millón Setenta y Dos Mil Ciento Cuarenta con 75/100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5"/>
      <c r="Q24" s="84">
        <f>SUM(Q15:Q23)</f>
        <v>1072140.75</v>
      </c>
    </row>
    <row r="25" spans="1:20" ht="30" customHeight="1" thickBot="1" x14ac:dyDescent="0.3">
      <c r="A25" s="130" t="s">
        <v>158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2"/>
    </row>
  </sheetData>
  <mergeCells count="29">
    <mergeCell ref="A25:Q25"/>
    <mergeCell ref="A24:P24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A13:N13"/>
    <mergeCell ref="O13:P14"/>
    <mergeCell ref="Q13:Q14"/>
    <mergeCell ref="O15:P15"/>
    <mergeCell ref="G7:Q7"/>
    <mergeCell ref="O16:P16"/>
    <mergeCell ref="O20:P20"/>
    <mergeCell ref="O17:P17"/>
    <mergeCell ref="O23:P23"/>
    <mergeCell ref="O18:P18"/>
    <mergeCell ref="O19:P19"/>
    <mergeCell ref="O21:P21"/>
    <mergeCell ref="O22:P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Utiles de Escritorio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COMPRAS</cp:lastModifiedBy>
  <cp:revision>2</cp:revision>
  <cp:lastPrinted>2021-09-24T12:45:04Z</cp:lastPrinted>
  <dcterms:created xsi:type="dcterms:W3CDTF">2020-07-17T23:44:49Z</dcterms:created>
  <dcterms:modified xsi:type="dcterms:W3CDTF">2021-09-28T13:30:07Z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