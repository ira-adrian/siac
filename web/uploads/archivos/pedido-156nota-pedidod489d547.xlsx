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32E1C88B-CB44-46CD-8831-52CF3036674D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4" r:id="rId1"/>
    <sheet name=" NotaPedido" sheetId="1" r:id="rId2"/>
    <sheet name="Autor Gastar" sheetId="2" r:id="rId3"/>
  </sheets>
  <definedNames>
    <definedName name="_xlnm._FilterDatabase" localSheetId="0" hidden="1">'Necesidades Trimestrales'!$A$9:$H$9</definedName>
    <definedName name="_xlnm.Print_Area" localSheetId="1">' NotaPedido'!$A$1:$K$34</definedName>
    <definedName name="_xlnm.Print_Area" localSheetId="2">'Autor Gastar'!$A$1:$Q$40</definedName>
  </definedNames>
  <calcPr calcId="181029"/>
</workbook>
</file>

<file path=xl/calcChain.xml><?xml version="1.0" encoding="utf-8"?>
<calcChain xmlns="http://schemas.openxmlformats.org/spreadsheetml/2006/main">
  <c r="Q36" i="2" l="1"/>
  <c r="A11" i="4" l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H11" i="4" l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10" i="4"/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2" i="1"/>
  <c r="P22" i="1" l="1"/>
  <c r="M34" i="1"/>
  <c r="P25" i="1" s="1"/>
  <c r="P28" i="1" s="1"/>
</calcChain>
</file>

<file path=xl/sharedStrings.xml><?xml version="1.0" encoding="utf-8"?>
<sst xmlns="http://schemas.openxmlformats.org/spreadsheetml/2006/main" count="218" uniqueCount="100">
  <si>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</si>
  <si>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</si>
  <si>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</si>
  <si>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</si>
  <si>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</si>
  <si>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</si>
  <si>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</si>
  <si>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</si>
  <si>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</si>
  <si>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</si>
  <si>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</si>
  <si>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</si>
  <si>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</si>
  <si>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</si>
  <si>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</si>
  <si>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</si>
  <si>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</si>
  <si>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</si>
  <si>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</si>
  <si>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</si>
  <si>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</si>
  <si>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</si>
  <si>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</si>
  <si>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</si>
  <si>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</si>
  <si>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</si>
  <si>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</si>
  <si>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</si>
  <si>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</si>
  <si>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</si>
  <si>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</si>
  <si>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</si>
  <si>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</si>
  <si>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</si>
  <si>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</si>
  <si>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</si>
  <si>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</si>
  <si>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</si>
  <si>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40 - MINISTERIO DE SALUD</t>
  </si>
  <si>
    <t>11 - DIRECCION PROVINCIAL DE ADMINISTRACIÓN DEL M.S.</t>
  </si>
  <si>
    <t>752- HOSPITAL MONOVALENTE DR. CARLOS MALBRÁN</t>
  </si>
  <si>
    <t>1.1</t>
  </si>
  <si>
    <t>Cuatro (4) Meses</t>
  </si>
  <si>
    <t>Adquisición de Insumos Varios destinados al Hospital Dr. Carlos Malbrán</t>
  </si>
  <si>
    <t>Malla Tubular de 30 cm. Ancho X 25 mts. Largo Tipo Hidrosan</t>
  </si>
  <si>
    <t>Polietileno de 50 micrones 40cm. X  100 mts. Tipo MP</t>
  </si>
  <si>
    <t>Polietileno de 50 micrones 30cm. X  100 mts. Tipo MP</t>
  </si>
  <si>
    <t>Polietileno de 50 micrones 15cm. X  100 mts. Tipo MP</t>
  </si>
  <si>
    <t>21/2021</t>
  </si>
  <si>
    <t>SI</t>
  </si>
  <si>
    <t>UNIDAD</t>
  </si>
  <si>
    <t>Pedido de Necesidades Trimestrales</t>
  </si>
  <si>
    <t>JURISDICCION:</t>
  </si>
  <si>
    <t>040 - Ministerio de Salud</t>
  </si>
  <si>
    <t xml:space="preserve">SAF N°: </t>
  </si>
  <si>
    <t>TRIMESTRE:</t>
  </si>
  <si>
    <t>ID</t>
  </si>
  <si>
    <t>CODIGO ITEM</t>
  </si>
  <si>
    <t>RUBRO DE COMPRA</t>
  </si>
  <si>
    <t>DESCRIPCION</t>
  </si>
  <si>
    <t>UNIDAD DE MEDIDA</t>
  </si>
  <si>
    <t>PRECIO UNITARIO ESTIMADO</t>
  </si>
  <si>
    <t xml:space="preserve">IMPORTE TOTAL ESTIMADO </t>
  </si>
  <si>
    <t>Plazos y lugares de entrega</t>
  </si>
  <si>
    <t>PRODUCTOS DE MATERIAL PLÁSTICO</t>
  </si>
  <si>
    <t>UTILES MENORES MEDICO, QUIRURGICO Y DE LABORATORIO</t>
  </si>
  <si>
    <t>11- Dirección Provincial de Administración MS</t>
  </si>
  <si>
    <t>Segundo</t>
  </si>
  <si>
    <r>
      <rPr>
        <b/>
        <sz val="10"/>
        <rFont val="Arial"/>
        <family val="2"/>
      </rPr>
      <t>Lugar de Entrega:</t>
    </r>
    <r>
      <rPr>
        <sz val="10"/>
        <rFont val="Arial"/>
        <family val="2"/>
      </rPr>
      <t xml:space="preserve"> Hospital Dr. Carlos G. Malbrán -  Ruta Nacional 38, Av. Circunvalación Nestor Kirchner  (4700) San Fernando del Valle de Catamarca</t>
    </r>
  </si>
  <si>
    <r>
      <rPr>
        <b/>
        <sz val="10"/>
        <rFont val="Arial"/>
        <family val="2"/>
      </rPr>
      <t>Mantenimiento de Oferta</t>
    </r>
    <r>
      <rPr>
        <sz val="10"/>
        <rFont val="Arial"/>
        <family val="2"/>
      </rPr>
      <t>: 45 días hábiles</t>
    </r>
  </si>
  <si>
    <t>Prod. Med/Farm./Lab.</t>
  </si>
  <si>
    <t>Autorizo la realización de los  trámites correspondientes, a fin de proveer a  este Organismo los bienes que se detallan en Nota  de Pedido N° 21/2021  afectando la erogación resultante a los créditos presupuestarios aprobados a favor de esta Unidad Ejecutora, conforme al siguiente detalle:</t>
  </si>
  <si>
    <t>Cassettes peroxido de hidrogeno (5 ciclos) para equipo STERRAD NX 50 (CAJA X 5)</t>
  </si>
  <si>
    <t>Cinta Testigo p/calor humedo en rollo (caja x 48 unidades)</t>
  </si>
  <si>
    <t>Cinta Testigo p/calor seco en rollo (caja x 48 unidades)</t>
  </si>
  <si>
    <t>Cinta Testigo para peróxido de hidrógeno ( caja x 48 unidades)</t>
  </si>
  <si>
    <t>Indicador Quimico peróxigo de hidrógeno (6 x 250 tiras de papel)</t>
  </si>
  <si>
    <t>Indicadores de esterilización, calor seco ( 6 x 250 tiras de papel)</t>
  </si>
  <si>
    <t>Indicadores de esterilización, calor húmedo ( 6 x 250 tiras de papel)</t>
  </si>
  <si>
    <t>Bobina de papel Pouch Rollo de 100 mm x 200 mts.</t>
  </si>
  <si>
    <t>Bobina de papel Pouch Rollo de 300 mm x 200 mts.</t>
  </si>
  <si>
    <t>Bobina de papel Pouch Rollo de 450 mm x 200 mts.</t>
  </si>
  <si>
    <t>Bobina de papel Pouch Rollo de 400 mm x 200 mts.</t>
  </si>
  <si>
    <t>Bobina de papel Pouch Rollo de 200 mm x 200 mt.</t>
  </si>
  <si>
    <t>Bobina pelable de Tyvek Rollo  y film vilaminado transparente uso medico con indicador quimico incorporado para peroxido de hidrogeno de 10 cm x 70 mts.</t>
  </si>
  <si>
    <t>Bobina pelable de Tyvek Rollo  y film vilaminado transparente uso medico con indicador quimico incorporado para peroxido de hidrogeno de 15 cm x 70 mts.</t>
  </si>
  <si>
    <t>Bobina pelable de Tyvek Rollo  y film vilaminado transparente uso medico con indicador quimico incorporado para peroxido de hidrogeno de 20 cm x 70 mts.</t>
  </si>
  <si>
    <t>Bobina pelable de Tyvek Rollo  y film vilaminado transparente uso medico con indicador quimico incorporado para peroxido de hidrogeno de 35 cm x 70 mts.</t>
  </si>
  <si>
    <t>Bobina pelable de Tyvek Rollo  y film vilaminado transparente uso medico con indicador quimico incorporado para peroxido de hidrogeno de 40 cm x 70 mts.</t>
  </si>
  <si>
    <t>Bobina pelable de Tyvek Rollo  y film vilaminado transparente uso medico con indicador quimico incorporado para peroxido de hidrogeno de 50 cm x 70 mts.</t>
  </si>
  <si>
    <t>S/Adquisición de insumos varios destinados al Hospital Dr. Carlos G. Malbrán.-</t>
  </si>
  <si>
    <t>Costo total estimado: Cinco millones cuatrocientos seis mil seiscientos cuarenta con 00/100.-</t>
  </si>
  <si>
    <t>TOTAL DE PESOS: CINCO MILLONES CUATROCIENTOS SEIS MIL SEISCIENTOS CUARENTA CON 00/100.-</t>
  </si>
  <si>
    <t>Espedificaciones: ANEXO</t>
  </si>
  <si>
    <t>1- Para oferentes de la Provincia de Catamarca deberán presentar Habilitación Provincial para comercializar el producto que cotizan.</t>
  </si>
  <si>
    <t>2-Para el resto de oferentes deberán presentar Certificado de Inscripción de ANMAT vigente al momento de la oferta y de encontrarse vencido adjuntar la solicitud de renovación.</t>
  </si>
  <si>
    <t>3- Los productos deberán tener un vencimiento posterior a doce (12) meses a partir de la fecha de su recepción.</t>
  </si>
  <si>
    <t>4- Especificar Marca de los productos.</t>
  </si>
  <si>
    <r>
      <rPr>
        <b/>
        <sz val="10"/>
        <rFont val="Arial"/>
        <family val="2"/>
      </rPr>
      <t>Plazo de entrega:</t>
    </r>
    <r>
      <rPr>
        <sz val="10"/>
        <rFont val="Arial"/>
        <family val="2"/>
      </rPr>
      <t xml:space="preserve"> Dentro de los 10 días hábiles de notificada la Orden de Compra</t>
    </r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</si>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</sst>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_-* #,##0.00&quot; €&quot;_-;\-* #,##0.00&quot; €&quot;_-;_-* \-??&quot; €&quot;_-;_-@_-"/>
    <numFmt numFmtId="170" formatCode="_ [$$-2C0A]\ * #,##0.00_ ;_ [$$-2C0A]\ * \-#,##0.00_ ;_ [$$-2C0A]\ * &quot;-&quot;??_ ;_ @_ 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164" fontId="20" fillId="0" borderId="0" applyFont="0" applyFill="0" applyBorder="0" applyAlignment="0" applyProtection="0"/>
    <xf numFmtId="169" fontId="19" fillId="0" borderId="0" applyBorder="0" applyProtection="0"/>
    <xf numFmtId="0" fontId="19" fillId="0" borderId="0"/>
  </cellStyleXfs>
  <cellXfs count="187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3" fontId="10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2" fillId="0" borderId="26" xfId="0" applyNumberFormat="1" applyFont="1" applyBorder="1" applyAlignment="1"/>
    <xf numFmtId="167" fontId="0" fillId="0" borderId="26" xfId="0" applyNumberFormat="1" applyBorder="1" applyAlignment="1">
      <alignment horizontal="left"/>
    </xf>
    <xf numFmtId="0" fontId="0" fillId="0" borderId="26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1" xfId="0" applyBorder="1"/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8" fontId="0" fillId="0" borderId="46" xfId="2" applyNumberFormat="1" applyFont="1" applyBorder="1" applyAlignment="1" applyProtection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8" fontId="0" fillId="0" borderId="50" xfId="2" applyNumberFormat="1" applyFont="1" applyBorder="1" applyAlignment="1" applyProtection="1">
      <alignment horizontal="center"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31" xfId="0" applyFont="1" applyBorder="1" applyAlignment="1"/>
    <xf numFmtId="164" fontId="10" fillId="0" borderId="18" xfId="4" applyFont="1" applyBorder="1" applyAlignment="1">
      <alignment horizontal="center" vertical="center" wrapText="1"/>
    </xf>
    <xf numFmtId="164" fontId="10" fillId="0" borderId="21" xfId="4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70" fontId="19" fillId="0" borderId="0" xfId="5" applyNumberFormat="1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22" fillId="4" borderId="0" xfId="0" applyFont="1" applyFill="1" applyAlignment="1">
      <alignment horizontal="left" wrapText="1"/>
    </xf>
    <xf numFmtId="0" fontId="23" fillId="0" borderId="0" xfId="0" applyFont="1" applyAlignment="1">
      <alignment horizontal="center" wrapText="1"/>
    </xf>
    <xf numFmtId="0" fontId="22" fillId="0" borderId="63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4" fillId="0" borderId="2" xfId="0" applyFont="1" applyBorder="1" applyAlignment="1"/>
    <xf numFmtId="0" fontId="19" fillId="0" borderId="26" xfId="0" applyFont="1" applyBorder="1"/>
    <xf numFmtId="0" fontId="19" fillId="0" borderId="66" xfId="0" applyFont="1" applyBorder="1"/>
    <xf numFmtId="0" fontId="19" fillId="0" borderId="0" xfId="0" applyFont="1" applyAlignment="1">
      <alignment vertical="center"/>
    </xf>
    <xf numFmtId="0" fontId="19" fillId="0" borderId="0" xfId="0" applyFont="1" applyFill="1"/>
    <xf numFmtId="0" fontId="25" fillId="0" borderId="13" xfId="0" applyFont="1" applyBorder="1" applyAlignment="1">
      <alignment horizontal="left" indent="3"/>
    </xf>
    <xf numFmtId="0" fontId="19" fillId="0" borderId="0" xfId="0" applyFont="1" applyBorder="1"/>
    <xf numFmtId="0" fontId="19" fillId="0" borderId="7" xfId="0" applyFont="1" applyBorder="1"/>
    <xf numFmtId="0" fontId="19" fillId="0" borderId="0" xfId="0" applyFont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67" xfId="0" applyFont="1" applyBorder="1" applyAlignment="1">
      <alignment horizontal="left" indent="3"/>
    </xf>
    <xf numFmtId="0" fontId="19" fillId="0" borderId="68" xfId="0" applyFont="1" applyBorder="1"/>
    <xf numFmtId="0" fontId="19" fillId="0" borderId="69" xfId="0" applyFont="1" applyBorder="1"/>
    <xf numFmtId="0" fontId="22" fillId="0" borderId="0" xfId="0" applyFont="1" applyBorder="1" applyAlignment="1">
      <alignment horizontal="center" vertical="center" wrapText="1"/>
    </xf>
    <xf numFmtId="170" fontId="19" fillId="0" borderId="0" xfId="5" applyNumberFormat="1" applyFont="1" applyFill="1" applyBorder="1"/>
    <xf numFmtId="170" fontId="21" fillId="0" borderId="63" xfId="5" applyNumberFormat="1" applyFont="1" applyFill="1" applyBorder="1" applyAlignment="1">
      <alignment horizontal="center" wrapText="1"/>
    </xf>
    <xf numFmtId="0" fontId="0" fillId="0" borderId="21" xfId="0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9" fillId="0" borderId="13" xfId="0" applyFont="1" applyBorder="1" applyAlignment="1"/>
    <xf numFmtId="164" fontId="7" fillId="0" borderId="18" xfId="0" applyNumberFormat="1" applyFont="1" applyBorder="1" applyAlignment="1">
      <alignment vertical="center" wrapText="1"/>
    </xf>
    <xf numFmtId="164" fontId="7" fillId="0" borderId="21" xfId="0" applyNumberFormat="1" applyFont="1" applyBorder="1" applyAlignment="1">
      <alignment vertical="center" wrapText="1"/>
    </xf>
    <xf numFmtId="0" fontId="0" fillId="0" borderId="62" xfId="0" applyFill="1" applyBorder="1" applyAlignment="1">
      <alignment horizontal="center" vertical="center"/>
    </xf>
    <xf numFmtId="0" fontId="19" fillId="0" borderId="62" xfId="0" applyFont="1" applyFill="1" applyBorder="1" applyAlignment="1">
      <alignment horizontal="center" vertical="center"/>
    </xf>
    <xf numFmtId="0" fontId="18" fillId="0" borderId="62" xfId="0" applyFont="1" applyFill="1" applyBorder="1" applyAlignment="1">
      <alignment horizontal="center" vertical="center"/>
    </xf>
    <xf numFmtId="0" fontId="23" fillId="0" borderId="73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/>
    </xf>
    <xf numFmtId="0" fontId="10" fillId="0" borderId="77" xfId="0" applyFont="1" applyBorder="1" applyAlignment="1">
      <alignment horizontal="center" vertical="center" wrapText="1"/>
    </xf>
    <xf numFmtId="3" fontId="10" fillId="0" borderId="78" xfId="0" applyNumberFormat="1" applyFont="1" applyBorder="1" applyAlignment="1">
      <alignment horizontal="center" vertical="center"/>
    </xf>
    <xf numFmtId="164" fontId="10" fillId="0" borderId="77" xfId="4" applyFont="1" applyBorder="1" applyAlignment="1">
      <alignment horizontal="center" vertical="center" wrapText="1"/>
    </xf>
    <xf numFmtId="164" fontId="7" fillId="0" borderId="77" xfId="0" applyNumberFormat="1" applyFont="1" applyBorder="1" applyAlignment="1">
      <alignment vertical="center" wrapText="1"/>
    </xf>
    <xf numFmtId="0" fontId="0" fillId="0" borderId="80" xfId="0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0" fontId="7" fillId="0" borderId="74" xfId="0" applyFont="1" applyBorder="1" applyAlignment="1">
      <alignment vertical="center" wrapText="1"/>
    </xf>
    <xf numFmtId="0" fontId="7" fillId="0" borderId="75" xfId="0" applyFont="1" applyBorder="1" applyAlignment="1">
      <alignment vertical="center" wrapText="1"/>
    </xf>
    <xf numFmtId="0" fontId="7" fillId="0" borderId="81" xfId="0" applyFont="1" applyBorder="1" applyAlignment="1">
      <alignment vertical="center" wrapText="1"/>
    </xf>
    <xf numFmtId="0" fontId="29" fillId="0" borderId="0" xfId="0" applyFont="1" applyBorder="1" applyAlignment="1">
      <alignment vertical="center"/>
    </xf>
    <xf numFmtId="164" fontId="29" fillId="0" borderId="0" xfId="0" applyNumberFormat="1" applyFont="1" applyBorder="1" applyAlignment="1">
      <alignment vertical="center"/>
    </xf>
    <xf numFmtId="164" fontId="19" fillId="0" borderId="0" xfId="0" applyNumberFormat="1" applyFont="1"/>
    <xf numFmtId="168" fontId="0" fillId="0" borderId="41" xfId="2" applyNumberFormat="1" applyFont="1" applyBorder="1" applyAlignment="1" applyProtection="1">
      <alignment horizontal="right" vertical="center"/>
    </xf>
    <xf numFmtId="168" fontId="0" fillId="0" borderId="46" xfId="2" applyNumberFormat="1" applyFont="1" applyBorder="1" applyAlignment="1" applyProtection="1">
      <alignment horizontal="right" vertical="center"/>
    </xf>
    <xf numFmtId="168" fontId="16" fillId="0" borderId="52" xfId="0" applyNumberFormat="1" applyFont="1" applyBorder="1" applyAlignment="1">
      <alignment horizontal="right" vertical="center"/>
    </xf>
    <xf numFmtId="0" fontId="21" fillId="0" borderId="13" xfId="0" applyFont="1" applyBorder="1" applyAlignment="1"/>
    <xf numFmtId="0" fontId="19" fillId="0" borderId="0" xfId="0" applyFont="1" applyBorder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22" fillId="0" borderId="0" xfId="0" applyFont="1" applyBorder="1" applyAlignment="1">
      <alignment horizontal="left" vertical="center" wrapText="1"/>
    </xf>
    <xf numFmtId="0" fontId="19" fillId="3" borderId="13" xfId="6" applyFont="1" applyFill="1" applyBorder="1" applyAlignment="1">
      <alignment horizontal="left" wrapText="1"/>
    </xf>
    <xf numFmtId="0" fontId="19" fillId="3" borderId="0" xfId="6" applyFont="1" applyFill="1" applyBorder="1" applyAlignment="1">
      <alignment horizontal="left" wrapText="1"/>
    </xf>
    <xf numFmtId="0" fontId="19" fillId="3" borderId="7" xfId="6" applyFont="1" applyFill="1" applyBorder="1" applyAlignment="1">
      <alignment horizontal="left" wrapText="1"/>
    </xf>
    <xf numFmtId="0" fontId="27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left" vertical="center" wrapText="1"/>
    </xf>
    <xf numFmtId="0" fontId="7" fillId="0" borderId="82" xfId="0" applyFont="1" applyBorder="1" applyAlignment="1">
      <alignment horizontal="left" vertical="center" wrapText="1"/>
    </xf>
    <xf numFmtId="0" fontId="7" fillId="0" borderId="83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left" vertical="center" wrapText="1"/>
    </xf>
    <xf numFmtId="166" fontId="28" fillId="0" borderId="23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 indent="1"/>
    </xf>
    <xf numFmtId="0" fontId="0" fillId="0" borderId="24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6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10" fillId="0" borderId="27" xfId="0" applyFont="1" applyBorder="1" applyAlignment="1">
      <alignment horizontal="left" vertical="center" wrapText="1"/>
    </xf>
    <xf numFmtId="0" fontId="2" fillId="0" borderId="55" xfId="0" applyFont="1" applyBorder="1" applyAlignment="1">
      <alignment horizontal="left"/>
    </xf>
    <xf numFmtId="0" fontId="2" fillId="0" borderId="55" xfId="0" applyFont="1" applyBorder="1" applyAlignment="1">
      <alignment horizontal="left" vertical="center"/>
    </xf>
    <xf numFmtId="0" fontId="15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49" fontId="14" fillId="0" borderId="30" xfId="0" applyNumberFormat="1" applyFont="1" applyBorder="1" applyAlignment="1">
      <alignment horizontal="justify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26" fillId="0" borderId="70" xfId="0" applyFont="1" applyBorder="1" applyAlignment="1">
      <alignment horizontal="left" vertical="center" wrapText="1"/>
    </xf>
    <xf numFmtId="0" fontId="26" fillId="0" borderId="71" xfId="0" applyFont="1" applyBorder="1" applyAlignment="1">
      <alignment horizontal="left" vertical="center" wrapText="1"/>
    </xf>
    <xf numFmtId="0" fontId="0" fillId="0" borderId="45" xfId="0" applyBorder="1" applyAlignment="1">
      <alignment horizontal="center"/>
    </xf>
    <xf numFmtId="0" fontId="0" fillId="0" borderId="45" xfId="0" applyFont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2" fillId="0" borderId="51" xfId="0" applyFont="1" applyBorder="1" applyAlignment="1">
      <alignment horizontal="left" vertical="center" wrapText="1"/>
    </xf>
    <xf numFmtId="0" fontId="0" fillId="0" borderId="29" xfId="0" applyBorder="1"/>
  </cellXfs>
  <cellStyles count="7">
    <cellStyle name="Encabezado 1" xfId="1" xr:uid="{00000000-0005-0000-0000-000000000000}"/>
    <cellStyle name="Moneda" xfId="4" builtinId="4"/>
    <cellStyle name="Moneda 2" xfId="5" xr:uid="{00000000-0005-0000-0000-000002000000}"/>
    <cellStyle name="Moneda_AUTORIZACION Y NOTA DE PEDIDO" xfId="2" xr:uid="{00000000-0005-0000-0000-000003000000}"/>
    <cellStyle name="Neutral 1" xfId="3" xr:uid="{00000000-0005-0000-0000-000004000000}"/>
    <cellStyle name="Normal" xfId="0" builtinId="0"/>
    <cellStyle name="Normal 2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47"/>
  <sheetViews>
    <sheetView tabSelected="1" zoomScaleNormal="100" workbookViewId="0">
      <selection activeCell="G9" sqref="G9"/>
    </sheetView>
  </sheetViews>
  <sheetFormatPr baseColWidth="10" defaultColWidth="11" defaultRowHeight="12.75" x14ac:dyDescent="0.2"/>
  <cols>
    <col min="1" max="1" width="4.5703125" style="61" customWidth="1"/>
    <col min="2" max="2" width="14" style="61" customWidth="1"/>
    <col min="3" max="3" width="17" style="61" customWidth="1"/>
    <col min="4" max="4" width="83.85546875" style="61" customWidth="1"/>
    <col min="5" max="5" width="11" style="61" customWidth="1"/>
    <col min="6" max="6" width="8.5703125" style="62" customWidth="1"/>
    <col min="7" max="7" width="13.28515625" style="63" customWidth="1"/>
    <col min="8" max="8" width="16.85546875" style="61" customWidth="1"/>
    <col min="9" max="9" width="11" style="61"/>
    <col min="10" max="10" width="27.7109375" style="61" customWidth="1"/>
    <col min="11" max="16384" width="11" style="61"/>
  </cols>
  <sheetData>
    <row r="2" spans="1:8" ht="18" x14ac:dyDescent="0.25">
      <c r="B2" s="128" t="s">
        <v>51</v>
      </c>
      <c r="C2" s="128"/>
      <c r="D2" s="128"/>
      <c r="E2" s="128"/>
      <c r="F2" s="128"/>
      <c r="G2" s="128"/>
    </row>
    <row r="3" spans="1:8" ht="12" customHeight="1" x14ac:dyDescent="0.2"/>
    <row r="4" spans="1:8" ht="18" customHeight="1" x14ac:dyDescent="0.2">
      <c r="A4" s="124" t="s">
        <v>52</v>
      </c>
      <c r="B4" s="124"/>
      <c r="C4" s="129" t="s">
        <v>53</v>
      </c>
      <c r="D4" s="129"/>
      <c r="E4" s="64"/>
      <c r="F4" s="65"/>
    </row>
    <row r="5" spans="1:8" ht="18" customHeight="1" x14ac:dyDescent="0.2">
      <c r="A5" s="124" t="s">
        <v>54</v>
      </c>
      <c r="B5" s="124"/>
      <c r="C5" s="129" t="s">
        <v>66</v>
      </c>
      <c r="D5" s="129"/>
      <c r="E5" s="64"/>
      <c r="F5" s="65"/>
    </row>
    <row r="6" spans="1:8" ht="16.5" customHeight="1" x14ac:dyDescent="0.2">
      <c r="A6" s="124" t="s">
        <v>15</v>
      </c>
      <c r="B6" s="124"/>
      <c r="C6" s="66">
        <v>2021</v>
      </c>
      <c r="D6" s="67"/>
      <c r="E6" s="64"/>
      <c r="F6" s="65"/>
    </row>
    <row r="7" spans="1:8" ht="16.5" customHeight="1" x14ac:dyDescent="0.2">
      <c r="A7" s="124" t="s">
        <v>55</v>
      </c>
      <c r="B7" s="124"/>
      <c r="C7" s="66" t="s">
        <v>67</v>
      </c>
      <c r="D7" s="67"/>
      <c r="E7" s="64"/>
      <c r="F7" s="65"/>
    </row>
    <row r="8" spans="1:8" ht="13.5" thickBot="1" x14ac:dyDescent="0.25">
      <c r="B8" s="64"/>
      <c r="C8" s="68"/>
      <c r="D8" s="64"/>
      <c r="E8" s="64"/>
      <c r="F8" s="65"/>
    </row>
    <row r="9" spans="1:8" ht="39.75" thickTop="1" thickBot="1" x14ac:dyDescent="0.25">
      <c r="A9" s="69" t="s">
        <v>56</v>
      </c>
      <c r="B9" s="108" t="s">
        <v>57</v>
      </c>
      <c r="C9" s="108" t="s">
        <v>58</v>
      </c>
      <c r="D9" s="70" t="s">
        <v>59</v>
      </c>
      <c r="E9" s="71" t="s">
        <v>60</v>
      </c>
      <c r="F9" s="69" t="s">
        <v>99</v>
      </c>
      <c r="G9" s="88" t="s">
        <v>61</v>
      </c>
      <c r="H9" s="69" t="s">
        <v>62</v>
      </c>
    </row>
    <row r="10" spans="1:8" ht="25.5" x14ac:dyDescent="0.2">
      <c r="A10" s="99">
        <v>1</v>
      </c>
      <c r="B10" s="107"/>
      <c r="C10" s="109" t="s">
        <v>70</v>
      </c>
      <c r="D10" s="114" t="s">
        <v>72</v>
      </c>
      <c r="E10" s="14" t="s">
        <v>50</v>
      </c>
      <c r="F10" s="15">
        <v>16</v>
      </c>
      <c r="G10" s="59">
        <v>85000</v>
      </c>
      <c r="H10" s="94">
        <f>SUM(F10*G10)</f>
        <v>1360000</v>
      </c>
    </row>
    <row r="11" spans="1:8" ht="25.5" x14ac:dyDescent="0.2">
      <c r="A11" s="100">
        <f>SUM(A10+1)</f>
        <v>2</v>
      </c>
      <c r="B11" s="96"/>
      <c r="C11" s="110" t="s">
        <v>70</v>
      </c>
      <c r="D11" s="112" t="s">
        <v>73</v>
      </c>
      <c r="E11" s="18" t="s">
        <v>50</v>
      </c>
      <c r="F11" s="19">
        <v>5</v>
      </c>
      <c r="G11" s="60">
        <v>24480</v>
      </c>
      <c r="H11" s="95">
        <f t="shared" ref="H11:H31" si="0">SUM(F11*G11)</f>
        <v>122400</v>
      </c>
    </row>
    <row r="12" spans="1:8" ht="25.5" x14ac:dyDescent="0.2">
      <c r="A12" s="100">
        <f t="shared" ref="A12:A31" si="1">SUM(A11+1)</f>
        <v>3</v>
      </c>
      <c r="B12" s="96"/>
      <c r="C12" s="110" t="s">
        <v>70</v>
      </c>
      <c r="D12" s="112" t="s">
        <v>74</v>
      </c>
      <c r="E12" s="18" t="s">
        <v>50</v>
      </c>
      <c r="F12" s="19">
        <v>5</v>
      </c>
      <c r="G12" s="60">
        <v>35040</v>
      </c>
      <c r="H12" s="95">
        <f t="shared" si="0"/>
        <v>175200</v>
      </c>
    </row>
    <row r="13" spans="1:8" ht="25.5" x14ac:dyDescent="0.2">
      <c r="A13" s="100">
        <f t="shared" si="1"/>
        <v>4</v>
      </c>
      <c r="B13" s="96"/>
      <c r="C13" s="110" t="s">
        <v>70</v>
      </c>
      <c r="D13" s="112" t="s">
        <v>75</v>
      </c>
      <c r="E13" s="18" t="s">
        <v>50</v>
      </c>
      <c r="F13" s="19">
        <v>5</v>
      </c>
      <c r="G13" s="60">
        <v>152160</v>
      </c>
      <c r="H13" s="95">
        <f t="shared" si="0"/>
        <v>760800</v>
      </c>
    </row>
    <row r="14" spans="1:8" ht="25.5" x14ac:dyDescent="0.2">
      <c r="A14" s="100">
        <f t="shared" si="1"/>
        <v>5</v>
      </c>
      <c r="B14" s="96"/>
      <c r="C14" s="110" t="s">
        <v>70</v>
      </c>
      <c r="D14" s="112" t="s">
        <v>76</v>
      </c>
      <c r="E14" s="18" t="s">
        <v>50</v>
      </c>
      <c r="F14" s="19">
        <v>5</v>
      </c>
      <c r="G14" s="60">
        <v>2580</v>
      </c>
      <c r="H14" s="95">
        <f t="shared" si="0"/>
        <v>12900</v>
      </c>
    </row>
    <row r="15" spans="1:8" ht="25.5" x14ac:dyDescent="0.2">
      <c r="A15" s="100">
        <f t="shared" si="1"/>
        <v>6</v>
      </c>
      <c r="B15" s="97"/>
      <c r="C15" s="110" t="s">
        <v>70</v>
      </c>
      <c r="D15" s="112" t="s">
        <v>77</v>
      </c>
      <c r="E15" s="18" t="s">
        <v>50</v>
      </c>
      <c r="F15" s="19">
        <v>5</v>
      </c>
      <c r="G15" s="60">
        <v>2040</v>
      </c>
      <c r="H15" s="95">
        <f t="shared" si="0"/>
        <v>10200</v>
      </c>
    </row>
    <row r="16" spans="1:8" ht="31.15" customHeight="1" x14ac:dyDescent="0.2">
      <c r="A16" s="100">
        <f t="shared" si="1"/>
        <v>7</v>
      </c>
      <c r="B16" s="97"/>
      <c r="C16" s="110" t="s">
        <v>70</v>
      </c>
      <c r="D16" s="112" t="s">
        <v>78</v>
      </c>
      <c r="E16" s="18" t="s">
        <v>50</v>
      </c>
      <c r="F16" s="19">
        <v>5</v>
      </c>
      <c r="G16" s="60">
        <v>2040</v>
      </c>
      <c r="H16" s="95">
        <f t="shared" si="0"/>
        <v>10200</v>
      </c>
    </row>
    <row r="17" spans="1:10" ht="25.5" x14ac:dyDescent="0.2">
      <c r="A17" s="100">
        <f t="shared" si="1"/>
        <v>8</v>
      </c>
      <c r="B17" s="96"/>
      <c r="C17" s="110" t="s">
        <v>70</v>
      </c>
      <c r="D17" s="112" t="s">
        <v>44</v>
      </c>
      <c r="E17" s="18" t="s">
        <v>50</v>
      </c>
      <c r="F17" s="19">
        <v>8</v>
      </c>
      <c r="G17" s="60">
        <v>2300</v>
      </c>
      <c r="H17" s="95">
        <f t="shared" si="0"/>
        <v>18400</v>
      </c>
    </row>
    <row r="18" spans="1:10" ht="25.5" x14ac:dyDescent="0.2">
      <c r="A18" s="100">
        <f t="shared" si="1"/>
        <v>9</v>
      </c>
      <c r="B18" s="96"/>
      <c r="C18" s="110" t="s">
        <v>70</v>
      </c>
      <c r="D18" s="112" t="s">
        <v>47</v>
      </c>
      <c r="E18" s="18" t="s">
        <v>50</v>
      </c>
      <c r="F18" s="19">
        <v>8</v>
      </c>
      <c r="G18" s="60">
        <v>4300</v>
      </c>
      <c r="H18" s="95">
        <f t="shared" si="0"/>
        <v>34400</v>
      </c>
    </row>
    <row r="19" spans="1:10" ht="25.5" x14ac:dyDescent="0.2">
      <c r="A19" s="100">
        <f t="shared" si="1"/>
        <v>10</v>
      </c>
      <c r="B19" s="97"/>
      <c r="C19" s="110" t="s">
        <v>70</v>
      </c>
      <c r="D19" s="112" t="s">
        <v>46</v>
      </c>
      <c r="E19" s="18" t="s">
        <v>50</v>
      </c>
      <c r="F19" s="19">
        <v>8</v>
      </c>
      <c r="G19" s="60">
        <v>2700</v>
      </c>
      <c r="H19" s="95">
        <f t="shared" si="0"/>
        <v>21600</v>
      </c>
    </row>
    <row r="20" spans="1:10" ht="25.5" x14ac:dyDescent="0.2">
      <c r="A20" s="100">
        <f t="shared" si="1"/>
        <v>11</v>
      </c>
      <c r="B20" s="97"/>
      <c r="C20" s="110" t="s">
        <v>70</v>
      </c>
      <c r="D20" s="112" t="s">
        <v>45</v>
      </c>
      <c r="E20" s="18" t="s">
        <v>50</v>
      </c>
      <c r="F20" s="19">
        <v>8</v>
      </c>
      <c r="G20" s="60">
        <v>5000</v>
      </c>
      <c r="H20" s="95">
        <f t="shared" si="0"/>
        <v>40000</v>
      </c>
    </row>
    <row r="21" spans="1:10" ht="25.5" x14ac:dyDescent="0.2">
      <c r="A21" s="100">
        <f t="shared" si="1"/>
        <v>12</v>
      </c>
      <c r="B21" s="96"/>
      <c r="C21" s="110" t="s">
        <v>70</v>
      </c>
      <c r="D21" s="112" t="s">
        <v>79</v>
      </c>
      <c r="E21" s="18" t="s">
        <v>50</v>
      </c>
      <c r="F21" s="19">
        <v>10</v>
      </c>
      <c r="G21" s="60">
        <v>4550</v>
      </c>
      <c r="H21" s="95">
        <f t="shared" si="0"/>
        <v>45500</v>
      </c>
    </row>
    <row r="22" spans="1:10" ht="25.5" x14ac:dyDescent="0.2">
      <c r="A22" s="100">
        <f t="shared" si="1"/>
        <v>13</v>
      </c>
      <c r="B22" s="96"/>
      <c r="C22" s="110" t="s">
        <v>70</v>
      </c>
      <c r="D22" s="112" t="s">
        <v>83</v>
      </c>
      <c r="E22" s="18" t="s">
        <v>50</v>
      </c>
      <c r="F22" s="19">
        <v>10</v>
      </c>
      <c r="G22" s="60">
        <v>9050</v>
      </c>
      <c r="H22" s="95">
        <f t="shared" si="0"/>
        <v>90500</v>
      </c>
    </row>
    <row r="23" spans="1:10" ht="25.5" x14ac:dyDescent="0.2">
      <c r="A23" s="100">
        <f t="shared" si="1"/>
        <v>14</v>
      </c>
      <c r="B23" s="96"/>
      <c r="C23" s="110" t="s">
        <v>70</v>
      </c>
      <c r="D23" s="112" t="s">
        <v>80</v>
      </c>
      <c r="E23" s="18" t="s">
        <v>50</v>
      </c>
      <c r="F23" s="19">
        <v>10</v>
      </c>
      <c r="G23" s="60">
        <v>13550</v>
      </c>
      <c r="H23" s="95">
        <f t="shared" si="0"/>
        <v>135500</v>
      </c>
    </row>
    <row r="24" spans="1:10" ht="25.5" x14ac:dyDescent="0.2">
      <c r="A24" s="100">
        <f t="shared" si="1"/>
        <v>15</v>
      </c>
      <c r="B24" s="96"/>
      <c r="C24" s="110" t="s">
        <v>70</v>
      </c>
      <c r="D24" s="112" t="s">
        <v>82</v>
      </c>
      <c r="E24" s="18" t="s">
        <v>50</v>
      </c>
      <c r="F24" s="19">
        <v>10</v>
      </c>
      <c r="G24" s="60">
        <v>18200</v>
      </c>
      <c r="H24" s="95">
        <f t="shared" si="0"/>
        <v>182000</v>
      </c>
    </row>
    <row r="25" spans="1:10" ht="25.5" x14ac:dyDescent="0.2">
      <c r="A25" s="100">
        <f t="shared" si="1"/>
        <v>16</v>
      </c>
      <c r="B25" s="98"/>
      <c r="C25" s="110" t="s">
        <v>70</v>
      </c>
      <c r="D25" s="112" t="s">
        <v>81</v>
      </c>
      <c r="E25" s="18" t="s">
        <v>50</v>
      </c>
      <c r="F25" s="19">
        <v>10</v>
      </c>
      <c r="G25" s="60">
        <v>23600</v>
      </c>
      <c r="H25" s="95">
        <f t="shared" si="0"/>
        <v>236000</v>
      </c>
    </row>
    <row r="26" spans="1:10" ht="31.5" x14ac:dyDescent="0.2">
      <c r="A26" s="100">
        <f t="shared" si="1"/>
        <v>17</v>
      </c>
      <c r="B26" s="96"/>
      <c r="C26" s="110" t="s">
        <v>70</v>
      </c>
      <c r="D26" s="112" t="s">
        <v>84</v>
      </c>
      <c r="E26" s="18" t="s">
        <v>50</v>
      </c>
      <c r="F26" s="19">
        <v>16</v>
      </c>
      <c r="G26" s="60">
        <v>8160</v>
      </c>
      <c r="H26" s="95">
        <f t="shared" si="0"/>
        <v>130560</v>
      </c>
    </row>
    <row r="27" spans="1:10" ht="31.5" x14ac:dyDescent="0.2">
      <c r="A27" s="100">
        <f t="shared" si="1"/>
        <v>18</v>
      </c>
      <c r="B27" s="96"/>
      <c r="C27" s="110" t="s">
        <v>70</v>
      </c>
      <c r="D27" s="112" t="s">
        <v>85</v>
      </c>
      <c r="E27" s="18" t="s">
        <v>50</v>
      </c>
      <c r="F27" s="19">
        <v>16</v>
      </c>
      <c r="G27" s="60">
        <v>12800</v>
      </c>
      <c r="H27" s="95">
        <f t="shared" si="0"/>
        <v>204800</v>
      </c>
    </row>
    <row r="28" spans="1:10" ht="31.5" x14ac:dyDescent="0.2">
      <c r="A28" s="100">
        <f t="shared" si="1"/>
        <v>19</v>
      </c>
      <c r="B28" s="96"/>
      <c r="C28" s="110" t="s">
        <v>70</v>
      </c>
      <c r="D28" s="112" t="s">
        <v>86</v>
      </c>
      <c r="E28" s="18" t="s">
        <v>50</v>
      </c>
      <c r="F28" s="19">
        <v>16</v>
      </c>
      <c r="G28" s="60">
        <v>16650</v>
      </c>
      <c r="H28" s="95">
        <f t="shared" si="0"/>
        <v>266400</v>
      </c>
    </row>
    <row r="29" spans="1:10" ht="31.5" x14ac:dyDescent="0.2">
      <c r="A29" s="100">
        <f t="shared" si="1"/>
        <v>20</v>
      </c>
      <c r="B29" s="96"/>
      <c r="C29" s="110" t="s">
        <v>70</v>
      </c>
      <c r="D29" s="112" t="s">
        <v>87</v>
      </c>
      <c r="E29" s="18" t="s">
        <v>50</v>
      </c>
      <c r="F29" s="19">
        <v>16</v>
      </c>
      <c r="G29" s="60">
        <v>29250</v>
      </c>
      <c r="H29" s="95">
        <f t="shared" si="0"/>
        <v>468000</v>
      </c>
    </row>
    <row r="30" spans="1:10" ht="31.5" x14ac:dyDescent="0.2">
      <c r="A30" s="100">
        <f t="shared" si="1"/>
        <v>21</v>
      </c>
      <c r="B30" s="96"/>
      <c r="C30" s="110" t="s">
        <v>70</v>
      </c>
      <c r="D30" s="112" t="s">
        <v>88</v>
      </c>
      <c r="E30" s="18" t="s">
        <v>50</v>
      </c>
      <c r="F30" s="19">
        <v>16</v>
      </c>
      <c r="G30" s="60">
        <v>32880</v>
      </c>
      <c r="H30" s="95">
        <f t="shared" si="0"/>
        <v>526080</v>
      </c>
    </row>
    <row r="31" spans="1:10" ht="32.25" thickBot="1" x14ac:dyDescent="0.25">
      <c r="A31" s="101">
        <f t="shared" si="1"/>
        <v>22</v>
      </c>
      <c r="B31" s="102"/>
      <c r="C31" s="111" t="s">
        <v>70</v>
      </c>
      <c r="D31" s="113" t="s">
        <v>89</v>
      </c>
      <c r="E31" s="103" t="s">
        <v>50</v>
      </c>
      <c r="F31" s="104">
        <v>16</v>
      </c>
      <c r="G31" s="105">
        <v>34700</v>
      </c>
      <c r="H31" s="106">
        <f t="shared" si="0"/>
        <v>555200</v>
      </c>
      <c r="J31" s="117"/>
    </row>
    <row r="32" spans="1:10" x14ac:dyDescent="0.2">
      <c r="A32" s="86"/>
      <c r="B32" s="92"/>
      <c r="C32" s="86"/>
      <c r="D32" s="86"/>
      <c r="E32" s="86"/>
      <c r="F32" s="86"/>
      <c r="G32" s="87"/>
      <c r="H32" s="86"/>
    </row>
    <row r="34" spans="2:7" ht="13.5" thickBot="1" x14ac:dyDescent="0.25"/>
    <row r="35" spans="2:7" ht="17.45" customHeight="1" x14ac:dyDescent="0.2">
      <c r="B35" s="72" t="s">
        <v>63</v>
      </c>
      <c r="C35" s="73"/>
      <c r="D35" s="73"/>
      <c r="E35" s="74"/>
      <c r="F35" s="75"/>
      <c r="G35" s="76"/>
    </row>
    <row r="36" spans="2:7" x14ac:dyDescent="0.2">
      <c r="B36" s="77"/>
      <c r="C36" s="78"/>
      <c r="D36" s="78"/>
      <c r="E36" s="79"/>
      <c r="F36" s="75"/>
      <c r="G36" s="76"/>
    </row>
    <row r="37" spans="2:7" ht="12.75" customHeight="1" x14ac:dyDescent="0.2">
      <c r="B37" s="125" t="s">
        <v>68</v>
      </c>
      <c r="C37" s="126"/>
      <c r="D37" s="126"/>
      <c r="E37" s="127"/>
      <c r="F37" s="75"/>
      <c r="G37" s="76"/>
    </row>
    <row r="38" spans="2:7" ht="13.15" customHeight="1" x14ac:dyDescent="0.2">
      <c r="B38" s="125"/>
      <c r="C38" s="126"/>
      <c r="D38" s="126"/>
      <c r="E38" s="127"/>
      <c r="F38" s="75"/>
      <c r="G38" s="76"/>
    </row>
    <row r="39" spans="2:7" ht="26.25" customHeight="1" x14ac:dyDescent="0.2">
      <c r="B39" s="125" t="s">
        <v>98</v>
      </c>
      <c r="C39" s="126"/>
      <c r="D39" s="126"/>
      <c r="E39" s="127"/>
      <c r="F39" s="75"/>
      <c r="G39" s="76"/>
    </row>
    <row r="40" spans="2:7" ht="18.600000000000001" customHeight="1" x14ac:dyDescent="0.2">
      <c r="B40" s="93" t="s">
        <v>69</v>
      </c>
      <c r="C40" s="80"/>
      <c r="D40" s="81"/>
      <c r="E40" s="82"/>
      <c r="F40" s="75"/>
      <c r="G40" s="76"/>
    </row>
    <row r="41" spans="2:7" x14ac:dyDescent="0.2">
      <c r="B41" s="93"/>
      <c r="C41" s="80"/>
      <c r="D41" s="81"/>
      <c r="E41" s="82"/>
      <c r="F41" s="75"/>
      <c r="G41" s="76"/>
    </row>
    <row r="42" spans="2:7" x14ac:dyDescent="0.2">
      <c r="B42" s="121" t="s">
        <v>93</v>
      </c>
      <c r="C42" s="80"/>
      <c r="D42" s="81"/>
      <c r="E42" s="82"/>
      <c r="F42" s="75"/>
      <c r="G42" s="76"/>
    </row>
    <row r="43" spans="2:7" x14ac:dyDescent="0.2">
      <c r="B43" s="121"/>
      <c r="C43" s="122" t="s">
        <v>94</v>
      </c>
      <c r="D43" s="122"/>
      <c r="E43" s="123"/>
      <c r="F43" s="75"/>
      <c r="G43" s="76"/>
    </row>
    <row r="44" spans="2:7" ht="24.6" customHeight="1" x14ac:dyDescent="0.2">
      <c r="B44" s="121"/>
      <c r="C44" s="122" t="s">
        <v>95</v>
      </c>
      <c r="D44" s="122"/>
      <c r="E44" s="123"/>
      <c r="F44" s="75"/>
      <c r="G44" s="76"/>
    </row>
    <row r="45" spans="2:7" ht="14.45" customHeight="1" x14ac:dyDescent="0.2">
      <c r="B45" s="121"/>
      <c r="C45" s="122" t="s">
        <v>96</v>
      </c>
      <c r="D45" s="122"/>
      <c r="E45" s="123"/>
      <c r="F45" s="75"/>
      <c r="G45" s="76"/>
    </row>
    <row r="46" spans="2:7" ht="14.45" customHeight="1" x14ac:dyDescent="0.2">
      <c r="B46" s="121"/>
      <c r="C46" s="122" t="s">
        <v>97</v>
      </c>
      <c r="D46" s="122"/>
      <c r="E46" s="123"/>
      <c r="F46" s="75"/>
      <c r="G46" s="76"/>
    </row>
    <row r="47" spans="2:7" ht="13.5" thickBot="1" x14ac:dyDescent="0.25">
      <c r="B47" s="83"/>
      <c r="C47" s="84"/>
      <c r="D47" s="84"/>
      <c r="E47" s="85"/>
      <c r="F47" s="75"/>
      <c r="G47" s="76"/>
    </row>
  </sheetData>
  <mergeCells count="13">
    <mergeCell ref="A6:B6"/>
    <mergeCell ref="B2:G2"/>
    <mergeCell ref="A4:B4"/>
    <mergeCell ref="C4:D4"/>
    <mergeCell ref="A5:B5"/>
    <mergeCell ref="C5:D5"/>
    <mergeCell ref="C43:E43"/>
    <mergeCell ref="C44:E44"/>
    <mergeCell ref="C45:E45"/>
    <mergeCell ref="C46:E46"/>
    <mergeCell ref="A7:B7"/>
    <mergeCell ref="B37:E38"/>
    <mergeCell ref="B39:E3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34"/>
  <sheetViews>
    <sheetView topLeftCell="A15" zoomScale="78" zoomScaleNormal="78" workbookViewId="0">
      <selection activeCell="C29" sqref="C29:G29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9.140625" style="115"/>
    <col min="13" max="13" width="28.140625" style="115" customWidth="1"/>
    <col min="14" max="15" width="9.140625" style="115"/>
    <col min="16" max="16" width="15.7109375" style="115" customWidth="1"/>
    <col min="17" max="18" width="9.140625" style="115"/>
    <col min="19" max="1016" width="9.140625" style="1"/>
  </cols>
  <sheetData>
    <row r="1" spans="1:13" ht="27" customHeight="1" thickBot="1" x14ac:dyDescent="0.25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2" t="s">
        <v>1</v>
      </c>
      <c r="K1" s="3" t="s">
        <v>48</v>
      </c>
    </row>
    <row r="2" spans="1:13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3" ht="18.75" customHeight="1" thickBot="1" x14ac:dyDescent="0.25">
      <c r="A3" s="131" t="s">
        <v>2</v>
      </c>
      <c r="B3" s="131"/>
      <c r="C3" s="131"/>
      <c r="D3" s="56" t="s">
        <v>38</v>
      </c>
      <c r="E3" s="57"/>
      <c r="F3" s="57"/>
      <c r="G3" s="57"/>
      <c r="H3" s="57"/>
      <c r="I3" s="57"/>
      <c r="J3" s="57"/>
      <c r="K3" s="58"/>
    </row>
    <row r="4" spans="1:13" ht="18.75" customHeight="1" thickBot="1" x14ac:dyDescent="0.25">
      <c r="A4" s="132" t="s">
        <v>3</v>
      </c>
      <c r="B4" s="132"/>
      <c r="C4" s="132"/>
      <c r="D4" s="133" t="s">
        <v>39</v>
      </c>
      <c r="E4" s="134"/>
      <c r="F4" s="134"/>
      <c r="G4" s="134"/>
      <c r="H4" s="134"/>
      <c r="I4" s="134"/>
      <c r="J4" s="134"/>
      <c r="K4" s="135"/>
    </row>
    <row r="5" spans="1:13" ht="18.75" customHeight="1" thickBot="1" x14ac:dyDescent="0.25">
      <c r="A5" s="132" t="s">
        <v>4</v>
      </c>
      <c r="B5" s="132"/>
      <c r="C5" s="132"/>
      <c r="D5" s="136" t="s">
        <v>40</v>
      </c>
      <c r="E5" s="137"/>
      <c r="F5" s="137"/>
      <c r="G5" s="137"/>
      <c r="H5" s="137"/>
      <c r="I5" s="137"/>
      <c r="J5" s="137"/>
      <c r="K5" s="138"/>
    </row>
    <row r="6" spans="1:13" ht="16.5" customHeight="1" thickBot="1" x14ac:dyDescent="0.25">
      <c r="A6" s="131" t="s">
        <v>5</v>
      </c>
      <c r="B6" s="131"/>
      <c r="C6" s="131"/>
      <c r="D6" s="139" t="s">
        <v>40</v>
      </c>
      <c r="E6" s="140"/>
      <c r="F6" s="140"/>
      <c r="G6" s="140"/>
      <c r="H6" s="140"/>
      <c r="I6" s="140"/>
      <c r="J6" s="140"/>
      <c r="K6" s="141"/>
    </row>
    <row r="7" spans="1:13" ht="16.5" customHeight="1" thickBot="1" x14ac:dyDescent="0.25">
      <c r="A7" s="132" t="s">
        <v>6</v>
      </c>
      <c r="B7" s="132"/>
      <c r="C7" s="132"/>
      <c r="D7" s="142" t="s">
        <v>42</v>
      </c>
      <c r="E7" s="143"/>
      <c r="F7" s="143"/>
      <c r="G7" s="143"/>
      <c r="H7" s="143"/>
      <c r="I7" s="143"/>
      <c r="J7" s="143"/>
      <c r="K7" s="143"/>
    </row>
    <row r="8" spans="1:13" ht="16.5" customHeight="1" thickBot="1" x14ac:dyDescent="0.25">
      <c r="A8" s="144" t="s">
        <v>7</v>
      </c>
      <c r="B8" s="144"/>
      <c r="C8" s="144"/>
      <c r="D8" s="145" t="s">
        <v>43</v>
      </c>
      <c r="E8" s="146"/>
      <c r="F8" s="146"/>
      <c r="G8" s="146"/>
      <c r="H8" s="146"/>
      <c r="I8" s="146"/>
      <c r="J8" s="146"/>
      <c r="K8" s="146"/>
    </row>
    <row r="9" spans="1:13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3" ht="18.75" customHeight="1" thickBot="1" x14ac:dyDescent="0.25">
      <c r="A10" s="147" t="s">
        <v>8</v>
      </c>
      <c r="B10" s="148" t="s">
        <v>9</v>
      </c>
      <c r="C10" s="148" t="s">
        <v>10</v>
      </c>
      <c r="D10" s="148"/>
      <c r="E10" s="148"/>
      <c r="F10" s="148"/>
      <c r="G10" s="148"/>
      <c r="H10" s="148" t="s">
        <v>11</v>
      </c>
      <c r="I10" s="148" t="s">
        <v>12</v>
      </c>
      <c r="J10" s="148" t="s">
        <v>13</v>
      </c>
      <c r="K10" s="149" t="s">
        <v>14</v>
      </c>
    </row>
    <row r="11" spans="1:13" ht="24" customHeight="1" thickBot="1" x14ac:dyDescent="0.25">
      <c r="A11" s="147"/>
      <c r="B11" s="148"/>
      <c r="C11" s="148"/>
      <c r="D11" s="148"/>
      <c r="E11" s="148"/>
      <c r="F11" s="148"/>
      <c r="G11" s="148"/>
      <c r="H11" s="148"/>
      <c r="I11" s="148"/>
      <c r="J11" s="148"/>
      <c r="K11" s="149"/>
    </row>
    <row r="12" spans="1:13" ht="24" customHeight="1" x14ac:dyDescent="0.2">
      <c r="A12" s="12">
        <v>1</v>
      </c>
      <c r="B12" s="89"/>
      <c r="C12" s="150" t="s">
        <v>72</v>
      </c>
      <c r="D12" s="151"/>
      <c r="E12" s="151"/>
      <c r="F12" s="151"/>
      <c r="G12" s="152"/>
      <c r="H12" s="13" t="s">
        <v>49</v>
      </c>
      <c r="I12" s="14" t="s">
        <v>50</v>
      </c>
      <c r="J12" s="59">
        <v>85000</v>
      </c>
      <c r="K12" s="15">
        <v>16</v>
      </c>
      <c r="M12" s="116">
        <f>SUM(J12*K12)</f>
        <v>1360000</v>
      </c>
    </row>
    <row r="13" spans="1:13" ht="24" customHeight="1" x14ac:dyDescent="0.2">
      <c r="A13" s="16">
        <v>2</v>
      </c>
      <c r="B13" s="89"/>
      <c r="C13" s="153" t="s">
        <v>73</v>
      </c>
      <c r="D13" s="154"/>
      <c r="E13" s="154"/>
      <c r="F13" s="154"/>
      <c r="G13" s="155"/>
      <c r="H13" s="17" t="s">
        <v>49</v>
      </c>
      <c r="I13" s="18" t="s">
        <v>50</v>
      </c>
      <c r="J13" s="60">
        <v>24480</v>
      </c>
      <c r="K13" s="19">
        <v>5</v>
      </c>
      <c r="M13" s="116">
        <f t="shared" ref="M13:M33" si="0">SUM(J13*K13)</f>
        <v>122400</v>
      </c>
    </row>
    <row r="14" spans="1:13" ht="24" customHeight="1" x14ac:dyDescent="0.2">
      <c r="A14" s="16">
        <v>3</v>
      </c>
      <c r="B14" s="89"/>
      <c r="C14" s="153" t="s">
        <v>74</v>
      </c>
      <c r="D14" s="154"/>
      <c r="E14" s="154"/>
      <c r="F14" s="154"/>
      <c r="G14" s="155"/>
      <c r="H14" s="17" t="s">
        <v>49</v>
      </c>
      <c r="I14" s="18" t="s">
        <v>50</v>
      </c>
      <c r="J14" s="60">
        <v>35040</v>
      </c>
      <c r="K14" s="19">
        <v>5</v>
      </c>
      <c r="M14" s="116">
        <f t="shared" si="0"/>
        <v>175200</v>
      </c>
    </row>
    <row r="15" spans="1:13" ht="24" customHeight="1" x14ac:dyDescent="0.2">
      <c r="A15" s="16">
        <v>4</v>
      </c>
      <c r="B15" s="89"/>
      <c r="C15" s="153" t="s">
        <v>75</v>
      </c>
      <c r="D15" s="154"/>
      <c r="E15" s="154"/>
      <c r="F15" s="154"/>
      <c r="G15" s="155"/>
      <c r="H15" s="17" t="s">
        <v>49</v>
      </c>
      <c r="I15" s="18" t="s">
        <v>50</v>
      </c>
      <c r="J15" s="60">
        <v>152160</v>
      </c>
      <c r="K15" s="19">
        <v>5</v>
      </c>
      <c r="M15" s="116">
        <f t="shared" si="0"/>
        <v>760800</v>
      </c>
    </row>
    <row r="16" spans="1:13" ht="24" customHeight="1" x14ac:dyDescent="0.2">
      <c r="A16" s="16">
        <v>5</v>
      </c>
      <c r="B16" s="89"/>
      <c r="C16" s="153" t="s">
        <v>76</v>
      </c>
      <c r="D16" s="154"/>
      <c r="E16" s="154"/>
      <c r="F16" s="154"/>
      <c r="G16" s="155"/>
      <c r="H16" s="17" t="s">
        <v>49</v>
      </c>
      <c r="I16" s="18" t="s">
        <v>50</v>
      </c>
      <c r="J16" s="60">
        <v>2580</v>
      </c>
      <c r="K16" s="19">
        <v>5</v>
      </c>
      <c r="M16" s="116">
        <f t="shared" si="0"/>
        <v>12900</v>
      </c>
    </row>
    <row r="17" spans="1:16" ht="24" customHeight="1" x14ac:dyDescent="0.2">
      <c r="A17" s="16">
        <v>6</v>
      </c>
      <c r="B17" s="90"/>
      <c r="C17" s="153" t="s">
        <v>77</v>
      </c>
      <c r="D17" s="154"/>
      <c r="E17" s="154"/>
      <c r="F17" s="154"/>
      <c r="G17" s="155"/>
      <c r="H17" s="17" t="s">
        <v>49</v>
      </c>
      <c r="I17" s="18" t="s">
        <v>50</v>
      </c>
      <c r="J17" s="60">
        <v>2040</v>
      </c>
      <c r="K17" s="19">
        <v>5</v>
      </c>
      <c r="M17" s="116">
        <f t="shared" si="0"/>
        <v>10200</v>
      </c>
    </row>
    <row r="18" spans="1:16" ht="28.9" customHeight="1" x14ac:dyDescent="0.2">
      <c r="A18" s="16">
        <v>7</v>
      </c>
      <c r="B18" s="90"/>
      <c r="C18" s="153" t="s">
        <v>78</v>
      </c>
      <c r="D18" s="154"/>
      <c r="E18" s="154"/>
      <c r="F18" s="154"/>
      <c r="G18" s="155"/>
      <c r="H18" s="17" t="s">
        <v>49</v>
      </c>
      <c r="I18" s="18" t="s">
        <v>50</v>
      </c>
      <c r="J18" s="60">
        <v>2040</v>
      </c>
      <c r="K18" s="19">
        <v>5</v>
      </c>
      <c r="M18" s="116">
        <f t="shared" si="0"/>
        <v>10200</v>
      </c>
    </row>
    <row r="19" spans="1:16" ht="31.15" customHeight="1" x14ac:dyDescent="0.2">
      <c r="A19" s="16">
        <v>8</v>
      </c>
      <c r="B19" s="89"/>
      <c r="C19" s="153" t="s">
        <v>44</v>
      </c>
      <c r="D19" s="154"/>
      <c r="E19" s="154"/>
      <c r="F19" s="154"/>
      <c r="G19" s="155"/>
      <c r="H19" s="17" t="s">
        <v>49</v>
      </c>
      <c r="I19" s="18" t="s">
        <v>50</v>
      </c>
      <c r="J19" s="60">
        <v>2300</v>
      </c>
      <c r="K19" s="19">
        <v>8</v>
      </c>
      <c r="M19" s="116">
        <f t="shared" si="0"/>
        <v>18400</v>
      </c>
    </row>
    <row r="20" spans="1:16" ht="33.6" customHeight="1" x14ac:dyDescent="0.2">
      <c r="A20" s="16">
        <v>9</v>
      </c>
      <c r="B20" s="89"/>
      <c r="C20" s="153" t="s">
        <v>47</v>
      </c>
      <c r="D20" s="154"/>
      <c r="E20" s="154"/>
      <c r="F20" s="154"/>
      <c r="G20" s="155"/>
      <c r="H20" s="17" t="s">
        <v>49</v>
      </c>
      <c r="I20" s="18" t="s">
        <v>50</v>
      </c>
      <c r="J20" s="60">
        <v>4300</v>
      </c>
      <c r="K20" s="19">
        <v>8</v>
      </c>
      <c r="M20" s="116">
        <f t="shared" si="0"/>
        <v>34400</v>
      </c>
      <c r="O20" s="115">
        <v>258</v>
      </c>
    </row>
    <row r="21" spans="1:16" ht="24" customHeight="1" x14ac:dyDescent="0.2">
      <c r="A21" s="16">
        <v>10</v>
      </c>
      <c r="B21" s="89"/>
      <c r="C21" s="153" t="s">
        <v>46</v>
      </c>
      <c r="D21" s="154"/>
      <c r="E21" s="154"/>
      <c r="F21" s="154"/>
      <c r="G21" s="155"/>
      <c r="H21" s="17" t="s">
        <v>49</v>
      </c>
      <c r="I21" s="18" t="s">
        <v>50</v>
      </c>
      <c r="J21" s="60">
        <v>2700</v>
      </c>
      <c r="K21" s="19">
        <v>8</v>
      </c>
      <c r="M21" s="116">
        <f t="shared" si="0"/>
        <v>21600</v>
      </c>
      <c r="O21" s="115">
        <v>258</v>
      </c>
    </row>
    <row r="22" spans="1:16" ht="24" customHeight="1" x14ac:dyDescent="0.2">
      <c r="A22" s="16">
        <v>11</v>
      </c>
      <c r="B22" s="89"/>
      <c r="C22" s="153" t="s">
        <v>45</v>
      </c>
      <c r="D22" s="154"/>
      <c r="E22" s="154"/>
      <c r="F22" s="154"/>
      <c r="G22" s="155"/>
      <c r="H22" s="17" t="s">
        <v>49</v>
      </c>
      <c r="I22" s="18" t="s">
        <v>50</v>
      </c>
      <c r="J22" s="60">
        <v>5000</v>
      </c>
      <c r="K22" s="19">
        <v>8</v>
      </c>
      <c r="M22" s="116">
        <f t="shared" si="0"/>
        <v>40000</v>
      </c>
      <c r="O22" s="115">
        <v>258</v>
      </c>
      <c r="P22" s="116">
        <f>SUM(M20:M22)</f>
        <v>96000</v>
      </c>
    </row>
    <row r="23" spans="1:16" ht="24" customHeight="1" x14ac:dyDescent="0.2">
      <c r="A23" s="16">
        <v>12</v>
      </c>
      <c r="B23" s="89"/>
      <c r="C23" s="153" t="s">
        <v>79</v>
      </c>
      <c r="D23" s="154"/>
      <c r="E23" s="154"/>
      <c r="F23" s="154"/>
      <c r="G23" s="155"/>
      <c r="H23" s="17" t="s">
        <v>49</v>
      </c>
      <c r="I23" s="18" t="s">
        <v>50</v>
      </c>
      <c r="J23" s="60">
        <v>4550</v>
      </c>
      <c r="K23" s="19">
        <v>10</v>
      </c>
      <c r="M23" s="116">
        <f t="shared" si="0"/>
        <v>45500</v>
      </c>
    </row>
    <row r="24" spans="1:16" ht="24" customHeight="1" x14ac:dyDescent="0.2">
      <c r="A24" s="16">
        <v>13</v>
      </c>
      <c r="B24" s="89"/>
      <c r="C24" s="153" t="s">
        <v>83</v>
      </c>
      <c r="D24" s="154"/>
      <c r="E24" s="154"/>
      <c r="F24" s="154"/>
      <c r="G24" s="155"/>
      <c r="H24" s="17" t="s">
        <v>49</v>
      </c>
      <c r="I24" s="18" t="s">
        <v>50</v>
      </c>
      <c r="J24" s="60">
        <v>9050</v>
      </c>
      <c r="K24" s="19">
        <v>10</v>
      </c>
      <c r="M24" s="116">
        <f t="shared" si="0"/>
        <v>90500</v>
      </c>
    </row>
    <row r="25" spans="1:16" ht="24" customHeight="1" x14ac:dyDescent="0.2">
      <c r="A25" s="16">
        <v>14</v>
      </c>
      <c r="B25" s="89"/>
      <c r="C25" s="153" t="s">
        <v>80</v>
      </c>
      <c r="D25" s="154"/>
      <c r="E25" s="154"/>
      <c r="F25" s="154"/>
      <c r="G25" s="155"/>
      <c r="H25" s="17" t="s">
        <v>49</v>
      </c>
      <c r="I25" s="18" t="s">
        <v>50</v>
      </c>
      <c r="J25" s="60">
        <v>13550</v>
      </c>
      <c r="K25" s="19">
        <v>10</v>
      </c>
      <c r="M25" s="116">
        <f t="shared" si="0"/>
        <v>135500</v>
      </c>
      <c r="P25" s="116">
        <f>+M34</f>
        <v>5406640</v>
      </c>
    </row>
    <row r="26" spans="1:16" ht="24" customHeight="1" x14ac:dyDescent="0.2">
      <c r="A26" s="16">
        <v>15</v>
      </c>
      <c r="B26" s="89"/>
      <c r="C26" s="153" t="s">
        <v>82</v>
      </c>
      <c r="D26" s="154"/>
      <c r="E26" s="154"/>
      <c r="F26" s="154"/>
      <c r="G26" s="155"/>
      <c r="H26" s="17" t="s">
        <v>49</v>
      </c>
      <c r="I26" s="18" t="s">
        <v>50</v>
      </c>
      <c r="J26" s="60">
        <v>18200</v>
      </c>
      <c r="K26" s="19">
        <v>10</v>
      </c>
      <c r="M26" s="116">
        <f t="shared" si="0"/>
        <v>182000</v>
      </c>
    </row>
    <row r="27" spans="1:16" ht="24" customHeight="1" x14ac:dyDescent="0.2">
      <c r="A27" s="16">
        <v>16</v>
      </c>
      <c r="B27" s="91"/>
      <c r="C27" s="153" t="s">
        <v>81</v>
      </c>
      <c r="D27" s="154"/>
      <c r="E27" s="154"/>
      <c r="F27" s="154"/>
      <c r="G27" s="155"/>
      <c r="H27" s="17" t="s">
        <v>49</v>
      </c>
      <c r="I27" s="18" t="s">
        <v>50</v>
      </c>
      <c r="J27" s="60">
        <v>23600</v>
      </c>
      <c r="K27" s="19">
        <v>10</v>
      </c>
      <c r="M27" s="116">
        <f t="shared" si="0"/>
        <v>236000</v>
      </c>
    </row>
    <row r="28" spans="1:16" ht="33" customHeight="1" x14ac:dyDescent="0.2">
      <c r="A28" s="16">
        <v>17</v>
      </c>
      <c r="B28" s="89"/>
      <c r="C28" s="153" t="s">
        <v>84</v>
      </c>
      <c r="D28" s="154"/>
      <c r="E28" s="154"/>
      <c r="F28" s="154"/>
      <c r="G28" s="155"/>
      <c r="H28" s="17" t="s">
        <v>49</v>
      </c>
      <c r="I28" s="18" t="s">
        <v>50</v>
      </c>
      <c r="J28" s="60">
        <v>8160</v>
      </c>
      <c r="K28" s="19">
        <v>16</v>
      </c>
      <c r="M28" s="116">
        <f t="shared" si="0"/>
        <v>130560</v>
      </c>
      <c r="P28" s="116">
        <f>SUM(P25-P22)</f>
        <v>5310640</v>
      </c>
    </row>
    <row r="29" spans="1:16" ht="29.45" customHeight="1" x14ac:dyDescent="0.2">
      <c r="A29" s="16">
        <v>18</v>
      </c>
      <c r="B29" s="89"/>
      <c r="C29" s="153" t="s">
        <v>85</v>
      </c>
      <c r="D29" s="154"/>
      <c r="E29" s="154"/>
      <c r="F29" s="154"/>
      <c r="G29" s="155"/>
      <c r="H29" s="17" t="s">
        <v>49</v>
      </c>
      <c r="I29" s="18" t="s">
        <v>50</v>
      </c>
      <c r="J29" s="60">
        <v>12800</v>
      </c>
      <c r="K29" s="19">
        <v>16</v>
      </c>
      <c r="M29" s="116">
        <f t="shared" si="0"/>
        <v>204800</v>
      </c>
    </row>
    <row r="30" spans="1:16" ht="26.45" customHeight="1" x14ac:dyDescent="0.2">
      <c r="A30" s="16">
        <v>19</v>
      </c>
      <c r="B30" s="89"/>
      <c r="C30" s="153" t="s">
        <v>86</v>
      </c>
      <c r="D30" s="154"/>
      <c r="E30" s="154"/>
      <c r="F30" s="154"/>
      <c r="G30" s="155"/>
      <c r="H30" s="17" t="s">
        <v>49</v>
      </c>
      <c r="I30" s="18" t="s">
        <v>50</v>
      </c>
      <c r="J30" s="60">
        <v>16650</v>
      </c>
      <c r="K30" s="19">
        <v>16</v>
      </c>
      <c r="M30" s="116">
        <f t="shared" si="0"/>
        <v>266400</v>
      </c>
    </row>
    <row r="31" spans="1:16" ht="30" customHeight="1" x14ac:dyDescent="0.2">
      <c r="A31" s="16">
        <v>20</v>
      </c>
      <c r="B31" s="89"/>
      <c r="C31" s="153" t="s">
        <v>87</v>
      </c>
      <c r="D31" s="154"/>
      <c r="E31" s="154"/>
      <c r="F31" s="154"/>
      <c r="G31" s="155"/>
      <c r="H31" s="17" t="s">
        <v>49</v>
      </c>
      <c r="I31" s="18" t="s">
        <v>50</v>
      </c>
      <c r="J31" s="60">
        <v>29250</v>
      </c>
      <c r="K31" s="19">
        <v>16</v>
      </c>
      <c r="M31" s="116">
        <f t="shared" si="0"/>
        <v>468000</v>
      </c>
    </row>
    <row r="32" spans="1:16" ht="28.9" customHeight="1" x14ac:dyDescent="0.2">
      <c r="A32" s="16">
        <v>21</v>
      </c>
      <c r="B32" s="89"/>
      <c r="C32" s="153" t="s">
        <v>88</v>
      </c>
      <c r="D32" s="154"/>
      <c r="E32" s="154"/>
      <c r="F32" s="154"/>
      <c r="G32" s="155"/>
      <c r="H32" s="17" t="s">
        <v>49</v>
      </c>
      <c r="I32" s="18" t="s">
        <v>50</v>
      </c>
      <c r="J32" s="60">
        <v>32880</v>
      </c>
      <c r="K32" s="19">
        <v>16</v>
      </c>
      <c r="M32" s="116">
        <f t="shared" si="0"/>
        <v>526080</v>
      </c>
    </row>
    <row r="33" spans="1:13" ht="38.450000000000003" customHeight="1" x14ac:dyDescent="0.2">
      <c r="A33" s="16">
        <v>22</v>
      </c>
      <c r="B33" s="89"/>
      <c r="C33" s="153" t="s">
        <v>89</v>
      </c>
      <c r="D33" s="154"/>
      <c r="E33" s="154"/>
      <c r="F33" s="154"/>
      <c r="G33" s="155"/>
      <c r="H33" s="17" t="s">
        <v>49</v>
      </c>
      <c r="I33" s="18" t="s">
        <v>50</v>
      </c>
      <c r="J33" s="60">
        <v>34700</v>
      </c>
      <c r="K33" s="19">
        <v>16</v>
      </c>
      <c r="M33" s="116">
        <f t="shared" si="0"/>
        <v>555200</v>
      </c>
    </row>
    <row r="34" spans="1:13" ht="25.5" customHeight="1" thickBot="1" x14ac:dyDescent="0.25">
      <c r="A34" s="157" t="s">
        <v>91</v>
      </c>
      <c r="B34" s="157"/>
      <c r="C34" s="157"/>
      <c r="D34" s="157"/>
      <c r="E34" s="157"/>
      <c r="F34" s="157"/>
      <c r="G34" s="157"/>
      <c r="H34" s="157"/>
      <c r="I34" s="157"/>
      <c r="J34" s="156">
        <v>5406640</v>
      </c>
      <c r="K34" s="156"/>
      <c r="M34" s="116">
        <f>SUM(M12:M33)</f>
        <v>5406640</v>
      </c>
    </row>
  </sheetData>
  <sortState xmlns:xlrd2="http://schemas.microsoft.com/office/spreadsheetml/2017/richdata2" ref="C12:G33">
    <sortCondition ref="C12"/>
  </sortState>
  <mergeCells count="43">
    <mergeCell ref="C27:G27"/>
    <mergeCell ref="C15:G15"/>
    <mergeCell ref="C16:G16"/>
    <mergeCell ref="A34:I34"/>
    <mergeCell ref="C32:G32"/>
    <mergeCell ref="J34:K34"/>
    <mergeCell ref="C17:G17"/>
    <mergeCell ref="C18:G18"/>
    <mergeCell ref="C19:G19"/>
    <mergeCell ref="C33:G33"/>
    <mergeCell ref="C20:G20"/>
    <mergeCell ref="C21:G21"/>
    <mergeCell ref="C22:G22"/>
    <mergeCell ref="C23:G23"/>
    <mergeCell ref="C24:G24"/>
    <mergeCell ref="C25:G25"/>
    <mergeCell ref="C26:G26"/>
    <mergeCell ref="C28:G28"/>
    <mergeCell ref="C29:G29"/>
    <mergeCell ref="C30:G30"/>
    <mergeCell ref="C31:G31"/>
    <mergeCell ref="J10:J11"/>
    <mergeCell ref="K10:K11"/>
    <mergeCell ref="C12:G12"/>
    <mergeCell ref="C13:G13"/>
    <mergeCell ref="C14:G14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1:I1"/>
    <mergeCell ref="A3:C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topLeftCell="A6" zoomScale="130" zoomScaleNormal="130" workbookViewId="0">
      <selection activeCell="A37" sqref="A37:Q37"/>
    </sheetView>
  </sheetViews>
  <sheetFormatPr baseColWidth="10" defaultColWidth="11" defaultRowHeight="12.75" x14ac:dyDescent="0.2"/>
  <cols>
    <col min="1" max="5" width="4.42578125" customWidth="1"/>
    <col min="6" max="6" width="5.28515625" customWidth="1"/>
    <col min="7" max="7" width="4.42578125" style="20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8" t="s">
        <v>15</v>
      </c>
      <c r="B1" s="158"/>
      <c r="C1" s="158"/>
      <c r="D1" s="159">
        <v>2021</v>
      </c>
      <c r="E1" s="159"/>
      <c r="F1" s="21"/>
      <c r="G1" s="21"/>
      <c r="H1" s="22"/>
      <c r="I1" s="22"/>
      <c r="J1" s="22"/>
      <c r="K1" s="22"/>
      <c r="L1" s="22"/>
      <c r="M1" s="22"/>
      <c r="N1" s="22"/>
      <c r="O1" s="23"/>
      <c r="P1" s="160" t="s">
        <v>16</v>
      </c>
      <c r="Q1" s="160"/>
    </row>
    <row r="2" spans="1:17" ht="15.75" customHeight="1" x14ac:dyDescent="0.2">
      <c r="A2" s="24"/>
      <c r="B2" s="25"/>
      <c r="C2" s="25"/>
      <c r="D2" s="25"/>
      <c r="E2" s="25"/>
      <c r="F2" s="25"/>
      <c r="G2" s="26"/>
      <c r="H2" s="27"/>
      <c r="I2" s="27"/>
      <c r="J2" s="27"/>
      <c r="K2" s="27"/>
      <c r="L2" s="27"/>
      <c r="M2" s="27"/>
      <c r="N2" s="27"/>
      <c r="O2" s="25"/>
      <c r="P2" s="160"/>
      <c r="Q2" s="160"/>
    </row>
    <row r="3" spans="1:17" ht="13.5" thickBot="1" x14ac:dyDescent="0.25">
      <c r="A3" s="24"/>
      <c r="B3" s="25"/>
      <c r="C3" s="25"/>
      <c r="D3" s="25"/>
      <c r="E3" s="25"/>
      <c r="F3" s="25"/>
      <c r="G3" s="26"/>
      <c r="H3" s="25"/>
      <c r="I3" s="25"/>
      <c r="J3" s="25"/>
      <c r="K3" s="25"/>
      <c r="L3" s="25"/>
      <c r="M3" s="25"/>
      <c r="N3" s="25"/>
      <c r="O3" s="25"/>
      <c r="P3" s="25"/>
      <c r="Q3" s="28"/>
    </row>
    <row r="4" spans="1:17" s="29" customFormat="1" ht="18" customHeight="1" thickBot="1" x14ac:dyDescent="0.25">
      <c r="A4" s="161" t="s">
        <v>17</v>
      </c>
      <c r="B4" s="161"/>
      <c r="C4" s="161"/>
      <c r="D4" s="161"/>
      <c r="E4" s="161"/>
      <c r="F4" s="161"/>
      <c r="G4" s="133" t="s">
        <v>38</v>
      </c>
      <c r="H4" s="134"/>
      <c r="I4" s="134"/>
      <c r="J4" s="134"/>
      <c r="K4" s="134"/>
      <c r="L4" s="134"/>
      <c r="M4" s="134"/>
      <c r="N4" s="134"/>
      <c r="O4" s="134"/>
      <c r="P4" s="162"/>
      <c r="Q4" s="163"/>
    </row>
    <row r="5" spans="1:17" s="29" customFormat="1" ht="18" customHeight="1" thickBot="1" x14ac:dyDescent="0.25">
      <c r="A5" s="164" t="s">
        <v>3</v>
      </c>
      <c r="B5" s="164"/>
      <c r="C5" s="164"/>
      <c r="D5" s="164"/>
      <c r="E5" s="164"/>
      <c r="F5" s="164"/>
      <c r="G5" s="133" t="s">
        <v>39</v>
      </c>
      <c r="H5" s="134"/>
      <c r="I5" s="134"/>
      <c r="J5" s="134"/>
      <c r="K5" s="134"/>
      <c r="L5" s="134"/>
      <c r="M5" s="134"/>
      <c r="N5" s="134"/>
      <c r="O5" s="134"/>
      <c r="P5" s="134"/>
      <c r="Q5" s="165"/>
    </row>
    <row r="6" spans="1:17" s="29" customFormat="1" ht="18" customHeight="1" thickBot="1" x14ac:dyDescent="0.25">
      <c r="A6" s="164" t="s">
        <v>4</v>
      </c>
      <c r="B6" s="164"/>
      <c r="C6" s="164"/>
      <c r="D6" s="164"/>
      <c r="E6" s="164"/>
      <c r="F6" s="164"/>
      <c r="G6" s="136" t="s">
        <v>40</v>
      </c>
      <c r="H6" s="137"/>
      <c r="I6" s="137"/>
      <c r="J6" s="137"/>
      <c r="K6" s="137"/>
      <c r="L6" s="137"/>
      <c r="M6" s="137"/>
      <c r="N6" s="137"/>
      <c r="O6" s="137"/>
      <c r="P6" s="137"/>
      <c r="Q6" s="166"/>
    </row>
    <row r="7" spans="1:17" s="29" customFormat="1" ht="18" customHeight="1" thickBot="1" x14ac:dyDescent="0.25">
      <c r="A7" s="164" t="s">
        <v>5</v>
      </c>
      <c r="B7" s="164"/>
      <c r="C7" s="164"/>
      <c r="D7" s="164"/>
      <c r="E7" s="164"/>
      <c r="F7" s="164"/>
      <c r="G7" s="136" t="s">
        <v>40</v>
      </c>
      <c r="H7" s="137"/>
      <c r="I7" s="137"/>
      <c r="J7" s="137"/>
      <c r="K7" s="137"/>
      <c r="L7" s="137"/>
      <c r="M7" s="137"/>
      <c r="N7" s="137"/>
      <c r="O7" s="137"/>
      <c r="P7" s="137"/>
      <c r="Q7" s="166"/>
    </row>
    <row r="8" spans="1:17" ht="18" customHeight="1" thickBot="1" x14ac:dyDescent="0.25">
      <c r="A8" s="167" t="s">
        <v>18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18" customHeight="1" x14ac:dyDescent="0.2">
      <c r="A9" s="168" t="s">
        <v>19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</row>
    <row r="10" spans="1:17" ht="66" customHeight="1" x14ac:dyDescent="0.2">
      <c r="A10" s="169" t="s">
        <v>71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9" customHeight="1" x14ac:dyDescent="0.2">
      <c r="A11" s="30"/>
      <c r="B11" s="31"/>
      <c r="C11" s="31"/>
      <c r="D11" s="31"/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3"/>
    </row>
    <row r="12" spans="1:17" ht="15.75" customHeight="1" x14ac:dyDescent="0.2">
      <c r="A12" s="170" t="s">
        <v>20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customHeight="1" x14ac:dyDescent="0.2">
      <c r="A13" s="171" t="s">
        <v>21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22</v>
      </c>
      <c r="P13" s="172"/>
      <c r="Q13" s="173" t="s">
        <v>23</v>
      </c>
    </row>
    <row r="14" spans="1:17" ht="15.75" customHeight="1" thickBot="1" x14ac:dyDescent="0.25">
      <c r="A14" s="34" t="s">
        <v>24</v>
      </c>
      <c r="B14" s="35" t="s">
        <v>25</v>
      </c>
      <c r="C14" s="35" t="s">
        <v>26</v>
      </c>
      <c r="D14" s="35" t="s">
        <v>27</v>
      </c>
      <c r="E14" s="35" t="s">
        <v>28</v>
      </c>
      <c r="F14" s="35" t="s">
        <v>29</v>
      </c>
      <c r="G14" s="36" t="s">
        <v>30</v>
      </c>
      <c r="H14" s="35" t="s">
        <v>31</v>
      </c>
      <c r="I14" s="35" t="s">
        <v>32</v>
      </c>
      <c r="J14" s="35" t="s">
        <v>33</v>
      </c>
      <c r="K14" s="35" t="s">
        <v>33</v>
      </c>
      <c r="L14" s="35" t="s">
        <v>34</v>
      </c>
      <c r="M14" s="37" t="s">
        <v>35</v>
      </c>
      <c r="N14" s="38" t="s">
        <v>36</v>
      </c>
      <c r="O14" s="172"/>
      <c r="P14" s="172"/>
      <c r="Q14" s="173"/>
    </row>
    <row r="15" spans="1:17" ht="27" customHeight="1" x14ac:dyDescent="0.2">
      <c r="A15" s="39">
        <v>53</v>
      </c>
      <c r="B15" s="40"/>
      <c r="C15" s="40"/>
      <c r="D15" s="40">
        <v>1</v>
      </c>
      <c r="E15" s="40"/>
      <c r="F15" s="40">
        <v>4901</v>
      </c>
      <c r="G15" s="40">
        <v>3</v>
      </c>
      <c r="H15" s="40">
        <v>1</v>
      </c>
      <c r="I15" s="40">
        <v>2</v>
      </c>
      <c r="J15" s="40">
        <v>5</v>
      </c>
      <c r="K15" s="40">
        <v>8</v>
      </c>
      <c r="L15" s="40"/>
      <c r="M15" s="41">
        <v>1</v>
      </c>
      <c r="N15" s="40" t="s">
        <v>41</v>
      </c>
      <c r="O15" s="175" t="s">
        <v>64</v>
      </c>
      <c r="P15" s="175"/>
      <c r="Q15" s="118">
        <v>96000</v>
      </c>
    </row>
    <row r="16" spans="1:17" ht="30" customHeight="1" x14ac:dyDescent="0.2">
      <c r="A16" s="42">
        <v>53</v>
      </c>
      <c r="B16" s="43"/>
      <c r="C16" s="43"/>
      <c r="D16" s="43">
        <v>1</v>
      </c>
      <c r="E16" s="43"/>
      <c r="F16" s="43">
        <v>4901</v>
      </c>
      <c r="G16" s="43">
        <v>3</v>
      </c>
      <c r="H16" s="43">
        <v>1</v>
      </c>
      <c r="I16" s="43">
        <v>2</v>
      </c>
      <c r="J16" s="43">
        <v>9</v>
      </c>
      <c r="K16" s="43">
        <v>5</v>
      </c>
      <c r="L16" s="43"/>
      <c r="M16" s="44">
        <v>1</v>
      </c>
      <c r="N16" s="45" t="s">
        <v>41</v>
      </c>
      <c r="O16" s="176" t="s">
        <v>65</v>
      </c>
      <c r="P16" s="177"/>
      <c r="Q16" s="119">
        <v>5310640</v>
      </c>
    </row>
    <row r="17" spans="1:17" ht="17.25" customHeight="1" x14ac:dyDescent="0.2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4"/>
      <c r="N17" s="45"/>
      <c r="O17" s="178"/>
      <c r="P17" s="178"/>
      <c r="Q17" s="46"/>
    </row>
    <row r="18" spans="1:17" ht="17.25" customHeight="1" x14ac:dyDescent="0.2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4"/>
      <c r="N18" s="45"/>
      <c r="O18" s="174"/>
      <c r="P18" s="174"/>
      <c r="Q18" s="46"/>
    </row>
    <row r="19" spans="1:17" ht="17.25" customHeight="1" x14ac:dyDescent="0.2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4"/>
      <c r="N19" s="45"/>
      <c r="O19" s="174"/>
      <c r="P19" s="174"/>
      <c r="Q19" s="46"/>
    </row>
    <row r="20" spans="1:17" ht="17.25" customHeight="1" x14ac:dyDescent="0.2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  <c r="N20" s="45"/>
      <c r="O20" s="174"/>
      <c r="P20" s="174"/>
      <c r="Q20" s="46"/>
    </row>
    <row r="21" spans="1:17" ht="17.25" customHeight="1" x14ac:dyDescent="0.2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  <c r="N21" s="45"/>
      <c r="O21" s="174"/>
      <c r="P21" s="174"/>
      <c r="Q21" s="46"/>
    </row>
    <row r="22" spans="1:17" ht="17.25" customHeigh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5"/>
      <c r="O22" s="174"/>
      <c r="P22" s="174"/>
      <c r="Q22" s="46"/>
    </row>
    <row r="23" spans="1:17" ht="17.25" customHeight="1" x14ac:dyDescent="0.2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4"/>
      <c r="N23" s="45"/>
      <c r="O23" s="174"/>
      <c r="P23" s="174"/>
      <c r="Q23" s="46"/>
    </row>
    <row r="24" spans="1:17" ht="17.25" customHeight="1" x14ac:dyDescent="0.2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4"/>
      <c r="N24" s="45"/>
      <c r="O24" s="174"/>
      <c r="P24" s="174"/>
      <c r="Q24" s="46"/>
    </row>
    <row r="25" spans="1:17" ht="17.25" customHeight="1" x14ac:dyDescent="0.2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45"/>
      <c r="O25" s="174"/>
      <c r="P25" s="174"/>
      <c r="Q25" s="46"/>
    </row>
    <row r="26" spans="1:17" ht="17.25" customHeight="1" x14ac:dyDescent="0.2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N26" s="45"/>
      <c r="O26" s="174"/>
      <c r="P26" s="174"/>
      <c r="Q26" s="46"/>
    </row>
    <row r="27" spans="1:17" ht="17.25" customHeight="1" x14ac:dyDescent="0.2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4"/>
      <c r="N27" s="45"/>
      <c r="O27" s="174"/>
      <c r="P27" s="174"/>
      <c r="Q27" s="46"/>
    </row>
    <row r="28" spans="1:17" ht="17.25" customHeight="1" x14ac:dyDescent="0.2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4"/>
      <c r="N28" s="45"/>
      <c r="O28" s="174"/>
      <c r="P28" s="174"/>
      <c r="Q28" s="46"/>
    </row>
    <row r="29" spans="1:17" ht="17.25" customHeight="1" x14ac:dyDescent="0.2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4"/>
      <c r="N29" s="45"/>
      <c r="O29" s="174"/>
      <c r="P29" s="174"/>
      <c r="Q29" s="46"/>
    </row>
    <row r="30" spans="1:17" ht="17.25" customHeight="1" x14ac:dyDescent="0.2">
      <c r="A30" s="42"/>
      <c r="B30" s="43"/>
      <c r="C30" s="43"/>
      <c r="D30" s="43"/>
      <c r="E30" s="43"/>
      <c r="F30" s="45"/>
      <c r="G30" s="43"/>
      <c r="H30" s="43"/>
      <c r="I30" s="43"/>
      <c r="J30" s="43"/>
      <c r="K30" s="43"/>
      <c r="L30" s="43"/>
      <c r="M30" s="44"/>
      <c r="N30" s="45"/>
      <c r="O30" s="179"/>
      <c r="P30" s="179"/>
      <c r="Q30" s="46"/>
    </row>
    <row r="31" spans="1:17" ht="17.25" customHeight="1" x14ac:dyDescent="0.2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4"/>
      <c r="N31" s="45"/>
      <c r="O31" s="179"/>
      <c r="P31" s="179"/>
      <c r="Q31" s="46"/>
    </row>
    <row r="32" spans="1:17" ht="17.25" customHeight="1" x14ac:dyDescent="0.2">
      <c r="A32" s="42"/>
      <c r="B32" s="43"/>
      <c r="C32" s="43"/>
      <c r="D32" s="43"/>
      <c r="E32" s="43"/>
      <c r="F32" s="45"/>
      <c r="G32" s="43"/>
      <c r="H32" s="43"/>
      <c r="I32" s="43"/>
      <c r="J32" s="43"/>
      <c r="K32" s="43"/>
      <c r="L32" s="43"/>
      <c r="M32" s="44"/>
      <c r="N32" s="45"/>
      <c r="O32" s="179"/>
      <c r="P32" s="179"/>
      <c r="Q32" s="46"/>
    </row>
    <row r="33" spans="1:18" ht="17.25" customHeight="1" x14ac:dyDescent="0.2">
      <c r="A33" s="42"/>
      <c r="B33" s="43"/>
      <c r="C33" s="43"/>
      <c r="D33" s="43"/>
      <c r="E33" s="43"/>
      <c r="F33" s="45"/>
      <c r="G33" s="43"/>
      <c r="H33" s="43"/>
      <c r="I33" s="43"/>
      <c r="J33" s="43"/>
      <c r="K33" s="43"/>
      <c r="L33" s="43"/>
      <c r="M33" s="44"/>
      <c r="N33" s="45"/>
      <c r="O33" s="179"/>
      <c r="P33" s="179"/>
      <c r="Q33" s="46"/>
    </row>
    <row r="34" spans="1:18" ht="17.25" customHeight="1" x14ac:dyDescent="0.2">
      <c r="A34" s="47"/>
      <c r="B34" s="48"/>
      <c r="C34" s="48"/>
      <c r="D34" s="48"/>
      <c r="E34" s="48"/>
      <c r="F34" s="49"/>
      <c r="G34" s="48"/>
      <c r="H34" s="48"/>
      <c r="I34" s="48"/>
      <c r="J34" s="48"/>
      <c r="K34" s="48"/>
      <c r="L34" s="48"/>
      <c r="M34" s="50"/>
      <c r="N34" s="51"/>
      <c r="O34" s="183"/>
      <c r="P34" s="183"/>
      <c r="Q34" s="46"/>
      <c r="R34" s="25"/>
    </row>
    <row r="35" spans="1:18" ht="17.25" customHeight="1" thickBot="1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4"/>
      <c r="N35" s="53"/>
      <c r="O35" s="184"/>
      <c r="P35" s="184"/>
      <c r="Q35" s="55"/>
    </row>
    <row r="36" spans="1:18" ht="25.9" customHeight="1" thickBot="1" x14ac:dyDescent="0.25">
      <c r="A36" s="185" t="s">
        <v>92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20">
        <f>SUM(Q15:Q35)</f>
        <v>5406640</v>
      </c>
    </row>
    <row r="37" spans="1:18" ht="18" customHeight="1" thickBot="1" x14ac:dyDescent="0.25">
      <c r="A37" s="186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</row>
    <row r="38" spans="1:18" ht="17.25" customHeight="1" x14ac:dyDescent="0.2">
      <c r="A38" s="180" t="s">
        <v>37</v>
      </c>
      <c r="B38" s="180"/>
      <c r="C38" s="180"/>
      <c r="D38" s="180"/>
      <c r="E38" s="180"/>
      <c r="F38" s="180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</row>
    <row r="39" spans="1:18" ht="18" customHeight="1" x14ac:dyDescent="0.2">
      <c r="A39" s="182" t="s">
        <v>90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 spans="1:18" ht="63.75" customHeight="1" x14ac:dyDescent="0.2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</row>
  </sheetData>
  <mergeCells count="44">
    <mergeCell ref="A38:F38"/>
    <mergeCell ref="G38:Q38"/>
    <mergeCell ref="A39:Q40"/>
    <mergeCell ref="O33:P33"/>
    <mergeCell ref="O34:P34"/>
    <mergeCell ref="O35:P35"/>
    <mergeCell ref="A36:P36"/>
    <mergeCell ref="A37:Q37"/>
    <mergeCell ref="O28:P28"/>
    <mergeCell ref="O29:P29"/>
    <mergeCell ref="O30:P30"/>
    <mergeCell ref="O31:P31"/>
    <mergeCell ref="O32:P32"/>
    <mergeCell ref="O23:P23"/>
    <mergeCell ref="O24:P24"/>
    <mergeCell ref="O25:P25"/>
    <mergeCell ref="O26:P26"/>
    <mergeCell ref="O27:P27"/>
    <mergeCell ref="O20:P20"/>
    <mergeCell ref="O21:P21"/>
    <mergeCell ref="O22:P22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2021-05-13T12:32:10Z</cp:lastPrinted>
  <dcterms:created xsi:type="dcterms:W3CDTF">2020-07-17T23:44:49Z</dcterms:created>
  <dcterms:modified xsi:type="dcterms:W3CDTF">2021-08-12T13:27:08Z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