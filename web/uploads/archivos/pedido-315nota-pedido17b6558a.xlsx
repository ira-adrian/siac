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G:\Mi unidad\COMPARTIDA\DIRECCION DE PLANIFICACION\DOCUMENTACION\Mario\ME\Tintas y Toners\"/>
    </mc:Choice>
  </mc:AlternateContent>
  <xr:revisionPtr revIDLastSave="0" documentId="13_ncr:1_{1B2ECBAF-914A-4C0D-8313-CBD8FF71FEB4}" xr6:coauthVersionLast="47" xr6:coauthVersionMax="47" xr10:uidLastSave="{00000000-0000-0000-0000-000000000000}"/>
  <bookViews>
    <workbookView xWindow="-120" yWindow="-120" windowWidth="29040" windowHeight="15840" tabRatio="500" xr2:uid="{00000000-000D-0000-FFFF-FFFF00000000}"/>
  </bookViews>
  <sheets>
    <sheet name="NPT" sheetId="3" r:id="rId1"/>
    <sheet name="Autor Gastar" sheetId="2" r:id="rId2"/>
    <sheet name="NP" sheetId="4" r:id="rId3"/>
    <sheet name="ANEXO IMPRESORAS" sheetId="6" r:id="rId4"/>
  </sheets>
  <definedNames>
    <definedName name="_xlnm.Print_Area" localSheetId="1">'Autor Gastar'!$A$1:$Q$36</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8" i="3" l="1"/>
  <c r="I17" i="3"/>
  <c r="I16" i="3"/>
  <c r="I15" i="3"/>
  <c r="I14" i="3"/>
  <c r="I13" i="3"/>
  <c r="I12" i="3"/>
  <c r="I11" i="3"/>
  <c r="I10" i="3"/>
  <c r="I9" i="3"/>
  <c r="Q31" i="2" l="1"/>
</calcChain>
</file>

<file path=xl/sharedStrings.xml><?xml version="1.0" encoding="utf-8"?>
<sst xmlns="http://schemas.openxmlformats.org/spreadsheetml/2006/main" count="237" uniqueCount="122">
  <si>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</si>
  <si>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</si>
  <si>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</si>
  <si>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</si>
  <si>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</si>
  <si>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</si>
  <si>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</si>
  <si>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</si>
  <si>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</si>
  <si>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</si>
  <si>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</si>
  <si>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</si>
  <si>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</si>
  <si>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</si>
  <si>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</si>
  <si>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</si>
  <si>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</si>
  <si>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</si>
  <si>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</si>
  <si>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</si>
  <si>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</si>
  <si>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</si>
  <si>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</si>
  <si>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</si>
  <si>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</si>
  <si>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</si>
  <si>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</si>
  <si>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</si>
  <si>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</si>
  <si>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</si>
  <si>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TOTAL DE PESOS: NOVECIENTOS OCHENTA Y CINCO  MIL CUATROCIENTOS VEINTE  CON 00/100</t>
  </si>
  <si>
    <t>Utiles de Escritorio, Oficina y Enseñanza</t>
  </si>
  <si>
    <t>La presente erogación tiene por objeto la adquisición de toner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</si>
  <si>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</si>
  <si>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</si>
  <si>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</si>
  <si>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</si>
  <si>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</si>
  <si>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</si>
  <si>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</si>
  <si>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</si>
  <si>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</si>
  <si>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</si>
  <si>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</si>
  <si>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</si>
  <si>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</si>
  <si>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</si>
  <si>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</si>
  <si>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</si>
  <si>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2.9.6-401.1362</t>
  </si>
  <si>
    <t>REPUESTOS</t>
  </si>
  <si>
    <t>2.9.2</t>
  </si>
  <si>
    <t>CARTUCHOS DE TONER; CODIGO: CE285A, USO: HEWLETT PACKARD</t>
  </si>
  <si>
    <t>UNIDAD</t>
  </si>
  <si>
    <t>2.9.6-401.1570</t>
  </si>
  <si>
    <t>CARTUCHOS DE TONER; CODIGO: CE 255 A, USO: HEWLETT PACKARD</t>
  </si>
  <si>
    <t>2.9.6-401.2045</t>
  </si>
  <si>
    <t>CARTUCHOS DE TONER; CODIGO: TN 1060, USO: BROTHER</t>
  </si>
  <si>
    <t>2.9.6-401.1026</t>
  </si>
  <si>
    <t>CARTUCHOS DE TONER; CODIGO: 2612A, COLOR: SIN VALOR, DESCRIPCION: SIN VALOR, USO: HEWLETT PACKARD</t>
  </si>
  <si>
    <t>2.9.6-401.2336</t>
  </si>
  <si>
    <t>CARTUCHOS DE TONER; CODIGO: 407823, USO: RICOH</t>
  </si>
  <si>
    <t>2.9.6-401.2128</t>
  </si>
  <si>
    <t>CARTUCHOS DE TONER; CODIGO: CF226A, USO: HEWLETT PACKARD</t>
  </si>
  <si>
    <t>2.9.6-401.1823</t>
  </si>
  <si>
    <t>CARTUCHOS DE TONER; CODIGO: TN - 750, USO: BROTHER</t>
  </si>
  <si>
    <t>2.9.6-401.2378</t>
  </si>
  <si>
    <t>CARTUCHOS DE TONER; CODIGO: W1105A, USO: HEWLETT PACKARD</t>
  </si>
  <si>
    <t>2.9.6-6762.21</t>
  </si>
  <si>
    <t xml:space="preserve">LIBRERIA,PAP. Y UTILES OFICINA
</t>
  </si>
  <si>
    <t xml:space="preserve">
TINTAS P/CARTUCHOS; CARTUCHO: CANON, CAPACIDAD: 135 ML, COLOR: NO APLICA</t>
  </si>
  <si>
    <t>2.9.6-6762.22</t>
  </si>
  <si>
    <t xml:space="preserve">TINTAS P/CARTUCHOS; CARTUCHO: CANON, CAPACIDAD: 70 ML, COLOR: NO APLICA
</t>
  </si>
  <si>
    <t>Especificidades Items N°  1 al 8:</t>
  </si>
  <si>
    <r>
      <t xml:space="preserve">Descripción técnica:   </t>
    </r>
    <r>
      <rPr>
        <sz val="10"/>
        <rFont val="Times New Roman"/>
        <family val="1"/>
      </rPr>
      <t xml:space="preserve"> Color negro alternativo</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</si>
  <si>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</si>
  <si>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</si>
  <si>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</si>
  <si>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t>Mantenimiento</t>
  </si>
  <si>
    <t>Garantia</t>
  </si>
  <si>
    <t>Especificidades Items N°  9:</t>
  </si>
  <si>
    <r>
      <t xml:space="preserve">Descripción técnica: </t>
    </r>
    <r>
      <rPr>
        <sz val="10"/>
        <rFont val="Times New Roman"/>
        <family val="1"/>
      </rPr>
      <t xml:space="preserve">   Tinta color Negro original</t>
    </r>
  </si>
  <si>
    <t>Especificidades Items N° 10:</t>
  </si>
  <si>
    <r>
      <t xml:space="preserve">Descripción técnica: </t>
    </r>
    <r>
      <rPr>
        <sz val="10"/>
        <rFont val="Times New Roman"/>
        <family val="1"/>
      </rPr>
      <t xml:space="preserve">   20 Tinta color Cyan, 20 Tinta color Amarillo, 20 Tinta color Magenta original</t>
    </r>
  </si>
  <si>
    <t>NOTA DE PEDIDO</t>
  </si>
  <si>
    <t>N°</t>
  </si>
  <si>
    <t xml:space="preserve">JURISDICCIÓN: </t>
  </si>
  <si>
    <t>PERIODO UTILIZACIÓN:</t>
  </si>
  <si>
    <t>3 TRIMESTRE</t>
  </si>
  <si>
    <t>OBJETO:</t>
  </si>
  <si>
    <t>ADQUISICION DE TONER PARA DISTINTAS DEPENDENCIAS DEL MINISTERIO DE EDUCACION</t>
  </si>
  <si>
    <t>Ítem</t>
  </si>
  <si>
    <t>Codigo Item</t>
  </si>
  <si>
    <t>DESCRIPCIÓN</t>
  </si>
  <si>
    <t>Adjunta Detalle Técnico</t>
  </si>
  <si>
    <t>Unidad Medida</t>
  </si>
  <si>
    <t>Precio Unitario Estimado</t>
  </si>
  <si>
    <t>Cantidad Solicitada</t>
  </si>
  <si>
    <t>TINTAS P/CARTUCHOS; CARTUCHO: CANON, CAPACIDAD: 135 ML, COLOR: NO APLICA
TINTAS P/CARTUCHOS; CARTUCHO: CANON, CAPACIDAD: 135 ML, COLOR: NO APLICA</t>
  </si>
  <si>
    <t>TINTAS P/CARTUCHOS; CARTUCHO: CANON, CAPACIDAD: 70 ML, COLOR: NO APLICA</t>
  </si>
  <si>
    <t>Costo total estimado: NOVECIENTOS OCHENTA Y CINCO  MIL CUATROCIENTOS VEINTE  CON 00/100</t>
  </si>
  <si>
    <t>SI</t>
  </si>
  <si>
    <t>LISTADO DE IMPRESORAS</t>
  </si>
  <si>
    <t>ITEM 1</t>
  </si>
  <si>
    <t>IMPRESORA HP LASER JET P1102w</t>
  </si>
  <si>
    <t>ITEM 2</t>
  </si>
  <si>
    <t>IMPRESORA HP LASER JET M521dn</t>
  </si>
  <si>
    <t>ITEM 3</t>
  </si>
  <si>
    <t>IMPRESORA BROTHER HL 1200</t>
  </si>
  <si>
    <t>ITEM 4</t>
  </si>
  <si>
    <t>IMPRESORA HP LASER JET 1020</t>
  </si>
  <si>
    <t>ITEM 5</t>
  </si>
  <si>
    <t>ITEM 6</t>
  </si>
  <si>
    <t>ITEM 7</t>
  </si>
  <si>
    <t>IMPRESORA BROTHER DCP 8155DN</t>
  </si>
  <si>
    <t>ITEM 8</t>
  </si>
  <si>
    <t>IMPRESORA LASER JET PRO MFP M130</t>
  </si>
  <si>
    <t>ITEM 9</t>
  </si>
  <si>
    <t>IMPRESORA CANON PIXMA G 3110</t>
  </si>
  <si>
    <t>ITEM 10</t>
  </si>
  <si>
    <t>IMPRESORA RICOH MP501SPF</t>
  </si>
  <si>
    <t>IMPRESORA LASER JET PRO M402DN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</si>
</sst>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1"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rgb="FF3D3D3D"/>
      </right>
      <top style="medium">
        <color rgb="FF3D3D3D"/>
      </top>
      <bottom style="medium">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1" fillId="0" borderId="0" applyFont="0" applyFill="0" applyBorder="0" applyAlignment="0" applyProtection="0"/>
  </cellStyleXfs>
  <cellXfs count="182">
    <xf numFmtId="0" fontId="0" fillId="0" borderId="0" xfId="0"/>
    <xf numFmtId="0" fontId="0" fillId="0" borderId="0" xfId="0" applyAlignment="1">
      <alignment horizontal="left"/>
    </xf>
    <xf numFmtId="3" fontId="5" fillId="0" borderId="11" xfId="0" applyNumberFormat="1" applyFont="1" applyBorder="1" applyAlignment="1"/>
    <xf numFmtId="166"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167" fontId="0" fillId="0" borderId="26" xfId="2" applyNumberFormat="1" applyFont="1" applyBorder="1" applyAlignment="1" applyProtection="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7" fontId="0" fillId="0" borderId="31" xfId="2" applyNumberFormat="1" applyFont="1" applyBorder="1" applyAlignment="1" applyProtection="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0" fillId="0" borderId="30" xfId="0"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7" fontId="0" fillId="0" borderId="35" xfId="2" applyNumberFormat="1" applyFont="1" applyBorder="1" applyAlignment="1" applyProtection="1">
      <alignment horizontal="center" vertical="center"/>
    </xf>
    <xf numFmtId="167" fontId="9" fillId="0" borderId="37" xfId="0" applyNumberFormat="1" applyFont="1" applyBorder="1" applyAlignment="1">
      <alignment horizontal="center" vertical="center"/>
    </xf>
    <xf numFmtId="0" fontId="7" fillId="0" borderId="39" xfId="0" applyFont="1" applyBorder="1" applyAlignment="1">
      <alignment horizontal="left" indent="1"/>
    </xf>
    <xf numFmtId="0" fontId="7" fillId="0" borderId="40" xfId="0" applyFont="1" applyBorder="1" applyAlignment="1">
      <alignment horizontal="left" indent="1"/>
    </xf>
    <xf numFmtId="0" fontId="7" fillId="0" borderId="0" xfId="0" applyFont="1" applyBorder="1" applyAlignment="1"/>
    <xf numFmtId="0" fontId="7" fillId="0" borderId="38" xfId="0" applyFont="1" applyBorder="1" applyAlignment="1"/>
    <xf numFmtId="0" fontId="0" fillId="0" borderId="30" xfId="0" applyFont="1" applyBorder="1" applyAlignment="1">
      <alignment horizontal="center" vertical="center"/>
    </xf>
    <xf numFmtId="0" fontId="10" fillId="0" borderId="0" xfId="0" applyFont="1"/>
    <xf numFmtId="0" fontId="0" fillId="0" borderId="44" xfId="0" applyFont="1" applyBorder="1" applyAlignment="1">
      <alignment horizontal="left" vertical="center"/>
    </xf>
    <xf numFmtId="0" fontId="0" fillId="0" borderId="43" xfId="0" applyFont="1" applyBorder="1" applyAlignment="1">
      <alignment horizontal="left" vertical="center"/>
    </xf>
    <xf numFmtId="0" fontId="12" fillId="0" borderId="0" xfId="0" applyFont="1"/>
    <xf numFmtId="0" fontId="16" fillId="0" borderId="0" xfId="0" applyFont="1" applyAlignment="1">
      <alignment horizontal="left" wrapText="1"/>
    </xf>
    <xf numFmtId="0" fontId="16" fillId="0" borderId="0" xfId="0"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7" xfId="0" applyFont="1" applyBorder="1" applyAlignment="1">
      <alignment horizontal="center" vertical="center" wrapText="1"/>
    </xf>
    <xf numFmtId="0" fontId="18" fillId="0" borderId="48" xfId="0" applyFont="1" applyBorder="1" applyAlignment="1">
      <alignment horizontal="center" vertical="center"/>
    </xf>
    <xf numFmtId="0" fontId="12" fillId="0" borderId="49" xfId="0" applyFont="1" applyBorder="1" applyAlignment="1">
      <alignment horizontal="center" vertical="center" wrapText="1"/>
    </xf>
    <xf numFmtId="0" fontId="0" fillId="0" borderId="0" xfId="0" applyAlignment="1">
      <alignment horizontal="center" vertical="center"/>
    </xf>
    <xf numFmtId="0" fontId="19" fillId="0" borderId="50" xfId="0" applyFont="1" applyBorder="1" applyAlignment="1">
      <alignment horizontal="center" vertical="center" wrapText="1"/>
    </xf>
    <xf numFmtId="0" fontId="0" fillId="0" borderId="49" xfId="0" applyBorder="1" applyAlignment="1">
      <alignment vertical="center" wrapText="1"/>
    </xf>
    <xf numFmtId="0" fontId="19" fillId="3" borderId="50" xfId="0" applyFont="1" applyFill="1" applyBorder="1" applyAlignment="1">
      <alignment horizontal="center" vertical="center" wrapText="1"/>
    </xf>
    <xf numFmtId="0" fontId="16" fillId="0" borderId="49" xfId="0" applyFont="1" applyBorder="1" applyAlignment="1">
      <alignment horizontal="center" vertical="center" wrapText="1"/>
    </xf>
    <xf numFmtId="167" fontId="18" fillId="3" borderId="50" xfId="4" applyNumberFormat="1" applyFont="1" applyFill="1" applyBorder="1" applyAlignment="1" applyProtection="1">
      <alignment horizontal="right" vertical="center" wrapText="1"/>
    </xf>
    <xf numFmtId="168" fontId="16" fillId="0" borderId="51" xfId="0" applyNumberFormat="1" applyFont="1" applyBorder="1" applyAlignment="1">
      <alignment horizontal="right" vertical="center" wrapText="1"/>
    </xf>
    <xf numFmtId="0" fontId="18" fillId="0" borderId="52" xfId="0" applyFont="1" applyBorder="1" applyAlignment="1">
      <alignment horizontal="center" vertical="center"/>
    </xf>
    <xf numFmtId="0" fontId="0" fillId="0" borderId="49" xfId="0" applyBorder="1" applyAlignment="1">
      <alignment horizontal="center" vertical="center" wrapText="1"/>
    </xf>
    <xf numFmtId="0" fontId="0" fillId="0" borderId="49" xfId="0" applyBorder="1" applyAlignment="1">
      <alignment horizontal="left" vertical="center" wrapText="1"/>
    </xf>
    <xf numFmtId="0" fontId="10" fillId="0" borderId="49" xfId="0" applyFont="1" applyBorder="1" applyAlignment="1">
      <alignment horizontal="left" vertical="center" wrapText="1"/>
    </xf>
    <xf numFmtId="0" fontId="10" fillId="0" borderId="49" xfId="0" applyFont="1" applyBorder="1" applyAlignment="1">
      <alignment horizontal="center" vertical="center" wrapText="1"/>
    </xf>
    <xf numFmtId="0" fontId="0" fillId="0" borderId="49" xfId="0" applyBorder="1" applyAlignment="1">
      <alignment horizontal="left" vertical="top" wrapText="1"/>
    </xf>
    <xf numFmtId="168" fontId="16" fillId="4" borderId="51" xfId="0" applyNumberFormat="1" applyFont="1" applyFill="1" applyBorder="1" applyAlignment="1">
      <alignment horizontal="right" vertical="center" wrapText="1"/>
    </xf>
    <xf numFmtId="0" fontId="10" fillId="0" borderId="49" xfId="0" applyFont="1" applyBorder="1" applyAlignment="1">
      <alignment horizontal="left" vertical="top" wrapText="1"/>
    </xf>
    <xf numFmtId="0" fontId="18" fillId="0" borderId="0" xfId="0" applyFont="1" applyBorder="1" applyAlignment="1">
      <alignment horizontal="center" vertical="center"/>
    </xf>
    <xf numFmtId="0" fontId="19" fillId="3" borderId="11" xfId="0" applyFont="1" applyFill="1" applyBorder="1" applyAlignment="1">
      <alignment horizontal="center" vertical="center" wrapText="1"/>
    </xf>
    <xf numFmtId="0" fontId="0" fillId="0" borderId="0" xfId="0" applyBorder="1" applyAlignment="1">
      <alignment horizontal="center" vertical="center" wrapText="1"/>
    </xf>
    <xf numFmtId="0" fontId="19" fillId="0" borderId="11" xfId="0" applyFont="1" applyBorder="1" applyAlignment="1">
      <alignment horizontal="center" vertical="center" wrapText="1"/>
    </xf>
    <xf numFmtId="0" fontId="0" fillId="0" borderId="0" xfId="0" applyBorder="1" applyAlignment="1">
      <alignment horizontal="left" vertical="center" wrapText="1"/>
    </xf>
    <xf numFmtId="0" fontId="19" fillId="3" borderId="0" xfId="0" applyFont="1" applyFill="1" applyBorder="1" applyAlignment="1">
      <alignment horizontal="center" vertical="center" wrapText="1"/>
    </xf>
    <xf numFmtId="167" fontId="18" fillId="3" borderId="0" xfId="4" applyNumberFormat="1" applyFont="1" applyFill="1" applyBorder="1" applyAlignment="1" applyProtection="1">
      <alignment horizontal="right" vertical="center" wrapText="1"/>
    </xf>
    <xf numFmtId="0" fontId="20" fillId="0" borderId="53" xfId="0" applyFont="1" applyBorder="1"/>
    <xf numFmtId="0" fontId="12" fillId="0" borderId="11" xfId="0" applyFont="1" applyBorder="1"/>
    <xf numFmtId="0" fontId="12" fillId="0" borderId="54" xfId="0" applyFont="1" applyBorder="1"/>
    <xf numFmtId="0" fontId="12" fillId="0" borderId="7" xfId="0" applyFont="1" applyBorder="1"/>
    <xf numFmtId="0" fontId="12" fillId="0" borderId="0" xfId="0" applyFont="1" applyBorder="1"/>
    <xf numFmtId="0" fontId="12" fillId="0" borderId="5" xfId="0" applyFont="1" applyBorder="1"/>
    <xf numFmtId="0" fontId="20" fillId="0" borderId="7" xfId="0" applyFont="1" applyBorder="1" applyAlignment="1">
      <alignment horizontal="left" indent="3"/>
    </xf>
    <xf numFmtId="0" fontId="12" fillId="0" borderId="7" xfId="0" applyFont="1" applyBorder="1" applyAlignment="1">
      <alignment horizontal="left" indent="3"/>
    </xf>
    <xf numFmtId="0" fontId="12" fillId="0" borderId="0" xfId="0" applyFont="1" applyBorder="1" applyAlignment="1">
      <alignment horizontal="center" wrapText="1"/>
    </xf>
    <xf numFmtId="0" fontId="12" fillId="0" borderId="5" xfId="0" applyFont="1" applyBorder="1" applyAlignment="1">
      <alignment horizontal="center" wrapText="1"/>
    </xf>
    <xf numFmtId="0" fontId="12" fillId="0" borderId="55" xfId="0" applyFont="1" applyBorder="1" applyAlignment="1">
      <alignment horizontal="left" indent="3"/>
    </xf>
    <xf numFmtId="0" fontId="12" fillId="0" borderId="56" xfId="0" applyFont="1" applyBorder="1"/>
    <xf numFmtId="0" fontId="12" fillId="0" borderId="57" xfId="0" applyFont="1" applyBorder="1"/>
    <xf numFmtId="0" fontId="22" fillId="0" borderId="58" xfId="0" applyFont="1" applyBorder="1" applyAlignment="1">
      <alignment horizontal="right" vertical="center"/>
    </xf>
    <xf numFmtId="0" fontId="23" fillId="0" borderId="2" xfId="0" applyNumberFormat="1" applyFont="1" applyBorder="1" applyAlignment="1">
      <alignment horizontal="center" vertical="center"/>
    </xf>
    <xf numFmtId="0" fontId="2" fillId="0" borderId="0" xfId="0" applyFont="1" applyBorder="1" applyAlignment="1">
      <alignment vertical="center"/>
    </xf>
    <xf numFmtId="0" fontId="22" fillId="0" borderId="3" xfId="0" applyFont="1" applyBorder="1" applyAlignment="1">
      <alignment vertical="center"/>
    </xf>
    <xf numFmtId="0" fontId="22" fillId="0" borderId="4" xfId="0" applyFont="1" applyBorder="1" applyAlignment="1">
      <alignment vertical="center"/>
    </xf>
    <xf numFmtId="0" fontId="22" fillId="0" borderId="0" xfId="0" applyFont="1" applyBorder="1" applyAlignment="1">
      <alignment vertical="center"/>
    </xf>
    <xf numFmtId="0" fontId="22" fillId="0" borderId="5" xfId="0" applyFont="1" applyBorder="1" applyAlignment="1">
      <alignment vertical="center"/>
    </xf>
    <xf numFmtId="0" fontId="24" fillId="0" borderId="7"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5" xfId="0" applyFont="1" applyBorder="1" applyAlignment="1">
      <alignment horizontal="left" vertical="center" wrapText="1" indent="1"/>
    </xf>
    <xf numFmtId="0" fontId="27" fillId="0" borderId="52" xfId="0" applyFont="1" applyBorder="1" applyAlignment="1">
      <alignment horizontal="center" vertical="center"/>
    </xf>
    <xf numFmtId="0" fontId="27" fillId="0" borderId="50" xfId="0" applyFont="1" applyBorder="1" applyAlignment="1">
      <alignment horizontal="left" vertical="center"/>
    </xf>
    <xf numFmtId="0" fontId="4" fillId="0" borderId="50" xfId="0" applyFont="1" applyBorder="1" applyAlignment="1">
      <alignment horizontal="center" vertical="center"/>
    </xf>
    <xf numFmtId="0" fontId="4" fillId="0" borderId="50" xfId="0" applyFont="1" applyBorder="1" applyAlignment="1">
      <alignment horizontal="center" vertical="center" wrapText="1"/>
    </xf>
    <xf numFmtId="3" fontId="4" fillId="0" borderId="69" xfId="0" applyNumberFormat="1" applyFont="1" applyBorder="1" applyAlignment="1">
      <alignment horizontal="center" vertical="center"/>
    </xf>
    <xf numFmtId="0" fontId="27" fillId="0" borderId="48" xfId="0" applyFont="1" applyBorder="1" applyAlignment="1">
      <alignment horizontal="center" vertical="center"/>
    </xf>
    <xf numFmtId="0" fontId="27" fillId="0" borderId="49" xfId="0" applyFont="1" applyBorder="1" applyAlignment="1">
      <alignment horizontal="left" vertical="center"/>
    </xf>
    <xf numFmtId="3" fontId="4" fillId="0" borderId="51" xfId="0" applyNumberFormat="1" applyFont="1" applyBorder="1" applyAlignment="1">
      <alignment horizontal="center" vertical="center"/>
    </xf>
    <xf numFmtId="0" fontId="4" fillId="0" borderId="49" xfId="0" applyFont="1" applyBorder="1" applyAlignment="1">
      <alignment horizontal="center" vertical="center"/>
    </xf>
    <xf numFmtId="0" fontId="4" fillId="0" borderId="49" xfId="0" applyFont="1" applyBorder="1" applyAlignment="1">
      <alignment horizontal="center" vertical="center" wrapText="1"/>
    </xf>
    <xf numFmtId="0" fontId="7" fillId="0" borderId="0" xfId="0" applyFont="1" applyBorder="1" applyAlignment="1">
      <alignment horizontal="left" indent="1"/>
    </xf>
    <xf numFmtId="0" fontId="0" fillId="0" borderId="0" xfId="0" applyBorder="1" applyAlignment="1">
      <alignment wrapText="1"/>
    </xf>
    <xf numFmtId="0" fontId="7" fillId="0" borderId="41" xfId="0" applyFont="1" applyBorder="1" applyAlignment="1">
      <alignment horizontal="left" indent="1"/>
    </xf>
    <xf numFmtId="0" fontId="7" fillId="0" borderId="73" xfId="0" applyFont="1" applyBorder="1" applyAlignment="1">
      <alignment horizontal="left" indent="1"/>
    </xf>
    <xf numFmtId="0" fontId="30" fillId="0" borderId="49" xfId="0" applyFont="1" applyBorder="1"/>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30" xfId="0" applyFont="1" applyBorder="1" applyAlignment="1">
      <alignment horizontal="left" vertical="center"/>
    </xf>
    <xf numFmtId="0" fontId="0" fillId="0" borderId="30" xfId="0" applyBorder="1" applyAlignment="1">
      <alignment horizontal="left" vertical="center"/>
    </xf>
    <xf numFmtId="0" fontId="0" fillId="0" borderId="33" xfId="0" applyBorder="1" applyAlignment="1">
      <alignment horizontal="left" vertical="center"/>
    </xf>
    <xf numFmtId="0" fontId="5" fillId="0" borderId="36" xfId="0" applyFont="1" applyBorder="1" applyAlignment="1">
      <alignment horizontal="left" vertical="center" wrapText="1"/>
    </xf>
    <xf numFmtId="0" fontId="0" fillId="0" borderId="14" xfId="0" applyBorder="1"/>
    <xf numFmtId="0" fontId="0" fillId="0" borderId="30" xfId="0" applyFont="1" applyBorder="1" applyAlignment="1">
      <alignment horizontal="center" vertical="center"/>
    </xf>
    <xf numFmtId="0" fontId="10" fillId="0" borderId="25" xfId="0" applyFont="1" applyBorder="1" applyAlignment="1">
      <alignment horizontal="center" vertical="center" wrapText="1"/>
    </xf>
    <xf numFmtId="0" fontId="0" fillId="0" borderId="42" xfId="0" applyFont="1" applyBorder="1" applyAlignment="1">
      <alignment horizontal="center" vertical="center" wrapText="1"/>
    </xf>
    <xf numFmtId="0" fontId="0" fillId="0" borderId="30" xfId="0" applyBorder="1" applyAlignment="1">
      <alignment horizont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4" fillId="0" borderId="12" xfId="0" applyFont="1" applyBorder="1" applyAlignment="1">
      <alignment horizontal="left" vertical="center" wrapText="1"/>
    </xf>
    <xf numFmtId="0" fontId="7" fillId="0" borderId="38" xfId="0" applyFont="1" applyBorder="1" applyAlignment="1">
      <alignment horizontal="left" wrapText="1"/>
    </xf>
    <xf numFmtId="0" fontId="0" fillId="0" borderId="39" xfId="0" applyBorder="1" applyAlignment="1">
      <alignment horizontal="left" wrapText="1"/>
    </xf>
    <xf numFmtId="0" fontId="0" fillId="0" borderId="41"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2" fillId="3" borderId="0" xfId="0" applyFont="1" applyFill="1" applyBorder="1" applyAlignment="1">
      <alignment horizontal="left" wrapText="1"/>
    </xf>
    <xf numFmtId="0" fontId="12" fillId="3" borderId="5"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13" fillId="0" borderId="0" xfId="0" applyFont="1" applyBorder="1" applyAlignment="1">
      <alignment horizontal="center"/>
    </xf>
    <xf numFmtId="0" fontId="14" fillId="0" borderId="0" xfId="0" applyFont="1" applyBorder="1" applyAlignment="1">
      <alignment horizontal="left" vertical="center" wrapText="1"/>
    </xf>
    <xf numFmtId="0" fontId="15" fillId="3" borderId="0" xfId="0" applyFont="1" applyFill="1" applyBorder="1" applyAlignment="1">
      <alignment horizontal="left" wrapText="1" indent="1"/>
    </xf>
    <xf numFmtId="0" fontId="28" fillId="0" borderId="8" xfId="0" applyFont="1" applyBorder="1" applyAlignment="1">
      <alignment horizontal="left" vertical="center" wrapText="1" indent="1"/>
    </xf>
    <xf numFmtId="168" fontId="24" fillId="0" borderId="8" xfId="0" applyNumberFormat="1" applyFont="1" applyBorder="1" applyAlignment="1">
      <alignment horizontal="center" vertical="center"/>
    </xf>
    <xf numFmtId="0" fontId="24" fillId="0" borderId="70" xfId="0" applyFont="1" applyBorder="1" applyAlignment="1">
      <alignment vertical="center" wrapText="1"/>
    </xf>
    <xf numFmtId="0" fontId="24" fillId="0" borderId="71" xfId="0" applyFont="1" applyBorder="1" applyAlignment="1">
      <alignment vertical="center" wrapText="1"/>
    </xf>
    <xf numFmtId="0" fontId="24" fillId="0" borderId="72" xfId="0" applyFont="1" applyBorder="1" applyAlignment="1">
      <alignment vertical="center" wrapText="1"/>
    </xf>
    <xf numFmtId="0" fontId="24" fillId="0" borderId="70" xfId="0" applyFont="1" applyBorder="1" applyAlignment="1">
      <alignment horizontal="left" vertical="center" wrapText="1"/>
    </xf>
    <xf numFmtId="0" fontId="24" fillId="0" borderId="71" xfId="0" applyFont="1" applyBorder="1" applyAlignment="1">
      <alignment horizontal="left" vertical="center" wrapText="1"/>
    </xf>
    <xf numFmtId="0" fontId="24" fillId="0" borderId="72" xfId="0" applyFont="1" applyBorder="1" applyAlignment="1">
      <alignment horizontal="left" vertical="center" wrapText="1"/>
    </xf>
    <xf numFmtId="0" fontId="24" fillId="0" borderId="49" xfId="0" applyFont="1" applyBorder="1" applyAlignment="1">
      <alignment horizontal="center" vertical="center" wrapText="1"/>
    </xf>
    <xf numFmtId="0" fontId="24" fillId="0" borderId="60" xfId="0" applyFont="1" applyBorder="1" applyAlignment="1">
      <alignment horizontal="left" vertical="center" wrapText="1"/>
    </xf>
    <xf numFmtId="0" fontId="25" fillId="0" borderId="6" xfId="0" applyFont="1" applyBorder="1" applyAlignment="1">
      <alignment vertical="center" wrapText="1"/>
    </xf>
    <xf numFmtId="0" fontId="23" fillId="0" borderId="6" xfId="0" applyFont="1" applyBorder="1" applyAlignment="1">
      <alignment vertical="center" wrapText="1"/>
    </xf>
    <xf numFmtId="0" fontId="24" fillId="0" borderId="61" xfId="0" applyFont="1" applyBorder="1" applyAlignment="1">
      <alignment horizontal="left" vertical="center"/>
    </xf>
    <xf numFmtId="0" fontId="25" fillId="0" borderId="62" xfId="0" applyFont="1" applyBorder="1" applyAlignment="1">
      <alignment vertical="center" wrapText="1"/>
    </xf>
    <xf numFmtId="0" fontId="23" fillId="0" borderId="62" xfId="0" applyFont="1" applyBorder="1" applyAlignment="1">
      <alignment vertical="center" wrapText="1"/>
    </xf>
    <xf numFmtId="0" fontId="26" fillId="0" borderId="63" xfId="0" applyFont="1" applyBorder="1" applyAlignment="1">
      <alignment horizontal="center" vertical="center"/>
    </xf>
    <xf numFmtId="0" fontId="26" fillId="0" borderId="64" xfId="0" applyFont="1" applyBorder="1" applyAlignment="1">
      <alignment horizontal="center" vertical="center" wrapText="1"/>
    </xf>
    <xf numFmtId="0" fontId="26" fillId="0" borderId="65" xfId="0" applyFont="1" applyBorder="1" applyAlignment="1">
      <alignment horizontal="center" vertical="center" wrapText="1"/>
    </xf>
    <xf numFmtId="0" fontId="24" fillId="0" borderId="66" xfId="0" applyFont="1" applyBorder="1" applyAlignment="1">
      <alignment vertical="center" wrapText="1"/>
    </xf>
    <xf numFmtId="0" fontId="24" fillId="0" borderId="67" xfId="0" applyFont="1" applyBorder="1" applyAlignment="1">
      <alignment vertical="center" wrapText="1"/>
    </xf>
    <xf numFmtId="0" fontId="24" fillId="0" borderId="68" xfId="0" applyFont="1" applyBorder="1" applyAlignment="1">
      <alignment vertical="center" wrapText="1"/>
    </xf>
    <xf numFmtId="0" fontId="21" fillId="0" borderId="53" xfId="0" applyFont="1" applyBorder="1" applyAlignment="1">
      <alignment horizontal="center" vertical="center"/>
    </xf>
    <xf numFmtId="0" fontId="24" fillId="0" borderId="59" xfId="0" applyFont="1" applyBorder="1" applyAlignment="1">
      <alignment horizontal="left" vertical="center" wrapText="1"/>
    </xf>
    <xf numFmtId="0" fontId="7" fillId="0" borderId="39" xfId="0" applyFont="1" applyBorder="1" applyAlignment="1">
      <alignment horizontal="left" wrapText="1"/>
    </xf>
    <xf numFmtId="0" fontId="7" fillId="0" borderId="41" xfId="0" applyFont="1" applyBorder="1" applyAlignment="1">
      <alignment horizontal="left" wrapText="1"/>
    </xf>
    <xf numFmtId="0" fontId="7" fillId="0" borderId="38" xfId="0" applyFont="1" applyBorder="1" applyAlignment="1">
      <alignment horizontal="left"/>
    </xf>
    <xf numFmtId="0" fontId="7" fillId="0" borderId="39" xfId="0" applyFont="1" applyBorder="1" applyAlignment="1">
      <alignment horizontal="left"/>
    </xf>
    <xf numFmtId="0" fontId="29" fillId="0" borderId="49" xfId="0" applyFont="1" applyBorder="1" applyAlignment="1">
      <alignment horizontal="center"/>
    </xf>
    <xf numFmtId="0" fontId="30" fillId="0" borderId="49" xfId="0" applyFont="1" applyBorder="1" applyAlignment="1">
      <alignment horizontal="left" vertical="center" wrapText="1"/>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
  <sheetViews>
    <sheetView tabSelected="1" topLeftCell="A4" workbookViewId="0">
      <selection activeCell="D21" sqref="D21"/>
    </sheetView>
  </sheetViews>
  <sheetFormatPr baseColWidth="10" defaultColWidth="11" defaultRowHeight="12.75" x14ac:dyDescent="0.2"/>
  <cols>
    <col min="1" max="1" width="4.5703125" style="47" customWidth="1"/>
    <col min="2" max="2" width="13.140625" style="47" customWidth="1"/>
    <col min="3" max="3" width="23" style="47" customWidth="1"/>
    <col min="4" max="4" width="8.42578125" style="47" customWidth="1"/>
    <col min="5" max="5" width="64.7109375" style="47" customWidth="1"/>
    <col min="6" max="6" width="11" style="47"/>
    <col min="7" max="7" width="12.7109375" style="47" customWidth="1"/>
    <col min="8" max="8" width="13.85546875" style="47" customWidth="1"/>
    <col min="9" max="9" width="13" style="47" customWidth="1"/>
    <col min="10" max="16384" width="11" style="47"/>
  </cols>
  <sheetData>
    <row r="1" spans="1:9" ht="27" x14ac:dyDescent="0.35">
      <c r="B1" s="150" t="s">
        <v>34</v>
      </c>
      <c r="C1" s="150"/>
      <c r="D1" s="150"/>
      <c r="E1" s="150"/>
      <c r="F1" s="150"/>
      <c r="G1" s="150"/>
      <c r="H1" s="150"/>
    </row>
    <row r="3" spans="1:9" ht="18" customHeight="1" x14ac:dyDescent="0.25">
      <c r="A3" s="151" t="s">
        <v>35</v>
      </c>
      <c r="B3" s="151"/>
      <c r="C3" s="152" t="s">
        <v>36</v>
      </c>
      <c r="D3" s="152"/>
      <c r="E3" s="152"/>
      <c r="F3" s="48"/>
      <c r="G3" s="49"/>
      <c r="H3" s="48"/>
    </row>
    <row r="4" spans="1:9" ht="18" customHeight="1" x14ac:dyDescent="0.25">
      <c r="A4" s="151" t="s">
        <v>37</v>
      </c>
      <c r="B4" s="151"/>
      <c r="C4" s="152" t="s">
        <v>38</v>
      </c>
      <c r="D4" s="152"/>
      <c r="E4" s="152"/>
      <c r="F4" s="48"/>
      <c r="G4" s="49"/>
      <c r="H4" s="48"/>
    </row>
    <row r="5" spans="1:9" ht="16.5" customHeight="1" x14ac:dyDescent="0.25">
      <c r="A5" s="151" t="s">
        <v>3</v>
      </c>
      <c r="B5" s="151"/>
      <c r="C5" s="50">
        <v>2022</v>
      </c>
      <c r="D5" s="51"/>
      <c r="E5" s="51"/>
      <c r="F5" s="48"/>
      <c r="G5" s="49"/>
      <c r="H5" s="48"/>
    </row>
    <row r="6" spans="1:9" ht="16.5" customHeight="1" x14ac:dyDescent="0.25">
      <c r="A6" s="151" t="s">
        <v>39</v>
      </c>
      <c r="B6" s="151"/>
      <c r="C6" s="50">
        <v>3</v>
      </c>
      <c r="D6" s="51"/>
      <c r="E6" s="51"/>
      <c r="F6" s="48"/>
      <c r="G6" s="49"/>
      <c r="H6" s="48"/>
    </row>
    <row r="7" spans="1:9" ht="13.5" thickBot="1" x14ac:dyDescent="0.25">
      <c r="B7" s="48"/>
      <c r="C7" s="49"/>
      <c r="D7" s="48"/>
      <c r="E7" s="48"/>
      <c r="F7" s="48"/>
      <c r="G7" s="49"/>
      <c r="H7" s="48"/>
    </row>
    <row r="8" spans="1:9" ht="39.75" thickTop="1" thickBot="1" x14ac:dyDescent="0.25">
      <c r="A8" s="52" t="s">
        <v>40</v>
      </c>
      <c r="B8" s="53" t="s">
        <v>41</v>
      </c>
      <c r="C8" s="54" t="s">
        <v>42</v>
      </c>
      <c r="D8" s="55" t="s">
        <v>43</v>
      </c>
      <c r="E8" s="52" t="s">
        <v>44</v>
      </c>
      <c r="F8" s="52" t="s">
        <v>45</v>
      </c>
      <c r="G8" s="52" t="s">
        <v>46</v>
      </c>
      <c r="H8" s="52" t="s">
        <v>47</v>
      </c>
      <c r="I8" s="52" t="s">
        <v>48</v>
      </c>
    </row>
    <row r="9" spans="1:9" ht="29.25" customHeight="1" thickBot="1" x14ac:dyDescent="0.25">
      <c r="A9" s="56">
        <v>1</v>
      </c>
      <c r="B9" s="57" t="s">
        <v>49</v>
      </c>
      <c r="C9" s="58" t="s">
        <v>50</v>
      </c>
      <c r="D9" s="59" t="s">
        <v>51</v>
      </c>
      <c r="E9" s="60" t="s">
        <v>52</v>
      </c>
      <c r="F9" s="61" t="s">
        <v>53</v>
      </c>
      <c r="G9" s="62">
        <v>120</v>
      </c>
      <c r="H9" s="63">
        <v>990</v>
      </c>
      <c r="I9" s="64">
        <f>H9*G9</f>
        <v>118800</v>
      </c>
    </row>
    <row r="10" spans="1:9" ht="26.25" thickBot="1" x14ac:dyDescent="0.25">
      <c r="A10" s="65">
        <v>2</v>
      </c>
      <c r="B10" s="61" t="s">
        <v>54</v>
      </c>
      <c r="C10" s="66" t="s">
        <v>50</v>
      </c>
      <c r="D10" s="59" t="s">
        <v>51</v>
      </c>
      <c r="E10" s="67" t="s">
        <v>55</v>
      </c>
      <c r="F10" s="61" t="s">
        <v>53</v>
      </c>
      <c r="G10" s="61">
        <v>25</v>
      </c>
      <c r="H10" s="63">
        <v>2800</v>
      </c>
      <c r="I10" s="64">
        <f t="shared" ref="I10:I18" si="0">H10*G10</f>
        <v>70000</v>
      </c>
    </row>
    <row r="11" spans="1:9" ht="18" customHeight="1" thickBot="1" x14ac:dyDescent="0.25">
      <c r="A11" s="56">
        <v>3</v>
      </c>
      <c r="B11" s="61" t="s">
        <v>56</v>
      </c>
      <c r="C11" s="66" t="s">
        <v>50</v>
      </c>
      <c r="D11" s="59" t="s">
        <v>51</v>
      </c>
      <c r="E11" s="67" t="s">
        <v>57</v>
      </c>
      <c r="F11" s="61" t="s">
        <v>53</v>
      </c>
      <c r="G11" s="61">
        <v>25</v>
      </c>
      <c r="H11" s="63">
        <v>1400</v>
      </c>
      <c r="I11" s="64">
        <f t="shared" si="0"/>
        <v>35000</v>
      </c>
    </row>
    <row r="12" spans="1:9" ht="26.25" thickBot="1" x14ac:dyDescent="0.25">
      <c r="A12" s="65">
        <v>4</v>
      </c>
      <c r="B12" s="61" t="s">
        <v>58</v>
      </c>
      <c r="C12" s="66" t="s">
        <v>50</v>
      </c>
      <c r="D12" s="59" t="s">
        <v>51</v>
      </c>
      <c r="E12" s="67" t="s">
        <v>59</v>
      </c>
      <c r="F12" s="61" t="s">
        <v>53</v>
      </c>
      <c r="G12" s="61">
        <v>80</v>
      </c>
      <c r="H12" s="63">
        <v>770.25</v>
      </c>
      <c r="I12" s="64">
        <f t="shared" si="0"/>
        <v>61620</v>
      </c>
    </row>
    <row r="13" spans="1:9" ht="22.5" customHeight="1" thickBot="1" x14ac:dyDescent="0.25">
      <c r="A13" s="56">
        <v>5</v>
      </c>
      <c r="B13" s="61" t="s">
        <v>60</v>
      </c>
      <c r="C13" s="66" t="s">
        <v>50</v>
      </c>
      <c r="D13" s="59" t="s">
        <v>51</v>
      </c>
      <c r="E13" s="67" t="s">
        <v>61</v>
      </c>
      <c r="F13" s="61" t="s">
        <v>53</v>
      </c>
      <c r="G13" s="61">
        <v>25</v>
      </c>
      <c r="H13" s="63">
        <v>6300</v>
      </c>
      <c r="I13" s="64">
        <f t="shared" si="0"/>
        <v>157500</v>
      </c>
    </row>
    <row r="14" spans="1:9" ht="23.25" customHeight="1" thickBot="1" x14ac:dyDescent="0.25">
      <c r="A14" s="65">
        <v>6</v>
      </c>
      <c r="B14" s="61" t="s">
        <v>62</v>
      </c>
      <c r="C14" s="66" t="s">
        <v>50</v>
      </c>
      <c r="D14" s="59" t="s">
        <v>51</v>
      </c>
      <c r="E14" s="67" t="s">
        <v>63</v>
      </c>
      <c r="F14" s="61" t="s">
        <v>53</v>
      </c>
      <c r="G14" s="61">
        <v>25</v>
      </c>
      <c r="H14" s="63">
        <v>2100</v>
      </c>
      <c r="I14" s="64">
        <f t="shared" si="0"/>
        <v>52500</v>
      </c>
    </row>
    <row r="15" spans="1:9" ht="23.25" customHeight="1" thickBot="1" x14ac:dyDescent="0.25">
      <c r="A15" s="56">
        <v>7</v>
      </c>
      <c r="B15" s="61" t="s">
        <v>64</v>
      </c>
      <c r="C15" s="66" t="s">
        <v>50</v>
      </c>
      <c r="D15" s="59" t="s">
        <v>51</v>
      </c>
      <c r="E15" s="67" t="s">
        <v>65</v>
      </c>
      <c r="F15" s="61" t="s">
        <v>53</v>
      </c>
      <c r="G15" s="61">
        <v>25</v>
      </c>
      <c r="H15" s="63">
        <v>2200</v>
      </c>
      <c r="I15" s="64">
        <f t="shared" si="0"/>
        <v>55000</v>
      </c>
    </row>
    <row r="16" spans="1:9" ht="21.75" customHeight="1" thickBot="1" x14ac:dyDescent="0.25">
      <c r="A16" s="65">
        <v>8</v>
      </c>
      <c r="B16" s="61" t="s">
        <v>66</v>
      </c>
      <c r="C16" s="66" t="s">
        <v>50</v>
      </c>
      <c r="D16" s="59" t="s">
        <v>51</v>
      </c>
      <c r="E16" s="68" t="s">
        <v>67</v>
      </c>
      <c r="F16" s="61" t="s">
        <v>53</v>
      </c>
      <c r="G16" s="61">
        <v>80</v>
      </c>
      <c r="H16" s="63">
        <v>2000</v>
      </c>
      <c r="I16" s="64">
        <f t="shared" si="0"/>
        <v>160000</v>
      </c>
    </row>
    <row r="17" spans="1:9" ht="51" customHeight="1" thickBot="1" x14ac:dyDescent="0.25">
      <c r="A17" s="56">
        <v>9</v>
      </c>
      <c r="B17" s="61" t="s">
        <v>68</v>
      </c>
      <c r="C17" s="69" t="s">
        <v>69</v>
      </c>
      <c r="D17" s="59" t="s">
        <v>51</v>
      </c>
      <c r="E17" s="70" t="s">
        <v>70</v>
      </c>
      <c r="F17" s="61" t="s">
        <v>53</v>
      </c>
      <c r="G17" s="61">
        <v>50</v>
      </c>
      <c r="H17" s="63">
        <v>2500</v>
      </c>
      <c r="I17" s="71">
        <f t="shared" si="0"/>
        <v>125000</v>
      </c>
    </row>
    <row r="18" spans="1:9" ht="49.5" customHeight="1" thickBot="1" x14ac:dyDescent="0.25">
      <c r="A18" s="65">
        <v>10</v>
      </c>
      <c r="B18" s="61" t="s">
        <v>71</v>
      </c>
      <c r="C18" s="69" t="s">
        <v>69</v>
      </c>
      <c r="D18" s="59" t="s">
        <v>51</v>
      </c>
      <c r="E18" s="72" t="s">
        <v>72</v>
      </c>
      <c r="F18" s="61" t="s">
        <v>53</v>
      </c>
      <c r="G18" s="61">
        <v>60</v>
      </c>
      <c r="H18" s="63">
        <v>2500</v>
      </c>
      <c r="I18" s="64">
        <f t="shared" si="0"/>
        <v>150000</v>
      </c>
    </row>
    <row r="19" spans="1:9" ht="13.5" thickBot="1" x14ac:dyDescent="0.25">
      <c r="A19" s="73"/>
      <c r="B19" s="74"/>
      <c r="C19" s="75"/>
      <c r="D19" s="76"/>
      <c r="E19" s="77"/>
      <c r="F19" s="78"/>
      <c r="G19" s="78"/>
      <c r="H19" s="79"/>
      <c r="I19" s="79"/>
    </row>
    <row r="20" spans="1:9" x14ac:dyDescent="0.2">
      <c r="B20" s="80" t="s">
        <v>73</v>
      </c>
      <c r="C20" s="81"/>
      <c r="D20" s="81"/>
      <c r="E20" s="82"/>
    </row>
    <row r="21" spans="1:9" ht="5.25" customHeight="1" x14ac:dyDescent="0.2">
      <c r="B21" s="83"/>
      <c r="C21" s="84"/>
      <c r="D21" s="84"/>
      <c r="E21" s="85"/>
    </row>
    <row r="22" spans="1:9" ht="18.75" customHeight="1" x14ac:dyDescent="0.2">
      <c r="B22" s="86" t="s">
        <v>74</v>
      </c>
      <c r="C22" s="84"/>
      <c r="D22" s="84"/>
      <c r="E22" s="85"/>
    </row>
    <row r="23" spans="1:9" ht="22.5" customHeight="1" x14ac:dyDescent="0.2">
      <c r="B23" s="86"/>
      <c r="C23" s="146"/>
      <c r="D23" s="146"/>
      <c r="E23" s="147"/>
    </row>
    <row r="24" spans="1:9" x14ac:dyDescent="0.2">
      <c r="B24" s="86" t="s">
        <v>75</v>
      </c>
      <c r="C24" s="84"/>
      <c r="D24" s="84"/>
      <c r="E24" s="85"/>
    </row>
    <row r="25" spans="1:9" ht="25.5" customHeight="1" x14ac:dyDescent="0.2">
      <c r="B25" s="87"/>
      <c r="C25" s="146" t="s">
        <v>76</v>
      </c>
      <c r="D25" s="146"/>
      <c r="E25" s="147"/>
    </row>
    <row r="26" spans="1:9" ht="44.25" customHeight="1" x14ac:dyDescent="0.2">
      <c r="B26" s="87"/>
      <c r="C26" s="146"/>
      <c r="D26" s="146"/>
      <c r="E26" s="147"/>
    </row>
    <row r="27" spans="1:9" x14ac:dyDescent="0.2">
      <c r="B27" s="86" t="s">
        <v>77</v>
      </c>
      <c r="C27" s="84"/>
      <c r="D27" s="84"/>
      <c r="E27" s="85"/>
    </row>
    <row r="28" spans="1:9" ht="9.75" customHeight="1" x14ac:dyDescent="0.2">
      <c r="B28" s="87"/>
      <c r="C28" s="146"/>
      <c r="D28" s="146"/>
      <c r="E28" s="147"/>
    </row>
    <row r="29" spans="1:9" x14ac:dyDescent="0.2">
      <c r="B29" s="86" t="s">
        <v>78</v>
      </c>
      <c r="C29" s="88"/>
      <c r="D29" s="88"/>
      <c r="E29" s="89"/>
    </row>
    <row r="30" spans="1:9" ht="7.5" customHeight="1" x14ac:dyDescent="0.2">
      <c r="B30" s="87"/>
      <c r="C30" s="146"/>
      <c r="D30" s="146"/>
      <c r="E30" s="147"/>
    </row>
    <row r="31" spans="1:9" x14ac:dyDescent="0.2">
      <c r="B31" s="86" t="s">
        <v>79</v>
      </c>
      <c r="C31" s="84"/>
      <c r="D31" s="84"/>
      <c r="E31" s="85"/>
    </row>
    <row r="32" spans="1:9" ht="13.5" customHeight="1" x14ac:dyDescent="0.2">
      <c r="B32" s="86"/>
      <c r="C32" s="146"/>
      <c r="D32" s="148"/>
      <c r="E32" s="149"/>
    </row>
    <row r="33" spans="2:5" ht="13.5" thickBot="1" x14ac:dyDescent="0.25">
      <c r="B33" s="90"/>
      <c r="C33" s="91"/>
      <c r="D33" s="91"/>
      <c r="E33" s="92"/>
    </row>
    <row r="34" spans="2:5" ht="13.5" thickBot="1" x14ac:dyDescent="0.25"/>
    <row r="35" spans="2:5" x14ac:dyDescent="0.2">
      <c r="B35" s="80" t="s">
        <v>80</v>
      </c>
      <c r="C35" s="81"/>
      <c r="D35" s="81"/>
      <c r="E35" s="82"/>
    </row>
    <row r="36" spans="2:5" x14ac:dyDescent="0.2">
      <c r="B36" s="83"/>
      <c r="C36" s="84"/>
      <c r="D36" s="84"/>
      <c r="E36" s="85"/>
    </row>
    <row r="37" spans="2:5" x14ac:dyDescent="0.2">
      <c r="B37" s="86" t="s">
        <v>81</v>
      </c>
      <c r="C37" s="84"/>
      <c r="D37" s="84"/>
      <c r="E37" s="85"/>
    </row>
    <row r="38" spans="2:5" x14ac:dyDescent="0.2">
      <c r="B38" s="86"/>
      <c r="C38" s="146"/>
      <c r="D38" s="146"/>
      <c r="E38" s="147"/>
    </row>
    <row r="39" spans="2:5" x14ac:dyDescent="0.2">
      <c r="B39" s="86" t="s">
        <v>75</v>
      </c>
      <c r="C39" s="84"/>
      <c r="D39" s="84"/>
      <c r="E39" s="85"/>
    </row>
    <row r="40" spans="2:5" x14ac:dyDescent="0.2">
      <c r="B40" s="87"/>
      <c r="C40" s="146" t="s">
        <v>76</v>
      </c>
      <c r="D40" s="146"/>
      <c r="E40" s="147"/>
    </row>
    <row r="41" spans="2:5" x14ac:dyDescent="0.2">
      <c r="B41" s="87"/>
      <c r="C41" s="146"/>
      <c r="D41" s="146"/>
      <c r="E41" s="147"/>
    </row>
    <row r="42" spans="2:5" x14ac:dyDescent="0.2">
      <c r="B42" s="86" t="s">
        <v>77</v>
      </c>
      <c r="C42" s="84"/>
      <c r="D42" s="84"/>
      <c r="E42" s="85"/>
    </row>
    <row r="43" spans="2:5" x14ac:dyDescent="0.2">
      <c r="B43" s="87"/>
      <c r="C43" s="146"/>
      <c r="D43" s="146"/>
      <c r="E43" s="147"/>
    </row>
    <row r="44" spans="2:5" x14ac:dyDescent="0.2">
      <c r="B44" s="86" t="s">
        <v>78</v>
      </c>
      <c r="C44" s="88"/>
      <c r="D44" s="88"/>
      <c r="E44" s="89"/>
    </row>
    <row r="45" spans="2:5" x14ac:dyDescent="0.2">
      <c r="B45" s="87"/>
      <c r="C45" s="146"/>
      <c r="D45" s="146"/>
      <c r="E45" s="147"/>
    </row>
    <row r="46" spans="2:5" x14ac:dyDescent="0.2">
      <c r="B46" s="86" t="s">
        <v>79</v>
      </c>
      <c r="C46" s="84"/>
      <c r="D46" s="84"/>
      <c r="E46" s="85"/>
    </row>
    <row r="47" spans="2:5" x14ac:dyDescent="0.2">
      <c r="B47" s="86"/>
      <c r="C47" s="146"/>
      <c r="D47" s="148"/>
      <c r="E47" s="149"/>
    </row>
    <row r="48" spans="2:5" ht="13.5" thickBot="1" x14ac:dyDescent="0.25">
      <c r="B48" s="90"/>
      <c r="C48" s="91"/>
      <c r="D48" s="91"/>
      <c r="E48" s="92"/>
    </row>
    <row r="49" spans="2:5" ht="13.5" thickBot="1" x14ac:dyDescent="0.25"/>
    <row r="50" spans="2:5" x14ac:dyDescent="0.2">
      <c r="B50" s="80" t="s">
        <v>82</v>
      </c>
      <c r="C50" s="81"/>
      <c r="D50" s="81"/>
      <c r="E50" s="82"/>
    </row>
    <row r="51" spans="2:5" x14ac:dyDescent="0.2">
      <c r="B51" s="83"/>
      <c r="C51" s="84"/>
      <c r="D51" s="84"/>
      <c r="E51" s="85"/>
    </row>
    <row r="52" spans="2:5" x14ac:dyDescent="0.2">
      <c r="B52" s="86" t="s">
        <v>83</v>
      </c>
      <c r="C52" s="84"/>
      <c r="D52" s="84"/>
      <c r="E52" s="85"/>
    </row>
    <row r="53" spans="2:5" x14ac:dyDescent="0.2">
      <c r="B53" s="86"/>
      <c r="C53" s="146"/>
      <c r="D53" s="146"/>
      <c r="E53" s="147"/>
    </row>
    <row r="54" spans="2:5" x14ac:dyDescent="0.2">
      <c r="B54" s="86" t="s">
        <v>75</v>
      </c>
      <c r="C54" s="84"/>
      <c r="D54" s="84"/>
      <c r="E54" s="85"/>
    </row>
    <row r="55" spans="2:5" x14ac:dyDescent="0.2">
      <c r="B55" s="87"/>
      <c r="C55" s="146" t="s">
        <v>76</v>
      </c>
      <c r="D55" s="146"/>
      <c r="E55" s="147"/>
    </row>
    <row r="56" spans="2:5" x14ac:dyDescent="0.2">
      <c r="B56" s="87"/>
      <c r="C56" s="146"/>
      <c r="D56" s="146"/>
      <c r="E56" s="147"/>
    </row>
    <row r="57" spans="2:5" x14ac:dyDescent="0.2">
      <c r="B57" s="86" t="s">
        <v>77</v>
      </c>
      <c r="C57" s="84"/>
      <c r="D57" s="84"/>
      <c r="E57" s="85"/>
    </row>
    <row r="58" spans="2:5" x14ac:dyDescent="0.2">
      <c r="B58" s="87"/>
      <c r="C58" s="146"/>
      <c r="D58" s="146"/>
      <c r="E58" s="147"/>
    </row>
    <row r="59" spans="2:5" x14ac:dyDescent="0.2">
      <c r="B59" s="86" t="s">
        <v>78</v>
      </c>
      <c r="C59" s="88"/>
      <c r="D59" s="88"/>
      <c r="E59" s="89"/>
    </row>
    <row r="60" spans="2:5" x14ac:dyDescent="0.2">
      <c r="B60" s="87"/>
      <c r="C60" s="146"/>
      <c r="D60" s="146"/>
      <c r="E60" s="147"/>
    </row>
    <row r="61" spans="2:5" x14ac:dyDescent="0.2">
      <c r="B61" s="86" t="s">
        <v>79</v>
      </c>
      <c r="C61" s="84"/>
      <c r="D61" s="84"/>
      <c r="E61" s="85"/>
    </row>
    <row r="62" spans="2:5" x14ac:dyDescent="0.2">
      <c r="B62" s="86"/>
      <c r="C62" s="146"/>
      <c r="D62" s="148"/>
      <c r="E62" s="149"/>
    </row>
    <row r="63" spans="2:5" ht="13.5" thickBot="1" x14ac:dyDescent="0.25">
      <c r="B63" s="90"/>
      <c r="C63" s="91"/>
      <c r="D63" s="91"/>
      <c r="E63" s="92"/>
    </row>
  </sheetData>
  <mergeCells count="22">
    <mergeCell ref="C32:E32"/>
    <mergeCell ref="B1:H1"/>
    <mergeCell ref="A3:B3"/>
    <mergeCell ref="C3:E3"/>
    <mergeCell ref="A4:B4"/>
    <mergeCell ref="C4:E4"/>
    <mergeCell ref="A5:B5"/>
    <mergeCell ref="A6:B6"/>
    <mergeCell ref="C23:E23"/>
    <mergeCell ref="C25:E26"/>
    <mergeCell ref="C28:E28"/>
    <mergeCell ref="C30:E30"/>
    <mergeCell ref="C55:E56"/>
    <mergeCell ref="C58:E58"/>
    <mergeCell ref="C60:E60"/>
    <mergeCell ref="C62:E62"/>
    <mergeCell ref="C38:E38"/>
    <mergeCell ref="C40:E41"/>
    <mergeCell ref="C43:E43"/>
    <mergeCell ref="C45:E45"/>
    <mergeCell ref="C47:E47"/>
    <mergeCell ref="C53:E53"/>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opLeftCell="A28" zoomScale="130" zoomScaleNormal="130" workbookViewId="0">
      <selection activeCell="A34" sqref="A34:Q35"/>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42" t="s">
        <v>3</v>
      </c>
      <c r="B1" s="142"/>
      <c r="C1" s="142"/>
      <c r="D1" s="143">
        <v>2022</v>
      </c>
      <c r="E1" s="143"/>
      <c r="F1" s="2"/>
      <c r="G1" s="2"/>
      <c r="H1" s="3"/>
      <c r="I1" s="3"/>
      <c r="J1" s="3"/>
      <c r="K1" s="3"/>
      <c r="L1" s="3"/>
      <c r="M1" s="3"/>
      <c r="N1" s="3"/>
      <c r="O1" s="4"/>
      <c r="P1" s="144" t="s">
        <v>4</v>
      </c>
      <c r="Q1" s="144"/>
    </row>
    <row r="2" spans="1:18" ht="15.75" customHeight="1" x14ac:dyDescent="0.2">
      <c r="A2" s="5"/>
      <c r="B2" s="6"/>
      <c r="C2" s="6"/>
      <c r="D2" s="6"/>
      <c r="E2" s="6"/>
      <c r="F2" s="6"/>
      <c r="G2" s="7"/>
      <c r="H2" s="8"/>
      <c r="I2" s="8"/>
      <c r="J2" s="8"/>
      <c r="K2" s="8"/>
      <c r="L2" s="8"/>
      <c r="M2" s="8"/>
      <c r="N2" s="8"/>
      <c r="O2" s="6"/>
      <c r="P2" s="144"/>
      <c r="Q2" s="144"/>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45" t="s">
        <v>5</v>
      </c>
      <c r="B4" s="145"/>
      <c r="C4" s="145"/>
      <c r="D4" s="145"/>
      <c r="E4" s="145"/>
      <c r="F4" s="145"/>
      <c r="G4" s="42" t="s">
        <v>26</v>
      </c>
      <c r="H4" s="39"/>
      <c r="I4" s="39"/>
      <c r="J4" s="39"/>
      <c r="K4" s="39"/>
      <c r="L4" s="39"/>
      <c r="M4" s="39"/>
      <c r="N4" s="39"/>
      <c r="O4" s="39"/>
      <c r="P4" s="39"/>
      <c r="Q4" s="40"/>
    </row>
    <row r="5" spans="1:18" s="10" customFormat="1" ht="31.5" customHeight="1" thickBot="1" x14ac:dyDescent="0.25">
      <c r="A5" s="138" t="s">
        <v>0</v>
      </c>
      <c r="B5" s="138"/>
      <c r="C5" s="138"/>
      <c r="D5" s="138"/>
      <c r="E5" s="138"/>
      <c r="F5" s="138"/>
      <c r="G5" s="139" t="s">
        <v>27</v>
      </c>
      <c r="H5" s="140"/>
      <c r="I5" s="140"/>
      <c r="J5" s="140"/>
      <c r="K5" s="140"/>
      <c r="L5" s="140"/>
      <c r="M5" s="140"/>
      <c r="N5" s="140"/>
      <c r="O5" s="140"/>
      <c r="P5" s="140"/>
      <c r="Q5" s="141"/>
      <c r="R5" s="41"/>
    </row>
    <row r="6" spans="1:18" s="10" customFormat="1" ht="18" customHeight="1" thickBot="1" x14ac:dyDescent="0.25">
      <c r="A6" s="138" t="s">
        <v>1</v>
      </c>
      <c r="B6" s="138"/>
      <c r="C6" s="138"/>
      <c r="D6" s="138"/>
      <c r="E6" s="138"/>
      <c r="F6" s="138"/>
      <c r="G6" s="42" t="s">
        <v>29</v>
      </c>
      <c r="H6" s="39"/>
      <c r="I6" s="39"/>
      <c r="J6" s="39"/>
      <c r="K6" s="39"/>
      <c r="L6" s="39"/>
      <c r="M6" s="39"/>
      <c r="N6" s="39"/>
      <c r="O6" s="39"/>
      <c r="P6" s="39"/>
      <c r="Q6" s="40"/>
    </row>
    <row r="7" spans="1:18" s="10" customFormat="1" ht="18" customHeight="1" thickBot="1" x14ac:dyDescent="0.25">
      <c r="A7" s="138" t="s">
        <v>2</v>
      </c>
      <c r="B7" s="138"/>
      <c r="C7" s="138"/>
      <c r="D7" s="138"/>
      <c r="E7" s="138"/>
      <c r="F7" s="138"/>
      <c r="G7" s="42" t="s">
        <v>29</v>
      </c>
      <c r="H7" s="39"/>
      <c r="I7" s="39"/>
      <c r="J7" s="39"/>
      <c r="K7" s="39"/>
      <c r="L7" s="39"/>
      <c r="M7" s="39"/>
      <c r="N7" s="39"/>
      <c r="O7" s="39"/>
      <c r="P7" s="39"/>
      <c r="Q7" s="40"/>
    </row>
    <row r="8" spans="1:18" ht="18" customHeight="1" thickBot="1" x14ac:dyDescent="0.25">
      <c r="A8" s="131" t="s">
        <v>6</v>
      </c>
      <c r="B8" s="131"/>
      <c r="C8" s="131"/>
      <c r="D8" s="131"/>
      <c r="E8" s="131"/>
      <c r="F8" s="131"/>
      <c r="G8" s="131"/>
      <c r="H8" s="131"/>
      <c r="I8" s="131"/>
      <c r="J8" s="131"/>
      <c r="K8" s="131"/>
      <c r="L8" s="131"/>
      <c r="M8" s="131"/>
      <c r="N8" s="131"/>
      <c r="O8" s="131"/>
      <c r="P8" s="131"/>
      <c r="Q8" s="131"/>
    </row>
    <row r="9" spans="1:18" ht="18" customHeight="1" x14ac:dyDescent="0.2">
      <c r="A9" s="132" t="s">
        <v>7</v>
      </c>
      <c r="B9" s="132"/>
      <c r="C9" s="132"/>
      <c r="D9" s="132"/>
      <c r="E9" s="132"/>
      <c r="F9" s="132"/>
      <c r="G9" s="132"/>
      <c r="H9" s="132"/>
      <c r="I9" s="132"/>
      <c r="J9" s="132"/>
      <c r="K9" s="132"/>
      <c r="L9" s="132"/>
      <c r="M9" s="132"/>
      <c r="N9" s="132"/>
      <c r="O9" s="132"/>
      <c r="P9" s="132"/>
      <c r="Q9" s="132"/>
    </row>
    <row r="10" spans="1:18" ht="54.75" customHeight="1" x14ac:dyDescent="0.2">
      <c r="A10" s="133" t="s">
        <v>33</v>
      </c>
      <c r="B10" s="133"/>
      <c r="C10" s="133"/>
      <c r="D10" s="133"/>
      <c r="E10" s="133"/>
      <c r="F10" s="133"/>
      <c r="G10" s="133"/>
      <c r="H10" s="133"/>
      <c r="I10" s="133"/>
      <c r="J10" s="133"/>
      <c r="K10" s="133"/>
      <c r="L10" s="133"/>
      <c r="M10" s="133"/>
      <c r="N10" s="133"/>
      <c r="O10" s="133"/>
      <c r="P10" s="133"/>
      <c r="Q10" s="133"/>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34" t="s">
        <v>8</v>
      </c>
      <c r="B12" s="134"/>
      <c r="C12" s="134"/>
      <c r="D12" s="134"/>
      <c r="E12" s="134"/>
      <c r="F12" s="134"/>
      <c r="G12" s="134"/>
      <c r="H12" s="134"/>
      <c r="I12" s="134"/>
      <c r="J12" s="134"/>
      <c r="K12" s="134"/>
      <c r="L12" s="134"/>
      <c r="M12" s="134"/>
      <c r="N12" s="134"/>
      <c r="O12" s="134"/>
      <c r="P12" s="134"/>
      <c r="Q12" s="134"/>
    </row>
    <row r="13" spans="1:18" ht="15.75" customHeight="1" x14ac:dyDescent="0.2">
      <c r="A13" s="135" t="s">
        <v>9</v>
      </c>
      <c r="B13" s="135"/>
      <c r="C13" s="135"/>
      <c r="D13" s="135"/>
      <c r="E13" s="135"/>
      <c r="F13" s="135"/>
      <c r="G13" s="135"/>
      <c r="H13" s="135"/>
      <c r="I13" s="135"/>
      <c r="J13" s="135"/>
      <c r="K13" s="135"/>
      <c r="L13" s="135"/>
      <c r="M13" s="135"/>
      <c r="N13" s="135"/>
      <c r="O13" s="136" t="s">
        <v>10</v>
      </c>
      <c r="P13" s="136"/>
      <c r="Q13" s="137"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36"/>
      <c r="P14" s="136"/>
      <c r="Q14" s="137"/>
    </row>
    <row r="15" spans="1:18" ht="27.75" customHeight="1" x14ac:dyDescent="0.2">
      <c r="A15" s="20">
        <v>1</v>
      </c>
      <c r="B15" s="21">
        <v>0</v>
      </c>
      <c r="C15" s="21">
        <v>0</v>
      </c>
      <c r="D15" s="21">
        <v>1</v>
      </c>
      <c r="E15" s="21">
        <v>0</v>
      </c>
      <c r="F15" s="21">
        <v>4901</v>
      </c>
      <c r="G15" s="21">
        <v>3</v>
      </c>
      <c r="H15" s="21">
        <v>4</v>
      </c>
      <c r="I15" s="21">
        <v>2</v>
      </c>
      <c r="J15" s="21">
        <v>9</v>
      </c>
      <c r="K15" s="21">
        <v>2</v>
      </c>
      <c r="L15" s="21">
        <v>0</v>
      </c>
      <c r="M15" s="22">
        <v>1</v>
      </c>
      <c r="N15" s="21" t="s">
        <v>28</v>
      </c>
      <c r="O15" s="128" t="s">
        <v>31</v>
      </c>
      <c r="P15" s="129"/>
      <c r="Q15" s="23">
        <v>985420</v>
      </c>
    </row>
    <row r="16" spans="1:18" ht="17.25" customHeight="1" x14ac:dyDescent="0.2">
      <c r="A16" s="24"/>
      <c r="B16" s="25"/>
      <c r="C16" s="25"/>
      <c r="D16" s="25"/>
      <c r="E16" s="25"/>
      <c r="F16" s="25"/>
      <c r="G16" s="25"/>
      <c r="H16" s="25"/>
      <c r="I16" s="25"/>
      <c r="J16" s="25"/>
      <c r="K16" s="25"/>
      <c r="L16" s="25"/>
      <c r="M16" s="26"/>
      <c r="N16" s="27"/>
      <c r="O16" s="122"/>
      <c r="P16" s="122"/>
      <c r="Q16" s="28"/>
    </row>
    <row r="17" spans="1:18" ht="17.25" customHeight="1" x14ac:dyDescent="0.2">
      <c r="A17" s="24"/>
      <c r="B17" s="25"/>
      <c r="C17" s="25"/>
      <c r="D17" s="25"/>
      <c r="E17" s="25"/>
      <c r="F17" s="25"/>
      <c r="G17" s="25"/>
      <c r="H17" s="25"/>
      <c r="I17" s="25"/>
      <c r="J17" s="25"/>
      <c r="K17" s="25"/>
      <c r="L17" s="25"/>
      <c r="M17" s="26"/>
      <c r="N17" s="43"/>
      <c r="O17" s="46"/>
      <c r="P17" s="45"/>
      <c r="Q17" s="28"/>
    </row>
    <row r="18" spans="1:18" ht="17.25" customHeight="1" x14ac:dyDescent="0.2">
      <c r="A18" s="24"/>
      <c r="B18" s="25"/>
      <c r="C18" s="25"/>
      <c r="D18" s="25"/>
      <c r="E18" s="25"/>
      <c r="F18" s="25"/>
      <c r="G18" s="25"/>
      <c r="H18" s="25"/>
      <c r="I18" s="25"/>
      <c r="J18" s="25"/>
      <c r="K18" s="25"/>
      <c r="L18" s="25"/>
      <c r="M18" s="26"/>
      <c r="N18" s="43"/>
      <c r="O18" s="46"/>
      <c r="P18" s="45"/>
      <c r="Q18" s="28"/>
    </row>
    <row r="19" spans="1:18" ht="17.25" customHeight="1" x14ac:dyDescent="0.2">
      <c r="A19" s="24"/>
      <c r="B19" s="25"/>
      <c r="C19" s="25"/>
      <c r="D19" s="25"/>
      <c r="E19" s="25"/>
      <c r="F19" s="25"/>
      <c r="G19" s="25"/>
      <c r="H19" s="25"/>
      <c r="I19" s="25"/>
      <c r="J19" s="25"/>
      <c r="K19" s="25"/>
      <c r="L19" s="25"/>
      <c r="M19" s="26"/>
      <c r="N19" s="43"/>
      <c r="O19" s="46"/>
      <c r="P19" s="45"/>
      <c r="Q19" s="28"/>
    </row>
    <row r="20" spans="1:18" ht="17.25" customHeight="1" x14ac:dyDescent="0.2">
      <c r="A20" s="24"/>
      <c r="B20" s="25"/>
      <c r="C20" s="25"/>
      <c r="D20" s="25"/>
      <c r="E20" s="25"/>
      <c r="F20" s="25"/>
      <c r="G20" s="25"/>
      <c r="H20" s="25"/>
      <c r="I20" s="25"/>
      <c r="J20" s="25"/>
      <c r="K20" s="25"/>
      <c r="L20" s="25"/>
      <c r="M20" s="26"/>
      <c r="N20" s="43"/>
      <c r="O20" s="46"/>
      <c r="P20" s="45"/>
      <c r="Q20" s="28"/>
    </row>
    <row r="21" spans="1:18" ht="17.25" customHeight="1" x14ac:dyDescent="0.2">
      <c r="A21" s="24"/>
      <c r="B21" s="25"/>
      <c r="C21" s="25"/>
      <c r="D21" s="25"/>
      <c r="E21" s="25"/>
      <c r="F21" s="25"/>
      <c r="G21" s="25"/>
      <c r="H21" s="25"/>
      <c r="I21" s="25"/>
      <c r="J21" s="25"/>
      <c r="K21" s="25"/>
      <c r="L21" s="25"/>
      <c r="M21" s="26"/>
      <c r="N21" s="27"/>
      <c r="O21" s="130"/>
      <c r="P21" s="130"/>
      <c r="Q21" s="28"/>
    </row>
    <row r="22" spans="1:18" ht="17.25" customHeight="1" x14ac:dyDescent="0.2">
      <c r="A22" s="24"/>
      <c r="B22" s="25"/>
      <c r="C22" s="25"/>
      <c r="D22" s="25"/>
      <c r="E22" s="25"/>
      <c r="F22" s="25"/>
      <c r="G22" s="25"/>
      <c r="H22" s="25"/>
      <c r="I22" s="25"/>
      <c r="J22" s="25"/>
      <c r="K22" s="25"/>
      <c r="L22" s="25"/>
      <c r="M22" s="26"/>
      <c r="N22" s="27"/>
      <c r="O22" s="127"/>
      <c r="P22" s="127"/>
      <c r="Q22" s="28"/>
    </row>
    <row r="23" spans="1:18" ht="17.25" customHeight="1" x14ac:dyDescent="0.2">
      <c r="A23" s="24"/>
      <c r="B23" s="25"/>
      <c r="C23" s="25"/>
      <c r="D23" s="25"/>
      <c r="E23" s="25"/>
      <c r="F23" s="25"/>
      <c r="G23" s="25"/>
      <c r="H23" s="25"/>
      <c r="I23" s="25"/>
      <c r="J23" s="25"/>
      <c r="K23" s="25"/>
      <c r="L23" s="25"/>
      <c r="M23" s="26"/>
      <c r="N23" s="27"/>
      <c r="O23" s="127"/>
      <c r="P23" s="127"/>
      <c r="Q23" s="28"/>
    </row>
    <row r="24" spans="1:18" ht="17.25" customHeight="1" x14ac:dyDescent="0.2">
      <c r="A24" s="24"/>
      <c r="B24" s="25"/>
      <c r="C24" s="25"/>
      <c r="D24" s="25"/>
      <c r="E24" s="25"/>
      <c r="F24" s="25"/>
      <c r="G24" s="25"/>
      <c r="H24" s="25"/>
      <c r="I24" s="25"/>
      <c r="J24" s="25"/>
      <c r="K24" s="25"/>
      <c r="L24" s="25"/>
      <c r="M24" s="26"/>
      <c r="N24" s="27"/>
      <c r="O24" s="127"/>
      <c r="P24" s="127"/>
      <c r="Q24" s="28"/>
    </row>
    <row r="25" spans="1:18" ht="17.25" customHeight="1" x14ac:dyDescent="0.2">
      <c r="A25" s="24"/>
      <c r="B25" s="25"/>
      <c r="C25" s="25"/>
      <c r="D25" s="25"/>
      <c r="E25" s="25"/>
      <c r="F25" s="27"/>
      <c r="G25" s="25"/>
      <c r="H25" s="25"/>
      <c r="I25" s="25"/>
      <c r="J25" s="25"/>
      <c r="K25" s="25"/>
      <c r="L25" s="25"/>
      <c r="M25" s="26"/>
      <c r="N25" s="27"/>
      <c r="O25" s="122"/>
      <c r="P25" s="122"/>
      <c r="Q25" s="28"/>
    </row>
    <row r="26" spans="1:18" ht="17.25" customHeight="1" x14ac:dyDescent="0.2">
      <c r="A26" s="24"/>
      <c r="B26" s="25"/>
      <c r="C26" s="25"/>
      <c r="D26" s="25"/>
      <c r="E26" s="25"/>
      <c r="F26" s="25"/>
      <c r="G26" s="25"/>
      <c r="H26" s="25"/>
      <c r="I26" s="25"/>
      <c r="J26" s="25"/>
      <c r="K26" s="25"/>
      <c r="L26" s="25"/>
      <c r="M26" s="26"/>
      <c r="N26" s="27"/>
      <c r="O26" s="122"/>
      <c r="P26" s="122"/>
      <c r="Q26" s="28"/>
    </row>
    <row r="27" spans="1:18" ht="17.25" customHeight="1" x14ac:dyDescent="0.2">
      <c r="A27" s="24"/>
      <c r="B27" s="25"/>
      <c r="C27" s="25"/>
      <c r="D27" s="25"/>
      <c r="E27" s="25"/>
      <c r="F27" s="27"/>
      <c r="G27" s="25"/>
      <c r="H27" s="25"/>
      <c r="I27" s="25"/>
      <c r="J27" s="25"/>
      <c r="K27" s="25"/>
      <c r="L27" s="25"/>
      <c r="M27" s="26"/>
      <c r="N27" s="27"/>
      <c r="O27" s="122"/>
      <c r="P27" s="122"/>
      <c r="Q27" s="28"/>
    </row>
    <row r="28" spans="1:18" ht="17.25" customHeight="1" x14ac:dyDescent="0.2">
      <c r="A28" s="24"/>
      <c r="B28" s="25"/>
      <c r="C28" s="25"/>
      <c r="D28" s="25"/>
      <c r="E28" s="25"/>
      <c r="F28" s="27"/>
      <c r="G28" s="25"/>
      <c r="H28" s="25"/>
      <c r="I28" s="25"/>
      <c r="J28" s="25"/>
      <c r="K28" s="25"/>
      <c r="L28" s="25"/>
      <c r="M28" s="26"/>
      <c r="N28" s="27"/>
      <c r="O28" s="122"/>
      <c r="P28" s="122"/>
      <c r="Q28" s="28"/>
    </row>
    <row r="29" spans="1:18" ht="17.25" customHeight="1" x14ac:dyDescent="0.2">
      <c r="A29" s="29"/>
      <c r="B29" s="30"/>
      <c r="C29" s="30"/>
      <c r="D29" s="30"/>
      <c r="E29" s="30"/>
      <c r="F29" s="31"/>
      <c r="G29" s="30"/>
      <c r="H29" s="30"/>
      <c r="I29" s="30"/>
      <c r="J29" s="30"/>
      <c r="K29" s="30"/>
      <c r="L29" s="30"/>
      <c r="M29" s="32"/>
      <c r="N29" s="33"/>
      <c r="O29" s="123"/>
      <c r="P29" s="123"/>
      <c r="Q29" s="28"/>
      <c r="R29" s="6"/>
    </row>
    <row r="30" spans="1:18" ht="17.25" customHeight="1" x14ac:dyDescent="0.2">
      <c r="A30" s="34"/>
      <c r="B30" s="35"/>
      <c r="C30" s="35"/>
      <c r="D30" s="35"/>
      <c r="E30" s="35"/>
      <c r="F30" s="35"/>
      <c r="G30" s="35"/>
      <c r="H30" s="35"/>
      <c r="I30" s="35"/>
      <c r="J30" s="35"/>
      <c r="K30" s="35"/>
      <c r="L30" s="35"/>
      <c r="M30" s="36"/>
      <c r="N30" s="35"/>
      <c r="O30" s="124"/>
      <c r="P30" s="124"/>
      <c r="Q30" s="37"/>
    </row>
    <row r="31" spans="1:18" ht="39" customHeight="1" x14ac:dyDescent="0.2">
      <c r="A31" s="125" t="s">
        <v>30</v>
      </c>
      <c r="B31" s="125"/>
      <c r="C31" s="125"/>
      <c r="D31" s="125"/>
      <c r="E31" s="125"/>
      <c r="F31" s="125"/>
      <c r="G31" s="125"/>
      <c r="H31" s="125"/>
      <c r="I31" s="125"/>
      <c r="J31" s="125"/>
      <c r="K31" s="125"/>
      <c r="L31" s="125"/>
      <c r="M31" s="125"/>
      <c r="N31" s="125"/>
      <c r="O31" s="125"/>
      <c r="P31" s="125"/>
      <c r="Q31" s="38">
        <f>SUM(Q15:Q30)</f>
        <v>985420</v>
      </c>
    </row>
    <row r="32" spans="1:18" ht="18" customHeight="1" x14ac:dyDescent="0.2">
      <c r="A32" s="126"/>
      <c r="B32" s="126"/>
      <c r="C32" s="126"/>
      <c r="D32" s="126"/>
      <c r="E32" s="126"/>
      <c r="F32" s="126"/>
      <c r="G32" s="126"/>
      <c r="H32" s="126"/>
      <c r="I32" s="126"/>
      <c r="J32" s="126"/>
      <c r="K32" s="126"/>
      <c r="L32" s="126"/>
      <c r="M32" s="126"/>
      <c r="N32" s="126"/>
      <c r="O32" s="126"/>
      <c r="P32" s="126"/>
      <c r="Q32" s="126"/>
    </row>
    <row r="33" spans="1:17" ht="17.25" customHeight="1" x14ac:dyDescent="0.2">
      <c r="A33" s="119" t="s">
        <v>25</v>
      </c>
      <c r="B33" s="119"/>
      <c r="C33" s="119"/>
      <c r="D33" s="119"/>
      <c r="E33" s="119"/>
      <c r="F33" s="119"/>
      <c r="G33" s="120"/>
      <c r="H33" s="120"/>
      <c r="I33" s="120"/>
      <c r="J33" s="120"/>
      <c r="K33" s="120"/>
      <c r="L33" s="120"/>
      <c r="M33" s="120"/>
      <c r="N33" s="120"/>
      <c r="O33" s="120"/>
      <c r="P33" s="120"/>
      <c r="Q33" s="120"/>
    </row>
    <row r="34" spans="1:17" ht="18" customHeight="1" x14ac:dyDescent="0.2">
      <c r="A34" s="121" t="s">
        <v>32</v>
      </c>
      <c r="B34" s="121"/>
      <c r="C34" s="121"/>
      <c r="D34" s="121"/>
      <c r="E34" s="121"/>
      <c r="F34" s="121"/>
      <c r="G34" s="121"/>
      <c r="H34" s="121"/>
      <c r="I34" s="121"/>
      <c r="J34" s="121"/>
      <c r="K34" s="121"/>
      <c r="L34" s="121"/>
      <c r="M34" s="121"/>
      <c r="N34" s="121"/>
      <c r="O34" s="121"/>
      <c r="P34" s="121"/>
      <c r="Q34" s="121"/>
    </row>
    <row r="35" spans="1:17" ht="63.75" customHeight="1" x14ac:dyDescent="0.2">
      <c r="A35" s="121"/>
      <c r="B35" s="121"/>
      <c r="C35" s="121"/>
      <c r="D35" s="121"/>
      <c r="E35" s="121"/>
      <c r="F35" s="121"/>
      <c r="G35" s="121"/>
      <c r="H35" s="121"/>
      <c r="I35" s="121"/>
      <c r="J35" s="121"/>
      <c r="K35" s="121"/>
      <c r="L35" s="121"/>
      <c r="M35" s="121"/>
      <c r="N35" s="121"/>
      <c r="O35" s="121"/>
      <c r="P35" s="121"/>
      <c r="Q35" s="121"/>
    </row>
    <row r="37" spans="1:17" x14ac:dyDescent="0.2">
      <c r="A37" s="44"/>
    </row>
  </sheetData>
  <mergeCells count="32">
    <mergeCell ref="A5:F5"/>
    <mergeCell ref="G5:Q5"/>
    <mergeCell ref="A6:F6"/>
    <mergeCell ref="A7:F7"/>
    <mergeCell ref="A1:C1"/>
    <mergeCell ref="D1:E1"/>
    <mergeCell ref="P1:Q2"/>
    <mergeCell ref="A4:F4"/>
    <mergeCell ref="O15:P15"/>
    <mergeCell ref="O16:P16"/>
    <mergeCell ref="O21:P21"/>
    <mergeCell ref="O22:P22"/>
    <mergeCell ref="A8:Q8"/>
    <mergeCell ref="A9:Q9"/>
    <mergeCell ref="A10:Q10"/>
    <mergeCell ref="A12:Q12"/>
    <mergeCell ref="A13:N13"/>
    <mergeCell ref="O13:P14"/>
    <mergeCell ref="Q13:Q14"/>
    <mergeCell ref="O23:P23"/>
    <mergeCell ref="O24:P24"/>
    <mergeCell ref="O25:P25"/>
    <mergeCell ref="O26:P26"/>
    <mergeCell ref="O27:P27"/>
    <mergeCell ref="A33:F33"/>
    <mergeCell ref="G33:Q33"/>
    <mergeCell ref="A34:Q35"/>
    <mergeCell ref="O28:P28"/>
    <mergeCell ref="O29:P29"/>
    <mergeCell ref="O30:P30"/>
    <mergeCell ref="A31:P31"/>
    <mergeCell ref="A32:Q32"/>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3"/>
  <sheetViews>
    <sheetView topLeftCell="A13" workbookViewId="0">
      <selection activeCell="C16" sqref="C16:G16"/>
    </sheetView>
  </sheetViews>
  <sheetFormatPr baseColWidth="10" defaultColWidth="9.140625" defaultRowHeight="12.75" x14ac:dyDescent="0.2"/>
  <cols>
    <col min="1" max="1" width="5.5703125" style="95" customWidth="1"/>
    <col min="2" max="2" width="15.140625" style="95" customWidth="1"/>
    <col min="3" max="3" width="14.140625" style="95" customWidth="1"/>
    <col min="4" max="4" width="26" style="95" customWidth="1"/>
    <col min="5" max="5" width="8" style="95" customWidth="1"/>
    <col min="6" max="6" width="7.85546875" style="95" customWidth="1"/>
    <col min="7" max="7" width="28.5703125" style="95" customWidth="1"/>
    <col min="8" max="8" width="9.28515625" style="95" customWidth="1"/>
    <col min="9" max="9" width="15.5703125" style="95" customWidth="1"/>
    <col min="10" max="10" width="14.7109375" style="95" customWidth="1"/>
    <col min="11" max="11" width="15.5703125" style="95" customWidth="1"/>
    <col min="12" max="14" width="5.85546875" style="95" customWidth="1"/>
    <col min="15" max="15" width="12.5703125" style="95" customWidth="1"/>
    <col min="16" max="1024" width="9.140625" style="95"/>
  </cols>
  <sheetData>
    <row r="1" spans="1:14" ht="30.75" thickBot="1" x14ac:dyDescent="0.25">
      <c r="A1" s="174" t="s">
        <v>84</v>
      </c>
      <c r="B1" s="174"/>
      <c r="C1" s="174"/>
      <c r="D1" s="174"/>
      <c r="E1" s="174"/>
      <c r="F1" s="174"/>
      <c r="G1" s="174"/>
      <c r="H1" s="174"/>
      <c r="I1" s="174"/>
      <c r="J1" s="93" t="s">
        <v>85</v>
      </c>
      <c r="K1" s="94"/>
    </row>
    <row r="2" spans="1:14" ht="16.5" thickBot="1" x14ac:dyDescent="0.25">
      <c r="A2" s="96"/>
      <c r="B2" s="97"/>
      <c r="C2" s="97"/>
      <c r="D2" s="98"/>
      <c r="E2" s="98"/>
      <c r="F2" s="98"/>
      <c r="G2" s="98"/>
      <c r="H2" s="98"/>
      <c r="I2" s="98"/>
      <c r="J2" s="98"/>
      <c r="K2" s="99"/>
    </row>
    <row r="3" spans="1:14" ht="16.5" thickBot="1" x14ac:dyDescent="0.25">
      <c r="A3" s="175" t="s">
        <v>86</v>
      </c>
      <c r="B3" s="175"/>
      <c r="C3" s="175"/>
      <c r="D3" s="42" t="s">
        <v>26</v>
      </c>
      <c r="E3" s="39"/>
      <c r="F3" s="39"/>
      <c r="G3" s="39"/>
      <c r="H3" s="39"/>
      <c r="I3" s="39"/>
      <c r="J3" s="39"/>
      <c r="K3" s="116"/>
      <c r="L3" s="114"/>
      <c r="M3" s="114"/>
      <c r="N3" s="114"/>
    </row>
    <row r="4" spans="1:14" ht="16.5" customHeight="1" thickBot="1" x14ac:dyDescent="0.25">
      <c r="A4" s="162" t="s">
        <v>0</v>
      </c>
      <c r="B4" s="162"/>
      <c r="C4" s="162"/>
      <c r="D4" s="139" t="s">
        <v>27</v>
      </c>
      <c r="E4" s="176"/>
      <c r="F4" s="176"/>
      <c r="G4" s="176"/>
      <c r="H4" s="176"/>
      <c r="I4" s="176"/>
      <c r="J4" s="176"/>
      <c r="K4" s="177"/>
      <c r="L4" s="115"/>
      <c r="M4" s="115"/>
      <c r="N4" s="115"/>
    </row>
    <row r="5" spans="1:14" ht="16.5" thickBot="1" x14ac:dyDescent="0.25">
      <c r="A5" s="162" t="s">
        <v>1</v>
      </c>
      <c r="B5" s="162"/>
      <c r="C5" s="162"/>
      <c r="D5" s="178" t="s">
        <v>29</v>
      </c>
      <c r="E5" s="179"/>
      <c r="F5" s="179"/>
      <c r="G5" s="179"/>
      <c r="H5" s="179"/>
      <c r="I5" s="39"/>
      <c r="J5" s="39"/>
      <c r="K5" s="116"/>
      <c r="L5" s="114"/>
      <c r="M5" s="114"/>
      <c r="N5" s="114"/>
    </row>
    <row r="6" spans="1:14" ht="16.5" thickBot="1" x14ac:dyDescent="0.25">
      <c r="A6" s="175" t="s">
        <v>2</v>
      </c>
      <c r="B6" s="175"/>
      <c r="C6" s="175"/>
      <c r="D6" s="42" t="s">
        <v>29</v>
      </c>
      <c r="E6" s="39"/>
      <c r="F6" s="39"/>
      <c r="G6" s="39"/>
      <c r="H6" s="39"/>
      <c r="I6" s="39"/>
      <c r="J6" s="39"/>
      <c r="K6" s="117"/>
      <c r="L6" s="114"/>
      <c r="M6" s="114"/>
      <c r="N6" s="114"/>
    </row>
    <row r="7" spans="1:14" ht="16.5" thickBot="1" x14ac:dyDescent="0.25">
      <c r="A7" s="162" t="s">
        <v>87</v>
      </c>
      <c r="B7" s="162"/>
      <c r="C7" s="162"/>
      <c r="D7" s="163" t="s">
        <v>88</v>
      </c>
      <c r="E7" s="164"/>
      <c r="F7" s="164"/>
      <c r="G7" s="164"/>
      <c r="H7" s="164"/>
      <c r="I7" s="164"/>
      <c r="J7" s="164"/>
      <c r="K7" s="164"/>
    </row>
    <row r="8" spans="1:14" ht="16.5" thickBot="1" x14ac:dyDescent="0.25">
      <c r="A8" s="165" t="s">
        <v>89</v>
      </c>
      <c r="B8" s="165"/>
      <c r="C8" s="165"/>
      <c r="D8" s="166" t="s">
        <v>90</v>
      </c>
      <c r="E8" s="167"/>
      <c r="F8" s="167"/>
      <c r="G8" s="167"/>
      <c r="H8" s="167"/>
      <c r="I8" s="167"/>
      <c r="J8" s="167"/>
      <c r="K8" s="167"/>
    </row>
    <row r="9" spans="1:14" ht="16.5" thickBot="1" x14ac:dyDescent="0.25">
      <c r="A9" s="100"/>
      <c r="B9" s="101"/>
      <c r="C9" s="101"/>
      <c r="D9" s="102"/>
      <c r="E9" s="102"/>
      <c r="F9" s="102"/>
      <c r="G9" s="102"/>
      <c r="H9" s="102"/>
      <c r="I9" s="102"/>
      <c r="J9" s="102"/>
      <c r="K9" s="103"/>
    </row>
    <row r="10" spans="1:14" ht="13.5" thickBot="1" x14ac:dyDescent="0.25">
      <c r="A10" s="168" t="s">
        <v>91</v>
      </c>
      <c r="B10" s="169" t="s">
        <v>92</v>
      </c>
      <c r="C10" s="169" t="s">
        <v>93</v>
      </c>
      <c r="D10" s="169"/>
      <c r="E10" s="169"/>
      <c r="F10" s="169"/>
      <c r="G10" s="169"/>
      <c r="H10" s="169" t="s">
        <v>94</v>
      </c>
      <c r="I10" s="169" t="s">
        <v>95</v>
      </c>
      <c r="J10" s="169" t="s">
        <v>96</v>
      </c>
      <c r="K10" s="170" t="s">
        <v>97</v>
      </c>
    </row>
    <row r="11" spans="1:14" ht="36" customHeight="1" thickBot="1" x14ac:dyDescent="0.25">
      <c r="A11" s="168"/>
      <c r="B11" s="169"/>
      <c r="C11" s="169"/>
      <c r="D11" s="169"/>
      <c r="E11" s="169"/>
      <c r="F11" s="169"/>
      <c r="G11" s="169"/>
      <c r="H11" s="169"/>
      <c r="I11" s="169"/>
      <c r="J11" s="169"/>
      <c r="K11" s="170"/>
    </row>
    <row r="12" spans="1:14" ht="36.75" customHeight="1" thickBot="1" x14ac:dyDescent="0.25">
      <c r="A12" s="104">
        <v>1</v>
      </c>
      <c r="B12" s="105" t="s">
        <v>49</v>
      </c>
      <c r="C12" s="171" t="s">
        <v>52</v>
      </c>
      <c r="D12" s="172" t="s">
        <v>52</v>
      </c>
      <c r="E12" s="172" t="s">
        <v>52</v>
      </c>
      <c r="F12" s="172" t="s">
        <v>52</v>
      </c>
      <c r="G12" s="173" t="s">
        <v>52</v>
      </c>
      <c r="H12" s="106" t="s">
        <v>101</v>
      </c>
      <c r="I12" s="107" t="s">
        <v>53</v>
      </c>
      <c r="J12" s="63">
        <v>990</v>
      </c>
      <c r="K12" s="108">
        <v>120</v>
      </c>
    </row>
    <row r="13" spans="1:14" ht="34.5" customHeight="1" thickBot="1" x14ac:dyDescent="0.25">
      <c r="A13" s="109">
        <v>2</v>
      </c>
      <c r="B13" s="110" t="s">
        <v>54</v>
      </c>
      <c r="C13" s="155" t="s">
        <v>55</v>
      </c>
      <c r="D13" s="156" t="s">
        <v>55</v>
      </c>
      <c r="E13" s="156" t="s">
        <v>55</v>
      </c>
      <c r="F13" s="156" t="s">
        <v>55</v>
      </c>
      <c r="G13" s="157" t="s">
        <v>55</v>
      </c>
      <c r="H13" s="106" t="s">
        <v>101</v>
      </c>
      <c r="I13" s="107" t="s">
        <v>53</v>
      </c>
      <c r="J13" s="63">
        <v>2800</v>
      </c>
      <c r="K13" s="111">
        <v>25</v>
      </c>
    </row>
    <row r="14" spans="1:14" ht="40.5" customHeight="1" thickBot="1" x14ac:dyDescent="0.25">
      <c r="A14" s="109">
        <v>3</v>
      </c>
      <c r="B14" s="110" t="s">
        <v>56</v>
      </c>
      <c r="C14" s="155" t="s">
        <v>57</v>
      </c>
      <c r="D14" s="156" t="s">
        <v>57</v>
      </c>
      <c r="E14" s="156" t="s">
        <v>57</v>
      </c>
      <c r="F14" s="156" t="s">
        <v>57</v>
      </c>
      <c r="G14" s="157" t="s">
        <v>57</v>
      </c>
      <c r="H14" s="106" t="s">
        <v>101</v>
      </c>
      <c r="I14" s="107" t="s">
        <v>53</v>
      </c>
      <c r="J14" s="63">
        <v>1400</v>
      </c>
      <c r="K14" s="111">
        <v>25</v>
      </c>
    </row>
    <row r="15" spans="1:14" ht="37.5" customHeight="1" thickBot="1" x14ac:dyDescent="0.25">
      <c r="A15" s="109">
        <v>4</v>
      </c>
      <c r="B15" s="110" t="s">
        <v>58</v>
      </c>
      <c r="C15" s="155" t="s">
        <v>59</v>
      </c>
      <c r="D15" s="156" t="s">
        <v>59</v>
      </c>
      <c r="E15" s="156" t="s">
        <v>59</v>
      </c>
      <c r="F15" s="156" t="s">
        <v>59</v>
      </c>
      <c r="G15" s="157" t="s">
        <v>59</v>
      </c>
      <c r="H15" s="106" t="s">
        <v>101</v>
      </c>
      <c r="I15" s="107" t="s">
        <v>53</v>
      </c>
      <c r="J15" s="63">
        <v>770.25</v>
      </c>
      <c r="K15" s="111">
        <v>80</v>
      </c>
    </row>
    <row r="16" spans="1:14" ht="27" customHeight="1" thickBot="1" x14ac:dyDescent="0.25">
      <c r="A16" s="109">
        <v>5</v>
      </c>
      <c r="B16" s="110" t="s">
        <v>60</v>
      </c>
      <c r="C16" s="155" t="s">
        <v>61</v>
      </c>
      <c r="D16" s="156" t="s">
        <v>61</v>
      </c>
      <c r="E16" s="156" t="s">
        <v>61</v>
      </c>
      <c r="F16" s="156" t="s">
        <v>61</v>
      </c>
      <c r="G16" s="157" t="s">
        <v>61</v>
      </c>
      <c r="H16" s="106" t="s">
        <v>101</v>
      </c>
      <c r="I16" s="107" t="s">
        <v>53</v>
      </c>
      <c r="J16" s="63">
        <v>6300</v>
      </c>
      <c r="K16" s="111">
        <v>25</v>
      </c>
    </row>
    <row r="17" spans="1:11" ht="29.25" customHeight="1" thickBot="1" x14ac:dyDescent="0.25">
      <c r="A17" s="109">
        <v>6</v>
      </c>
      <c r="B17" s="110" t="s">
        <v>62</v>
      </c>
      <c r="C17" s="155" t="s">
        <v>63</v>
      </c>
      <c r="D17" s="156" t="s">
        <v>63</v>
      </c>
      <c r="E17" s="156" t="s">
        <v>63</v>
      </c>
      <c r="F17" s="156" t="s">
        <v>63</v>
      </c>
      <c r="G17" s="157" t="s">
        <v>63</v>
      </c>
      <c r="H17" s="106" t="s">
        <v>101</v>
      </c>
      <c r="I17" s="107" t="s">
        <v>53</v>
      </c>
      <c r="J17" s="63">
        <v>2100</v>
      </c>
      <c r="K17" s="111">
        <v>25</v>
      </c>
    </row>
    <row r="18" spans="1:11" ht="29.25" customHeight="1" thickBot="1" x14ac:dyDescent="0.25">
      <c r="A18" s="109">
        <v>7</v>
      </c>
      <c r="B18" s="110" t="s">
        <v>64</v>
      </c>
      <c r="C18" s="155" t="s">
        <v>65</v>
      </c>
      <c r="D18" s="156" t="s">
        <v>65</v>
      </c>
      <c r="E18" s="156" t="s">
        <v>65</v>
      </c>
      <c r="F18" s="156" t="s">
        <v>65</v>
      </c>
      <c r="G18" s="157" t="s">
        <v>65</v>
      </c>
      <c r="H18" s="106" t="s">
        <v>101</v>
      </c>
      <c r="I18" s="107" t="s">
        <v>53</v>
      </c>
      <c r="J18" s="63">
        <v>2200</v>
      </c>
      <c r="K18" s="111">
        <v>25</v>
      </c>
    </row>
    <row r="19" spans="1:11" ht="27.75" customHeight="1" thickBot="1" x14ac:dyDescent="0.25">
      <c r="A19" s="109">
        <v>8</v>
      </c>
      <c r="B19" s="110" t="s">
        <v>66</v>
      </c>
      <c r="C19" s="155" t="s">
        <v>67</v>
      </c>
      <c r="D19" s="156" t="s">
        <v>67</v>
      </c>
      <c r="E19" s="156" t="s">
        <v>67</v>
      </c>
      <c r="F19" s="156" t="s">
        <v>67</v>
      </c>
      <c r="G19" s="157" t="s">
        <v>67</v>
      </c>
      <c r="H19" s="106" t="s">
        <v>101</v>
      </c>
      <c r="I19" s="107" t="s">
        <v>53</v>
      </c>
      <c r="J19" s="63">
        <v>2000</v>
      </c>
      <c r="K19" s="111">
        <v>80</v>
      </c>
    </row>
    <row r="20" spans="1:11" ht="43.5" customHeight="1" thickBot="1" x14ac:dyDescent="0.25">
      <c r="A20" s="109">
        <v>9</v>
      </c>
      <c r="B20" s="110" t="s">
        <v>68</v>
      </c>
      <c r="C20" s="158" t="s">
        <v>98</v>
      </c>
      <c r="D20" s="159"/>
      <c r="E20" s="159"/>
      <c r="F20" s="159"/>
      <c r="G20" s="160"/>
      <c r="H20" s="106" t="s">
        <v>101</v>
      </c>
      <c r="I20" s="107" t="s">
        <v>53</v>
      </c>
      <c r="J20" s="63">
        <v>2500</v>
      </c>
      <c r="K20" s="111">
        <v>50</v>
      </c>
    </row>
    <row r="21" spans="1:11" ht="41.25" customHeight="1" x14ac:dyDescent="0.2">
      <c r="A21" s="109">
        <v>10</v>
      </c>
      <c r="B21" s="110" t="s">
        <v>71</v>
      </c>
      <c r="C21" s="158" t="s">
        <v>99</v>
      </c>
      <c r="D21" s="159"/>
      <c r="E21" s="159"/>
      <c r="F21" s="159"/>
      <c r="G21" s="160"/>
      <c r="H21" s="106" t="s">
        <v>101</v>
      </c>
      <c r="I21" s="107" t="s">
        <v>53</v>
      </c>
      <c r="J21" s="63">
        <v>2500</v>
      </c>
      <c r="K21" s="111">
        <v>60</v>
      </c>
    </row>
    <row r="22" spans="1:11" ht="15.75" x14ac:dyDescent="0.2">
      <c r="A22" s="109"/>
      <c r="B22" s="110"/>
      <c r="C22" s="161"/>
      <c r="D22" s="161"/>
      <c r="E22" s="161"/>
      <c r="F22" s="161"/>
      <c r="G22" s="161"/>
      <c r="H22" s="112"/>
      <c r="I22" s="113"/>
      <c r="J22" s="113"/>
      <c r="K22" s="111"/>
    </row>
    <row r="23" spans="1:11" ht="19.5" thickBot="1" x14ac:dyDescent="0.25">
      <c r="A23" s="153" t="s">
        <v>100</v>
      </c>
      <c r="B23" s="153"/>
      <c r="C23" s="153"/>
      <c r="D23" s="153"/>
      <c r="E23" s="153"/>
      <c r="F23" s="153"/>
      <c r="G23" s="153"/>
      <c r="H23" s="153"/>
      <c r="I23" s="153"/>
      <c r="J23" s="154">
        <v>985420</v>
      </c>
      <c r="K23" s="154"/>
    </row>
  </sheetData>
  <mergeCells count="31">
    <mergeCell ref="A1:I1"/>
    <mergeCell ref="A3:C3"/>
    <mergeCell ref="A4:C4"/>
    <mergeCell ref="A5:C5"/>
    <mergeCell ref="A6:C6"/>
    <mergeCell ref="D4:K4"/>
    <mergeCell ref="D5:H5"/>
    <mergeCell ref="C16:G16"/>
    <mergeCell ref="A7:C7"/>
    <mergeCell ref="D7:K7"/>
    <mergeCell ref="A8:C8"/>
    <mergeCell ref="D8:K8"/>
    <mergeCell ref="A10:A11"/>
    <mergeCell ref="B10:B11"/>
    <mergeCell ref="C10:G11"/>
    <mergeCell ref="H10:H11"/>
    <mergeCell ref="I10:I11"/>
    <mergeCell ref="J10:J11"/>
    <mergeCell ref="K10:K11"/>
    <mergeCell ref="C12:G12"/>
    <mergeCell ref="C13:G13"/>
    <mergeCell ref="C14:G14"/>
    <mergeCell ref="C15:G15"/>
    <mergeCell ref="A23:I23"/>
    <mergeCell ref="J23:K23"/>
    <mergeCell ref="C17:G17"/>
    <mergeCell ref="C18:G18"/>
    <mergeCell ref="C19:G19"/>
    <mergeCell ref="C20:G20"/>
    <mergeCell ref="C21:G21"/>
    <mergeCell ref="C22:G22"/>
  </mergeCells>
  <pageMargins left="0.70866141732283472" right="0.70866141732283472" top="0.74803149606299213" bottom="0.74803149606299213" header="0.31496062992125984" footer="0.31496062992125984"/>
  <pageSetup scale="75"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F7" sqref="F7"/>
    </sheetView>
  </sheetViews>
  <sheetFormatPr baseColWidth="10" defaultRowHeight="12.75" x14ac:dyDescent="0.2"/>
  <cols>
    <col min="4" max="4" width="23.7109375" customWidth="1"/>
  </cols>
  <sheetData>
    <row r="1" spans="1:4" ht="18.75" x14ac:dyDescent="0.3">
      <c r="A1" s="180" t="s">
        <v>102</v>
      </c>
      <c r="B1" s="180"/>
      <c r="C1" s="180"/>
      <c r="D1" s="180"/>
    </row>
    <row r="2" spans="1:4" ht="15.75" x14ac:dyDescent="0.25">
      <c r="A2" s="118" t="s">
        <v>103</v>
      </c>
      <c r="B2" s="118" t="s">
        <v>104</v>
      </c>
      <c r="C2" s="118"/>
      <c r="D2" s="118"/>
    </row>
    <row r="3" spans="1:4" ht="15.75" x14ac:dyDescent="0.25">
      <c r="A3" s="118" t="s">
        <v>105</v>
      </c>
      <c r="B3" s="118" t="s">
        <v>106</v>
      </c>
      <c r="C3" s="118"/>
      <c r="D3" s="118"/>
    </row>
    <row r="4" spans="1:4" ht="15.75" x14ac:dyDescent="0.25">
      <c r="A4" s="118" t="s">
        <v>107</v>
      </c>
      <c r="B4" s="118" t="s">
        <v>108</v>
      </c>
      <c r="C4" s="118"/>
      <c r="D4" s="118"/>
    </row>
    <row r="5" spans="1:4" ht="15.75" x14ac:dyDescent="0.25">
      <c r="A5" s="118" t="s">
        <v>109</v>
      </c>
      <c r="B5" s="118" t="s">
        <v>110</v>
      </c>
      <c r="C5" s="118"/>
      <c r="D5" s="118"/>
    </row>
    <row r="6" spans="1:4" ht="15.75" x14ac:dyDescent="0.25">
      <c r="A6" s="118" t="s">
        <v>111</v>
      </c>
      <c r="B6" s="118" t="s">
        <v>120</v>
      </c>
      <c r="C6" s="118"/>
      <c r="D6" s="118"/>
    </row>
    <row r="7" spans="1:4" ht="15.75" x14ac:dyDescent="0.25">
      <c r="A7" s="118" t="s">
        <v>112</v>
      </c>
      <c r="B7" s="118" t="s">
        <v>121</v>
      </c>
      <c r="C7" s="118"/>
      <c r="D7" s="118"/>
    </row>
    <row r="8" spans="1:4" ht="15.75" x14ac:dyDescent="0.25">
      <c r="A8" s="118" t="s">
        <v>113</v>
      </c>
      <c r="B8" s="118" t="s">
        <v>114</v>
      </c>
      <c r="C8" s="118"/>
      <c r="D8" s="118"/>
    </row>
    <row r="9" spans="1:4" ht="15.75" x14ac:dyDescent="0.25">
      <c r="A9" s="118" t="s">
        <v>115</v>
      </c>
      <c r="B9" s="118" t="s">
        <v>116</v>
      </c>
      <c r="C9" s="118"/>
      <c r="D9" s="118"/>
    </row>
    <row r="10" spans="1:4" ht="15.75" x14ac:dyDescent="0.25">
      <c r="A10" s="118" t="s">
        <v>117</v>
      </c>
      <c r="B10" s="181" t="s">
        <v>118</v>
      </c>
      <c r="C10" s="181"/>
      <c r="D10" s="181"/>
    </row>
    <row r="11" spans="1:4" ht="15.75" x14ac:dyDescent="0.25">
      <c r="A11" s="118" t="s">
        <v>119</v>
      </c>
      <c r="B11" s="181"/>
      <c r="C11" s="181"/>
      <c r="D11" s="181"/>
    </row>
  </sheetData>
  <mergeCells count="2">
    <mergeCell ref="A1:D1"/>
    <mergeCell ref="B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NPT</vt:lpstr>
      <vt:lpstr>Autor Gastar</vt:lpstr>
      <vt:lpstr>NP</vt:lpstr>
      <vt:lpstr>ANEXO IMPRESORAS</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COMPRAR</cp:lastModifiedBy>
  <cp:revision>3</cp:revision>
  <cp:lastPrinted>2022-06-29T14:45:22Z</cp:lastPrinted>
  <dcterms:created xsi:type="dcterms:W3CDTF">2020-07-17T23:44:49Z</dcterms:created>
  <dcterms:modified xsi:type="dcterms:W3CDTF">2022-07-04T13:02:09Z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