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255" windowWidth="15600" windowHeight="11400" tabRatio="500" activeTab="2"/>
  </bookViews>
  <sheets>
    <sheet name="Necesidades Trimestrales" sheetId="1" r:id="rId1"/>
    <sheet name=" NotaPedido" sheetId="2" r:id="rId2"/>
    <sheet name="Autor Gastar" sheetId="3" r:id="rId3"/>
  </sheets>
  <definedNames>
    <definedName name="_xlnm.Print_Area" localSheetId="1">' NotaPedido'!$A$1:$K$13</definedName>
    <definedName name="_xlnm.Print_Area" localSheetId="2">'Autor Gastar'!$A$1:$Q$30</definedName>
    <definedName name="_xlnm.Print_Area" localSheetId="0">'Necesidades Trimestrales'!$A$1:$I$26</definedName>
  </definedNames>
  <calcPr calcId="145621"/>
</workbook>
</file>

<file path=xl/calcChain.xml><?xml version="1.0" encoding="utf-8"?>
<calcChain xmlns="http://schemas.openxmlformats.org/spreadsheetml/2006/main">
  <c r="G6" i="3" l="1"/>
  <c r="A10" i="3" l="1"/>
  <c r="G7" i="3"/>
  <c r="J12" i="2" l="1"/>
  <c r="B12" i="2"/>
  <c r="C12" i="2"/>
  <c r="I10" i="1"/>
  <c r="D10" i="1"/>
  <c r="J13" i="2"/>
  <c r="Q23" i="3" l="1"/>
  <c r="G4" i="3" l="1"/>
  <c r="G5" i="3" l="1"/>
  <c r="D1" i="3" l="1"/>
</calcChain>
</file>

<file path=xl/sharedStrings.xml><?xml version="1.0" encoding="utf-8"?>
<sst xmlns="http://schemas.openxmlformats.org/spreadsheetml/2006/main" count="86" uniqueCount="77">
  <si>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</si>
  <si>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</si>
  <si>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</si>
  <si>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</si>
  <si>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</si>
  <si>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</si>
  <si>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</si>
  <si>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</si>
  <si>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</si>
  <si>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</si>
  <si>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</si>
  <si>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</si>
  <si>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</si>
  <si>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</si>
  <si>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</si>
  <si>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</si>
  <si>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</si>
  <si>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</si>
  <si>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</si>
  <si>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</si>
  <si>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</si>
  <si>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</si>
  <si>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</si>
  <si>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</si>
  <si>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</si>
  <si>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</si>
  <si>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</si>
  <si>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</si>
  <si>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</si>
  <si>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</si>
  <si>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</si>
  <si>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</si>
  <si>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</si>
  <si>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</si>
  <si>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</si>
  <si>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</si>
  <si>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</si>
  <si>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</si>
  <si>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</si>
  <si>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</si>
  <si>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</si>
  <si>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</si>
  <si>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</si>
  <si>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</si>
  <si>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</si>
  <si>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</si>
  <si>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</si>
  <si>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</si>
  <si>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</si>
  <si>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</si>
  <si>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</si>
  <si>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</si>
  <si>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</si>
  <si>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</si>
  <si>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</si>
  <si>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</si>
  <si>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</si>
  <si>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</si>
  <si>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</si>
  <si>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</si>
  <si>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</si>
  <si>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</si>
  <si>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EQUIPOS</t>
  </si>
  <si>
    <t>CAMIONETAS; MARCA: SIN VALOR, MODELO: SIN VALOR, TIPO: CARROZADA, AÑO: SIN VALOR, POTENCIA: 177 HP, CILINDRADA: 2755 CM3, TRACCION: 4 X 4, CANT. DE CILINDROS: 4, CAPACIDAD DE CARGA: 80 LTS, TIPO DE MOTOR: DIESEL, CAJA DE VELOCIDAD: AUTOMATICA, MARCHA: 6 DELANTERAS 1 RETROCESO</t>
  </si>
  <si>
    <t>4.3.2-1715.329</t>
  </si>
  <si>
    <t>2 TRIMESTRE 2021</t>
  </si>
  <si>
    <t xml:space="preserve">ADQUISICION DE  CAMIONETA DESTINADA AL MINISTERIO DE CIENCIA E INNOVACION TECNOLOGICA .- </t>
  </si>
  <si>
    <t>PESOS: SEIS MILLONES QUINIENTOS OCHENTA Y SEIS MIL OCHOCIENTOS CON 00/100.-</t>
  </si>
  <si>
    <t>Costo total estimado: PESOS SEIS MILLONES QUINIENTOS OCHENTA Y SEIS MIL OCHOCIENTOS CON 00/100.-</t>
  </si>
  <si>
    <t>Equipo de Transporte, Tracción y Elevación</t>
  </si>
  <si>
    <t>Treinta (30) Días Hábiles.-</t>
  </si>
  <si>
    <t xml:space="preserve">5 Años o 150.000 Km: lo que ocurra primero.  El vehículo contara con la garantía técnica para todos sus componentes; debiendo incluir en el servicio de garantía, la mano de obra y los insumos (filtros, lubricantes, etc.); correspondientes a los servicios de mantenimiento programados para cada unidad, los cuales serán sin cargo para el Ministerio de Ciencia e Innovación Tecnológica durante dicho plazo.
b) Amplitud de la cobertura:
b.1) Los ítems que comprende la misma.
b.2) En caso de detectarse un desperfecto o falla, si el Oferente correrá con los gastos de la verificación del vehículo, a efectos de determinar si cubre la garantía ofrecida. –Seguro de responsabilidad civil obligatorio contra terceros transportados y no transportados por el periodo de sesenta (60) dias corridos.
</t>
  </si>
  <si>
    <t>El plazo de entrega  dentro de los sesenta (60) dias de recibida la orden de compra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Deberá entregarse la siguiente documentación:-Títulos de Propiedad a nombre de Ministerio de Ciencia e Innovación Tecnologica – Provincia de Catamarca y  Constancias de Patentamiento y Placas Identificatorias pertinentes. En la  misma se presentará Remito que deberá cumplimentar lo dispuesto por la R.G. AFIP  1415/03, sin excepción.</t>
  </si>
  <si>
    <t xml:space="preserve">Camioneta  nueva, sin uso,  0km, tracción 4X4
MOTOR: Tipo: diesel, delantero longitudinal, Cilindros: cuatro cilindros en línea, cuatro válvulas por cilindro, distribución por cadena, inyección directa por common rail, turbocompresor de geometría variable, intercooler.Cilindrada: 2.755 cc como mnimo.Potencia: 204 cv entre 3.000 y 3.400 rpm como minimo.Torque: 500 Nm entre 1.600 y 2.800 rpm como minimo.
TRANSMISIÓN: Tipo: tracción 4×4 desconectable. Caja: automática de seis velocidades.
CHASIS: Suspensión delantera: independiente, con doble brazo de suspensión, resortes helicoidales, amortiguadores telescópicos y barra estabilizadora. Suspensión trasera: eje rígido, con cuatro brazos de apoyo, resortes helicoidales, amortiguadores telescópicos y barra estabilizadora. Frenos delanteros: discos ventilados. Frenos traseros: discos ventilados. Dirección: de piñón y cremallera, con asistencia hidráulica.
MEDIDAS: Largo / ancho / alto: 4.795 mm / 1.855 mm / 1.835 mm aproximadamente. Distancia entre ejes: 2.745 mm aproximadamente. Despeje del suelo: 227 mm aproximadamente.
Capacidad de combustible: 80 litros.
EQUIPAMIENTO:  Doble airbag frontal delantero. Doble airbag lateral delantero. Doble airbag de cortina. Airbag de rodillas del conductor. Frenos ABS con distribución de frenado y asistente de emergencia. Control de estabilidad y tracción. Diferencial de deslizamiento limitado electrónicamente (Auto LSD). Cinturones de seguridad de tres puntos y apoyacabezas en siete plazas. Alarma antirrobo con inmovilizador. Faros antiniebla delanteros y traseros. Butacas con regulación para conductor y acompañante. Segunda fila de asientos 60/40 con regulación longitudinal. Tercera fila de asientos con respaldo reclinable.
Aire acondicionado.  Salidas de aire acondicionador y regulador para plazas traseras.
Elementos de auxilio (gato hidráulico y llave de rueda).  Matafuegos tri-clase, Balizas Triangulares, cubre alfombras. Cubre carter. Manuales técnicos de taller, mantenimiento y de repuestos de la unidad.
</t>
  </si>
  <si>
    <t>DIRECCION PROVINCIAL DE GESTION ADMINISTRATIVA Y RECURSOS HUMANOS</t>
  </si>
  <si>
    <t>006/2021</t>
  </si>
  <si>
    <t>SECRETARIA DE CIENCIA Y TECNOLOGICA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</si>
</sst>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b/>
      <sz val="12"/>
      <color rgb="FF000000"/>
      <name val="Times New Roman"/>
      <family val="1"/>
    </font>
    <font>
      <sz val="10"/>
      <color theme="1"/>
      <name val="Arial"/>
      <family val="2"/>
    </font>
    <font>
      <b/>
      <sz val="10"/>
      <color theme="1"/>
      <name val="Arial"/>
      <family val="2"/>
      <charset val="1"/>
    </font>
    <font>
      <b/>
      <sz val="11"/>
      <color theme="1"/>
      <name val="Arial"/>
      <family val="2"/>
      <charset val="1"/>
    </font>
    <font>
      <sz val="11"/>
      <name val="Times New Roman"/>
      <family val="1"/>
    </font>
    <font>
      <sz val="8"/>
      <name val="Times New Roman"/>
      <family val="1"/>
    </font>
    <font>
      <u/>
      <sz val="11"/>
      <name val="Times New Roman"/>
      <family val="1"/>
    </font>
    <font>
      <b/>
      <sz val="12"/>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thin">
        <color auto="1"/>
      </bottom>
      <diagonal/>
    </border>
    <border>
      <left style="medium">
        <color rgb="FF3D3D3D"/>
      </left>
      <right style="medium">
        <color auto="1"/>
      </right>
      <top style="medium">
        <color auto="1"/>
      </top>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1">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2" fillId="4" borderId="0" xfId="0" applyFont="1" applyFill="1" applyAlignment="1">
      <alignment horizontal="left" wrapText="1" indent="1"/>
    </xf>
    <xf numFmtId="0" fontId="20" fillId="3" borderId="0" xfId="0" applyFont="1" applyFill="1" applyAlignment="1">
      <alignment horizontal="left" wrapText="1"/>
    </xf>
    <xf numFmtId="0" fontId="21" fillId="0" borderId="52" xfId="0" applyFont="1" applyBorder="1" applyAlignment="1">
      <alignment horizontal="center" vertical="center"/>
    </xf>
    <xf numFmtId="0" fontId="20" fillId="0" borderId="54" xfId="0" applyFont="1" applyBorder="1" applyAlignment="1">
      <alignment horizontal="center" vertical="center" wrapText="1"/>
    </xf>
    <xf numFmtId="167" fontId="2" fillId="0" borderId="0" xfId="0" applyNumberFormat="1" applyFont="1" applyBorder="1" applyAlignment="1">
      <alignment vertical="center"/>
    </xf>
    <xf numFmtId="166" fontId="23" fillId="0" borderId="35" xfId="3" applyNumberFormat="1" applyFont="1" applyBorder="1" applyAlignment="1" applyProtection="1">
      <alignment horizontal="center" vertical="center"/>
    </xf>
    <xf numFmtId="166" fontId="24" fillId="0" borderId="45" xfId="0" applyNumberFormat="1" applyFont="1" applyBorder="1" applyAlignment="1">
      <alignment horizontal="center" vertical="center"/>
    </xf>
    <xf numFmtId="166" fontId="4" fillId="3" borderId="57" xfId="1" applyNumberFormat="1" applyFont="1" applyFill="1" applyBorder="1" applyAlignment="1" applyProtection="1">
      <alignment horizontal="right" vertical="center" wrapText="1"/>
    </xf>
    <xf numFmtId="0" fontId="26" fillId="0" borderId="56" xfId="0" applyFont="1" applyBorder="1" applyAlignment="1">
      <alignment horizontal="center" vertical="center" wrapText="1"/>
    </xf>
    <xf numFmtId="166" fontId="16" fillId="0" borderId="0" xfId="0" applyNumberFormat="1" applyFont="1"/>
    <xf numFmtId="166" fontId="27" fillId="0" borderId="0" xfId="0" applyNumberFormat="1" applyFont="1"/>
    <xf numFmtId="0" fontId="15" fillId="0" borderId="39" xfId="0" applyFont="1" applyBorder="1" applyAlignment="1">
      <alignment horizontal="center" vertical="center"/>
    </xf>
    <xf numFmtId="0" fontId="19" fillId="0" borderId="53" xfId="0" applyFont="1" applyBorder="1" applyAlignment="1">
      <alignment horizontal="left" vertical="center" wrapText="1"/>
    </xf>
    <xf numFmtId="0" fontId="19" fillId="0" borderId="53" xfId="0" applyFont="1" applyBorder="1" applyAlignment="1">
      <alignment horizontal="center" vertical="center" wrapText="1"/>
    </xf>
    <xf numFmtId="0" fontId="19" fillId="4" borderId="53" xfId="0" applyFont="1" applyFill="1" applyBorder="1" applyAlignment="1">
      <alignment horizontal="center" vertical="center" wrapText="1"/>
    </xf>
    <xf numFmtId="166" fontId="16" fillId="4" borderId="53" xfId="1" applyNumberFormat="1" applyFont="1" applyFill="1" applyBorder="1" applyAlignment="1" applyProtection="1">
      <alignment horizontal="right" vertical="center" wrapText="1"/>
    </xf>
    <xf numFmtId="166" fontId="16" fillId="4" borderId="55" xfId="1" applyNumberFormat="1" applyFont="1" applyFill="1" applyBorder="1" applyAlignment="1" applyProtection="1">
      <alignment horizontal="right" vertical="center" wrapText="1"/>
    </xf>
    <xf numFmtId="0" fontId="28" fillId="0" borderId="2" xfId="0" applyFont="1" applyBorder="1"/>
    <xf numFmtId="0" fontId="26" fillId="0" borderId="3" xfId="0" applyFont="1" applyBorder="1"/>
    <xf numFmtId="0" fontId="26" fillId="0" borderId="4" xfId="0" applyFont="1" applyBorder="1"/>
    <xf numFmtId="0" fontId="26" fillId="0" borderId="5" xfId="0" applyFont="1" applyBorder="1"/>
    <xf numFmtId="0" fontId="26" fillId="0" borderId="0" xfId="0" applyFont="1" applyBorder="1"/>
    <xf numFmtId="0" fontId="26" fillId="0" borderId="6" xfId="0" applyFont="1" applyBorder="1"/>
    <xf numFmtId="0" fontId="28" fillId="0" borderId="5" xfId="0" applyFont="1" applyBorder="1" applyAlignment="1">
      <alignment horizontal="left" indent="3"/>
    </xf>
    <xf numFmtId="0" fontId="26" fillId="0" borderId="5" xfId="0" applyFont="1" applyBorder="1" applyAlignment="1">
      <alignment horizontal="left" indent="3"/>
    </xf>
    <xf numFmtId="0" fontId="26" fillId="0" borderId="0"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left" indent="3"/>
    </xf>
    <xf numFmtId="0" fontId="26" fillId="0" borderId="8" xfId="0" applyFont="1" applyBorder="1"/>
    <xf numFmtId="0" fontId="26" fillId="0" borderId="9" xfId="0" applyFont="1" applyBorder="1"/>
    <xf numFmtId="0" fontId="28" fillId="0" borderId="5" xfId="0" applyFont="1" applyBorder="1" applyAlignment="1">
      <alignment horizontal="left" vertical="center" indent="3"/>
    </xf>
    <xf numFmtId="0" fontId="29" fillId="4" borderId="11" xfId="0" applyFont="1" applyFill="1" applyBorder="1" applyAlignment="1">
      <alignment horizontal="center" vertical="center"/>
    </xf>
    <xf numFmtId="0" fontId="18" fillId="0" borderId="0" xfId="0" applyFont="1" applyBorder="1" applyAlignment="1">
      <alignment horizontal="left" vertical="center" wrapText="1"/>
    </xf>
    <xf numFmtId="0" fontId="17" fillId="0" borderId="0" xfId="0" applyFont="1" applyBorder="1" applyAlignment="1">
      <alignment horizontal="center"/>
    </xf>
    <xf numFmtId="0" fontId="22" fillId="4" borderId="0" xfId="0" applyFont="1" applyFill="1" applyBorder="1" applyAlignment="1">
      <alignment horizontal="left" wrapText="1" indent="1"/>
    </xf>
    <xf numFmtId="0" fontId="26" fillId="4" borderId="0" xfId="0" applyFont="1" applyFill="1" applyBorder="1" applyAlignment="1">
      <alignment horizontal="left" wrapText="1"/>
    </xf>
    <xf numFmtId="0" fontId="26" fillId="4" borderId="6" xfId="0" applyFont="1" applyFill="1" applyBorder="1" applyAlignment="1">
      <alignment horizontal="left" wrapText="1"/>
    </xf>
    <xf numFmtId="0" fontId="26" fillId="4" borderId="0" xfId="0" applyFont="1" applyFill="1" applyBorder="1" applyAlignment="1">
      <alignment horizontal="left" vertical="center" wrapText="1"/>
    </xf>
    <xf numFmtId="0" fontId="26" fillId="4" borderId="6" xfId="0" applyFont="1" applyFill="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8" xfId="0" applyFont="1" applyBorder="1" applyAlignment="1">
      <alignment horizontal="center" vertical="center" wrapTex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3" fillId="0" borderId="11" xfId="0" applyFont="1" applyBorder="1" applyAlignment="1">
      <alignment horizontal="left"/>
    </xf>
    <xf numFmtId="0" fontId="2" fillId="0" borderId="11" xfId="0" applyFont="1" applyBorder="1" applyAlignment="1">
      <alignment horizontal="left" inden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15" fillId="0" borderId="39" xfId="0" applyFont="1" applyBorder="1" applyAlignment="1">
      <alignment horizontal="left" vertical="center"/>
    </xf>
    <xf numFmtId="0" fontId="0" fillId="0" borderId="39" xfId="0" applyFont="1" applyBorder="1" applyAlignment="1">
      <alignment horizontal="left" vertical="center"/>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 fillId="4"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25" fillId="0" borderId="45" xfId="0" applyFont="1" applyBorder="1" applyAlignment="1">
      <alignment horizontal="left" vertical="center" wrapText="1"/>
    </xf>
    <xf numFmtId="0" fontId="0" fillId="0" borderId="23" xfId="0"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71"/>
  <sheetViews>
    <sheetView topLeftCell="A7" zoomScale="80" zoomScaleNormal="80" workbookViewId="0">
      <selection activeCell="C12" sqref="C12"/>
    </sheetView>
  </sheetViews>
  <sheetFormatPr baseColWidth="10" defaultColWidth="11" defaultRowHeight="12.75" x14ac:dyDescent="0.2"/>
  <cols>
    <col min="1" max="1" width="4.5703125" style="39" customWidth="1"/>
    <col min="2" max="2" width="14.5703125" style="39" customWidth="1"/>
    <col min="3" max="3" width="17.5703125" style="39" customWidth="1"/>
    <col min="4" max="4" width="7.140625" style="39" customWidth="1"/>
    <col min="5" max="5" width="89.42578125" style="39" customWidth="1"/>
    <col min="6" max="6" width="10.140625" style="39" customWidth="1"/>
    <col min="7" max="7" width="11.7109375" style="39" customWidth="1"/>
    <col min="8" max="9" width="14.7109375" style="39" customWidth="1"/>
    <col min="10" max="10" width="11" style="39"/>
    <col min="11" max="11" width="12.42578125" style="39" bestFit="1" customWidth="1"/>
    <col min="12" max="16384" width="11" style="39"/>
  </cols>
  <sheetData>
    <row r="2" spans="1:11" ht="27" x14ac:dyDescent="0.35">
      <c r="B2" s="81" t="s">
        <v>0</v>
      </c>
      <c r="C2" s="81"/>
      <c r="D2" s="81"/>
      <c r="E2" s="81"/>
      <c r="F2" s="81"/>
      <c r="G2" s="81"/>
      <c r="H2" s="81"/>
    </row>
    <row r="3" spans="1:11" ht="8.25" customHeight="1" x14ac:dyDescent="0.2"/>
    <row r="4" spans="1:11" ht="27.75" customHeight="1" x14ac:dyDescent="0.25">
      <c r="A4" s="80" t="s">
        <v>1</v>
      </c>
      <c r="B4" s="80"/>
      <c r="C4" s="82" t="s">
        <v>59</v>
      </c>
      <c r="D4" s="82"/>
      <c r="E4" s="82"/>
      <c r="F4" s="40"/>
      <c r="G4" s="41"/>
      <c r="H4" s="40"/>
    </row>
    <row r="5" spans="1:11" ht="18" customHeight="1" x14ac:dyDescent="0.25">
      <c r="A5" s="80" t="s">
        <v>2</v>
      </c>
      <c r="B5" s="80"/>
      <c r="C5" s="82" t="s">
        <v>60</v>
      </c>
      <c r="D5" s="82"/>
      <c r="E5" s="82"/>
      <c r="F5" s="40"/>
      <c r="G5" s="41"/>
      <c r="H5" s="40"/>
    </row>
    <row r="6" spans="1:11" ht="16.5" customHeight="1" x14ac:dyDescent="0.25">
      <c r="A6" s="80" t="s">
        <v>3</v>
      </c>
      <c r="B6" s="80"/>
      <c r="C6" s="48">
        <v>2021</v>
      </c>
      <c r="D6" s="49"/>
      <c r="E6" s="49"/>
      <c r="F6" s="40"/>
      <c r="G6" s="41"/>
      <c r="H6" s="40"/>
    </row>
    <row r="7" spans="1:11" ht="16.5" customHeight="1" x14ac:dyDescent="0.25">
      <c r="A7" s="80" t="s">
        <v>4</v>
      </c>
      <c r="B7" s="80"/>
      <c r="C7" s="48">
        <v>2</v>
      </c>
      <c r="D7" s="49"/>
      <c r="E7" s="49"/>
      <c r="F7" s="40"/>
      <c r="G7" s="41"/>
      <c r="H7" s="40"/>
    </row>
    <row r="8" spans="1:11" x14ac:dyDescent="0.2">
      <c r="B8" s="40"/>
      <c r="C8" s="41"/>
      <c r="D8" s="40"/>
      <c r="E8" s="40"/>
      <c r="F8" s="40"/>
      <c r="G8" s="41"/>
      <c r="H8" s="40"/>
    </row>
    <row r="9" spans="1:11" ht="39" thickTop="1" x14ac:dyDescent="0.2">
      <c r="A9" s="51" t="s">
        <v>5</v>
      </c>
      <c r="B9" s="51" t="s">
        <v>6</v>
      </c>
      <c r="C9" s="51" t="s">
        <v>7</v>
      </c>
      <c r="D9" s="51" t="s">
        <v>8</v>
      </c>
      <c r="E9" s="51" t="s">
        <v>9</v>
      </c>
      <c r="F9" s="51" t="s">
        <v>10</v>
      </c>
      <c r="G9" s="51" t="s">
        <v>11</v>
      </c>
      <c r="H9" s="51" t="s">
        <v>12</v>
      </c>
      <c r="I9" s="51" t="s">
        <v>13</v>
      </c>
      <c r="K9" s="57"/>
    </row>
    <row r="10" spans="1:11" ht="108" customHeight="1" x14ac:dyDescent="0.2">
      <c r="A10" s="50">
        <v>1</v>
      </c>
      <c r="B10" s="62" t="s">
        <v>64</v>
      </c>
      <c r="C10" s="60" t="s">
        <v>62</v>
      </c>
      <c r="D10" s="61" t="str">
        <f t="shared" ref="D10" si="0">LEFT(B10,5)</f>
        <v>4.3.2</v>
      </c>
      <c r="E10" s="60" t="s">
        <v>63</v>
      </c>
      <c r="F10" s="62" t="s">
        <v>14</v>
      </c>
      <c r="G10" s="62">
        <v>1</v>
      </c>
      <c r="H10" s="63">
        <v>6586800</v>
      </c>
      <c r="I10" s="64">
        <f t="shared" ref="I10" si="1">G10*H10</f>
        <v>6586800</v>
      </c>
      <c r="K10" s="57"/>
    </row>
    <row r="11" spans="1:11" ht="13.5" thickBot="1" x14ac:dyDescent="0.25">
      <c r="I11" s="58"/>
    </row>
    <row r="12" spans="1:11" ht="15" x14ac:dyDescent="0.25">
      <c r="B12" s="65" t="s">
        <v>15</v>
      </c>
      <c r="C12" s="66"/>
      <c r="D12" s="66"/>
      <c r="E12" s="67"/>
    </row>
    <row r="13" spans="1:11" ht="5.25" customHeight="1" x14ac:dyDescent="0.25">
      <c r="B13" s="68"/>
      <c r="C13" s="69"/>
      <c r="D13" s="69"/>
      <c r="E13" s="70"/>
    </row>
    <row r="14" spans="1:11" ht="19.5" customHeight="1" x14ac:dyDescent="0.25">
      <c r="B14" s="71" t="s">
        <v>16</v>
      </c>
      <c r="C14" s="69"/>
      <c r="D14" s="69"/>
      <c r="E14" s="70"/>
    </row>
    <row r="15" spans="1:11" ht="336.75" customHeight="1" x14ac:dyDescent="0.25">
      <c r="B15" s="71"/>
      <c r="C15" s="85" t="s">
        <v>73</v>
      </c>
      <c r="D15" s="85"/>
      <c r="E15" s="86"/>
    </row>
    <row r="16" spans="1:11" ht="19.5" customHeight="1" x14ac:dyDescent="0.25">
      <c r="B16" s="78" t="s">
        <v>17</v>
      </c>
      <c r="C16" s="69"/>
      <c r="D16" s="69"/>
      <c r="E16" s="70"/>
    </row>
    <row r="17" spans="2:5" ht="26.25" customHeight="1" x14ac:dyDescent="0.25">
      <c r="B17" s="72"/>
      <c r="C17" s="85" t="s">
        <v>72</v>
      </c>
      <c r="D17" s="85"/>
      <c r="E17" s="86"/>
    </row>
    <row r="18" spans="2:5" ht="97.5" customHeight="1" x14ac:dyDescent="0.25">
      <c r="B18" s="72"/>
      <c r="C18" s="85"/>
      <c r="D18" s="85"/>
      <c r="E18" s="86"/>
    </row>
    <row r="19" spans="2:5" ht="15" x14ac:dyDescent="0.25">
      <c r="B19" s="71" t="s">
        <v>18</v>
      </c>
      <c r="C19" s="69"/>
      <c r="D19" s="69"/>
      <c r="E19" s="70"/>
    </row>
    <row r="20" spans="2:5" ht="15" customHeight="1" x14ac:dyDescent="0.25">
      <c r="B20" s="72"/>
      <c r="C20" s="83"/>
      <c r="D20" s="83"/>
      <c r="E20" s="84"/>
    </row>
    <row r="21" spans="2:5" ht="15" x14ac:dyDescent="0.25">
      <c r="B21" s="71" t="s">
        <v>19</v>
      </c>
      <c r="C21" s="73"/>
      <c r="D21" s="73"/>
      <c r="E21" s="74"/>
    </row>
    <row r="22" spans="2:5" ht="14.25" customHeight="1" x14ac:dyDescent="0.25">
      <c r="B22" s="72"/>
      <c r="C22" s="83" t="s">
        <v>70</v>
      </c>
      <c r="D22" s="83"/>
      <c r="E22" s="84"/>
    </row>
    <row r="23" spans="2:5" ht="15" x14ac:dyDescent="0.25">
      <c r="B23" s="71" t="s">
        <v>20</v>
      </c>
      <c r="C23" s="69"/>
      <c r="D23" s="69"/>
      <c r="E23" s="70"/>
    </row>
    <row r="24" spans="2:5" ht="157.5" customHeight="1" x14ac:dyDescent="0.25">
      <c r="B24" s="71"/>
      <c r="C24" s="85" t="s">
        <v>71</v>
      </c>
      <c r="D24" s="85"/>
      <c r="E24" s="86"/>
    </row>
    <row r="25" spans="2:5" ht="15.75" thickBot="1" x14ac:dyDescent="0.3">
      <c r="B25" s="75"/>
      <c r="C25" s="76"/>
      <c r="D25" s="76"/>
      <c r="E25" s="77"/>
    </row>
    <row r="31" spans="2:5" ht="72" customHeight="1" x14ac:dyDescent="0.2"/>
    <row r="33" ht="12.75" customHeight="1" x14ac:dyDescent="0.2"/>
    <row r="34" ht="81" customHeight="1" x14ac:dyDescent="0.2"/>
    <row r="40" ht="12.75" customHeight="1" x14ac:dyDescent="0.2"/>
    <row r="46" ht="42.75" customHeight="1" x14ac:dyDescent="0.2"/>
    <row r="48" ht="12.75" customHeight="1" x14ac:dyDescent="0.2"/>
    <row r="49" ht="77.25" customHeight="1" x14ac:dyDescent="0.2"/>
    <row r="55" ht="12.75" customHeight="1" x14ac:dyDescent="0.2"/>
    <row r="62" ht="62.25" customHeight="1" x14ac:dyDescent="0.2"/>
    <row r="64" ht="12.75" customHeight="1" x14ac:dyDescent="0.2"/>
    <row r="65" ht="87.75" customHeight="1" x14ac:dyDescent="0.2"/>
    <row r="71" ht="12.75" customHeight="1" x14ac:dyDescent="0.2"/>
  </sheetData>
  <mergeCells count="12">
    <mergeCell ref="C20:E20"/>
    <mergeCell ref="C22:E22"/>
    <mergeCell ref="C24:E24"/>
    <mergeCell ref="C15:E15"/>
    <mergeCell ref="C17:E18"/>
    <mergeCell ref="A6:B6"/>
    <mergeCell ref="A7:B7"/>
    <mergeCell ref="B2:H2"/>
    <mergeCell ref="A4:B4"/>
    <mergeCell ref="C4:E4"/>
    <mergeCell ref="A5:B5"/>
    <mergeCell ref="C5:E5"/>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13"/>
  <sheetViews>
    <sheetView zoomScale="90" zoomScaleNormal="90" workbookViewId="0">
      <selection activeCell="O8" sqref="O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87" t="s">
        <v>21</v>
      </c>
      <c r="B1" s="87"/>
      <c r="C1" s="87"/>
      <c r="D1" s="87"/>
      <c r="E1" s="87"/>
      <c r="F1" s="87"/>
      <c r="G1" s="87"/>
      <c r="H1" s="87"/>
      <c r="I1" s="87"/>
      <c r="J1" s="3" t="s">
        <v>22</v>
      </c>
      <c r="K1" s="79" t="s">
        <v>75</v>
      </c>
    </row>
    <row r="2" spans="1:12" ht="18.75" customHeight="1" thickBot="1" x14ac:dyDescent="0.25">
      <c r="A2" s="4"/>
      <c r="B2" s="4"/>
      <c r="C2" s="4"/>
      <c r="D2" s="5"/>
      <c r="E2" s="5"/>
      <c r="F2" s="5"/>
      <c r="G2" s="5"/>
      <c r="H2" s="5"/>
      <c r="I2" s="5"/>
      <c r="J2" s="5"/>
      <c r="K2" s="5"/>
    </row>
    <row r="3" spans="1:12" ht="18.75" customHeight="1" thickBot="1" x14ac:dyDescent="0.25">
      <c r="A3" s="88" t="s">
        <v>56</v>
      </c>
      <c r="B3" s="88"/>
      <c r="C3" s="88"/>
      <c r="D3" s="89" t="s">
        <v>59</v>
      </c>
      <c r="E3" s="89"/>
      <c r="F3" s="89"/>
      <c r="G3" s="89"/>
      <c r="H3" s="89"/>
      <c r="I3" s="89"/>
      <c r="J3" s="89"/>
      <c r="K3" s="89"/>
    </row>
    <row r="4" spans="1:12" ht="18.75" customHeight="1" thickBot="1" x14ac:dyDescent="0.25">
      <c r="A4" s="90" t="s">
        <v>57</v>
      </c>
      <c r="B4" s="90"/>
      <c r="C4" s="90"/>
      <c r="D4" s="89" t="s">
        <v>60</v>
      </c>
      <c r="E4" s="89"/>
      <c r="F4" s="89"/>
      <c r="G4" s="89"/>
      <c r="H4" s="89"/>
      <c r="I4" s="89"/>
      <c r="J4" s="89"/>
      <c r="K4" s="89"/>
    </row>
    <row r="5" spans="1:12" ht="18.75" customHeight="1" thickBot="1" x14ac:dyDescent="0.25">
      <c r="A5" s="90" t="s">
        <v>35</v>
      </c>
      <c r="B5" s="90"/>
      <c r="C5" s="90"/>
      <c r="D5" s="89" t="s">
        <v>76</v>
      </c>
      <c r="E5" s="89"/>
      <c r="F5" s="89"/>
      <c r="G5" s="89"/>
      <c r="H5" s="89"/>
      <c r="I5" s="89"/>
      <c r="J5" s="89"/>
      <c r="K5" s="89"/>
    </row>
    <row r="6" spans="1:12" ht="17.25" customHeight="1" thickBot="1" x14ac:dyDescent="0.25">
      <c r="A6" s="88" t="s">
        <v>58</v>
      </c>
      <c r="B6" s="88"/>
      <c r="C6" s="88"/>
      <c r="D6" s="89" t="s">
        <v>74</v>
      </c>
      <c r="E6" s="89"/>
      <c r="F6" s="89"/>
      <c r="G6" s="89"/>
      <c r="H6" s="89"/>
      <c r="I6" s="89"/>
      <c r="J6" s="89"/>
      <c r="K6" s="89"/>
    </row>
    <row r="7" spans="1:12" ht="20.25" customHeight="1" x14ac:dyDescent="0.2">
      <c r="A7" s="90" t="s">
        <v>23</v>
      </c>
      <c r="B7" s="90"/>
      <c r="C7" s="90"/>
      <c r="D7" s="89" t="s">
        <v>65</v>
      </c>
      <c r="E7" s="89"/>
      <c r="F7" s="89"/>
      <c r="G7" s="89"/>
      <c r="H7" s="89"/>
      <c r="I7" s="89"/>
      <c r="J7" s="89"/>
      <c r="K7" s="89"/>
    </row>
    <row r="8" spans="1:12" ht="40.5" customHeight="1" x14ac:dyDescent="0.2">
      <c r="A8" s="93" t="s">
        <v>24</v>
      </c>
      <c r="B8" s="93"/>
      <c r="C8" s="93"/>
      <c r="D8" s="94" t="s">
        <v>66</v>
      </c>
      <c r="E8" s="94"/>
      <c r="F8" s="94"/>
      <c r="G8" s="94"/>
      <c r="H8" s="94"/>
      <c r="I8" s="94"/>
      <c r="J8" s="94"/>
      <c r="K8" s="94"/>
    </row>
    <row r="9" spans="1:12" ht="15.75" x14ac:dyDescent="0.2">
      <c r="A9" s="6"/>
      <c r="B9" s="6"/>
      <c r="C9" s="6"/>
      <c r="D9" s="7"/>
      <c r="E9" s="7"/>
      <c r="F9" s="7"/>
      <c r="G9" s="7"/>
      <c r="H9" s="7"/>
      <c r="I9" s="7"/>
      <c r="J9" s="7"/>
      <c r="K9" s="7"/>
    </row>
    <row r="10" spans="1:12" ht="18.75" customHeight="1" thickBot="1" x14ac:dyDescent="0.25">
      <c r="A10" s="95" t="s">
        <v>25</v>
      </c>
      <c r="B10" s="96" t="s">
        <v>26</v>
      </c>
      <c r="C10" s="96" t="s">
        <v>27</v>
      </c>
      <c r="D10" s="96"/>
      <c r="E10" s="96"/>
      <c r="F10" s="96"/>
      <c r="G10" s="96"/>
      <c r="H10" s="96" t="s">
        <v>28</v>
      </c>
      <c r="I10" s="96" t="s">
        <v>29</v>
      </c>
      <c r="J10" s="96" t="s">
        <v>30</v>
      </c>
      <c r="K10" s="97" t="s">
        <v>31</v>
      </c>
    </row>
    <row r="11" spans="1:12" ht="24" customHeight="1" thickBot="1" x14ac:dyDescent="0.25">
      <c r="A11" s="95"/>
      <c r="B11" s="96"/>
      <c r="C11" s="96"/>
      <c r="D11" s="96"/>
      <c r="E11" s="96"/>
      <c r="F11" s="96"/>
      <c r="G11" s="96"/>
      <c r="H11" s="96"/>
      <c r="I11" s="96"/>
      <c r="J11" s="96"/>
      <c r="K11" s="98"/>
    </row>
    <row r="12" spans="1:12" ht="71.25" customHeight="1" thickBot="1" x14ac:dyDescent="0.25">
      <c r="A12" s="8">
        <v>1</v>
      </c>
      <c r="B12" s="9" t="str">
        <f>'Necesidades Trimestrales'!B10</f>
        <v>4.3.2-1715.329</v>
      </c>
      <c r="C12" s="99" t="str">
        <f>'Necesidades Trimestrales'!E10</f>
        <v>CAMIONETAS; MARCA: SIN VALOR, MODELO: SIN VALOR, TIPO: CARROZADA, AÑO: SIN VALOR, POTENCIA: 177 HP, CILINDRADA: 2755 CM3, TRACCION: 4 X 4, CANT. DE CILINDROS: 4, CAPACIDAD DE CARGA: 80 LTS, TIPO DE MOTOR: DIESEL, CAJA DE VELOCIDAD: AUTOMATICA, MARCHA: 6 DELANTERAS 1 RETROCESO</v>
      </c>
      <c r="D12" s="100"/>
      <c r="E12" s="100"/>
      <c r="F12" s="100"/>
      <c r="G12" s="101"/>
      <c r="H12" s="42" t="s">
        <v>32</v>
      </c>
      <c r="I12" s="43" t="s">
        <v>14</v>
      </c>
      <c r="J12" s="55">
        <f>'Necesidades Trimestrales'!H10</f>
        <v>6586800</v>
      </c>
      <c r="K12" s="56">
        <v>1</v>
      </c>
    </row>
    <row r="13" spans="1:12" ht="31.5" customHeight="1" thickBot="1" x14ac:dyDescent="0.25">
      <c r="A13" s="91" t="s">
        <v>68</v>
      </c>
      <c r="B13" s="91"/>
      <c r="C13" s="91"/>
      <c r="D13" s="91"/>
      <c r="E13" s="91"/>
      <c r="F13" s="91"/>
      <c r="G13" s="91"/>
      <c r="H13" s="91"/>
      <c r="I13" s="91"/>
      <c r="J13" s="92">
        <f>SUMPRODUCT(J12:J12,K12:K12)</f>
        <v>6586800</v>
      </c>
      <c r="K13" s="92"/>
      <c r="L13" s="52"/>
    </row>
  </sheetData>
  <mergeCells count="23">
    <mergeCell ref="A13:I13"/>
    <mergeCell ref="J13:K13"/>
    <mergeCell ref="A8:C8"/>
    <mergeCell ref="D8:K8"/>
    <mergeCell ref="A10:A11"/>
    <mergeCell ref="B10:B11"/>
    <mergeCell ref="C10:G11"/>
    <mergeCell ref="H10:H11"/>
    <mergeCell ref="I10:I11"/>
    <mergeCell ref="J10:J11"/>
    <mergeCell ref="K10:K11"/>
    <mergeCell ref="C12:G12"/>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tabSelected="1" topLeftCell="A19" zoomScale="130" zoomScaleNormal="130" workbookViewId="0">
      <selection activeCell="S10" sqref="S10"/>
    </sheetView>
  </sheetViews>
  <sheetFormatPr baseColWidth="10" defaultColWidth="11" defaultRowHeight="12.75" x14ac:dyDescent="0.2"/>
  <cols>
    <col min="1" max="4" width="4.42578125" customWidth="1"/>
    <col min="5" max="5" width="4.140625" customWidth="1"/>
    <col min="6" max="6" width="5.42578125" customWidth="1"/>
    <col min="7" max="7" width="4.42578125" style="10" customWidth="1"/>
    <col min="8" max="14" width="4.42578125" customWidth="1"/>
    <col min="15" max="15" width="14.85546875" customWidth="1"/>
    <col min="16" max="16" width="14" customWidth="1"/>
    <col min="17" max="17" width="14.7109375" customWidth="1"/>
  </cols>
  <sheetData>
    <row r="1" spans="1:17" ht="15.75" customHeight="1" x14ac:dyDescent="0.25">
      <c r="A1" s="102" t="s">
        <v>3</v>
      </c>
      <c r="B1" s="102"/>
      <c r="C1" s="102"/>
      <c r="D1" s="103">
        <f>'Necesidades Trimestrales'!C6</f>
        <v>2021</v>
      </c>
      <c r="E1" s="103"/>
      <c r="F1" s="11"/>
      <c r="G1" s="11"/>
      <c r="H1" s="12"/>
      <c r="I1" s="12"/>
      <c r="J1" s="12"/>
      <c r="K1" s="12"/>
      <c r="L1" s="12"/>
      <c r="M1" s="12"/>
      <c r="N1" s="12"/>
      <c r="P1" s="104" t="s">
        <v>33</v>
      </c>
      <c r="Q1" s="104"/>
    </row>
    <row r="2" spans="1:17" ht="15.75" customHeight="1" x14ac:dyDescent="0.2">
      <c r="H2" s="12"/>
      <c r="I2" s="12"/>
      <c r="J2" s="12"/>
      <c r="K2" s="12"/>
      <c r="L2" s="12"/>
      <c r="M2" s="12"/>
      <c r="N2" s="12"/>
      <c r="P2" s="104"/>
      <c r="Q2" s="104"/>
    </row>
    <row r="4" spans="1:17" s="13" customFormat="1" ht="18" customHeight="1" thickBot="1" x14ac:dyDescent="0.25">
      <c r="A4" s="105" t="s">
        <v>34</v>
      </c>
      <c r="B4" s="105"/>
      <c r="C4" s="105"/>
      <c r="D4" s="105"/>
      <c r="E4" s="105"/>
      <c r="F4" s="105"/>
      <c r="G4" s="106" t="str">
        <f>' NotaPedido'!D3</f>
        <v>70 - MINISTERIO DE CIENCIA E INNOVACION TECNOLOGICA</v>
      </c>
      <c r="H4" s="106"/>
      <c r="I4" s="106"/>
      <c r="J4" s="106"/>
      <c r="K4" s="106"/>
      <c r="L4" s="106"/>
      <c r="M4" s="106"/>
      <c r="N4" s="106"/>
      <c r="O4" s="106"/>
      <c r="P4" s="106"/>
      <c r="Q4" s="106"/>
    </row>
    <row r="5" spans="1:17" s="13" customFormat="1" ht="18" customHeight="1" thickBot="1" x14ac:dyDescent="0.25">
      <c r="A5" s="107" t="s">
        <v>57</v>
      </c>
      <c r="B5" s="108"/>
      <c r="C5" s="108"/>
      <c r="D5" s="108"/>
      <c r="E5" s="108"/>
      <c r="F5" s="109"/>
      <c r="G5" s="106" t="str">
        <f>' NotaPedido'!D4</f>
        <v>20 - MINISTERIO DE CIENCIA E INNOVACION TECNOLOGICA</v>
      </c>
      <c r="H5" s="106"/>
      <c r="I5" s="106"/>
      <c r="J5" s="106"/>
      <c r="K5" s="106"/>
      <c r="L5" s="106"/>
      <c r="M5" s="106"/>
      <c r="N5" s="106"/>
      <c r="O5" s="106"/>
      <c r="P5" s="106"/>
      <c r="Q5" s="106"/>
    </row>
    <row r="6" spans="1:17" s="13" customFormat="1" ht="18" customHeight="1" thickBot="1" x14ac:dyDescent="0.25">
      <c r="A6" s="107" t="s">
        <v>35</v>
      </c>
      <c r="B6" s="108"/>
      <c r="C6" s="108"/>
      <c r="D6" s="108"/>
      <c r="E6" s="108"/>
      <c r="F6" s="109"/>
      <c r="G6" s="106" t="str">
        <f>' NotaPedido'!D5</f>
        <v>SECRETARIA DE CIENCIA Y TECNOLOGICA</v>
      </c>
      <c r="H6" s="106"/>
      <c r="I6" s="106"/>
      <c r="J6" s="106"/>
      <c r="K6" s="106"/>
      <c r="L6" s="106"/>
      <c r="M6" s="106"/>
      <c r="N6" s="106"/>
      <c r="O6" s="106"/>
      <c r="P6" s="106"/>
      <c r="Q6" s="106"/>
    </row>
    <row r="7" spans="1:17" s="13" customFormat="1" ht="18" customHeight="1" thickBot="1" x14ac:dyDescent="0.25">
      <c r="A7" s="107" t="s">
        <v>58</v>
      </c>
      <c r="B7" s="108"/>
      <c r="C7" s="108"/>
      <c r="D7" s="108"/>
      <c r="E7" s="108"/>
      <c r="F7" s="109"/>
      <c r="G7" s="111" t="str">
        <f>' NotaPedido'!D6</f>
        <v>DIRECCION PROVINCIAL DE GESTION ADMINISTRATIVA Y RECURSOS HUMANOS</v>
      </c>
      <c r="H7" s="111"/>
      <c r="I7" s="111"/>
      <c r="J7" s="111"/>
      <c r="K7" s="111"/>
      <c r="L7" s="111"/>
      <c r="M7" s="111"/>
      <c r="N7" s="111"/>
      <c r="O7" s="111"/>
      <c r="P7" s="111"/>
      <c r="Q7" s="111"/>
    </row>
    <row r="8" spans="1:17" ht="18" customHeight="1" thickBot="1" x14ac:dyDescent="0.25">
      <c r="A8" s="110" t="s">
        <v>36</v>
      </c>
      <c r="B8" s="110"/>
      <c r="C8" s="110"/>
      <c r="D8" s="110"/>
      <c r="E8" s="110"/>
      <c r="F8" s="110"/>
      <c r="G8" s="110"/>
      <c r="H8" s="110"/>
      <c r="I8" s="110"/>
      <c r="J8" s="110"/>
      <c r="K8" s="110"/>
      <c r="L8" s="110"/>
      <c r="M8" s="110"/>
      <c r="N8" s="110"/>
      <c r="O8" s="110"/>
      <c r="P8" s="110"/>
      <c r="Q8" s="110"/>
    </row>
    <row r="9" spans="1:17" ht="18" customHeight="1" x14ac:dyDescent="0.2">
      <c r="A9" s="112" t="s">
        <v>37</v>
      </c>
      <c r="B9" s="112"/>
      <c r="C9" s="112"/>
      <c r="D9" s="112"/>
      <c r="E9" s="112"/>
      <c r="F9" s="112"/>
      <c r="G9" s="112"/>
      <c r="H9" s="112"/>
      <c r="I9" s="112"/>
      <c r="J9" s="112"/>
      <c r="K9" s="112"/>
      <c r="L9" s="112"/>
      <c r="M9" s="112"/>
      <c r="N9" s="112"/>
      <c r="O9" s="1"/>
      <c r="P9" s="1"/>
      <c r="Q9" s="14"/>
    </row>
    <row r="10" spans="1:17" ht="54.75" customHeight="1" x14ac:dyDescent="0.2">
      <c r="A10" s="113" t="str">
        <f>"Autorizo la realización de los  trámites correspondientes, a fin de proveer a  este Organismo los bienes y/o servicios que se detallan en  Pedido N°"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Pedido N°006/2021,  afectando la erogación resultante a los créditos presupuestarios aprobados a favor de esta Unidad Ejecutora, conforme al siguiente detalle:</v>
      </c>
      <c r="B10" s="113"/>
      <c r="C10" s="113"/>
      <c r="D10" s="113"/>
      <c r="E10" s="113"/>
      <c r="F10" s="113"/>
      <c r="G10" s="113"/>
      <c r="H10" s="113"/>
      <c r="I10" s="113"/>
      <c r="J10" s="113"/>
      <c r="K10" s="113"/>
      <c r="L10" s="113"/>
      <c r="M10" s="113"/>
      <c r="N10" s="113"/>
      <c r="O10" s="113"/>
      <c r="P10" s="113"/>
      <c r="Q10" s="113"/>
    </row>
    <row r="11" spans="1:17" ht="9" customHeight="1" x14ac:dyDescent="0.2">
      <c r="A11" s="15"/>
      <c r="B11" s="16"/>
      <c r="C11" s="16"/>
      <c r="D11" s="16"/>
      <c r="E11" s="16"/>
      <c r="F11" s="16"/>
      <c r="G11" s="17"/>
      <c r="H11" s="16"/>
      <c r="I11" s="16"/>
      <c r="J11" s="16"/>
      <c r="K11" s="16"/>
      <c r="L11" s="16"/>
      <c r="M11" s="16"/>
      <c r="N11" s="16"/>
      <c r="O11" s="16"/>
      <c r="P11" s="16"/>
      <c r="Q11" s="18"/>
    </row>
    <row r="12" spans="1:17" ht="15.75" customHeight="1" x14ac:dyDescent="0.2">
      <c r="A12" s="114" t="s">
        <v>38</v>
      </c>
      <c r="B12" s="114"/>
      <c r="C12" s="114"/>
      <c r="D12" s="114"/>
      <c r="E12" s="114"/>
      <c r="F12" s="114"/>
      <c r="G12" s="114"/>
      <c r="H12" s="114"/>
      <c r="I12" s="114"/>
      <c r="J12" s="114"/>
      <c r="K12" s="114"/>
      <c r="L12" s="114"/>
      <c r="M12" s="114"/>
      <c r="N12" s="114"/>
      <c r="O12" s="114"/>
      <c r="P12" s="114"/>
      <c r="Q12" s="114"/>
    </row>
    <row r="13" spans="1:17" ht="15.75" customHeight="1" x14ac:dyDescent="0.2">
      <c r="A13" s="115" t="s">
        <v>39</v>
      </c>
      <c r="B13" s="115"/>
      <c r="C13" s="115"/>
      <c r="D13" s="115"/>
      <c r="E13" s="115"/>
      <c r="F13" s="115"/>
      <c r="G13" s="115"/>
      <c r="H13" s="115"/>
      <c r="I13" s="115"/>
      <c r="J13" s="115"/>
      <c r="K13" s="115"/>
      <c r="L13" s="115"/>
      <c r="M13" s="115"/>
      <c r="N13" s="115"/>
      <c r="O13" s="116" t="s">
        <v>40</v>
      </c>
      <c r="P13" s="116"/>
      <c r="Q13" s="117" t="s">
        <v>41</v>
      </c>
    </row>
    <row r="14" spans="1:17" ht="15.75" customHeight="1" x14ac:dyDescent="0.2">
      <c r="A14" s="19" t="s">
        <v>42</v>
      </c>
      <c r="B14" s="20" t="s">
        <v>43</v>
      </c>
      <c r="C14" s="20" t="s">
        <v>44</v>
      </c>
      <c r="D14" s="20" t="s">
        <v>45</v>
      </c>
      <c r="E14" s="20" t="s">
        <v>46</v>
      </c>
      <c r="F14" s="20" t="s">
        <v>47</v>
      </c>
      <c r="G14" s="21" t="s">
        <v>48</v>
      </c>
      <c r="H14" s="20" t="s">
        <v>49</v>
      </c>
      <c r="I14" s="20" t="s">
        <v>50</v>
      </c>
      <c r="J14" s="20" t="s">
        <v>51</v>
      </c>
      <c r="K14" s="20" t="s">
        <v>51</v>
      </c>
      <c r="L14" s="20" t="s">
        <v>52</v>
      </c>
      <c r="M14" s="22" t="s">
        <v>53</v>
      </c>
      <c r="N14" s="23" t="s">
        <v>54</v>
      </c>
      <c r="O14" s="116"/>
      <c r="P14" s="116"/>
      <c r="Q14" s="117"/>
    </row>
    <row r="15" spans="1:17" ht="27.75" customHeight="1" x14ac:dyDescent="0.2">
      <c r="A15" s="44">
        <v>2</v>
      </c>
      <c r="B15" s="45">
        <v>0</v>
      </c>
      <c r="C15" s="45">
        <v>0</v>
      </c>
      <c r="D15" s="45">
        <v>1</v>
      </c>
      <c r="E15" s="45">
        <v>0</v>
      </c>
      <c r="F15" s="45">
        <v>4901</v>
      </c>
      <c r="G15" s="45">
        <v>3</v>
      </c>
      <c r="H15" s="45">
        <v>5</v>
      </c>
      <c r="I15" s="24">
        <v>4</v>
      </c>
      <c r="J15" s="24">
        <v>3</v>
      </c>
      <c r="K15" s="24">
        <v>2</v>
      </c>
      <c r="L15" s="45">
        <v>0</v>
      </c>
      <c r="M15" s="46">
        <v>1</v>
      </c>
      <c r="N15" s="45" t="s">
        <v>61</v>
      </c>
      <c r="O15" s="118" t="s">
        <v>69</v>
      </c>
      <c r="P15" s="119"/>
      <c r="Q15" s="53">
        <v>6586800</v>
      </c>
    </row>
    <row r="16" spans="1:17" ht="17.25" customHeight="1" x14ac:dyDescent="0.2">
      <c r="A16" s="25"/>
      <c r="B16" s="26"/>
      <c r="C16" s="26"/>
      <c r="D16" s="26"/>
      <c r="E16" s="26"/>
      <c r="F16" s="26"/>
      <c r="G16" s="26"/>
      <c r="H16" s="26"/>
      <c r="I16" s="26"/>
      <c r="J16" s="26"/>
      <c r="K16" s="26"/>
      <c r="L16" s="26"/>
      <c r="M16" s="27"/>
      <c r="N16" s="59"/>
      <c r="O16" s="120"/>
      <c r="P16" s="121"/>
      <c r="Q16" s="29"/>
    </row>
    <row r="17" spans="1:18" ht="17.25" customHeight="1" x14ac:dyDescent="0.2">
      <c r="A17" s="25"/>
      <c r="B17" s="26"/>
      <c r="C17" s="26"/>
      <c r="D17" s="26"/>
      <c r="E17" s="26"/>
      <c r="F17" s="28"/>
      <c r="G17" s="26"/>
      <c r="H17" s="26"/>
      <c r="I17" s="26"/>
      <c r="J17" s="26"/>
      <c r="K17" s="26"/>
      <c r="L17" s="26"/>
      <c r="M17" s="27"/>
      <c r="N17" s="28"/>
      <c r="O17" s="121"/>
      <c r="P17" s="121"/>
      <c r="Q17" s="29"/>
    </row>
    <row r="18" spans="1:18" ht="17.25" customHeight="1" x14ac:dyDescent="0.2">
      <c r="A18" s="25"/>
      <c r="B18" s="26"/>
      <c r="C18" s="26"/>
      <c r="D18" s="26"/>
      <c r="E18" s="26"/>
      <c r="F18" s="26"/>
      <c r="G18" s="26"/>
      <c r="H18" s="26"/>
      <c r="I18" s="26"/>
      <c r="J18" s="26"/>
      <c r="K18" s="26"/>
      <c r="L18" s="26"/>
      <c r="M18" s="27"/>
      <c r="N18" s="28"/>
      <c r="O18" s="121"/>
      <c r="P18" s="121"/>
      <c r="Q18" s="29"/>
    </row>
    <row r="19" spans="1:18" ht="17.25" customHeight="1" x14ac:dyDescent="0.2">
      <c r="A19" s="25"/>
      <c r="B19" s="26"/>
      <c r="C19" s="26"/>
      <c r="D19" s="26"/>
      <c r="E19" s="26"/>
      <c r="F19" s="28"/>
      <c r="G19" s="26"/>
      <c r="H19" s="26"/>
      <c r="I19" s="26"/>
      <c r="J19" s="26"/>
      <c r="K19" s="26"/>
      <c r="L19" s="26"/>
      <c r="M19" s="27"/>
      <c r="N19" s="28"/>
      <c r="O19" s="121"/>
      <c r="P19" s="121"/>
      <c r="Q19" s="29"/>
    </row>
    <row r="20" spans="1:18" ht="17.25" customHeight="1" x14ac:dyDescent="0.2">
      <c r="A20" s="25"/>
      <c r="B20" s="26"/>
      <c r="C20" s="26"/>
      <c r="D20" s="26"/>
      <c r="E20" s="26"/>
      <c r="F20" s="28"/>
      <c r="G20" s="26"/>
      <c r="H20" s="26"/>
      <c r="I20" s="26"/>
      <c r="J20" s="26"/>
      <c r="K20" s="26"/>
      <c r="L20" s="26"/>
      <c r="M20" s="27"/>
      <c r="N20" s="28"/>
      <c r="O20" s="121"/>
      <c r="P20" s="121"/>
      <c r="Q20" s="29"/>
    </row>
    <row r="21" spans="1:18" ht="17.25" customHeight="1" x14ac:dyDescent="0.2">
      <c r="A21" s="30"/>
      <c r="B21" s="31"/>
      <c r="C21" s="31"/>
      <c r="D21" s="31"/>
      <c r="E21" s="31"/>
      <c r="F21" s="32"/>
      <c r="G21" s="31"/>
      <c r="H21" s="31"/>
      <c r="I21" s="31"/>
      <c r="J21" s="31"/>
      <c r="K21" s="31"/>
      <c r="L21" s="31"/>
      <c r="M21" s="33"/>
      <c r="N21" s="34"/>
      <c r="O21" s="127"/>
      <c r="P21" s="127"/>
      <c r="Q21" s="29"/>
      <c r="R21" s="1"/>
    </row>
    <row r="22" spans="1:18" ht="17.25" customHeight="1" x14ac:dyDescent="0.2">
      <c r="A22" s="35"/>
      <c r="B22" s="36"/>
      <c r="C22" s="36"/>
      <c r="D22" s="36"/>
      <c r="E22" s="36"/>
      <c r="F22" s="36"/>
      <c r="G22" s="36"/>
      <c r="H22" s="36"/>
      <c r="I22" s="36"/>
      <c r="J22" s="36"/>
      <c r="K22" s="36"/>
      <c r="L22" s="36"/>
      <c r="M22" s="37"/>
      <c r="N22" s="36"/>
      <c r="O22" s="128"/>
      <c r="P22" s="128"/>
      <c r="Q22" s="38"/>
    </row>
    <row r="23" spans="1:18" ht="32.25" customHeight="1" x14ac:dyDescent="0.2">
      <c r="A23" s="129" t="s">
        <v>67</v>
      </c>
      <c r="B23" s="129"/>
      <c r="C23" s="129"/>
      <c r="D23" s="129"/>
      <c r="E23" s="129"/>
      <c r="F23" s="129"/>
      <c r="G23" s="129"/>
      <c r="H23" s="129"/>
      <c r="I23" s="129"/>
      <c r="J23" s="129"/>
      <c r="K23" s="129"/>
      <c r="L23" s="129"/>
      <c r="M23" s="129"/>
      <c r="N23" s="129"/>
      <c r="O23" s="129"/>
      <c r="P23" s="129"/>
      <c r="Q23" s="54">
        <f>SUM(Q15:Q22)</f>
        <v>6586800</v>
      </c>
    </row>
    <row r="24" spans="1:18" ht="18" customHeight="1" thickBot="1" x14ac:dyDescent="0.25">
      <c r="A24" s="130"/>
      <c r="B24" s="130"/>
      <c r="C24" s="130"/>
      <c r="D24" s="130"/>
      <c r="E24" s="130"/>
      <c r="F24" s="130"/>
      <c r="G24" s="130"/>
      <c r="H24" s="130"/>
      <c r="I24" s="130"/>
      <c r="J24" s="130"/>
      <c r="K24" s="130"/>
      <c r="L24" s="130"/>
      <c r="M24" s="130"/>
      <c r="N24" s="130"/>
      <c r="O24" s="130"/>
      <c r="P24" s="130"/>
      <c r="Q24" s="130"/>
    </row>
    <row r="25" spans="1:18" ht="17.25" customHeight="1" thickBot="1" x14ac:dyDescent="0.25">
      <c r="A25" s="122" t="s">
        <v>55</v>
      </c>
      <c r="B25" s="123"/>
      <c r="C25" s="123"/>
      <c r="D25" s="123"/>
      <c r="E25" s="123"/>
      <c r="F25" s="124"/>
      <c r="G25" s="125"/>
      <c r="H25" s="125"/>
      <c r="I25" s="125"/>
      <c r="J25" s="125"/>
      <c r="K25" s="125"/>
      <c r="L25" s="125"/>
      <c r="M25" s="125"/>
      <c r="N25" s="125"/>
      <c r="O25" s="125"/>
      <c r="P25" s="125"/>
      <c r="Q25" s="125"/>
    </row>
    <row r="26" spans="1:18" ht="18" customHeight="1" thickBot="1" x14ac:dyDescent="0.25">
      <c r="A26" s="126" t="s">
        <v>66</v>
      </c>
      <c r="B26" s="126"/>
      <c r="C26" s="126"/>
      <c r="D26" s="126"/>
      <c r="E26" s="126"/>
      <c r="F26" s="126"/>
      <c r="G26" s="126"/>
      <c r="H26" s="126"/>
      <c r="I26" s="126"/>
      <c r="J26" s="126"/>
      <c r="K26" s="126"/>
      <c r="L26" s="126"/>
      <c r="M26" s="126"/>
      <c r="N26" s="126"/>
      <c r="O26" s="126"/>
      <c r="P26" s="126"/>
      <c r="Q26" s="126"/>
    </row>
    <row r="27" spans="1:18" ht="21.75" customHeight="1" x14ac:dyDescent="0.2">
      <c r="A27" s="126"/>
      <c r="B27" s="126"/>
      <c r="C27" s="126"/>
      <c r="D27" s="126"/>
      <c r="E27" s="126"/>
      <c r="F27" s="126"/>
      <c r="G27" s="126"/>
      <c r="H27" s="126"/>
      <c r="I27" s="126"/>
      <c r="J27" s="126"/>
      <c r="K27" s="126"/>
      <c r="L27" s="126"/>
      <c r="M27" s="126"/>
      <c r="N27" s="126"/>
      <c r="O27" s="126"/>
      <c r="P27" s="126"/>
      <c r="Q27" s="126"/>
    </row>
    <row r="30" spans="1:18" x14ac:dyDescent="0.2">
      <c r="A30" s="47"/>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Laura</cp:lastModifiedBy>
  <cp:revision>2</cp:revision>
  <cp:lastPrinted>2020-12-03T16:46:59Z</cp:lastPrinted>
  <dcterms:created xsi:type="dcterms:W3CDTF">2020-07-17T23:44:49Z</dcterms:created>
  <dcterms:modified xsi:type="dcterms:W3CDTF">2021-03-25T12:27:20Z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