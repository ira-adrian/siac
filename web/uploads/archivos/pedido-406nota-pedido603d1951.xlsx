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Usuario\Desktop\DEBORAH\u2022\BATERIAS Y NEUMATICOS\"/>
    </mc:Choice>
  </mc:AlternateContent>
  <xr:revisionPtr revIDLastSave="0" documentId="13_ncr:1_{85666686-2246-44D1-82E6-E4DD85854BF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 " sheetId="3" r:id="rId1"/>
    <sheet name=" NotaPedido" sheetId="1" r:id="rId2"/>
    <sheet name="Autor Gastar" sheetId="2" r:id="rId3"/>
  </sheets>
  <definedNames>
    <definedName name="_xlnm.Print_Area" localSheetId="1">' NotaPedido'!$A$1:$K$17</definedName>
    <definedName name="_xlnm.Print_Area" localSheetId="2">'Autor Gastar'!$A$1:$Q$42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2" i="3" l="1"/>
  <c r="I15" i="3" l="1"/>
  <c r="I14" i="3"/>
  <c r="I13" i="3"/>
  <c r="I11" i="3" l="1"/>
  <c r="Q38" i="2" l="1"/>
</calcChain>
</file>

<file path=xl/sharedStrings.xml><?xml version="1.0" encoding="utf-8"?>
<sst xmlns="http://schemas.openxmlformats.org/spreadsheetml/2006/main" count="174" uniqueCount="99">
  <si>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</si>
  <si>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</si>
  <si>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</si>
  <si>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</si>
  <si>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</si>
  <si>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</si>
  <si>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</si>
  <si>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</si>
  <si>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</si>
  <si>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</si>
  <si>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</si>
  <si>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</si>
  <si>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</si>
  <si>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</si>
  <si>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</si>
  <si>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</si>
  <si>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</si>
  <si>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</si>
  <si>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</si>
  <si>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</si>
  <si>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</si>
  <si>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</si>
  <si>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</si>
  <si>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</si>
  <si>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</si>
  <si>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</si>
  <si>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</si>
  <si>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</si>
  <si>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</si>
  <si>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</si>
  <si>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</si>
  <si>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</si>
  <si>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</si>
  <si>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</si>
  <si>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</si>
  <si>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</si>
  <si>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UNIDAD 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</si>
  <si>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</si>
  <si>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</si>
  <si>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</si>
  <si>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</si>
  <si>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</si>
  <si>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</si>
  <si>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</si>
  <si>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</si>
  <si>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IMPORTE TOTRAL ESTIMADO</t>
  </si>
  <si>
    <t>Descripcion Técnica</t>
  </si>
  <si>
    <t>Plazos y lugares de entrega:</t>
  </si>
  <si>
    <t>Mantenmiento</t>
  </si>
  <si>
    <t>Garantia</t>
  </si>
  <si>
    <t>AV. VENEZUELA S/N - C.A.P.E - PABELLON N° 28 -SAN FERNANDO DEL VALLE DE CATAMARCA- CATAMARCA</t>
  </si>
  <si>
    <t>Pedido de Necesidades Trimestrales</t>
  </si>
  <si>
    <t>Canlidad Minima esperada</t>
  </si>
  <si>
    <t>2.4.4-6818.751</t>
  </si>
  <si>
    <t xml:space="preserve">62- MINISTERIO DE INCLUSION DIGITAL Y SISTEMAS PRODUCTIVOS </t>
  </si>
  <si>
    <t xml:space="preserve">MINISTERIO DE INCLUSION DIGITAL Y SISTEMAS PRODUCTIVOS </t>
  </si>
  <si>
    <t>NEUMATICOS; VEHICULO: CAMIONETA, CONSTRUCCION: RADIAL, ARMADO: S/CAMARA, MEDIDA: 245/65 R17</t>
  </si>
  <si>
    <t xml:space="preserve">JURISDICCION : 62- MINISTERIO DE INCLUSION DIGITAL Y SISTEMAS PRODUCTIVOS </t>
  </si>
  <si>
    <t>EJERCICIO: 2022</t>
  </si>
  <si>
    <t>NEUMATICOS CLASE TIERRA/ASFALTO</t>
  </si>
  <si>
    <r>
      <t>AUTORIZACIÓN</t>
    </r>
    <r>
      <rPr>
        <b/>
        <sz val="10"/>
        <rFont val="Arial"/>
        <family val="2"/>
        <charset val="1"/>
      </rPr>
      <t>:</t>
    </r>
  </si>
  <si>
    <t>30 DIAS</t>
  </si>
  <si>
    <t>33- DIRECCION PROVINCIAL DE ADMINISTRACION GENERAL</t>
  </si>
  <si>
    <t>1.1</t>
  </si>
  <si>
    <t>SI</t>
  </si>
  <si>
    <t xml:space="preserve">UNIDAD  </t>
  </si>
  <si>
    <t>SAF N°: 33- DIRECCION PROVINCIAL DE ADMINISTRACION GENERAL</t>
  </si>
  <si>
    <t>PY</t>
  </si>
  <si>
    <t>CUBIERTAS Y CAMARAS DE AIRE</t>
  </si>
  <si>
    <t>REPUESTOS</t>
  </si>
  <si>
    <t xml:space="preserve">PLAZO DE ENTREGA: 10 DIAS HABILES </t>
  </si>
  <si>
    <t>DEBERAN SER DE PRIMERA CALIDAD</t>
  </si>
  <si>
    <t>MINIMA DE DOS AÑOS DESDE LA FECHA DE FABRICACION DE LOS BIENES</t>
  </si>
  <si>
    <t>TRIMESTRE: 3</t>
  </si>
  <si>
    <t>2.4.4-6818.912</t>
  </si>
  <si>
    <t>NEUMATICOS; VEHICULO: CAMION, CONSTRUCCION: RADIAL, ARMADO: S/CAMARA, MEDIDA: 275/80 R22,5</t>
  </si>
  <si>
    <t>Especialidades item N° 1 y 2</t>
  </si>
  <si>
    <t>2.4.4</t>
  </si>
  <si>
    <t>3 - TRIMESTRE 2022</t>
  </si>
  <si>
    <t>Adquisicion de Neumaticos y Baterias para el Parque Automotor del Ministerio de Inclusion Digital y Sistemas Productivos</t>
  </si>
  <si>
    <t>Costo total estimado: CUATRO MILLONES NOVECIENTOS TREINTA Y OCHO MIL QUINIETOS QUINCE CON 12/100</t>
  </si>
  <si>
    <t>Adquisicion de Neumaticos y baterias para el Parque Automotor del Ministerio de Inclusion Digital y Sistemas Productivos</t>
  </si>
  <si>
    <t>TOTAL DE PESOS: CUATRO MILLONES NOVECIENTOS TREINTA Y OCHO MIL QUINIENTOS QUINCE CON 12/100</t>
  </si>
  <si>
    <t>Autorizo la realización de los  trámites correspondientes, a fin de (proveer a este Organismo los bienes que se detallan en Nota  de Pedido N°   / 2022) afectando la erogación resultante a los créditos presupuestarios aprobados a favor de esta Unidad Ejecutora, conforme al siguiente detalle:</t>
  </si>
  <si>
    <t>REPUESTOS Y ACCESORIOS</t>
  </si>
  <si>
    <t>CAPACIDAD: 75 A/H</t>
  </si>
  <si>
    <t xml:space="preserve">Especialidades item N° 3 </t>
  </si>
  <si>
    <t>Especialidades item N° 4</t>
  </si>
  <si>
    <t>CAPACIDAD: 100 A/H</t>
  </si>
  <si>
    <t>CAPACIDAD: 90 A/H</t>
  </si>
  <si>
    <t xml:space="preserve">Especialidades item N° 5 </t>
  </si>
  <si>
    <t>REP. Y ACC. P/AUTOMOTOR; REPUESTO: BATERIA, MARCA: FIAT, MODELO: STRADA</t>
  </si>
  <si>
    <t>2.9.6</t>
  </si>
  <si>
    <t>REP. Y ACC. P/CAMIONETAS; MARCA AUTOMOTOR: TOYOTA, MODELO AUTOMOTOR: HILUX, ELEMENTO: BATERIA</t>
  </si>
  <si>
    <t>2.9.6-9688.229</t>
  </si>
  <si>
    <t>REP. Y ACC. P/AUTOMOTOR; REPUESTO: BATERIA, MARCA: PAUNY, MODELO: 180C</t>
  </si>
  <si>
    <t>NEUMATICOS; VEHICULO: CAMION, CONSTRUCCION: CON TACO, ARMADO: SIN CAMARA, MEDIDA: 275 X 80 X 22,5 pulg</t>
  </si>
  <si>
    <t>2.9.6-4978.10000</t>
  </si>
  <si>
    <t>2.9.6-4978.10001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</si>
</sst>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[$$-2C0A]\ #,##0.00"/>
    <numFmt numFmtId="166" formatCode="dd\-mm\-yy;@"/>
    <numFmt numFmtId="167" formatCode="[$$-2C0A]\ #,##0.00;[$$-2C0A]&quot; -&quot;#,##0.00"/>
    <numFmt numFmtId="168" formatCode="&quot;$&quot;\ #,##0.00;[Red]&quot;$&quot;\ #,##0.00"/>
    <numFmt numFmtId="169" formatCode="#,##0.00;[Red]#,##0.00"/>
  </numFmts>
  <fonts count="3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rial"/>
      <charset val="1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5">
    <xf numFmtId="0" fontId="0" fillId="0" borderId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44" fontId="27" fillId="0" borderId="0" applyFont="0" applyFill="0" applyBorder="0" applyAlignment="0" applyProtection="0"/>
  </cellStyleXfs>
  <cellXfs count="146">
    <xf numFmtId="0" fontId="0" fillId="0" borderId="0" xfId="0"/>
    <xf numFmtId="0" fontId="4" fillId="0" borderId="0" xfId="0" applyFont="1" applyBorder="1" applyAlignment="1">
      <alignment vertical="center"/>
    </xf>
    <xf numFmtId="0" fontId="7" fillId="0" borderId="3" xfId="0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13" fillId="0" borderId="20" xfId="0" applyNumberFormat="1" applyFont="1" applyBorder="1" applyAlignment="1"/>
    <xf numFmtId="166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6" fontId="0" fillId="0" borderId="0" xfId="0" applyNumberFormat="1" applyBorder="1" applyAlignment="1">
      <alignment horizontal="left"/>
    </xf>
    <xf numFmtId="0" fontId="0" fillId="0" borderId="7" xfId="0" applyBorder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26" xfId="0" applyBorder="1"/>
    <xf numFmtId="0" fontId="17" fillId="0" borderId="30" xfId="0" applyFont="1" applyBorder="1" applyAlignment="1">
      <alignment horizontal="center" vertical="center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7" fontId="0" fillId="0" borderId="41" xfId="2" applyNumberFormat="1" applyFont="1" applyBorder="1" applyAlignment="1" applyProtection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7" fontId="0" fillId="0" borderId="45" xfId="2" applyNumberFormat="1" applyFont="1" applyBorder="1" applyAlignment="1" applyProtection="1">
      <alignment horizontal="center" vertical="center"/>
    </xf>
    <xf numFmtId="167" fontId="17" fillId="0" borderId="47" xfId="0" applyNumberFormat="1" applyFont="1" applyBorder="1" applyAlignment="1">
      <alignment horizontal="center" vertical="center"/>
    </xf>
    <xf numFmtId="167" fontId="18" fillId="0" borderId="36" xfId="2" applyNumberFormat="1" applyFont="1" applyBorder="1" applyAlignment="1" applyProtection="1">
      <alignment horizontal="center" vertical="center"/>
    </xf>
    <xf numFmtId="0" fontId="21" fillId="0" borderId="0" xfId="0" applyFont="1" applyBorder="1"/>
    <xf numFmtId="0" fontId="22" fillId="0" borderId="0" xfId="0" applyFont="1" applyBorder="1"/>
    <xf numFmtId="0" fontId="0" fillId="0" borderId="2" xfId="0" applyBorder="1"/>
    <xf numFmtId="0" fontId="0" fillId="0" borderId="49" xfId="0" applyBorder="1"/>
    <xf numFmtId="0" fontId="22" fillId="0" borderId="13" xfId="0" applyFont="1" applyBorder="1"/>
    <xf numFmtId="0" fontId="0" fillId="0" borderId="50" xfId="0" applyBorder="1"/>
    <xf numFmtId="0" fontId="22" fillId="0" borderId="51" xfId="0" applyFont="1" applyBorder="1"/>
    <xf numFmtId="0" fontId="0" fillId="0" borderId="51" xfId="0" applyBorder="1"/>
    <xf numFmtId="0" fontId="0" fillId="0" borderId="52" xfId="0" applyBorder="1"/>
    <xf numFmtId="0" fontId="23" fillId="0" borderId="0" xfId="0" applyFont="1" applyBorder="1"/>
    <xf numFmtId="0" fontId="20" fillId="0" borderId="0" xfId="0" applyFont="1"/>
    <xf numFmtId="0" fontId="25" fillId="0" borderId="15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18" fillId="0" borderId="33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/>
    </xf>
    <xf numFmtId="0" fontId="18" fillId="0" borderId="35" xfId="0" applyFont="1" applyFill="1" applyBorder="1" applyAlignment="1">
      <alignment horizontal="center" vertical="center"/>
    </xf>
    <xf numFmtId="167" fontId="18" fillId="0" borderId="41" xfId="2" applyNumberFormat="1" applyFont="1" applyBorder="1" applyAlignment="1" applyProtection="1">
      <alignment horizontal="center" vertical="center"/>
    </xf>
    <xf numFmtId="0" fontId="23" fillId="0" borderId="51" xfId="0" applyFont="1" applyBorder="1"/>
    <xf numFmtId="0" fontId="28" fillId="0" borderId="56" xfId="0" applyFont="1" applyBorder="1" applyAlignment="1">
      <alignment horizontal="center" vertical="center"/>
    </xf>
    <xf numFmtId="0" fontId="29" fillId="0" borderId="60" xfId="0" applyFont="1" applyBorder="1" applyAlignment="1">
      <alignment wrapText="1"/>
    </xf>
    <xf numFmtId="0" fontId="28" fillId="0" borderId="56" xfId="0" applyFont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 wrapText="1"/>
    </xf>
    <xf numFmtId="0" fontId="30" fillId="0" borderId="56" xfId="0" applyFont="1" applyBorder="1" applyAlignment="1">
      <alignment horizontal="left" vertical="center" wrapText="1"/>
    </xf>
    <xf numFmtId="168" fontId="30" fillId="0" borderId="56" xfId="0" applyNumberFormat="1" applyFont="1" applyBorder="1" applyAlignment="1">
      <alignment horizontal="center" vertical="center" wrapText="1"/>
    </xf>
    <xf numFmtId="168" fontId="30" fillId="0" borderId="56" xfId="4" applyNumberFormat="1" applyFont="1" applyBorder="1" applyAlignment="1">
      <alignment vertical="center"/>
    </xf>
    <xf numFmtId="0" fontId="30" fillId="0" borderId="56" xfId="0" applyFont="1" applyBorder="1" applyAlignment="1">
      <alignment horizontal="center" vertical="center"/>
    </xf>
    <xf numFmtId="165" fontId="0" fillId="0" borderId="0" xfId="0" applyNumberFormat="1"/>
    <xf numFmtId="167" fontId="21" fillId="0" borderId="41" xfId="2" applyNumberFormat="1" applyFont="1" applyBorder="1" applyAlignment="1" applyProtection="1">
      <alignment horizontal="center" vertical="center"/>
    </xf>
    <xf numFmtId="0" fontId="17" fillId="3" borderId="30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/>
    </xf>
    <xf numFmtId="0" fontId="30" fillId="3" borderId="56" xfId="0" applyFont="1" applyFill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 wrapText="1"/>
    </xf>
    <xf numFmtId="169" fontId="32" fillId="0" borderId="66" xfId="0" applyNumberFormat="1" applyFont="1" applyBorder="1" applyAlignment="1">
      <alignment horizontal="center" vertical="center" wrapText="1"/>
    </xf>
    <xf numFmtId="0" fontId="32" fillId="0" borderId="66" xfId="0" applyFont="1" applyBorder="1" applyAlignment="1">
      <alignment horizontal="center" vertical="center"/>
    </xf>
    <xf numFmtId="169" fontId="32" fillId="0" borderId="56" xfId="0" applyNumberFormat="1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67" xfId="0" applyFont="1" applyBorder="1" applyAlignment="1">
      <alignment horizontal="center" vertical="center"/>
    </xf>
    <xf numFmtId="0" fontId="30" fillId="3" borderId="56" xfId="0" applyFont="1" applyFill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/>
    </xf>
    <xf numFmtId="0" fontId="2" fillId="0" borderId="64" xfId="0" applyFont="1" applyBorder="1" applyAlignment="1">
      <alignment vertical="center" wrapText="1"/>
    </xf>
    <xf numFmtId="0" fontId="2" fillId="0" borderId="60" xfId="0" applyFont="1" applyBorder="1" applyAlignment="1">
      <alignment vertical="center" wrapText="1"/>
    </xf>
    <xf numFmtId="0" fontId="2" fillId="0" borderId="6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left" vertical="center" wrapText="1" indent="1"/>
    </xf>
    <xf numFmtId="165" fontId="26" fillId="0" borderId="17" xfId="0" applyNumberFormat="1" applyFont="1" applyBorder="1" applyAlignment="1">
      <alignment horizontal="center" vertical="center"/>
    </xf>
    <xf numFmtId="0" fontId="25" fillId="0" borderId="63" xfId="0" applyFont="1" applyBorder="1" applyAlignment="1">
      <alignment horizontal="left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0" fillId="0" borderId="65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0" fontId="25" fillId="0" borderId="62" xfId="0" applyFont="1" applyBorder="1" applyAlignment="1">
      <alignment vertical="center" wrapText="1"/>
    </xf>
    <xf numFmtId="0" fontId="25" fillId="0" borderId="48" xfId="0" applyFont="1" applyBorder="1" applyAlignment="1">
      <alignment vertical="center" wrapText="1"/>
    </xf>
    <xf numFmtId="0" fontId="25" fillId="0" borderId="53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 indent="1"/>
    </xf>
    <xf numFmtId="0" fontId="8" fillId="0" borderId="48" xfId="0" applyFont="1" applyBorder="1" applyAlignment="1">
      <alignment horizontal="left" vertical="center" wrapText="1" indent="1"/>
    </xf>
    <xf numFmtId="0" fontId="8" fillId="0" borderId="19" xfId="0" applyFont="1" applyBorder="1" applyAlignment="1">
      <alignment horizontal="left" vertical="center" wrapText="1" indent="1"/>
    </xf>
    <xf numFmtId="0" fontId="9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 indent="1"/>
    </xf>
    <xf numFmtId="0" fontId="9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5" fillId="0" borderId="17" xfId="0" applyFont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13" fillId="0" borderId="46" xfId="0" applyFont="1" applyBorder="1" applyAlignment="1">
      <alignment horizontal="left" vertical="center" wrapText="1"/>
    </xf>
    <xf numFmtId="0" fontId="0" fillId="0" borderId="24" xfId="0" applyBorder="1"/>
    <xf numFmtId="0" fontId="0" fillId="0" borderId="40" xfId="0" applyFont="1" applyBorder="1" applyAlignment="1">
      <alignment horizontal="center" vertical="center"/>
    </xf>
    <xf numFmtId="0" fontId="19" fillId="0" borderId="34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49" fontId="15" fillId="0" borderId="25" xfId="0" applyNumberFormat="1" applyFont="1" applyBorder="1" applyAlignment="1">
      <alignment horizontal="justify" vertical="center" wrapText="1"/>
    </xf>
    <xf numFmtId="0" fontId="17" fillId="0" borderId="24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0" fontId="11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indent="1"/>
    </xf>
    <xf numFmtId="0" fontId="0" fillId="0" borderId="18" xfId="0" applyFont="1" applyBorder="1" applyAlignment="1">
      <alignment horizontal="center"/>
    </xf>
    <xf numFmtId="3" fontId="13" fillId="0" borderId="19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4" fillId="0" borderId="21" xfId="0" applyFont="1" applyBorder="1"/>
    <xf numFmtId="0" fontId="1" fillId="0" borderId="64" xfId="0" applyFont="1" applyBorder="1" applyAlignment="1">
      <alignment horizontal="center" vertical="center" wrapText="1"/>
    </xf>
  </cellXfs>
  <cellStyles count="5">
    <cellStyle name="Encabezado 1" xfId="1" xr:uid="{00000000-0005-0000-0000-000000000000}"/>
    <cellStyle name="Moneda" xfId="4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70"/>
  <sheetViews>
    <sheetView tabSelected="1" workbookViewId="0">
      <selection activeCell="M14" sqref="M14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6" bestFit="1" customWidth="1"/>
    <col min="5" max="5" width="34" bestFit="1" customWidth="1"/>
    <col min="7" max="7" width="13.42578125" customWidth="1"/>
    <col min="8" max="8" width="11.5703125" bestFit="1" customWidth="1"/>
    <col min="9" max="9" width="14.42578125" bestFit="1" customWidth="1"/>
  </cols>
  <sheetData>
    <row r="2" spans="1:9" ht="18" x14ac:dyDescent="0.2">
      <c r="B2" s="95" t="s">
        <v>51</v>
      </c>
      <c r="C2" s="95"/>
      <c r="D2" s="95"/>
      <c r="E2" s="95"/>
      <c r="F2" s="95"/>
      <c r="G2" s="95"/>
      <c r="H2" s="95"/>
      <c r="I2" s="95"/>
    </row>
    <row r="4" spans="1:9" x14ac:dyDescent="0.2">
      <c r="A4" s="56" t="s">
        <v>57</v>
      </c>
      <c r="B4" s="56"/>
      <c r="C4" s="56"/>
      <c r="D4" s="56"/>
      <c r="E4" s="56"/>
      <c r="F4" s="56"/>
      <c r="G4" s="56"/>
      <c r="H4" s="56"/>
      <c r="I4" s="56"/>
    </row>
    <row r="5" spans="1:9" x14ac:dyDescent="0.2">
      <c r="A5" s="56" t="s">
        <v>66</v>
      </c>
      <c r="B5" s="56"/>
      <c r="C5" s="56"/>
      <c r="D5" s="56"/>
      <c r="E5" s="56"/>
      <c r="F5" s="56"/>
      <c r="G5" s="56"/>
      <c r="H5" s="56"/>
      <c r="I5" s="56"/>
    </row>
    <row r="6" spans="1:9" x14ac:dyDescent="0.2">
      <c r="A6" s="56" t="s">
        <v>58</v>
      </c>
      <c r="B6" s="56"/>
      <c r="C6" s="56"/>
      <c r="D6" s="56"/>
      <c r="E6" s="56"/>
      <c r="F6" s="56"/>
      <c r="G6" s="56"/>
      <c r="H6" s="56"/>
      <c r="I6" s="56"/>
    </row>
    <row r="7" spans="1:9" x14ac:dyDescent="0.2">
      <c r="A7" s="56" t="s">
        <v>73</v>
      </c>
      <c r="B7" s="56"/>
      <c r="C7" s="56"/>
      <c r="D7" s="56"/>
      <c r="E7" s="56"/>
      <c r="F7" s="56"/>
      <c r="G7" s="56"/>
      <c r="H7" s="56"/>
      <c r="I7" s="56"/>
    </row>
    <row r="8" spans="1:9" x14ac:dyDescent="0.2">
      <c r="A8" s="56"/>
      <c r="B8" s="56"/>
      <c r="C8" s="56"/>
      <c r="D8" s="56"/>
      <c r="E8" s="56"/>
      <c r="F8" s="56"/>
      <c r="G8" s="56"/>
      <c r="H8" s="56"/>
      <c r="I8" s="56"/>
    </row>
    <row r="9" spans="1:9" ht="13.5" thickBot="1" x14ac:dyDescent="0.25">
      <c r="A9" s="56"/>
      <c r="B9" s="56"/>
      <c r="C9" s="56"/>
      <c r="D9" s="56"/>
      <c r="E9" s="56"/>
      <c r="F9" s="56"/>
      <c r="G9" s="56"/>
      <c r="H9" s="56"/>
      <c r="I9" s="56"/>
    </row>
    <row r="10" spans="1:9" ht="38.25" customHeight="1" x14ac:dyDescent="0.2">
      <c r="A10" s="58" t="s">
        <v>37</v>
      </c>
      <c r="B10" s="91" t="s">
        <v>38</v>
      </c>
      <c r="C10" s="59" t="s">
        <v>39</v>
      </c>
      <c r="D10" s="59" t="s">
        <v>40</v>
      </c>
      <c r="E10" s="59" t="s">
        <v>41</v>
      </c>
      <c r="F10" s="60" t="s">
        <v>42</v>
      </c>
      <c r="G10" s="59" t="s">
        <v>43</v>
      </c>
      <c r="H10" s="60" t="s">
        <v>44</v>
      </c>
      <c r="I10" s="61" t="s">
        <v>45</v>
      </c>
    </row>
    <row r="11" spans="1:9" ht="38.25" customHeight="1" x14ac:dyDescent="0.2">
      <c r="A11" s="67">
        <v>1</v>
      </c>
      <c r="B11" s="145" t="s">
        <v>53</v>
      </c>
      <c r="C11" s="67" t="s">
        <v>69</v>
      </c>
      <c r="D11" s="67" t="s">
        <v>77</v>
      </c>
      <c r="E11" s="68" t="s">
        <v>56</v>
      </c>
      <c r="F11" s="69" t="s">
        <v>36</v>
      </c>
      <c r="G11" s="74">
        <v>24</v>
      </c>
      <c r="H11" s="72">
        <v>101250</v>
      </c>
      <c r="I11" s="72">
        <f>H11*G11</f>
        <v>2430000</v>
      </c>
    </row>
    <row r="12" spans="1:9" ht="51.75" customHeight="1" x14ac:dyDescent="0.2">
      <c r="A12" s="67">
        <v>2</v>
      </c>
      <c r="B12" s="94" t="s">
        <v>74</v>
      </c>
      <c r="C12" s="67" t="s">
        <v>69</v>
      </c>
      <c r="D12" s="67" t="s">
        <v>77</v>
      </c>
      <c r="E12" s="68" t="s">
        <v>96</v>
      </c>
      <c r="F12" s="69" t="s">
        <v>36</v>
      </c>
      <c r="G12" s="74">
        <v>6</v>
      </c>
      <c r="H12" s="72">
        <v>228702.52</v>
      </c>
      <c r="I12" s="72">
        <f>+H12*G12</f>
        <v>1372215.1199999999</v>
      </c>
    </row>
    <row r="13" spans="1:9" ht="49.5" customHeight="1" x14ac:dyDescent="0.2">
      <c r="A13" s="67">
        <v>3</v>
      </c>
      <c r="B13" s="89" t="s">
        <v>97</v>
      </c>
      <c r="C13" s="67" t="s">
        <v>69</v>
      </c>
      <c r="D13" s="67" t="s">
        <v>92</v>
      </c>
      <c r="E13" s="71" t="s">
        <v>91</v>
      </c>
      <c r="F13" s="69" t="s">
        <v>36</v>
      </c>
      <c r="G13" s="70">
        <v>6</v>
      </c>
      <c r="H13" s="72">
        <v>36800</v>
      </c>
      <c r="I13" s="73">
        <f t="shared" ref="I13:I14" si="0">+G13*H13</f>
        <v>220800</v>
      </c>
    </row>
    <row r="14" spans="1:9" ht="38.25" customHeight="1" x14ac:dyDescent="0.2">
      <c r="A14" s="67">
        <v>4</v>
      </c>
      <c r="B14" s="88" t="s">
        <v>98</v>
      </c>
      <c r="C14" s="67" t="s">
        <v>69</v>
      </c>
      <c r="D14" s="67" t="s">
        <v>92</v>
      </c>
      <c r="E14" s="90" t="s">
        <v>95</v>
      </c>
      <c r="F14" s="69" t="s">
        <v>36</v>
      </c>
      <c r="G14" s="70">
        <v>5</v>
      </c>
      <c r="H14" s="72">
        <v>51700</v>
      </c>
      <c r="I14" s="73">
        <f t="shared" si="0"/>
        <v>258500</v>
      </c>
    </row>
    <row r="15" spans="1:9" ht="47.25" customHeight="1" x14ac:dyDescent="0.2">
      <c r="A15" s="67">
        <v>5</v>
      </c>
      <c r="B15" s="81" t="s">
        <v>94</v>
      </c>
      <c r="C15" s="67" t="s">
        <v>69</v>
      </c>
      <c r="D15" s="67" t="s">
        <v>92</v>
      </c>
      <c r="E15" s="71" t="s">
        <v>93</v>
      </c>
      <c r="F15" s="69" t="s">
        <v>36</v>
      </c>
      <c r="G15" s="70">
        <v>15</v>
      </c>
      <c r="H15" s="72">
        <v>43800</v>
      </c>
      <c r="I15" s="73">
        <f xml:space="preserve"> +G15*H15</f>
        <v>657000</v>
      </c>
    </row>
    <row r="17" spans="2:10" x14ac:dyDescent="0.2">
      <c r="J17" s="17"/>
    </row>
    <row r="18" spans="2:10" x14ac:dyDescent="0.2">
      <c r="J18" s="17"/>
    </row>
    <row r="19" spans="2:10" ht="13.5" thickBot="1" x14ac:dyDescent="0.25">
      <c r="J19" s="17"/>
    </row>
    <row r="20" spans="2:10" x14ac:dyDescent="0.2">
      <c r="B20" s="48"/>
      <c r="C20" s="15"/>
      <c r="D20" s="15"/>
      <c r="E20" s="15"/>
      <c r="F20" s="15"/>
      <c r="G20" s="15"/>
      <c r="H20" s="15"/>
      <c r="I20" s="49"/>
      <c r="J20" s="17"/>
    </row>
    <row r="21" spans="2:10" x14ac:dyDescent="0.2">
      <c r="B21" s="50" t="s">
        <v>76</v>
      </c>
      <c r="C21" s="17"/>
      <c r="D21" s="17"/>
      <c r="E21" s="17"/>
      <c r="F21" s="17"/>
      <c r="G21" s="17"/>
      <c r="H21" s="17"/>
      <c r="I21" s="20"/>
      <c r="J21" s="17"/>
    </row>
    <row r="22" spans="2:10" x14ac:dyDescent="0.2">
      <c r="B22" s="16"/>
      <c r="C22" s="17"/>
      <c r="D22" s="17"/>
      <c r="E22" s="17"/>
      <c r="F22" s="17"/>
      <c r="G22" s="17"/>
      <c r="H22" s="17"/>
      <c r="I22" s="20"/>
      <c r="J22" s="17"/>
    </row>
    <row r="23" spans="2:10" x14ac:dyDescent="0.2">
      <c r="B23" s="16"/>
      <c r="C23" s="47" t="s">
        <v>46</v>
      </c>
      <c r="D23" s="17"/>
      <c r="E23" s="17"/>
      <c r="F23" s="17"/>
      <c r="G23" s="17"/>
      <c r="H23" s="17"/>
      <c r="I23" s="20"/>
      <c r="J23" s="17"/>
    </row>
    <row r="24" spans="2:10" x14ac:dyDescent="0.2">
      <c r="B24" s="16"/>
      <c r="C24" s="17"/>
      <c r="D24" s="55" t="s">
        <v>59</v>
      </c>
      <c r="E24" s="17"/>
      <c r="F24" s="17"/>
      <c r="G24" s="17"/>
      <c r="H24" s="17"/>
      <c r="I24" s="20"/>
      <c r="J24" s="17"/>
    </row>
    <row r="25" spans="2:10" x14ac:dyDescent="0.2">
      <c r="B25" s="16"/>
      <c r="C25" s="47" t="s">
        <v>47</v>
      </c>
      <c r="D25" s="17"/>
      <c r="E25" s="17"/>
      <c r="F25" s="17"/>
      <c r="G25" s="17"/>
      <c r="H25" s="17"/>
      <c r="I25" s="20"/>
      <c r="J25" s="17"/>
    </row>
    <row r="26" spans="2:10" x14ac:dyDescent="0.2">
      <c r="B26" s="16"/>
      <c r="C26" s="46"/>
      <c r="D26" s="55" t="s">
        <v>70</v>
      </c>
      <c r="E26" s="17"/>
      <c r="F26" s="17"/>
      <c r="G26" s="17"/>
      <c r="H26" s="17"/>
      <c r="I26" s="20"/>
      <c r="J26" s="17"/>
    </row>
    <row r="27" spans="2:10" x14ac:dyDescent="0.2">
      <c r="B27" s="16"/>
      <c r="C27" s="46"/>
      <c r="D27" s="55" t="s">
        <v>50</v>
      </c>
      <c r="E27" s="17"/>
      <c r="F27" s="17"/>
      <c r="G27" s="17"/>
      <c r="H27" s="17"/>
      <c r="I27" s="20"/>
      <c r="J27" s="17"/>
    </row>
    <row r="28" spans="2:10" x14ac:dyDescent="0.2">
      <c r="B28" s="16"/>
      <c r="C28" s="46"/>
      <c r="D28" s="17"/>
      <c r="E28" s="17"/>
      <c r="F28" s="17"/>
      <c r="G28" s="17"/>
      <c r="H28" s="17"/>
      <c r="I28" s="20"/>
      <c r="J28" s="17"/>
    </row>
    <row r="29" spans="2:10" x14ac:dyDescent="0.2">
      <c r="B29" s="16"/>
      <c r="C29" s="47" t="s">
        <v>52</v>
      </c>
      <c r="D29" s="55" t="s">
        <v>71</v>
      </c>
      <c r="E29" s="17"/>
      <c r="F29" s="17"/>
      <c r="G29" s="17"/>
      <c r="H29" s="17"/>
      <c r="I29" s="20"/>
    </row>
    <row r="30" spans="2:10" x14ac:dyDescent="0.2">
      <c r="B30" s="16"/>
      <c r="C30" s="47" t="s">
        <v>48</v>
      </c>
      <c r="D30" s="55" t="s">
        <v>61</v>
      </c>
      <c r="E30" s="17"/>
      <c r="F30" s="17"/>
      <c r="G30" s="17"/>
      <c r="H30" s="17"/>
      <c r="I30" s="20"/>
    </row>
    <row r="31" spans="2:10" ht="13.5" thickBot="1" x14ac:dyDescent="0.25">
      <c r="B31" s="51"/>
      <c r="C31" s="52" t="s">
        <v>49</v>
      </c>
      <c r="D31" s="66" t="s">
        <v>72</v>
      </c>
      <c r="E31" s="53"/>
      <c r="F31" s="53"/>
      <c r="G31" s="53"/>
      <c r="H31" s="53"/>
      <c r="I31" s="54"/>
    </row>
    <row r="32" spans="2:10" ht="13.5" thickBot="1" x14ac:dyDescent="0.25"/>
    <row r="33" spans="2:9" x14ac:dyDescent="0.2">
      <c r="B33" s="48"/>
      <c r="C33" s="15"/>
      <c r="D33" s="15"/>
      <c r="E33" s="15"/>
      <c r="F33" s="15"/>
      <c r="G33" s="15"/>
      <c r="H33" s="15"/>
      <c r="I33" s="49"/>
    </row>
    <row r="34" spans="2:9" x14ac:dyDescent="0.2">
      <c r="B34" s="50" t="s">
        <v>86</v>
      </c>
      <c r="C34" s="17"/>
      <c r="D34" s="17"/>
      <c r="E34" s="17"/>
      <c r="F34" s="17"/>
      <c r="G34" s="17"/>
      <c r="H34" s="17"/>
      <c r="I34" s="20"/>
    </row>
    <row r="35" spans="2:9" x14ac:dyDescent="0.2">
      <c r="B35" s="16"/>
      <c r="C35" s="17"/>
      <c r="D35" s="17"/>
      <c r="E35" s="17"/>
      <c r="F35" s="17"/>
      <c r="G35" s="17"/>
      <c r="H35" s="17"/>
      <c r="I35" s="20"/>
    </row>
    <row r="36" spans="2:9" x14ac:dyDescent="0.2">
      <c r="B36" s="16"/>
      <c r="C36" s="47" t="s">
        <v>46</v>
      </c>
      <c r="D36" s="17"/>
      <c r="E36" s="17"/>
      <c r="F36" s="17"/>
      <c r="G36" s="17"/>
      <c r="H36" s="17"/>
      <c r="I36" s="20"/>
    </row>
    <row r="37" spans="2:9" x14ac:dyDescent="0.2">
      <c r="B37" s="16"/>
      <c r="C37" s="17"/>
      <c r="D37" s="55" t="s">
        <v>85</v>
      </c>
      <c r="E37" s="17"/>
      <c r="F37" s="17"/>
      <c r="G37" s="17"/>
      <c r="H37" s="17"/>
      <c r="I37" s="20"/>
    </row>
    <row r="38" spans="2:9" x14ac:dyDescent="0.2">
      <c r="B38" s="16"/>
      <c r="C38" s="47" t="s">
        <v>47</v>
      </c>
      <c r="D38" s="17"/>
      <c r="E38" s="17"/>
      <c r="F38" s="17"/>
      <c r="G38" s="17"/>
      <c r="H38" s="17"/>
      <c r="I38" s="20"/>
    </row>
    <row r="39" spans="2:9" x14ac:dyDescent="0.2">
      <c r="B39" s="16"/>
      <c r="C39" s="46"/>
      <c r="D39" s="55" t="s">
        <v>70</v>
      </c>
      <c r="E39" s="17"/>
      <c r="F39" s="17"/>
      <c r="G39" s="17"/>
      <c r="H39" s="17"/>
      <c r="I39" s="20"/>
    </row>
    <row r="40" spans="2:9" x14ac:dyDescent="0.2">
      <c r="B40" s="16"/>
      <c r="C40" s="46"/>
      <c r="D40" s="55" t="s">
        <v>50</v>
      </c>
      <c r="E40" s="17"/>
      <c r="F40" s="17"/>
      <c r="G40" s="17"/>
      <c r="H40" s="17"/>
      <c r="I40" s="20"/>
    </row>
    <row r="41" spans="2:9" x14ac:dyDescent="0.2">
      <c r="B41" s="16"/>
      <c r="C41" s="46"/>
      <c r="D41" s="17"/>
      <c r="E41" s="17"/>
      <c r="F41" s="17"/>
      <c r="G41" s="17"/>
      <c r="H41" s="17"/>
      <c r="I41" s="20"/>
    </row>
    <row r="42" spans="2:9" x14ac:dyDescent="0.2">
      <c r="B42" s="16"/>
      <c r="C42" s="47" t="s">
        <v>52</v>
      </c>
      <c r="D42" s="55" t="s">
        <v>71</v>
      </c>
      <c r="E42" s="17"/>
      <c r="F42" s="17"/>
      <c r="G42" s="17"/>
      <c r="H42" s="17"/>
      <c r="I42" s="20"/>
    </row>
    <row r="43" spans="2:9" x14ac:dyDescent="0.2">
      <c r="B43" s="16"/>
      <c r="C43" s="47" t="s">
        <v>48</v>
      </c>
      <c r="D43" s="55" t="s">
        <v>61</v>
      </c>
      <c r="E43" s="17"/>
      <c r="F43" s="17"/>
      <c r="G43" s="17"/>
      <c r="H43" s="17"/>
      <c r="I43" s="20"/>
    </row>
    <row r="44" spans="2:9" ht="13.5" thickBot="1" x14ac:dyDescent="0.25">
      <c r="B44" s="51"/>
      <c r="C44" s="52" t="s">
        <v>49</v>
      </c>
      <c r="D44" s="66" t="s">
        <v>72</v>
      </c>
      <c r="E44" s="53"/>
      <c r="F44" s="53"/>
      <c r="G44" s="53"/>
      <c r="H44" s="53"/>
      <c r="I44" s="54"/>
    </row>
    <row r="45" spans="2:9" ht="13.5" thickBot="1" x14ac:dyDescent="0.25"/>
    <row r="46" spans="2:9" x14ac:dyDescent="0.2">
      <c r="B46" s="48"/>
      <c r="C46" s="15"/>
      <c r="D46" s="15"/>
      <c r="E46" s="15"/>
      <c r="F46" s="15"/>
      <c r="G46" s="15"/>
      <c r="H46" s="15"/>
      <c r="I46" s="49"/>
    </row>
    <row r="47" spans="2:9" x14ac:dyDescent="0.2">
      <c r="B47" s="50" t="s">
        <v>87</v>
      </c>
      <c r="C47" s="17"/>
      <c r="D47" s="17"/>
      <c r="E47" s="17"/>
      <c r="F47" s="17"/>
      <c r="G47" s="17"/>
      <c r="H47" s="17"/>
      <c r="I47" s="20"/>
    </row>
    <row r="48" spans="2:9" x14ac:dyDescent="0.2">
      <c r="B48" s="16"/>
      <c r="C48" s="17"/>
      <c r="D48" s="17"/>
      <c r="E48" s="17"/>
      <c r="F48" s="17"/>
      <c r="G48" s="17"/>
      <c r="H48" s="17"/>
      <c r="I48" s="20"/>
    </row>
    <row r="49" spans="2:9" x14ac:dyDescent="0.2">
      <c r="B49" s="16"/>
      <c r="C49" s="47" t="s">
        <v>46</v>
      </c>
      <c r="D49" s="17"/>
      <c r="E49" s="17"/>
      <c r="F49" s="17"/>
      <c r="G49" s="17"/>
      <c r="H49" s="17"/>
      <c r="I49" s="20"/>
    </row>
    <row r="50" spans="2:9" x14ac:dyDescent="0.2">
      <c r="B50" s="16"/>
      <c r="C50" s="17"/>
      <c r="D50" s="55" t="s">
        <v>88</v>
      </c>
      <c r="E50" s="17"/>
      <c r="F50" s="17"/>
      <c r="G50" s="17"/>
      <c r="H50" s="17"/>
      <c r="I50" s="20"/>
    </row>
    <row r="51" spans="2:9" x14ac:dyDescent="0.2">
      <c r="B51" s="16"/>
      <c r="C51" s="47" t="s">
        <v>47</v>
      </c>
      <c r="D51" s="17"/>
      <c r="E51" s="17"/>
      <c r="F51" s="17"/>
      <c r="G51" s="17"/>
      <c r="H51" s="17"/>
      <c r="I51" s="20"/>
    </row>
    <row r="52" spans="2:9" x14ac:dyDescent="0.2">
      <c r="B52" s="16"/>
      <c r="C52" s="46"/>
      <c r="D52" s="55" t="s">
        <v>70</v>
      </c>
      <c r="E52" s="17"/>
      <c r="F52" s="17"/>
      <c r="G52" s="17"/>
      <c r="H52" s="17"/>
      <c r="I52" s="20"/>
    </row>
    <row r="53" spans="2:9" x14ac:dyDescent="0.2">
      <c r="B53" s="16"/>
      <c r="C53" s="46"/>
      <c r="D53" s="55" t="s">
        <v>50</v>
      </c>
      <c r="E53" s="17"/>
      <c r="F53" s="17"/>
      <c r="G53" s="17"/>
      <c r="H53" s="17"/>
      <c r="I53" s="20"/>
    </row>
    <row r="54" spans="2:9" x14ac:dyDescent="0.2">
      <c r="B54" s="16"/>
      <c r="C54" s="46"/>
      <c r="D54" s="17"/>
      <c r="E54" s="17"/>
      <c r="F54" s="17"/>
      <c r="G54" s="17"/>
      <c r="H54" s="17"/>
      <c r="I54" s="20"/>
    </row>
    <row r="55" spans="2:9" x14ac:dyDescent="0.2">
      <c r="B55" s="16"/>
      <c r="C55" s="47" t="s">
        <v>52</v>
      </c>
      <c r="D55" s="55" t="s">
        <v>71</v>
      </c>
      <c r="E55" s="17"/>
      <c r="F55" s="17"/>
      <c r="G55" s="17"/>
      <c r="H55" s="17"/>
      <c r="I55" s="20"/>
    </row>
    <row r="56" spans="2:9" x14ac:dyDescent="0.2">
      <c r="B56" s="16"/>
      <c r="C56" s="47" t="s">
        <v>48</v>
      </c>
      <c r="D56" s="55" t="s">
        <v>61</v>
      </c>
      <c r="E56" s="17"/>
      <c r="F56" s="17"/>
      <c r="G56" s="17"/>
      <c r="H56" s="17"/>
      <c r="I56" s="20"/>
    </row>
    <row r="57" spans="2:9" ht="13.5" thickBot="1" x14ac:dyDescent="0.25">
      <c r="B57" s="51"/>
      <c r="C57" s="52" t="s">
        <v>49</v>
      </c>
      <c r="D57" s="66" t="s">
        <v>72</v>
      </c>
      <c r="E57" s="53"/>
      <c r="F57" s="53"/>
      <c r="G57" s="53"/>
      <c r="H57" s="53"/>
      <c r="I57" s="54"/>
    </row>
    <row r="58" spans="2:9" ht="13.5" thickBot="1" x14ac:dyDescent="0.25"/>
    <row r="59" spans="2:9" x14ac:dyDescent="0.2">
      <c r="B59" s="48"/>
      <c r="C59" s="15"/>
      <c r="D59" s="15"/>
      <c r="E59" s="15"/>
      <c r="F59" s="15"/>
      <c r="G59" s="15"/>
      <c r="H59" s="15"/>
      <c r="I59" s="49"/>
    </row>
    <row r="60" spans="2:9" x14ac:dyDescent="0.2">
      <c r="B60" s="50" t="s">
        <v>90</v>
      </c>
      <c r="C60" s="17"/>
      <c r="D60" s="17"/>
      <c r="E60" s="17"/>
      <c r="F60" s="17"/>
      <c r="G60" s="17"/>
      <c r="H60" s="17"/>
      <c r="I60" s="20"/>
    </row>
    <row r="61" spans="2:9" x14ac:dyDescent="0.2">
      <c r="B61" s="16"/>
      <c r="C61" s="17"/>
      <c r="D61" s="17"/>
      <c r="E61" s="17"/>
      <c r="F61" s="17"/>
      <c r="G61" s="17"/>
      <c r="H61" s="17"/>
      <c r="I61" s="20"/>
    </row>
    <row r="62" spans="2:9" x14ac:dyDescent="0.2">
      <c r="B62" s="16"/>
      <c r="C62" s="47" t="s">
        <v>46</v>
      </c>
      <c r="D62" s="17"/>
      <c r="E62" s="17"/>
      <c r="F62" s="17"/>
      <c r="G62" s="17"/>
      <c r="H62" s="17"/>
      <c r="I62" s="20"/>
    </row>
    <row r="63" spans="2:9" x14ac:dyDescent="0.2">
      <c r="B63" s="16"/>
      <c r="C63" s="17"/>
      <c r="D63" s="55" t="s">
        <v>89</v>
      </c>
      <c r="E63" s="17"/>
      <c r="F63" s="17"/>
      <c r="G63" s="17"/>
      <c r="H63" s="17"/>
      <c r="I63" s="20"/>
    </row>
    <row r="64" spans="2:9" x14ac:dyDescent="0.2">
      <c r="B64" s="16"/>
      <c r="C64" s="47" t="s">
        <v>47</v>
      </c>
      <c r="D64" s="17"/>
      <c r="E64" s="17"/>
      <c r="F64" s="17"/>
      <c r="G64" s="17"/>
      <c r="H64" s="17"/>
      <c r="I64" s="20"/>
    </row>
    <row r="65" spans="2:9" x14ac:dyDescent="0.2">
      <c r="B65" s="16"/>
      <c r="C65" s="46"/>
      <c r="D65" s="55" t="s">
        <v>70</v>
      </c>
      <c r="E65" s="17"/>
      <c r="F65" s="17"/>
      <c r="G65" s="17"/>
      <c r="H65" s="17"/>
      <c r="I65" s="20"/>
    </row>
    <row r="66" spans="2:9" x14ac:dyDescent="0.2">
      <c r="B66" s="16"/>
      <c r="C66" s="46"/>
      <c r="D66" s="55" t="s">
        <v>50</v>
      </c>
      <c r="E66" s="17"/>
      <c r="F66" s="17"/>
      <c r="G66" s="17"/>
      <c r="H66" s="17"/>
      <c r="I66" s="20"/>
    </row>
    <row r="67" spans="2:9" x14ac:dyDescent="0.2">
      <c r="B67" s="16"/>
      <c r="C67" s="46"/>
      <c r="D67" s="17"/>
      <c r="E67" s="17"/>
      <c r="F67" s="17"/>
      <c r="G67" s="17"/>
      <c r="H67" s="17"/>
      <c r="I67" s="20"/>
    </row>
    <row r="68" spans="2:9" x14ac:dyDescent="0.2">
      <c r="B68" s="16"/>
      <c r="C68" s="47" t="s">
        <v>52</v>
      </c>
      <c r="D68" s="55" t="s">
        <v>71</v>
      </c>
      <c r="E68" s="17"/>
      <c r="F68" s="17"/>
      <c r="G68" s="17"/>
      <c r="H68" s="17"/>
      <c r="I68" s="20"/>
    </row>
    <row r="69" spans="2:9" x14ac:dyDescent="0.2">
      <c r="B69" s="16"/>
      <c r="C69" s="47" t="s">
        <v>48</v>
      </c>
      <c r="D69" s="55" t="s">
        <v>61</v>
      </c>
      <c r="E69" s="17"/>
      <c r="F69" s="17"/>
      <c r="G69" s="17"/>
      <c r="H69" s="17"/>
      <c r="I69" s="20"/>
    </row>
    <row r="70" spans="2:9" ht="13.5" thickBot="1" x14ac:dyDescent="0.25">
      <c r="B70" s="51"/>
      <c r="C70" s="52" t="s">
        <v>49</v>
      </c>
      <c r="D70" s="66" t="s">
        <v>72</v>
      </c>
      <c r="E70" s="53"/>
      <c r="F70" s="53"/>
      <c r="G70" s="53"/>
      <c r="H70" s="53"/>
      <c r="I70" s="54"/>
    </row>
  </sheetData>
  <mergeCells count="1">
    <mergeCell ref="B2:I2"/>
  </mergeCells>
  <phoneticPr fontId="31" type="noConversion"/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80" zoomScaleNormal="80" workbookViewId="0">
      <selection activeCell="D8" sqref="D8:K8"/>
    </sheetView>
  </sheetViews>
  <sheetFormatPr baseColWidth="10" defaultColWidth="9.140625" defaultRowHeight="12.75" x14ac:dyDescent="0.2"/>
  <cols>
    <col min="1" max="1" width="5.5703125" style="1" customWidth="1"/>
    <col min="2" max="2" width="16.57031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121" t="s">
        <v>0</v>
      </c>
      <c r="B1" s="121"/>
      <c r="C1" s="121"/>
      <c r="D1" s="121"/>
      <c r="E1" s="121"/>
      <c r="F1" s="121"/>
      <c r="G1" s="121"/>
      <c r="H1" s="121"/>
      <c r="I1" s="121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114" t="s">
        <v>2</v>
      </c>
      <c r="B3" s="114"/>
      <c r="C3" s="114"/>
      <c r="D3" s="111" t="s">
        <v>54</v>
      </c>
      <c r="E3" s="112"/>
      <c r="F3" s="112"/>
      <c r="G3" s="112"/>
      <c r="H3" s="112"/>
      <c r="I3" s="112"/>
      <c r="J3" s="112"/>
      <c r="K3" s="113"/>
    </row>
    <row r="4" spans="1:11" ht="18.75" customHeight="1" thickBot="1" x14ac:dyDescent="0.25">
      <c r="A4" s="110" t="s">
        <v>3</v>
      </c>
      <c r="B4" s="110"/>
      <c r="C4" s="110"/>
      <c r="D4" s="111" t="s">
        <v>62</v>
      </c>
      <c r="E4" s="112"/>
      <c r="F4" s="112"/>
      <c r="G4" s="112"/>
      <c r="H4" s="112"/>
      <c r="I4" s="112"/>
      <c r="J4" s="112"/>
      <c r="K4" s="113"/>
    </row>
    <row r="5" spans="1:11" ht="18.75" customHeight="1" thickBot="1" x14ac:dyDescent="0.25">
      <c r="A5" s="110" t="s">
        <v>4</v>
      </c>
      <c r="B5" s="110"/>
      <c r="C5" s="110"/>
      <c r="D5" s="111" t="s">
        <v>55</v>
      </c>
      <c r="E5" s="112"/>
      <c r="F5" s="112"/>
      <c r="G5" s="112"/>
      <c r="H5" s="112"/>
      <c r="I5" s="112"/>
      <c r="J5" s="112"/>
      <c r="K5" s="113"/>
    </row>
    <row r="6" spans="1:11" ht="16.5" customHeight="1" thickBot="1" x14ac:dyDescent="0.25">
      <c r="A6" s="114" t="s">
        <v>5</v>
      </c>
      <c r="B6" s="114"/>
      <c r="C6" s="114"/>
      <c r="D6" s="111" t="s">
        <v>55</v>
      </c>
      <c r="E6" s="112"/>
      <c r="F6" s="112"/>
      <c r="G6" s="112"/>
      <c r="H6" s="112"/>
      <c r="I6" s="112"/>
      <c r="J6" s="112"/>
      <c r="K6" s="113"/>
    </row>
    <row r="7" spans="1:11" ht="16.5" customHeight="1" thickBot="1" x14ac:dyDescent="0.25">
      <c r="A7" s="110" t="s">
        <v>6</v>
      </c>
      <c r="B7" s="110"/>
      <c r="C7" s="110"/>
      <c r="D7" s="115" t="s">
        <v>78</v>
      </c>
      <c r="E7" s="115"/>
      <c r="F7" s="115"/>
      <c r="G7" s="115"/>
      <c r="H7" s="115"/>
      <c r="I7" s="115"/>
      <c r="J7" s="115"/>
      <c r="K7" s="115"/>
    </row>
    <row r="8" spans="1:11" ht="40.5" customHeight="1" thickBot="1" x14ac:dyDescent="0.25">
      <c r="A8" s="116" t="s">
        <v>7</v>
      </c>
      <c r="B8" s="116"/>
      <c r="C8" s="116"/>
      <c r="D8" s="117" t="s">
        <v>79</v>
      </c>
      <c r="E8" s="117"/>
      <c r="F8" s="117"/>
      <c r="G8" s="117"/>
      <c r="H8" s="117"/>
      <c r="I8" s="117"/>
      <c r="J8" s="117"/>
      <c r="K8" s="117"/>
    </row>
    <row r="9" spans="1:11" ht="16.5" thickBot="1" x14ac:dyDescent="0.25">
      <c r="A9" s="8"/>
      <c r="B9" s="9"/>
      <c r="C9" s="9"/>
      <c r="D9" s="10"/>
      <c r="E9" s="10"/>
      <c r="F9" s="10"/>
      <c r="G9" s="10"/>
      <c r="H9" s="10"/>
      <c r="I9" s="10"/>
      <c r="J9" s="10"/>
      <c r="K9" s="11"/>
    </row>
    <row r="10" spans="1:11" ht="18.75" customHeight="1" thickBot="1" x14ac:dyDescent="0.25">
      <c r="A10" s="118" t="s">
        <v>8</v>
      </c>
      <c r="B10" s="102" t="s">
        <v>9</v>
      </c>
      <c r="C10" s="119" t="s">
        <v>10</v>
      </c>
      <c r="D10" s="120"/>
      <c r="E10" s="120"/>
      <c r="F10" s="120"/>
      <c r="G10" s="120"/>
      <c r="H10" s="120" t="s">
        <v>11</v>
      </c>
      <c r="I10" s="101" t="s">
        <v>12</v>
      </c>
      <c r="J10" s="102" t="s">
        <v>13</v>
      </c>
      <c r="K10" s="102" t="s">
        <v>14</v>
      </c>
    </row>
    <row r="11" spans="1:11" ht="24" customHeight="1" thickBot="1" x14ac:dyDescent="0.25">
      <c r="A11" s="118"/>
      <c r="B11" s="103"/>
      <c r="C11" s="119"/>
      <c r="D11" s="120"/>
      <c r="E11" s="120"/>
      <c r="F11" s="120"/>
      <c r="G11" s="120"/>
      <c r="H11" s="120"/>
      <c r="I11" s="101"/>
      <c r="J11" s="103"/>
      <c r="K11" s="103"/>
    </row>
    <row r="12" spans="1:11" ht="51.75" customHeight="1" thickBot="1" x14ac:dyDescent="0.25">
      <c r="A12" s="57">
        <v>1</v>
      </c>
      <c r="B12" s="92" t="s">
        <v>53</v>
      </c>
      <c r="C12" s="104" t="s">
        <v>56</v>
      </c>
      <c r="D12" s="105" t="s">
        <v>56</v>
      </c>
      <c r="E12" s="105" t="s">
        <v>56</v>
      </c>
      <c r="F12" s="105" t="s">
        <v>56</v>
      </c>
      <c r="G12" s="106" t="s">
        <v>56</v>
      </c>
      <c r="H12" s="82" t="s">
        <v>64</v>
      </c>
      <c r="I12" s="83" t="s">
        <v>65</v>
      </c>
      <c r="J12" s="84">
        <v>101250</v>
      </c>
      <c r="K12" s="85">
        <v>24</v>
      </c>
    </row>
    <row r="13" spans="1:11" ht="45" customHeight="1" thickBot="1" x14ac:dyDescent="0.25">
      <c r="A13" s="57">
        <v>2</v>
      </c>
      <c r="B13" s="93" t="s">
        <v>74</v>
      </c>
      <c r="C13" s="104" t="s">
        <v>96</v>
      </c>
      <c r="D13" s="105" t="s">
        <v>75</v>
      </c>
      <c r="E13" s="105" t="s">
        <v>75</v>
      </c>
      <c r="F13" s="105" t="s">
        <v>75</v>
      </c>
      <c r="G13" s="106" t="s">
        <v>75</v>
      </c>
      <c r="H13" s="82" t="s">
        <v>64</v>
      </c>
      <c r="I13" s="83" t="s">
        <v>65</v>
      </c>
      <c r="J13" s="86">
        <v>228702.52</v>
      </c>
      <c r="K13" s="87">
        <v>6</v>
      </c>
    </row>
    <row r="14" spans="1:11" ht="48" customHeight="1" thickBot="1" x14ac:dyDescent="0.25">
      <c r="A14" s="57">
        <v>3</v>
      </c>
      <c r="B14" s="89" t="s">
        <v>97</v>
      </c>
      <c r="C14" s="107" t="s">
        <v>91</v>
      </c>
      <c r="D14" s="108"/>
      <c r="E14" s="108"/>
      <c r="F14" s="108"/>
      <c r="G14" s="109"/>
      <c r="H14" s="82" t="s">
        <v>64</v>
      </c>
      <c r="I14" s="83" t="s">
        <v>65</v>
      </c>
      <c r="J14" s="86">
        <v>36800</v>
      </c>
      <c r="K14" s="87">
        <v>6</v>
      </c>
    </row>
    <row r="15" spans="1:11" ht="59.25" customHeight="1" thickBot="1" x14ac:dyDescent="0.25">
      <c r="A15" s="57">
        <v>4</v>
      </c>
      <c r="B15" s="88" t="s">
        <v>98</v>
      </c>
      <c r="C15" s="107" t="s">
        <v>95</v>
      </c>
      <c r="D15" s="108"/>
      <c r="E15" s="108"/>
      <c r="F15" s="108"/>
      <c r="G15" s="109"/>
      <c r="H15" s="82" t="s">
        <v>64</v>
      </c>
      <c r="I15" s="83" t="s">
        <v>65</v>
      </c>
      <c r="J15" s="86">
        <v>51700</v>
      </c>
      <c r="K15" s="87">
        <v>5</v>
      </c>
    </row>
    <row r="16" spans="1:11" ht="64.5" customHeight="1" x14ac:dyDescent="0.2">
      <c r="A16" s="57">
        <v>5</v>
      </c>
      <c r="B16" s="81" t="s">
        <v>94</v>
      </c>
      <c r="C16" s="98" t="s">
        <v>93</v>
      </c>
      <c r="D16" s="99"/>
      <c r="E16" s="99"/>
      <c r="F16" s="99"/>
      <c r="G16" s="100"/>
      <c r="H16" s="82" t="s">
        <v>64</v>
      </c>
      <c r="I16" s="83" t="s">
        <v>65</v>
      </c>
      <c r="J16" s="86">
        <v>43800</v>
      </c>
      <c r="K16" s="87">
        <v>15</v>
      </c>
    </row>
    <row r="17" spans="1:11" ht="39.75" customHeight="1" thickBot="1" x14ac:dyDescent="0.25">
      <c r="A17" s="96" t="s">
        <v>80</v>
      </c>
      <c r="B17" s="96"/>
      <c r="C17" s="96"/>
      <c r="D17" s="96"/>
      <c r="E17" s="96"/>
      <c r="F17" s="96"/>
      <c r="G17" s="96"/>
      <c r="H17" s="96"/>
      <c r="I17" s="96"/>
      <c r="J17" s="97">
        <v>4938515.12</v>
      </c>
      <c r="K17" s="97"/>
    </row>
  </sheetData>
  <mergeCells count="27">
    <mergeCell ref="A1:I1"/>
    <mergeCell ref="A3:C3"/>
    <mergeCell ref="D3:K3"/>
    <mergeCell ref="A4:C4"/>
    <mergeCell ref="D4:K4"/>
    <mergeCell ref="A8:C8"/>
    <mergeCell ref="D8:K8"/>
    <mergeCell ref="A10:A11"/>
    <mergeCell ref="B10:B11"/>
    <mergeCell ref="C10:G11"/>
    <mergeCell ref="H10:H11"/>
    <mergeCell ref="A5:C5"/>
    <mergeCell ref="D5:K5"/>
    <mergeCell ref="A6:C6"/>
    <mergeCell ref="D6:K6"/>
    <mergeCell ref="A7:C7"/>
    <mergeCell ref="D7:K7"/>
    <mergeCell ref="A17:I17"/>
    <mergeCell ref="J17:K17"/>
    <mergeCell ref="C16:G16"/>
    <mergeCell ref="I10:I11"/>
    <mergeCell ref="J10:J11"/>
    <mergeCell ref="K10:K11"/>
    <mergeCell ref="C13:G13"/>
    <mergeCell ref="C12:G12"/>
    <mergeCell ref="C14:G14"/>
    <mergeCell ref="C15:G1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2"/>
  <sheetViews>
    <sheetView zoomScale="110" zoomScaleNormal="110" workbookViewId="0">
      <selection activeCell="Q38" sqref="Q38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12" customWidth="1"/>
    <col min="8" max="14" width="4.42578125" customWidth="1"/>
    <col min="15" max="16" width="14.85546875" customWidth="1"/>
    <col min="17" max="17" width="14.7109375" customWidth="1"/>
    <col min="19" max="19" width="13.42578125" bestFit="1" customWidth="1"/>
    <col min="20" max="20" width="11.85546875" bestFit="1" customWidth="1"/>
  </cols>
  <sheetData>
    <row r="1" spans="1:17" ht="15.75" customHeight="1" x14ac:dyDescent="0.25">
      <c r="A1" s="141" t="s">
        <v>15</v>
      </c>
      <c r="B1" s="141"/>
      <c r="C1" s="141"/>
      <c r="D1" s="142">
        <v>2022</v>
      </c>
      <c r="E1" s="142"/>
      <c r="F1" s="13"/>
      <c r="G1" s="13"/>
      <c r="H1" s="14"/>
      <c r="I1" s="14"/>
      <c r="J1" s="14"/>
      <c r="K1" s="14"/>
      <c r="L1" s="14"/>
      <c r="M1" s="14"/>
      <c r="N1" s="14"/>
      <c r="O1" s="15"/>
      <c r="P1" s="143" t="s">
        <v>16</v>
      </c>
      <c r="Q1" s="143"/>
    </row>
    <row r="2" spans="1:17" ht="15.75" customHeight="1" x14ac:dyDescent="0.2">
      <c r="A2" s="16"/>
      <c r="B2" s="17"/>
      <c r="C2" s="17"/>
      <c r="D2" s="17"/>
      <c r="E2" s="17"/>
      <c r="F2" s="17"/>
      <c r="G2" s="18"/>
      <c r="H2" s="19"/>
      <c r="I2" s="19"/>
      <c r="J2" s="19"/>
      <c r="K2" s="19"/>
      <c r="L2" s="19"/>
      <c r="M2" s="19"/>
      <c r="N2" s="19"/>
      <c r="O2" s="17"/>
      <c r="P2" s="143"/>
      <c r="Q2" s="143"/>
    </row>
    <row r="3" spans="1:17" x14ac:dyDescent="0.2">
      <c r="A3" s="16"/>
      <c r="B3" s="17"/>
      <c r="C3" s="17"/>
      <c r="D3" s="17"/>
      <c r="E3" s="17"/>
      <c r="F3" s="17"/>
      <c r="G3" s="18"/>
      <c r="H3" s="17"/>
      <c r="I3" s="17"/>
      <c r="J3" s="17"/>
      <c r="K3" s="17"/>
      <c r="L3" s="17"/>
      <c r="M3" s="17"/>
      <c r="N3" s="17"/>
      <c r="O3" s="17"/>
      <c r="P3" s="17"/>
      <c r="Q3" s="20"/>
    </row>
    <row r="4" spans="1:17" s="21" customFormat="1" ht="18" customHeight="1" thickBot="1" x14ac:dyDescent="0.25">
      <c r="A4" s="144" t="s">
        <v>17</v>
      </c>
      <c r="B4" s="144"/>
      <c r="C4" s="144"/>
      <c r="D4" s="144"/>
      <c r="E4" s="144"/>
      <c r="F4" s="144"/>
      <c r="G4" s="140" t="s">
        <v>54</v>
      </c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17" s="21" customFormat="1" ht="18" customHeight="1" thickBot="1" x14ac:dyDescent="0.25">
      <c r="A5" s="139" t="s">
        <v>3</v>
      </c>
      <c r="B5" s="139"/>
      <c r="C5" s="139"/>
      <c r="D5" s="139"/>
      <c r="E5" s="139"/>
      <c r="F5" s="139"/>
      <c r="G5" s="140" t="s">
        <v>62</v>
      </c>
      <c r="H5" s="140"/>
      <c r="I5" s="140"/>
      <c r="J5" s="140"/>
      <c r="K5" s="140"/>
      <c r="L5" s="140"/>
      <c r="M5" s="140"/>
      <c r="N5" s="140"/>
      <c r="O5" s="140"/>
      <c r="P5" s="140"/>
      <c r="Q5" s="140"/>
    </row>
    <row r="6" spans="1:17" s="21" customFormat="1" ht="18" customHeight="1" thickBot="1" x14ac:dyDescent="0.25">
      <c r="A6" s="139" t="s">
        <v>4</v>
      </c>
      <c r="B6" s="139"/>
      <c r="C6" s="139"/>
      <c r="D6" s="139"/>
      <c r="E6" s="139"/>
      <c r="F6" s="139"/>
      <c r="G6" s="140" t="s">
        <v>55</v>
      </c>
      <c r="H6" s="140"/>
      <c r="I6" s="140"/>
      <c r="J6" s="140"/>
      <c r="K6" s="140"/>
      <c r="L6" s="140"/>
      <c r="M6" s="140"/>
      <c r="N6" s="140"/>
      <c r="O6" s="140"/>
      <c r="P6" s="140"/>
      <c r="Q6" s="140"/>
    </row>
    <row r="7" spans="1:17" s="21" customFormat="1" ht="22.5" customHeight="1" thickBot="1" x14ac:dyDescent="0.25">
      <c r="A7" s="139" t="s">
        <v>5</v>
      </c>
      <c r="B7" s="139"/>
      <c r="C7" s="139"/>
      <c r="D7" s="139"/>
      <c r="E7" s="139"/>
      <c r="F7" s="139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</row>
    <row r="8" spans="1:17" ht="18" customHeight="1" thickBot="1" x14ac:dyDescent="0.25">
      <c r="A8" s="132" t="s">
        <v>60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7" ht="18" customHeight="1" x14ac:dyDescent="0.2">
      <c r="A9" s="133" t="s">
        <v>18</v>
      </c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</row>
    <row r="10" spans="1:17" ht="66" customHeight="1" x14ac:dyDescent="0.2">
      <c r="A10" s="134" t="s">
        <v>83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</row>
    <row r="11" spans="1:17" ht="9" customHeight="1" x14ac:dyDescent="0.2">
      <c r="A11" s="22"/>
      <c r="B11" s="23"/>
      <c r="C11" s="23"/>
      <c r="D11" s="23"/>
      <c r="E11" s="23"/>
      <c r="F11" s="23"/>
      <c r="G11" s="24"/>
      <c r="H11" s="23"/>
      <c r="I11" s="23"/>
      <c r="J11" s="23"/>
      <c r="K11" s="23"/>
      <c r="L11" s="23"/>
      <c r="M11" s="23"/>
      <c r="N11" s="23"/>
      <c r="O11" s="23"/>
      <c r="P11" s="23"/>
      <c r="Q11" s="25"/>
    </row>
    <row r="12" spans="1:17" ht="15.75" customHeight="1" x14ac:dyDescent="0.2">
      <c r="A12" s="135" t="s">
        <v>19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</row>
    <row r="13" spans="1:17" ht="15.75" customHeight="1" x14ac:dyDescent="0.2">
      <c r="A13" s="136" t="s">
        <v>20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7" t="s">
        <v>21</v>
      </c>
      <c r="P13" s="137"/>
      <c r="Q13" s="138" t="s">
        <v>22</v>
      </c>
    </row>
    <row r="14" spans="1:17" ht="15.75" customHeight="1" thickBot="1" x14ac:dyDescent="0.25">
      <c r="A14" s="79" t="s">
        <v>23</v>
      </c>
      <c r="B14" s="26" t="s">
        <v>24</v>
      </c>
      <c r="C14" s="26" t="s">
        <v>67</v>
      </c>
      <c r="D14" s="77" t="s">
        <v>25</v>
      </c>
      <c r="E14" s="26" t="s">
        <v>26</v>
      </c>
      <c r="F14" s="26" t="s">
        <v>27</v>
      </c>
      <c r="G14" s="27" t="s">
        <v>28</v>
      </c>
      <c r="H14" s="26" t="s">
        <v>29</v>
      </c>
      <c r="I14" s="26" t="s">
        <v>30</v>
      </c>
      <c r="J14" s="26" t="s">
        <v>31</v>
      </c>
      <c r="K14" s="26" t="s">
        <v>31</v>
      </c>
      <c r="L14" s="26" t="s">
        <v>32</v>
      </c>
      <c r="M14" s="28" t="s">
        <v>33</v>
      </c>
      <c r="N14" s="29" t="s">
        <v>34</v>
      </c>
      <c r="O14" s="137"/>
      <c r="P14" s="137"/>
      <c r="Q14" s="138"/>
    </row>
    <row r="15" spans="1:17" ht="13.5" thickBot="1" x14ac:dyDescent="0.25">
      <c r="A15" s="80">
        <v>2</v>
      </c>
      <c r="B15" s="63">
        <v>0</v>
      </c>
      <c r="C15" s="63">
        <v>0</v>
      </c>
      <c r="D15" s="78">
        <v>1</v>
      </c>
      <c r="E15" s="63">
        <v>0</v>
      </c>
      <c r="F15" s="63">
        <v>4901</v>
      </c>
      <c r="G15" s="63">
        <v>1</v>
      </c>
      <c r="H15" s="63">
        <v>3</v>
      </c>
      <c r="I15" s="63">
        <v>2</v>
      </c>
      <c r="J15" s="63">
        <v>4</v>
      </c>
      <c r="K15" s="63">
        <v>4</v>
      </c>
      <c r="L15" s="63">
        <v>0</v>
      </c>
      <c r="M15" s="64">
        <v>1</v>
      </c>
      <c r="N15" s="63" t="s">
        <v>63</v>
      </c>
      <c r="O15" s="131" t="s">
        <v>68</v>
      </c>
      <c r="P15" s="131"/>
      <c r="Q15" s="45">
        <v>3802215.12</v>
      </c>
    </row>
    <row r="16" spans="1:17" ht="14.25" customHeight="1" thickBot="1" x14ac:dyDescent="0.25">
      <c r="A16" s="80">
        <v>1</v>
      </c>
      <c r="B16" s="63">
        <v>0</v>
      </c>
      <c r="C16" s="63">
        <v>0</v>
      </c>
      <c r="D16" s="78">
        <v>1</v>
      </c>
      <c r="E16" s="63">
        <v>0</v>
      </c>
      <c r="F16" s="63">
        <v>4901</v>
      </c>
      <c r="G16" s="63">
        <v>1</v>
      </c>
      <c r="H16" s="63">
        <v>3</v>
      </c>
      <c r="I16" s="63">
        <v>2</v>
      </c>
      <c r="J16" s="63">
        <v>9</v>
      </c>
      <c r="K16" s="63">
        <v>6</v>
      </c>
      <c r="L16" s="63">
        <v>0</v>
      </c>
      <c r="M16" s="64">
        <v>1</v>
      </c>
      <c r="N16" s="63" t="s">
        <v>63</v>
      </c>
      <c r="O16" s="131" t="s">
        <v>84</v>
      </c>
      <c r="P16" s="131"/>
      <c r="Q16" s="45">
        <v>1136300</v>
      </c>
    </row>
    <row r="17" spans="1:20" ht="17.25" customHeight="1" thickBot="1" x14ac:dyDescent="0.25">
      <c r="A17" s="80"/>
      <c r="B17" s="63"/>
      <c r="C17" s="63"/>
      <c r="D17" s="78"/>
      <c r="E17" s="63"/>
      <c r="F17" s="63"/>
      <c r="G17" s="63"/>
      <c r="H17" s="63"/>
      <c r="I17" s="63"/>
      <c r="J17" s="63"/>
      <c r="K17" s="63"/>
      <c r="L17" s="63"/>
      <c r="M17" s="64"/>
      <c r="N17" s="63"/>
      <c r="O17" s="131"/>
      <c r="P17" s="131"/>
      <c r="Q17" s="45"/>
    </row>
    <row r="18" spans="1:20" ht="17.25" customHeight="1" thickBot="1" x14ac:dyDescent="0.25">
      <c r="A18" s="80"/>
      <c r="B18" s="63"/>
      <c r="C18" s="63"/>
      <c r="D18" s="78"/>
      <c r="E18" s="63"/>
      <c r="F18" s="63"/>
      <c r="G18" s="63"/>
      <c r="H18" s="63"/>
      <c r="I18" s="63"/>
      <c r="J18" s="63"/>
      <c r="K18" s="63"/>
      <c r="L18" s="63"/>
      <c r="M18" s="64"/>
      <c r="N18" s="63"/>
      <c r="O18" s="131"/>
      <c r="P18" s="131"/>
      <c r="Q18" s="65"/>
    </row>
    <row r="19" spans="1:20" ht="17.25" customHeight="1" thickBot="1" x14ac:dyDescent="0.25">
      <c r="A19" s="80"/>
      <c r="B19" s="63"/>
      <c r="C19" s="63"/>
      <c r="D19" s="78"/>
      <c r="E19" s="63"/>
      <c r="F19" s="63"/>
      <c r="G19" s="63"/>
      <c r="H19" s="63"/>
      <c r="I19" s="63"/>
      <c r="J19" s="63"/>
      <c r="K19" s="63"/>
      <c r="L19" s="63"/>
      <c r="M19" s="64"/>
      <c r="N19" s="63"/>
      <c r="O19" s="131"/>
      <c r="P19" s="131"/>
      <c r="Q19" s="76"/>
    </row>
    <row r="20" spans="1:20" ht="17.25" customHeight="1" thickBot="1" x14ac:dyDescent="0.25">
      <c r="A20" s="80"/>
      <c r="B20" s="63"/>
      <c r="C20" s="63"/>
      <c r="D20" s="78"/>
      <c r="E20" s="63"/>
      <c r="F20" s="63"/>
      <c r="G20" s="63"/>
      <c r="H20" s="63"/>
      <c r="I20" s="63"/>
      <c r="J20" s="63"/>
      <c r="K20" s="63"/>
      <c r="L20" s="63"/>
      <c r="M20" s="64"/>
      <c r="N20" s="63"/>
      <c r="O20" s="131"/>
      <c r="P20" s="131"/>
      <c r="Q20" s="76"/>
    </row>
    <row r="21" spans="1:20" ht="17.25" customHeight="1" x14ac:dyDescent="0.2">
      <c r="A21" s="62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4"/>
      <c r="N21" s="63"/>
      <c r="O21" s="131"/>
      <c r="P21" s="131"/>
      <c r="Q21" s="34"/>
    </row>
    <row r="22" spans="1:20" ht="17.25" customHeight="1" x14ac:dyDescent="0.2">
      <c r="A22" s="30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2"/>
      <c r="N22" s="33"/>
      <c r="O22" s="130"/>
      <c r="P22" s="130"/>
      <c r="Q22" s="34"/>
      <c r="S22" s="75"/>
    </row>
    <row r="23" spans="1:20" ht="17.25" customHeight="1" x14ac:dyDescent="0.2">
      <c r="A23" s="30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2"/>
      <c r="N23" s="33"/>
      <c r="O23" s="130"/>
      <c r="P23" s="130"/>
      <c r="Q23" s="34"/>
    </row>
    <row r="24" spans="1:20" ht="17.25" customHeight="1" x14ac:dyDescent="0.2">
      <c r="A24" s="30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2"/>
      <c r="N24" s="33"/>
      <c r="O24" s="130"/>
      <c r="P24" s="130"/>
      <c r="Q24" s="34"/>
      <c r="S24" s="75"/>
      <c r="T24" s="75"/>
    </row>
    <row r="25" spans="1:20" ht="17.25" customHeight="1" x14ac:dyDescent="0.2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2"/>
      <c r="N25" s="33"/>
      <c r="O25" s="130"/>
      <c r="P25" s="130"/>
      <c r="Q25" s="34"/>
    </row>
    <row r="26" spans="1:20" ht="17.25" customHeight="1" x14ac:dyDescent="0.2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2"/>
      <c r="N26" s="33"/>
      <c r="O26" s="130"/>
      <c r="P26" s="130"/>
      <c r="Q26" s="34"/>
    </row>
    <row r="27" spans="1:20" ht="17.25" customHeight="1" x14ac:dyDescent="0.2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2"/>
      <c r="N27" s="33"/>
      <c r="O27" s="130"/>
      <c r="P27" s="130"/>
      <c r="Q27" s="34"/>
    </row>
    <row r="28" spans="1:20" ht="17.25" customHeight="1" x14ac:dyDescent="0.2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2"/>
      <c r="N28" s="33"/>
      <c r="O28" s="130"/>
      <c r="P28" s="130"/>
      <c r="Q28" s="34"/>
    </row>
    <row r="29" spans="1:20" ht="17.25" customHeight="1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2"/>
      <c r="N29" s="33"/>
      <c r="O29" s="130"/>
      <c r="P29" s="130"/>
      <c r="Q29" s="34"/>
    </row>
    <row r="30" spans="1:20" ht="17.25" customHeight="1" x14ac:dyDescent="0.2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2"/>
      <c r="N30" s="33"/>
      <c r="O30" s="130"/>
      <c r="P30" s="130"/>
      <c r="Q30" s="34"/>
    </row>
    <row r="31" spans="1:20" ht="17.25" customHeight="1" x14ac:dyDescent="0.2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  <c r="N31" s="33"/>
      <c r="O31" s="130"/>
      <c r="P31" s="130"/>
      <c r="Q31" s="34"/>
    </row>
    <row r="32" spans="1:20" ht="17.25" customHeight="1" x14ac:dyDescent="0.2">
      <c r="A32" s="30"/>
      <c r="B32" s="31"/>
      <c r="C32" s="31"/>
      <c r="D32" s="31"/>
      <c r="E32" s="31"/>
      <c r="F32" s="33"/>
      <c r="G32" s="31"/>
      <c r="H32" s="31"/>
      <c r="I32" s="31"/>
      <c r="J32" s="31"/>
      <c r="K32" s="31"/>
      <c r="L32" s="31"/>
      <c r="M32" s="32"/>
      <c r="N32" s="33"/>
      <c r="O32" s="125"/>
      <c r="P32" s="125"/>
      <c r="Q32" s="34"/>
    </row>
    <row r="33" spans="1:18" ht="17.25" customHeight="1" x14ac:dyDescent="0.2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2"/>
      <c r="N33" s="33"/>
      <c r="O33" s="125"/>
      <c r="P33" s="125"/>
      <c r="Q33" s="34"/>
    </row>
    <row r="34" spans="1:18" ht="17.25" customHeight="1" x14ac:dyDescent="0.2">
      <c r="A34" s="30"/>
      <c r="B34" s="31"/>
      <c r="C34" s="31"/>
      <c r="D34" s="31"/>
      <c r="E34" s="31"/>
      <c r="F34" s="33"/>
      <c r="G34" s="31"/>
      <c r="H34" s="31"/>
      <c r="I34" s="31"/>
      <c r="J34" s="31"/>
      <c r="K34" s="31"/>
      <c r="L34" s="31"/>
      <c r="M34" s="32"/>
      <c r="N34" s="33"/>
      <c r="O34" s="125"/>
      <c r="P34" s="125"/>
      <c r="Q34" s="34"/>
    </row>
    <row r="35" spans="1:18" ht="17.25" customHeight="1" x14ac:dyDescent="0.2">
      <c r="A35" s="30"/>
      <c r="B35" s="31"/>
      <c r="C35" s="31"/>
      <c r="D35" s="31"/>
      <c r="E35" s="31"/>
      <c r="F35" s="33"/>
      <c r="G35" s="31"/>
      <c r="H35" s="31"/>
      <c r="I35" s="31"/>
      <c r="J35" s="31"/>
      <c r="K35" s="31"/>
      <c r="L35" s="31"/>
      <c r="M35" s="32"/>
      <c r="N35" s="33"/>
      <c r="O35" s="125"/>
      <c r="P35" s="125"/>
      <c r="Q35" s="34"/>
    </row>
    <row r="36" spans="1:18" ht="17.25" customHeight="1" x14ac:dyDescent="0.2">
      <c r="A36" s="35"/>
      <c r="B36" s="36"/>
      <c r="C36" s="36"/>
      <c r="D36" s="36"/>
      <c r="E36" s="36"/>
      <c r="F36" s="37"/>
      <c r="G36" s="36"/>
      <c r="H36" s="36"/>
      <c r="I36" s="36"/>
      <c r="J36" s="36"/>
      <c r="K36" s="36"/>
      <c r="L36" s="36"/>
      <c r="M36" s="38"/>
      <c r="N36" s="39"/>
      <c r="O36" s="126"/>
      <c r="P36" s="126"/>
      <c r="Q36" s="34"/>
      <c r="R36" s="17"/>
    </row>
    <row r="37" spans="1:18" ht="17.25" customHeight="1" x14ac:dyDescent="0.2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2"/>
      <c r="N37" s="41"/>
      <c r="O37" s="127"/>
      <c r="P37" s="127"/>
      <c r="Q37" s="43"/>
    </row>
    <row r="38" spans="1:18" ht="31.5" customHeight="1" x14ac:dyDescent="0.2">
      <c r="A38" s="128" t="s">
        <v>82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44">
        <f>SUM(Q15:Q37)</f>
        <v>4938515.12</v>
      </c>
    </row>
    <row r="39" spans="1:18" ht="18" customHeight="1" x14ac:dyDescent="0.2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</row>
    <row r="40" spans="1:18" ht="17.25" customHeight="1" x14ac:dyDescent="0.2">
      <c r="A40" s="122" t="s">
        <v>35</v>
      </c>
      <c r="B40" s="122"/>
      <c r="C40" s="122"/>
      <c r="D40" s="122"/>
      <c r="E40" s="122"/>
      <c r="F40" s="122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</row>
    <row r="41" spans="1:18" ht="18" customHeight="1" x14ac:dyDescent="0.2">
      <c r="A41" s="124" t="s">
        <v>81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</row>
    <row r="42" spans="1:18" ht="63.75" customHeight="1" x14ac:dyDescent="0.2">
      <c r="A42" s="124"/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</row>
  </sheetData>
  <mergeCells count="46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A40:F40"/>
    <mergeCell ref="G40:Q40"/>
    <mergeCell ref="A41:Q42"/>
    <mergeCell ref="O35:P35"/>
    <mergeCell ref="O36:P36"/>
    <mergeCell ref="O37:P37"/>
    <mergeCell ref="A38:P38"/>
    <mergeCell ref="A39:Q39"/>
  </mergeCells>
  <printOptions horizontalCentered="1"/>
  <pageMargins left="0.25" right="0.25" top="0.75" bottom="0.7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2022-07-26T15:54:31Z</cp:lastPrinted>
  <dcterms:created xsi:type="dcterms:W3CDTF">2020-07-17T23:44:49Z</dcterms:created>
  <dcterms:modified xsi:type="dcterms:W3CDTF">2022-08-05T11:33:55Z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