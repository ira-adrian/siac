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2 TRIMESTRE  2022\MP 25 Mayo\QUIMICOS\final\"/>
    </mc:Choice>
  </mc:AlternateContent>
  <xr:revisionPtr revIDLastSave="0" documentId="8_{C1E85E99-DA12-40BB-8A18-9880E7BB0A0E}" xr6:coauthVersionLast="47" xr6:coauthVersionMax="47" xr10:uidLastSave="{00000000-0000-0000-0000-000000000000}"/>
  <bookViews>
    <workbookView xWindow="-120" yWindow="-120" windowWidth="29040" windowHeight="15840" tabRatio="500" activeTab="2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Trimestrales'!$A$9:$I$58</definedName>
    <definedName name="A">'Necesidades Trimestrales'!#REF!</definedName>
    <definedName name="_xlnm.Print_Area" localSheetId="1">' NotaPedido'!$A$1:$I$28</definedName>
    <definedName name="_xlnm.Print_Area" localSheetId="2">'Autor Gastar'!$A$1:$Q$23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2" i="2" l="1"/>
  <c r="G13" i="2"/>
  <c r="G14" i="2"/>
  <c r="G15" i="2"/>
  <c r="G16" i="2"/>
  <c r="G17" i="2"/>
  <c r="G18" i="2"/>
  <c r="G19" i="2"/>
  <c r="G20" i="2"/>
  <c r="G21" i="2"/>
  <c r="G22" i="2"/>
  <c r="G23" i="2"/>
  <c r="G31" i="2"/>
  <c r="G32" i="2"/>
  <c r="G33" i="2"/>
  <c r="G37" i="2"/>
  <c r="G38" i="2"/>
  <c r="G39" i="2"/>
  <c r="G40" i="2"/>
  <c r="G41" i="2"/>
  <c r="G43" i="2"/>
  <c r="G44" i="2"/>
  <c r="G45" i="2"/>
  <c r="G46" i="2"/>
  <c r="G47" i="2"/>
  <c r="G48" i="2"/>
  <c r="G49" i="2"/>
  <c r="G50" i="2"/>
  <c r="G51" i="2"/>
  <c r="G53" i="2"/>
  <c r="G54" i="2"/>
  <c r="G55" i="2"/>
  <c r="G56" i="2"/>
  <c r="G57" i="2"/>
  <c r="G58" i="2"/>
  <c r="G60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I12" i="2"/>
  <c r="H12" i="2"/>
  <c r="D12" i="2"/>
  <c r="A12" i="2"/>
  <c r="I53" i="1"/>
  <c r="I50" i="1"/>
  <c r="I48" i="1"/>
  <c r="I37" i="1"/>
  <c r="I36" i="1"/>
  <c r="I30" i="1"/>
  <c r="I15" i="1"/>
  <c r="I14" i="1"/>
  <c r="I10" i="1"/>
  <c r="E60" i="2" l="1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H61" i="2" l="1"/>
  <c r="Q19" i="3" l="1"/>
  <c r="I12" i="1"/>
  <c r="I13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1" i="1"/>
  <c r="I32" i="1"/>
  <c r="I33" i="1"/>
  <c r="I34" i="1"/>
  <c r="I35" i="1"/>
  <c r="I38" i="1"/>
  <c r="I39" i="1"/>
  <c r="I40" i="1"/>
  <c r="I41" i="1"/>
  <c r="I42" i="1"/>
  <c r="I43" i="1"/>
  <c r="I44" i="1"/>
  <c r="I45" i="1"/>
  <c r="I46" i="1"/>
  <c r="I47" i="1"/>
  <c r="I49" i="1"/>
  <c r="I51" i="1"/>
  <c r="I52" i="1"/>
  <c r="I54" i="1"/>
  <c r="I55" i="1"/>
  <c r="I56" i="1"/>
  <c r="I57" i="1"/>
  <c r="I58" i="1"/>
  <c r="I11" i="1"/>
</calcChain>
</file>

<file path=xl/sharedStrings.xml><?xml version="1.0" encoding="utf-8"?>
<sst xmlns="http://schemas.openxmlformats.org/spreadsheetml/2006/main" count="393" uniqueCount="146">
  <si>
    <t>JURISDICCION:</t>
  </si>
  <si>
    <t xml:space="preserve">SAF N°: </t>
  </si>
  <si>
    <t>EJERCICIO:</t>
  </si>
  <si>
    <t>TRIMESTRE:</t>
  </si>
  <si>
    <t>ID</t>
  </si>
  <si>
    <t>RUBRO DE COMPRA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</si>
  <si>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</si>
  <si>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</si>
  <si>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</si>
  <si>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</si>
  <si>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</si>
  <si>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</si>
  <si>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</si>
  <si>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</si>
  <si>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</si>
  <si>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</si>
  <si>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</si>
  <si>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</si>
  <si>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</si>
  <si>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</si>
  <si>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</si>
  <si>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</si>
  <si>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</si>
  <si>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</si>
  <si>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</si>
  <si>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</si>
  <si>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</si>
  <si>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</si>
  <si>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</si>
  <si>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</si>
  <si>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</si>
  <si>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</si>
  <si>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</si>
  <si>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</si>
  <si>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</si>
  <si>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</si>
  <si>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</si>
  <si>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</si>
  <si>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</si>
  <si>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</si>
  <si>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</si>
  <si>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</si>
  <si>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</si>
  <si>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</si>
  <si>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</si>
  <si>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</si>
  <si>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</si>
  <si>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</si>
  <si>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1.1</t>
  </si>
  <si>
    <t>40 - Ministerio de Salud</t>
  </si>
  <si>
    <t>CAJA</t>
  </si>
  <si>
    <t>UNIDAD</t>
  </si>
  <si>
    <t>NO</t>
  </si>
  <si>
    <t>QUIMICOS</t>
  </si>
  <si>
    <t>ADQUISICION DE COMPUESTOS QUIMICOS</t>
  </si>
  <si>
    <t>40- Ministerio de Salud</t>
  </si>
  <si>
    <t>CASSETTE</t>
  </si>
  <si>
    <t>FRASCO</t>
  </si>
  <si>
    <t>PORTA OBJETOS X 50 UNID.</t>
  </si>
  <si>
    <t>CUBRE OBJETOS 20 X 20 X 100 UNID.</t>
  </si>
  <si>
    <t>CODIGO DE ITEMS</t>
  </si>
  <si>
    <t>I.P.P</t>
  </si>
  <si>
    <t>Descripción técnica</t>
  </si>
  <si>
    <t>Plazos de entrega</t>
  </si>
  <si>
    <t>Lugar de Entrega:</t>
  </si>
  <si>
    <t>Calidad Minima esperada</t>
  </si>
  <si>
    <t>Mantenimiento</t>
  </si>
  <si>
    <t>Garantia</t>
  </si>
  <si>
    <t>SERVICIO DE LABORATORIO -MATERNIDAD PROVINCIAL 25 DE MAYO - HERNANDO DE PEDRAZA 1650</t>
  </si>
  <si>
    <t>2.5.1</t>
  </si>
  <si>
    <t>2.9.5</t>
  </si>
  <si>
    <t xml:space="preserve">Pedido de Necesidades Trimestrales
</t>
  </si>
  <si>
    <t>Compuestos Químicos</t>
  </si>
  <si>
    <t>BILIRRUBINA DIRECTA COBAS C-311 ROCHE  X 350  DET</t>
  </si>
  <si>
    <t>BILIRRUBINA TOTAL GEN 3 COBAS C-311 ROCHE  X 250 DET</t>
  </si>
  <si>
    <t>CHAGAS ELISA LISADO WIENER X 96  DET</t>
  </si>
  <si>
    <t xml:space="preserve">CHAGAS HAI  WIENER  X 96 DET </t>
  </si>
  <si>
    <t>DETERGENTE P/CONTADOR MINDRAY BC3000 PLUS X 5 L</t>
  </si>
  <si>
    <t>DILUYENTE PARA CONTADOR HEMATOLOGICO MINDRAY BC-3000 PLUS  X 20 LITROS</t>
  </si>
  <si>
    <t>HBSAG ELISA WIENER  X 96 DET</t>
  </si>
  <si>
    <t>KIT PARA RETICULOCITOS (AZUL DE CRESIL BRILLANTE) X 50 TUBOS DELTALAB</t>
  </si>
  <si>
    <t xml:space="preserve">LAMPARA HALOGENA COBAS C-311 ROCHE </t>
  </si>
  <si>
    <t>M-52 DIFF  LYSE  PARA MINDRAY BC-5150 X 500 ML</t>
  </si>
  <si>
    <t>M-52 LH LYSE  PARA MINDRAY BC-5150 X 100 ML</t>
  </si>
  <si>
    <t>M-52D - DILUENT PARA MINDRAY BC-5150 X 20 LITROS</t>
  </si>
  <si>
    <t>28- Maternidad Provincial 25 de Mayo</t>
  </si>
  <si>
    <t>28 - MATERNIDAD PROVINCIAL 25 DE MAYO</t>
  </si>
  <si>
    <t>Utiles Menores Médico, Quirúrgico y de Laboratorio</t>
  </si>
  <si>
    <t>Servicio de Laboratorio-(Bacteriología)-(Hemoterapia)</t>
  </si>
  <si>
    <t>Para la adquisición de Compuestos Químicos, para ser destinados al Servicio de Laboratorio-Sector Bacteriología y Sector Hemoterapia de la Maternidad Provincial 25 de Mayo.-</t>
  </si>
  <si>
    <t xml:space="preserve">169-Direccion Asistencial </t>
  </si>
  <si>
    <t>Horario de 07:00 a 12:00</t>
  </si>
  <si>
    <t>2.9.3</t>
  </si>
  <si>
    <t>Utiles y Materiales Electricos</t>
  </si>
  <si>
    <t xml:space="preserve">CAJA </t>
  </si>
  <si>
    <t>Año 2022</t>
  </si>
  <si>
    <t>AMPOULE ADAPTER X 150 UN ROCHE</t>
  </si>
  <si>
    <t>FECUNTEST STRIPS (WIENER LAB) X 25 UN</t>
  </si>
  <si>
    <t>2° TRIMESTRE</t>
  </si>
  <si>
    <t>CLEANSER EZ PROBE PARA BC 3000 PLUS  PRTESENTACION: BOTELLA X 50 ML</t>
  </si>
  <si>
    <t>2 ° Trimestre -Año 2022</t>
  </si>
  <si>
    <t>ROLLO DE PAPEL PARA MINDRAY BC-3000 PLUS PAQUETE X 6 UNIDADES</t>
  </si>
  <si>
    <t>PAQUETE</t>
  </si>
  <si>
    <t>ROLLO DE PAPEL PARA MINDRAY BC-5150 PAQUETE X 6 UNIDADES</t>
  </si>
  <si>
    <t xml:space="preserve">S1  RINSE SOLUTION </t>
  </si>
  <si>
    <t>S2 FLUID PACK</t>
  </si>
  <si>
    <t>U/CSF PROTEINA URINARIA COBAS C-311 ROCHE X 150 UN</t>
  </si>
  <si>
    <t xml:space="preserve">VDRL TEST 1 X 5.5 ML WIENER </t>
  </si>
  <si>
    <t>W19 CONTROL AA 3 NIVELES 3 X 3 ML (BAJO-NORMAL-ALTO) WIENER</t>
  </si>
  <si>
    <t>LYSE CF-BC 3000 PLUS x 1 litro LABIX</t>
  </si>
  <si>
    <t>COBAS B 221 COMBITROL PLUS B LEVEL 1  x 30 UNIDADES ROCHE</t>
  </si>
  <si>
    <t>COBAS B 221 COMBITROL PLUS B LEVEL 2  x 30 UNIDADES  ROCHE</t>
  </si>
  <si>
    <t>COBAS B 221 COMBITROL PLUS B LEVEL 3 x 30 UNIDADES  ROCHE</t>
  </si>
  <si>
    <t xml:space="preserve">COBAS B121 / B221  ELECTRODO DE SODIO (Na) ROCHE </t>
  </si>
  <si>
    <t xml:space="preserve">COBAS B121 / B221  ELECTRODO DE POTASIO (K) ROCHE </t>
  </si>
  <si>
    <t>COBAS B121 / B221  ELECTRODO DE PO2  ROCHE</t>
  </si>
  <si>
    <t>COBAS B121 / B221 ELECTRODO DE PH  ROCHE</t>
  </si>
  <si>
    <t>COBAS B121 / B221 ELECTRODO DE CLIORO   ROCHE</t>
  </si>
  <si>
    <t>COBAS B121 / B221 ELECTRODO DE CALCIO ROCHE</t>
  </si>
  <si>
    <t>COBAS B221 REFERENCE CONTACT  ( RCON)  ROCHE</t>
  </si>
  <si>
    <t>COBAS SAMPLE CLEANER 1 (MULTICLEAN ) 12 x 60 ml  ROCHE</t>
  </si>
  <si>
    <t xml:space="preserve">MICROPIPETA REGULABLE  5-50 ul SOCOREX </t>
  </si>
  <si>
    <t xml:space="preserve">MICROPIPETA REGULABLE  10-100 ul SOCOREX </t>
  </si>
  <si>
    <t xml:space="preserve">MICROPIPETA REGULABLE  20-200 ul  SOCOREX </t>
  </si>
  <si>
    <t xml:space="preserve">MICROPIPETA REGULABLE  100 - 1000 ul  SOCOREX </t>
  </si>
  <si>
    <t>37/2022</t>
  </si>
  <si>
    <t>Autorizo la realización de los  trámites correspondientes, a fin de proveer a  este Organismo los bienes y/o servicios que se detallan en Nota  de Pedido N° 37/2022 ,  afectando la erogación resultante a los créditos presupuestarios aprobados a favor de esta Unidad Ejecutora, conforme al siguiente detalle:"</t>
  </si>
  <si>
    <t>30 (treinta) dias habiles</t>
  </si>
  <si>
    <t>2.3.4</t>
  </si>
  <si>
    <t>CASETTE</t>
  </si>
  <si>
    <t>Productos de Papel y Carton</t>
  </si>
  <si>
    <t xml:space="preserve">20(veinte) dias habiles   desde la firma del documento contractual </t>
  </si>
  <si>
    <t>ALERE DETERMINE SYPHILIS  TP  PRESENTACION: SOBRE X  20 DET</t>
  </si>
  <si>
    <t>CAJAS TARJETAS LISS/COOMBS PARA TECNICA EN GEL X 48 UNIDADES DIAMED-BIORAD</t>
  </si>
  <si>
    <t>CEPILLOS PARA TUBOS DE 1,5 CM X 25 CM</t>
  </si>
  <si>
    <t>CUBETAS PARA COAGULOMETRO SIEMENS BFT II X 100 UNIDADES X 5 PLANCHAS</t>
  </si>
  <si>
    <t>HEMOCULTIVO AUTOMATIZADO P/ PEDIATRICO X 100 U</t>
  </si>
  <si>
    <t>HEMOCULTIVO AUTOMATIZADO P/BACTALERT ADULTO X 100 U</t>
  </si>
  <si>
    <t>PLACA CROMOGENICA P /EGB X 20 U</t>
  </si>
  <si>
    <t>REACTIVO SOLUCION DE BAJA FUERZA IONICA (LISS ADITIVO) X 10 ML- WIENER</t>
  </si>
  <si>
    <t>SERODIA  TPPA  ( 4  X 55 )</t>
  </si>
  <si>
    <t>Especificidades Item N° 1: 1 a 49</t>
  </si>
  <si>
    <t>SOBRE</t>
  </si>
  <si>
    <t>U/CSF PROTEINA URINARIA COBAS C-311 ROCHE X 150 DET</t>
  </si>
  <si>
    <t xml:space="preserve">COSTO TOTAL : CUATRO MILLONES CIENTO DIEZ MIL DOSCIENTOS DIECISEIS CON 33/100 CENTAVOS </t>
  </si>
  <si>
    <r>
      <rPr>
        <b/>
        <u/>
        <sz val="9"/>
        <rFont val="Arial"/>
        <family val="2"/>
      </rPr>
      <t>TOTAL DE PESOS:</t>
    </r>
    <r>
      <rPr>
        <b/>
        <sz val="9"/>
        <rFont val="Arial"/>
        <family val="2"/>
      </rPr>
      <t xml:space="preserve">  : CUATRO MILLONES CIENTO DIEZ MIL DOSCIENTOS DIECISEIS CON 33/100 CENTAVOS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</si>
</sst>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dd\-mm\-yy;@"/>
    <numFmt numFmtId="165" formatCode="_-* #,##0.00&quot; €&quot;_-;\-* #,##0.00&quot; €&quot;_-;_-* \-??&quot; €&quot;_-;_-@_-"/>
    <numFmt numFmtId="166" formatCode="_ [$$-2C0A]\ * #,##0.00_ ;_ [$$-2C0A]\ * \-#,##0.00_ ;_ [$$-2C0A]\ * &quot;-&quot;??_ ;_ @_ "/>
    <numFmt numFmtId="167" formatCode="_-[$$-2C0A]\ * #,##0.00_-;\-[$$-2C0A]\ * #,##0.00_-;_-[$$-2C0A]\ * &quot;-&quot;??_-;_-@_-"/>
  </numFmts>
  <fonts count="42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sz val="11"/>
      <color rgb="FF006100"/>
      <name val="Calibri"/>
      <family val="2"/>
      <scheme val="minor"/>
    </font>
    <font>
      <sz val="9"/>
      <color theme="1"/>
      <name val="Arial"/>
      <family val="2"/>
    </font>
    <font>
      <u/>
      <sz val="10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b/>
      <sz val="10"/>
      <name val="Times New Roman"/>
      <family val="1"/>
    </font>
    <font>
      <b/>
      <u/>
      <sz val="11"/>
      <name val="Arial"/>
      <family val="2"/>
      <charset val="1"/>
    </font>
    <font>
      <b/>
      <u/>
      <sz val="11"/>
      <color rgb="FF000000"/>
      <name val="Times New Roman"/>
      <family val="1"/>
    </font>
    <font>
      <b/>
      <u/>
      <sz val="9"/>
      <name val="Arial"/>
      <family val="2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6"/>
      </patternFill>
    </fill>
  </fills>
  <borders count="6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rgb="FF3D3D3D"/>
      </right>
      <top style="medium">
        <color indexed="64"/>
      </top>
      <bottom/>
      <diagonal/>
    </border>
    <border>
      <left style="medium">
        <color indexed="64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indexed="64"/>
      </right>
      <top/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rgb="FF3D3D3D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6" fillId="0" borderId="1" applyProtection="0"/>
    <xf numFmtId="0" fontId="8" fillId="2" borderId="0" applyBorder="0" applyProtection="0"/>
    <xf numFmtId="0" fontId="19" fillId="0" borderId="0"/>
    <xf numFmtId="44" fontId="27" fillId="0" borderId="0" applyFont="0" applyFill="0" applyBorder="0" applyAlignment="0" applyProtection="0"/>
    <xf numFmtId="0" fontId="19" fillId="0" borderId="0"/>
    <xf numFmtId="0" fontId="19" fillId="0" borderId="0"/>
    <xf numFmtId="0" fontId="30" fillId="5" borderId="0" applyNumberFormat="0" applyBorder="0" applyAlignment="0" applyProtection="0"/>
    <xf numFmtId="0" fontId="4" fillId="6" borderId="0" applyNumberFormat="0" applyBorder="0" applyAlignment="0" applyProtection="0"/>
    <xf numFmtId="165" fontId="19" fillId="0" borderId="0" applyBorder="0" applyProtection="0"/>
    <xf numFmtId="0" fontId="39" fillId="7" borderId="0" applyNumberFormat="0" applyBorder="0" applyAlignment="0" applyProtection="0"/>
  </cellStyleXfs>
  <cellXfs count="213">
    <xf numFmtId="0" fontId="0" fillId="0" borderId="0" xfId="0"/>
    <xf numFmtId="0" fontId="0" fillId="0" borderId="0" xfId="0" applyBorder="1"/>
    <xf numFmtId="0" fontId="7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4" fillId="0" borderId="0" xfId="0" applyNumberFormat="1" applyFont="1" applyBorder="1" applyAlignment="1"/>
    <xf numFmtId="164" fontId="0" fillId="0" borderId="0" xfId="0" applyNumberFormat="1" applyAlignment="1">
      <alignment horizontal="left"/>
    </xf>
    <xf numFmtId="0" fontId="7" fillId="0" borderId="0" xfId="0" applyFont="1"/>
    <xf numFmtId="0" fontId="0" fillId="0" borderId="0" xfId="0" applyFill="1" applyBorder="1"/>
    <xf numFmtId="0" fontId="0" fillId="0" borderId="3" xfId="0" applyFill="1" applyBorder="1"/>
    <xf numFmtId="0" fontId="0" fillId="0" borderId="16" xfId="0" applyFill="1" applyBorder="1"/>
    <xf numFmtId="0" fontId="0" fillId="0" borderId="5" xfId="0" applyFill="1" applyBorder="1"/>
    <xf numFmtId="0" fontId="0" fillId="0" borderId="5" xfId="0" applyFill="1" applyBorder="1" applyAlignment="1">
      <alignment horizontal="left"/>
    </xf>
    <xf numFmtId="0" fontId="0" fillId="0" borderId="17" xfId="0" applyFill="1" applyBorder="1"/>
    <xf numFmtId="0" fontId="18" fillId="0" borderId="18" xfId="0" applyFont="1" applyFill="1" applyBorder="1" applyAlignment="1">
      <alignment horizontal="center" vertical="center"/>
    </xf>
    <xf numFmtId="0" fontId="18" fillId="0" borderId="19" xfId="0" applyFont="1" applyFill="1" applyBorder="1" applyAlignment="1">
      <alignment horizontal="center" vertical="center"/>
    </xf>
    <xf numFmtId="0" fontId="18" fillId="0" borderId="19" xfId="0" applyFont="1" applyFill="1" applyBorder="1" applyAlignment="1">
      <alignment horizontal="left" vertical="center"/>
    </xf>
    <xf numFmtId="0" fontId="18" fillId="0" borderId="20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right" vertical="center"/>
    </xf>
    <xf numFmtId="0" fontId="10" fillId="4" borderId="5" xfId="0" applyFont="1" applyFill="1" applyBorder="1" applyAlignment="1">
      <alignment vertical="center"/>
    </xf>
    <xf numFmtId="0" fontId="10" fillId="4" borderId="0" xfId="0" applyFont="1" applyFill="1" applyBorder="1" applyAlignment="1">
      <alignment vertical="center"/>
    </xf>
    <xf numFmtId="0" fontId="12" fillId="4" borderId="0" xfId="0" applyFont="1" applyFill="1" applyBorder="1" applyAlignment="1">
      <alignment horizontal="left" vertical="center"/>
    </xf>
    <xf numFmtId="0" fontId="11" fillId="4" borderId="0" xfId="0" applyFont="1" applyFill="1" applyBorder="1" applyAlignment="1">
      <alignment horizontal="left" vertical="center" wrapText="1" indent="1"/>
    </xf>
    <xf numFmtId="0" fontId="7" fillId="4" borderId="0" xfId="0" applyFont="1" applyFill="1" applyBorder="1" applyAlignment="1">
      <alignment vertical="center"/>
    </xf>
    <xf numFmtId="0" fontId="20" fillId="0" borderId="0" xfId="0" applyFont="1" applyFill="1"/>
    <xf numFmtId="0" fontId="22" fillId="0" borderId="0" xfId="0" applyFont="1" applyFill="1" applyAlignment="1">
      <alignment horizontal="left" wrapText="1"/>
    </xf>
    <xf numFmtId="0" fontId="22" fillId="0" borderId="0" xfId="0" applyFont="1" applyFill="1" applyAlignment="1">
      <alignment horizontal="center" wrapText="1"/>
    </xf>
    <xf numFmtId="0" fontId="26" fillId="0" borderId="0" xfId="0" applyFont="1" applyFill="1" applyAlignment="1">
      <alignment horizontal="left" wrapText="1" indent="1"/>
    </xf>
    <xf numFmtId="0" fontId="23" fillId="0" borderId="0" xfId="0" applyFont="1" applyFill="1" applyAlignment="1">
      <alignment horizontal="left" wrapText="1"/>
    </xf>
    <xf numFmtId="0" fontId="20" fillId="0" borderId="0" xfId="0" applyFont="1" applyFill="1" applyAlignment="1">
      <alignment horizontal="center"/>
    </xf>
    <xf numFmtId="0" fontId="26" fillId="0" borderId="0" xfId="0" applyFont="1" applyFill="1" applyAlignment="1">
      <alignment horizontal="left" wrapText="1"/>
    </xf>
    <xf numFmtId="0" fontId="23" fillId="0" borderId="7" xfId="0" applyFont="1" applyFill="1" applyBorder="1" applyAlignment="1">
      <alignment horizontal="center" vertical="center" wrapText="1"/>
    </xf>
    <xf numFmtId="0" fontId="34" fillId="4" borderId="7" xfId="0" applyFont="1" applyFill="1" applyBorder="1" applyAlignment="1">
      <alignment horizontal="center" vertical="center"/>
    </xf>
    <xf numFmtId="0" fontId="34" fillId="4" borderId="7" xfId="0" applyFont="1" applyFill="1" applyBorder="1" applyAlignment="1">
      <alignment horizontal="center" vertical="center" wrapText="1"/>
    </xf>
    <xf numFmtId="0" fontId="28" fillId="4" borderId="7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/>
    </xf>
    <xf numFmtId="0" fontId="0" fillId="0" borderId="33" xfId="0" applyFont="1" applyFill="1" applyBorder="1" applyAlignment="1">
      <alignment horizontal="center" vertical="center"/>
    </xf>
    <xf numFmtId="0" fontId="0" fillId="0" borderId="34" xfId="0" applyFont="1" applyFill="1" applyBorder="1" applyAlignment="1">
      <alignment horizontal="center" vertical="center"/>
    </xf>
    <xf numFmtId="0" fontId="0" fillId="0" borderId="35" xfId="0" applyFont="1" applyFill="1" applyBorder="1" applyAlignment="1">
      <alignment horizontal="center" vertical="center"/>
    </xf>
    <xf numFmtId="0" fontId="19" fillId="0" borderId="35" xfId="0" applyFont="1" applyFill="1" applyBorder="1" applyAlignment="1">
      <alignment horizontal="center" vertical="center"/>
    </xf>
    <xf numFmtId="0" fontId="19" fillId="0" borderId="26" xfId="0" applyFont="1" applyFill="1" applyBorder="1" applyAlignment="1">
      <alignment horizontal="center" vertical="center"/>
    </xf>
    <xf numFmtId="0" fontId="19" fillId="0" borderId="36" xfId="0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vertical="center"/>
    </xf>
    <xf numFmtId="44" fontId="35" fillId="0" borderId="0" xfId="0" applyNumberFormat="1" applyFont="1" applyFill="1" applyBorder="1" applyAlignment="1">
      <alignment horizontal="center" vertical="center"/>
    </xf>
    <xf numFmtId="0" fontId="20" fillId="0" borderId="0" xfId="0" applyFont="1" applyBorder="1"/>
    <xf numFmtId="0" fontId="20" fillId="4" borderId="0" xfId="0" applyFont="1" applyFill="1" applyBorder="1"/>
    <xf numFmtId="0" fontId="20" fillId="0" borderId="0" xfId="0" applyFont="1" applyFill="1" applyBorder="1" applyAlignment="1">
      <alignment horizontal="center"/>
    </xf>
    <xf numFmtId="0" fontId="11" fillId="0" borderId="4" xfId="0" applyFont="1" applyFill="1" applyBorder="1" applyAlignment="1">
      <alignment horizontal="center" vertical="center"/>
    </xf>
    <xf numFmtId="0" fontId="0" fillId="0" borderId="44" xfId="0" applyFont="1" applyFill="1" applyBorder="1" applyAlignment="1">
      <alignment horizontal="center" vertical="center"/>
    </xf>
    <xf numFmtId="0" fontId="0" fillId="0" borderId="43" xfId="0" applyFont="1" applyFill="1" applyBorder="1" applyAlignment="1">
      <alignment horizontal="center" vertical="center"/>
    </xf>
    <xf numFmtId="0" fontId="19" fillId="0" borderId="43" xfId="0" applyFont="1" applyFill="1" applyBorder="1" applyAlignment="1">
      <alignment horizontal="center" vertical="center"/>
    </xf>
    <xf numFmtId="0" fontId="19" fillId="0" borderId="45" xfId="0" applyFont="1" applyFill="1" applyBorder="1" applyAlignment="1">
      <alignment horizontal="center" vertical="center"/>
    </xf>
    <xf numFmtId="0" fontId="23" fillId="0" borderId="11" xfId="0" applyFont="1" applyFill="1" applyBorder="1" applyAlignment="1">
      <alignment horizontal="center" vertical="center" wrapText="1"/>
    </xf>
    <xf numFmtId="0" fontId="23" fillId="0" borderId="2" xfId="0" applyFont="1" applyFill="1" applyBorder="1" applyAlignment="1">
      <alignment horizontal="center" vertical="center" wrapText="1"/>
    </xf>
    <xf numFmtId="44" fontId="7" fillId="0" borderId="0" xfId="0" applyNumberFormat="1" applyFont="1" applyBorder="1" applyAlignment="1">
      <alignment vertical="center"/>
    </xf>
    <xf numFmtId="44" fontId="19" fillId="0" borderId="2" xfId="0" applyNumberFormat="1" applyFont="1" applyBorder="1" applyAlignment="1">
      <alignment horizontal="center" vertical="center"/>
    </xf>
    <xf numFmtId="44" fontId="7" fillId="4" borderId="2" xfId="0" applyNumberFormat="1" applyFont="1" applyFill="1" applyBorder="1" applyAlignment="1">
      <alignment vertical="center" wrapText="1"/>
    </xf>
    <xf numFmtId="44" fontId="7" fillId="4" borderId="0" xfId="0" applyNumberFormat="1" applyFont="1" applyFill="1" applyBorder="1" applyAlignment="1">
      <alignment vertical="center" wrapText="1"/>
    </xf>
    <xf numFmtId="0" fontId="26" fillId="0" borderId="0" xfId="0" applyFont="1" applyFill="1" applyBorder="1" applyAlignment="1">
      <alignment horizontal="left" wrapText="1"/>
    </xf>
    <xf numFmtId="0" fontId="20" fillId="0" borderId="0" xfId="0" applyFont="1" applyFill="1" applyBorder="1"/>
    <xf numFmtId="0" fontId="23" fillId="0" borderId="27" xfId="0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center"/>
    </xf>
    <xf numFmtId="0" fontId="32" fillId="0" borderId="45" xfId="0" applyFont="1" applyFill="1" applyBorder="1"/>
    <xf numFmtId="0" fontId="20" fillId="0" borderId="49" xfId="0" applyFont="1" applyFill="1" applyBorder="1"/>
    <xf numFmtId="0" fontId="20" fillId="0" borderId="50" xfId="0" applyFont="1" applyFill="1" applyBorder="1" applyAlignment="1">
      <alignment horizontal="center"/>
    </xf>
    <xf numFmtId="0" fontId="20" fillId="0" borderId="51" xfId="0" applyFont="1" applyFill="1" applyBorder="1"/>
    <xf numFmtId="0" fontId="20" fillId="0" borderId="52" xfId="0" applyFont="1" applyFill="1" applyBorder="1" applyAlignment="1">
      <alignment horizontal="center"/>
    </xf>
    <xf numFmtId="0" fontId="32" fillId="0" borderId="51" xfId="0" applyFont="1" applyFill="1" applyBorder="1" applyAlignment="1">
      <alignment horizontal="left" indent="3"/>
    </xf>
    <xf numFmtId="0" fontId="32" fillId="0" borderId="51" xfId="0" applyFont="1" applyFill="1" applyBorder="1"/>
    <xf numFmtId="0" fontId="20" fillId="0" borderId="51" xfId="0" applyFont="1" applyFill="1" applyBorder="1" applyAlignment="1">
      <alignment horizontal="left" indent="3"/>
    </xf>
    <xf numFmtId="0" fontId="20" fillId="0" borderId="46" xfId="0" applyFont="1" applyFill="1" applyBorder="1" applyAlignment="1">
      <alignment horizontal="left" indent="3"/>
    </xf>
    <xf numFmtId="0" fontId="20" fillId="0" borderId="53" xfId="0" applyFont="1" applyFill="1" applyBorder="1"/>
    <xf numFmtId="0" fontId="20" fillId="0" borderId="54" xfId="0" applyFont="1" applyFill="1" applyBorder="1" applyAlignment="1">
      <alignment horizontal="center"/>
    </xf>
    <xf numFmtId="0" fontId="32" fillId="0" borderId="51" xfId="0" applyFont="1" applyFill="1" applyBorder="1" applyAlignment="1">
      <alignment vertical="center"/>
    </xf>
    <xf numFmtId="0" fontId="24" fillId="4" borderId="7" xfId="0" applyFont="1" applyFill="1" applyBorder="1" applyAlignment="1">
      <alignment horizontal="center" vertical="center"/>
    </xf>
    <xf numFmtId="0" fontId="25" fillId="4" borderId="7" xfId="0" applyFont="1" applyFill="1" applyBorder="1" applyAlignment="1">
      <alignment horizontal="center" vertical="center" wrapText="1"/>
    </xf>
    <xf numFmtId="1" fontId="25" fillId="4" borderId="7" xfId="0" applyNumberFormat="1" applyFont="1" applyFill="1" applyBorder="1" applyAlignment="1">
      <alignment horizontal="center" vertical="center" wrapText="1"/>
    </xf>
    <xf numFmtId="0" fontId="31" fillId="4" borderId="7" xfId="8" applyFont="1" applyFill="1" applyBorder="1" applyAlignment="1">
      <alignment horizontal="left" vertical="center" wrapText="1"/>
    </xf>
    <xf numFmtId="0" fontId="31" fillId="4" borderId="7" xfId="8" applyFont="1" applyFill="1" applyBorder="1" applyAlignment="1">
      <alignment horizontal="center" vertical="center"/>
    </xf>
    <xf numFmtId="166" fontId="3" fillId="4" borderId="2" xfId="10" applyNumberFormat="1" applyFont="1" applyFill="1" applyBorder="1" applyAlignment="1">
      <alignment horizontal="center" vertical="center"/>
    </xf>
    <xf numFmtId="44" fontId="28" fillId="4" borderId="2" xfId="4" applyFont="1" applyFill="1" applyBorder="1" applyAlignment="1">
      <alignment vertical="center" wrapText="1"/>
    </xf>
    <xf numFmtId="0" fontId="29" fillId="4" borderId="7" xfId="0" applyFont="1" applyFill="1" applyBorder="1" applyAlignment="1">
      <alignment horizontal="center" vertical="center" wrapText="1"/>
    </xf>
    <xf numFmtId="0" fontId="5" fillId="4" borderId="7" xfId="7" applyFont="1" applyFill="1" applyBorder="1" applyAlignment="1">
      <alignment horizontal="center"/>
    </xf>
    <xf numFmtId="0" fontId="31" fillId="4" borderId="7" xfId="7" applyFont="1" applyFill="1" applyBorder="1" applyAlignment="1">
      <alignment horizontal="left" vertical="center" wrapText="1"/>
    </xf>
    <xf numFmtId="0" fontId="31" fillId="4" borderId="7" xfId="7" applyFont="1" applyFill="1" applyBorder="1" applyAlignment="1">
      <alignment horizontal="center" vertical="center"/>
    </xf>
    <xf numFmtId="0" fontId="31" fillId="4" borderId="11" xfId="7" applyFont="1" applyFill="1" applyBorder="1" applyAlignment="1">
      <alignment horizontal="center" vertical="center"/>
    </xf>
    <xf numFmtId="44" fontId="20" fillId="4" borderId="2" xfId="0" applyNumberFormat="1" applyFont="1" applyFill="1" applyBorder="1"/>
    <xf numFmtId="0" fontId="24" fillId="4" borderId="11" xfId="0" applyFont="1" applyFill="1" applyBorder="1" applyAlignment="1">
      <alignment horizontal="center" vertical="center"/>
    </xf>
    <xf numFmtId="0" fontId="25" fillId="4" borderId="55" xfId="0" applyFont="1" applyFill="1" applyBorder="1" applyAlignment="1">
      <alignment horizontal="center" vertical="center" wrapText="1"/>
    </xf>
    <xf numFmtId="0" fontId="24" fillId="4" borderId="56" xfId="0" applyFont="1" applyFill="1" applyBorder="1" applyAlignment="1">
      <alignment horizontal="center" vertical="center"/>
    </xf>
    <xf numFmtId="1" fontId="25" fillId="4" borderId="56" xfId="0" applyNumberFormat="1" applyFont="1" applyFill="1" applyBorder="1" applyAlignment="1">
      <alignment horizontal="center" vertical="center" wrapText="1"/>
    </xf>
    <xf numFmtId="0" fontId="29" fillId="4" borderId="56" xfId="0" applyFont="1" applyFill="1" applyBorder="1" applyAlignment="1">
      <alignment horizontal="center" vertical="center" wrapText="1"/>
    </xf>
    <xf numFmtId="166" fontId="3" fillId="4" borderId="43" xfId="10" applyNumberFormat="1" applyFont="1" applyFill="1" applyBorder="1" applyAlignment="1">
      <alignment horizontal="center" vertical="center"/>
    </xf>
    <xf numFmtId="44" fontId="28" fillId="4" borderId="43" xfId="4" applyFont="1" applyFill="1" applyBorder="1" applyAlignment="1">
      <alignment vertical="center" wrapText="1"/>
    </xf>
    <xf numFmtId="0" fontId="24" fillId="4" borderId="2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 wrapText="1"/>
    </xf>
    <xf numFmtId="1" fontId="25" fillId="4" borderId="2" xfId="0" applyNumberFormat="1" applyFont="1" applyFill="1" applyBorder="1" applyAlignment="1">
      <alignment horizontal="center" vertical="center" wrapText="1"/>
    </xf>
    <xf numFmtId="0" fontId="29" fillId="4" borderId="2" xfId="0" applyFont="1" applyFill="1" applyBorder="1" applyAlignment="1">
      <alignment horizontal="center" vertical="center" wrapText="1"/>
    </xf>
    <xf numFmtId="0" fontId="24" fillId="4" borderId="43" xfId="0" applyFont="1" applyFill="1" applyBorder="1" applyAlignment="1">
      <alignment horizontal="center" vertical="center"/>
    </xf>
    <xf numFmtId="0" fontId="25" fillId="4" borderId="43" xfId="0" applyFont="1" applyFill="1" applyBorder="1" applyAlignment="1">
      <alignment horizontal="center" vertical="center" wrapText="1"/>
    </xf>
    <xf numFmtId="1" fontId="25" fillId="4" borderId="43" xfId="0" applyNumberFormat="1" applyFont="1" applyFill="1" applyBorder="1" applyAlignment="1">
      <alignment horizontal="center" vertical="center" wrapText="1"/>
    </xf>
    <xf numFmtId="0" fontId="29" fillId="4" borderId="43" xfId="0" applyFont="1" applyFill="1" applyBorder="1" applyAlignment="1">
      <alignment horizontal="left" vertical="center" wrapText="1"/>
    </xf>
    <xf numFmtId="0" fontId="29" fillId="4" borderId="43" xfId="0" applyFont="1" applyFill="1" applyBorder="1" applyAlignment="1">
      <alignment horizontal="center" vertical="center" wrapText="1"/>
    </xf>
    <xf numFmtId="166" fontId="2" fillId="4" borderId="2" xfId="10" applyNumberFormat="1" applyFont="1" applyFill="1" applyBorder="1" applyAlignment="1">
      <alignment horizontal="left" vertical="center"/>
    </xf>
    <xf numFmtId="0" fontId="29" fillId="4" borderId="7" xfId="0" applyFont="1" applyFill="1" applyBorder="1" applyAlignment="1">
      <alignment horizontal="left" vertical="center" wrapText="1"/>
    </xf>
    <xf numFmtId="0" fontId="28" fillId="4" borderId="12" xfId="0" applyFont="1" applyFill="1" applyBorder="1" applyAlignment="1">
      <alignment horizontal="center" vertical="center" wrapText="1"/>
    </xf>
    <xf numFmtId="0" fontId="29" fillId="4" borderId="2" xfId="0" applyFont="1" applyFill="1" applyBorder="1" applyAlignment="1">
      <alignment horizontal="left" vertical="center" wrapText="1"/>
    </xf>
    <xf numFmtId="0" fontId="34" fillId="4" borderId="56" xfId="0" applyFont="1" applyFill="1" applyBorder="1" applyAlignment="1">
      <alignment horizontal="center" vertical="center" wrapText="1"/>
    </xf>
    <xf numFmtId="0" fontId="34" fillId="4" borderId="55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20" fillId="4" borderId="56" xfId="0" applyFont="1" applyFill="1" applyBorder="1" applyAlignment="1">
      <alignment horizontal="center"/>
    </xf>
    <xf numFmtId="1" fontId="24" fillId="4" borderId="2" xfId="0" applyNumberFormat="1" applyFont="1" applyFill="1" applyBorder="1" applyAlignment="1">
      <alignment horizontal="center" vertical="center" wrapText="1"/>
    </xf>
    <xf numFmtId="0" fontId="28" fillId="4" borderId="2" xfId="0" applyFont="1" applyFill="1" applyBorder="1" applyAlignment="1">
      <alignment horizontal="left" vertical="center" wrapText="1"/>
    </xf>
    <xf numFmtId="0" fontId="31" fillId="4" borderId="56" xfId="7" applyFont="1" applyFill="1" applyBorder="1" applyAlignment="1">
      <alignment horizontal="left" vertical="center" wrapText="1"/>
    </xf>
    <xf numFmtId="1" fontId="31" fillId="4" borderId="11" xfId="7" applyNumberFormat="1" applyFont="1" applyFill="1" applyBorder="1" applyAlignment="1">
      <alignment horizontal="center" vertical="center"/>
    </xf>
    <xf numFmtId="166" fontId="1" fillId="4" borderId="2" xfId="10" applyNumberFormat="1" applyFont="1" applyFill="1" applyBorder="1" applyAlignment="1">
      <alignment horizontal="center" vertical="center"/>
    </xf>
    <xf numFmtId="0" fontId="31" fillId="4" borderId="11" xfId="0" applyFont="1" applyFill="1" applyBorder="1" applyAlignment="1">
      <alignment horizontal="center" vertical="center" wrapText="1"/>
    </xf>
    <xf numFmtId="166" fontId="40" fillId="4" borderId="2" xfId="4" applyNumberFormat="1" applyFont="1" applyFill="1" applyBorder="1" applyAlignment="1">
      <alignment horizontal="center" vertical="center"/>
    </xf>
    <xf numFmtId="44" fontId="41" fillId="4" borderId="2" xfId="0" applyNumberFormat="1" applyFont="1" applyFill="1" applyBorder="1"/>
    <xf numFmtId="0" fontId="31" fillId="4" borderId="31" xfId="0" applyFont="1" applyFill="1" applyBorder="1" applyAlignment="1">
      <alignment horizontal="center" vertical="center" wrapText="1"/>
    </xf>
    <xf numFmtId="166" fontId="1" fillId="4" borderId="43" xfId="10" applyNumberFormat="1" applyFont="1" applyFill="1" applyBorder="1" applyAlignment="1">
      <alignment horizontal="center" vertical="center"/>
    </xf>
    <xf numFmtId="0" fontId="31" fillId="4" borderId="2" xfId="0" applyFont="1" applyFill="1" applyBorder="1" applyAlignment="1">
      <alignment horizontal="center" vertical="center" wrapText="1"/>
    </xf>
    <xf numFmtId="1" fontId="20" fillId="0" borderId="0" xfId="0" applyNumberFormat="1" applyFont="1" applyFill="1" applyBorder="1" applyAlignment="1">
      <alignment horizontal="center"/>
    </xf>
    <xf numFmtId="0" fontId="20" fillId="4" borderId="2" xfId="0" applyFont="1" applyFill="1" applyBorder="1"/>
    <xf numFmtId="0" fontId="20" fillId="4" borderId="2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left" vertical="center"/>
    </xf>
    <xf numFmtId="44" fontId="19" fillId="0" borderId="2" xfId="0" applyNumberFormat="1" applyFont="1" applyFill="1" applyBorder="1" applyAlignment="1">
      <alignment horizontal="center" vertical="center"/>
    </xf>
    <xf numFmtId="0" fontId="31" fillId="4" borderId="11" xfId="8" applyFont="1" applyFill="1" applyBorder="1" applyAlignment="1">
      <alignment horizontal="center" vertical="center"/>
    </xf>
    <xf numFmtId="1" fontId="31" fillId="4" borderId="2" xfId="7" applyNumberFormat="1" applyFont="1" applyFill="1" applyBorder="1" applyAlignment="1">
      <alignment horizontal="center" vertical="center"/>
    </xf>
    <xf numFmtId="167" fontId="7" fillId="0" borderId="0" xfId="0" applyNumberFormat="1" applyFont="1" applyBorder="1" applyAlignment="1">
      <alignment vertical="center"/>
    </xf>
    <xf numFmtId="0" fontId="29" fillId="0" borderId="7" xfId="0" applyFont="1" applyFill="1" applyBorder="1" applyAlignment="1">
      <alignment horizontal="left" vertical="center" wrapText="1"/>
    </xf>
    <xf numFmtId="0" fontId="29" fillId="0" borderId="7" xfId="0" applyFont="1" applyFill="1" applyBorder="1" applyAlignment="1">
      <alignment horizontal="center" vertical="center" wrapText="1"/>
    </xf>
    <xf numFmtId="0" fontId="29" fillId="0" borderId="11" xfId="0" applyFont="1" applyFill="1" applyBorder="1" applyAlignment="1">
      <alignment horizontal="center" vertical="center" wrapText="1"/>
    </xf>
    <xf numFmtId="44" fontId="22" fillId="0" borderId="2" xfId="0" applyNumberFormat="1" applyFont="1" applyFill="1" applyBorder="1" applyAlignment="1">
      <alignment horizontal="center" vertical="center" wrapText="1"/>
    </xf>
    <xf numFmtId="44" fontId="22" fillId="0" borderId="0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vertical="center" wrapText="1"/>
    </xf>
    <xf numFmtId="0" fontId="0" fillId="0" borderId="47" xfId="0" applyBorder="1" applyAlignment="1">
      <alignment vertical="center"/>
    </xf>
    <xf numFmtId="0" fontId="0" fillId="0" borderId="59" xfId="0" applyBorder="1" applyAlignment="1">
      <alignment vertical="center"/>
    </xf>
    <xf numFmtId="0" fontId="29" fillId="4" borderId="7" xfId="0" applyFont="1" applyFill="1" applyBorder="1" applyAlignment="1">
      <alignment horizontal="left" vertical="center" wrapText="1"/>
    </xf>
    <xf numFmtId="0" fontId="21" fillId="0" borderId="0" xfId="0" applyFont="1" applyFill="1" applyBorder="1" applyAlignment="1">
      <alignment horizontal="center" vertical="top" wrapText="1"/>
    </xf>
    <xf numFmtId="0" fontId="20" fillId="0" borderId="0" xfId="0" applyFont="1" applyFill="1" applyBorder="1" applyAlignment="1">
      <alignment horizontal="center"/>
    </xf>
    <xf numFmtId="0" fontId="20" fillId="0" borderId="52" xfId="0" applyFont="1" applyFill="1" applyBorder="1" applyAlignment="1">
      <alignment horizontal="center"/>
    </xf>
    <xf numFmtId="0" fontId="20" fillId="0" borderId="0" xfId="0" applyFont="1" applyFill="1" applyBorder="1" applyAlignment="1">
      <alignment horizontal="center" wrapText="1"/>
    </xf>
    <xf numFmtId="0" fontId="20" fillId="0" borderId="52" xfId="0" applyFont="1" applyFill="1" applyBorder="1" applyAlignment="1">
      <alignment horizontal="center" wrapText="1"/>
    </xf>
    <xf numFmtId="0" fontId="37" fillId="0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center" vertical="center" wrapText="1"/>
    </xf>
    <xf numFmtId="0" fontId="20" fillId="0" borderId="52" xfId="0" applyFont="1" applyFill="1" applyBorder="1" applyAlignment="1">
      <alignment horizontal="center" vertical="center" wrapText="1"/>
    </xf>
    <xf numFmtId="0" fontId="26" fillId="0" borderId="0" xfId="0" applyFont="1" applyFill="1" applyBorder="1" applyAlignment="1">
      <alignment horizontal="left" wrapText="1" indent="1"/>
    </xf>
    <xf numFmtId="0" fontId="12" fillId="4" borderId="9" xfId="0" applyFont="1" applyFill="1" applyBorder="1" applyAlignment="1">
      <alignment horizontal="left" vertical="center"/>
    </xf>
    <xf numFmtId="0" fontId="11" fillId="3" borderId="10" xfId="0" applyFont="1" applyFill="1" applyBorder="1" applyAlignment="1">
      <alignment horizontal="left" vertical="center" wrapText="1" indent="1"/>
    </xf>
    <xf numFmtId="0" fontId="16" fillId="0" borderId="6" xfId="0" applyFont="1" applyBorder="1" applyAlignment="1">
      <alignment horizontal="left" vertical="center"/>
    </xf>
    <xf numFmtId="0" fontId="16" fillId="0" borderId="22" xfId="0" applyFont="1" applyBorder="1" applyAlignment="1">
      <alignment horizontal="left" vertical="center"/>
    </xf>
    <xf numFmtId="0" fontId="16" fillId="0" borderId="23" xfId="0" applyFont="1" applyBorder="1" applyAlignment="1">
      <alignment horizontal="left" vertical="center"/>
    </xf>
    <xf numFmtId="0" fontId="16" fillId="0" borderId="6" xfId="0" applyFont="1" applyBorder="1" applyAlignment="1">
      <alignment horizontal="left"/>
    </xf>
    <xf numFmtId="0" fontId="16" fillId="0" borderId="22" xfId="0" applyFont="1" applyBorder="1" applyAlignment="1">
      <alignment horizontal="left"/>
    </xf>
    <xf numFmtId="0" fontId="16" fillId="0" borderId="23" xfId="0" applyFont="1" applyBorder="1" applyAlignment="1">
      <alignment horizontal="left"/>
    </xf>
    <xf numFmtId="0" fontId="10" fillId="4" borderId="0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left" vertical="center" wrapText="1"/>
    </xf>
    <xf numFmtId="0" fontId="12" fillId="4" borderId="8" xfId="0" applyFont="1" applyFill="1" applyBorder="1" applyAlignment="1">
      <alignment horizontal="left" vertical="center" wrapText="1"/>
    </xf>
    <xf numFmtId="0" fontId="11" fillId="4" borderId="7" xfId="0" applyFont="1" applyFill="1" applyBorder="1" applyAlignment="1">
      <alignment horizontal="left" vertical="center" wrapText="1" indent="1"/>
    </xf>
    <xf numFmtId="0" fontId="13" fillId="4" borderId="7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 wrapText="1"/>
    </xf>
    <xf numFmtId="0" fontId="13" fillId="4" borderId="56" xfId="0" applyFont="1" applyFill="1" applyBorder="1" applyAlignment="1">
      <alignment horizontal="center" vertical="center" wrapText="1"/>
    </xf>
    <xf numFmtId="0" fontId="7" fillId="4" borderId="32" xfId="0" applyFont="1" applyFill="1" applyBorder="1" applyAlignment="1">
      <alignment horizontal="left" vertical="center"/>
    </xf>
    <xf numFmtId="0" fontId="7" fillId="4" borderId="29" xfId="0" applyFont="1" applyFill="1" applyBorder="1" applyAlignment="1">
      <alignment horizontal="left" vertical="center"/>
    </xf>
    <xf numFmtId="0" fontId="7" fillId="4" borderId="30" xfId="0" applyFont="1" applyFill="1" applyBorder="1" applyAlignment="1">
      <alignment horizontal="left" vertical="center"/>
    </xf>
    <xf numFmtId="44" fontId="7" fillId="4" borderId="29" xfId="0" quotePrefix="1" applyNumberFormat="1" applyFont="1" applyFill="1" applyBorder="1" applyAlignment="1">
      <alignment horizontal="center" vertical="center"/>
    </xf>
    <xf numFmtId="44" fontId="7" fillId="4" borderId="30" xfId="0" applyNumberFormat="1" applyFont="1" applyFill="1" applyBorder="1" applyAlignment="1">
      <alignment horizontal="center" vertical="center"/>
    </xf>
    <xf numFmtId="0" fontId="16" fillId="0" borderId="38" xfId="0" applyFont="1" applyFill="1" applyBorder="1" applyAlignment="1">
      <alignment horizontal="left" vertical="center" wrapText="1" indent="1"/>
    </xf>
    <xf numFmtId="0" fontId="16" fillId="0" borderId="21" xfId="0" applyFont="1" applyFill="1" applyBorder="1" applyAlignment="1">
      <alignment horizontal="left" vertical="center" wrapText="1" indent="1"/>
    </xf>
    <xf numFmtId="0" fontId="16" fillId="0" borderId="39" xfId="0" applyFont="1" applyFill="1" applyBorder="1" applyAlignment="1">
      <alignment horizontal="left" vertical="center" wrapText="1" indent="1"/>
    </xf>
    <xf numFmtId="0" fontId="16" fillId="0" borderId="40" xfId="0" applyFont="1" applyFill="1" applyBorder="1" applyAlignment="1">
      <alignment horizontal="left" vertical="center" wrapText="1" indent="1"/>
    </xf>
    <xf numFmtId="0" fontId="16" fillId="0" borderId="41" xfId="0" applyFont="1" applyFill="1" applyBorder="1" applyAlignment="1">
      <alignment horizontal="left" vertical="center" wrapText="1" indent="1"/>
    </xf>
    <xf numFmtId="0" fontId="16" fillId="0" borderId="42" xfId="0" applyFont="1" applyFill="1" applyBorder="1" applyAlignment="1">
      <alignment horizontal="left" vertical="center" wrapText="1" indent="1"/>
    </xf>
    <xf numFmtId="0" fontId="28" fillId="0" borderId="32" xfId="0" applyFont="1" applyFill="1" applyBorder="1" applyAlignment="1">
      <alignment horizontal="left" vertical="center" wrapText="1"/>
    </xf>
    <xf numFmtId="0" fontId="28" fillId="0" borderId="29" xfId="0" applyFont="1" applyFill="1" applyBorder="1" applyAlignment="1">
      <alignment horizontal="left" vertical="center" wrapText="1"/>
    </xf>
    <xf numFmtId="0" fontId="34" fillId="0" borderId="21" xfId="0" applyFont="1" applyFill="1" applyBorder="1" applyAlignment="1">
      <alignment horizontal="left" vertical="center" wrapText="1"/>
    </xf>
    <xf numFmtId="0" fontId="34" fillId="0" borderId="16" xfId="0" applyFont="1" applyFill="1" applyBorder="1" applyAlignment="1">
      <alignment horizontal="left" vertical="center" wrapText="1"/>
    </xf>
    <xf numFmtId="0" fontId="0" fillId="0" borderId="13" xfId="0" applyFill="1" applyBorder="1"/>
    <xf numFmtId="0" fontId="0" fillId="0" borderId="14" xfId="0" applyFill="1" applyBorder="1"/>
    <xf numFmtId="0" fontId="18" fillId="0" borderId="13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24" xfId="0" applyFont="1" applyFill="1" applyBorder="1" applyAlignment="1">
      <alignment horizontal="center" vertical="center" wrapText="1"/>
    </xf>
    <xf numFmtId="0" fontId="18" fillId="0" borderId="25" xfId="0" applyFont="1" applyFill="1" applyBorder="1" applyAlignment="1">
      <alignment horizontal="center" vertical="center" wrapText="1"/>
    </xf>
    <xf numFmtId="0" fontId="18" fillId="0" borderId="57" xfId="0" applyFont="1" applyFill="1" applyBorder="1" applyAlignment="1">
      <alignment horizontal="center" vertical="center" wrapText="1"/>
    </xf>
    <xf numFmtId="0" fontId="18" fillId="0" borderId="58" xfId="0" applyFont="1" applyFill="1" applyBorder="1" applyAlignment="1">
      <alignment horizontal="center" vertical="center" wrapText="1"/>
    </xf>
    <xf numFmtId="0" fontId="18" fillId="0" borderId="28" xfId="0" applyFont="1" applyFill="1" applyBorder="1" applyAlignment="1">
      <alignment horizontal="center" vertical="center"/>
    </xf>
    <xf numFmtId="0" fontId="18" fillId="0" borderId="48" xfId="0" applyFont="1" applyFill="1" applyBorder="1" applyAlignment="1">
      <alignment horizontal="center" vertical="center"/>
    </xf>
    <xf numFmtId="0" fontId="36" fillId="0" borderId="31" xfId="0" applyFont="1" applyFill="1" applyBorder="1" applyAlignment="1">
      <alignment vertical="center" wrapText="1"/>
    </xf>
    <xf numFmtId="0" fontId="36" fillId="0" borderId="27" xfId="0" applyFont="1" applyFill="1" applyBorder="1" applyAlignment="1">
      <alignment vertical="center" wrapText="1"/>
    </xf>
    <xf numFmtId="0" fontId="16" fillId="0" borderId="37" xfId="0" applyFont="1" applyFill="1" applyBorder="1" applyAlignment="1">
      <alignment vertical="center" wrapText="1"/>
    </xf>
    <xf numFmtId="0" fontId="16" fillId="0" borderId="28" xfId="0" applyFont="1" applyFill="1" applyBorder="1" applyAlignment="1">
      <alignment vertical="center" wrapText="1"/>
    </xf>
    <xf numFmtId="0" fontId="28" fillId="0" borderId="26" xfId="0" applyFont="1" applyFill="1" applyBorder="1" applyAlignment="1">
      <alignment horizontal="left" vertical="center" wrapText="1"/>
    </xf>
    <xf numFmtId="0" fontId="28" fillId="0" borderId="47" xfId="0" applyFont="1" applyFill="1" applyBorder="1" applyAlignment="1">
      <alignment horizontal="left" vertical="center" wrapText="1"/>
    </xf>
    <xf numFmtId="0" fontId="28" fillId="0" borderId="2" xfId="0" applyFont="1" applyFill="1" applyBorder="1" applyAlignment="1">
      <alignment horizontal="left" vertical="center" wrapText="1"/>
    </xf>
    <xf numFmtId="0" fontId="0" fillId="0" borderId="11" xfId="0" applyFont="1" applyBorder="1" applyAlignment="1">
      <alignment horizontal="center"/>
    </xf>
    <xf numFmtId="1" fontId="14" fillId="0" borderId="12" xfId="0" applyNumberFormat="1" applyFont="1" applyBorder="1" applyAlignment="1">
      <alignment horizontal="center"/>
    </xf>
    <xf numFmtId="0" fontId="15" fillId="0" borderId="4" xfId="0" applyFont="1" applyBorder="1" applyAlignment="1">
      <alignment horizontal="center" vertical="center" wrapText="1"/>
    </xf>
    <xf numFmtId="0" fontId="7" fillId="0" borderId="4" xfId="0" applyFont="1" applyBorder="1"/>
    <xf numFmtId="0" fontId="16" fillId="0" borderId="4" xfId="0" applyFont="1" applyBorder="1" applyAlignment="1">
      <alignment horizontal="left" indent="1"/>
    </xf>
    <xf numFmtId="0" fontId="16" fillId="0" borderId="14" xfId="0" applyFont="1" applyFill="1" applyBorder="1"/>
    <xf numFmtId="0" fontId="16" fillId="0" borderId="15" xfId="0" applyFont="1" applyFill="1" applyBorder="1" applyAlignment="1">
      <alignment horizontal="left" vertical="center" wrapText="1" indent="1"/>
    </xf>
    <xf numFmtId="0" fontId="9" fillId="0" borderId="6" xfId="0" applyFont="1" applyFill="1" applyBorder="1" applyAlignment="1">
      <alignment horizontal="left" vertical="center" wrapText="1"/>
    </xf>
    <xf numFmtId="0" fontId="9" fillId="0" borderId="22" xfId="0" applyFont="1" applyFill="1" applyBorder="1" applyAlignment="1">
      <alignment horizontal="left" vertical="center" wrapText="1"/>
    </xf>
    <xf numFmtId="0" fontId="9" fillId="0" borderId="23" xfId="0" applyFont="1" applyFill="1" applyBorder="1" applyAlignment="1">
      <alignment horizontal="left" vertical="center" wrapText="1"/>
    </xf>
    <xf numFmtId="0" fontId="16" fillId="0" borderId="4" xfId="0" applyFont="1" applyFill="1" applyBorder="1" applyAlignment="1">
      <alignment horizontal="left" indent="1"/>
    </xf>
    <xf numFmtId="0" fontId="17" fillId="0" borderId="4" xfId="0" applyFont="1" applyFill="1" applyBorder="1" applyAlignment="1">
      <alignment horizontal="left"/>
    </xf>
    <xf numFmtId="0" fontId="16" fillId="0" borderId="6" xfId="0" applyFont="1" applyFill="1" applyBorder="1" applyAlignment="1">
      <alignment horizontal="left" vertical="center" wrapText="1" indent="1"/>
    </xf>
    <xf numFmtId="0" fontId="16" fillId="0" borderId="22" xfId="0" applyFont="1" applyFill="1" applyBorder="1" applyAlignment="1">
      <alignment horizontal="left" vertical="center" wrapText="1" indent="1"/>
    </xf>
    <xf numFmtId="0" fontId="16" fillId="0" borderId="23" xfId="0" applyFont="1" applyFill="1" applyBorder="1" applyAlignment="1">
      <alignment horizontal="left" vertical="center" wrapText="1" indent="1"/>
    </xf>
  </cellXfs>
  <cellStyles count="11">
    <cellStyle name="20% - Énfasis5" xfId="8" builtinId="46"/>
    <cellStyle name="Bueno" xfId="7" builtinId="26"/>
    <cellStyle name="Encabezado 1" xfId="1" xr:uid="{00000000-0005-0000-0000-000002000000}"/>
    <cellStyle name="Énfasis3" xfId="10" builtinId="37"/>
    <cellStyle name="Moneda" xfId="4" builtinId="4"/>
    <cellStyle name="Moneda 2" xfId="9" xr:uid="{00000000-0005-0000-0000-000005000000}"/>
    <cellStyle name="Neutral 1" xfId="2" xr:uid="{00000000-0005-0000-0000-000006000000}"/>
    <cellStyle name="Normal" xfId="0" builtinId="0"/>
    <cellStyle name="Normal 2" xfId="3" xr:uid="{00000000-0005-0000-0000-000008000000}"/>
    <cellStyle name="Normal 3" xfId="5" xr:uid="{00000000-0005-0000-0000-000009000000}"/>
    <cellStyle name="Normal 4" xfId="6" xr:uid="{00000000-0005-0000-0000-00000A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O77"/>
  <sheetViews>
    <sheetView topLeftCell="A42" zoomScale="84" zoomScaleNormal="84" zoomScaleSheetLayoutView="142" workbookViewId="0">
      <selection activeCell="K13" sqref="K13"/>
    </sheetView>
  </sheetViews>
  <sheetFormatPr baseColWidth="10" defaultRowHeight="12.75" x14ac:dyDescent="0.2"/>
  <cols>
    <col min="1" max="1" width="4.5703125" style="23" customWidth="1"/>
    <col min="2" max="2" width="13.140625" style="23" customWidth="1"/>
    <col min="3" max="3" width="23.140625" style="28" customWidth="1"/>
    <col min="4" max="4" width="8.42578125" style="23" customWidth="1"/>
    <col min="5" max="5" width="76.5703125" style="23" customWidth="1"/>
    <col min="6" max="6" width="11" style="28"/>
    <col min="7" max="7" width="12.7109375" style="28" customWidth="1"/>
    <col min="8" max="8" width="19" style="23" customWidth="1"/>
    <col min="9" max="9" width="18.5703125" style="23" customWidth="1"/>
    <col min="10" max="16384" width="11.42578125" style="45"/>
  </cols>
  <sheetData>
    <row r="2" spans="1:15" ht="27.6" customHeight="1" x14ac:dyDescent="0.2">
      <c r="C2" s="141" t="s">
        <v>71</v>
      </c>
      <c r="D2" s="141"/>
      <c r="E2" s="141"/>
      <c r="F2" s="141"/>
      <c r="G2" s="141"/>
      <c r="H2" s="43"/>
    </row>
    <row r="4" spans="1:15" ht="18" customHeight="1" x14ac:dyDescent="0.25">
      <c r="A4" s="146" t="s">
        <v>0</v>
      </c>
      <c r="B4" s="146"/>
      <c r="C4" s="149" t="s">
        <v>49</v>
      </c>
      <c r="D4" s="149"/>
      <c r="E4" s="149"/>
      <c r="F4" s="25"/>
      <c r="G4" s="25"/>
      <c r="H4" s="24"/>
    </row>
    <row r="5" spans="1:15" ht="18" customHeight="1" x14ac:dyDescent="0.25">
      <c r="A5" s="146" t="s">
        <v>1</v>
      </c>
      <c r="B5" s="146"/>
      <c r="C5" s="149" t="s">
        <v>86</v>
      </c>
      <c r="D5" s="149"/>
      <c r="E5" s="149"/>
      <c r="F5" s="25"/>
      <c r="G5" s="25"/>
      <c r="H5" s="24"/>
    </row>
    <row r="6" spans="1:15" ht="16.5" customHeight="1" x14ac:dyDescent="0.25">
      <c r="A6" s="146" t="s">
        <v>2</v>
      </c>
      <c r="B6" s="146"/>
      <c r="C6" s="29" t="s">
        <v>95</v>
      </c>
      <c r="D6" s="26"/>
      <c r="E6" s="27"/>
      <c r="F6" s="25"/>
      <c r="G6" s="25"/>
      <c r="H6" s="24"/>
    </row>
    <row r="7" spans="1:15" ht="16.5" customHeight="1" x14ac:dyDescent="0.25">
      <c r="A7" s="146" t="s">
        <v>3</v>
      </c>
      <c r="B7" s="146"/>
      <c r="C7" s="59" t="s">
        <v>98</v>
      </c>
      <c r="D7" s="26"/>
      <c r="E7" s="27"/>
      <c r="F7" s="25"/>
      <c r="G7" s="25"/>
      <c r="H7" s="24"/>
    </row>
    <row r="8" spans="1:15" ht="13.5" thickBot="1" x14ac:dyDescent="0.25">
      <c r="C8" s="25"/>
      <c r="D8" s="25"/>
      <c r="E8" s="24"/>
      <c r="F8" s="25"/>
      <c r="G8" s="25"/>
      <c r="H8" s="24"/>
    </row>
    <row r="9" spans="1:15" ht="45" customHeight="1" thickBot="1" x14ac:dyDescent="0.25">
      <c r="A9" s="30" t="s">
        <v>4</v>
      </c>
      <c r="B9" s="30" t="s">
        <v>60</v>
      </c>
      <c r="C9" s="30" t="s">
        <v>5</v>
      </c>
      <c r="D9" s="30" t="s">
        <v>61</v>
      </c>
      <c r="E9" s="30" t="s">
        <v>6</v>
      </c>
      <c r="F9" s="30" t="s">
        <v>7</v>
      </c>
      <c r="G9" s="53" t="s">
        <v>8</v>
      </c>
      <c r="H9" s="54" t="s">
        <v>9</v>
      </c>
      <c r="I9" s="61" t="s">
        <v>10</v>
      </c>
      <c r="K9" s="137"/>
      <c r="L9" s="138"/>
      <c r="M9" s="138"/>
      <c r="N9" s="138"/>
      <c r="O9" s="139"/>
    </row>
    <row r="10" spans="1:15" ht="45" customHeight="1" thickBot="1" x14ac:dyDescent="0.25">
      <c r="A10" s="30">
        <v>1</v>
      </c>
      <c r="B10" s="30"/>
      <c r="C10" s="76" t="s">
        <v>53</v>
      </c>
      <c r="D10" s="77" t="s">
        <v>69</v>
      </c>
      <c r="E10" s="132" t="s">
        <v>132</v>
      </c>
      <c r="F10" s="133" t="s">
        <v>142</v>
      </c>
      <c r="G10" s="134">
        <v>10</v>
      </c>
      <c r="H10" s="135">
        <v>13886.25</v>
      </c>
      <c r="I10" s="136">
        <f>+H10*G10</f>
        <v>138862.5</v>
      </c>
      <c r="K10" s="140"/>
      <c r="L10" s="140"/>
      <c r="M10" s="140"/>
    </row>
    <row r="11" spans="1:15" s="46" customFormat="1" ht="24.95" customHeight="1" thickBot="1" x14ac:dyDescent="0.25">
      <c r="A11" s="30">
        <v>2</v>
      </c>
      <c r="B11" s="75"/>
      <c r="C11" s="76" t="s">
        <v>53</v>
      </c>
      <c r="D11" s="77" t="s">
        <v>69</v>
      </c>
      <c r="E11" s="78" t="s">
        <v>96</v>
      </c>
      <c r="F11" s="79" t="s">
        <v>50</v>
      </c>
      <c r="G11" s="115">
        <v>4</v>
      </c>
      <c r="H11" s="116">
        <v>9168.17</v>
      </c>
      <c r="I11" s="81">
        <f>+H11*G11</f>
        <v>36672.68</v>
      </c>
    </row>
    <row r="12" spans="1:15" s="46" customFormat="1" ht="24.95" customHeight="1" thickBot="1" x14ac:dyDescent="0.25">
      <c r="A12" s="30">
        <v>3</v>
      </c>
      <c r="B12" s="75"/>
      <c r="C12" s="76" t="s">
        <v>53</v>
      </c>
      <c r="D12" s="77" t="s">
        <v>69</v>
      </c>
      <c r="E12" s="105" t="s">
        <v>73</v>
      </c>
      <c r="F12" s="82" t="s">
        <v>56</v>
      </c>
      <c r="G12" s="117">
        <v>2</v>
      </c>
      <c r="H12" s="118">
        <v>4920</v>
      </c>
      <c r="I12" s="81">
        <f t="shared" ref="I12:I58" si="0">+H12*G12</f>
        <v>9840</v>
      </c>
    </row>
    <row r="13" spans="1:15" s="46" customFormat="1" ht="24.95" customHeight="1" thickBot="1" x14ac:dyDescent="0.25">
      <c r="A13" s="30">
        <v>4</v>
      </c>
      <c r="B13" s="75"/>
      <c r="C13" s="76" t="s">
        <v>53</v>
      </c>
      <c r="D13" s="77" t="s">
        <v>69</v>
      </c>
      <c r="E13" s="105" t="s">
        <v>74</v>
      </c>
      <c r="F13" s="82" t="s">
        <v>56</v>
      </c>
      <c r="G13" s="117">
        <v>4</v>
      </c>
      <c r="H13" s="118">
        <v>5050</v>
      </c>
      <c r="I13" s="81">
        <f t="shared" si="0"/>
        <v>20200</v>
      </c>
    </row>
    <row r="14" spans="1:15" s="46" customFormat="1" ht="24.95" customHeight="1" thickBot="1" x14ac:dyDescent="0.25">
      <c r="A14" s="30">
        <v>5</v>
      </c>
      <c r="B14" s="75"/>
      <c r="C14" s="76" t="s">
        <v>53</v>
      </c>
      <c r="D14" s="77" t="s">
        <v>69</v>
      </c>
      <c r="E14" s="105" t="s">
        <v>133</v>
      </c>
      <c r="F14" s="82" t="s">
        <v>50</v>
      </c>
      <c r="G14" s="117">
        <v>3</v>
      </c>
      <c r="H14" s="118">
        <v>18091.8</v>
      </c>
      <c r="I14" s="81">
        <f t="shared" si="0"/>
        <v>54275.399999999994</v>
      </c>
    </row>
    <row r="15" spans="1:15" s="46" customFormat="1" ht="24.95" customHeight="1" thickBot="1" x14ac:dyDescent="0.25">
      <c r="A15" s="30">
        <v>6</v>
      </c>
      <c r="B15" s="75"/>
      <c r="C15" s="76" t="s">
        <v>53</v>
      </c>
      <c r="D15" s="77" t="s">
        <v>69</v>
      </c>
      <c r="E15" s="105" t="s">
        <v>134</v>
      </c>
      <c r="F15" s="82" t="s">
        <v>51</v>
      </c>
      <c r="G15" s="117">
        <v>10</v>
      </c>
      <c r="H15" s="118">
        <v>317.39999999999998</v>
      </c>
      <c r="I15" s="81">
        <f t="shared" si="0"/>
        <v>3174</v>
      </c>
    </row>
    <row r="16" spans="1:15" s="46" customFormat="1" ht="24.95" customHeight="1" thickBot="1" x14ac:dyDescent="0.25">
      <c r="A16" s="30">
        <v>7</v>
      </c>
      <c r="B16" s="75"/>
      <c r="C16" s="76" t="s">
        <v>53</v>
      </c>
      <c r="D16" s="77" t="s">
        <v>69</v>
      </c>
      <c r="E16" s="105" t="s">
        <v>75</v>
      </c>
      <c r="F16" s="82" t="s">
        <v>94</v>
      </c>
      <c r="G16" s="117">
        <v>18</v>
      </c>
      <c r="H16" s="116">
        <v>13088</v>
      </c>
      <c r="I16" s="81">
        <f t="shared" si="0"/>
        <v>235584</v>
      </c>
    </row>
    <row r="17" spans="1:9" s="46" customFormat="1" ht="24.95" customHeight="1" thickBot="1" x14ac:dyDescent="0.25">
      <c r="A17" s="30">
        <v>8</v>
      </c>
      <c r="B17" s="75"/>
      <c r="C17" s="76" t="s">
        <v>53</v>
      </c>
      <c r="D17" s="77" t="s">
        <v>69</v>
      </c>
      <c r="E17" s="105" t="s">
        <v>76</v>
      </c>
      <c r="F17" s="82" t="s">
        <v>94</v>
      </c>
      <c r="G17" s="117">
        <v>12</v>
      </c>
      <c r="H17" s="116">
        <v>13899</v>
      </c>
      <c r="I17" s="81">
        <f t="shared" si="0"/>
        <v>166788</v>
      </c>
    </row>
    <row r="18" spans="1:9" s="46" customFormat="1" ht="24.95" customHeight="1" thickBot="1" x14ac:dyDescent="0.25">
      <c r="A18" s="30">
        <v>9</v>
      </c>
      <c r="B18" s="75"/>
      <c r="C18" s="76" t="s">
        <v>53</v>
      </c>
      <c r="D18" s="77" t="s">
        <v>69</v>
      </c>
      <c r="E18" s="105" t="s">
        <v>99</v>
      </c>
      <c r="F18" s="82" t="s">
        <v>51</v>
      </c>
      <c r="G18" s="117">
        <v>5</v>
      </c>
      <c r="H18" s="116">
        <v>7650</v>
      </c>
      <c r="I18" s="81">
        <f t="shared" si="0"/>
        <v>38250</v>
      </c>
    </row>
    <row r="19" spans="1:9" s="46" customFormat="1" ht="24.95" customHeight="1" thickBot="1" x14ac:dyDescent="0.25">
      <c r="A19" s="30">
        <v>10</v>
      </c>
      <c r="B19" s="75"/>
      <c r="C19" s="76" t="s">
        <v>53</v>
      </c>
      <c r="D19" s="77" t="s">
        <v>69</v>
      </c>
      <c r="E19" s="105" t="s">
        <v>110</v>
      </c>
      <c r="F19" s="82" t="s">
        <v>50</v>
      </c>
      <c r="G19" s="117">
        <v>1</v>
      </c>
      <c r="H19" s="116">
        <v>26023</v>
      </c>
      <c r="I19" s="81">
        <f t="shared" si="0"/>
        <v>26023</v>
      </c>
    </row>
    <row r="20" spans="1:9" s="46" customFormat="1" ht="24.95" customHeight="1" thickBot="1" x14ac:dyDescent="0.25">
      <c r="A20" s="30">
        <v>11</v>
      </c>
      <c r="B20" s="75"/>
      <c r="C20" s="76" t="s">
        <v>53</v>
      </c>
      <c r="D20" s="77" t="s">
        <v>69</v>
      </c>
      <c r="E20" s="105" t="s">
        <v>111</v>
      </c>
      <c r="F20" s="82" t="s">
        <v>50</v>
      </c>
      <c r="G20" s="117">
        <v>1</v>
      </c>
      <c r="H20" s="116">
        <v>26023</v>
      </c>
      <c r="I20" s="81">
        <f t="shared" si="0"/>
        <v>26023</v>
      </c>
    </row>
    <row r="21" spans="1:9" s="46" customFormat="1" ht="24.95" customHeight="1" thickBot="1" x14ac:dyDescent="0.25">
      <c r="A21" s="30">
        <v>12</v>
      </c>
      <c r="B21" s="75"/>
      <c r="C21" s="76" t="s">
        <v>53</v>
      </c>
      <c r="D21" s="77" t="s">
        <v>69</v>
      </c>
      <c r="E21" s="105" t="s">
        <v>112</v>
      </c>
      <c r="F21" s="82" t="s">
        <v>50</v>
      </c>
      <c r="G21" s="117">
        <v>1</v>
      </c>
      <c r="H21" s="116">
        <v>26023</v>
      </c>
      <c r="I21" s="81">
        <f t="shared" si="0"/>
        <v>26023</v>
      </c>
    </row>
    <row r="22" spans="1:9" s="46" customFormat="1" ht="24.95" customHeight="1" thickBot="1" x14ac:dyDescent="0.25">
      <c r="A22" s="30">
        <v>13</v>
      </c>
      <c r="B22" s="75"/>
      <c r="C22" s="76" t="s">
        <v>53</v>
      </c>
      <c r="D22" s="77" t="s">
        <v>69</v>
      </c>
      <c r="E22" s="105" t="s">
        <v>115</v>
      </c>
      <c r="F22" s="82" t="s">
        <v>51</v>
      </c>
      <c r="G22" s="117">
        <v>1</v>
      </c>
      <c r="H22" s="116">
        <v>13880</v>
      </c>
      <c r="I22" s="81">
        <f t="shared" si="0"/>
        <v>13880</v>
      </c>
    </row>
    <row r="23" spans="1:9" s="46" customFormat="1" ht="24.95" customHeight="1" thickBot="1" x14ac:dyDescent="0.25">
      <c r="A23" s="30">
        <v>14</v>
      </c>
      <c r="B23" s="75"/>
      <c r="C23" s="76" t="s">
        <v>53</v>
      </c>
      <c r="D23" s="77" t="s">
        <v>69</v>
      </c>
      <c r="E23" s="105" t="s">
        <v>114</v>
      </c>
      <c r="F23" s="82" t="s">
        <v>51</v>
      </c>
      <c r="G23" s="117">
        <v>1</v>
      </c>
      <c r="H23" s="116">
        <v>13880</v>
      </c>
      <c r="I23" s="81">
        <f t="shared" si="0"/>
        <v>13880</v>
      </c>
    </row>
    <row r="24" spans="1:9" s="46" customFormat="1" ht="24.95" customHeight="1" thickBot="1" x14ac:dyDescent="0.25">
      <c r="A24" s="30">
        <v>15</v>
      </c>
      <c r="B24" s="75"/>
      <c r="C24" s="76" t="s">
        <v>53</v>
      </c>
      <c r="D24" s="77" t="s">
        <v>69</v>
      </c>
      <c r="E24" s="105" t="s">
        <v>113</v>
      </c>
      <c r="F24" s="82" t="s">
        <v>51</v>
      </c>
      <c r="G24" s="117">
        <v>1</v>
      </c>
      <c r="H24" s="116">
        <v>52717</v>
      </c>
      <c r="I24" s="81">
        <f t="shared" si="0"/>
        <v>52717</v>
      </c>
    </row>
    <row r="25" spans="1:9" s="46" customFormat="1" ht="24.95" customHeight="1" thickBot="1" x14ac:dyDescent="0.25">
      <c r="A25" s="30">
        <v>16</v>
      </c>
      <c r="B25" s="75"/>
      <c r="C25" s="76" t="s">
        <v>53</v>
      </c>
      <c r="D25" s="77" t="s">
        <v>69</v>
      </c>
      <c r="E25" s="105" t="s">
        <v>118</v>
      </c>
      <c r="F25" s="82" t="s">
        <v>51</v>
      </c>
      <c r="G25" s="117">
        <v>1</v>
      </c>
      <c r="H25" s="116">
        <v>23156</v>
      </c>
      <c r="I25" s="81">
        <f t="shared" si="0"/>
        <v>23156</v>
      </c>
    </row>
    <row r="26" spans="1:9" s="46" customFormat="1" ht="24.95" customHeight="1" thickBot="1" x14ac:dyDescent="0.25">
      <c r="A26" s="30">
        <v>17</v>
      </c>
      <c r="B26" s="75"/>
      <c r="C26" s="76" t="s">
        <v>53</v>
      </c>
      <c r="D26" s="77" t="s">
        <v>69</v>
      </c>
      <c r="E26" s="105" t="s">
        <v>117</v>
      </c>
      <c r="F26" s="82" t="s">
        <v>51</v>
      </c>
      <c r="G26" s="117">
        <v>1</v>
      </c>
      <c r="H26" s="116">
        <v>13880</v>
      </c>
      <c r="I26" s="81">
        <f t="shared" si="0"/>
        <v>13880</v>
      </c>
    </row>
    <row r="27" spans="1:9" s="46" customFormat="1" ht="24.95" customHeight="1" thickBot="1" x14ac:dyDescent="0.25">
      <c r="A27" s="30">
        <v>18</v>
      </c>
      <c r="B27" s="88"/>
      <c r="C27" s="76" t="s">
        <v>53</v>
      </c>
      <c r="D27" s="77" t="s">
        <v>69</v>
      </c>
      <c r="E27" s="105" t="s">
        <v>116</v>
      </c>
      <c r="F27" s="82" t="s">
        <v>51</v>
      </c>
      <c r="G27" s="117">
        <v>1</v>
      </c>
      <c r="H27" s="116">
        <v>13880</v>
      </c>
      <c r="I27" s="81">
        <f t="shared" si="0"/>
        <v>13880</v>
      </c>
    </row>
    <row r="28" spans="1:9" s="46" customFormat="1" ht="24.95" customHeight="1" thickBot="1" x14ac:dyDescent="0.25">
      <c r="A28" s="30">
        <v>19</v>
      </c>
      <c r="B28" s="75"/>
      <c r="C28" s="89" t="s">
        <v>53</v>
      </c>
      <c r="D28" s="77" t="s">
        <v>69</v>
      </c>
      <c r="E28" s="105" t="s">
        <v>119</v>
      </c>
      <c r="F28" s="82" t="s">
        <v>51</v>
      </c>
      <c r="G28" s="117">
        <v>1</v>
      </c>
      <c r="H28" s="116">
        <v>29300</v>
      </c>
      <c r="I28" s="81">
        <f t="shared" si="0"/>
        <v>29300</v>
      </c>
    </row>
    <row r="29" spans="1:9" s="46" customFormat="1" ht="24.95" customHeight="1" thickBot="1" x14ac:dyDescent="0.25">
      <c r="A29" s="30">
        <v>20</v>
      </c>
      <c r="B29" s="75"/>
      <c r="C29" s="76" t="s">
        <v>53</v>
      </c>
      <c r="D29" s="77" t="s">
        <v>69</v>
      </c>
      <c r="E29" s="105" t="s">
        <v>120</v>
      </c>
      <c r="F29" s="82" t="s">
        <v>50</v>
      </c>
      <c r="G29" s="117">
        <v>1</v>
      </c>
      <c r="H29" s="116">
        <v>6020</v>
      </c>
      <c r="I29" s="81">
        <f t="shared" si="0"/>
        <v>6020</v>
      </c>
    </row>
    <row r="30" spans="1:9" s="46" customFormat="1" ht="24.95" customHeight="1" thickBot="1" x14ac:dyDescent="0.25">
      <c r="A30" s="30">
        <v>21</v>
      </c>
      <c r="B30" s="75"/>
      <c r="C30" s="76" t="s">
        <v>53</v>
      </c>
      <c r="D30" s="77" t="s">
        <v>69</v>
      </c>
      <c r="E30" s="105" t="s">
        <v>135</v>
      </c>
      <c r="F30" s="82" t="s">
        <v>50</v>
      </c>
      <c r="G30" s="117">
        <v>1</v>
      </c>
      <c r="H30" s="116">
        <v>28433.75</v>
      </c>
      <c r="I30" s="81">
        <f t="shared" si="0"/>
        <v>28433.75</v>
      </c>
    </row>
    <row r="31" spans="1:9" s="46" customFormat="1" ht="24.95" customHeight="1" thickBot="1" x14ac:dyDescent="0.25">
      <c r="A31" s="30">
        <v>22</v>
      </c>
      <c r="B31" s="75"/>
      <c r="C31" s="76" t="s">
        <v>53</v>
      </c>
      <c r="D31" s="77" t="s">
        <v>70</v>
      </c>
      <c r="E31" s="105" t="s">
        <v>59</v>
      </c>
      <c r="F31" s="85" t="s">
        <v>50</v>
      </c>
      <c r="G31" s="86">
        <v>5</v>
      </c>
      <c r="H31" s="116">
        <v>124</v>
      </c>
      <c r="I31" s="81">
        <f t="shared" si="0"/>
        <v>620</v>
      </c>
    </row>
    <row r="32" spans="1:9" s="46" customFormat="1" ht="24.95" customHeight="1" thickBot="1" x14ac:dyDescent="0.25">
      <c r="A32" s="30">
        <v>23</v>
      </c>
      <c r="B32" s="75"/>
      <c r="C32" s="76" t="s">
        <v>53</v>
      </c>
      <c r="D32" s="77" t="s">
        <v>69</v>
      </c>
      <c r="E32" s="105" t="s">
        <v>77</v>
      </c>
      <c r="F32" s="85" t="s">
        <v>51</v>
      </c>
      <c r="G32" s="86">
        <v>18</v>
      </c>
      <c r="H32" s="119">
        <v>6996</v>
      </c>
      <c r="I32" s="81">
        <f t="shared" si="0"/>
        <v>125928</v>
      </c>
    </row>
    <row r="33" spans="1:9" s="46" customFormat="1" ht="24.95" customHeight="1" thickBot="1" x14ac:dyDescent="0.25">
      <c r="A33" s="30">
        <v>24</v>
      </c>
      <c r="B33" s="75"/>
      <c r="C33" s="76" t="s">
        <v>53</v>
      </c>
      <c r="D33" s="77" t="s">
        <v>69</v>
      </c>
      <c r="E33" s="105" t="s">
        <v>78</v>
      </c>
      <c r="F33" s="33" t="s">
        <v>51</v>
      </c>
      <c r="G33" s="117">
        <v>18</v>
      </c>
      <c r="H33" s="118">
        <v>9174</v>
      </c>
      <c r="I33" s="81">
        <f t="shared" si="0"/>
        <v>165132</v>
      </c>
    </row>
    <row r="34" spans="1:9" s="46" customFormat="1" ht="24.95" customHeight="1" thickBot="1" x14ac:dyDescent="0.25">
      <c r="A34" s="30">
        <v>25</v>
      </c>
      <c r="B34" s="75"/>
      <c r="C34" s="76" t="s">
        <v>53</v>
      </c>
      <c r="D34" s="77" t="s">
        <v>69</v>
      </c>
      <c r="E34" s="78" t="s">
        <v>97</v>
      </c>
      <c r="F34" s="82" t="s">
        <v>57</v>
      </c>
      <c r="G34" s="117">
        <v>30</v>
      </c>
      <c r="H34" s="116">
        <v>2045</v>
      </c>
      <c r="I34" s="81">
        <f t="shared" si="0"/>
        <v>61350</v>
      </c>
    </row>
    <row r="35" spans="1:9" s="46" customFormat="1" ht="24.95" customHeight="1" thickBot="1" x14ac:dyDescent="0.3">
      <c r="A35" s="30">
        <v>26</v>
      </c>
      <c r="B35" s="75"/>
      <c r="C35" s="83" t="s">
        <v>53</v>
      </c>
      <c r="D35" s="77" t="s">
        <v>69</v>
      </c>
      <c r="E35" s="84" t="s">
        <v>79</v>
      </c>
      <c r="F35" s="82" t="s">
        <v>50</v>
      </c>
      <c r="G35" s="117">
        <v>20</v>
      </c>
      <c r="H35" s="116">
        <v>17319</v>
      </c>
      <c r="I35" s="81">
        <f t="shared" si="0"/>
        <v>346380</v>
      </c>
    </row>
    <row r="36" spans="1:9" s="46" customFormat="1" ht="24.95" customHeight="1" thickBot="1" x14ac:dyDescent="0.3">
      <c r="A36" s="30">
        <v>27</v>
      </c>
      <c r="B36" s="90"/>
      <c r="C36" s="83" t="s">
        <v>53</v>
      </c>
      <c r="D36" s="91" t="s">
        <v>69</v>
      </c>
      <c r="E36" s="114" t="s">
        <v>136</v>
      </c>
      <c r="F36" s="92" t="s">
        <v>50</v>
      </c>
      <c r="G36" s="120">
        <v>200</v>
      </c>
      <c r="H36" s="121">
        <v>1190.25</v>
      </c>
      <c r="I36" s="81">
        <f t="shared" si="0"/>
        <v>238050</v>
      </c>
    </row>
    <row r="37" spans="1:9" s="46" customFormat="1" ht="24.95" customHeight="1" thickBot="1" x14ac:dyDescent="0.3">
      <c r="A37" s="30">
        <v>28</v>
      </c>
      <c r="B37" s="90"/>
      <c r="C37" s="83" t="s">
        <v>53</v>
      </c>
      <c r="D37" s="91" t="s">
        <v>69</v>
      </c>
      <c r="E37" s="114" t="s">
        <v>137</v>
      </c>
      <c r="F37" s="92" t="s">
        <v>50</v>
      </c>
      <c r="G37" s="120">
        <v>25</v>
      </c>
      <c r="H37" s="121">
        <v>1190.25</v>
      </c>
      <c r="I37" s="81">
        <f t="shared" si="0"/>
        <v>29756.25</v>
      </c>
    </row>
    <row r="38" spans="1:9" s="46" customFormat="1" ht="24.95" customHeight="1" thickBot="1" x14ac:dyDescent="0.25">
      <c r="A38" s="30">
        <v>29</v>
      </c>
      <c r="B38" s="90"/>
      <c r="C38" s="111" t="s">
        <v>53</v>
      </c>
      <c r="D38" s="91" t="s">
        <v>69</v>
      </c>
      <c r="E38" s="114" t="s">
        <v>80</v>
      </c>
      <c r="F38" s="92" t="s">
        <v>50</v>
      </c>
      <c r="G38" s="120">
        <v>2</v>
      </c>
      <c r="H38" s="121">
        <v>9775</v>
      </c>
      <c r="I38" s="81">
        <f t="shared" si="0"/>
        <v>19550</v>
      </c>
    </row>
    <row r="39" spans="1:9" s="46" customFormat="1" ht="24.95" customHeight="1" thickBot="1" x14ac:dyDescent="0.25">
      <c r="A39" s="30">
        <v>30</v>
      </c>
      <c r="B39" s="95"/>
      <c r="C39" s="96" t="s">
        <v>53</v>
      </c>
      <c r="D39" s="112" t="s">
        <v>92</v>
      </c>
      <c r="E39" s="113" t="s">
        <v>81</v>
      </c>
      <c r="F39" s="98" t="s">
        <v>51</v>
      </c>
      <c r="G39" s="122">
        <v>2</v>
      </c>
      <c r="H39" s="116">
        <v>78467</v>
      </c>
      <c r="I39" s="81">
        <f t="shared" si="0"/>
        <v>156934</v>
      </c>
    </row>
    <row r="40" spans="1:9" s="46" customFormat="1" ht="24.95" customHeight="1" thickBot="1" x14ac:dyDescent="0.25">
      <c r="A40" s="30">
        <v>31</v>
      </c>
      <c r="B40" s="75"/>
      <c r="C40" s="76" t="s">
        <v>53</v>
      </c>
      <c r="D40" s="77" t="s">
        <v>69</v>
      </c>
      <c r="E40" s="104" t="s">
        <v>109</v>
      </c>
      <c r="F40" s="82" t="s">
        <v>50</v>
      </c>
      <c r="G40" s="117">
        <v>10</v>
      </c>
      <c r="H40" s="116">
        <v>11699</v>
      </c>
      <c r="I40" s="81">
        <f t="shared" si="0"/>
        <v>116990</v>
      </c>
    </row>
    <row r="41" spans="1:9" s="46" customFormat="1" ht="24.95" customHeight="1" thickBot="1" x14ac:dyDescent="0.25">
      <c r="A41" s="30">
        <v>32</v>
      </c>
      <c r="B41" s="95"/>
      <c r="C41" s="96" t="s">
        <v>53</v>
      </c>
      <c r="D41" s="97" t="s">
        <v>69</v>
      </c>
      <c r="E41" s="107" t="s">
        <v>82</v>
      </c>
      <c r="F41" s="98" t="s">
        <v>51</v>
      </c>
      <c r="G41" s="98">
        <v>25</v>
      </c>
      <c r="H41" s="81">
        <v>20210</v>
      </c>
      <c r="I41" s="81">
        <f t="shared" si="0"/>
        <v>505250</v>
      </c>
    </row>
    <row r="42" spans="1:9" s="46" customFormat="1" ht="24.95" customHeight="1" thickBot="1" x14ac:dyDescent="0.25">
      <c r="A42" s="30">
        <v>33</v>
      </c>
      <c r="B42" s="95"/>
      <c r="C42" s="96" t="s">
        <v>53</v>
      </c>
      <c r="D42" s="97" t="s">
        <v>69</v>
      </c>
      <c r="E42" s="107" t="s">
        <v>83</v>
      </c>
      <c r="F42" s="98" t="s">
        <v>51</v>
      </c>
      <c r="G42" s="98">
        <v>25</v>
      </c>
      <c r="H42" s="81">
        <v>13057</v>
      </c>
      <c r="I42" s="81">
        <f t="shared" si="0"/>
        <v>326425</v>
      </c>
    </row>
    <row r="43" spans="1:9" s="46" customFormat="1" ht="24.95" customHeight="1" thickBot="1" x14ac:dyDescent="0.25">
      <c r="A43" s="30">
        <v>34</v>
      </c>
      <c r="B43" s="95"/>
      <c r="C43" s="96" t="s">
        <v>53</v>
      </c>
      <c r="D43" s="97" t="s">
        <v>69</v>
      </c>
      <c r="E43" s="107" t="s">
        <v>84</v>
      </c>
      <c r="F43" s="98" t="s">
        <v>51</v>
      </c>
      <c r="G43" s="98">
        <v>25</v>
      </c>
      <c r="H43" s="94">
        <v>9574</v>
      </c>
      <c r="I43" s="81">
        <f t="shared" si="0"/>
        <v>239350</v>
      </c>
    </row>
    <row r="44" spans="1:9" s="46" customFormat="1" ht="24.95" customHeight="1" thickBot="1" x14ac:dyDescent="0.25">
      <c r="A44" s="30">
        <v>35</v>
      </c>
      <c r="B44" s="124"/>
      <c r="C44" s="125" t="s">
        <v>53</v>
      </c>
      <c r="D44" s="126" t="s">
        <v>70</v>
      </c>
      <c r="E44" s="124" t="s">
        <v>124</v>
      </c>
      <c r="F44" s="98" t="s">
        <v>51</v>
      </c>
      <c r="G44" s="98">
        <v>1</v>
      </c>
      <c r="H44" s="80">
        <v>15856</v>
      </c>
      <c r="I44" s="81">
        <f t="shared" si="0"/>
        <v>15856</v>
      </c>
    </row>
    <row r="45" spans="1:9" s="46" customFormat="1" ht="24.95" customHeight="1" thickBot="1" x14ac:dyDescent="0.25">
      <c r="A45" s="30">
        <v>36</v>
      </c>
      <c r="B45" s="95"/>
      <c r="C45" s="96" t="s">
        <v>53</v>
      </c>
      <c r="D45" s="97" t="s">
        <v>70</v>
      </c>
      <c r="E45" s="107" t="s">
        <v>122</v>
      </c>
      <c r="F45" s="98" t="s">
        <v>51</v>
      </c>
      <c r="G45" s="98">
        <v>1</v>
      </c>
      <c r="H45" s="80">
        <v>15856</v>
      </c>
      <c r="I45" s="81">
        <f t="shared" si="0"/>
        <v>15856</v>
      </c>
    </row>
    <row r="46" spans="1:9" s="46" customFormat="1" ht="24.95" customHeight="1" thickBot="1" x14ac:dyDescent="0.25">
      <c r="A46" s="30">
        <v>37</v>
      </c>
      <c r="B46" s="95"/>
      <c r="C46" s="96" t="s">
        <v>53</v>
      </c>
      <c r="D46" s="97" t="s">
        <v>70</v>
      </c>
      <c r="E46" s="107" t="s">
        <v>123</v>
      </c>
      <c r="F46" s="98" t="s">
        <v>51</v>
      </c>
      <c r="G46" s="98">
        <v>1</v>
      </c>
      <c r="H46" s="80">
        <v>15856</v>
      </c>
      <c r="I46" s="81">
        <f t="shared" si="0"/>
        <v>15856</v>
      </c>
    </row>
    <row r="47" spans="1:9" s="46" customFormat="1" ht="24.95" customHeight="1" thickBot="1" x14ac:dyDescent="0.25">
      <c r="A47" s="30">
        <v>38</v>
      </c>
      <c r="B47" s="95"/>
      <c r="C47" s="96" t="s">
        <v>53</v>
      </c>
      <c r="D47" s="97" t="s">
        <v>70</v>
      </c>
      <c r="E47" s="107" t="s">
        <v>121</v>
      </c>
      <c r="F47" s="98" t="s">
        <v>51</v>
      </c>
      <c r="G47" s="98">
        <v>1</v>
      </c>
      <c r="H47" s="80">
        <v>15856</v>
      </c>
      <c r="I47" s="81">
        <f t="shared" si="0"/>
        <v>15856</v>
      </c>
    </row>
    <row r="48" spans="1:9" s="46" customFormat="1" ht="24.95" customHeight="1" thickBot="1" x14ac:dyDescent="0.25">
      <c r="A48" s="30">
        <v>39</v>
      </c>
      <c r="B48" s="95"/>
      <c r="C48" s="96" t="s">
        <v>53</v>
      </c>
      <c r="D48" s="97" t="s">
        <v>69</v>
      </c>
      <c r="E48" s="107" t="s">
        <v>138</v>
      </c>
      <c r="F48" s="98" t="s">
        <v>50</v>
      </c>
      <c r="G48" s="98">
        <v>5</v>
      </c>
      <c r="H48" s="80">
        <v>7009.25</v>
      </c>
      <c r="I48" s="81">
        <f t="shared" si="0"/>
        <v>35046.25</v>
      </c>
    </row>
    <row r="49" spans="1:9" s="46" customFormat="1" ht="24.95" customHeight="1" thickBot="1" x14ac:dyDescent="0.25">
      <c r="A49" s="30">
        <v>40</v>
      </c>
      <c r="B49" s="95"/>
      <c r="C49" s="96" t="s">
        <v>53</v>
      </c>
      <c r="D49" s="97" t="s">
        <v>70</v>
      </c>
      <c r="E49" s="107" t="s">
        <v>58</v>
      </c>
      <c r="F49" s="98" t="s">
        <v>50</v>
      </c>
      <c r="G49" s="98">
        <v>10</v>
      </c>
      <c r="H49" s="80">
        <v>175</v>
      </c>
      <c r="I49" s="81">
        <f t="shared" si="0"/>
        <v>1750</v>
      </c>
    </row>
    <row r="50" spans="1:9" s="46" customFormat="1" ht="35.25" customHeight="1" thickBot="1" x14ac:dyDescent="0.25">
      <c r="A50" s="30">
        <v>41</v>
      </c>
      <c r="B50" s="95"/>
      <c r="C50" s="96" t="s">
        <v>53</v>
      </c>
      <c r="D50" s="97" t="s">
        <v>69</v>
      </c>
      <c r="E50" s="107" t="s">
        <v>139</v>
      </c>
      <c r="F50" s="98" t="s">
        <v>50</v>
      </c>
      <c r="G50" s="98">
        <v>6</v>
      </c>
      <c r="H50" s="80">
        <v>1983.75</v>
      </c>
      <c r="I50" s="81">
        <f t="shared" si="0"/>
        <v>11902.5</v>
      </c>
    </row>
    <row r="51" spans="1:9" s="46" customFormat="1" ht="24.95" customHeight="1" thickBot="1" x14ac:dyDescent="0.25">
      <c r="A51" s="30">
        <v>42</v>
      </c>
      <c r="B51" s="95"/>
      <c r="C51" s="96" t="s">
        <v>53</v>
      </c>
      <c r="D51" s="97" t="s">
        <v>128</v>
      </c>
      <c r="E51" s="113" t="s">
        <v>101</v>
      </c>
      <c r="F51" s="98" t="s">
        <v>102</v>
      </c>
      <c r="G51" s="98">
        <v>18</v>
      </c>
      <c r="H51" s="80">
        <v>3847</v>
      </c>
      <c r="I51" s="81">
        <f t="shared" si="0"/>
        <v>69246</v>
      </c>
    </row>
    <row r="52" spans="1:9" s="46" customFormat="1" ht="24.95" customHeight="1" thickBot="1" x14ac:dyDescent="0.25">
      <c r="A52" s="30">
        <v>43</v>
      </c>
      <c r="B52" s="95"/>
      <c r="C52" s="96" t="s">
        <v>53</v>
      </c>
      <c r="D52" s="97" t="s">
        <v>128</v>
      </c>
      <c r="E52" s="113" t="s">
        <v>103</v>
      </c>
      <c r="F52" s="98" t="s">
        <v>102</v>
      </c>
      <c r="G52" s="98">
        <v>20</v>
      </c>
      <c r="H52" s="80">
        <v>5140</v>
      </c>
      <c r="I52" s="81">
        <f t="shared" si="0"/>
        <v>102800</v>
      </c>
    </row>
    <row r="53" spans="1:9" s="46" customFormat="1" ht="24.95" customHeight="1" thickBot="1" x14ac:dyDescent="0.25">
      <c r="A53" s="30">
        <v>44</v>
      </c>
      <c r="B53" s="95"/>
      <c r="C53" s="96" t="s">
        <v>53</v>
      </c>
      <c r="D53" s="97" t="s">
        <v>69</v>
      </c>
      <c r="E53" s="113" t="s">
        <v>140</v>
      </c>
      <c r="F53" s="98" t="s">
        <v>51</v>
      </c>
      <c r="G53" s="98">
        <v>2</v>
      </c>
      <c r="H53" s="80">
        <v>31740</v>
      </c>
      <c r="I53" s="81">
        <f t="shared" si="0"/>
        <v>63480</v>
      </c>
    </row>
    <row r="54" spans="1:9" s="46" customFormat="1" ht="24.95" customHeight="1" thickBot="1" x14ac:dyDescent="0.25">
      <c r="A54" s="30">
        <v>45</v>
      </c>
      <c r="B54" s="95"/>
      <c r="C54" s="96" t="s">
        <v>53</v>
      </c>
      <c r="D54" s="112" t="s">
        <v>69</v>
      </c>
      <c r="E54" s="113" t="s">
        <v>104</v>
      </c>
      <c r="F54" s="98" t="s">
        <v>51</v>
      </c>
      <c r="G54" s="98">
        <v>2</v>
      </c>
      <c r="H54" s="80">
        <v>42901</v>
      </c>
      <c r="I54" s="81">
        <f t="shared" si="0"/>
        <v>85802</v>
      </c>
    </row>
    <row r="55" spans="1:9" s="46" customFormat="1" ht="24.95" customHeight="1" thickBot="1" x14ac:dyDescent="0.25">
      <c r="A55" s="30">
        <v>46</v>
      </c>
      <c r="B55" s="95"/>
      <c r="C55" s="96" t="s">
        <v>53</v>
      </c>
      <c r="D55" s="112" t="s">
        <v>69</v>
      </c>
      <c r="E55" s="113" t="s">
        <v>105</v>
      </c>
      <c r="F55" s="98" t="s">
        <v>51</v>
      </c>
      <c r="G55" s="98">
        <v>4</v>
      </c>
      <c r="H55" s="80">
        <v>70339</v>
      </c>
      <c r="I55" s="81">
        <f t="shared" si="0"/>
        <v>281356</v>
      </c>
    </row>
    <row r="56" spans="1:9" s="46" customFormat="1" ht="24.95" customHeight="1" thickBot="1" x14ac:dyDescent="0.25">
      <c r="A56" s="30">
        <v>47</v>
      </c>
      <c r="B56" s="95"/>
      <c r="C56" s="96" t="s">
        <v>53</v>
      </c>
      <c r="D56" s="97" t="s">
        <v>69</v>
      </c>
      <c r="E56" s="107" t="s">
        <v>143</v>
      </c>
      <c r="F56" s="98" t="s">
        <v>129</v>
      </c>
      <c r="G56" s="98">
        <v>5</v>
      </c>
      <c r="H56" s="80">
        <v>7221</v>
      </c>
      <c r="I56" s="81">
        <f t="shared" si="0"/>
        <v>36105</v>
      </c>
    </row>
    <row r="57" spans="1:9" s="46" customFormat="1" ht="24.95" customHeight="1" thickBot="1" x14ac:dyDescent="0.25">
      <c r="A57" s="30">
        <v>48</v>
      </c>
      <c r="B57" s="99"/>
      <c r="C57" s="100" t="s">
        <v>53</v>
      </c>
      <c r="D57" s="101" t="s">
        <v>69</v>
      </c>
      <c r="E57" s="102" t="s">
        <v>107</v>
      </c>
      <c r="F57" s="103" t="s">
        <v>51</v>
      </c>
      <c r="G57" s="103">
        <v>20</v>
      </c>
      <c r="H57" s="93">
        <v>2094</v>
      </c>
      <c r="I57" s="81">
        <f t="shared" si="0"/>
        <v>41880</v>
      </c>
    </row>
    <row r="58" spans="1:9" ht="24.95" customHeight="1" thickBot="1" x14ac:dyDescent="0.25">
      <c r="A58" s="30">
        <v>49</v>
      </c>
      <c r="B58" s="95"/>
      <c r="C58" s="96" t="s">
        <v>53</v>
      </c>
      <c r="D58" s="97" t="s">
        <v>69</v>
      </c>
      <c r="E58" s="107" t="s">
        <v>108</v>
      </c>
      <c r="F58" s="125" t="s">
        <v>51</v>
      </c>
      <c r="G58" s="125">
        <v>1</v>
      </c>
      <c r="H58" s="87">
        <v>8847</v>
      </c>
      <c r="I58" s="81">
        <f t="shared" si="0"/>
        <v>8847</v>
      </c>
    </row>
    <row r="59" spans="1:9" ht="18.95" customHeight="1" x14ac:dyDescent="0.2">
      <c r="G59" s="123"/>
      <c r="I59" s="44"/>
    </row>
    <row r="60" spans="1:9" ht="18.95" customHeight="1" x14ac:dyDescent="0.2">
      <c r="C60" s="63" t="s">
        <v>141</v>
      </c>
      <c r="D60" s="64"/>
      <c r="E60" s="64"/>
      <c r="F60" s="65"/>
      <c r="G60" s="47"/>
      <c r="I60" s="44"/>
    </row>
    <row r="61" spans="1:9" ht="18.95" customHeight="1" x14ac:dyDescent="0.2">
      <c r="C61" s="66"/>
      <c r="D61" s="60"/>
      <c r="E61" s="60"/>
      <c r="F61" s="67"/>
      <c r="G61" s="47"/>
      <c r="I61" s="44"/>
    </row>
    <row r="62" spans="1:9" ht="38.25" customHeight="1" x14ac:dyDescent="0.2">
      <c r="C62" s="74" t="s">
        <v>62</v>
      </c>
      <c r="D62" s="147"/>
      <c r="E62" s="147"/>
      <c r="F62" s="148"/>
      <c r="G62" s="47"/>
      <c r="I62" s="44"/>
    </row>
    <row r="63" spans="1:9" ht="18.95" customHeight="1" x14ac:dyDescent="0.2">
      <c r="C63" s="68"/>
      <c r="D63" s="147"/>
      <c r="E63" s="147"/>
      <c r="F63" s="148"/>
      <c r="G63" s="47"/>
      <c r="I63" s="44"/>
    </row>
    <row r="64" spans="1:9" ht="18.95" customHeight="1" x14ac:dyDescent="0.2">
      <c r="C64" s="69" t="s">
        <v>63</v>
      </c>
      <c r="D64" s="142" t="s">
        <v>131</v>
      </c>
      <c r="E64" s="142"/>
      <c r="F64" s="143"/>
      <c r="G64" s="47"/>
      <c r="I64" s="44"/>
    </row>
    <row r="65" spans="3:9" ht="18.95" customHeight="1" x14ac:dyDescent="0.2">
      <c r="C65" s="68"/>
      <c r="D65" s="60"/>
      <c r="E65" s="62"/>
      <c r="F65" s="67"/>
      <c r="G65" s="47"/>
      <c r="I65" s="44"/>
    </row>
    <row r="66" spans="3:9" ht="18.95" customHeight="1" x14ac:dyDescent="0.2">
      <c r="C66" s="69" t="s">
        <v>64</v>
      </c>
      <c r="D66" s="142" t="s">
        <v>68</v>
      </c>
      <c r="E66" s="142"/>
      <c r="F66" s="143"/>
      <c r="G66" s="47"/>
      <c r="I66" s="44"/>
    </row>
    <row r="67" spans="3:9" ht="18.95" customHeight="1" x14ac:dyDescent="0.2">
      <c r="C67" s="70"/>
      <c r="D67" s="142" t="s">
        <v>91</v>
      </c>
      <c r="E67" s="142"/>
      <c r="F67" s="143"/>
      <c r="G67" s="47"/>
      <c r="I67" s="44"/>
    </row>
    <row r="68" spans="3:9" ht="18.95" customHeight="1" x14ac:dyDescent="0.2">
      <c r="C68" s="70"/>
      <c r="D68" s="62"/>
      <c r="E68" s="62"/>
      <c r="F68" s="67"/>
      <c r="I68" s="44"/>
    </row>
    <row r="69" spans="3:9" ht="18.95" customHeight="1" x14ac:dyDescent="0.2">
      <c r="C69" s="69" t="s">
        <v>65</v>
      </c>
      <c r="D69" s="60"/>
      <c r="E69" s="60"/>
      <c r="F69" s="67"/>
      <c r="I69" s="44"/>
    </row>
    <row r="70" spans="3:9" ht="18.95" customHeight="1" x14ac:dyDescent="0.2">
      <c r="C70" s="66"/>
      <c r="D70" s="144"/>
      <c r="E70" s="144"/>
      <c r="F70" s="145"/>
      <c r="I70" s="44"/>
    </row>
    <row r="71" spans="3:9" ht="18.95" customHeight="1" x14ac:dyDescent="0.2">
      <c r="C71" s="69" t="s">
        <v>66</v>
      </c>
      <c r="D71" s="144" t="s">
        <v>127</v>
      </c>
      <c r="E71" s="144"/>
      <c r="F71" s="145"/>
      <c r="I71" s="44"/>
    </row>
    <row r="72" spans="3:9" ht="18.95" customHeight="1" x14ac:dyDescent="0.2">
      <c r="C72" s="66"/>
      <c r="D72" s="144"/>
      <c r="E72" s="144"/>
      <c r="F72" s="145"/>
      <c r="I72" s="44"/>
    </row>
    <row r="73" spans="3:9" ht="18.95" customHeight="1" x14ac:dyDescent="0.2">
      <c r="C73" s="69" t="s">
        <v>67</v>
      </c>
      <c r="D73" s="60"/>
      <c r="E73" s="60"/>
      <c r="F73" s="67"/>
      <c r="I73" s="44"/>
    </row>
    <row r="74" spans="3:9" ht="18.95" customHeight="1" x14ac:dyDescent="0.2">
      <c r="C74" s="68"/>
      <c r="D74" s="142"/>
      <c r="E74" s="142"/>
      <c r="F74" s="143"/>
      <c r="I74" s="44"/>
    </row>
    <row r="75" spans="3:9" ht="18.95" customHeight="1" x14ac:dyDescent="0.2">
      <c r="C75" s="71"/>
      <c r="D75" s="72"/>
      <c r="E75" s="72"/>
      <c r="F75" s="73"/>
      <c r="I75" s="44"/>
    </row>
    <row r="76" spans="3:9" ht="18.95" customHeight="1" x14ac:dyDescent="0.2">
      <c r="C76" s="60"/>
      <c r="D76" s="60"/>
      <c r="E76" s="60"/>
      <c r="F76" s="60"/>
      <c r="I76" s="44"/>
    </row>
    <row r="77" spans="3:9" ht="18.95" customHeight="1" x14ac:dyDescent="0.2">
      <c r="C77" s="60"/>
      <c r="D77" s="60"/>
      <c r="E77" s="60"/>
      <c r="F77" s="60"/>
      <c r="I77" s="44"/>
    </row>
  </sheetData>
  <sortState xmlns:xlrd2="http://schemas.microsoft.com/office/spreadsheetml/2017/richdata2" ref="A11:E58">
    <sortCondition ref="E11:E58"/>
  </sortState>
  <mergeCells count="18">
    <mergeCell ref="A4:B4"/>
    <mergeCell ref="C4:E4"/>
    <mergeCell ref="A5:B5"/>
    <mergeCell ref="C5:E5"/>
    <mergeCell ref="D62:F62"/>
    <mergeCell ref="D67:F67"/>
    <mergeCell ref="D70:F70"/>
    <mergeCell ref="D74:F74"/>
    <mergeCell ref="A6:B6"/>
    <mergeCell ref="A7:B7"/>
    <mergeCell ref="D63:F63"/>
    <mergeCell ref="D72:F72"/>
    <mergeCell ref="D71:F71"/>
    <mergeCell ref="K9:O9"/>
    <mergeCell ref="K10:M10"/>
    <mergeCell ref="C2:G2"/>
    <mergeCell ref="D64:F64"/>
    <mergeCell ref="D66:F66"/>
  </mergeCells>
  <phoneticPr fontId="33" type="noConversion"/>
  <pageMargins left="0.7" right="0.7" top="0.75" bottom="0.75" header="0.51180555555555496" footer="0.51180555555555496"/>
  <pageSetup paperSize="9" scale="73" firstPageNumber="0" fitToHeight="0" orientation="landscape" horizontalDpi="300" verticalDpi="300" r:id="rId1"/>
  <rowBreaks count="1" manualBreakCount="1">
    <brk id="59" max="16383" man="1"/>
  </rowBreaks>
  <colBreaks count="1" manualBreakCount="1">
    <brk id="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J181"/>
  <sheetViews>
    <sheetView topLeftCell="A59" zoomScale="90" zoomScaleNormal="90" workbookViewId="0">
      <selection activeCell="M57" sqref="M57"/>
    </sheetView>
  </sheetViews>
  <sheetFormatPr baseColWidth="10" defaultColWidth="9.140625" defaultRowHeight="12.75" x14ac:dyDescent="0.2"/>
  <cols>
    <col min="1" max="1" width="5" style="22" customWidth="1"/>
    <col min="2" max="2" width="17.140625" style="22" customWidth="1"/>
    <col min="3" max="3" width="14.140625" style="22" hidden="1" customWidth="1"/>
    <col min="4" max="4" width="77.28515625" style="22" customWidth="1"/>
    <col min="5" max="5" width="0.28515625" style="22" customWidth="1"/>
    <col min="6" max="6" width="12.42578125" style="22" customWidth="1"/>
    <col min="7" max="7" width="15.5703125" style="22" customWidth="1"/>
    <col min="8" max="8" width="14.7109375" style="22" customWidth="1"/>
    <col min="9" max="9" width="18.28515625" style="22" customWidth="1"/>
    <col min="10" max="10" width="18.28515625" style="2" customWidth="1"/>
    <col min="11" max="11" width="19.140625" style="2" hidden="1" customWidth="1"/>
    <col min="12" max="12" width="5.28515625" style="2" customWidth="1"/>
    <col min="13" max="13" width="16.7109375" style="2" customWidth="1"/>
    <col min="14" max="998" width="9.140625" style="2"/>
  </cols>
  <sheetData>
    <row r="1" spans="1:998" ht="18" customHeight="1" thickBot="1" x14ac:dyDescent="0.25">
      <c r="A1" s="158" t="s">
        <v>11</v>
      </c>
      <c r="B1" s="158"/>
      <c r="C1" s="158"/>
      <c r="D1" s="158"/>
      <c r="E1" s="158"/>
      <c r="F1" s="158"/>
      <c r="G1" s="158"/>
      <c r="H1" s="17" t="s">
        <v>12</v>
      </c>
      <c r="I1" s="48" t="s">
        <v>125</v>
      </c>
    </row>
    <row r="2" spans="1:998" ht="18.75" customHeight="1" thickBot="1" x14ac:dyDescent="0.25">
      <c r="A2" s="18"/>
      <c r="B2" s="18"/>
      <c r="C2" s="18"/>
      <c r="D2" s="19"/>
      <c r="E2" s="19"/>
      <c r="F2" s="19"/>
      <c r="G2" s="19"/>
      <c r="H2" s="19"/>
      <c r="I2" s="19"/>
    </row>
    <row r="3" spans="1:998" ht="18.75" customHeight="1" thickBot="1" x14ac:dyDescent="0.25">
      <c r="A3" s="159" t="s">
        <v>45</v>
      </c>
      <c r="B3" s="159"/>
      <c r="C3" s="159"/>
      <c r="D3" s="155" t="s">
        <v>55</v>
      </c>
      <c r="E3" s="156"/>
      <c r="F3" s="156"/>
      <c r="G3" s="156"/>
      <c r="H3" s="156"/>
      <c r="I3" s="157"/>
    </row>
    <row r="4" spans="1:998" ht="18.75" customHeight="1" thickBot="1" x14ac:dyDescent="0.25">
      <c r="A4" s="160" t="s">
        <v>46</v>
      </c>
      <c r="B4" s="160"/>
      <c r="C4" s="160"/>
      <c r="D4" s="155" t="s">
        <v>85</v>
      </c>
      <c r="E4" s="156"/>
      <c r="F4" s="156"/>
      <c r="G4" s="156"/>
      <c r="H4" s="156"/>
      <c r="I4" s="157"/>
    </row>
    <row r="5" spans="1:998" ht="33.75" customHeight="1" thickBot="1" x14ac:dyDescent="0.25">
      <c r="A5" s="160" t="s">
        <v>24</v>
      </c>
      <c r="B5" s="160"/>
      <c r="C5" s="160"/>
      <c r="D5" s="152" t="s">
        <v>90</v>
      </c>
      <c r="E5" s="153"/>
      <c r="F5" s="153"/>
      <c r="G5" s="153"/>
      <c r="H5" s="153"/>
      <c r="I5" s="154"/>
    </row>
    <row r="6" spans="1:998" ht="16.5" customHeight="1" thickBot="1" x14ac:dyDescent="0.25">
      <c r="A6" s="159" t="s">
        <v>47</v>
      </c>
      <c r="B6" s="159"/>
      <c r="C6" s="159"/>
      <c r="D6" s="152" t="s">
        <v>88</v>
      </c>
      <c r="E6" s="153"/>
      <c r="F6" s="153"/>
      <c r="G6" s="153"/>
      <c r="H6" s="153"/>
      <c r="I6" s="154"/>
    </row>
    <row r="7" spans="1:998" ht="16.5" customHeight="1" thickBot="1" x14ac:dyDescent="0.25">
      <c r="A7" s="160" t="s">
        <v>13</v>
      </c>
      <c r="B7" s="160"/>
      <c r="C7" s="160"/>
      <c r="D7" s="161" t="s">
        <v>100</v>
      </c>
      <c r="E7" s="161"/>
      <c r="F7" s="161"/>
      <c r="G7" s="161"/>
      <c r="H7" s="161"/>
      <c r="I7" s="161"/>
    </row>
    <row r="8" spans="1:998" ht="16.5" customHeight="1" thickBot="1" x14ac:dyDescent="0.25">
      <c r="A8" s="150" t="s">
        <v>14</v>
      </c>
      <c r="B8" s="150"/>
      <c r="C8" s="150"/>
      <c r="D8" s="151" t="s">
        <v>54</v>
      </c>
      <c r="E8" s="151"/>
      <c r="F8" s="151"/>
      <c r="G8" s="151"/>
      <c r="H8" s="151"/>
      <c r="I8" s="151"/>
    </row>
    <row r="9" spans="1:998" ht="16.5" thickBot="1" x14ac:dyDescent="0.25">
      <c r="A9" s="20"/>
      <c r="B9" s="20"/>
      <c r="C9" s="20"/>
      <c r="D9" s="21"/>
      <c r="E9" s="21"/>
      <c r="F9" s="21"/>
      <c r="G9" s="21"/>
      <c r="H9" s="21"/>
      <c r="I9" s="21"/>
    </row>
    <row r="10" spans="1:998" ht="18.75" customHeight="1" thickBot="1" x14ac:dyDescent="0.25">
      <c r="A10" s="162" t="s">
        <v>15</v>
      </c>
      <c r="B10" s="163" t="s">
        <v>16</v>
      </c>
      <c r="C10" s="163" t="s">
        <v>17</v>
      </c>
      <c r="D10" s="163"/>
      <c r="E10" s="163"/>
      <c r="F10" s="163" t="s">
        <v>18</v>
      </c>
      <c r="G10" s="163" t="s">
        <v>19</v>
      </c>
      <c r="H10" s="163" t="s">
        <v>20</v>
      </c>
      <c r="I10" s="163" t="s">
        <v>21</v>
      </c>
    </row>
    <row r="11" spans="1:998" ht="24" customHeight="1" thickBot="1" x14ac:dyDescent="0.25">
      <c r="A11" s="162"/>
      <c r="B11" s="163"/>
      <c r="C11" s="163"/>
      <c r="D11" s="163"/>
      <c r="E11" s="163"/>
      <c r="F11" s="163"/>
      <c r="G11" s="163"/>
      <c r="H11" s="164"/>
      <c r="I11" s="164"/>
      <c r="K11" s="55"/>
    </row>
    <row r="12" spans="1:998" ht="45" customHeight="1" thickBot="1" x14ac:dyDescent="0.25">
      <c r="A12" s="31">
        <f>+'Necesidades Trimestrales'!A10</f>
        <v>1</v>
      </c>
      <c r="B12" s="32">
        <v>0</v>
      </c>
      <c r="C12" s="78" t="s">
        <v>96</v>
      </c>
      <c r="D12" s="78" t="str">
        <f>+'Necesidades Trimestrales'!E10</f>
        <v>ALERE DETERMINE SYPHILIS  TP  PRESENTACION: SOBRE X  20 DET</v>
      </c>
      <c r="E12" s="78" t="s">
        <v>96</v>
      </c>
      <c r="F12" s="33" t="s">
        <v>52</v>
      </c>
      <c r="G12" s="129" t="str">
        <f>+'Necesidades Trimestrales'!F10</f>
        <v>SOBRE</v>
      </c>
      <c r="H12" s="116">
        <f>+'Necesidades Trimestrales'!H10</f>
        <v>13886.25</v>
      </c>
      <c r="I12" s="130">
        <f>+'Necesidades Trimestrales'!G10</f>
        <v>10</v>
      </c>
      <c r="J12" s="131"/>
      <c r="K12" s="55"/>
      <c r="M12" s="55"/>
      <c r="ALJ12"/>
    </row>
    <row r="13" spans="1:998" ht="39.75" customHeight="1" thickBot="1" x14ac:dyDescent="0.25">
      <c r="A13" s="31">
        <f>+'Necesidades Trimestrales'!A11</f>
        <v>2</v>
      </c>
      <c r="B13" s="32">
        <v>0</v>
      </c>
      <c r="C13" s="105" t="s">
        <v>73</v>
      </c>
      <c r="D13" s="78" t="str">
        <f>+'Necesidades Trimestrales'!E11</f>
        <v>AMPOULE ADAPTER X 150 UN ROCHE</v>
      </c>
      <c r="E13" s="78" t="str">
        <f>'Necesidades Trimestrales'!F12</f>
        <v>CASSETTE</v>
      </c>
      <c r="F13" s="33" t="s">
        <v>52</v>
      </c>
      <c r="G13" s="129" t="str">
        <f>+'Necesidades Trimestrales'!F11</f>
        <v>CAJA</v>
      </c>
      <c r="H13" s="116">
        <f>+'Necesidades Trimestrales'!H11</f>
        <v>9168.17</v>
      </c>
      <c r="I13" s="130">
        <f>+'Necesidades Trimestrales'!G11</f>
        <v>4</v>
      </c>
      <c r="J13" s="131"/>
      <c r="K13" s="55"/>
      <c r="M13" s="55"/>
      <c r="ALJ13"/>
    </row>
    <row r="14" spans="1:998" ht="39" customHeight="1" thickBot="1" x14ac:dyDescent="0.25">
      <c r="A14" s="31">
        <f>+'Necesidades Trimestrales'!A12</f>
        <v>3</v>
      </c>
      <c r="B14" s="32">
        <v>0</v>
      </c>
      <c r="C14" s="105" t="s">
        <v>74</v>
      </c>
      <c r="D14" s="78" t="str">
        <f>+'Necesidades Trimestrales'!E12</f>
        <v>BILIRRUBINA DIRECTA COBAS C-311 ROCHE  X 350  DET</v>
      </c>
      <c r="E14" s="78" t="str">
        <f>'Necesidades Trimestrales'!F13</f>
        <v>CASSETTE</v>
      </c>
      <c r="F14" s="33" t="s">
        <v>52</v>
      </c>
      <c r="G14" s="129" t="str">
        <f>+'Necesidades Trimestrales'!F12</f>
        <v>CASSETTE</v>
      </c>
      <c r="H14" s="116">
        <f>+'Necesidades Trimestrales'!H12</f>
        <v>4920</v>
      </c>
      <c r="I14" s="130">
        <f>+'Necesidades Trimestrales'!G12</f>
        <v>2</v>
      </c>
      <c r="J14" s="131"/>
      <c r="K14" s="55"/>
      <c r="M14" s="55"/>
      <c r="ALJ14"/>
    </row>
    <row r="15" spans="1:998" ht="49.5" customHeight="1" thickBot="1" x14ac:dyDescent="0.25">
      <c r="A15" s="31">
        <f>+'Necesidades Trimestrales'!A13</f>
        <v>4</v>
      </c>
      <c r="B15" s="32">
        <v>0</v>
      </c>
      <c r="C15" s="105" t="s">
        <v>75</v>
      </c>
      <c r="D15" s="78" t="str">
        <f>+'Necesidades Trimestrales'!E13</f>
        <v>BILIRRUBINA TOTAL GEN 3 COBAS C-311 ROCHE  X 250 DET</v>
      </c>
      <c r="E15" s="78" t="str">
        <f>'Necesidades Trimestrales'!F16</f>
        <v xml:space="preserve">CAJA </v>
      </c>
      <c r="F15" s="33" t="s">
        <v>52</v>
      </c>
      <c r="G15" s="129" t="str">
        <f>+'Necesidades Trimestrales'!F13</f>
        <v>CASSETTE</v>
      </c>
      <c r="H15" s="116">
        <f>+'Necesidades Trimestrales'!H13</f>
        <v>5050</v>
      </c>
      <c r="I15" s="130">
        <f>+'Necesidades Trimestrales'!G13</f>
        <v>4</v>
      </c>
      <c r="J15" s="131"/>
      <c r="K15" s="55"/>
      <c r="M15" s="55"/>
      <c r="ALJ15"/>
    </row>
    <row r="16" spans="1:998" ht="48" customHeight="1" thickBot="1" x14ac:dyDescent="0.25">
      <c r="A16" s="31">
        <f>+'Necesidades Trimestrales'!A14</f>
        <v>5</v>
      </c>
      <c r="B16" s="32">
        <v>0</v>
      </c>
      <c r="C16" s="105" t="s">
        <v>76</v>
      </c>
      <c r="D16" s="78" t="str">
        <f>+'Necesidades Trimestrales'!E14</f>
        <v>CAJAS TARJETAS LISS/COOMBS PARA TECNICA EN GEL X 48 UNIDADES DIAMED-BIORAD</v>
      </c>
      <c r="E16" s="78" t="str">
        <f>'Necesidades Trimestrales'!F17</f>
        <v xml:space="preserve">CAJA </v>
      </c>
      <c r="F16" s="33" t="s">
        <v>52</v>
      </c>
      <c r="G16" s="129" t="str">
        <f>+'Necesidades Trimestrales'!F14</f>
        <v>CAJA</v>
      </c>
      <c r="H16" s="116">
        <f>+'Necesidades Trimestrales'!H14</f>
        <v>18091.8</v>
      </c>
      <c r="I16" s="130">
        <f>+'Necesidades Trimestrales'!G14</f>
        <v>3</v>
      </c>
      <c r="J16" s="131"/>
      <c r="K16" s="55"/>
      <c r="M16" s="55"/>
      <c r="ALJ16"/>
    </row>
    <row r="17" spans="1:998" ht="46.5" customHeight="1" thickBot="1" x14ac:dyDescent="0.25">
      <c r="A17" s="31">
        <f>+'Necesidades Trimestrales'!A15</f>
        <v>6</v>
      </c>
      <c r="B17" s="32">
        <v>0</v>
      </c>
      <c r="C17" s="105" t="s">
        <v>99</v>
      </c>
      <c r="D17" s="78" t="str">
        <f>+'Necesidades Trimestrales'!E15</f>
        <v>CEPILLOS PARA TUBOS DE 1,5 CM X 25 CM</v>
      </c>
      <c r="E17" s="78" t="str">
        <f>'Necesidades Trimestrales'!F18</f>
        <v>UNIDAD</v>
      </c>
      <c r="F17" s="33" t="s">
        <v>52</v>
      </c>
      <c r="G17" s="129" t="str">
        <f>+'Necesidades Trimestrales'!F15</f>
        <v>UNIDAD</v>
      </c>
      <c r="H17" s="116">
        <f>+'Necesidades Trimestrales'!H15</f>
        <v>317.39999999999998</v>
      </c>
      <c r="I17" s="130">
        <f>+'Necesidades Trimestrales'!G15</f>
        <v>10</v>
      </c>
      <c r="J17" s="131"/>
      <c r="K17" s="55"/>
      <c r="M17" s="55"/>
      <c r="ALJ17"/>
    </row>
    <row r="18" spans="1:998" ht="33" customHeight="1" thickBot="1" x14ac:dyDescent="0.25">
      <c r="A18" s="31">
        <f>+'Necesidades Trimestrales'!A16</f>
        <v>7</v>
      </c>
      <c r="B18" s="32">
        <v>0</v>
      </c>
      <c r="C18" s="105" t="s">
        <v>110</v>
      </c>
      <c r="D18" s="78" t="str">
        <f>+'Necesidades Trimestrales'!E16</f>
        <v>CHAGAS ELISA LISADO WIENER X 96  DET</v>
      </c>
      <c r="E18" s="78" t="str">
        <f>'Necesidades Trimestrales'!F19</f>
        <v>CAJA</v>
      </c>
      <c r="F18" s="33" t="s">
        <v>52</v>
      </c>
      <c r="G18" s="129" t="str">
        <f>+'Necesidades Trimestrales'!F16</f>
        <v xml:space="preserve">CAJA </v>
      </c>
      <c r="H18" s="116">
        <f>+'Necesidades Trimestrales'!H16</f>
        <v>13088</v>
      </c>
      <c r="I18" s="130">
        <f>+'Necesidades Trimestrales'!G16</f>
        <v>18</v>
      </c>
      <c r="J18" s="131"/>
      <c r="K18" s="55"/>
      <c r="M18" s="55"/>
      <c r="ALJ18"/>
    </row>
    <row r="19" spans="1:998" ht="39.75" customHeight="1" thickBot="1" x14ac:dyDescent="0.25">
      <c r="A19" s="31">
        <f>+'Necesidades Trimestrales'!A17</f>
        <v>8</v>
      </c>
      <c r="B19" s="32">
        <v>0</v>
      </c>
      <c r="C19" s="105" t="s">
        <v>111</v>
      </c>
      <c r="D19" s="78" t="str">
        <f>+'Necesidades Trimestrales'!E17</f>
        <v xml:space="preserve">CHAGAS HAI  WIENER  X 96 DET </v>
      </c>
      <c r="E19" s="78" t="str">
        <f>'Necesidades Trimestrales'!F20</f>
        <v>CAJA</v>
      </c>
      <c r="F19" s="33" t="s">
        <v>52</v>
      </c>
      <c r="G19" s="129" t="str">
        <f>+'Necesidades Trimestrales'!F17</f>
        <v xml:space="preserve">CAJA </v>
      </c>
      <c r="H19" s="116">
        <f>+'Necesidades Trimestrales'!H17</f>
        <v>13899</v>
      </c>
      <c r="I19" s="130">
        <f>+'Necesidades Trimestrales'!G17</f>
        <v>12</v>
      </c>
      <c r="J19" s="131"/>
      <c r="K19" s="55"/>
      <c r="M19" s="55"/>
      <c r="ALJ19"/>
    </row>
    <row r="20" spans="1:998" ht="30" customHeight="1" thickBot="1" x14ac:dyDescent="0.25">
      <c r="A20" s="31">
        <f>+'Necesidades Trimestrales'!A18</f>
        <v>9</v>
      </c>
      <c r="B20" s="32">
        <v>0</v>
      </c>
      <c r="C20" s="105" t="s">
        <v>112</v>
      </c>
      <c r="D20" s="78" t="str">
        <f>+'Necesidades Trimestrales'!E18</f>
        <v>CLEANSER EZ PROBE PARA BC 3000 PLUS  PRTESENTACION: BOTELLA X 50 ML</v>
      </c>
      <c r="E20" s="78" t="str">
        <f>'Necesidades Trimestrales'!F21</f>
        <v>CAJA</v>
      </c>
      <c r="F20" s="33" t="s">
        <v>52</v>
      </c>
      <c r="G20" s="129" t="str">
        <f>+'Necesidades Trimestrales'!F18</f>
        <v>UNIDAD</v>
      </c>
      <c r="H20" s="116">
        <f>+'Necesidades Trimestrales'!H18</f>
        <v>7650</v>
      </c>
      <c r="I20" s="130">
        <f>+'Necesidades Trimestrales'!G18</f>
        <v>5</v>
      </c>
      <c r="J20" s="131"/>
      <c r="K20" s="55"/>
      <c r="M20" s="55"/>
      <c r="ALJ20"/>
    </row>
    <row r="21" spans="1:998" ht="38.25" customHeight="1" thickBot="1" x14ac:dyDescent="0.25">
      <c r="A21" s="31">
        <f>+'Necesidades Trimestrales'!A19</f>
        <v>10</v>
      </c>
      <c r="B21" s="32">
        <v>0</v>
      </c>
      <c r="C21" s="105" t="s">
        <v>115</v>
      </c>
      <c r="D21" s="78" t="str">
        <f>+'Necesidades Trimestrales'!E19</f>
        <v>COBAS B 221 COMBITROL PLUS B LEVEL 1  x 30 UNIDADES ROCHE</v>
      </c>
      <c r="E21" s="78" t="str">
        <f>'Necesidades Trimestrales'!F22</f>
        <v>UNIDAD</v>
      </c>
      <c r="F21" s="33" t="s">
        <v>52</v>
      </c>
      <c r="G21" s="129" t="str">
        <f>+'Necesidades Trimestrales'!F19</f>
        <v>CAJA</v>
      </c>
      <c r="H21" s="116">
        <f>+'Necesidades Trimestrales'!H19</f>
        <v>26023</v>
      </c>
      <c r="I21" s="130">
        <f>+'Necesidades Trimestrales'!G19</f>
        <v>1</v>
      </c>
      <c r="J21" s="131"/>
      <c r="K21" s="55"/>
      <c r="M21" s="55"/>
      <c r="ALJ21"/>
    </row>
    <row r="22" spans="1:998" ht="33.75" customHeight="1" thickBot="1" x14ac:dyDescent="0.25">
      <c r="A22" s="31">
        <f>+'Necesidades Trimestrales'!A20</f>
        <v>11</v>
      </c>
      <c r="B22" s="108">
        <v>0</v>
      </c>
      <c r="C22" s="105" t="s">
        <v>114</v>
      </c>
      <c r="D22" s="78" t="str">
        <f>+'Necesidades Trimestrales'!E20</f>
        <v>COBAS B 221 COMBITROL PLUS B LEVEL 2  x 30 UNIDADES  ROCHE</v>
      </c>
      <c r="E22" s="78" t="str">
        <f>'Necesidades Trimestrales'!F23</f>
        <v>UNIDAD</v>
      </c>
      <c r="F22" s="33" t="s">
        <v>52</v>
      </c>
      <c r="G22" s="129" t="str">
        <f>+'Necesidades Trimestrales'!F20</f>
        <v>CAJA</v>
      </c>
      <c r="H22" s="116">
        <f>+'Necesidades Trimestrales'!H20</f>
        <v>26023</v>
      </c>
      <c r="I22" s="130">
        <f>+'Necesidades Trimestrales'!G20</f>
        <v>1</v>
      </c>
      <c r="J22" s="131"/>
      <c r="K22" s="55"/>
      <c r="M22" s="55"/>
      <c r="ALJ22"/>
    </row>
    <row r="23" spans="1:998" ht="41.25" customHeight="1" thickBot="1" x14ac:dyDescent="0.25">
      <c r="A23" s="31">
        <f>+'Necesidades Trimestrales'!A21</f>
        <v>12</v>
      </c>
      <c r="B23" s="110">
        <v>0</v>
      </c>
      <c r="C23" s="105" t="s">
        <v>113</v>
      </c>
      <c r="D23" s="78" t="str">
        <f>+'Necesidades Trimestrales'!E21</f>
        <v>COBAS B 221 COMBITROL PLUS B LEVEL 3 x 30 UNIDADES  ROCHE</v>
      </c>
      <c r="E23" s="78" t="str">
        <f>'Necesidades Trimestrales'!F24</f>
        <v>UNIDAD</v>
      </c>
      <c r="F23" s="106" t="s">
        <v>52</v>
      </c>
      <c r="G23" s="129" t="str">
        <f>+'Necesidades Trimestrales'!F21</f>
        <v>CAJA</v>
      </c>
      <c r="H23" s="116">
        <f>+'Necesidades Trimestrales'!H21</f>
        <v>26023</v>
      </c>
      <c r="I23" s="130">
        <f>+'Necesidades Trimestrales'!G21</f>
        <v>1</v>
      </c>
      <c r="J23" s="131"/>
      <c r="K23" s="55"/>
      <c r="M23" s="55"/>
      <c r="ALJ23"/>
    </row>
    <row r="24" spans="1:998" ht="33" customHeight="1" thickBot="1" x14ac:dyDescent="0.25">
      <c r="A24" s="31">
        <f>+'Necesidades Trimestrales'!A22</f>
        <v>13</v>
      </c>
      <c r="B24" s="109">
        <v>0</v>
      </c>
      <c r="C24" s="105" t="s">
        <v>118</v>
      </c>
      <c r="D24" s="78" t="str">
        <f>+'Necesidades Trimestrales'!E22</f>
        <v>COBAS B121 / B221  ELECTRODO DE PO2  ROCHE</v>
      </c>
      <c r="E24" s="78" t="str">
        <f>'Necesidades Trimestrales'!F25</f>
        <v>UNIDAD</v>
      </c>
      <c r="F24" s="33" t="s">
        <v>52</v>
      </c>
      <c r="G24" s="129" t="s">
        <v>51</v>
      </c>
      <c r="H24" s="116">
        <f>+'Necesidades Trimestrales'!H22</f>
        <v>13880</v>
      </c>
      <c r="I24" s="130">
        <f>+'Necesidades Trimestrales'!G22</f>
        <v>1</v>
      </c>
      <c r="J24" s="131"/>
      <c r="K24" s="55"/>
      <c r="M24" s="55"/>
      <c r="ALJ24"/>
    </row>
    <row r="25" spans="1:998" ht="27.75" customHeight="1" thickBot="1" x14ac:dyDescent="0.25">
      <c r="A25" s="31">
        <f>+'Necesidades Trimestrales'!A23</f>
        <v>14</v>
      </c>
      <c r="B25" s="32">
        <v>0</v>
      </c>
      <c r="C25" s="105" t="s">
        <v>117</v>
      </c>
      <c r="D25" s="78" t="str">
        <f>+'Necesidades Trimestrales'!E23</f>
        <v xml:space="preserve">COBAS B121 / B221  ELECTRODO DE POTASIO (K) ROCHE </v>
      </c>
      <c r="E25" s="78" t="str">
        <f>'Necesidades Trimestrales'!F26</f>
        <v>UNIDAD</v>
      </c>
      <c r="F25" s="33" t="s">
        <v>52</v>
      </c>
      <c r="G25" s="129" t="s">
        <v>51</v>
      </c>
      <c r="H25" s="116">
        <f>+'Necesidades Trimestrales'!H23</f>
        <v>13880</v>
      </c>
      <c r="I25" s="130">
        <f>+'Necesidades Trimestrales'!G23</f>
        <v>1</v>
      </c>
      <c r="J25" s="131"/>
      <c r="K25" s="55"/>
      <c r="M25" s="55"/>
      <c r="ALJ25"/>
    </row>
    <row r="26" spans="1:998" ht="33" customHeight="1" thickBot="1" x14ac:dyDescent="0.25">
      <c r="A26" s="31">
        <f>+'Necesidades Trimestrales'!A24</f>
        <v>15</v>
      </c>
      <c r="B26" s="32">
        <v>0</v>
      </c>
      <c r="C26" s="105" t="s">
        <v>116</v>
      </c>
      <c r="D26" s="78" t="str">
        <f>+'Necesidades Trimestrales'!E24</f>
        <v xml:space="preserve">COBAS B121 / B221  ELECTRODO DE SODIO (Na) ROCHE </v>
      </c>
      <c r="E26" s="78" t="str">
        <f>'Necesidades Trimestrales'!F27</f>
        <v>UNIDAD</v>
      </c>
      <c r="F26" s="33" t="s">
        <v>52</v>
      </c>
      <c r="G26" s="129" t="s">
        <v>51</v>
      </c>
      <c r="H26" s="116">
        <f>+'Necesidades Trimestrales'!H24</f>
        <v>52717</v>
      </c>
      <c r="I26" s="130">
        <f>+'Necesidades Trimestrales'!G24</f>
        <v>1</v>
      </c>
      <c r="J26" s="131"/>
      <c r="K26" s="55"/>
      <c r="M26" s="55"/>
      <c r="ALJ26"/>
    </row>
    <row r="27" spans="1:998" ht="27.75" customHeight="1" thickBot="1" x14ac:dyDescent="0.25">
      <c r="A27" s="31">
        <f>+'Necesidades Trimestrales'!A25</f>
        <v>16</v>
      </c>
      <c r="B27" s="32">
        <v>0</v>
      </c>
      <c r="C27" s="105" t="s">
        <v>119</v>
      </c>
      <c r="D27" s="78" t="str">
        <f>+'Necesidades Trimestrales'!E25</f>
        <v>COBAS B121 / B221 ELECTRODO DE CALCIO ROCHE</v>
      </c>
      <c r="E27" s="78" t="str">
        <f>'Necesidades Trimestrales'!F28</f>
        <v>UNIDAD</v>
      </c>
      <c r="F27" s="33" t="s">
        <v>52</v>
      </c>
      <c r="G27" s="129" t="s">
        <v>51</v>
      </c>
      <c r="H27" s="116">
        <f>+'Necesidades Trimestrales'!H25</f>
        <v>23156</v>
      </c>
      <c r="I27" s="130">
        <f>+'Necesidades Trimestrales'!G25</f>
        <v>1</v>
      </c>
      <c r="J27" s="131"/>
      <c r="K27" s="55"/>
      <c r="M27" s="55"/>
      <c r="ALJ27"/>
    </row>
    <row r="28" spans="1:998" ht="36.75" customHeight="1" thickBot="1" x14ac:dyDescent="0.25">
      <c r="A28" s="31">
        <f>+'Necesidades Trimestrales'!A26</f>
        <v>17</v>
      </c>
      <c r="B28" s="32">
        <v>0</v>
      </c>
      <c r="C28" s="105" t="s">
        <v>120</v>
      </c>
      <c r="D28" s="78" t="str">
        <f>+'Necesidades Trimestrales'!E26</f>
        <v>COBAS B121 / B221 ELECTRODO DE CLIORO   ROCHE</v>
      </c>
      <c r="E28" s="78" t="str">
        <f>'Necesidades Trimestrales'!F29</f>
        <v>CAJA</v>
      </c>
      <c r="F28" s="33" t="s">
        <v>52</v>
      </c>
      <c r="G28" s="129" t="s">
        <v>51</v>
      </c>
      <c r="H28" s="116">
        <f>+'Necesidades Trimestrales'!H26</f>
        <v>13880</v>
      </c>
      <c r="I28" s="130">
        <f>+'Necesidades Trimestrales'!G26</f>
        <v>1</v>
      </c>
      <c r="J28" s="131"/>
      <c r="K28" s="55"/>
      <c r="M28" s="55"/>
      <c r="ALJ28"/>
    </row>
    <row r="29" spans="1:998" ht="36.75" customHeight="1" thickBot="1" x14ac:dyDescent="0.25">
      <c r="A29" s="31">
        <f>+'Necesidades Trimestrales'!A27</f>
        <v>18</v>
      </c>
      <c r="B29" s="32">
        <v>0</v>
      </c>
      <c r="C29" s="105" t="s">
        <v>59</v>
      </c>
      <c r="D29" s="78" t="str">
        <f>+'Necesidades Trimestrales'!E27</f>
        <v>COBAS B121 / B221 ELECTRODO DE PH  ROCHE</v>
      </c>
      <c r="E29" s="78" t="str">
        <f>'Necesidades Trimestrales'!F31</f>
        <v>CAJA</v>
      </c>
      <c r="F29" s="33" t="s">
        <v>52</v>
      </c>
      <c r="G29" s="129" t="s">
        <v>51</v>
      </c>
      <c r="H29" s="116">
        <f>+'Necesidades Trimestrales'!H27</f>
        <v>13880</v>
      </c>
      <c r="I29" s="130">
        <f>+'Necesidades Trimestrales'!G27</f>
        <v>1</v>
      </c>
      <c r="J29" s="131"/>
      <c r="K29" s="55"/>
      <c r="M29" s="55"/>
      <c r="ALJ29"/>
    </row>
    <row r="30" spans="1:998" ht="36.75" customHeight="1" thickBot="1" x14ac:dyDescent="0.25">
      <c r="A30" s="31">
        <f>+'Necesidades Trimestrales'!A28</f>
        <v>19</v>
      </c>
      <c r="B30" s="32">
        <v>0</v>
      </c>
      <c r="C30" s="105" t="s">
        <v>77</v>
      </c>
      <c r="D30" s="78" t="str">
        <f>+'Necesidades Trimestrales'!E28</f>
        <v>COBAS B221 REFERENCE CONTACT  ( RCON)  ROCHE</v>
      </c>
      <c r="E30" s="78" t="str">
        <f>'Necesidades Trimestrales'!F32</f>
        <v>UNIDAD</v>
      </c>
      <c r="F30" s="33" t="s">
        <v>52</v>
      </c>
      <c r="G30" s="129" t="s">
        <v>51</v>
      </c>
      <c r="H30" s="116">
        <f>+'Necesidades Trimestrales'!H28</f>
        <v>29300</v>
      </c>
      <c r="I30" s="130">
        <f>+'Necesidades Trimestrales'!G28</f>
        <v>1</v>
      </c>
      <c r="J30" s="131"/>
      <c r="K30" s="55"/>
      <c r="M30" s="55"/>
      <c r="ALJ30"/>
    </row>
    <row r="31" spans="1:998" ht="36.75" customHeight="1" thickBot="1" x14ac:dyDescent="0.25">
      <c r="A31" s="31">
        <f>+'Necesidades Trimestrales'!A29</f>
        <v>20</v>
      </c>
      <c r="B31" s="32">
        <v>0</v>
      </c>
      <c r="C31" s="105" t="s">
        <v>78</v>
      </c>
      <c r="D31" s="78" t="str">
        <f>+'Necesidades Trimestrales'!E29</f>
        <v>COBAS SAMPLE CLEANER 1 (MULTICLEAN ) 12 x 60 ml  ROCHE</v>
      </c>
      <c r="E31" s="78" t="str">
        <f>'Necesidades Trimestrales'!F33</f>
        <v>UNIDAD</v>
      </c>
      <c r="F31" s="33" t="s">
        <v>52</v>
      </c>
      <c r="G31" s="129" t="str">
        <f>+'Necesidades Trimestrales'!F29</f>
        <v>CAJA</v>
      </c>
      <c r="H31" s="116">
        <f>+'Necesidades Trimestrales'!H29</f>
        <v>6020</v>
      </c>
      <c r="I31" s="130">
        <f>+'Necesidades Trimestrales'!G29</f>
        <v>1</v>
      </c>
      <c r="J31" s="131"/>
      <c r="K31" s="55"/>
      <c r="M31" s="55"/>
      <c r="ALJ31"/>
    </row>
    <row r="32" spans="1:998" ht="36.75" customHeight="1" thickBot="1" x14ac:dyDescent="0.25">
      <c r="A32" s="31">
        <f>+'Necesidades Trimestrales'!A30</f>
        <v>21</v>
      </c>
      <c r="B32" s="32">
        <v>0</v>
      </c>
      <c r="C32" s="78" t="s">
        <v>97</v>
      </c>
      <c r="D32" s="78" t="str">
        <f>+'Necesidades Trimestrales'!E30</f>
        <v>CUBETAS PARA COAGULOMETRO SIEMENS BFT II X 100 UNIDADES X 5 PLANCHAS</v>
      </c>
      <c r="E32" s="78" t="str">
        <f>'Necesidades Trimestrales'!F34</f>
        <v>FRASCO</v>
      </c>
      <c r="F32" s="33" t="s">
        <v>52</v>
      </c>
      <c r="G32" s="129" t="str">
        <f>+'Necesidades Trimestrales'!F30</f>
        <v>CAJA</v>
      </c>
      <c r="H32" s="116">
        <f>+'Necesidades Trimestrales'!H30</f>
        <v>28433.75</v>
      </c>
      <c r="I32" s="130">
        <f>+'Necesidades Trimestrales'!G30</f>
        <v>1</v>
      </c>
      <c r="J32" s="131"/>
      <c r="K32" s="55"/>
      <c r="M32" s="55"/>
      <c r="ALJ32"/>
    </row>
    <row r="33" spans="1:998" ht="36.75" customHeight="1" thickBot="1" x14ac:dyDescent="0.25">
      <c r="A33" s="31">
        <f>+'Necesidades Trimestrales'!A31</f>
        <v>22</v>
      </c>
      <c r="B33" s="32">
        <v>0</v>
      </c>
      <c r="C33" s="84" t="s">
        <v>79</v>
      </c>
      <c r="D33" s="78" t="str">
        <f>+'Necesidades Trimestrales'!E31</f>
        <v>CUBRE OBJETOS 20 X 20 X 100 UNID.</v>
      </c>
      <c r="E33" s="78" t="str">
        <f>'Necesidades Trimestrales'!F35</f>
        <v>CAJA</v>
      </c>
      <c r="F33" s="33" t="s">
        <v>52</v>
      </c>
      <c r="G33" s="129" t="str">
        <f>+'Necesidades Trimestrales'!F31</f>
        <v>CAJA</v>
      </c>
      <c r="H33" s="116">
        <f>+'Necesidades Trimestrales'!H31</f>
        <v>124</v>
      </c>
      <c r="I33" s="130">
        <f>+'Necesidades Trimestrales'!G31</f>
        <v>5</v>
      </c>
      <c r="J33" s="131"/>
      <c r="K33" s="55"/>
      <c r="M33" s="55"/>
      <c r="ALJ33"/>
    </row>
    <row r="34" spans="1:998" ht="36.75" customHeight="1" thickBot="1" x14ac:dyDescent="0.25">
      <c r="A34" s="31">
        <f>+'Necesidades Trimestrales'!A32</f>
        <v>23</v>
      </c>
      <c r="B34" s="32">
        <v>0</v>
      </c>
      <c r="C34" s="114" t="s">
        <v>80</v>
      </c>
      <c r="D34" s="78" t="str">
        <f>+'Necesidades Trimestrales'!E32</f>
        <v>DETERGENTE P/CONTADOR MINDRAY BC3000 PLUS X 5 L</v>
      </c>
      <c r="E34" s="78" t="str">
        <f>'Necesidades Trimestrales'!F38</f>
        <v>CAJA</v>
      </c>
      <c r="F34" s="33" t="s">
        <v>52</v>
      </c>
      <c r="G34" s="129" t="s">
        <v>51</v>
      </c>
      <c r="H34" s="116">
        <f>+'Necesidades Trimestrales'!H32</f>
        <v>6996</v>
      </c>
      <c r="I34" s="130">
        <f>+'Necesidades Trimestrales'!G32</f>
        <v>18</v>
      </c>
      <c r="J34" s="131"/>
      <c r="K34" s="55"/>
      <c r="M34" s="55"/>
      <c r="ALJ34"/>
    </row>
    <row r="35" spans="1:998" ht="36.75" customHeight="1" thickBot="1" x14ac:dyDescent="0.25">
      <c r="A35" s="31">
        <f>+'Necesidades Trimestrales'!A33</f>
        <v>24</v>
      </c>
      <c r="B35" s="32">
        <v>0</v>
      </c>
      <c r="C35" s="113" t="s">
        <v>81</v>
      </c>
      <c r="D35" s="78" t="str">
        <f>+'Necesidades Trimestrales'!E33</f>
        <v>DILUYENTE PARA CONTADOR HEMATOLOGICO MINDRAY BC-3000 PLUS  X 20 LITROS</v>
      </c>
      <c r="E35" s="78" t="str">
        <f>'Necesidades Trimestrales'!F39</f>
        <v>UNIDAD</v>
      </c>
      <c r="F35" s="33" t="s">
        <v>52</v>
      </c>
      <c r="G35" s="129" t="s">
        <v>51</v>
      </c>
      <c r="H35" s="116">
        <f>+'Necesidades Trimestrales'!H33</f>
        <v>9174</v>
      </c>
      <c r="I35" s="130">
        <f>+'Necesidades Trimestrales'!G33</f>
        <v>18</v>
      </c>
      <c r="J35" s="131"/>
      <c r="K35" s="55"/>
      <c r="M35" s="55"/>
      <c r="ALJ35"/>
    </row>
    <row r="36" spans="1:998" ht="36.75" customHeight="1" thickBot="1" x14ac:dyDescent="0.25">
      <c r="A36" s="31">
        <f>+'Necesidades Trimestrales'!A34</f>
        <v>25</v>
      </c>
      <c r="B36" s="32">
        <v>0</v>
      </c>
      <c r="C36" s="104" t="s">
        <v>109</v>
      </c>
      <c r="D36" s="78" t="str">
        <f>+'Necesidades Trimestrales'!E34</f>
        <v>FECUNTEST STRIPS (WIENER LAB) X 25 UN</v>
      </c>
      <c r="E36" s="78" t="str">
        <f>'Necesidades Trimestrales'!F40</f>
        <v>CAJA</v>
      </c>
      <c r="F36" s="33" t="s">
        <v>52</v>
      </c>
      <c r="G36" s="129" t="s">
        <v>50</v>
      </c>
      <c r="H36" s="116">
        <f>+'Necesidades Trimestrales'!H34</f>
        <v>2045</v>
      </c>
      <c r="I36" s="130">
        <f>+'Necesidades Trimestrales'!G34</f>
        <v>30</v>
      </c>
      <c r="J36" s="131"/>
      <c r="K36" s="55"/>
      <c r="M36" s="55"/>
      <c r="ALJ36"/>
    </row>
    <row r="37" spans="1:998" ht="33.75" customHeight="1" thickBot="1" x14ac:dyDescent="0.25">
      <c r="A37" s="31">
        <f>+'Necesidades Trimestrales'!A35</f>
        <v>26</v>
      </c>
      <c r="B37" s="32">
        <v>0</v>
      </c>
      <c r="C37" s="107" t="s">
        <v>82</v>
      </c>
      <c r="D37" s="78" t="str">
        <f>+'Necesidades Trimestrales'!E35</f>
        <v>HBSAG ELISA WIENER  X 96 DET</v>
      </c>
      <c r="E37" s="78" t="str">
        <f>'Necesidades Trimestrales'!F41</f>
        <v>UNIDAD</v>
      </c>
      <c r="F37" s="33" t="s">
        <v>52</v>
      </c>
      <c r="G37" s="129" t="str">
        <f>+'Necesidades Trimestrales'!F35</f>
        <v>CAJA</v>
      </c>
      <c r="H37" s="116">
        <f>+'Necesidades Trimestrales'!H35</f>
        <v>17319</v>
      </c>
      <c r="I37" s="130">
        <f>+'Necesidades Trimestrales'!G35</f>
        <v>20</v>
      </c>
      <c r="J37" s="131"/>
      <c r="K37" s="55"/>
      <c r="M37" s="55"/>
      <c r="ALJ37"/>
    </row>
    <row r="38" spans="1:998" ht="33" customHeight="1" thickBot="1" x14ac:dyDescent="0.25">
      <c r="A38" s="31">
        <f>+'Necesidades Trimestrales'!A36</f>
        <v>27</v>
      </c>
      <c r="B38" s="32">
        <v>0</v>
      </c>
      <c r="C38" s="107" t="s">
        <v>83</v>
      </c>
      <c r="D38" s="78" t="str">
        <f>+'Necesidades Trimestrales'!E36</f>
        <v>HEMOCULTIVO AUTOMATIZADO P/ PEDIATRICO X 100 U</v>
      </c>
      <c r="E38" s="78" t="str">
        <f>'Necesidades Trimestrales'!F42</f>
        <v>UNIDAD</v>
      </c>
      <c r="F38" s="33" t="s">
        <v>52</v>
      </c>
      <c r="G38" s="129" t="str">
        <f>+'Necesidades Trimestrales'!F36</f>
        <v>CAJA</v>
      </c>
      <c r="H38" s="116">
        <f>+'Necesidades Trimestrales'!H36</f>
        <v>1190.25</v>
      </c>
      <c r="I38" s="130">
        <f>+'Necesidades Trimestrales'!G36</f>
        <v>200</v>
      </c>
      <c r="J38" s="131"/>
      <c r="K38" s="55"/>
      <c r="L38" s="55"/>
      <c r="M38" s="55"/>
    </row>
    <row r="39" spans="1:998" ht="33" customHeight="1" thickBot="1" x14ac:dyDescent="0.25">
      <c r="A39" s="31">
        <f>+'Necesidades Trimestrales'!A37</f>
        <v>28</v>
      </c>
      <c r="B39" s="32">
        <v>0</v>
      </c>
      <c r="C39" s="107" t="s">
        <v>84</v>
      </c>
      <c r="D39" s="78" t="str">
        <f>+'Necesidades Trimestrales'!E37</f>
        <v>HEMOCULTIVO AUTOMATIZADO P/BACTALERT ADULTO X 100 U</v>
      </c>
      <c r="E39" s="78" t="str">
        <f>'Necesidades Trimestrales'!F43</f>
        <v>UNIDAD</v>
      </c>
      <c r="F39" s="33" t="s">
        <v>52</v>
      </c>
      <c r="G39" s="129" t="str">
        <f>+'Necesidades Trimestrales'!F37</f>
        <v>CAJA</v>
      </c>
      <c r="H39" s="116">
        <f>+'Necesidades Trimestrales'!H37</f>
        <v>1190.25</v>
      </c>
      <c r="I39" s="130">
        <f>+'Necesidades Trimestrales'!G37</f>
        <v>25</v>
      </c>
      <c r="J39" s="131"/>
      <c r="K39" s="55"/>
      <c r="L39" s="55"/>
      <c r="M39" s="55"/>
    </row>
    <row r="40" spans="1:998" ht="32.25" customHeight="1" thickBot="1" x14ac:dyDescent="0.25">
      <c r="A40" s="31">
        <f>+'Necesidades Trimestrales'!A38</f>
        <v>29</v>
      </c>
      <c r="B40" s="32">
        <v>0</v>
      </c>
      <c r="C40" s="124" t="s">
        <v>124</v>
      </c>
      <c r="D40" s="78" t="str">
        <f>+'Necesidades Trimestrales'!E38</f>
        <v>KIT PARA RETICULOCITOS (AZUL DE CRESIL BRILLANTE) X 50 TUBOS DELTALAB</v>
      </c>
      <c r="E40" s="78" t="str">
        <f>'Necesidades Trimestrales'!F44</f>
        <v>UNIDAD</v>
      </c>
      <c r="F40" s="33" t="s">
        <v>52</v>
      </c>
      <c r="G40" s="129" t="str">
        <f>+'Necesidades Trimestrales'!F38</f>
        <v>CAJA</v>
      </c>
      <c r="H40" s="116">
        <f>+'Necesidades Trimestrales'!H38</f>
        <v>9775</v>
      </c>
      <c r="I40" s="130">
        <f>+'Necesidades Trimestrales'!G38</f>
        <v>2</v>
      </c>
      <c r="J40" s="131"/>
      <c r="K40" s="55"/>
      <c r="L40" s="55"/>
      <c r="M40" s="55"/>
    </row>
    <row r="41" spans="1:998" ht="39" customHeight="1" thickBot="1" x14ac:dyDescent="0.25">
      <c r="A41" s="31">
        <f>+'Necesidades Trimestrales'!A39</f>
        <v>30</v>
      </c>
      <c r="B41" s="32">
        <v>0</v>
      </c>
      <c r="C41" s="107" t="s">
        <v>122</v>
      </c>
      <c r="D41" s="78" t="str">
        <f>+'Necesidades Trimestrales'!E39</f>
        <v xml:space="preserve">LAMPARA HALOGENA COBAS C-311 ROCHE </v>
      </c>
      <c r="E41" s="78" t="str">
        <f>'Necesidades Trimestrales'!F45</f>
        <v>UNIDAD</v>
      </c>
      <c r="F41" s="33" t="s">
        <v>52</v>
      </c>
      <c r="G41" s="129" t="str">
        <f>+'Necesidades Trimestrales'!F39</f>
        <v>UNIDAD</v>
      </c>
      <c r="H41" s="116">
        <f>+'Necesidades Trimestrales'!H39</f>
        <v>78467</v>
      </c>
      <c r="I41" s="130">
        <f>+'Necesidades Trimestrales'!G39</f>
        <v>2</v>
      </c>
      <c r="J41" s="131"/>
      <c r="K41" s="55"/>
      <c r="L41" s="55"/>
      <c r="M41" s="55"/>
    </row>
    <row r="42" spans="1:998" ht="37.5" customHeight="1" thickBot="1" x14ac:dyDescent="0.25">
      <c r="A42" s="31">
        <f>+'Necesidades Trimestrales'!A40</f>
        <v>31</v>
      </c>
      <c r="B42" s="32">
        <v>0</v>
      </c>
      <c r="C42" s="107" t="s">
        <v>123</v>
      </c>
      <c r="D42" s="78" t="str">
        <f>+'Necesidades Trimestrales'!E40</f>
        <v>LYSE CF-BC 3000 PLUS x 1 litro LABIX</v>
      </c>
      <c r="E42" s="78" t="str">
        <f>'Necesidades Trimestrales'!F46</f>
        <v>UNIDAD</v>
      </c>
      <c r="F42" s="33" t="s">
        <v>52</v>
      </c>
      <c r="G42" s="129" t="s">
        <v>51</v>
      </c>
      <c r="H42" s="116">
        <f>+'Necesidades Trimestrales'!H40</f>
        <v>11699</v>
      </c>
      <c r="I42" s="130">
        <f>+'Necesidades Trimestrales'!G40</f>
        <v>10</v>
      </c>
      <c r="J42" s="131"/>
      <c r="K42" s="55"/>
      <c r="L42" s="55"/>
      <c r="M42" s="55"/>
    </row>
    <row r="43" spans="1:998" ht="35.25" customHeight="1" thickBot="1" x14ac:dyDescent="0.25">
      <c r="A43" s="31">
        <f>+'Necesidades Trimestrales'!A41</f>
        <v>32</v>
      </c>
      <c r="B43" s="32">
        <v>0</v>
      </c>
      <c r="C43" s="107" t="s">
        <v>121</v>
      </c>
      <c r="D43" s="78" t="str">
        <f>+'Necesidades Trimestrales'!E41</f>
        <v>M-52 DIFF  LYSE  PARA MINDRAY BC-5150 X 500 ML</v>
      </c>
      <c r="E43" s="78" t="str">
        <f>'Necesidades Trimestrales'!F47</f>
        <v>UNIDAD</v>
      </c>
      <c r="F43" s="33" t="s">
        <v>52</v>
      </c>
      <c r="G43" s="129" t="str">
        <f>+'Necesidades Trimestrales'!F41</f>
        <v>UNIDAD</v>
      </c>
      <c r="H43" s="116">
        <f>+'Necesidades Trimestrales'!H41</f>
        <v>20210</v>
      </c>
      <c r="I43" s="130">
        <f>+'Necesidades Trimestrales'!G41</f>
        <v>25</v>
      </c>
      <c r="J43" s="131"/>
      <c r="K43" s="55"/>
      <c r="L43" s="55"/>
      <c r="M43" s="55"/>
    </row>
    <row r="44" spans="1:998" ht="45.75" customHeight="1" thickBot="1" x14ac:dyDescent="0.25">
      <c r="A44" s="31">
        <f>+'Necesidades Trimestrales'!A42</f>
        <v>33</v>
      </c>
      <c r="B44" s="32">
        <v>0</v>
      </c>
      <c r="C44" s="107" t="s">
        <v>58</v>
      </c>
      <c r="D44" s="78" t="str">
        <f>+'Necesidades Trimestrales'!E42</f>
        <v>M-52 LH LYSE  PARA MINDRAY BC-5150 X 100 ML</v>
      </c>
      <c r="E44" s="78" t="str">
        <f>'Necesidades Trimestrales'!F49</f>
        <v>CAJA</v>
      </c>
      <c r="F44" s="33" t="s">
        <v>52</v>
      </c>
      <c r="G44" s="129" t="str">
        <f>+'Necesidades Trimestrales'!F42</f>
        <v>UNIDAD</v>
      </c>
      <c r="H44" s="116">
        <f>+'Necesidades Trimestrales'!H42</f>
        <v>13057</v>
      </c>
      <c r="I44" s="130">
        <f>+'Necesidades Trimestrales'!G42</f>
        <v>25</v>
      </c>
      <c r="J44" s="131"/>
      <c r="K44" s="55"/>
      <c r="L44" s="55"/>
      <c r="M44" s="55"/>
    </row>
    <row r="45" spans="1:998" ht="42.75" customHeight="1" thickBot="1" x14ac:dyDescent="0.25">
      <c r="A45" s="31">
        <f>+'Necesidades Trimestrales'!A43</f>
        <v>34</v>
      </c>
      <c r="B45" s="32">
        <v>0</v>
      </c>
      <c r="C45" s="113" t="s">
        <v>101</v>
      </c>
      <c r="D45" s="78" t="str">
        <f>+'Necesidades Trimestrales'!E43</f>
        <v>M-52D - DILUENT PARA MINDRAY BC-5150 X 20 LITROS</v>
      </c>
      <c r="E45" s="78" t="str">
        <f>'Necesidades Trimestrales'!F51</f>
        <v>PAQUETE</v>
      </c>
      <c r="F45" s="33" t="s">
        <v>52</v>
      </c>
      <c r="G45" s="129" t="str">
        <f>+'Necesidades Trimestrales'!F43</f>
        <v>UNIDAD</v>
      </c>
      <c r="H45" s="116">
        <f>+'Necesidades Trimestrales'!H43</f>
        <v>9574</v>
      </c>
      <c r="I45" s="130">
        <f>+'Necesidades Trimestrales'!G43</f>
        <v>25</v>
      </c>
      <c r="J45" s="131"/>
      <c r="K45" s="55"/>
      <c r="L45" s="55"/>
      <c r="M45" s="55"/>
    </row>
    <row r="46" spans="1:998" ht="47.25" customHeight="1" thickBot="1" x14ac:dyDescent="0.25">
      <c r="A46" s="31">
        <f>+'Necesidades Trimestrales'!A44</f>
        <v>35</v>
      </c>
      <c r="B46" s="32">
        <v>0</v>
      </c>
      <c r="C46" s="113" t="s">
        <v>103</v>
      </c>
      <c r="D46" s="78" t="str">
        <f>+'Necesidades Trimestrales'!E44</f>
        <v xml:space="preserve">MICROPIPETA REGULABLE  100 - 1000 ul  SOCOREX </v>
      </c>
      <c r="E46" s="78" t="str">
        <f>'Necesidades Trimestrales'!F52</f>
        <v>PAQUETE</v>
      </c>
      <c r="F46" s="33" t="s">
        <v>52</v>
      </c>
      <c r="G46" s="129" t="str">
        <f>+'Necesidades Trimestrales'!F44</f>
        <v>UNIDAD</v>
      </c>
      <c r="H46" s="116">
        <f>+'Necesidades Trimestrales'!H44</f>
        <v>15856</v>
      </c>
      <c r="I46" s="130">
        <f>+'Necesidades Trimestrales'!G44</f>
        <v>1</v>
      </c>
      <c r="J46" s="131"/>
      <c r="K46" s="55"/>
      <c r="L46" s="55"/>
      <c r="M46" s="55"/>
    </row>
    <row r="47" spans="1:998" ht="47.25" customHeight="1" thickBot="1" x14ac:dyDescent="0.25">
      <c r="A47" s="31">
        <f>+'Necesidades Trimestrales'!A45</f>
        <v>36</v>
      </c>
      <c r="B47" s="32">
        <v>0</v>
      </c>
      <c r="C47" s="113" t="s">
        <v>104</v>
      </c>
      <c r="D47" s="78" t="str">
        <f>+'Necesidades Trimestrales'!E45</f>
        <v xml:space="preserve">MICROPIPETA REGULABLE  10-100 ul SOCOREX </v>
      </c>
      <c r="E47" s="78" t="str">
        <f>'Necesidades Trimestrales'!F54</f>
        <v>UNIDAD</v>
      </c>
      <c r="F47" s="33" t="s">
        <v>52</v>
      </c>
      <c r="G47" s="129" t="str">
        <f>+'Necesidades Trimestrales'!F45</f>
        <v>UNIDAD</v>
      </c>
      <c r="H47" s="116">
        <f>+'Necesidades Trimestrales'!H45</f>
        <v>15856</v>
      </c>
      <c r="I47" s="130">
        <f>+'Necesidades Trimestrales'!G45</f>
        <v>1</v>
      </c>
      <c r="J47" s="131"/>
      <c r="K47" s="55"/>
      <c r="L47" s="55"/>
      <c r="M47" s="55"/>
    </row>
    <row r="48" spans="1:998" ht="35.25" customHeight="1" thickBot="1" x14ac:dyDescent="0.25">
      <c r="A48" s="31">
        <f>+'Necesidades Trimestrales'!A46</f>
        <v>37</v>
      </c>
      <c r="B48" s="32">
        <v>0</v>
      </c>
      <c r="C48" s="113" t="s">
        <v>105</v>
      </c>
      <c r="D48" s="78" t="str">
        <f>+'Necesidades Trimestrales'!E46</f>
        <v xml:space="preserve">MICROPIPETA REGULABLE  20-200 ul  SOCOREX </v>
      </c>
      <c r="E48" s="78" t="str">
        <f>'Necesidades Trimestrales'!F55</f>
        <v>UNIDAD</v>
      </c>
      <c r="F48" s="33" t="s">
        <v>52</v>
      </c>
      <c r="G48" s="129" t="str">
        <f>+'Necesidades Trimestrales'!F46</f>
        <v>UNIDAD</v>
      </c>
      <c r="H48" s="116">
        <f>+'Necesidades Trimestrales'!H46</f>
        <v>15856</v>
      </c>
      <c r="I48" s="130">
        <f>+'Necesidades Trimestrales'!G46</f>
        <v>1</v>
      </c>
      <c r="J48" s="131"/>
      <c r="K48" s="55"/>
      <c r="L48" s="55"/>
      <c r="M48" s="55"/>
    </row>
    <row r="49" spans="1:13" ht="35.25" customHeight="1" thickBot="1" x14ac:dyDescent="0.25">
      <c r="A49" s="31">
        <f>+'Necesidades Trimestrales'!A47</f>
        <v>38</v>
      </c>
      <c r="B49" s="32">
        <v>0</v>
      </c>
      <c r="C49" s="107" t="s">
        <v>106</v>
      </c>
      <c r="D49" s="78" t="str">
        <f>+'Necesidades Trimestrales'!E47</f>
        <v xml:space="preserve">MICROPIPETA REGULABLE  5-50 ul SOCOREX </v>
      </c>
      <c r="E49" s="78" t="str">
        <f>'Necesidades Trimestrales'!F56</f>
        <v>CASETTE</v>
      </c>
      <c r="F49" s="33" t="s">
        <v>52</v>
      </c>
      <c r="G49" s="129" t="str">
        <f>+'Necesidades Trimestrales'!F47</f>
        <v>UNIDAD</v>
      </c>
      <c r="H49" s="116">
        <f>+'Necesidades Trimestrales'!H47</f>
        <v>15856</v>
      </c>
      <c r="I49" s="130">
        <f>+'Necesidades Trimestrales'!G47</f>
        <v>1</v>
      </c>
      <c r="J49" s="131"/>
      <c r="K49" s="55"/>
      <c r="L49" s="55"/>
      <c r="M49" s="55"/>
    </row>
    <row r="50" spans="1:13" ht="35.25" customHeight="1" thickBot="1" x14ac:dyDescent="0.25">
      <c r="A50" s="31">
        <f>+'Necesidades Trimestrales'!A48</f>
        <v>39</v>
      </c>
      <c r="B50" s="32">
        <v>0</v>
      </c>
      <c r="C50" s="102" t="s">
        <v>107</v>
      </c>
      <c r="D50" s="78" t="str">
        <f>+'Necesidades Trimestrales'!E48</f>
        <v>PLACA CROMOGENICA P /EGB X 20 U</v>
      </c>
      <c r="E50" s="78" t="str">
        <f>'Necesidades Trimestrales'!F57</f>
        <v>UNIDAD</v>
      </c>
      <c r="F50" s="33" t="s">
        <v>52</v>
      </c>
      <c r="G50" s="129" t="str">
        <f>+'Necesidades Trimestrales'!F48</f>
        <v>CAJA</v>
      </c>
      <c r="H50" s="116">
        <f>+'Necesidades Trimestrales'!H48</f>
        <v>7009.25</v>
      </c>
      <c r="I50" s="130">
        <f>+'Necesidades Trimestrales'!G48</f>
        <v>5</v>
      </c>
      <c r="J50" s="131"/>
      <c r="K50" s="55"/>
      <c r="L50" s="55"/>
      <c r="M50" s="55"/>
    </row>
    <row r="51" spans="1:13" ht="35.25" customHeight="1" thickBot="1" x14ac:dyDescent="0.25">
      <c r="A51" s="31">
        <f>+'Necesidades Trimestrales'!A49</f>
        <v>40</v>
      </c>
      <c r="B51" s="32">
        <v>0</v>
      </c>
      <c r="C51" s="102"/>
      <c r="D51" s="78" t="str">
        <f>+'Necesidades Trimestrales'!E49</f>
        <v>PORTA OBJETOS X 50 UNID.</v>
      </c>
      <c r="E51" s="78"/>
      <c r="F51" s="33" t="s">
        <v>52</v>
      </c>
      <c r="G51" s="129" t="str">
        <f>+'Necesidades Trimestrales'!F49</f>
        <v>CAJA</v>
      </c>
      <c r="H51" s="116">
        <f>+'Necesidades Trimestrales'!H49</f>
        <v>175</v>
      </c>
      <c r="I51" s="130">
        <f>+'Necesidades Trimestrales'!G49</f>
        <v>10</v>
      </c>
      <c r="J51" s="131"/>
      <c r="K51" s="55"/>
      <c r="L51" s="55"/>
      <c r="M51" s="55"/>
    </row>
    <row r="52" spans="1:13" ht="35.25" customHeight="1" thickBot="1" x14ac:dyDescent="0.25">
      <c r="A52" s="31">
        <f>+'Necesidades Trimestrales'!A50</f>
        <v>41</v>
      </c>
      <c r="B52" s="32">
        <v>0</v>
      </c>
      <c r="C52" s="102"/>
      <c r="D52" s="78" t="str">
        <f>+'Necesidades Trimestrales'!E50</f>
        <v>REACTIVO SOLUCION DE BAJA FUERZA IONICA (LISS ADITIVO) X 10 ML- WIENER</v>
      </c>
      <c r="E52" s="78"/>
      <c r="F52" s="33" t="s">
        <v>52</v>
      </c>
      <c r="G52" s="129" t="s">
        <v>50</v>
      </c>
      <c r="H52" s="116">
        <f>+'Necesidades Trimestrales'!H50</f>
        <v>1983.75</v>
      </c>
      <c r="I52" s="130">
        <f>+'Necesidades Trimestrales'!G50</f>
        <v>6</v>
      </c>
      <c r="J52" s="131"/>
      <c r="K52" s="55"/>
      <c r="L52" s="55"/>
      <c r="M52" s="55"/>
    </row>
    <row r="53" spans="1:13" ht="35.25" customHeight="1" thickBot="1" x14ac:dyDescent="0.25">
      <c r="A53" s="31">
        <f>+'Necesidades Trimestrales'!A51</f>
        <v>42</v>
      </c>
      <c r="B53" s="32">
        <v>0</v>
      </c>
      <c r="C53" s="102"/>
      <c r="D53" s="78" t="str">
        <f>+'Necesidades Trimestrales'!E51</f>
        <v>ROLLO DE PAPEL PARA MINDRAY BC-3000 PLUS PAQUETE X 6 UNIDADES</v>
      </c>
      <c r="E53" s="78"/>
      <c r="F53" s="33" t="s">
        <v>52</v>
      </c>
      <c r="G53" s="129" t="str">
        <f>+'Necesidades Trimestrales'!F51</f>
        <v>PAQUETE</v>
      </c>
      <c r="H53" s="116">
        <f>+'Necesidades Trimestrales'!H51</f>
        <v>3847</v>
      </c>
      <c r="I53" s="130">
        <f>+'Necesidades Trimestrales'!G51</f>
        <v>18</v>
      </c>
      <c r="J53" s="131"/>
      <c r="K53" s="55"/>
      <c r="L53" s="55"/>
      <c r="M53" s="55"/>
    </row>
    <row r="54" spans="1:13" ht="35.25" customHeight="1" thickBot="1" x14ac:dyDescent="0.25">
      <c r="A54" s="31">
        <f>+'Necesidades Trimestrales'!A52</f>
        <v>43</v>
      </c>
      <c r="B54" s="32">
        <v>0</v>
      </c>
      <c r="C54" s="102"/>
      <c r="D54" s="78" t="str">
        <f>+'Necesidades Trimestrales'!E52</f>
        <v>ROLLO DE PAPEL PARA MINDRAY BC-5150 PAQUETE X 6 UNIDADES</v>
      </c>
      <c r="E54" s="78"/>
      <c r="F54" s="33" t="s">
        <v>52</v>
      </c>
      <c r="G54" s="129" t="str">
        <f>+'Necesidades Trimestrales'!F52</f>
        <v>PAQUETE</v>
      </c>
      <c r="H54" s="116">
        <f>+'Necesidades Trimestrales'!H52</f>
        <v>5140</v>
      </c>
      <c r="I54" s="130">
        <f>+'Necesidades Trimestrales'!G52</f>
        <v>20</v>
      </c>
      <c r="J54" s="131"/>
      <c r="K54" s="55"/>
      <c r="L54" s="55"/>
      <c r="M54" s="55"/>
    </row>
    <row r="55" spans="1:13" ht="35.25" customHeight="1" thickBot="1" x14ac:dyDescent="0.25">
      <c r="A55" s="31">
        <f>+'Necesidades Trimestrales'!A53</f>
        <v>44</v>
      </c>
      <c r="B55" s="32">
        <v>0</v>
      </c>
      <c r="C55" s="102"/>
      <c r="D55" s="78" t="str">
        <f>+'Necesidades Trimestrales'!E53</f>
        <v>SERODIA  TPPA  ( 4  X 55 )</v>
      </c>
      <c r="E55" s="78"/>
      <c r="F55" s="33" t="s">
        <v>52</v>
      </c>
      <c r="G55" s="129" t="str">
        <f>+'Necesidades Trimestrales'!F53</f>
        <v>UNIDAD</v>
      </c>
      <c r="H55" s="116">
        <f>+'Necesidades Trimestrales'!H53</f>
        <v>31740</v>
      </c>
      <c r="I55" s="130">
        <f>+'Necesidades Trimestrales'!G53</f>
        <v>2</v>
      </c>
      <c r="J55" s="131"/>
      <c r="K55" s="55"/>
      <c r="L55" s="55"/>
      <c r="M55" s="55"/>
    </row>
    <row r="56" spans="1:13" ht="35.25" customHeight="1" thickBot="1" x14ac:dyDescent="0.25">
      <c r="A56" s="31">
        <f>+'Necesidades Trimestrales'!A54</f>
        <v>45</v>
      </c>
      <c r="B56" s="32">
        <v>0</v>
      </c>
      <c r="C56" s="102"/>
      <c r="D56" s="78" t="str">
        <f>+'Necesidades Trimestrales'!E54</f>
        <v xml:space="preserve">S1  RINSE SOLUTION </v>
      </c>
      <c r="E56" s="78"/>
      <c r="F56" s="33" t="s">
        <v>52</v>
      </c>
      <c r="G56" s="129" t="str">
        <f>+'Necesidades Trimestrales'!F54</f>
        <v>UNIDAD</v>
      </c>
      <c r="H56" s="116">
        <f>+'Necesidades Trimestrales'!H54</f>
        <v>42901</v>
      </c>
      <c r="I56" s="130">
        <f>+'Necesidades Trimestrales'!G54</f>
        <v>2</v>
      </c>
      <c r="J56" s="131"/>
      <c r="K56" s="55"/>
      <c r="L56" s="55"/>
      <c r="M56" s="55"/>
    </row>
    <row r="57" spans="1:13" ht="35.25" customHeight="1" thickBot="1" x14ac:dyDescent="0.25">
      <c r="A57" s="31">
        <f>+'Necesidades Trimestrales'!A55</f>
        <v>46</v>
      </c>
      <c r="B57" s="32">
        <v>0</v>
      </c>
      <c r="C57" s="102"/>
      <c r="D57" s="78" t="str">
        <f>+'Necesidades Trimestrales'!E55</f>
        <v>S2 FLUID PACK</v>
      </c>
      <c r="E57" s="78"/>
      <c r="F57" s="33" t="s">
        <v>52</v>
      </c>
      <c r="G57" s="129" t="str">
        <f>+'Necesidades Trimestrales'!F55</f>
        <v>UNIDAD</v>
      </c>
      <c r="H57" s="116">
        <f>+'Necesidades Trimestrales'!H55</f>
        <v>70339</v>
      </c>
      <c r="I57" s="130">
        <f>+'Necesidades Trimestrales'!G55</f>
        <v>4</v>
      </c>
      <c r="J57" s="131"/>
      <c r="K57" s="55"/>
      <c r="L57" s="55"/>
      <c r="M57" s="55"/>
    </row>
    <row r="58" spans="1:13" ht="35.25" customHeight="1" thickBot="1" x14ac:dyDescent="0.25">
      <c r="A58" s="31">
        <f>+'Necesidades Trimestrales'!A56</f>
        <v>47</v>
      </c>
      <c r="B58" s="32">
        <v>0</v>
      </c>
      <c r="C58" s="102"/>
      <c r="D58" s="78" t="str">
        <f>+'Necesidades Trimestrales'!E56</f>
        <v>U/CSF PROTEINA URINARIA COBAS C-311 ROCHE X 150 DET</v>
      </c>
      <c r="E58" s="78"/>
      <c r="F58" s="33" t="s">
        <v>52</v>
      </c>
      <c r="G58" s="129" t="str">
        <f>+'Necesidades Trimestrales'!F56</f>
        <v>CASETTE</v>
      </c>
      <c r="H58" s="116">
        <f>+'Necesidades Trimestrales'!H56</f>
        <v>7221</v>
      </c>
      <c r="I58" s="130">
        <f>+'Necesidades Trimestrales'!G56</f>
        <v>5</v>
      </c>
      <c r="J58" s="131"/>
      <c r="K58" s="55"/>
      <c r="L58" s="55"/>
      <c r="M58" s="55"/>
    </row>
    <row r="59" spans="1:13" ht="35.25" customHeight="1" thickBot="1" x14ac:dyDescent="0.25">
      <c r="A59" s="31">
        <f>+'Necesidades Trimestrales'!A57</f>
        <v>48</v>
      </c>
      <c r="B59" s="32">
        <v>0</v>
      </c>
      <c r="C59" s="102"/>
      <c r="D59" s="78" t="str">
        <f>+'Necesidades Trimestrales'!E57</f>
        <v xml:space="preserve">VDRL TEST 1 X 5.5 ML WIENER </v>
      </c>
      <c r="E59" s="78"/>
      <c r="F59" s="33" t="s">
        <v>52</v>
      </c>
      <c r="G59" s="129" t="s">
        <v>51</v>
      </c>
      <c r="H59" s="116">
        <f>+'Necesidades Trimestrales'!H57</f>
        <v>2094</v>
      </c>
      <c r="I59" s="130">
        <f>+'Necesidades Trimestrales'!G57</f>
        <v>20</v>
      </c>
      <c r="J59" s="131"/>
      <c r="K59" s="55"/>
      <c r="L59" s="55"/>
      <c r="M59" s="55"/>
    </row>
    <row r="60" spans="1:13" ht="35.25" customHeight="1" thickBot="1" x14ac:dyDescent="0.25">
      <c r="A60" s="31">
        <f>+'Necesidades Trimestrales'!A58</f>
        <v>49</v>
      </c>
      <c r="B60" s="32">
        <v>0</v>
      </c>
      <c r="C60" s="107" t="s">
        <v>108</v>
      </c>
      <c r="D60" s="78" t="str">
        <f>+'Necesidades Trimestrales'!E58</f>
        <v>W19 CONTROL AA 3 NIVELES 3 X 3 ML (BAJO-NORMAL-ALTO) WIENER</v>
      </c>
      <c r="E60" s="78" t="str">
        <f>'Necesidades Trimestrales'!F58</f>
        <v>UNIDAD</v>
      </c>
      <c r="F60" s="33" t="s">
        <v>52</v>
      </c>
      <c r="G60" s="129" t="str">
        <f>+'Necesidades Trimestrales'!F58</f>
        <v>UNIDAD</v>
      </c>
      <c r="H60" s="116">
        <f>+'Necesidades Trimestrales'!H58</f>
        <v>8847</v>
      </c>
      <c r="I60" s="130">
        <f>+'Necesidades Trimestrales'!G58</f>
        <v>1</v>
      </c>
      <c r="J60" s="131"/>
      <c r="K60" s="55"/>
      <c r="L60" s="55"/>
      <c r="M60" s="55"/>
    </row>
    <row r="61" spans="1:13" ht="35.25" customHeight="1" thickBot="1" x14ac:dyDescent="0.25">
      <c r="A61" s="165" t="s">
        <v>144</v>
      </c>
      <c r="B61" s="166"/>
      <c r="C61" s="166"/>
      <c r="D61" s="166"/>
      <c r="E61" s="166"/>
      <c r="F61" s="166"/>
      <c r="G61" s="167"/>
      <c r="H61" s="168">
        <f>SUMPRODUCT(H12:H60,I12:I60)</f>
        <v>4110216.33</v>
      </c>
      <c r="I61" s="169"/>
      <c r="K61" s="55"/>
      <c r="L61" s="55"/>
      <c r="M61" s="55"/>
    </row>
    <row r="62" spans="1:13" ht="35.25" customHeight="1" x14ac:dyDescent="0.2">
      <c r="K62" s="55"/>
      <c r="L62" s="55"/>
    </row>
    <row r="63" spans="1:13" ht="35.25" customHeight="1" x14ac:dyDescent="0.2">
      <c r="K63" s="55"/>
      <c r="L63" s="55"/>
    </row>
    <row r="64" spans="1:13" ht="35.25" customHeight="1" x14ac:dyDescent="0.2">
      <c r="K64" s="55"/>
      <c r="L64" s="55"/>
    </row>
    <row r="65" spans="11:12" ht="35.25" customHeight="1" x14ac:dyDescent="0.2">
      <c r="K65" s="55"/>
      <c r="L65" s="55"/>
    </row>
    <row r="66" spans="11:12" ht="35.25" customHeight="1" x14ac:dyDescent="0.2">
      <c r="K66" s="55"/>
      <c r="L66" s="55"/>
    </row>
    <row r="67" spans="11:12" ht="35.25" customHeight="1" x14ac:dyDescent="0.2">
      <c r="K67" s="55"/>
      <c r="L67" s="55"/>
    </row>
    <row r="68" spans="11:12" ht="35.25" customHeight="1" x14ac:dyDescent="0.2">
      <c r="K68" s="55"/>
      <c r="L68" s="55"/>
    </row>
    <row r="69" spans="11:12" ht="35.25" customHeight="1" x14ac:dyDescent="0.2">
      <c r="K69" s="55"/>
      <c r="L69" s="55"/>
    </row>
    <row r="70" spans="11:12" ht="35.25" customHeight="1" x14ac:dyDescent="0.2">
      <c r="K70" s="55"/>
      <c r="L70" s="55"/>
    </row>
    <row r="71" spans="11:12" ht="35.25" customHeight="1" x14ac:dyDescent="0.2">
      <c r="K71" s="55"/>
      <c r="L71" s="55"/>
    </row>
    <row r="72" spans="11:12" ht="35.25" customHeight="1" x14ac:dyDescent="0.2">
      <c r="K72" s="55"/>
      <c r="L72" s="55"/>
    </row>
    <row r="73" spans="11:12" ht="35.25" customHeight="1" x14ac:dyDescent="0.2">
      <c r="K73" s="55"/>
      <c r="L73" s="55"/>
    </row>
    <row r="74" spans="11:12" ht="35.25" customHeight="1" x14ac:dyDescent="0.2">
      <c r="K74" s="55"/>
      <c r="L74" s="55"/>
    </row>
    <row r="75" spans="11:12" ht="35.25" customHeight="1" x14ac:dyDescent="0.2">
      <c r="K75" s="55"/>
      <c r="L75" s="55"/>
    </row>
    <row r="76" spans="11:12" ht="35.25" customHeight="1" x14ac:dyDescent="0.2">
      <c r="K76" s="55"/>
      <c r="L76" s="55"/>
    </row>
    <row r="77" spans="11:12" ht="35.25" customHeight="1" x14ac:dyDescent="0.2">
      <c r="K77" s="55"/>
      <c r="L77" s="55"/>
    </row>
    <row r="78" spans="11:12" ht="35.25" customHeight="1" x14ac:dyDescent="0.2">
      <c r="K78" s="55"/>
      <c r="L78" s="55"/>
    </row>
    <row r="79" spans="11:12" ht="35.25" customHeight="1" x14ac:dyDescent="0.2">
      <c r="K79" s="55"/>
      <c r="L79" s="55"/>
    </row>
    <row r="80" spans="11:12" ht="35.25" customHeight="1" x14ac:dyDescent="0.2">
      <c r="K80" s="55"/>
      <c r="L80" s="55"/>
    </row>
    <row r="81" spans="11:12" ht="35.25" customHeight="1" x14ac:dyDescent="0.2">
      <c r="K81" s="55"/>
      <c r="L81" s="55"/>
    </row>
    <row r="82" spans="11:12" ht="35.25" customHeight="1" x14ac:dyDescent="0.2">
      <c r="K82" s="55"/>
      <c r="L82" s="55"/>
    </row>
    <row r="83" spans="11:12" ht="35.25" customHeight="1" x14ac:dyDescent="0.2">
      <c r="K83" s="55"/>
      <c r="L83" s="55"/>
    </row>
    <row r="84" spans="11:12" ht="35.25" customHeight="1" x14ac:dyDescent="0.2">
      <c r="K84" s="55"/>
      <c r="L84" s="55"/>
    </row>
    <row r="85" spans="11:12" ht="35.25" customHeight="1" x14ac:dyDescent="0.2">
      <c r="K85" s="55"/>
      <c r="L85" s="55"/>
    </row>
    <row r="86" spans="11:12" ht="35.25" customHeight="1" x14ac:dyDescent="0.2">
      <c r="K86" s="55"/>
      <c r="L86" s="55"/>
    </row>
    <row r="87" spans="11:12" ht="35.25" customHeight="1" x14ac:dyDescent="0.2">
      <c r="K87" s="55"/>
      <c r="L87" s="55"/>
    </row>
    <row r="88" spans="11:12" ht="35.25" customHeight="1" x14ac:dyDescent="0.2">
      <c r="K88" s="55"/>
      <c r="L88" s="55"/>
    </row>
    <row r="89" spans="11:12" ht="35.25" customHeight="1" x14ac:dyDescent="0.2">
      <c r="K89" s="55"/>
      <c r="L89" s="55"/>
    </row>
    <row r="90" spans="11:12" ht="35.25" customHeight="1" x14ac:dyDescent="0.2">
      <c r="K90" s="55"/>
      <c r="L90" s="55"/>
    </row>
    <row r="91" spans="11:12" ht="35.25" customHeight="1" x14ac:dyDescent="0.2">
      <c r="K91" s="55"/>
      <c r="L91" s="55"/>
    </row>
    <row r="92" spans="11:12" ht="35.25" customHeight="1" x14ac:dyDescent="0.2">
      <c r="K92" s="55"/>
      <c r="L92" s="55"/>
    </row>
    <row r="93" spans="11:12" ht="35.25" customHeight="1" x14ac:dyDescent="0.2">
      <c r="K93" s="55"/>
      <c r="L93" s="55"/>
    </row>
    <row r="94" spans="11:12" ht="35.25" customHeight="1" x14ac:dyDescent="0.2">
      <c r="K94" s="55"/>
      <c r="L94" s="55"/>
    </row>
    <row r="95" spans="11:12" ht="35.25" customHeight="1" x14ac:dyDescent="0.2">
      <c r="K95" s="55"/>
      <c r="L95" s="55"/>
    </row>
    <row r="96" spans="11:12" ht="35.25" customHeight="1" x14ac:dyDescent="0.2">
      <c r="K96" s="55"/>
      <c r="L96" s="55"/>
    </row>
    <row r="97" spans="11:12" ht="35.25" customHeight="1" x14ac:dyDescent="0.2">
      <c r="K97" s="55"/>
      <c r="L97" s="55"/>
    </row>
    <row r="98" spans="11:12" ht="35.25" customHeight="1" x14ac:dyDescent="0.2">
      <c r="K98" s="55"/>
      <c r="L98" s="55"/>
    </row>
    <row r="99" spans="11:12" ht="35.25" customHeight="1" x14ac:dyDescent="0.2">
      <c r="K99" s="55"/>
      <c r="L99" s="55"/>
    </row>
    <row r="100" spans="11:12" ht="35.25" customHeight="1" x14ac:dyDescent="0.2">
      <c r="K100" s="55"/>
      <c r="L100" s="55"/>
    </row>
    <row r="101" spans="11:12" ht="35.25" customHeight="1" x14ac:dyDescent="0.2">
      <c r="K101" s="55"/>
      <c r="L101" s="55"/>
    </row>
    <row r="102" spans="11:12" ht="35.25" customHeight="1" x14ac:dyDescent="0.2">
      <c r="K102" s="55"/>
      <c r="L102" s="55"/>
    </row>
    <row r="103" spans="11:12" ht="35.25" customHeight="1" x14ac:dyDescent="0.2">
      <c r="K103" s="55"/>
      <c r="L103" s="55"/>
    </row>
    <row r="104" spans="11:12" ht="35.25" customHeight="1" x14ac:dyDescent="0.2">
      <c r="K104" s="55"/>
      <c r="L104" s="55"/>
    </row>
    <row r="105" spans="11:12" ht="35.25" customHeight="1" x14ac:dyDescent="0.2">
      <c r="K105" s="55"/>
      <c r="L105" s="55"/>
    </row>
    <row r="106" spans="11:12" ht="35.25" customHeight="1" x14ac:dyDescent="0.2">
      <c r="K106" s="55"/>
      <c r="L106" s="55"/>
    </row>
    <row r="107" spans="11:12" ht="35.25" customHeight="1" x14ac:dyDescent="0.2">
      <c r="K107" s="55"/>
      <c r="L107" s="55"/>
    </row>
    <row r="108" spans="11:12" ht="35.25" customHeight="1" x14ac:dyDescent="0.2">
      <c r="K108" s="55"/>
      <c r="L108" s="55"/>
    </row>
    <row r="109" spans="11:12" ht="35.25" customHeight="1" x14ac:dyDescent="0.2">
      <c r="K109" s="55"/>
      <c r="L109" s="55"/>
    </row>
    <row r="110" spans="11:12" ht="35.25" customHeight="1" x14ac:dyDescent="0.2">
      <c r="K110" s="55"/>
      <c r="L110" s="55"/>
    </row>
    <row r="111" spans="11:12" ht="35.25" customHeight="1" x14ac:dyDescent="0.2">
      <c r="K111" s="55"/>
      <c r="L111" s="55"/>
    </row>
    <row r="112" spans="11:12" ht="35.25" customHeight="1" x14ac:dyDescent="0.2">
      <c r="K112" s="55"/>
      <c r="L112" s="55"/>
    </row>
    <row r="113" spans="11:12" ht="35.25" customHeight="1" x14ac:dyDescent="0.2">
      <c r="K113" s="55"/>
      <c r="L113" s="55"/>
    </row>
    <row r="114" spans="11:12" ht="35.25" customHeight="1" x14ac:dyDescent="0.2">
      <c r="K114" s="55"/>
      <c r="L114" s="55"/>
    </row>
    <row r="115" spans="11:12" ht="35.25" customHeight="1" x14ac:dyDescent="0.2">
      <c r="K115" s="55"/>
      <c r="L115" s="55"/>
    </row>
    <row r="116" spans="11:12" ht="35.25" customHeight="1" x14ac:dyDescent="0.2">
      <c r="K116" s="55"/>
      <c r="L116" s="55"/>
    </row>
    <row r="117" spans="11:12" ht="35.25" customHeight="1" x14ac:dyDescent="0.2">
      <c r="K117" s="55"/>
      <c r="L117" s="55"/>
    </row>
    <row r="118" spans="11:12" ht="35.25" customHeight="1" x14ac:dyDescent="0.2">
      <c r="K118" s="55"/>
      <c r="L118" s="55"/>
    </row>
    <row r="119" spans="11:12" ht="35.25" customHeight="1" x14ac:dyDescent="0.2">
      <c r="K119" s="55"/>
      <c r="L119" s="55"/>
    </row>
    <row r="120" spans="11:12" ht="35.25" customHeight="1" x14ac:dyDescent="0.2">
      <c r="K120" s="55"/>
      <c r="L120" s="55"/>
    </row>
    <row r="121" spans="11:12" ht="35.25" customHeight="1" x14ac:dyDescent="0.2">
      <c r="K121" s="55"/>
      <c r="L121" s="55"/>
    </row>
    <row r="122" spans="11:12" ht="35.25" customHeight="1" x14ac:dyDescent="0.2">
      <c r="K122" s="55"/>
      <c r="L122" s="55"/>
    </row>
    <row r="123" spans="11:12" ht="35.25" customHeight="1" x14ac:dyDescent="0.2">
      <c r="K123" s="55"/>
      <c r="L123" s="55"/>
    </row>
    <row r="124" spans="11:12" ht="35.25" customHeight="1" x14ac:dyDescent="0.2">
      <c r="K124" s="55"/>
      <c r="L124" s="55"/>
    </row>
    <row r="125" spans="11:12" ht="35.25" customHeight="1" x14ac:dyDescent="0.2">
      <c r="K125" s="55"/>
      <c r="L125" s="55"/>
    </row>
    <row r="126" spans="11:12" ht="35.25" customHeight="1" x14ac:dyDescent="0.2">
      <c r="K126" s="55"/>
      <c r="L126" s="55"/>
    </row>
    <row r="127" spans="11:12" ht="35.25" customHeight="1" x14ac:dyDescent="0.2">
      <c r="K127" s="55"/>
      <c r="L127" s="55"/>
    </row>
    <row r="128" spans="11:12" ht="35.25" customHeight="1" x14ac:dyDescent="0.2">
      <c r="K128" s="55"/>
      <c r="L128" s="55"/>
    </row>
    <row r="129" spans="11:12" ht="35.25" customHeight="1" x14ac:dyDescent="0.2">
      <c r="K129" s="55"/>
      <c r="L129" s="55"/>
    </row>
    <row r="130" spans="11:12" ht="35.25" customHeight="1" x14ac:dyDescent="0.2">
      <c r="K130" s="55"/>
      <c r="L130" s="55"/>
    </row>
    <row r="131" spans="11:12" ht="35.25" customHeight="1" x14ac:dyDescent="0.2">
      <c r="K131" s="55"/>
      <c r="L131" s="55"/>
    </row>
    <row r="132" spans="11:12" ht="35.25" customHeight="1" x14ac:dyDescent="0.2">
      <c r="K132" s="55"/>
      <c r="L132" s="55"/>
    </row>
    <row r="133" spans="11:12" ht="35.25" customHeight="1" x14ac:dyDescent="0.2">
      <c r="K133" s="55"/>
      <c r="L133" s="55"/>
    </row>
    <row r="134" spans="11:12" ht="35.25" customHeight="1" x14ac:dyDescent="0.2">
      <c r="K134" s="55"/>
      <c r="L134" s="55"/>
    </row>
    <row r="135" spans="11:12" ht="35.25" customHeight="1" x14ac:dyDescent="0.2">
      <c r="K135" s="55"/>
      <c r="L135" s="55"/>
    </row>
    <row r="136" spans="11:12" ht="35.25" customHeight="1" x14ac:dyDescent="0.2">
      <c r="K136" s="55"/>
      <c r="L136" s="55"/>
    </row>
    <row r="137" spans="11:12" ht="35.25" customHeight="1" x14ac:dyDescent="0.2">
      <c r="K137" s="55"/>
      <c r="L137" s="55"/>
    </row>
    <row r="138" spans="11:12" ht="35.25" customHeight="1" x14ac:dyDescent="0.2">
      <c r="K138" s="55"/>
      <c r="L138" s="55"/>
    </row>
    <row r="139" spans="11:12" ht="35.25" customHeight="1" x14ac:dyDescent="0.2">
      <c r="K139" s="55"/>
      <c r="L139" s="55"/>
    </row>
    <row r="140" spans="11:12" ht="35.25" customHeight="1" x14ac:dyDescent="0.2">
      <c r="K140" s="55"/>
      <c r="L140" s="55"/>
    </row>
    <row r="141" spans="11:12" ht="35.25" customHeight="1" x14ac:dyDescent="0.2">
      <c r="K141" s="55"/>
      <c r="L141" s="55"/>
    </row>
    <row r="142" spans="11:12" ht="35.25" customHeight="1" x14ac:dyDescent="0.2">
      <c r="K142" s="55"/>
      <c r="L142" s="55"/>
    </row>
    <row r="143" spans="11:12" ht="35.25" customHeight="1" x14ac:dyDescent="0.2">
      <c r="K143" s="55"/>
      <c r="L143" s="55"/>
    </row>
    <row r="144" spans="11:12" ht="35.25" customHeight="1" x14ac:dyDescent="0.2">
      <c r="K144" s="55"/>
      <c r="L144" s="55"/>
    </row>
    <row r="145" spans="11:12" ht="35.25" customHeight="1" x14ac:dyDescent="0.2">
      <c r="K145" s="55"/>
      <c r="L145" s="55"/>
    </row>
    <row r="146" spans="11:12" ht="35.25" customHeight="1" x14ac:dyDescent="0.2">
      <c r="K146" s="55"/>
      <c r="L146" s="55"/>
    </row>
    <row r="147" spans="11:12" ht="35.25" customHeight="1" x14ac:dyDescent="0.2">
      <c r="K147" s="55"/>
      <c r="L147" s="55"/>
    </row>
    <row r="148" spans="11:12" ht="35.25" customHeight="1" x14ac:dyDescent="0.2">
      <c r="K148" s="55"/>
      <c r="L148" s="55"/>
    </row>
    <row r="149" spans="11:12" ht="35.25" customHeight="1" x14ac:dyDescent="0.2">
      <c r="K149" s="55"/>
      <c r="L149" s="55"/>
    </row>
    <row r="150" spans="11:12" ht="35.25" customHeight="1" x14ac:dyDescent="0.2">
      <c r="K150" s="55"/>
      <c r="L150" s="55"/>
    </row>
    <row r="151" spans="11:12" ht="35.25" customHeight="1" x14ac:dyDescent="0.2">
      <c r="K151" s="55"/>
      <c r="L151" s="55"/>
    </row>
    <row r="152" spans="11:12" ht="35.25" customHeight="1" x14ac:dyDescent="0.2">
      <c r="K152" s="55"/>
      <c r="L152" s="55"/>
    </row>
    <row r="153" spans="11:12" ht="35.25" customHeight="1" x14ac:dyDescent="0.2">
      <c r="K153" s="55"/>
      <c r="L153" s="55"/>
    </row>
    <row r="154" spans="11:12" ht="35.25" customHeight="1" x14ac:dyDescent="0.2">
      <c r="K154" s="55"/>
      <c r="L154" s="55"/>
    </row>
    <row r="155" spans="11:12" ht="35.25" customHeight="1" x14ac:dyDescent="0.2">
      <c r="K155" s="55"/>
      <c r="L155" s="55"/>
    </row>
    <row r="156" spans="11:12" ht="35.25" customHeight="1" x14ac:dyDescent="0.2">
      <c r="K156" s="55"/>
      <c r="L156" s="55"/>
    </row>
    <row r="157" spans="11:12" ht="35.25" customHeight="1" x14ac:dyDescent="0.2">
      <c r="K157" s="55"/>
      <c r="L157" s="55"/>
    </row>
    <row r="158" spans="11:12" ht="35.25" customHeight="1" x14ac:dyDescent="0.2">
      <c r="K158" s="55"/>
      <c r="L158" s="55"/>
    </row>
    <row r="159" spans="11:12" ht="35.25" customHeight="1" x14ac:dyDescent="0.2">
      <c r="K159" s="55"/>
      <c r="L159" s="55"/>
    </row>
    <row r="160" spans="11:12" ht="35.25" customHeight="1" x14ac:dyDescent="0.2">
      <c r="K160" s="55"/>
      <c r="L160" s="55"/>
    </row>
    <row r="161" spans="11:12" ht="35.25" customHeight="1" x14ac:dyDescent="0.2">
      <c r="K161" s="55"/>
      <c r="L161" s="55"/>
    </row>
    <row r="162" spans="11:12" ht="35.25" customHeight="1" x14ac:dyDescent="0.2">
      <c r="K162" s="55"/>
      <c r="L162" s="55"/>
    </row>
    <row r="163" spans="11:12" ht="35.25" customHeight="1" x14ac:dyDescent="0.2">
      <c r="K163" s="55"/>
      <c r="L163" s="55"/>
    </row>
    <row r="164" spans="11:12" ht="35.25" customHeight="1" x14ac:dyDescent="0.2">
      <c r="K164" s="55"/>
      <c r="L164" s="55"/>
    </row>
    <row r="165" spans="11:12" ht="35.25" customHeight="1" x14ac:dyDescent="0.2">
      <c r="K165" s="55"/>
      <c r="L165" s="55"/>
    </row>
    <row r="166" spans="11:12" ht="35.25" customHeight="1" x14ac:dyDescent="0.2">
      <c r="K166" s="55"/>
      <c r="L166" s="55"/>
    </row>
    <row r="167" spans="11:12" ht="35.25" customHeight="1" x14ac:dyDescent="0.2">
      <c r="K167" s="55"/>
      <c r="L167" s="55"/>
    </row>
    <row r="168" spans="11:12" ht="35.25" customHeight="1" x14ac:dyDescent="0.2">
      <c r="K168" s="55"/>
      <c r="L168" s="55"/>
    </row>
    <row r="169" spans="11:12" ht="35.25" customHeight="1" x14ac:dyDescent="0.2">
      <c r="K169" s="55"/>
      <c r="L169" s="55"/>
    </row>
    <row r="170" spans="11:12" ht="35.25" customHeight="1" x14ac:dyDescent="0.2">
      <c r="K170" s="55"/>
      <c r="L170" s="55"/>
    </row>
    <row r="171" spans="11:12" ht="35.25" customHeight="1" x14ac:dyDescent="0.2">
      <c r="K171" s="55"/>
      <c r="L171" s="55"/>
    </row>
    <row r="172" spans="11:12" ht="30.75" customHeight="1" x14ac:dyDescent="0.2">
      <c r="K172" s="55"/>
      <c r="L172" s="55"/>
    </row>
    <row r="173" spans="11:12" ht="35.25" customHeight="1" x14ac:dyDescent="0.2">
      <c r="K173" s="55"/>
      <c r="L173" s="55"/>
    </row>
    <row r="174" spans="11:12" ht="35.25" customHeight="1" x14ac:dyDescent="0.2">
      <c r="K174" s="55"/>
      <c r="L174" s="55"/>
    </row>
    <row r="175" spans="11:12" ht="35.25" customHeight="1" x14ac:dyDescent="0.2">
      <c r="K175" s="55"/>
      <c r="L175" s="55"/>
    </row>
    <row r="176" spans="11:12" ht="35.25" customHeight="1" x14ac:dyDescent="0.2">
      <c r="K176" s="55"/>
      <c r="L176" s="55"/>
    </row>
    <row r="177" spans="11:12" ht="35.25" customHeight="1" x14ac:dyDescent="0.2">
      <c r="K177" s="55"/>
      <c r="L177" s="55"/>
    </row>
    <row r="178" spans="11:12" ht="35.25" customHeight="1" x14ac:dyDescent="0.2">
      <c r="K178" s="55"/>
      <c r="L178" s="55"/>
    </row>
    <row r="179" spans="11:12" ht="35.25" customHeight="1" x14ac:dyDescent="0.2">
      <c r="K179" s="55"/>
      <c r="L179" s="55"/>
    </row>
    <row r="180" spans="11:12" ht="35.25" customHeight="1" x14ac:dyDescent="0.2">
      <c r="K180" s="55"/>
      <c r="L180" s="55"/>
    </row>
    <row r="181" spans="11:12" ht="25.5" customHeight="1" x14ac:dyDescent="0.2">
      <c r="K181" s="55"/>
      <c r="L181" s="55"/>
    </row>
  </sheetData>
  <mergeCells count="22">
    <mergeCell ref="A10:A11"/>
    <mergeCell ref="B10:B11"/>
    <mergeCell ref="I10:I11"/>
    <mergeCell ref="H10:H11"/>
    <mergeCell ref="A61:G61"/>
    <mergeCell ref="H61:I61"/>
    <mergeCell ref="G10:G11"/>
    <mergeCell ref="F10:F11"/>
    <mergeCell ref="C10:E11"/>
    <mergeCell ref="A1:G1"/>
    <mergeCell ref="A6:C6"/>
    <mergeCell ref="A7:C7"/>
    <mergeCell ref="D7:I7"/>
    <mergeCell ref="A3:C3"/>
    <mergeCell ref="A4:C4"/>
    <mergeCell ref="A5:C5"/>
    <mergeCell ref="A8:C8"/>
    <mergeCell ref="D8:I8"/>
    <mergeCell ref="D5:I5"/>
    <mergeCell ref="D6:I6"/>
    <mergeCell ref="D3:I3"/>
    <mergeCell ref="D4:I4"/>
  </mergeCells>
  <printOptions horizontalCentered="1"/>
  <pageMargins left="0.196527777777778" right="0.196527777777778" top="0.98402777777777795" bottom="0.98402777777777795" header="0.51180555555555496" footer="0.51180555555555496"/>
  <pageSetup paperSize="120" scale="58"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3"/>
  <sheetViews>
    <sheetView tabSelected="1" topLeftCell="A13" zoomScale="120" zoomScaleNormal="120" workbookViewId="0">
      <selection activeCell="S18" sqref="S18"/>
    </sheetView>
  </sheetViews>
  <sheetFormatPr baseColWidth="10" defaultColWidth="11" defaultRowHeight="12.75" x14ac:dyDescent="0.2"/>
  <cols>
    <col min="1" max="4" width="4.42578125" customWidth="1"/>
    <col min="5" max="5" width="3.85546875" customWidth="1"/>
    <col min="6" max="6" width="6.42578125" customWidth="1"/>
    <col min="7" max="7" width="4.42578125" style="3" customWidth="1"/>
    <col min="8" max="14" width="4.42578125" customWidth="1"/>
    <col min="15" max="16" width="14.85546875" customWidth="1"/>
    <col min="17" max="17" width="21.140625" customWidth="1"/>
    <col min="18" max="18" width="13.28515625" bestFit="1" customWidth="1"/>
    <col min="19" max="19" width="14.28515625" customWidth="1"/>
  </cols>
  <sheetData>
    <row r="1" spans="1:18" ht="15.75" customHeight="1" x14ac:dyDescent="0.25">
      <c r="A1" s="198" t="s">
        <v>2</v>
      </c>
      <c r="B1" s="198"/>
      <c r="C1" s="198"/>
      <c r="D1" s="199">
        <v>2022</v>
      </c>
      <c r="E1" s="199"/>
      <c r="F1" s="4"/>
      <c r="G1" s="4"/>
      <c r="H1" s="5"/>
      <c r="I1" s="5"/>
      <c r="J1" s="5"/>
      <c r="K1" s="5"/>
      <c r="L1" s="5"/>
      <c r="M1" s="5"/>
      <c r="N1" s="5"/>
      <c r="P1" s="200" t="s">
        <v>22</v>
      </c>
      <c r="Q1" s="200"/>
    </row>
    <row r="2" spans="1:18" ht="15.75" customHeight="1" x14ac:dyDescent="0.2">
      <c r="H2" s="5"/>
      <c r="I2" s="5"/>
      <c r="J2" s="5"/>
      <c r="K2" s="5"/>
      <c r="L2" s="5"/>
      <c r="M2" s="5"/>
      <c r="N2" s="5"/>
      <c r="P2" s="200"/>
      <c r="Q2" s="200"/>
    </row>
    <row r="4" spans="1:18" s="6" customFormat="1" ht="18" customHeight="1" thickBot="1" x14ac:dyDescent="0.25">
      <c r="A4" s="201" t="s">
        <v>23</v>
      </c>
      <c r="B4" s="201"/>
      <c r="C4" s="201"/>
      <c r="D4" s="201"/>
      <c r="E4" s="201"/>
      <c r="F4" s="201"/>
      <c r="G4" s="202" t="s">
        <v>55</v>
      </c>
      <c r="H4" s="202"/>
      <c r="I4" s="202"/>
      <c r="J4" s="202"/>
      <c r="K4" s="202"/>
      <c r="L4" s="202"/>
      <c r="M4" s="202"/>
      <c r="N4" s="202"/>
      <c r="O4" s="202"/>
      <c r="P4" s="202"/>
      <c r="Q4" s="202"/>
    </row>
    <row r="5" spans="1:18" s="6" customFormat="1" ht="18" customHeight="1" thickBot="1" x14ac:dyDescent="0.25">
      <c r="A5" s="205" t="s">
        <v>46</v>
      </c>
      <c r="B5" s="206"/>
      <c r="C5" s="206"/>
      <c r="D5" s="206"/>
      <c r="E5" s="206"/>
      <c r="F5" s="207"/>
      <c r="G5" s="208" t="s">
        <v>85</v>
      </c>
      <c r="H5" s="208"/>
      <c r="I5" s="208"/>
      <c r="J5" s="208"/>
      <c r="K5" s="208"/>
      <c r="L5" s="208"/>
      <c r="M5" s="208"/>
      <c r="N5" s="208"/>
      <c r="O5" s="208"/>
      <c r="P5" s="208"/>
      <c r="Q5" s="208"/>
    </row>
    <row r="6" spans="1:18" s="6" customFormat="1" ht="30.75" customHeight="1" thickBot="1" x14ac:dyDescent="0.25">
      <c r="A6" s="205" t="s">
        <v>24</v>
      </c>
      <c r="B6" s="206"/>
      <c r="C6" s="206"/>
      <c r="D6" s="206"/>
      <c r="E6" s="206"/>
      <c r="F6" s="207"/>
      <c r="G6" s="210" t="s">
        <v>88</v>
      </c>
      <c r="H6" s="211"/>
      <c r="I6" s="211"/>
      <c r="J6" s="211"/>
      <c r="K6" s="211"/>
      <c r="L6" s="211"/>
      <c r="M6" s="211"/>
      <c r="N6" s="211"/>
      <c r="O6" s="211"/>
      <c r="P6" s="211"/>
      <c r="Q6" s="212"/>
    </row>
    <row r="7" spans="1:18" s="6" customFormat="1" ht="18" customHeight="1" thickBot="1" x14ac:dyDescent="0.25">
      <c r="A7" s="205" t="s">
        <v>47</v>
      </c>
      <c r="B7" s="206"/>
      <c r="C7" s="206"/>
      <c r="D7" s="206"/>
      <c r="E7" s="206"/>
      <c r="F7" s="207"/>
      <c r="G7" s="210" t="s">
        <v>88</v>
      </c>
      <c r="H7" s="211"/>
      <c r="I7" s="211"/>
      <c r="J7" s="211"/>
      <c r="K7" s="211"/>
      <c r="L7" s="211"/>
      <c r="M7" s="211"/>
      <c r="N7" s="211"/>
      <c r="O7" s="211"/>
      <c r="P7" s="211"/>
      <c r="Q7" s="212"/>
    </row>
    <row r="8" spans="1:18" ht="18" customHeight="1" thickBot="1" x14ac:dyDescent="0.25">
      <c r="A8" s="209" t="s">
        <v>25</v>
      </c>
      <c r="B8" s="209"/>
      <c r="C8" s="209"/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</row>
    <row r="9" spans="1:18" ht="18" customHeight="1" x14ac:dyDescent="0.2">
      <c r="A9" s="203" t="s">
        <v>26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7"/>
      <c r="P9" s="7"/>
      <c r="Q9" s="8"/>
    </row>
    <row r="10" spans="1:18" ht="54.75" customHeight="1" x14ac:dyDescent="0.2">
      <c r="A10" s="204" t="s">
        <v>126</v>
      </c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4"/>
      <c r="N10" s="204"/>
      <c r="O10" s="204"/>
      <c r="P10" s="204"/>
      <c r="Q10" s="204"/>
    </row>
    <row r="11" spans="1:18" ht="9" customHeight="1" x14ac:dyDescent="0.2">
      <c r="A11" s="9"/>
      <c r="B11" s="10"/>
      <c r="C11" s="10"/>
      <c r="D11" s="10"/>
      <c r="E11" s="10"/>
      <c r="F11" s="10"/>
      <c r="G11" s="11"/>
      <c r="H11" s="10"/>
      <c r="I11" s="10"/>
      <c r="J11" s="10"/>
      <c r="K11" s="10"/>
      <c r="L11" s="10"/>
      <c r="M11" s="10"/>
      <c r="N11" s="10"/>
      <c r="O11" s="10"/>
      <c r="P11" s="10"/>
      <c r="Q11" s="12"/>
    </row>
    <row r="12" spans="1:18" ht="15.75" customHeight="1" thickBot="1" x14ac:dyDescent="0.25">
      <c r="A12" s="182" t="s">
        <v>27</v>
      </c>
      <c r="B12" s="182"/>
      <c r="C12" s="182"/>
      <c r="D12" s="182"/>
      <c r="E12" s="182"/>
      <c r="F12" s="182"/>
      <c r="G12" s="182"/>
      <c r="H12" s="182"/>
      <c r="I12" s="182"/>
      <c r="J12" s="182"/>
      <c r="K12" s="182"/>
      <c r="L12" s="182"/>
      <c r="M12" s="182"/>
      <c r="N12" s="182"/>
      <c r="O12" s="182"/>
      <c r="P12" s="182"/>
      <c r="Q12" s="182"/>
    </row>
    <row r="13" spans="1:18" ht="15.75" customHeight="1" thickBot="1" x14ac:dyDescent="0.25">
      <c r="A13" s="183" t="s">
        <v>28</v>
      </c>
      <c r="B13" s="183"/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4"/>
      <c r="O13" s="185" t="s">
        <v>29</v>
      </c>
      <c r="P13" s="186"/>
      <c r="Q13" s="189" t="s">
        <v>30</v>
      </c>
    </row>
    <row r="14" spans="1:18" ht="15.75" customHeight="1" x14ac:dyDescent="0.2">
      <c r="A14" s="13" t="s">
        <v>31</v>
      </c>
      <c r="B14" s="14" t="s">
        <v>32</v>
      </c>
      <c r="C14" s="14" t="s">
        <v>33</v>
      </c>
      <c r="D14" s="14" t="s">
        <v>34</v>
      </c>
      <c r="E14" s="14" t="s">
        <v>35</v>
      </c>
      <c r="F14" s="14" t="s">
        <v>36</v>
      </c>
      <c r="G14" s="15" t="s">
        <v>37</v>
      </c>
      <c r="H14" s="14" t="s">
        <v>38</v>
      </c>
      <c r="I14" s="14" t="s">
        <v>39</v>
      </c>
      <c r="J14" s="14" t="s">
        <v>40</v>
      </c>
      <c r="K14" s="14" t="s">
        <v>40</v>
      </c>
      <c r="L14" s="14" t="s">
        <v>41</v>
      </c>
      <c r="M14" s="16" t="s">
        <v>42</v>
      </c>
      <c r="N14" s="42" t="s">
        <v>43</v>
      </c>
      <c r="O14" s="187"/>
      <c r="P14" s="188"/>
      <c r="Q14" s="190"/>
    </row>
    <row r="15" spans="1:18" ht="15.75" customHeight="1" x14ac:dyDescent="0.2">
      <c r="A15" s="35">
        <v>42</v>
      </c>
      <c r="B15" s="35"/>
      <c r="C15" s="35"/>
      <c r="D15" s="35">
        <v>2</v>
      </c>
      <c r="E15" s="35"/>
      <c r="F15" s="35">
        <v>4901</v>
      </c>
      <c r="G15" s="127">
        <v>3</v>
      </c>
      <c r="H15" s="35">
        <v>1</v>
      </c>
      <c r="I15" s="35">
        <v>2</v>
      </c>
      <c r="J15" s="35">
        <v>3</v>
      </c>
      <c r="K15" s="35">
        <v>4</v>
      </c>
      <c r="L15" s="35"/>
      <c r="M15" s="35">
        <v>1</v>
      </c>
      <c r="N15" s="35" t="s">
        <v>48</v>
      </c>
      <c r="O15" s="197" t="s">
        <v>130</v>
      </c>
      <c r="P15" s="197"/>
      <c r="Q15" s="128">
        <v>172046</v>
      </c>
    </row>
    <row r="16" spans="1:18" ht="17.25" customHeight="1" x14ac:dyDescent="0.2">
      <c r="A16" s="36">
        <v>42</v>
      </c>
      <c r="B16" s="34"/>
      <c r="C16" s="34"/>
      <c r="D16" s="34">
        <v>2</v>
      </c>
      <c r="E16" s="34"/>
      <c r="F16" s="34">
        <v>4901</v>
      </c>
      <c r="G16" s="34">
        <v>3</v>
      </c>
      <c r="H16" s="35">
        <v>1</v>
      </c>
      <c r="I16" s="34">
        <v>2</v>
      </c>
      <c r="J16" s="34">
        <v>5</v>
      </c>
      <c r="K16" s="34">
        <v>1</v>
      </c>
      <c r="L16" s="34"/>
      <c r="M16" s="34">
        <v>1</v>
      </c>
      <c r="N16" s="40" t="s">
        <v>48</v>
      </c>
      <c r="O16" s="197" t="s">
        <v>72</v>
      </c>
      <c r="P16" s="195"/>
      <c r="Q16" s="56">
        <v>3715442.33</v>
      </c>
      <c r="R16" s="1"/>
    </row>
    <row r="17" spans="1:18" ht="23.25" customHeight="1" x14ac:dyDescent="0.2">
      <c r="A17" s="49">
        <v>42</v>
      </c>
      <c r="B17" s="50"/>
      <c r="C17" s="50"/>
      <c r="D17" s="50">
        <v>2</v>
      </c>
      <c r="E17" s="50"/>
      <c r="F17" s="50">
        <v>4901</v>
      </c>
      <c r="G17" s="50">
        <v>3</v>
      </c>
      <c r="H17" s="51">
        <v>1</v>
      </c>
      <c r="I17" s="50">
        <v>2</v>
      </c>
      <c r="J17" s="50">
        <v>9</v>
      </c>
      <c r="K17" s="50">
        <v>3</v>
      </c>
      <c r="L17" s="50"/>
      <c r="M17" s="50">
        <v>1</v>
      </c>
      <c r="N17" s="52" t="s">
        <v>48</v>
      </c>
      <c r="O17" s="195" t="s">
        <v>93</v>
      </c>
      <c r="P17" s="196"/>
      <c r="Q17" s="56">
        <v>156934</v>
      </c>
      <c r="R17" s="1"/>
    </row>
    <row r="18" spans="1:18" ht="27.75" customHeight="1" thickBot="1" x14ac:dyDescent="0.25">
      <c r="A18" s="37">
        <v>42</v>
      </c>
      <c r="B18" s="38"/>
      <c r="C18" s="38"/>
      <c r="D18" s="38">
        <v>2</v>
      </c>
      <c r="E18" s="38"/>
      <c r="F18" s="38">
        <v>4901</v>
      </c>
      <c r="G18" s="38">
        <v>3</v>
      </c>
      <c r="H18" s="39">
        <v>1</v>
      </c>
      <c r="I18" s="38">
        <v>2</v>
      </c>
      <c r="J18" s="38">
        <v>9</v>
      </c>
      <c r="K18" s="38">
        <v>5</v>
      </c>
      <c r="L18" s="38"/>
      <c r="M18" s="38">
        <v>1</v>
      </c>
      <c r="N18" s="41" t="s">
        <v>48</v>
      </c>
      <c r="O18" s="176" t="s">
        <v>87</v>
      </c>
      <c r="P18" s="177"/>
      <c r="Q18" s="56">
        <v>65794</v>
      </c>
      <c r="R18" s="1"/>
    </row>
    <row r="19" spans="1:18" ht="24.75" customHeight="1" thickBot="1" x14ac:dyDescent="0.25">
      <c r="A19" s="178" t="s">
        <v>145</v>
      </c>
      <c r="B19" s="178"/>
      <c r="C19" s="178"/>
      <c r="D19" s="178"/>
      <c r="E19" s="178"/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9"/>
      <c r="Q19" s="57">
        <f>SUM(Q15:Q18)</f>
        <v>4110216.33</v>
      </c>
      <c r="R19" s="58"/>
    </row>
    <row r="20" spans="1:18" ht="18" customHeight="1" thickBot="1" x14ac:dyDescent="0.25">
      <c r="A20" s="180"/>
      <c r="B20" s="180"/>
      <c r="C20" s="180"/>
      <c r="D20" s="180"/>
      <c r="E20" s="180"/>
      <c r="F20" s="180"/>
      <c r="G20" s="180"/>
      <c r="H20" s="180"/>
      <c r="I20" s="180"/>
      <c r="J20" s="180"/>
      <c r="K20" s="180"/>
      <c r="L20" s="180"/>
      <c r="M20" s="180"/>
      <c r="N20" s="180"/>
      <c r="O20" s="180"/>
      <c r="P20" s="180"/>
      <c r="Q20" s="181"/>
      <c r="R20" s="1"/>
    </row>
    <row r="21" spans="1:18" ht="17.25" customHeight="1" x14ac:dyDescent="0.2">
      <c r="A21" s="191" t="s">
        <v>44</v>
      </c>
      <c r="B21" s="192"/>
      <c r="C21" s="192"/>
      <c r="D21" s="192"/>
      <c r="E21" s="192"/>
      <c r="F21" s="192"/>
      <c r="G21" s="193"/>
      <c r="H21" s="193"/>
      <c r="I21" s="193"/>
      <c r="J21" s="193"/>
      <c r="K21" s="193"/>
      <c r="L21" s="193"/>
      <c r="M21" s="193"/>
      <c r="N21" s="193"/>
      <c r="O21" s="193"/>
      <c r="P21" s="193"/>
      <c r="Q21" s="194"/>
    </row>
    <row r="22" spans="1:18" ht="18" customHeight="1" thickBot="1" x14ac:dyDescent="0.25">
      <c r="A22" s="170" t="s">
        <v>89</v>
      </c>
      <c r="B22" s="171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2"/>
    </row>
    <row r="23" spans="1:18" ht="15" customHeight="1" thickBot="1" x14ac:dyDescent="0.25">
      <c r="A23" s="173"/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5"/>
    </row>
  </sheetData>
  <mergeCells count="27">
    <mergeCell ref="A9:N9"/>
    <mergeCell ref="A10:Q10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  <mergeCell ref="A22:Q23"/>
    <mergeCell ref="O18:P18"/>
    <mergeCell ref="A19:P19"/>
    <mergeCell ref="A20:Q20"/>
    <mergeCell ref="A12:Q12"/>
    <mergeCell ref="A13:N13"/>
    <mergeCell ref="O13:P14"/>
    <mergeCell ref="Q13:Q14"/>
    <mergeCell ref="A21:F21"/>
    <mergeCell ref="G21:Q21"/>
    <mergeCell ref="O17:P17"/>
    <mergeCell ref="O16:P16"/>
    <mergeCell ref="O15:P15"/>
  </mergeCells>
  <printOptions horizontalCentered="1"/>
  <pageMargins left="0.39374999999999999" right="0.39374999999999999" top="0.98402777777777795" bottom="0.98402777777777795" header="0.51180555555555496" footer="0.51180555555555496"/>
  <pageSetup paperSize="120" scale="87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2021-10-22T13:11:25Z</cp:lastPrinted>
  <dcterms:created xsi:type="dcterms:W3CDTF">2020-07-17T23:44:49Z</dcterms:created>
  <dcterms:modified xsi:type="dcterms:W3CDTF">2022-05-10T15:14:42Z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