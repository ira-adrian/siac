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974C2C4E-D824-40EB-891E-801D04167C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comparativo'!$S$8:$V$8,'Cuadro comparativo'!$W$8:$Z$8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54" i="2" l="1"/>
  <c r="M54" i="2"/>
  <c r="Q54" i="2"/>
  <c r="U54" i="2"/>
  <c r="Y54" i="2"/>
</calcChain>
</file>

<file path=xl/sharedStrings.xml><?xml version="1.0" encoding="utf-8"?>
<sst xmlns="http://schemas.openxmlformats.org/spreadsheetml/2006/main" count="364" uniqueCount="256">
  <si>
    <t>Número expediente:</t>
  </si>
  <si>
    <t>EX-2022-00842389-   -CAT-DPCBS#MEC</t>
  </si>
  <si>
    <t>Número proceso de compra:</t>
  </si>
  <si>
    <t>100-0091-CDI22</t>
  </si>
  <si>
    <t>Nombre descriptivo proceso de compra:</t>
  </si>
  <si>
    <t>ADQUISICION DE ALIMENTOS PERECEDEROS DESTINADO AL HOSPITAL INTERZONAL DE NIÑOS EVA PERON</t>
  </si>
  <si>
    <t>Unidad Operativa de Compras:</t>
  </si>
  <si>
    <t>Secretaria de Compras y Abastecimiento</t>
  </si>
  <si>
    <t>Fecha de Apertura:</t>
  </si>
  <si>
    <t>02/06/2022</t>
  </si>
  <si>
    <t>Renglón</t>
  </si>
  <si>
    <t>LOS SAUCES SRL</t>
  </si>
  <si>
    <t>LUJAIKO SRL</t>
  </si>
  <si>
    <t>EL PUESTO SRL</t>
  </si>
  <si>
    <t>E-CO S. R. L.</t>
  </si>
  <si>
    <t>ROMINA ANTONELLA WATSON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</si>
  <si>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</si>
  <si>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</si>
  <si>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</si>
  <si>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</si>
  <si>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</si>
  <si>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</si>
  <si>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</si>
  <si>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</si>
  <si>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</si>
  <si>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</si>
  <si>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2.1.1-438.83 </t>
  </si>
  <si>
    <t xml:space="preserve">ADEREZOS; TIPO: MAYONESA LIGHT, PRESENTACION: ENVASE X 475 GR, LIBRE 
DE GLUTEN: SIN VALOR </t>
  </si>
  <si>
    <t xml:space="preserve">UNIDAD </t>
  </si>
  <si>
    <t xml:space="preserve">MAYONESA HELLMANS LIGHT X 475 GRS. </t>
  </si>
  <si>
    <t xml:space="preserve">2 </t>
  </si>
  <si>
    <t xml:space="preserve">2.1.1-438.93 </t>
  </si>
  <si>
    <t xml:space="preserve">ADEREZOS; TIPO: MOSTAZA, PRESENTACION: ENVASE X 1 Kg, LIBRE DE 
GLUTEN: NO </t>
  </si>
  <si>
    <t xml:space="preserve">ADEROZO MOSTAZA SAVORA X 1 KG. </t>
  </si>
  <si>
    <t xml:space="preserve">3 </t>
  </si>
  <si>
    <t xml:space="preserve">2.1.1-438.79 </t>
  </si>
  <si>
    <t xml:space="preserve">ADEREZOS; TIPO: SALSA DE SOJA, PRESENTACION: ENVASE X 1 L, 
LIBRE DE GLUTEN: SIN VALOR </t>
  </si>
  <si>
    <t xml:space="preserve">4 </t>
  </si>
  <si>
    <t xml:space="preserve">2.1.1-621.15 </t>
  </si>
  <si>
    <t xml:space="preserve">AVES; ESPECIE: PECHUGA DE POLLO, PRESENTACION: A GRANEL, EVISCERADO: SIN 
MENUDOS, TIPO: PECHUGA DE POLLO </t>
  </si>
  <si>
    <t xml:space="preserve">PECHUGA DE POLLO SOY CHU EN CAJON X 20 KG. 
  </t>
  </si>
  <si>
    <t xml:space="preserve">  AVES; ESPECIE: PECHUGA DE POLLO, PRESENTACION: A GRANEL, 
EVISCERADO: SIN MENUDOS, TIPO: PECHUGA DE POLLO. PRESENTACION EN CAJA 
DE 20 KG.  premium </t>
  </si>
  <si>
    <t xml:space="preserve">PRIMERA CALIDAD- MARCA OPTIMO- PRECIO POR CAJA DE 20 KG 
 </t>
  </si>
  <si>
    <t xml:space="preserve">AVES; ESPECIE: PECHUGA DE POLLO, PRESENTACION: A GRANEL, EVISCERADO: SIN 
MENUDOS, TIPO: PECHUGA DE POLLO - TODO CONFORME ANEXO II 
MARCA: AVÍCOLA LUJAN </t>
  </si>
  <si>
    <t xml:space="preserve">5 </t>
  </si>
  <si>
    <t xml:space="preserve">2.1.1-621.19 </t>
  </si>
  <si>
    <t xml:space="preserve">AVES; TIPO: POLLO, PRESENTACION: PATA MUSLO, EVISCERADO: SI, ELEM. TRANSPORTE: 
SIN, MATERIAL ELEM. TRANSPORTE: SIN, LIBRE DE GLUTEN: SIN VALOR 
</t>
  </si>
  <si>
    <t xml:space="preserve">PATA MUSLO DE POLLO SOY CHU EN CAJON X 20 
KG.  </t>
  </si>
  <si>
    <t xml:space="preserve">AVES; TIPO: POLLO, PRESENTACION: PATA MUSLO, EVISCERADO: SI, ELEM. TRANSPORTE: 
SIN, MATERIAL ELEM. TRANSPORTE: SIN, LIBRE DE GLUTEN: SIN VALOR. 
PRESENTACION EN CAJA DE 20 KG. PREMIUM </t>
  </si>
  <si>
    <t xml:space="preserve">PRIMERA CALIDAD- MARCA OPTIMO- PRECIO POR CAJA DE 20 KG 
</t>
  </si>
  <si>
    <t xml:space="preserve">AVES; TIPO: POLLO, PRESENTACION: PATA MUSLO, EVISCERADO: SI, ELEM. TRANSPORTE: 
SIN, MATERIAL ELEM. TRANSPORTE: SIN, LIBRE DE GLUTEN: SIN VALOR 
- TODO CONFORME ANEXO II MARCA: AVÍCOLA LUJAN </t>
  </si>
  <si>
    <t xml:space="preserve">6 </t>
  </si>
  <si>
    <t xml:space="preserve">2.1.1-541.70 </t>
  </si>
  <si>
    <t xml:space="preserve">CARNES; CORTE: CARRE CON LOMO, TIPO: PORCINA, ESPECIE: PORCINA </t>
  </si>
  <si>
    <t xml:space="preserve">CARNE DE CERDO ESPECIAL CARRE DE LOMO X KG.  
</t>
  </si>
  <si>
    <t xml:space="preserve">CARRE CON LOMO, TIPO: PORCINA, ESPECIE: PORCINA KG </t>
  </si>
  <si>
    <t xml:space="preserve">PRECIO POR KILO- PRIMERA CALIDAD </t>
  </si>
  <si>
    <t xml:space="preserve">CARNES; CORTE: CARRE CON LOMO, TIPO: PORCINA, ESPECIE: PORCINA DE 
PRIMERA CALIDAD - CONFORME ANEXO II </t>
  </si>
  <si>
    <t xml:space="preserve">7 </t>
  </si>
  <si>
    <t xml:space="preserve">2.1.1-541.20 </t>
  </si>
  <si>
    <t xml:space="preserve">CARNES; CORTE: TAPA DE NALGA, ESPECIE: VACUNA, TIPO: VACUNA </t>
  </si>
  <si>
    <t xml:space="preserve">CARNE VACUNA TAPA DE NALGA ESPECIAL X KG.  </t>
  </si>
  <si>
    <t xml:space="preserve">CARNES; CORTE: TAPA DE NALGA, ESPECIE: VACUNA, TIPO: VACUNA. KG 
</t>
  </si>
  <si>
    <t xml:space="preserve">CARNES; CORTE: TAPA DE NALGA, ESPECIE: VACUNA, TIPO: VACUNA DE 
PRIMERA CALIDAD - TODO CONFORME ANEXO II </t>
  </si>
  <si>
    <t xml:space="preserve">8 </t>
  </si>
  <si>
    <t xml:space="preserve">2.1.1-541.27 </t>
  </si>
  <si>
    <t xml:space="preserve">CARNES; ESPECIE: VACUNA, CORTE: CUADRIL, TIPO: VACUNA </t>
  </si>
  <si>
    <t xml:space="preserve">CARNE VACUNA CUADRIL ESPECIAL X KG.  </t>
  </si>
  <si>
    <t xml:space="preserve">  CARNES; ESPECIE: VACUNA, CORTE: CUADRIL, TIPO: VACUNA. KG 
</t>
  </si>
  <si>
    <t xml:space="preserve">CARNES; ESPECIE: VACUNA, CORTE: CUADRIL, TIPO: VACUNA DE PRIMERA CALIDAD 
- TODO CONFORME ANEXO II </t>
  </si>
  <si>
    <t xml:space="preserve">9 </t>
  </si>
  <si>
    <t xml:space="preserve">2.1.1-541.7 </t>
  </si>
  <si>
    <t xml:space="preserve">CARNES; ESPECIE: VACUNA, CORTE: PICADA ESPECIAL, TIPO: VACUNA </t>
  </si>
  <si>
    <t xml:space="preserve">CARNE VACUNA PICADA ESPECIAL X KG.  </t>
  </si>
  <si>
    <t xml:space="preserve">CARNES; ESPECIE: VACUNA, CORTE: PICADA ESPECIAL, TIPO: VACUNA. KG </t>
  </si>
  <si>
    <t xml:space="preserve">CARNES; ESPECIE: VACUNA, CORTE: PICADA ESPECIAL, TIPO: VACUNA DE PRIMERA 
CALIDAD - TODO CONFORME ANEXO II </t>
  </si>
  <si>
    <t xml:space="preserve">10 </t>
  </si>
  <si>
    <t xml:space="preserve">2.1.1-541.164 </t>
  </si>
  <si>
    <t xml:space="preserve">CARNES; TIPO: PORCINA, CORTE: COSTELETA </t>
  </si>
  <si>
    <t xml:space="preserve">CARNE DE CERDO COSTELETA ESPECIAL X KG.  </t>
  </si>
  <si>
    <t xml:space="preserve">CARNES; TIPO: PORCINA, CORTE: COSTELETA. KG </t>
  </si>
  <si>
    <t xml:space="preserve">CARNES; TIPO: PORCINA, CORTE: COSTELETA - DE PRIMERA CALIDAD TODO 
CONFORME ANEXO II </t>
  </si>
  <si>
    <t xml:space="preserve">11 </t>
  </si>
  <si>
    <t xml:space="preserve">2.1.1-969.35 </t>
  </si>
  <si>
    <t xml:space="preserve">FIAMBRES; TIPO: JAMON COCIDO ITALIANO, PRESENTACION: AL PESO </t>
  </si>
  <si>
    <t xml:space="preserve">JAMON COCIDO  LA PIAMONTESA X KG.  </t>
  </si>
  <si>
    <t xml:space="preserve">FIAMBRES; TIPO: JAMON COCIDO ITALIANO, PRESENTACION: AL PESO. KG. CAMPO 
AUSTRAL </t>
  </si>
  <si>
    <t xml:space="preserve">FIAMBRES; TIPO: JAMON COCIDO ITALIANO, PRESENTACION: AL PESO MARCA: PIAMONTESA 
O LARIO O SIMILAR - CONFORME ANEXO II  </t>
  </si>
  <si>
    <t xml:space="preserve">12 </t>
  </si>
  <si>
    <t xml:space="preserve">2.1.1-6539.19 </t>
  </si>
  <si>
    <t xml:space="preserve">FRUTAS; ESTADO: NATURAL, VARIEDAD: MANZANA RED ELEGIDA, PRESENTACION: CAJON, PESO: 
SIN VALOR </t>
  </si>
  <si>
    <t xml:space="preserve">FRUTA MANZANA DELICIOSA RED EN CAJON X 20 KG.  
</t>
  </si>
  <si>
    <t xml:space="preserve">FRUTAS; ESTADO: NATURAL, VARIEDAD: MANZANA RED ELEGIDA, PRESENTACION: CAJON, PESO: 
SIN VALOR. PRESENTACION EN CAJON DE 20 KG. </t>
  </si>
  <si>
    <t xml:space="preserve">13 </t>
  </si>
  <si>
    <t xml:space="preserve">2.1.1-6539.7 </t>
  </si>
  <si>
    <t xml:space="preserve">FRUTAS; ESTADO: NATURAL, VARIEDAD: NARANJA PARA JUGO, PRESENTACION: A GRANEL, 
PESO: SIN VALOR </t>
  </si>
  <si>
    <t xml:space="preserve">FRUTA NARANJA CRIOLLA X KG.  </t>
  </si>
  <si>
    <t xml:space="preserve">FRUTAS; ESTADO: NATURAL, VARIEDAD: NARANJA PARA JUGO, PRESENTACION: A GRANEL, 
PESO: SIN VALOR. X KG </t>
  </si>
  <si>
    <t xml:space="preserve">14 </t>
  </si>
  <si>
    <t xml:space="preserve">2.1.1-6539.171 </t>
  </si>
  <si>
    <t xml:space="preserve">FRUTAS; VARIEDAD: BANANA, ESTADO: NATURAL, PRESENTACION: ENVASE X 15 Kg, 
ELEM. TRANSPORTE: CAJON, MATERIAL ELEM. TRANSPORTE: CARTON </t>
  </si>
  <si>
    <t xml:space="preserve">FRUTA BANANA EN CAJON X 20 KG.  </t>
  </si>
  <si>
    <t xml:space="preserve">FRUTAS; VARIEDAD: BANANA, ESTADO: NATURAL, PRESENTACION: ENVASE X 15 Kg, 
ELEM. TRANSPORTE: CAJON. X CAJON </t>
  </si>
  <si>
    <t xml:space="preserve">15 </t>
  </si>
  <si>
    <t xml:space="preserve">2.1.1-6539.84 </t>
  </si>
  <si>
    <t xml:space="preserve">FRUTAS; VARIEDAD: LIMON, ESTADO: NATURAL, PRESENTACION: CAJON X 1 Kg, 
PESO: 1 Kg </t>
  </si>
  <si>
    <t xml:space="preserve">FRUTA LIMON X KG.  </t>
  </si>
  <si>
    <t xml:space="preserve">LIMON, ESTADO: NATURAL, PRESENTACION: CAJON X 1 Kg, PESO: 1 
Kg </t>
  </si>
  <si>
    <t xml:space="preserve">16 </t>
  </si>
  <si>
    <t xml:space="preserve">2.1.1-6539.32 </t>
  </si>
  <si>
    <t xml:space="preserve">FRUTAS; VARIEDAD: PERA AMARILLA, ESTADO: NATURAL, PRESENTACION: CAJON, PESO: SIN 
VALOR </t>
  </si>
  <si>
    <t xml:space="preserve">FRUTA PERA AMARILLA EN CAJON X 20 KG.  </t>
  </si>
  <si>
    <t xml:space="preserve"> PERA AMARILLA, ESTADO: NATURAL, PRESENTACION: CAJON. CAJON DE 15 
KG. </t>
  </si>
  <si>
    <t xml:space="preserve">17 </t>
  </si>
  <si>
    <t xml:space="preserve">2.1.1-483.37 </t>
  </si>
  <si>
    <t xml:space="preserve">HUEVO DE GALLINA; TAMAÑO: GRANDE, COLOR: COLOR, PRESENTACION: 30 UN 
</t>
  </si>
  <si>
    <t xml:space="preserve">HUEVO DE GALLINA COLOR EN MAPLE X 30 UND.  
</t>
  </si>
  <si>
    <t xml:space="preserve">HUEVO DE GALLINA; TAMAÑO: GRANDE, COLOR: COLOR, PRESENTACION: 30 UN. 
MAPLE X 30 UNIDADES </t>
  </si>
  <si>
    <t xml:space="preserve">18 </t>
  </si>
  <si>
    <t xml:space="preserve">2.1.1-669.64 </t>
  </si>
  <si>
    <t xml:space="preserve">PANES; TIPO: FRANCES, PRESENTACION: ENVASE X 1 Kg </t>
  </si>
  <si>
    <t xml:space="preserve">PAN FRANCES  X KG.  </t>
  </si>
  <si>
    <t xml:space="preserve">PANES; TIPO: FRANCES, PRESENTACION: ENVASE X 1 Kg TODO CONFORME 
ANEXO II </t>
  </si>
  <si>
    <t xml:space="preserve">Pan frances por 900kg en bolsa de 1kg </t>
  </si>
  <si>
    <t xml:space="preserve">19 </t>
  </si>
  <si>
    <t xml:space="preserve">2.1.1-669.25 </t>
  </si>
  <si>
    <t xml:space="preserve">PANES; TIPO: RALLADO, PRESENTACION: BOLSA DE 1000 GR </t>
  </si>
  <si>
    <t xml:space="preserve">PAN RALLADO X KG.  </t>
  </si>
  <si>
    <t xml:space="preserve">PANES; TIPO: RALLADO, PRESENTACION: BOLSA DE 1000 GR TODO CONFORME 
ANEXO II </t>
  </si>
  <si>
    <t xml:space="preserve">20 </t>
  </si>
  <si>
    <t xml:space="preserve">2.1.1-707.38 </t>
  </si>
  <si>
    <t xml:space="preserve">PASTAS FRESCAS; VARIEDAD: RAVIOL, RELLENO: VERDURA Y POLLO, PRESENTACION: ENVASE 
X 500 GR </t>
  </si>
  <si>
    <t xml:space="preserve">PASTA RAVIOLES DE VERDURA Y POLLO DI PASCUALLE X 500 
GR. </t>
  </si>
  <si>
    <t xml:space="preserve">PASTAS FRESCAS; VARIEDAD: RAVIOL, RELLENO: VERDURA Y POLLO, PRESENTACION: ENVASE 
X 500 GR. MARCA AMICI </t>
  </si>
  <si>
    <t xml:space="preserve">21 </t>
  </si>
  <si>
    <t xml:space="preserve">2.1.1-590.27 </t>
  </si>
  <si>
    <t xml:space="preserve">PESCADOS Y FRUTOS CONGELADOS; TIPO: FILET DE MERLUZA, ENVASE: POLIESTIRENO, 
PRESENTACION: ENVASE X 1 Kg, ELEM. TRANSPORTE: SIN, MATERIAL ELEM. 
TRANSPORTE: SIN </t>
  </si>
  <si>
    <t xml:space="preserve">FILET DE MERLUZA, ENVASE: POLIESTIRENO, PRESENTACION: ENVASE X 1 Kg 
</t>
  </si>
  <si>
    <t xml:space="preserve">22 </t>
  </si>
  <si>
    <t xml:space="preserve">2.1.1-542.236 </t>
  </si>
  <si>
    <t xml:space="preserve">QUESOS; TIPO: CREMOSO, PRESENTACION: AL PESO, ELEM. TRANSPORTE: SIN, MATERIAL 
ELEM. TRANSPORTE: SIN, MATERIAL ENVASE: SIN, CERTIFICADO FORESTAL (GFS): SIN, 
LIBRE DE GLUTEN: A DEFINIR </t>
  </si>
  <si>
    <t xml:space="preserve">QUESO CREMOSO TREGAR X KG.  </t>
  </si>
  <si>
    <t xml:space="preserve">QUESOS; TIPO: CREMOSO, PRESENTACION: AL PESO, ELEM. TRANSPORTE: SIN, MATERIAL 
ELEM. TRANSPORTE: SIN, MATERIAL ENVASE: SIN, CERTIFICADO FORESTAL (GFS): SIN, 
LIBRE DE GLUTEN: A DEFINIR. X KG MARCA TREGAR </t>
  </si>
  <si>
    <t xml:space="preserve">QUESOS; TIPO: CREMOSO, PRESENTACION: AL PESO, ELEM. TRANSPORTE: SIN, MATERIAL 
ELEM. TRANSPORTE: SIN, MATERIAL ENVASE: SIN, CERTIFICADO FORESTAL (GFS): SIN, 
LIBRE DE GLUTEN: A DEFINIR  - TODO CONFORME ANEXO 
II MARCA: CREMON - LA SERENISIMA </t>
  </si>
  <si>
    <t xml:space="preserve">23 </t>
  </si>
  <si>
    <t xml:space="preserve">2.1.1-542.207 </t>
  </si>
  <si>
    <t xml:space="preserve">QUESOS; TIPO: SARDO, PRESENTACION: HORMA X 3 Kg, ELEM. TRANSPORTE: 
SIN, MATERIAL ELEM. TRANSPORTE: SIN, MATERIAL ENVASE: SIN, CERTIFICADO FORESTAL 
(GFS): SIN, LIBRE DE GLUTEN: NO </t>
  </si>
  <si>
    <t xml:space="preserve">QUESO SARDO LAS TRES EN HORMAS.  </t>
  </si>
  <si>
    <t xml:space="preserve">  QUESOS; TIPO: SARDO, PRESENTACION: HORMA X 3 Kg, 
ELEM. TRANSPORTE: SIN, MATERIAL ELEM. TRANSPORTE: SIN, MATERIAL ENVASE: SIN, 
CERTIFICADO FORESTAL (GFS): SIN, LIBRE DE GLUTEN: NO  HORMA 
DE 3 KG. MARCA TREGAR </t>
  </si>
  <si>
    <t xml:space="preserve">24 </t>
  </si>
  <si>
    <t xml:space="preserve">2.1.1-542.197 </t>
  </si>
  <si>
    <t xml:space="preserve">QUESOS; TIPO: TYBO, PRESENTACION: HORMA, ELEM. TRANSPORTE: SIN, MATERIAL ELEM. 
TRANSPORTE: SIN, MATERIAL ENVASE: PLASTICO, CERTIFICADO FORESTAL (GFS): SIN, LIBRE 
DE GLUTEN: NO </t>
  </si>
  <si>
    <t xml:space="preserve">QUESO TYBO BARRA TREGAR EN HORMAS.  </t>
  </si>
  <si>
    <t xml:space="preserve">QUESOS; TIPO: TYBO, PRESENTACION: HORMA, ELEM. TRANSPORTE: SIN, MATERIAL ELEM. 
TRANSPORTE: SIN, MATERIAL ENVASE: PLASTICO, CERTIFICADO FORESTAL (GFS): SIN, LIBRE 
DE GLUTEN: NO MARCA: TREGAR. HORMA X 3 KG </t>
  </si>
  <si>
    <t xml:space="preserve">QUESOS; TIPO: TYBO, PRESENTACION: HORMA, ELEM. TRANSPORTE: SIN, MATERIAL ELEM. 
TRANSPORTE: SIN, MATERIAL ENVASE: PLASTICO, CERTIFICADO FORESTAL (GFS): SIN, LIBRE 
DE GLUTEN: NO - TODO CONFORME ANEXO II MARCA: ROCALAC 
</t>
  </si>
  <si>
    <t xml:space="preserve">25 </t>
  </si>
  <si>
    <t xml:space="preserve">2.1.1-2610.1 </t>
  </si>
  <si>
    <t xml:space="preserve">TAPAS P/EMPANADAS; TIPO: P/HORNO, PRESENTACION: BOLSA X 12 </t>
  </si>
  <si>
    <t xml:space="preserve">TAPA PARA EMPANADAS DI PASCUALLE X 12 UND.  </t>
  </si>
  <si>
    <t xml:space="preserve">TAPAS P/EMPANADAS; TIPO: P/HORNO, PRESENTACION: BOLSA X 12 MARCA: AMICI 
</t>
  </si>
  <si>
    <t xml:space="preserve">26 </t>
  </si>
  <si>
    <t xml:space="preserve">2.1.1-2429.1 </t>
  </si>
  <si>
    <t xml:space="preserve">TAPAS P/TARTAS; TIPO: REDONDA, MASA: CASERA, PRESENTACION: BOLSA </t>
  </si>
  <si>
    <t xml:space="preserve">TAPA PARA TARTA DI PASCUALLE.  </t>
  </si>
  <si>
    <t xml:space="preserve">TAPAS P/TARTAS; TIPO: REDONDA, MASA: CASERA, PRESENTACION: BOLSA. MARCA AMICI 
</t>
  </si>
  <si>
    <t xml:space="preserve">27 </t>
  </si>
  <si>
    <t xml:space="preserve">2.1.1-6546.154 </t>
  </si>
  <si>
    <t xml:space="preserve">VERDURAS Y HORTALIZAS; ESTADO: NATURAL, PESO: SIN VALOR, VARIEDAD: AJO, 
PRESENTACION: UNIDAD </t>
  </si>
  <si>
    <t xml:space="preserve">VERDURA CABEZA DE AJO.  </t>
  </si>
  <si>
    <t xml:space="preserve">AJO, PRESENTACION: UNIDAD. 1 RISTRA DE UN KILOGRAMO APROX </t>
  </si>
  <si>
    <t xml:space="preserve">28 </t>
  </si>
  <si>
    <t xml:space="preserve">2.1.1-6546.188 </t>
  </si>
  <si>
    <t xml:space="preserve">VERDURAS Y HORTALIZAS; ESTADO: NATURAL, PRESENTACION: GRANEL, PESO: SIN VALOR, 
VARIEDAD: ZAPALLO CRIOLLO </t>
  </si>
  <si>
    <t xml:space="preserve">VERDURA ZAPALLO CRIOLLO X KG.  </t>
  </si>
  <si>
    <t xml:space="preserve">VERDURAS Y HORTALIZAS; ESTADO: NATURAL, PRESENTACION: GRANEL, PESO: SIN VALOR, 
VARIEDAD: ZAPALLO CRIOLLO. X KG </t>
  </si>
  <si>
    <t xml:space="preserve">VERDURAS Y HORTALIZAS; ESTADO: NATURAL, PRESENTACION: GRANEL, PESO: SIN VALOR, 
VARIEDAD: ZAPALLO CRIOLLO - CONFORME ANEXO II </t>
  </si>
  <si>
    <t xml:space="preserve">29 </t>
  </si>
  <si>
    <t xml:space="preserve">2.1.1-6546.100 </t>
  </si>
  <si>
    <t xml:space="preserve">VERDURAS Y HORTALIZAS; ESTADO: NATURAL, PRESENTACION: GRANEL, VARIEDAD: PAPA BLANCA, 
PESO: SIN VALOR </t>
  </si>
  <si>
    <t xml:space="preserve">VERDURA PAPA BLANCA X KG.  </t>
  </si>
  <si>
    <t xml:space="preserve">VERDURAS Y HORTALIZAS; ESTADO: NATURAL, PRESENTACION: GRANEL, VARIEDAD: PAPA BLANCA, 
X KG </t>
  </si>
  <si>
    <t xml:space="preserve">VERDURAS Y HORTALIZAS; ESTADO: NATURAL, PRESENTACION: GRANEL, VARIEDAD: PAPA BLANCA, 
PESO: SIN VALOR - CONFORME ANEXO II </t>
  </si>
  <si>
    <t xml:space="preserve">30 </t>
  </si>
  <si>
    <t xml:space="preserve">2.1.1-6546.158 </t>
  </si>
  <si>
    <t xml:space="preserve">VERDURAS Y HORTALIZAS; ESTADO: NATURAL, VARIEDAD: ZAPALLO ANCO, PRESENTACION: GRANEL, 
PESO: SIN VALOR </t>
  </si>
  <si>
    <t xml:space="preserve">VERDURA ZAPALLO ANQUIN X KG.  </t>
  </si>
  <si>
    <t xml:space="preserve">ZAPALLO ANCO, PRESENTACION: GRANEL, PESO: SIN VALOR. X KG </t>
  </si>
  <si>
    <t xml:space="preserve">31 </t>
  </si>
  <si>
    <t xml:space="preserve">2.1.1-6546.124 </t>
  </si>
  <si>
    <t xml:space="preserve">VERDURAS Y HORTALIZAS; PESO: SIN VALOR, VARIEDAD: REMOLACHA, ESTADO: NATURAL, 
PRESENTACION: GRANEL </t>
  </si>
  <si>
    <t xml:space="preserve">VERDURA REMOLACHA X KG.  </t>
  </si>
  <si>
    <t xml:space="preserve"> REMOLACHA, ESTADO: NATURAL, PRESENTACION: GRANEL, X KG </t>
  </si>
  <si>
    <t xml:space="preserve">32 </t>
  </si>
  <si>
    <t xml:space="preserve">2.1.1-6546.207 </t>
  </si>
  <si>
    <t xml:space="preserve">VERDURAS Y HORTALIZAS; VARIEDAD: BATATA, ESTADO: NATURAL, PRESENTACION: BOLSA, PESO: 
10 Kg </t>
  </si>
  <si>
    <t xml:space="preserve">VERDURA BATATA EN BOLSA X 10 KG.  </t>
  </si>
  <si>
    <t xml:space="preserve"> BATATA, ESTADO: NATURAL, PRESENTACION: BOLSA, PESO: 10 Kg </t>
  </si>
  <si>
    <t xml:space="preserve">33 </t>
  </si>
  <si>
    <t xml:space="preserve">2.1.1-6546.177 </t>
  </si>
  <si>
    <t xml:space="preserve">VERDURAS Y HORTALIZAS; VARIEDAD: BERENJENA, ESTADO: NATURAL, PRESENTACION: GRANEL, PESO: 
SIN VALOR </t>
  </si>
  <si>
    <t xml:space="preserve">VERDURA BARENJENA NEGRA X KG.  </t>
  </si>
  <si>
    <t xml:space="preserve">BERENJENA, ESTADO: NATURAL, PRESENTACION: GRANEL, X KG </t>
  </si>
  <si>
    <t xml:space="preserve">34 </t>
  </si>
  <si>
    <t xml:space="preserve">2.1.1-6546.236 </t>
  </si>
  <si>
    <t xml:space="preserve">VERDURAS Y HORTALIZAS; VARIEDAD: CEBOLLA, ESTADO: NATURAL, PRESENTACION: BOLSA, PESO: 
20 Kg </t>
  </si>
  <si>
    <t xml:space="preserve">VERDURA CEBOLLA EN BOLSA X 20 KG.  </t>
  </si>
  <si>
    <t xml:space="preserve">CEBOLLA, ESTADO: NATURAL, PRESENTACION: BOLSA, PESO: 20 Kg </t>
  </si>
  <si>
    <t xml:space="preserve">35 </t>
  </si>
  <si>
    <t xml:space="preserve">2.1.1-6546.169 </t>
  </si>
  <si>
    <t xml:space="preserve">VERDURAS Y HORTALIZAS; VARIEDAD: ESPINACA, PRESENTACION: ATADO, ESTADO: NATURAL, PESO: 
SIN VALOR </t>
  </si>
  <si>
    <t xml:space="preserve">ESPINACA, PRESENTACION: ATADO, ESTADO: NATURAL 1 UNIDAD = 1 ATADO 
POR 300 GRS. APROXIMADAMENTE.  </t>
  </si>
  <si>
    <t xml:space="preserve">36 </t>
  </si>
  <si>
    <t xml:space="preserve">2.1.1-6546.374 </t>
  </si>
  <si>
    <t xml:space="preserve">VERDURAS Y HORTALIZAS; VARIEDAD: LECHUGA ARREPOLLADA, ESTADO: NATURAL, PRESENTACION: A 
GRANEL, PESO: 300 GR CADA PLANTA, ELEM. TRANSPORTE: SIN, MATERIAL 
ELEM. TRANSPORTE: SIN, LIBRE DE GLUTEN: SI </t>
  </si>
  <si>
    <t xml:space="preserve">LECHUGA ARREPOLLADA X UND.  </t>
  </si>
  <si>
    <t xml:space="preserve">LECHUGA ARREPOLLADA, ESTADO: NATURAL, PRESENTACION: A GRANEL, PESO: 300 GR 
CADA PLANTA. X KG </t>
  </si>
  <si>
    <t xml:space="preserve">37 </t>
  </si>
  <si>
    <t xml:space="preserve">2.1.1-6546.95 </t>
  </si>
  <si>
    <t xml:space="preserve">VERDURAS Y HORTALIZAS; VARIEDAD: MORRON VERDE, ESTADO: NATURAL, PRESENTACION: GRANEL, 
PESO: SIN VALOR </t>
  </si>
  <si>
    <t xml:space="preserve">VERDURA MORRON VERDE X KG.  </t>
  </si>
  <si>
    <t xml:space="preserve">MORRON VERDE, ESTADO: NATURAL, PRESENTACION: GRANEL. X KG </t>
  </si>
  <si>
    <t xml:space="preserve">38 </t>
  </si>
  <si>
    <t xml:space="preserve">2.1.1-6546.133 </t>
  </si>
  <si>
    <t xml:space="preserve">VERDURAS Y HORTALIZAS; VARIEDAD: PEREJIL, ESTADO: NATURAL, PRESENTACION: ATADO, PESO: 
1 Kg </t>
  </si>
  <si>
    <t xml:space="preserve">PEREJIL, ESTADO: NATURAL, PRESENTACION: ATADO, PESO: 1 Kg </t>
  </si>
  <si>
    <t xml:space="preserve">39 </t>
  </si>
  <si>
    <t xml:space="preserve">2.1.1-6546.390 </t>
  </si>
  <si>
    <t xml:space="preserve">VERDURAS Y HORTALIZAS; VARIEDAD: TOMATE REDONDO, ESTADO: NATURAL, PRESENTACION: CAJON, 
PESO: 17 A 22 Kg, ELEM. TRANSPORTE: SIN, MATERIAL ELEM. 
TRANSPORTE: SIN, LIBRE DE GLUTEN: SI, ORGANICO: NO </t>
  </si>
  <si>
    <t xml:space="preserve">VERDURA TOMATE REDONDO EN CAJON X 20 KG.  </t>
  </si>
  <si>
    <t xml:space="preserve">TOMATE REDONDO, ESTADO: NATURAL, PRESENTACION: CAJON, PESO: 17 A 22 
Kg, </t>
  </si>
  <si>
    <t xml:space="preserve">40 </t>
  </si>
  <si>
    <t xml:space="preserve">2.1.1-6546.167 </t>
  </si>
  <si>
    <t xml:space="preserve">VERDURAS Y HORTALIZAS; VARIEDAD: ZANAHORIA, PRESENTACION: BOLSA, ESTADO: NATURAL, PESO: 
20 Kg </t>
  </si>
  <si>
    <t xml:space="preserve">VERDURA ZANAHORIA EN BOLSA X 20 KG.  </t>
  </si>
  <si>
    <t xml:space="preserve">ZANAHORIA, PRESENTACION: BOLSA, ESTADO: NATURAL, PESO: 20 Kg </t>
  </si>
  <si>
    <t xml:space="preserve">41 </t>
  </si>
  <si>
    <t xml:space="preserve">2.1.1-6546.240 </t>
  </si>
  <si>
    <t xml:space="preserve">VERDURAS Y HORTALIZAS; VARIEDAD: ZAPALLITO REDONDO, ESTADO: NATURAL, PRESENTACION: SIN 
VALOR, PESO: 20 Kg </t>
  </si>
  <si>
    <t xml:space="preserve">VERDURA ZAPALLITO REDONDO VERDE EN CAJON X 20 KG.  
</t>
  </si>
  <si>
    <t xml:space="preserve">ZAPALLITO REDONDO, ESTADO: NATURAL, PRESENTACION: SIN VALOR, PESO: 20 Kg 
</t>
  </si>
  <si>
    <t xml:space="preserve">42 </t>
  </si>
  <si>
    <t xml:space="preserve">2.1.1-6546.298 </t>
  </si>
  <si>
    <t xml:space="preserve">VERDURAS Y HORTALIZAS; VARIEDAD: ZUCHINI, ESTADO: NATURAL, PRESENTACION: CAJON, PESO: 
18 Kg </t>
  </si>
  <si>
    <t xml:space="preserve">VERDURA ZAPALLITO ZUCHINI EN CAJON X 18 KG.  </t>
  </si>
  <si>
    <t xml:space="preserve">ZUCHINI, ESTADO: NATURAL, PRESENTACION: CAJON, PESO: 18 Kg </t>
  </si>
  <si>
    <t xml:space="preserve">43 </t>
  </si>
  <si>
    <t xml:space="preserve">2.1.1-456.91 </t>
  </si>
  <si>
    <t xml:space="preserve">YOGHURT; TIPO: DESCREMADO, AGREGADO: SIN, CONSISTENCIA: FIRME, SABOR: VAINILLA-FRUTILLA, PRESENTACION: 
POTE PLASTICO X 190 mL </t>
  </si>
  <si>
    <t xml:space="preserve">YOGURT DESCREMADO MANFREY YOFRE X 190 GRS. SABOR VAINILLA Y 
FRUTILLA  </t>
  </si>
  <si>
    <t xml:space="preserve">YOGHURT; TIPO: DESCREMADO, AGREGADO: SIN, CONSISTENCIA: FIRME, SABOR: VAINILLA-FRUTILLA, PRESENTACION: 
POTE PLASTICO X 190 mL. MARCA MANFREY </t>
  </si>
  <si>
    <t xml:space="preserve">44 </t>
  </si>
  <si>
    <t xml:space="preserve">2.1.1-456.90 </t>
  </si>
  <si>
    <t xml:space="preserve">YOGHURT; TIPO: ENTERO, AGREGADO: SIN, CONSISTENCIA: FIRME, SABOR: VAINILLA-FRUTILLA, PRESENTACION: 
POTE PLASTICO X 190 mL </t>
  </si>
  <si>
    <t xml:space="preserve">YOGURT ENTERO MANFREY YOFRE X 190 GRS. SABOR VAINILLA Y 
FRUTILLA.  </t>
  </si>
  <si>
    <t xml:space="preserve">YOGHURT; TIPO: ENTERO, AGREGADO: SIN, CONSISTENCIA: FIRME, SABOR: VAINILLA-FRUTILLA, PRESENTACION: 
POTE PLASTICO X 190 mL. MARCA MANFREY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</si>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</sst>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54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54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54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54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S9:V54" totalsRowCount="1">
  <tableColumns count="4">
    <tableColumn id="1" xr3:uid="{00000000-0010-0000-0400-000001000000}" name="Precio unitario"/>
    <tableColumn id="2" xr3:uid="{00000000-0010-0000-0400-000002000000}" name="Cantidad ofertada"/>
    <tableColumn id="3" xr3:uid="{00000000-0010-0000-0400-000003000000}" name="Total por renglón" totalsRowFunction="sum"/>
    <tableColumn id="4" xr3:uid="{00000000-0010-0000-0400-000004000000}" name="Especificacion técnic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W9:Z54" totalsRowCount="1">
  <tableColumns count="4">
    <tableColumn id="1" xr3:uid="{00000000-0010-0000-0500-000001000000}" name="Precio unitario"/>
    <tableColumn id="2" xr3:uid="{00000000-0010-0000-0500-000002000000}" name="Cantidad ofertada"/>
    <tableColumn id="3" xr3:uid="{00000000-0010-0000-0500-000003000000}" name="Total por renglón" totalsRowFunction="sum"/>
    <tableColumn id="4" xr3:uid="{00000000-0010-0000-05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102.5703125" customWidth="1"/>
    <col min="5" max="5" width="94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62.42578125" customWidth="1"/>
    <col min="11" max="11" width="14.28515625" customWidth="1"/>
    <col min="12" max="12" width="17.28515625" customWidth="1"/>
    <col min="13" max="13" width="16.5703125" customWidth="1"/>
    <col min="14" max="14" width="102.5703125" customWidth="1"/>
    <col min="15" max="15" width="14.28515625" customWidth="1"/>
    <col min="16" max="16" width="17.28515625" customWidth="1"/>
    <col min="17" max="17" width="16.5703125" customWidth="1"/>
    <col min="18" max="18" width="57.42578125" customWidth="1"/>
    <col min="19" max="19" width="14.28515625" customWidth="1"/>
    <col min="20" max="20" width="17.28515625" customWidth="1"/>
    <col min="21" max="21" width="16.5703125" customWidth="1"/>
    <col min="22" max="22" width="86.42578125" customWidth="1"/>
    <col min="23" max="23" width="14.28515625" customWidth="1"/>
    <col min="24" max="24" width="17.28515625" customWidth="1"/>
    <col min="25" max="25" width="16.5703125" customWidth="1"/>
    <col min="26" max="26" width="34.42578125" customWidth="1"/>
  </cols>
  <sheetData>
    <row r="1" spans="1:26" x14ac:dyDescent="0.25">
      <c r="D1" s="2" t="s">
        <v>0</v>
      </c>
      <c r="E1" s="2" t="s">
        <v>1</v>
      </c>
    </row>
    <row r="2" spans="1:26" x14ac:dyDescent="0.25">
      <c r="D2" s="2" t="s">
        <v>2</v>
      </c>
      <c r="E2" s="2" t="s">
        <v>3</v>
      </c>
    </row>
    <row r="3" spans="1:26" x14ac:dyDescent="0.25">
      <c r="D3" s="2" t="s">
        <v>4</v>
      </c>
      <c r="E3" s="2" t="s">
        <v>5</v>
      </c>
    </row>
    <row r="4" spans="1:26" x14ac:dyDescent="0.25">
      <c r="D4" s="2" t="s">
        <v>6</v>
      </c>
      <c r="E4" s="2" t="s">
        <v>7</v>
      </c>
    </row>
    <row r="5" spans="1:26" x14ac:dyDescent="0.25">
      <c r="D5" s="2" t="s">
        <v>8</v>
      </c>
      <c r="E5" s="2" t="s">
        <v>9</v>
      </c>
    </row>
    <row r="8" spans="1:26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  <c r="W8" s="1" t="s">
        <v>15</v>
      </c>
      <c r="X8" s="1"/>
      <c r="Y8" s="1"/>
      <c r="Z8" s="1"/>
    </row>
    <row r="9" spans="1:26" x14ac:dyDescent="0.25">
      <c r="A9" t="s">
        <v>10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s="3" t="s">
        <v>21</v>
      </c>
      <c r="H9" s="3" t="s">
        <v>22</v>
      </c>
      <c r="I9" t="s">
        <v>23</v>
      </c>
      <c r="J9" t="s">
        <v>24</v>
      </c>
      <c r="K9" s="3" t="s">
        <v>21</v>
      </c>
      <c r="L9" s="3" t="s">
        <v>22</v>
      </c>
      <c r="M9" t="s">
        <v>23</v>
      </c>
      <c r="N9" t="s">
        <v>24</v>
      </c>
      <c r="O9" s="3" t="s">
        <v>21</v>
      </c>
      <c r="P9" s="3" t="s">
        <v>22</v>
      </c>
      <c r="Q9" t="s">
        <v>23</v>
      </c>
      <c r="R9" t="s">
        <v>24</v>
      </c>
      <c r="S9" s="3" t="s">
        <v>21</v>
      </c>
      <c r="T9" s="3" t="s">
        <v>22</v>
      </c>
      <c r="U9" t="s">
        <v>23</v>
      </c>
      <c r="V9" t="s">
        <v>24</v>
      </c>
      <c r="W9" s="3" t="s">
        <v>21</v>
      </c>
      <c r="X9" s="3" t="s">
        <v>22</v>
      </c>
      <c r="Y9" t="s">
        <v>23</v>
      </c>
      <c r="Z9" t="s">
        <v>24</v>
      </c>
    </row>
    <row r="10" spans="1:26" ht="30" x14ac:dyDescent="0.25">
      <c r="A10" t="s">
        <v>25</v>
      </c>
      <c r="B10" t="s">
        <v>25</v>
      </c>
      <c r="C10" t="s">
        <v>26</v>
      </c>
      <c r="D10" s="4" t="s">
        <v>27</v>
      </c>
      <c r="E10">
        <v>30</v>
      </c>
      <c r="F10" t="s">
        <v>28</v>
      </c>
      <c r="G10" s="3">
        <v>159</v>
      </c>
      <c r="H10" s="3">
        <v>30</v>
      </c>
      <c r="I10" s="5">
        <v>4770</v>
      </c>
      <c r="J10" t="s">
        <v>29</v>
      </c>
      <c r="K10" s="3"/>
      <c r="L10" s="3"/>
      <c r="M10" s="5"/>
      <c r="O10" s="3"/>
      <c r="P10" s="3"/>
      <c r="Q10" s="5"/>
      <c r="S10" s="3"/>
      <c r="T10" s="3"/>
      <c r="U10" s="5"/>
      <c r="W10" s="3"/>
      <c r="X10" s="3"/>
      <c r="Y10" s="5"/>
    </row>
    <row r="11" spans="1:26" ht="30" x14ac:dyDescent="0.25">
      <c r="A11" t="s">
        <v>30</v>
      </c>
      <c r="B11" t="s">
        <v>25</v>
      </c>
      <c r="C11" t="s">
        <v>31</v>
      </c>
      <c r="D11" s="4" t="s">
        <v>32</v>
      </c>
      <c r="E11">
        <v>60</v>
      </c>
      <c r="F11" t="s">
        <v>28</v>
      </c>
      <c r="G11" s="3">
        <v>404</v>
      </c>
      <c r="H11" s="3">
        <v>60</v>
      </c>
      <c r="I11" s="5">
        <v>24240</v>
      </c>
      <c r="J11" t="s">
        <v>33</v>
      </c>
      <c r="K11" s="3"/>
      <c r="L11" s="3"/>
      <c r="M11" s="5"/>
      <c r="O11" s="3"/>
      <c r="P11" s="3"/>
      <c r="Q11" s="5"/>
      <c r="S11" s="3"/>
      <c r="T11" s="3"/>
      <c r="U11" s="5"/>
      <c r="W11" s="3"/>
      <c r="X11" s="3"/>
      <c r="Y11" s="5"/>
    </row>
    <row r="12" spans="1:26" ht="30" x14ac:dyDescent="0.25">
      <c r="A12" t="s">
        <v>34</v>
      </c>
      <c r="B12" t="s">
        <v>25</v>
      </c>
      <c r="C12" t="s">
        <v>35</v>
      </c>
      <c r="D12" s="4" t="s">
        <v>36</v>
      </c>
      <c r="E12">
        <v>6</v>
      </c>
      <c r="F12" t="s">
        <v>28</v>
      </c>
      <c r="G12" s="3"/>
      <c r="H12" s="3"/>
      <c r="I12" s="5"/>
      <c r="K12" s="3"/>
      <c r="L12" s="3"/>
      <c r="M12" s="5"/>
      <c r="O12" s="3"/>
      <c r="P12" s="3"/>
      <c r="Q12" s="5"/>
      <c r="S12" s="3"/>
      <c r="T12" s="3"/>
      <c r="U12" s="5"/>
      <c r="W12" s="3"/>
      <c r="X12" s="3"/>
      <c r="Y12" s="5"/>
    </row>
    <row r="13" spans="1:26" ht="45" x14ac:dyDescent="0.25">
      <c r="A13" t="s">
        <v>37</v>
      </c>
      <c r="B13" t="s">
        <v>25</v>
      </c>
      <c r="C13" t="s">
        <v>38</v>
      </c>
      <c r="D13" s="4" t="s">
        <v>39</v>
      </c>
      <c r="E13">
        <v>80</v>
      </c>
      <c r="F13" t="s">
        <v>28</v>
      </c>
      <c r="G13" s="3">
        <v>19500</v>
      </c>
      <c r="H13" s="3">
        <v>80</v>
      </c>
      <c r="I13" s="5">
        <v>1560000</v>
      </c>
      <c r="J13" s="4" t="s">
        <v>40</v>
      </c>
      <c r="K13" s="3">
        <v>19900</v>
      </c>
      <c r="L13" s="3">
        <v>80</v>
      </c>
      <c r="M13" s="5">
        <v>1592000</v>
      </c>
      <c r="N13" s="4" t="s">
        <v>41</v>
      </c>
      <c r="O13" s="3">
        <v>18000</v>
      </c>
      <c r="P13" s="3">
        <v>80</v>
      </c>
      <c r="Q13" s="5">
        <v>1440000</v>
      </c>
      <c r="R13" s="4" t="s">
        <v>42</v>
      </c>
      <c r="S13" s="3">
        <v>930</v>
      </c>
      <c r="T13" s="3">
        <v>80</v>
      </c>
      <c r="U13" s="5">
        <v>74400</v>
      </c>
      <c r="V13" s="4" t="s">
        <v>43</v>
      </c>
      <c r="W13" s="3"/>
      <c r="X13" s="3"/>
      <c r="Y13" s="5"/>
    </row>
    <row r="14" spans="1:26" ht="45" x14ac:dyDescent="0.25">
      <c r="A14" t="s">
        <v>44</v>
      </c>
      <c r="B14" t="s">
        <v>25</v>
      </c>
      <c r="C14" t="s">
        <v>45</v>
      </c>
      <c r="D14" s="4" t="s">
        <v>46</v>
      </c>
      <c r="E14">
        <v>100</v>
      </c>
      <c r="F14" t="s">
        <v>28</v>
      </c>
      <c r="G14" s="3">
        <v>9100</v>
      </c>
      <c r="H14" s="3">
        <v>100</v>
      </c>
      <c r="I14" s="5">
        <v>910000</v>
      </c>
      <c r="J14" s="4" t="s">
        <v>47</v>
      </c>
      <c r="K14" s="3">
        <v>8528</v>
      </c>
      <c r="L14" s="3">
        <v>100</v>
      </c>
      <c r="M14" s="5">
        <v>852800</v>
      </c>
      <c r="N14" s="4" t="s">
        <v>48</v>
      </c>
      <c r="O14" s="3">
        <v>6750</v>
      </c>
      <c r="P14" s="3">
        <v>100</v>
      </c>
      <c r="Q14" s="5">
        <v>675000</v>
      </c>
      <c r="R14" s="4" t="s">
        <v>49</v>
      </c>
      <c r="S14" s="3">
        <v>475</v>
      </c>
      <c r="T14" s="3">
        <v>100</v>
      </c>
      <c r="U14" s="5">
        <v>47500</v>
      </c>
      <c r="V14" s="4" t="s">
        <v>50</v>
      </c>
      <c r="W14" s="3"/>
      <c r="X14" s="3"/>
      <c r="Y14" s="5"/>
    </row>
    <row r="15" spans="1:26" ht="30" x14ac:dyDescent="0.25">
      <c r="A15" t="s">
        <v>51</v>
      </c>
      <c r="B15" t="s">
        <v>25</v>
      </c>
      <c r="C15" t="s">
        <v>52</v>
      </c>
      <c r="D15" t="s">
        <v>53</v>
      </c>
      <c r="E15">
        <v>100</v>
      </c>
      <c r="F15" t="s">
        <v>28</v>
      </c>
      <c r="G15" s="3">
        <v>840</v>
      </c>
      <c r="H15" s="3">
        <v>100</v>
      </c>
      <c r="I15" s="5">
        <v>84000</v>
      </c>
      <c r="J15" s="4" t="s">
        <v>54</v>
      </c>
      <c r="K15" s="3">
        <v>980</v>
      </c>
      <c r="L15" s="3">
        <v>100</v>
      </c>
      <c r="M15" s="5">
        <v>98000</v>
      </c>
      <c r="N15" t="s">
        <v>55</v>
      </c>
      <c r="O15" s="3">
        <v>1050</v>
      </c>
      <c r="P15" s="3">
        <v>100</v>
      </c>
      <c r="Q15" s="5">
        <v>105000</v>
      </c>
      <c r="R15" t="s">
        <v>56</v>
      </c>
      <c r="S15" s="3">
        <v>1150</v>
      </c>
      <c r="T15" s="3">
        <v>100</v>
      </c>
      <c r="U15" s="5">
        <v>115000</v>
      </c>
      <c r="V15" s="4" t="s">
        <v>57</v>
      </c>
      <c r="W15" s="3"/>
      <c r="X15" s="3"/>
      <c r="Y15" s="5"/>
    </row>
    <row r="16" spans="1:26" ht="30" x14ac:dyDescent="0.25">
      <c r="A16" t="s">
        <v>58</v>
      </c>
      <c r="B16" t="s">
        <v>25</v>
      </c>
      <c r="C16" t="s">
        <v>59</v>
      </c>
      <c r="D16" t="s">
        <v>60</v>
      </c>
      <c r="E16">
        <v>640</v>
      </c>
      <c r="F16" t="s">
        <v>28</v>
      </c>
      <c r="G16" s="3">
        <v>1550</v>
      </c>
      <c r="H16" s="3">
        <v>640</v>
      </c>
      <c r="I16" s="5">
        <v>992000</v>
      </c>
      <c r="J16" t="s">
        <v>61</v>
      </c>
      <c r="K16" s="3">
        <v>1499</v>
      </c>
      <c r="L16" s="3">
        <v>640</v>
      </c>
      <c r="M16" s="5">
        <v>959360</v>
      </c>
      <c r="N16" s="4" t="s">
        <v>62</v>
      </c>
      <c r="O16" s="3">
        <v>1500</v>
      </c>
      <c r="P16" s="3">
        <v>640</v>
      </c>
      <c r="Q16" s="5">
        <v>960000</v>
      </c>
      <c r="R16" t="s">
        <v>56</v>
      </c>
      <c r="S16" s="3">
        <v>1650</v>
      </c>
      <c r="T16" s="3">
        <v>640</v>
      </c>
      <c r="U16" s="5">
        <v>1056000</v>
      </c>
      <c r="V16" s="4" t="s">
        <v>63</v>
      </c>
      <c r="W16" s="3"/>
      <c r="X16" s="3"/>
      <c r="Y16" s="5"/>
    </row>
    <row r="17" spans="1:26" ht="30" x14ac:dyDescent="0.25">
      <c r="A17" t="s">
        <v>64</v>
      </c>
      <c r="B17" t="s">
        <v>25</v>
      </c>
      <c r="C17" t="s">
        <v>65</v>
      </c>
      <c r="D17" t="s">
        <v>66</v>
      </c>
      <c r="E17">
        <v>640</v>
      </c>
      <c r="F17" t="s">
        <v>28</v>
      </c>
      <c r="G17" s="3">
        <v>1550</v>
      </c>
      <c r="H17" s="3">
        <v>640</v>
      </c>
      <c r="I17" s="5">
        <v>992000</v>
      </c>
      <c r="J17" t="s">
        <v>67</v>
      </c>
      <c r="K17" s="3">
        <v>1499</v>
      </c>
      <c r="L17" s="3">
        <v>640</v>
      </c>
      <c r="M17" s="5">
        <v>959360</v>
      </c>
      <c r="N17" s="4" t="s">
        <v>68</v>
      </c>
      <c r="O17" s="3">
        <v>1500</v>
      </c>
      <c r="P17" s="3">
        <v>640</v>
      </c>
      <c r="Q17" s="5">
        <v>960000</v>
      </c>
      <c r="R17" t="s">
        <v>56</v>
      </c>
      <c r="S17" s="3">
        <v>1650</v>
      </c>
      <c r="T17" s="3">
        <v>640</v>
      </c>
      <c r="U17" s="5">
        <v>1056000</v>
      </c>
      <c r="V17" s="4" t="s">
        <v>69</v>
      </c>
      <c r="W17" s="3"/>
      <c r="X17" s="3"/>
      <c r="Y17" s="5"/>
    </row>
    <row r="18" spans="1:26" ht="30" x14ac:dyDescent="0.25">
      <c r="A18" t="s">
        <v>70</v>
      </c>
      <c r="B18" t="s">
        <v>25</v>
      </c>
      <c r="C18" t="s">
        <v>71</v>
      </c>
      <c r="D18" t="s">
        <v>72</v>
      </c>
      <c r="E18">
        <v>100</v>
      </c>
      <c r="F18" t="s">
        <v>28</v>
      </c>
      <c r="G18" s="3">
        <v>950</v>
      </c>
      <c r="H18" s="3">
        <v>100</v>
      </c>
      <c r="I18" s="5">
        <v>95000</v>
      </c>
      <c r="J18" t="s">
        <v>73</v>
      </c>
      <c r="K18" s="3">
        <v>1300</v>
      </c>
      <c r="L18" s="3">
        <v>100</v>
      </c>
      <c r="M18" s="5">
        <v>130000</v>
      </c>
      <c r="N18" t="s">
        <v>74</v>
      </c>
      <c r="O18" s="3">
        <v>1200</v>
      </c>
      <c r="P18" s="3">
        <v>100</v>
      </c>
      <c r="Q18" s="5">
        <v>120000</v>
      </c>
      <c r="R18" t="s">
        <v>56</v>
      </c>
      <c r="S18" s="3">
        <v>1250</v>
      </c>
      <c r="T18" s="3">
        <v>100</v>
      </c>
      <c r="U18" s="5">
        <v>125000</v>
      </c>
      <c r="V18" s="4" t="s">
        <v>75</v>
      </c>
      <c r="W18" s="3"/>
      <c r="X18" s="3"/>
      <c r="Y18" s="5"/>
    </row>
    <row r="19" spans="1:26" ht="30" x14ac:dyDescent="0.25">
      <c r="A19" t="s">
        <v>76</v>
      </c>
      <c r="B19" t="s">
        <v>25</v>
      </c>
      <c r="C19" t="s">
        <v>77</v>
      </c>
      <c r="D19" t="s">
        <v>78</v>
      </c>
      <c r="E19">
        <v>300</v>
      </c>
      <c r="F19" t="s">
        <v>28</v>
      </c>
      <c r="G19" s="3">
        <v>840</v>
      </c>
      <c r="H19" s="3">
        <v>300</v>
      </c>
      <c r="I19" s="5">
        <v>252000</v>
      </c>
      <c r="J19" t="s">
        <v>79</v>
      </c>
      <c r="K19" s="3">
        <v>980</v>
      </c>
      <c r="L19" s="3">
        <v>300</v>
      </c>
      <c r="M19" s="5">
        <v>294000</v>
      </c>
      <c r="N19" t="s">
        <v>80</v>
      </c>
      <c r="O19" s="3">
        <v>1050</v>
      </c>
      <c r="P19" s="3">
        <v>300</v>
      </c>
      <c r="Q19" s="5">
        <v>315000</v>
      </c>
      <c r="R19" t="s">
        <v>56</v>
      </c>
      <c r="S19" s="3">
        <v>1150</v>
      </c>
      <c r="T19" s="3">
        <v>300</v>
      </c>
      <c r="U19" s="5">
        <v>345000</v>
      </c>
      <c r="V19" s="4" t="s">
        <v>81</v>
      </c>
      <c r="W19" s="3"/>
      <c r="X19" s="3"/>
      <c r="Y19" s="5"/>
    </row>
    <row r="20" spans="1:26" ht="30" x14ac:dyDescent="0.25">
      <c r="A20" t="s">
        <v>82</v>
      </c>
      <c r="B20" t="s">
        <v>25</v>
      </c>
      <c r="C20" t="s">
        <v>83</v>
      </c>
      <c r="D20" t="s">
        <v>84</v>
      </c>
      <c r="E20">
        <v>50</v>
      </c>
      <c r="F20" t="s">
        <v>28</v>
      </c>
      <c r="G20" s="3">
        <v>1380</v>
      </c>
      <c r="H20" s="3">
        <v>50</v>
      </c>
      <c r="I20" s="5">
        <v>69000</v>
      </c>
      <c r="J20" t="s">
        <v>85</v>
      </c>
      <c r="K20" s="3">
        <v>1248</v>
      </c>
      <c r="L20" s="3">
        <v>50</v>
      </c>
      <c r="M20" s="5">
        <v>62400</v>
      </c>
      <c r="N20" s="4" t="s">
        <v>86</v>
      </c>
      <c r="O20" s="3"/>
      <c r="P20" s="3"/>
      <c r="Q20" s="5"/>
      <c r="S20" s="3">
        <v>2250</v>
      </c>
      <c r="T20" s="3">
        <v>50</v>
      </c>
      <c r="U20" s="5">
        <v>112500</v>
      </c>
      <c r="V20" s="4" t="s">
        <v>87</v>
      </c>
      <c r="W20" s="3"/>
      <c r="X20" s="3"/>
      <c r="Y20" s="5"/>
    </row>
    <row r="21" spans="1:26" ht="30" x14ac:dyDescent="0.25">
      <c r="A21" t="s">
        <v>88</v>
      </c>
      <c r="B21" t="s">
        <v>25</v>
      </c>
      <c r="C21" t="s">
        <v>89</v>
      </c>
      <c r="D21" s="4" t="s">
        <v>90</v>
      </c>
      <c r="E21">
        <v>100</v>
      </c>
      <c r="F21" t="s">
        <v>28</v>
      </c>
      <c r="G21" s="3">
        <v>3550</v>
      </c>
      <c r="H21" s="3">
        <v>100</v>
      </c>
      <c r="I21" s="5">
        <v>355000</v>
      </c>
      <c r="J21" s="4" t="s">
        <v>91</v>
      </c>
      <c r="K21" s="3">
        <v>3840</v>
      </c>
      <c r="L21" s="3">
        <v>100</v>
      </c>
      <c r="M21" s="5">
        <v>384000</v>
      </c>
      <c r="N21" s="4" t="s">
        <v>92</v>
      </c>
      <c r="O21" s="3"/>
      <c r="P21" s="3"/>
      <c r="Q21" s="5"/>
      <c r="S21" s="3"/>
      <c r="T21" s="3"/>
      <c r="U21" s="5"/>
      <c r="W21" s="3"/>
      <c r="X21" s="3"/>
      <c r="Y21" s="5"/>
    </row>
    <row r="22" spans="1:26" ht="30" x14ac:dyDescent="0.25">
      <c r="A22" t="s">
        <v>93</v>
      </c>
      <c r="B22" t="s">
        <v>25</v>
      </c>
      <c r="C22" t="s">
        <v>94</v>
      </c>
      <c r="D22" s="4" t="s">
        <v>95</v>
      </c>
      <c r="E22">
        <v>200</v>
      </c>
      <c r="F22" t="s">
        <v>28</v>
      </c>
      <c r="G22" s="3">
        <v>80</v>
      </c>
      <c r="H22" s="3">
        <v>200</v>
      </c>
      <c r="I22" s="5">
        <v>16000</v>
      </c>
      <c r="J22" t="s">
        <v>96</v>
      </c>
      <c r="K22" s="3">
        <v>72</v>
      </c>
      <c r="L22" s="3">
        <v>200</v>
      </c>
      <c r="M22" s="5">
        <v>14400</v>
      </c>
      <c r="N22" s="4" t="s">
        <v>97</v>
      </c>
      <c r="O22" s="3"/>
      <c r="P22" s="3"/>
      <c r="Q22" s="5"/>
      <c r="S22" s="3"/>
      <c r="T22" s="3"/>
      <c r="U22" s="5"/>
      <c r="W22" s="3"/>
      <c r="X22" s="3"/>
      <c r="Y22" s="5"/>
    </row>
    <row r="23" spans="1:26" ht="30" x14ac:dyDescent="0.25">
      <c r="A23" t="s">
        <v>98</v>
      </c>
      <c r="B23" t="s">
        <v>25</v>
      </c>
      <c r="C23" t="s">
        <v>99</v>
      </c>
      <c r="D23" s="4" t="s">
        <v>100</v>
      </c>
      <c r="E23">
        <v>40</v>
      </c>
      <c r="F23" t="s">
        <v>28</v>
      </c>
      <c r="G23" s="3">
        <v>3550</v>
      </c>
      <c r="H23" s="3">
        <v>40</v>
      </c>
      <c r="I23" s="5">
        <v>142000</v>
      </c>
      <c r="J23" t="s">
        <v>101</v>
      </c>
      <c r="K23" s="3">
        <v>3040</v>
      </c>
      <c r="L23" s="3">
        <v>40</v>
      </c>
      <c r="M23" s="5">
        <v>121600</v>
      </c>
      <c r="N23" s="4" t="s">
        <v>102</v>
      </c>
      <c r="O23" s="3"/>
      <c r="P23" s="3"/>
      <c r="Q23" s="5"/>
      <c r="S23" s="3"/>
      <c r="T23" s="3"/>
      <c r="U23" s="5"/>
      <c r="W23" s="3"/>
      <c r="X23" s="3"/>
      <c r="Y23" s="5"/>
    </row>
    <row r="24" spans="1:26" ht="30" x14ac:dyDescent="0.25">
      <c r="A24" t="s">
        <v>103</v>
      </c>
      <c r="B24" t="s">
        <v>25</v>
      </c>
      <c r="C24" t="s">
        <v>104</v>
      </c>
      <c r="D24" s="4" t="s">
        <v>105</v>
      </c>
      <c r="E24">
        <v>60</v>
      </c>
      <c r="F24" t="s">
        <v>28</v>
      </c>
      <c r="G24" s="3">
        <v>80</v>
      </c>
      <c r="H24" s="3">
        <v>60</v>
      </c>
      <c r="I24" s="5">
        <v>4800</v>
      </c>
      <c r="J24" t="s">
        <v>106</v>
      </c>
      <c r="K24" s="3">
        <v>45</v>
      </c>
      <c r="L24" s="3">
        <v>60</v>
      </c>
      <c r="M24" s="5">
        <v>2700</v>
      </c>
      <c r="N24" s="4" t="s">
        <v>107</v>
      </c>
      <c r="O24" s="3"/>
      <c r="P24" s="3"/>
      <c r="Q24" s="5"/>
      <c r="S24" s="3"/>
      <c r="T24" s="3"/>
      <c r="U24" s="5"/>
      <c r="W24" s="3"/>
      <c r="X24" s="3"/>
      <c r="Y24" s="5"/>
    </row>
    <row r="25" spans="1:26" ht="30" x14ac:dyDescent="0.25">
      <c r="A25" t="s">
        <v>108</v>
      </c>
      <c r="B25" t="s">
        <v>25</v>
      </c>
      <c r="C25" t="s">
        <v>109</v>
      </c>
      <c r="D25" s="4" t="s">
        <v>110</v>
      </c>
      <c r="E25">
        <v>40</v>
      </c>
      <c r="F25" t="s">
        <v>28</v>
      </c>
      <c r="G25" s="3">
        <v>3550</v>
      </c>
      <c r="H25" s="3">
        <v>40</v>
      </c>
      <c r="I25" s="5">
        <v>142000</v>
      </c>
      <c r="J25" t="s">
        <v>111</v>
      </c>
      <c r="K25" s="3">
        <v>2880</v>
      </c>
      <c r="L25" s="3">
        <v>40</v>
      </c>
      <c r="M25" s="5">
        <v>115200</v>
      </c>
      <c r="N25" s="4" t="s">
        <v>112</v>
      </c>
      <c r="O25" s="3"/>
      <c r="P25" s="3"/>
      <c r="Q25" s="5"/>
      <c r="S25" s="3"/>
      <c r="T25" s="3"/>
      <c r="U25" s="5"/>
      <c r="W25" s="3"/>
      <c r="X25" s="3"/>
      <c r="Y25" s="5"/>
    </row>
    <row r="26" spans="1:26" ht="30" x14ac:dyDescent="0.25">
      <c r="A26" t="s">
        <v>113</v>
      </c>
      <c r="B26" t="s">
        <v>25</v>
      </c>
      <c r="C26" t="s">
        <v>114</v>
      </c>
      <c r="D26" s="4" t="s">
        <v>115</v>
      </c>
      <c r="E26">
        <v>130</v>
      </c>
      <c r="F26" t="s">
        <v>28</v>
      </c>
      <c r="G26" s="3">
        <v>660</v>
      </c>
      <c r="H26" s="3">
        <v>130</v>
      </c>
      <c r="I26" s="5">
        <v>85800</v>
      </c>
      <c r="J26" s="4" t="s">
        <v>116</v>
      </c>
      <c r="K26" s="3">
        <v>640</v>
      </c>
      <c r="L26" s="3">
        <v>130</v>
      </c>
      <c r="M26" s="5">
        <v>83200</v>
      </c>
      <c r="N26" s="4" t="s">
        <v>117</v>
      </c>
      <c r="O26" s="3"/>
      <c r="P26" s="3"/>
      <c r="Q26" s="5"/>
      <c r="S26" s="3"/>
      <c r="T26" s="3"/>
      <c r="U26" s="5"/>
      <c r="W26" s="3"/>
      <c r="X26" s="3"/>
      <c r="Y26" s="5"/>
    </row>
    <row r="27" spans="1:26" ht="30" x14ac:dyDescent="0.25">
      <c r="A27" t="s">
        <v>118</v>
      </c>
      <c r="B27" t="s">
        <v>25</v>
      </c>
      <c r="C27" t="s">
        <v>119</v>
      </c>
      <c r="D27" t="s">
        <v>120</v>
      </c>
      <c r="E27">
        <v>900</v>
      </c>
      <c r="F27" t="s">
        <v>28</v>
      </c>
      <c r="G27" s="3">
        <v>280</v>
      </c>
      <c r="H27" s="3">
        <v>900</v>
      </c>
      <c r="I27" s="5">
        <v>252000</v>
      </c>
      <c r="J27" t="s">
        <v>121</v>
      </c>
      <c r="K27" s="3"/>
      <c r="L27" s="3"/>
      <c r="M27" s="5"/>
      <c r="O27" s="3"/>
      <c r="P27" s="3"/>
      <c r="Q27" s="5"/>
      <c r="S27" s="3">
        <v>210</v>
      </c>
      <c r="T27" s="3">
        <v>900</v>
      </c>
      <c r="U27" s="5">
        <v>189000</v>
      </c>
      <c r="V27" s="4" t="s">
        <v>122</v>
      </c>
      <c r="W27" s="3">
        <v>380</v>
      </c>
      <c r="X27" s="3">
        <v>900</v>
      </c>
      <c r="Y27" s="5">
        <v>342000</v>
      </c>
      <c r="Z27" t="s">
        <v>123</v>
      </c>
    </row>
    <row r="28" spans="1:26" ht="30" x14ac:dyDescent="0.25">
      <c r="A28" t="s">
        <v>124</v>
      </c>
      <c r="B28" t="s">
        <v>25</v>
      </c>
      <c r="C28" t="s">
        <v>125</v>
      </c>
      <c r="D28" t="s">
        <v>126</v>
      </c>
      <c r="E28">
        <v>150</v>
      </c>
      <c r="F28" t="s">
        <v>28</v>
      </c>
      <c r="G28" s="3">
        <v>280</v>
      </c>
      <c r="H28" s="3">
        <v>150</v>
      </c>
      <c r="I28" s="5">
        <v>42000</v>
      </c>
      <c r="J28" t="s">
        <v>127</v>
      </c>
      <c r="K28" s="3"/>
      <c r="L28" s="3"/>
      <c r="M28" s="5"/>
      <c r="O28" s="3"/>
      <c r="P28" s="3"/>
      <c r="Q28" s="5"/>
      <c r="S28" s="3">
        <v>210</v>
      </c>
      <c r="T28" s="3">
        <v>150</v>
      </c>
      <c r="U28" s="5">
        <v>31500</v>
      </c>
      <c r="V28" s="4" t="s">
        <v>128</v>
      </c>
      <c r="W28" s="3"/>
      <c r="X28" s="3"/>
      <c r="Y28" s="5"/>
    </row>
    <row r="29" spans="1:26" ht="30" x14ac:dyDescent="0.25">
      <c r="A29" t="s">
        <v>129</v>
      </c>
      <c r="B29" t="s">
        <v>25</v>
      </c>
      <c r="C29" t="s">
        <v>130</v>
      </c>
      <c r="D29" s="4" t="s">
        <v>131</v>
      </c>
      <c r="E29">
        <v>200</v>
      </c>
      <c r="F29" t="s">
        <v>28</v>
      </c>
      <c r="G29" s="3">
        <v>195</v>
      </c>
      <c r="H29" s="3">
        <v>200</v>
      </c>
      <c r="I29" s="5">
        <v>39000</v>
      </c>
      <c r="J29" s="4" t="s">
        <v>132</v>
      </c>
      <c r="K29" s="3">
        <v>318</v>
      </c>
      <c r="L29" s="3">
        <v>200</v>
      </c>
      <c r="M29" s="5">
        <v>63600</v>
      </c>
      <c r="N29" s="4" t="s">
        <v>133</v>
      </c>
      <c r="O29" s="3"/>
      <c r="P29" s="3"/>
      <c r="Q29" s="5"/>
      <c r="S29" s="3"/>
      <c r="T29" s="3"/>
      <c r="U29" s="5"/>
      <c r="W29" s="3"/>
      <c r="X29" s="3"/>
      <c r="Y29" s="5"/>
    </row>
    <row r="30" spans="1:26" ht="45" x14ac:dyDescent="0.25">
      <c r="A30" t="s">
        <v>134</v>
      </c>
      <c r="B30" t="s">
        <v>25</v>
      </c>
      <c r="C30" t="s">
        <v>135</v>
      </c>
      <c r="D30" s="4" t="s">
        <v>136</v>
      </c>
      <c r="E30">
        <v>150</v>
      </c>
      <c r="F30" t="s">
        <v>28</v>
      </c>
      <c r="G30" s="3"/>
      <c r="H30" s="3"/>
      <c r="I30" s="5"/>
      <c r="K30" s="3">
        <v>1056</v>
      </c>
      <c r="L30" s="3">
        <v>150</v>
      </c>
      <c r="M30" s="5">
        <v>158400</v>
      </c>
      <c r="N30" s="4" t="s">
        <v>137</v>
      </c>
      <c r="O30" s="3"/>
      <c r="P30" s="3"/>
      <c r="Q30" s="5"/>
      <c r="S30" s="3"/>
      <c r="T30" s="3"/>
      <c r="U30" s="5"/>
      <c r="W30" s="3"/>
      <c r="X30" s="3"/>
      <c r="Y30" s="5"/>
    </row>
    <row r="31" spans="1:26" ht="60" x14ac:dyDescent="0.25">
      <c r="A31" t="s">
        <v>138</v>
      </c>
      <c r="B31" t="s">
        <v>25</v>
      </c>
      <c r="C31" t="s">
        <v>139</v>
      </c>
      <c r="D31" s="4" t="s">
        <v>140</v>
      </c>
      <c r="E31">
        <v>200</v>
      </c>
      <c r="F31" t="s">
        <v>28</v>
      </c>
      <c r="G31" s="3">
        <v>950</v>
      </c>
      <c r="H31" s="3">
        <v>200</v>
      </c>
      <c r="I31" s="5">
        <v>190000</v>
      </c>
      <c r="J31" t="s">
        <v>141</v>
      </c>
      <c r="K31" s="3">
        <v>900</v>
      </c>
      <c r="L31" s="3">
        <v>200</v>
      </c>
      <c r="M31" s="5">
        <v>180000</v>
      </c>
      <c r="N31" s="4" t="s">
        <v>142</v>
      </c>
      <c r="O31" s="3"/>
      <c r="P31" s="3"/>
      <c r="Q31" s="5"/>
      <c r="S31" s="3">
        <v>1560</v>
      </c>
      <c r="T31" s="3">
        <v>200</v>
      </c>
      <c r="U31" s="5">
        <v>312000</v>
      </c>
      <c r="V31" s="4" t="s">
        <v>143</v>
      </c>
      <c r="W31" s="3"/>
      <c r="X31" s="3"/>
      <c r="Y31" s="5"/>
    </row>
    <row r="32" spans="1:26" ht="60" x14ac:dyDescent="0.25">
      <c r="A32" t="s">
        <v>144</v>
      </c>
      <c r="B32" t="s">
        <v>25</v>
      </c>
      <c r="C32" t="s">
        <v>145</v>
      </c>
      <c r="D32" s="4" t="s">
        <v>146</v>
      </c>
      <c r="E32">
        <v>90</v>
      </c>
      <c r="F32" t="s">
        <v>28</v>
      </c>
      <c r="G32" s="3">
        <v>5050</v>
      </c>
      <c r="H32" s="3">
        <v>90</v>
      </c>
      <c r="I32" s="5">
        <v>454500</v>
      </c>
      <c r="J32" t="s">
        <v>147</v>
      </c>
      <c r="K32" s="3">
        <v>4800</v>
      </c>
      <c r="L32" s="3">
        <v>90</v>
      </c>
      <c r="M32" s="5">
        <v>432000</v>
      </c>
      <c r="N32" s="4" t="s">
        <v>148</v>
      </c>
      <c r="O32" s="3"/>
      <c r="P32" s="3"/>
      <c r="Q32" s="5"/>
      <c r="S32" s="3"/>
      <c r="T32" s="3"/>
      <c r="U32" s="5"/>
      <c r="W32" s="3"/>
      <c r="X32" s="3"/>
      <c r="Y32" s="5"/>
    </row>
    <row r="33" spans="1:25" ht="60" x14ac:dyDescent="0.25">
      <c r="A33" t="s">
        <v>149</v>
      </c>
      <c r="B33" t="s">
        <v>25</v>
      </c>
      <c r="C33" t="s">
        <v>150</v>
      </c>
      <c r="D33" s="4" t="s">
        <v>151</v>
      </c>
      <c r="E33">
        <v>20</v>
      </c>
      <c r="F33" t="s">
        <v>28</v>
      </c>
      <c r="G33" s="3">
        <v>4725</v>
      </c>
      <c r="H33" s="3">
        <v>20</v>
      </c>
      <c r="I33" s="5">
        <v>94500</v>
      </c>
      <c r="J33" t="s">
        <v>152</v>
      </c>
      <c r="K33" s="3">
        <v>4800</v>
      </c>
      <c r="L33" s="3">
        <v>20</v>
      </c>
      <c r="M33" s="5">
        <v>96000</v>
      </c>
      <c r="N33" s="4" t="s">
        <v>153</v>
      </c>
      <c r="O33" s="3"/>
      <c r="P33" s="3"/>
      <c r="Q33" s="5"/>
      <c r="S33" s="3">
        <v>1750</v>
      </c>
      <c r="T33" s="3">
        <v>20</v>
      </c>
      <c r="U33" s="5">
        <v>35000</v>
      </c>
      <c r="V33" s="4" t="s">
        <v>154</v>
      </c>
      <c r="W33" s="3"/>
      <c r="X33" s="3"/>
      <c r="Y33" s="5"/>
    </row>
    <row r="34" spans="1:25" ht="30" x14ac:dyDescent="0.25">
      <c r="A34" t="s">
        <v>155</v>
      </c>
      <c r="B34" t="s">
        <v>25</v>
      </c>
      <c r="C34" t="s">
        <v>156</v>
      </c>
      <c r="D34" t="s">
        <v>157</v>
      </c>
      <c r="E34">
        <v>200</v>
      </c>
      <c r="F34" t="s">
        <v>28</v>
      </c>
      <c r="G34" s="3">
        <v>110</v>
      </c>
      <c r="H34" s="3">
        <v>200</v>
      </c>
      <c r="I34" s="5">
        <v>22000</v>
      </c>
      <c r="J34" t="s">
        <v>158</v>
      </c>
      <c r="K34" s="3">
        <v>172.5</v>
      </c>
      <c r="L34" s="3">
        <v>200</v>
      </c>
      <c r="M34" s="5">
        <v>34500</v>
      </c>
      <c r="N34" s="4" t="s">
        <v>159</v>
      </c>
      <c r="O34" s="3"/>
      <c r="P34" s="3"/>
      <c r="Q34" s="5"/>
      <c r="S34" s="3"/>
      <c r="T34" s="3"/>
      <c r="U34" s="5"/>
      <c r="W34" s="3"/>
      <c r="X34" s="3"/>
      <c r="Y34" s="5"/>
    </row>
    <row r="35" spans="1:25" ht="30" x14ac:dyDescent="0.25">
      <c r="A35" t="s">
        <v>160</v>
      </c>
      <c r="B35" t="s">
        <v>25</v>
      </c>
      <c r="C35" t="s">
        <v>161</v>
      </c>
      <c r="D35" t="s">
        <v>162</v>
      </c>
      <c r="E35">
        <v>150</v>
      </c>
      <c r="F35" t="s">
        <v>28</v>
      </c>
      <c r="G35" s="3">
        <v>163</v>
      </c>
      <c r="H35" s="3">
        <v>150</v>
      </c>
      <c r="I35" s="5">
        <v>24450</v>
      </c>
      <c r="J35" t="s">
        <v>163</v>
      </c>
      <c r="K35" s="3">
        <v>240</v>
      </c>
      <c r="L35" s="3">
        <v>150</v>
      </c>
      <c r="M35" s="5">
        <v>36000</v>
      </c>
      <c r="N35" s="4" t="s">
        <v>164</v>
      </c>
      <c r="O35" s="3"/>
      <c r="P35" s="3"/>
      <c r="Q35" s="5"/>
      <c r="S35" s="3"/>
      <c r="T35" s="3"/>
      <c r="U35" s="5"/>
      <c r="W35" s="3"/>
      <c r="X35" s="3"/>
      <c r="Y35" s="5"/>
    </row>
    <row r="36" spans="1:25" ht="30" x14ac:dyDescent="0.25">
      <c r="A36" t="s">
        <v>165</v>
      </c>
      <c r="B36" t="s">
        <v>25</v>
      </c>
      <c r="C36" t="s">
        <v>166</v>
      </c>
      <c r="D36" s="4" t="s">
        <v>167</v>
      </c>
      <c r="E36">
        <v>100</v>
      </c>
      <c r="F36" t="s">
        <v>28</v>
      </c>
      <c r="G36" s="3">
        <v>90</v>
      </c>
      <c r="H36" s="3">
        <v>100</v>
      </c>
      <c r="I36" s="5">
        <v>9000</v>
      </c>
      <c r="J36" t="s">
        <v>168</v>
      </c>
      <c r="K36" s="3">
        <v>960</v>
      </c>
      <c r="L36" s="3">
        <v>100</v>
      </c>
      <c r="M36" s="5">
        <v>96000</v>
      </c>
      <c r="N36" t="s">
        <v>169</v>
      </c>
      <c r="O36" s="3"/>
      <c r="P36" s="3"/>
      <c r="Q36" s="5"/>
      <c r="S36" s="3"/>
      <c r="T36" s="3"/>
      <c r="U36" s="5"/>
      <c r="W36" s="3"/>
      <c r="X36" s="3"/>
      <c r="Y36" s="5"/>
    </row>
    <row r="37" spans="1:25" ht="30" x14ac:dyDescent="0.25">
      <c r="A37" t="s">
        <v>170</v>
      </c>
      <c r="B37" t="s">
        <v>25</v>
      </c>
      <c r="C37" t="s">
        <v>171</v>
      </c>
      <c r="D37" s="4" t="s">
        <v>172</v>
      </c>
      <c r="E37">
        <v>1000</v>
      </c>
      <c r="F37" t="s">
        <v>28</v>
      </c>
      <c r="G37" s="3">
        <v>130</v>
      </c>
      <c r="H37" s="3">
        <v>1000</v>
      </c>
      <c r="I37" s="5">
        <v>130000</v>
      </c>
      <c r="J37" t="s">
        <v>173</v>
      </c>
      <c r="K37" s="3">
        <v>96</v>
      </c>
      <c r="L37" s="3">
        <v>1000</v>
      </c>
      <c r="M37" s="5">
        <v>96000</v>
      </c>
      <c r="N37" s="4" t="s">
        <v>174</v>
      </c>
      <c r="O37" s="3"/>
      <c r="P37" s="3"/>
      <c r="Q37" s="5"/>
      <c r="S37" s="3">
        <v>115</v>
      </c>
      <c r="T37" s="3">
        <v>1000</v>
      </c>
      <c r="U37" s="5">
        <v>115000</v>
      </c>
      <c r="V37" s="4" t="s">
        <v>175</v>
      </c>
      <c r="W37" s="3"/>
      <c r="X37" s="3"/>
      <c r="Y37" s="5"/>
    </row>
    <row r="38" spans="1:25" ht="45" x14ac:dyDescent="0.25">
      <c r="A38" t="s">
        <v>176</v>
      </c>
      <c r="B38" t="s">
        <v>25</v>
      </c>
      <c r="C38" t="s">
        <v>177</v>
      </c>
      <c r="D38" s="4" t="s">
        <v>178</v>
      </c>
      <c r="E38">
        <v>1200</v>
      </c>
      <c r="F38" t="s">
        <v>28</v>
      </c>
      <c r="G38" s="3">
        <v>95</v>
      </c>
      <c r="H38" s="3">
        <v>1200</v>
      </c>
      <c r="I38" s="5">
        <v>114000</v>
      </c>
      <c r="J38" t="s">
        <v>179</v>
      </c>
      <c r="K38" s="3">
        <v>68</v>
      </c>
      <c r="L38" s="3">
        <v>1200</v>
      </c>
      <c r="M38" s="5">
        <v>81600</v>
      </c>
      <c r="N38" s="4" t="s">
        <v>180</v>
      </c>
      <c r="O38" s="3"/>
      <c r="P38" s="3"/>
      <c r="Q38" s="5"/>
      <c r="S38" s="3">
        <v>95</v>
      </c>
      <c r="T38" s="3">
        <v>1200</v>
      </c>
      <c r="U38" s="5">
        <v>114000</v>
      </c>
      <c r="V38" s="4" t="s">
        <v>181</v>
      </c>
      <c r="W38" s="3"/>
      <c r="X38" s="3"/>
      <c r="Y38" s="5"/>
    </row>
    <row r="39" spans="1:25" ht="30" x14ac:dyDescent="0.25">
      <c r="A39" t="s">
        <v>182</v>
      </c>
      <c r="B39" t="s">
        <v>25</v>
      </c>
      <c r="C39" t="s">
        <v>183</v>
      </c>
      <c r="D39" s="4" t="s">
        <v>184</v>
      </c>
      <c r="E39">
        <v>800</v>
      </c>
      <c r="F39" t="s">
        <v>28</v>
      </c>
      <c r="G39" s="3">
        <v>105</v>
      </c>
      <c r="H39" s="3">
        <v>800</v>
      </c>
      <c r="I39" s="5">
        <v>84000</v>
      </c>
      <c r="J39" t="s">
        <v>185</v>
      </c>
      <c r="K39" s="3">
        <v>65</v>
      </c>
      <c r="L39" s="3">
        <v>800</v>
      </c>
      <c r="M39" s="5">
        <v>52000</v>
      </c>
      <c r="N39" t="s">
        <v>186</v>
      </c>
      <c r="O39" s="3"/>
      <c r="P39" s="3"/>
      <c r="Q39" s="5"/>
      <c r="S39" s="3"/>
      <c r="T39" s="3"/>
      <c r="U39" s="5"/>
      <c r="W39" s="3"/>
      <c r="X39" s="3"/>
      <c r="Y39" s="5"/>
    </row>
    <row r="40" spans="1:25" ht="30" x14ac:dyDescent="0.25">
      <c r="A40" t="s">
        <v>187</v>
      </c>
      <c r="B40" t="s">
        <v>25</v>
      </c>
      <c r="C40" t="s">
        <v>188</v>
      </c>
      <c r="D40" s="4" t="s">
        <v>189</v>
      </c>
      <c r="E40">
        <v>50</v>
      </c>
      <c r="F40" t="s">
        <v>28</v>
      </c>
      <c r="G40" s="3">
        <v>240</v>
      </c>
      <c r="H40" s="3">
        <v>50</v>
      </c>
      <c r="I40" s="5">
        <v>12000</v>
      </c>
      <c r="J40" t="s">
        <v>190</v>
      </c>
      <c r="K40" s="3">
        <v>240</v>
      </c>
      <c r="L40" s="3">
        <v>50</v>
      </c>
      <c r="M40" s="5">
        <v>12000</v>
      </c>
      <c r="N40" t="s">
        <v>191</v>
      </c>
      <c r="O40" s="3"/>
      <c r="P40" s="3"/>
      <c r="Q40" s="5"/>
      <c r="S40" s="3"/>
      <c r="T40" s="3"/>
      <c r="U40" s="5"/>
      <c r="W40" s="3"/>
      <c r="X40" s="3"/>
      <c r="Y40" s="5"/>
    </row>
    <row r="41" spans="1:25" ht="30" x14ac:dyDescent="0.25">
      <c r="A41" t="s">
        <v>192</v>
      </c>
      <c r="B41" t="s">
        <v>25</v>
      </c>
      <c r="C41" t="s">
        <v>193</v>
      </c>
      <c r="D41" s="4" t="s">
        <v>194</v>
      </c>
      <c r="E41">
        <v>5</v>
      </c>
      <c r="F41" t="s">
        <v>28</v>
      </c>
      <c r="G41" s="3">
        <v>1200</v>
      </c>
      <c r="H41" s="3">
        <v>5</v>
      </c>
      <c r="I41" s="5">
        <v>6000</v>
      </c>
      <c r="J41" t="s">
        <v>195</v>
      </c>
      <c r="K41" s="3">
        <v>800</v>
      </c>
      <c r="L41" s="3">
        <v>5</v>
      </c>
      <c r="M41" s="5">
        <v>4000</v>
      </c>
      <c r="N41" t="s">
        <v>196</v>
      </c>
      <c r="O41" s="3"/>
      <c r="P41" s="3"/>
      <c r="Q41" s="5"/>
      <c r="S41" s="3"/>
      <c r="T41" s="3"/>
      <c r="U41" s="5"/>
      <c r="W41" s="3"/>
      <c r="X41" s="3"/>
      <c r="Y41" s="5"/>
    </row>
    <row r="42" spans="1:25" ht="30" x14ac:dyDescent="0.25">
      <c r="A42" t="s">
        <v>197</v>
      </c>
      <c r="B42" t="s">
        <v>25</v>
      </c>
      <c r="C42" t="s">
        <v>198</v>
      </c>
      <c r="D42" s="4" t="s">
        <v>199</v>
      </c>
      <c r="E42">
        <v>50</v>
      </c>
      <c r="F42" t="s">
        <v>28</v>
      </c>
      <c r="G42" s="3">
        <v>200</v>
      </c>
      <c r="H42" s="3">
        <v>50</v>
      </c>
      <c r="I42" s="5">
        <v>10000</v>
      </c>
      <c r="J42" t="s">
        <v>200</v>
      </c>
      <c r="K42" s="3">
        <v>123</v>
      </c>
      <c r="L42" s="3">
        <v>50</v>
      </c>
      <c r="M42" s="5">
        <v>6150</v>
      </c>
      <c r="N42" t="s">
        <v>201</v>
      </c>
      <c r="O42" s="3"/>
      <c r="P42" s="3"/>
      <c r="Q42" s="5"/>
      <c r="S42" s="3"/>
      <c r="T42" s="3"/>
      <c r="U42" s="5"/>
      <c r="W42" s="3"/>
      <c r="X42" s="3"/>
      <c r="Y42" s="5"/>
    </row>
    <row r="43" spans="1:25" ht="30" x14ac:dyDescent="0.25">
      <c r="A43" t="s">
        <v>202</v>
      </c>
      <c r="B43" t="s">
        <v>25</v>
      </c>
      <c r="C43" t="s">
        <v>203</v>
      </c>
      <c r="D43" s="4" t="s">
        <v>204</v>
      </c>
      <c r="E43">
        <v>90</v>
      </c>
      <c r="F43" t="s">
        <v>28</v>
      </c>
      <c r="G43" s="3">
        <v>1750</v>
      </c>
      <c r="H43" s="3">
        <v>90</v>
      </c>
      <c r="I43" s="5">
        <v>157500</v>
      </c>
      <c r="J43" t="s">
        <v>205</v>
      </c>
      <c r="K43" s="3">
        <v>1760</v>
      </c>
      <c r="L43" s="3">
        <v>90</v>
      </c>
      <c r="M43" s="5">
        <v>158400</v>
      </c>
      <c r="N43" t="s">
        <v>206</v>
      </c>
      <c r="O43" s="3"/>
      <c r="P43" s="3"/>
      <c r="Q43" s="5"/>
      <c r="S43" s="3"/>
      <c r="T43" s="3"/>
      <c r="U43" s="5"/>
      <c r="W43" s="3"/>
      <c r="X43" s="3"/>
      <c r="Y43" s="5"/>
    </row>
    <row r="44" spans="1:25" ht="30" x14ac:dyDescent="0.25">
      <c r="A44" t="s">
        <v>207</v>
      </c>
      <c r="B44" t="s">
        <v>25</v>
      </c>
      <c r="C44" t="s">
        <v>208</v>
      </c>
      <c r="D44" s="4" t="s">
        <v>209</v>
      </c>
      <c r="E44">
        <v>150</v>
      </c>
      <c r="F44" t="s">
        <v>28</v>
      </c>
      <c r="G44" s="3"/>
      <c r="H44" s="3"/>
      <c r="I44" s="5"/>
      <c r="K44" s="3">
        <v>50</v>
      </c>
      <c r="L44" s="3">
        <v>150</v>
      </c>
      <c r="M44" s="5">
        <v>7500</v>
      </c>
      <c r="N44" s="4" t="s">
        <v>210</v>
      </c>
      <c r="O44" s="3"/>
      <c r="P44" s="3"/>
      <c r="Q44" s="5"/>
      <c r="S44" s="3"/>
      <c r="T44" s="3"/>
      <c r="U44" s="5"/>
      <c r="W44" s="3"/>
      <c r="X44" s="3"/>
      <c r="Y44" s="5"/>
    </row>
    <row r="45" spans="1:25" ht="45" x14ac:dyDescent="0.25">
      <c r="A45" t="s">
        <v>211</v>
      </c>
      <c r="B45" t="s">
        <v>25</v>
      </c>
      <c r="C45" t="s">
        <v>212</v>
      </c>
      <c r="D45" s="4" t="s">
        <v>213</v>
      </c>
      <c r="E45">
        <v>60</v>
      </c>
      <c r="F45" t="s">
        <v>28</v>
      </c>
      <c r="G45" s="3">
        <v>85</v>
      </c>
      <c r="H45" s="3">
        <v>60</v>
      </c>
      <c r="I45" s="5">
        <v>5100</v>
      </c>
      <c r="J45" t="s">
        <v>214</v>
      </c>
      <c r="K45" s="3">
        <v>130</v>
      </c>
      <c r="L45" s="3">
        <v>60</v>
      </c>
      <c r="M45" s="5">
        <v>7800</v>
      </c>
      <c r="N45" s="4" t="s">
        <v>215</v>
      </c>
      <c r="O45" s="3"/>
      <c r="P45" s="3"/>
      <c r="Q45" s="5"/>
      <c r="S45" s="3"/>
      <c r="T45" s="3"/>
      <c r="U45" s="5"/>
      <c r="W45" s="3"/>
      <c r="X45" s="3"/>
      <c r="Y45" s="5"/>
    </row>
    <row r="46" spans="1:25" ht="30" x14ac:dyDescent="0.25">
      <c r="A46" t="s">
        <v>216</v>
      </c>
      <c r="B46" t="s">
        <v>25</v>
      </c>
      <c r="C46" t="s">
        <v>217</v>
      </c>
      <c r="D46" s="4" t="s">
        <v>218</v>
      </c>
      <c r="E46">
        <v>60</v>
      </c>
      <c r="F46" t="s">
        <v>28</v>
      </c>
      <c r="G46" s="3">
        <v>240</v>
      </c>
      <c r="H46" s="3">
        <v>60</v>
      </c>
      <c r="I46" s="5">
        <v>14400</v>
      </c>
      <c r="J46" t="s">
        <v>219</v>
      </c>
      <c r="K46" s="3">
        <v>130</v>
      </c>
      <c r="L46" s="3">
        <v>60</v>
      </c>
      <c r="M46" s="5">
        <v>7800</v>
      </c>
      <c r="N46" t="s">
        <v>220</v>
      </c>
      <c r="O46" s="3"/>
      <c r="P46" s="3"/>
      <c r="Q46" s="5"/>
      <c r="S46" s="3"/>
      <c r="T46" s="3"/>
      <c r="U46" s="5"/>
      <c r="W46" s="3"/>
      <c r="X46" s="3"/>
      <c r="Y46" s="5"/>
    </row>
    <row r="47" spans="1:25" ht="30" x14ac:dyDescent="0.25">
      <c r="A47" t="s">
        <v>221</v>
      </c>
      <c r="B47" t="s">
        <v>25</v>
      </c>
      <c r="C47" t="s">
        <v>222</v>
      </c>
      <c r="D47" s="4" t="s">
        <v>223</v>
      </c>
      <c r="E47">
        <v>50</v>
      </c>
      <c r="F47" t="s">
        <v>28</v>
      </c>
      <c r="G47" s="3"/>
      <c r="H47" s="3"/>
      <c r="I47" s="5"/>
      <c r="K47" s="3">
        <v>400</v>
      </c>
      <c r="L47" s="3">
        <v>50</v>
      </c>
      <c r="M47" s="5">
        <v>20000</v>
      </c>
      <c r="N47" t="s">
        <v>224</v>
      </c>
      <c r="O47" s="3"/>
      <c r="P47" s="3"/>
      <c r="Q47" s="5"/>
      <c r="S47" s="3"/>
      <c r="T47" s="3"/>
      <c r="U47" s="5"/>
      <c r="W47" s="3"/>
      <c r="X47" s="3"/>
      <c r="Y47" s="5"/>
    </row>
    <row r="48" spans="1:25" ht="45" x14ac:dyDescent="0.25">
      <c r="A48" t="s">
        <v>225</v>
      </c>
      <c r="B48" t="s">
        <v>25</v>
      </c>
      <c r="C48" t="s">
        <v>226</v>
      </c>
      <c r="D48" s="4" t="s">
        <v>227</v>
      </c>
      <c r="E48">
        <v>80</v>
      </c>
      <c r="F48" t="s">
        <v>28</v>
      </c>
      <c r="G48" s="3">
        <v>3850</v>
      </c>
      <c r="H48" s="3">
        <v>80</v>
      </c>
      <c r="I48" s="5">
        <v>308000</v>
      </c>
      <c r="J48" t="s">
        <v>228</v>
      </c>
      <c r="K48" s="3">
        <v>2560</v>
      </c>
      <c r="L48" s="3">
        <v>80</v>
      </c>
      <c r="M48" s="5">
        <v>204800</v>
      </c>
      <c r="N48" s="4" t="s">
        <v>229</v>
      </c>
      <c r="O48" s="3"/>
      <c r="P48" s="3"/>
      <c r="Q48" s="5"/>
      <c r="S48" s="3"/>
      <c r="T48" s="3"/>
      <c r="U48" s="5"/>
      <c r="W48" s="3"/>
      <c r="X48" s="3"/>
      <c r="Y48" s="5"/>
    </row>
    <row r="49" spans="1:25" ht="30" x14ac:dyDescent="0.25">
      <c r="A49" t="s">
        <v>230</v>
      </c>
      <c r="B49" t="s">
        <v>25</v>
      </c>
      <c r="C49" t="s">
        <v>231</v>
      </c>
      <c r="D49" s="4" t="s">
        <v>232</v>
      </c>
      <c r="E49">
        <v>80</v>
      </c>
      <c r="F49" t="s">
        <v>28</v>
      </c>
      <c r="G49" s="3">
        <v>1900</v>
      </c>
      <c r="H49" s="3">
        <v>80</v>
      </c>
      <c r="I49" s="5">
        <v>152000</v>
      </c>
      <c r="J49" t="s">
        <v>233</v>
      </c>
      <c r="K49" s="3">
        <v>1800</v>
      </c>
      <c r="L49" s="3">
        <v>80</v>
      </c>
      <c r="M49" s="5">
        <v>144000</v>
      </c>
      <c r="N49" t="s">
        <v>234</v>
      </c>
      <c r="O49" s="3"/>
      <c r="P49" s="3"/>
      <c r="Q49" s="5"/>
      <c r="S49" s="3"/>
      <c r="T49" s="3"/>
      <c r="U49" s="5"/>
      <c r="W49" s="3"/>
      <c r="X49" s="3"/>
      <c r="Y49" s="5"/>
    </row>
    <row r="50" spans="1:25" ht="30" x14ac:dyDescent="0.25">
      <c r="A50" t="s">
        <v>235</v>
      </c>
      <c r="B50" t="s">
        <v>25</v>
      </c>
      <c r="C50" t="s">
        <v>236</v>
      </c>
      <c r="D50" s="4" t="s">
        <v>237</v>
      </c>
      <c r="E50">
        <v>60</v>
      </c>
      <c r="F50" t="s">
        <v>28</v>
      </c>
      <c r="G50" s="3">
        <v>1600</v>
      </c>
      <c r="H50" s="3">
        <v>60</v>
      </c>
      <c r="I50" s="5">
        <v>96000</v>
      </c>
      <c r="J50" s="4" t="s">
        <v>238</v>
      </c>
      <c r="K50" s="3">
        <v>1600</v>
      </c>
      <c r="L50" s="3">
        <v>60</v>
      </c>
      <c r="M50" s="5">
        <v>96000</v>
      </c>
      <c r="N50" s="4" t="s">
        <v>239</v>
      </c>
      <c r="O50" s="3"/>
      <c r="P50" s="3"/>
      <c r="Q50" s="5"/>
      <c r="S50" s="3"/>
      <c r="T50" s="3"/>
      <c r="U50" s="5"/>
      <c r="W50" s="3"/>
      <c r="X50" s="3"/>
      <c r="Y50" s="5"/>
    </row>
    <row r="51" spans="1:25" ht="30" x14ac:dyDescent="0.25">
      <c r="A51" t="s">
        <v>240</v>
      </c>
      <c r="B51" t="s">
        <v>25</v>
      </c>
      <c r="C51" t="s">
        <v>241</v>
      </c>
      <c r="D51" s="4" t="s">
        <v>242</v>
      </c>
      <c r="E51">
        <v>50</v>
      </c>
      <c r="F51" t="s">
        <v>28</v>
      </c>
      <c r="G51" s="3">
        <v>2300</v>
      </c>
      <c r="H51" s="3">
        <v>50</v>
      </c>
      <c r="I51" s="5">
        <v>115000</v>
      </c>
      <c r="J51" t="s">
        <v>243</v>
      </c>
      <c r="K51" s="3">
        <v>1600</v>
      </c>
      <c r="L51" s="3">
        <v>50</v>
      </c>
      <c r="M51" s="5">
        <v>80000</v>
      </c>
      <c r="N51" t="s">
        <v>244</v>
      </c>
      <c r="O51" s="3"/>
      <c r="P51" s="3"/>
      <c r="Q51" s="5"/>
      <c r="S51" s="3"/>
      <c r="T51" s="3"/>
      <c r="U51" s="5"/>
      <c r="W51" s="3"/>
      <c r="X51" s="3"/>
      <c r="Y51" s="5"/>
    </row>
    <row r="52" spans="1:25" ht="45" x14ac:dyDescent="0.25">
      <c r="A52" t="s">
        <v>245</v>
      </c>
      <c r="B52" t="s">
        <v>25</v>
      </c>
      <c r="C52" t="s">
        <v>246</v>
      </c>
      <c r="D52" s="4" t="s">
        <v>247</v>
      </c>
      <c r="E52">
        <v>80</v>
      </c>
      <c r="F52" t="s">
        <v>28</v>
      </c>
      <c r="G52" s="3">
        <v>65</v>
      </c>
      <c r="H52" s="3">
        <v>80</v>
      </c>
      <c r="I52" s="5">
        <v>5200</v>
      </c>
      <c r="J52" s="4" t="s">
        <v>248</v>
      </c>
      <c r="K52" s="3">
        <v>95</v>
      </c>
      <c r="L52" s="3">
        <v>80</v>
      </c>
      <c r="M52" s="5">
        <v>7600</v>
      </c>
      <c r="N52" s="4" t="s">
        <v>249</v>
      </c>
      <c r="O52" s="3"/>
      <c r="P52" s="3"/>
      <c r="Q52" s="5"/>
      <c r="S52" s="3"/>
      <c r="T52" s="3"/>
      <c r="U52" s="5"/>
      <c r="W52" s="3"/>
      <c r="X52" s="3"/>
      <c r="Y52" s="5"/>
    </row>
    <row r="53" spans="1:25" ht="30" x14ac:dyDescent="0.25">
      <c r="A53" t="s">
        <v>250</v>
      </c>
      <c r="B53" t="s">
        <v>25</v>
      </c>
      <c r="C53" t="s">
        <v>251</v>
      </c>
      <c r="D53" s="4" t="s">
        <v>252</v>
      </c>
      <c r="E53">
        <v>80</v>
      </c>
      <c r="F53" t="s">
        <v>28</v>
      </c>
      <c r="G53" s="3">
        <v>65</v>
      </c>
      <c r="H53" s="3">
        <v>80</v>
      </c>
      <c r="I53" s="5">
        <v>5200</v>
      </c>
      <c r="J53" s="4" t="s">
        <v>253</v>
      </c>
      <c r="K53" s="3">
        <v>95</v>
      </c>
      <c r="L53" s="3">
        <v>80</v>
      </c>
      <c r="M53" s="5">
        <v>7600</v>
      </c>
      <c r="N53" s="4" t="s">
        <v>254</v>
      </c>
      <c r="O53" s="3"/>
      <c r="P53" s="3"/>
      <c r="Q53" s="5"/>
      <c r="S53" s="3"/>
      <c r="T53" s="3"/>
      <c r="U53" s="5"/>
      <c r="W53" s="3"/>
      <c r="X53" s="3"/>
      <c r="Y53" s="5"/>
    </row>
    <row r="54" spans="1:25" x14ac:dyDescent="0.25">
      <c r="C54" t="s">
        <v>255</v>
      </c>
      <c r="D54" s="4"/>
      <c r="G54" s="3"/>
      <c r="H54" s="3"/>
      <c r="I54" s="5">
        <f>SUBTOTAL(109,Table2[Total por renglón])</f>
        <v>8070460</v>
      </c>
      <c r="J54" s="4"/>
      <c r="K54" s="3"/>
      <c r="L54" s="3"/>
      <c r="M54" s="5">
        <f>SUBTOTAL(109,Table3[Total por renglón])</f>
        <v>7758770</v>
      </c>
      <c r="N54" s="4"/>
      <c r="O54" s="3"/>
      <c r="P54" s="3"/>
      <c r="Q54" s="5">
        <f>SUBTOTAL(109,Table4[Total por renglón])</f>
        <v>4575000</v>
      </c>
      <c r="S54" s="3"/>
      <c r="T54" s="3"/>
      <c r="U54" s="5">
        <f>SUBTOTAL(109,Table5[Total por renglón])</f>
        <v>3727900</v>
      </c>
      <c r="W54" s="3"/>
      <c r="X54" s="3"/>
      <c r="Y54" s="5">
        <f>SUBTOTAL(109,Table6[Total por renglón])</f>
        <v>342000</v>
      </c>
    </row>
  </sheetData>
  <mergeCells count="6">
    <mergeCell ref="A8:F8"/>
    <mergeCell ref="G8:J8"/>
    <mergeCell ref="K8:N8"/>
    <mergeCell ref="O8:R8"/>
    <mergeCell ref="S8:V8"/>
    <mergeCell ref="W8:Z8"/>
  </mergeCells>
  <pageMargins left="0.75" right="0.75" top="0.75" bottom="0.5" header="0.5" footer="0.75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2022-06-08T14:54:35Z</dcterms:created>
  <dcterms:modified xsi:type="dcterms:W3CDTF">2022-06-08T14:54:49Z</dcterms:modified>
</cp:coreProperties>
</file>