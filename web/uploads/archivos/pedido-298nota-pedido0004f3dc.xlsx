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Equipo de Oficina y Muebles\"/>
    </mc:Choice>
  </mc:AlternateContent>
  <xr:revisionPtr revIDLastSave="0" documentId="13_ncr:1_{E54E2037-43B0-4090-BE5E-12ECCA28241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1" hidden="1">NP!$A$11:$AB$11</definedName>
    <definedName name="_xlnm._FilterDatabase" localSheetId="0" hidden="1">'SAF 011 - NECESIDAD TRIMESTRAL'!$A$9:$J$47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4" i="1" l="1"/>
  <c r="C171" i="1"/>
  <c r="C168" i="1"/>
  <c r="C165" i="1"/>
  <c r="C162" i="1"/>
  <c r="C159" i="1"/>
  <c r="C156" i="1"/>
  <c r="C153" i="1"/>
  <c r="C150" i="1"/>
  <c r="C147" i="1"/>
  <c r="C144" i="1"/>
  <c r="C141" i="1"/>
  <c r="C138" i="1"/>
  <c r="C135" i="1"/>
  <c r="C132" i="1"/>
  <c r="C129" i="1"/>
  <c r="C126" i="1"/>
  <c r="C123" i="1"/>
  <c r="C120" i="1"/>
  <c r="C117" i="1"/>
  <c r="C114" i="1"/>
  <c r="C111" i="1"/>
  <c r="C108" i="1"/>
  <c r="C105" i="1"/>
  <c r="C102" i="1"/>
  <c r="C99" i="1"/>
  <c r="C96" i="1"/>
  <c r="C93" i="1"/>
  <c r="C90" i="1"/>
  <c r="C87" i="1"/>
  <c r="C84" i="1"/>
  <c r="C81" i="1"/>
  <c r="C78" i="1"/>
  <c r="C75" i="1"/>
  <c r="C72" i="1"/>
  <c r="C69" i="1"/>
  <c r="C66" i="1"/>
  <c r="A41" i="3"/>
  <c r="G7" i="3"/>
  <c r="G6" i="3"/>
  <c r="G5" i="3"/>
  <c r="G4" i="3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U18" i="2" l="1"/>
  <c r="U50" i="2" s="1"/>
  <c r="T42" i="2"/>
  <c r="T37" i="2"/>
  <c r="T19" i="2"/>
  <c r="T31" i="2"/>
  <c r="T39" i="2"/>
  <c r="T43" i="2"/>
  <c r="T24" i="2"/>
  <c r="T36" i="2"/>
  <c r="T48" i="2"/>
  <c r="R14" i="2"/>
  <c r="Q22" i="2"/>
  <c r="T25" i="2"/>
  <c r="T29" i="2"/>
  <c r="S45" i="2"/>
  <c r="Q27" i="2"/>
  <c r="T35" i="2"/>
  <c r="T15" i="2"/>
  <c r="T23" i="2"/>
  <c r="T26" i="2"/>
  <c r="T47" i="2"/>
  <c r="T32" i="2"/>
  <c r="T40" i="2"/>
  <c r="T44" i="2"/>
  <c r="J50" i="2"/>
  <c r="T13" i="2"/>
  <c r="T16" i="2"/>
  <c r="T17" i="2"/>
  <c r="T20" i="2"/>
  <c r="R21" i="2"/>
  <c r="T28" i="2"/>
  <c r="T30" i="2"/>
  <c r="T33" i="2"/>
  <c r="T34" i="2"/>
  <c r="T38" i="2"/>
  <c r="Q41" i="2"/>
  <c r="S46" i="2"/>
  <c r="I47" i="1"/>
  <c r="T12" i="2"/>
  <c r="T50" i="2" l="1"/>
  <c r="S50" i="2"/>
  <c r="R50" i="2"/>
  <c r="Q50" i="2"/>
  <c r="V50" i="2" l="1"/>
  <c r="Q38" i="3"/>
</calcChain>
</file>

<file path=xl/sharedStrings.xml><?xml version="1.0" encoding="utf-8"?>
<sst xmlns="http://schemas.openxmlformats.org/spreadsheetml/2006/main" count="425" uniqueCount="241">
  <si>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</si>
  <si>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</si>
  <si>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</si>
  <si>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</si>
  <si>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</si>
  <si>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</si>
  <si>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</si>
  <si>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</si>
  <si>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</si>
  <si>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</si>
  <si>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</si>
  <si>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</si>
  <si>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</si>
  <si>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</si>
  <si>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</si>
  <si>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</si>
  <si>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</si>
  <si>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EQUIPO DE OFICINA Y MUEBLES</t>
  </si>
  <si>
    <t>4.3.7</t>
  </si>
  <si>
    <t>UNIDAD</t>
  </si>
  <si>
    <t>4.3.7-1367.320</t>
  </si>
  <si>
    <t>ACONDICIONADORES DE AIRE; TIPO: SPLIT, FRIO: 4500 FRIG, CALOR: 4500 CAL, TENSION NOMINAL: 220 V, CRITERIO DE SEGURIDAD: SELLO DE SEGURIDAD, CONSUMO: MENOR A 5 KVA, CORRIENTE NOMINAL: 12 A, EFICIENCIA ENERGETICA: GRADO A</t>
  </si>
  <si>
    <t>AIRE ACONDICIONADOS SPLIT INVERTER</t>
  </si>
  <si>
    <t>2.2.9-702.3</t>
  </si>
  <si>
    <t>ARTICULOS DEL HOGAR</t>
  </si>
  <si>
    <t>2.2.9</t>
  </si>
  <si>
    <t>ALMOHADAS; DIMENSION: 80 X 35 Cm, CONSTRUCCION: ESPUMA</t>
  </si>
  <si>
    <t>4.3.7-2001.4</t>
  </si>
  <si>
    <t>BANQUETAS/TABURETES; MATERIAL ESTRUCTURA: 147 dBV/mPa , TERMINACION: TAPIZADO, DIMENSION: 45 X 35 Cm, RESPALDO: CON, GIRATORIA: SI, APOYABRAZO: SIN, PATAS: 5 RUEDAS, ALTURA: 42 A 54 Cm, MATERIAL: METAL</t>
  </si>
  <si>
    <t>BANQUETA METAL (c/respaldo, Giratoria, 5 patas y ruedas)</t>
  </si>
  <si>
    <t>4.3.7-2001.22</t>
  </si>
  <si>
    <t>BANQUETAS/TABURETES; TERMINACION: METAL, DIMENSION: 0,6 X 0,3, RESPALDO: SIN, GIRATORIA: NO, APOYABRAZO: SIN, PATAS: 4, ALTURA: REGULABLE, MATERIAL: METAL</t>
  </si>
  <si>
    <t>BANQUETA METAL (s/respaldo, Fija, 4 patas y sin ruedas)</t>
  </si>
  <si>
    <t>4.3.7-32.680</t>
  </si>
  <si>
    <t>BIBLIOTECAS; MATERIAL: MELAMINA, CANT. PUERTAS: 2, TERMINACION: LAMINADO, DIMENSION (ANCHO/PROF/ALTO): 120 X 40 X 180 Cm</t>
  </si>
  <si>
    <t>4.3.7-5605.1</t>
  </si>
  <si>
    <t>BIOMBOS; TIPO: PLEGABLE, DIMENSION: 2 X 2 M, USO: SANITARIO</t>
  </si>
  <si>
    <t>4.3.9-8811.3</t>
  </si>
  <si>
    <t>EQUIPOS</t>
  </si>
  <si>
    <t>CALOVENTILADORES; TIPO: AIRE, CAPACIDAD CALORICA: 1800 W, CAUDAL: CONTINUO, MOTOR: ELECTRICO</t>
  </si>
  <si>
    <t>CALOVENTOR (1800 W)</t>
  </si>
  <si>
    <t>4.3.7-2207.2</t>
  </si>
  <si>
    <t>CAMAS; LARGO X ANCHO: 190 X 80 Cm, MATERIAL: MADERA, TERMINACION: LUSTRE NATURAL, TIPO: 1PLAZA</t>
  </si>
  <si>
    <t>CAMA Madera (1 plaza)</t>
  </si>
  <si>
    <t>2.2.9-701.57</t>
  </si>
  <si>
    <t>COLCHONES; DIMENSION: 190 X 80 Cm, DENSIDAD: 25 kg/cm3, ESPESOR: 21 Cm, CONSTRUCCION: ESPUMA, TERMINACION: MATELASSEADO</t>
  </si>
  <si>
    <t>COLCHONES (1 plaza)</t>
  </si>
  <si>
    <t>INDUMENT TEXTIL Y CONFECCIONES</t>
  </si>
  <si>
    <t>2.2.3</t>
  </si>
  <si>
    <t>4.3.7-37.82</t>
  </si>
  <si>
    <t>ESCALERAS; MATERIAL: METAL, ESCALONES: 2, TRAMOS: UNICO, DESARROLLO: PLANO UNICO, SOPORTE: APOYO</t>
  </si>
  <si>
    <t>ESCALERA de Apoyo (2 peldaños)</t>
  </si>
  <si>
    <t>4.3.7-4502.8</t>
  </si>
  <si>
    <t>ESCRITORIOS ERGONOMICOS; MATERIAL ESTRUCTURA: AGLOMERADO, ALTURA: 75 Cm, CAJONERA: SI, CAJONES: 3, TIRANTE SOBRE CAJON: SIN, BANDEJA PORTATECLADO: CON, PASACABLES: CON, TERMINACION: MELAMINA, ANCHO MAYOR: 120 Cm, ANCHO MENOR: SIN VALOR, PROF. MAYOR: 70 Cm, PROF. MENOR: SIN VALOR, CANTIDAD DE CAJONES: 3, MATERIAL: AGLOMERADO, ANCHO MAXIMO: 120 Cm, PROFUNDIDAD MAXIMA: 70 Cm, DIMENSION (A/P/H): 120 X 70 X 75 Cm</t>
  </si>
  <si>
    <t>ESCRITORIO (Aglomerado, terminación melamina, c/3 cajones y bandeja portateclado)</t>
  </si>
  <si>
    <t>4.3.7-40.38</t>
  </si>
  <si>
    <t>ESCRITORIOS; CAJONERA: 2 IZQUIERDA, 2 DERECHA, TIRANTE SOBRE CAJON.: SIN, TERMINACION: REVESTIMIENTO MELAMINICO, DIM. DEL PLANO DE UNION: SIN VALOR, DIM. DEL PLANO DE APOYO: SIN VALOR, DIM. DE LAS PANTALLA DIVISORIA: SIN VALOR, DIM. DEL PLANO DE EXTENSION: SIN VALOR, BANDEJA PORTATECLADO: SIN VALOR, PASACABLES: SIN VALOR, MATERIAL ESTRUCTURA: AGLOMERADO, CAJONES: 4, CANTIDAD DE CAJONES: 4</t>
  </si>
  <si>
    <t>4.3.7-1404.22</t>
  </si>
  <si>
    <t>ESTANTERIAS; MATERIAL: METAL, DIMENSION: 205 X 60 Cm, ALTURA: 260 Cm, ESTANTES: 6 UN, CAPACIDAD POR ESTANTE: SIN VALOR</t>
  </si>
  <si>
    <t>2.2.3-920.42</t>
  </si>
  <si>
    <t>FRAZADAS; MATERIAL: POLAR, TAMAÑO: 1 1/2 PLAZA</t>
  </si>
  <si>
    <t>4.3.7-4500.4</t>
  </si>
  <si>
    <t>GAVETEROS; MATERIAL: METAL, ALTURA: 240 Cm, ANCHO: 110 Cm, PROFUNDIDAD: 36 Cm, TERMINACION: ESMALTE, CANTIDAD DE CAJONES: 32</t>
  </si>
  <si>
    <t>Incluye 3 separadores por cada cajon</t>
  </si>
  <si>
    <t>4.3.7-15.123</t>
  </si>
  <si>
    <t>HELADERAS; CAPACIDAD: 400 L, FRIO: CON FREEZER, CONSUMO: MENOR A 5 KVA, TENSION NOMINAL: 220 V, CRITERIO DE SEGURIDAD: SELLO DE SEGURIDAD, CORRIENTE NOMINAL: MENOR A 63 A, EFICIENCIA ENERGETICA: GRADO A</t>
  </si>
  <si>
    <t>4.3.7-96.28</t>
  </si>
  <si>
    <t>HORNOS MICROONDAS; CAPACIDAD: 30 L, DIMENSION (A/P/H): 520 X 510 X 500 mm, ACCESORIO: BANDEJA, MATERIAL INTERNO: CHAPA ESMALTADA, POTENCIA: 1000 W, TENSION NOMINAL: 220 V, CORRIENTE NOMINAL: 4,5 A, CONSUMO: 800 W, CRITERIO DE SEGURIDAD: SELLO DE SEGURIDAD, EFICIENCIA ENERGETICA: SIN VALOR</t>
  </si>
  <si>
    <t>4.3.7-2012.7</t>
  </si>
  <si>
    <t>LOCKERS; MATERIAL ESTRUCTURA: 147 dBV/mPa , DIMENSION: 182 X 78 X 52 Cm, CANTIDAD CASILLEROS: 6, ESTANTES: CON, PUERTAS: 6, CAJONES: SIN, CANTIDAD DE CAJONES: SIN, MATERIAL: METAL, CANT. PUERTAS: 6, CANTIDAD DE CASILLEROS: 6</t>
  </si>
  <si>
    <t>4.3.7-2208.50</t>
  </si>
  <si>
    <t>MESAS DE LUZ; ANCHO: 45 Cm, PROFUNDIDAD: 40 Cm, MATERIAL: METAL, TERMINACION: MELAMINA</t>
  </si>
  <si>
    <t>4.3.7-1406.271</t>
  </si>
  <si>
    <t>MESAS DE REUNIONES; SUPERFICIE APOYO: AGLOMERADO, TERMINACION: LAMINADO MELAMINICO, DIM. DEL PLANO DE APOYO: 240 X 110 Cm, BASE: AGLOMERADO, CAPACIDAD: 8 PERSONAS, MATERIAL: AGLOMERADO</t>
  </si>
  <si>
    <t>4.3.7-5446.1</t>
  </si>
  <si>
    <t>MESAS P/CAMAS; BASE: ACERO INOXIDABLE, ALTURA: REGULABLE, DIMENSION DE TAPA: 50 X 80 Cm, MATERIAL DE TAPA: LAMINADA EN MELAMINA, SUPERFICIE APOYO: 50 X 80 Cm</t>
  </si>
  <si>
    <t>4.3.7-1910.21</t>
  </si>
  <si>
    <t>MESAS P/IMPRESORAS; MATERIAL: MADERA, DIM. APROX. (ANCHO/PROF/ALTO): 250 X 45 X 85 Cm</t>
  </si>
  <si>
    <t>MESA P/ Impresora</t>
  </si>
  <si>
    <t>4.3.9-7935.2</t>
  </si>
  <si>
    <t>CARPINTERIA</t>
  </si>
  <si>
    <t>MESAS P/PLANCHADO; ESTRUCTURA: HIERRO REFORZADO, DIMENSION: 1 X 0,5 M, TERMINACION: TELA DE AMIANTO, MATERIAL ESTRUCTURA: HIERRO REFORZADO</t>
  </si>
  <si>
    <t>4.3.7-9066.3</t>
  </si>
  <si>
    <t>PAVAS ELECTRICAS; MATERIAL: ALUMINIO, CAPACIDAD: 1,7 L, POTENCIA: 2100 W, TENSION NOMINAL: 220 V, CORRIENTE NOMINAL: MENOR A 63 A, CONSUMO: MENOR A 5 KVA, CRITERIO DE SEGURIDAD: SELLO DE SEGURIDAD</t>
  </si>
  <si>
    <t>PAVA ELECTRICA (de Aluminio, Cap.1,7L)</t>
  </si>
  <si>
    <t>4.3.9-2489.10</t>
  </si>
  <si>
    <t>PLANCHAS; CONSUMO: 800 W, CRITERIO DE SEGURIDAD: SELLO DE SEGURIDAD, CORRIENTE NOMINAL: MENOR A 63 A, TENSION NOMINAL: 220 - 240 V, ACCESORIO: CON, TIPO: ELECTRICA</t>
  </si>
  <si>
    <t>4.3.7-1880.1</t>
  </si>
  <si>
    <t>RELOJES; TAMAÑO: 30 X 25 Cm, ALIMENTACION: ELECTRICA, MECANISMO: ANALOGICO, TIPO: DE PARED, MATERIAL: PLASTICO</t>
  </si>
  <si>
    <t>RELOJ ANALOGICO (de pared, material plástico)</t>
  </si>
  <si>
    <t>2.2.3-923.1</t>
  </si>
  <si>
    <t>SABANAS; TELA: PURO ALGODON, TAMAÑO: 1 PLAZA, CONJUNTO: SUPERIOR,INFERIOR Y FUNDA</t>
  </si>
  <si>
    <t>4.3.9-2655.27</t>
  </si>
  <si>
    <t>SECARROPAS/CENTRIFUGA; TIPO: ROTATIVO, SECADO: POR CALOR, CAPACIDAD: 10 Kg, TENSION NOMINAL: 220 V, CORRIENTE NOMINAL: 10 A, CRITERIO DE SEGURIDAD: SELLO DE SEGURIDAD, CONSUMO: 6 KW, EFICIENCIA ENERGETICA: GRADO B</t>
  </si>
  <si>
    <t>4.3.7-45.30</t>
  </si>
  <si>
    <t>SILLAS; MATERIAL ESTRUCTURA: METAL, PATAS: BASE CENTRAL,PATAS FIJAS, ALTURA: FIJA, GIRATORIA: NO, RESPALDO: FIJO, ASIENTO: SIN VALOR, TAPIZADO: CUERINA, APOYA BRAZO: SIN, CANTIDAD PATAS: 4, Nº PATAS: 4, APOYABRAZO: SIN</t>
  </si>
  <si>
    <t>4.3.7-2004.2</t>
  </si>
  <si>
    <t>SISTEMAS DE SILLAS; ALTURA FIJA - APOYABRAZO SIN - Nº DE ASIENTOS 4 - MATERIAL METAL</t>
  </si>
  <si>
    <t>ELEMENTOS DE LIMPIEZA</t>
  </si>
  <si>
    <t>2.9.1</t>
  </si>
  <si>
    <t>2.9.1-2661.1</t>
  </si>
  <si>
    <t>TACHOS DE RESIDUOS; MATERIAL: PLASTICO, SECCION: CIRCULAR, DIMENSION: DIAM. 30 X 80 Cm, TAPA: CON</t>
  </si>
  <si>
    <t>4.3.7-28.58</t>
  </si>
  <si>
    <t>VENTILADORES; TIPO: DE PIE, POTENCIA: 140 W, TENSION NOMINAL: 220 V, CORRIENTE NOMINAL: MENOR A 0,6 A, CONSUMO: MENOR A 5 KVA, CRITERIO DE SEGURIDAD: SELLO DE SEGURIDAD</t>
  </si>
  <si>
    <t>4.3.7-1832.16</t>
  </si>
  <si>
    <t>VITRINAS; ESTRUCTURA: MADERA, ALTURA: 170 Cm, ANCHO: 132 Cm, PROFUNDIDAD: 43 Cm, ESTANTE: CON, MATERIAL ESTRUCTURA: MADERA, PUERTA: 2 DE VIDRIO Y MADERA, PUERTAS: 2 DE VIDRIO Y MADERA</t>
  </si>
  <si>
    <t>TOTAL RUBRO MUEBLES Y ARTICULOS DEL HOGAR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</si>
  <si>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</si>
  <si>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</si>
  <si>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</si>
  <si>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</si>
  <si>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</si>
  <si>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</si>
  <si>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</si>
  <si>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ESPECIFICIDADES ITEM 1</t>
  </si>
  <si>
    <t>ESPECIFICIDADES ITEM 2</t>
  </si>
  <si>
    <t>ESPECIFICIDADES ITEM 17</t>
  </si>
  <si>
    <t>ESPECIFICIDADES ITEM 22</t>
  </si>
  <si>
    <t>ESPECIFICIDADES ITEM 26</t>
  </si>
  <si>
    <t>ESPECIFICIDADES ITEM 28</t>
  </si>
  <si>
    <t>ESPECIFICIDADES ITEM 37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</si>
  <si>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</si>
  <si>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</si>
  <si>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</si>
  <si>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</si>
  <si>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</si>
  <si>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</si>
  <si>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</si>
  <si>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</si>
  <si>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</si>
  <si>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</si>
  <si>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ADQUISICION DE ARTICULOS DE HOGAR Y MUEBLES CON DESTINO A HOSPITALES DE LA PROVINCIA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</si>
  <si>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</si>
  <si>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</si>
  <si>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</si>
  <si>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</si>
  <si>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</si>
  <si>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</si>
  <si>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</si>
  <si>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</si>
  <si>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</si>
  <si>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</si>
  <si>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</rPr>
      <t>AUTORIZACIÓN</t>
    </r>
    <r>
      <rPr>
        <b/>
        <u/>
        <sz val="10"/>
        <rFont val="Arial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</si>
  <si>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</si>
  <si>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</si>
  <si>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</si>
  <si>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</si>
  <si>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</si>
  <si>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</si>
  <si>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</si>
  <si>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</si>
  <si>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</si>
  <si>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</si>
  <si>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</si>
  <si>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</si>
  <si>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</si>
  <si>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</si>
  <si>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</si>
  <si>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</si>
  <si>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</si>
  <si>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</si>
  <si>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</si>
  <si>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CONFECCIONES TEXTILES</t>
  </si>
  <si>
    <t>OTROS NEP</t>
  </si>
  <si>
    <t>EQUIPOS DE OFICINA Y MUEBLES</t>
  </si>
  <si>
    <t>JUSTIFICACIÓN:</t>
  </si>
  <si>
    <t>Biombos sanitarios con estructura metálica protegida por pintura epoxi, con ruedas de plástico y cuerpo de tela refrozada</t>
  </si>
  <si>
    <t xml:space="preserve">Lavarropas de tecnología inverter, de marca reconocida, con carga frontal y capacidad de 10Kg de ropa, con eficiencia energática A o superior y tensión de alimentación: 220Vca, apto para lavar con agua a diferentes temperatura, tambor de acero inoxidable y filtros atrapa pelusas. La velocidad de centrifugado mínima debe ser 1200 R.P.M. Debe contar con bloqueo de seguridad de puerta. </t>
  </si>
  <si>
    <t>Ventilador de pie de 20", con barral y base metálicos, con regulador de inclinación, con 3 velocidades seleccionables por perilla, con motor de 140Watts, con 3 palas de aluminio reforzadas, con rejilla protectora metálica.</t>
  </si>
  <si>
    <t>4.3.7-1367.427</t>
  </si>
  <si>
    <t>ACONDICIONADORES DE AIRE; TIPO: SPLIT, FRIO: 3500 FRIG, CALOR: 3500 CAL, TENSION NOMINAL: 220 V, CRITERIO DE SEGURIDAD: SELLO DE SEGURIDAD, CONSUMO: 4000 W, CORRIENTE NOMINAL: 6 A, EFICIENCIA ENERGETICA: GRADO A</t>
  </si>
  <si>
    <t>4.3.9-2757.58</t>
  </si>
  <si>
    <t>LAVADORAS; USO: ROPA, CAPACIDAD: 10 Kg, VAPOR SOBRECALENTADO: SIN, BOMBA ADICIONAL: SIN, ALIMENTACION: 220 V, TENSION NOMINAL: 220/224 V, CORRIENTE NOMINAL: 10 A, CRITERIO DE SEGURIDAD: SELLO DE SEGURIDAD, CONSUMO: 6 KW, EFICIENCIA ENERGETICA: SIN VALOR</t>
  </si>
  <si>
    <r>
      <t>AIRE ACONDICIONADOS SPLIT INVERTER</t>
    </r>
    <r>
      <rPr>
        <sz val="8"/>
        <color rgb="FFFF0000"/>
        <rFont val="Calibri"/>
      </rPr>
      <t/>
    </r>
  </si>
  <si>
    <t>BIBLIOTECA (Melamina, 2 puertas) Estantes: 5</t>
  </si>
  <si>
    <t>FRAZADA de Polar (1 plaza y 1/2), color beige. Polar Reversible.</t>
  </si>
  <si>
    <t>LOCKER Metálicos: 6 casilleros c/estantes, dimensión: Alt. 182 x ancho 78x prof. 52 cm</t>
  </si>
  <si>
    <t>MESA DE LUZ (c/1 cajón y 1 puerta) Alt. 70 cm aprox.</t>
  </si>
  <si>
    <t>MESA DE REUNIONES Aglomerado, terminación melamina (Cap.8 personas)</t>
  </si>
  <si>
    <t>Mesa para planchado. Plegable, caño 3/4.</t>
  </si>
  <si>
    <t>PLANCHA 800W. A vapor, con suela antiadherente</t>
  </si>
  <si>
    <t>SABANA 1 Plaza c/funda, color blanco, medidas 080 X 190 X 21 APROX.</t>
  </si>
  <si>
    <t>2.9.1-2661.8</t>
  </si>
  <si>
    <t>TACHOS DE RESIDUOS; MATERIAL: PLASTICO, SECCION: CIRCULAR, DIMENSION: 119 L, TAPA: CON</t>
  </si>
  <si>
    <t>TACHO DE RESIDUOS (circular con tapa, 80x30cm)</t>
  </si>
  <si>
    <t>TACHO DE RESIDUOS (circular con tapa, capacidad: 119 litros)</t>
  </si>
  <si>
    <t>VITRINA (madera c/estantes y c/2puertas de vidrio, HxAxProf= 170x132x43cm) Estantes: 4, tipo de madera: aglomerado, terminación: melanima. Con 2 puertas vidriadas con llave</t>
  </si>
  <si>
    <t>veinte (20) dias habiles</t>
  </si>
  <si>
    <t>SECARROPA CENTRIFUGO (Alim.220V, Cap.10Kg, Efic.energ. B)</t>
  </si>
  <si>
    <t>TERCERO</t>
  </si>
  <si>
    <t>Garantia:</t>
  </si>
  <si>
    <t>un (1) año</t>
  </si>
  <si>
    <t>ESPECIFICIDADES ITEM 3</t>
  </si>
  <si>
    <t>ESPECIFICIDADES ITEM 4</t>
  </si>
  <si>
    <t>ESPECIFICIDADES ITEM 5</t>
  </si>
  <si>
    <t>ESPECIFICIDADES ITEM 6</t>
  </si>
  <si>
    <t>ESPECIFICIDADES ITEM 7</t>
  </si>
  <si>
    <t>ESPECIFICIDADES ITEM 8</t>
  </si>
  <si>
    <t>ESPECIFICIDADES ITEM 9</t>
  </si>
  <si>
    <t>ESPECIFICIDADES ITEM 10</t>
  </si>
  <si>
    <t>ESPECIFICIDADES ITEM 11</t>
  </si>
  <si>
    <t>ESPECIFICIDADES ITEM 12</t>
  </si>
  <si>
    <t>ESPECIFICIDADES ITEM 13</t>
  </si>
  <si>
    <t>ESPECIFICIDADES ITEM 14</t>
  </si>
  <si>
    <t>ESPECIFICIDADES ITEM 15</t>
  </si>
  <si>
    <t>ESPECIFICIDADES ITEM 16</t>
  </si>
  <si>
    <t>ESPECIFICIDADES ITEM 18</t>
  </si>
  <si>
    <t>ESPECIFICIDADES ITEM 19</t>
  </si>
  <si>
    <t>ESPECIFICIDADES ITEM 20</t>
  </si>
  <si>
    <t>ESPECIFICIDADES ITEM 21</t>
  </si>
  <si>
    <t>ESPECIFICIDADES ITEM 23</t>
  </si>
  <si>
    <t>ESPECIFICIDADES ITEM 24</t>
  </si>
  <si>
    <t>ESPECIFICIDADES ITEM 25</t>
  </si>
  <si>
    <t>ESPECIFICIDADES ITEM 27</t>
  </si>
  <si>
    <t>ESPECIFICIDADES ITEM 29</t>
  </si>
  <si>
    <t>ESPECIFICIDADES ITEM 30</t>
  </si>
  <si>
    <t>ESPECIFICIDADES ITEM 31</t>
  </si>
  <si>
    <t>ESPECIFICIDADES ITEM 32</t>
  </si>
  <si>
    <t>ESPECIFICIDADES ITEM 33</t>
  </si>
  <si>
    <t>ESPECIFICIDADES ITEM 34</t>
  </si>
  <si>
    <t>ESPECIFICIDADES ITEM 35</t>
  </si>
  <si>
    <t>ESPECIFICIDADES ITEM 36</t>
  </si>
  <si>
    <t xml:space="preserve">ACOLCHADO Cubrecama Nido de abeja (1, 1/2 plaza), color beige, material: 70% algodón - 30% poliester, uso: hospitalario. </t>
  </si>
  <si>
    <t>2.2.3-917.25</t>
  </si>
  <si>
    <t>CUBRECAMA; TIPO: ACOLCHADO, TAMAÑO: 1 1/2 PLAZA, MATERIAL: ALGODON Y POLIESTER</t>
  </si>
  <si>
    <t xml:space="preserve"> 07/2022</t>
  </si>
  <si>
    <t>Autorizo la realización de los  trámites correspondientes, a fin de proveer a  este Organismo los bienes, servicios o ejecución de obras públicas que se detallan en Nota  de Pedido N° 07/2022 , afectando la erogación resultante a los créditos presupuestarios aprobados a favor de esta Unidad Ejecutora, conforme al siguiente detalle:</t>
  </si>
  <si>
    <t>Algodón lavable. Color Blanco. Relleno: espuma viscoelástica</t>
  </si>
  <si>
    <t>4.3.3</t>
  </si>
  <si>
    <t>ESCRITORIO (Aglomerado, terminación melamina, c/4 cajones) con bandeja porta teclado corredizo y pasacables. Profundidad: 73 CM APROX. Largo: 150 CM APROX. Altura: 75 CM APROX</t>
  </si>
  <si>
    <t>ESTANTERIA METALICA (6 Estantes) (Alt.xAnc.xProf.=260x205x60cm) Estantes reforzados: capacidad de carga 35/40 kg por estante. Terminación con pintura epoxi.</t>
  </si>
  <si>
    <t xml:space="preserve">Heladera No Frost de 400 lts aproximadamente (incluyendo el freezer). Con estantes de vidrio templado, alarma de puerta abierta, filtro antibacterial y control de temperatura. </t>
  </si>
  <si>
    <t>MICROONDA Cap.30L, Potencia Max.: 1000W. Eficiencia Energetica: minima B.</t>
  </si>
  <si>
    <t>MESA P/CAMA; Rodante;  Altura regulable; Estructura de acero pintado/cromado. Cuatro ruedas dobles con frenos. Con ajuste manual. Regulable en altura: 72 a 115cm.</t>
  </si>
  <si>
    <t>SILLA METAL c/tapizado cuerina, c/respaldo, 4 patas; Medidas aprox: Altura del respaldo: 38 cm - Altura de la silla: 81 cm - Profundidad de la silla: 42 cm - Ancho de la silla: 53 cm - Ancho del asiento: 46 cm</t>
  </si>
  <si>
    <t>SIST.DE SILLAS (4 asientos). Estructura: metal.  Terminacion de la silla: plastico inyectado de alto impacto, color: negra, reforzada: si. Medidas aprox: MEDIDAS: • Largo total: 2,1 m; • Alto final: 81 cm; • Alto asiento: 45 cm; • Profundidad: 56 cm.</t>
  </si>
  <si>
    <t>3er TRIMESTRE 2022</t>
  </si>
  <si>
    <t>* ADJUNTAR FOLLETERIA, MANUALES Y/O CUALQUIER OTRA DOCUMENTACION QUE EL PROVEEDOR ESTIME NECESARIO PARA ACLARAR EL BIEN COTIZADO</t>
  </si>
  <si>
    <t>EQUIPOS SANITARIOS Y DE LABORATORIO</t>
  </si>
  <si>
    <t>Costo total estimado: PESOS CINCUENTA Y SIETE MILLONES CUATROCIENTOS DOCE MIL NOVECIENTOS NUEVE CON 20/100.-</t>
  </si>
  <si>
    <t>TOTAL DE PESOS: CINCUENTA Y SIETE MILLONES CUATROCIENTOS DOCE MIL NOVECIENTOS NUEVE CON 20/100.-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</si>
</sst>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45" x14ac:knownFonts="1">
    <font>
      <sz val="11"/>
      <color rgb="FF000000"/>
      <name val="Calibri"/>
    </font>
    <font>
      <sz val="10"/>
      <name val="Times New Roman"/>
    </font>
    <font>
      <b/>
      <sz val="14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0"/>
      <name val="Times New Roman"/>
    </font>
    <font>
      <b/>
      <sz val="11"/>
      <color rgb="FF000000"/>
      <name val="Calibri"/>
    </font>
    <font>
      <sz val="10"/>
      <name val="Calibri"/>
    </font>
    <font>
      <sz val="8"/>
      <name val="Calibri"/>
    </font>
    <font>
      <sz val="9"/>
      <name val="Calibri"/>
    </font>
    <font>
      <b/>
      <sz val="10"/>
      <color rgb="FFFF0000"/>
      <name val="Calibri"/>
    </font>
    <font>
      <sz val="10"/>
      <color rgb="FF000000"/>
      <name val="Calibri"/>
    </font>
    <font>
      <sz val="11"/>
      <name val="Calibri"/>
    </font>
    <font>
      <sz val="11"/>
      <name val="Calibri"/>
    </font>
    <font>
      <b/>
      <u/>
      <sz val="24"/>
      <name val="Times New Roman"/>
    </font>
    <font>
      <b/>
      <u/>
      <sz val="12"/>
      <name val="Times New Roman"/>
    </font>
    <font>
      <b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sz val="12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Arial"/>
    </font>
    <font>
      <b/>
      <sz val="12"/>
      <name val="Arial"/>
    </font>
    <font>
      <sz val="10"/>
      <name val="Arial"/>
    </font>
    <font>
      <sz val="11"/>
      <name val="Arial"/>
    </font>
    <font>
      <b/>
      <u/>
      <sz val="10"/>
      <name val="Arial"/>
    </font>
    <font>
      <b/>
      <sz val="10"/>
      <name val="Arial"/>
    </font>
    <font>
      <sz val="8"/>
      <color rgb="FFFF0000"/>
      <name val="Calibri"/>
    </font>
    <font>
      <sz val="10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2"/>
      <name val="Times New Roman"/>
      <family val="1"/>
    </font>
    <font>
      <sz val="11"/>
      <name val="Arial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000000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medium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165" fontId="10" fillId="0" borderId="3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 wrapText="1"/>
    </xf>
    <xf numFmtId="165" fontId="10" fillId="0" borderId="13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2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19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/>
    <xf numFmtId="165" fontId="15" fillId="0" borderId="25" xfId="0" applyNumberFormat="1" applyFont="1" applyBorder="1" applyAlignment="1">
      <alignment horizontal="right" vertical="center"/>
    </xf>
    <xf numFmtId="0" fontId="17" fillId="0" borderId="27" xfId="0" applyFont="1" applyBorder="1" applyAlignment="1">
      <alignment vertical="center"/>
    </xf>
    <xf numFmtId="0" fontId="18" fillId="0" borderId="28" xfId="0" applyFont="1" applyBorder="1" applyAlignment="1">
      <alignment horizontal="center" vertical="center"/>
    </xf>
    <xf numFmtId="0" fontId="19" fillId="0" borderId="28" xfId="0" applyFont="1" applyBorder="1" applyAlignment="1">
      <alignment vertical="center"/>
    </xf>
    <xf numFmtId="0" fontId="20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0" fontId="22" fillId="0" borderId="19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16" fillId="0" borderId="32" xfId="0" applyFont="1" applyBorder="1" applyAlignment="1">
      <alignment vertical="center"/>
    </xf>
    <xf numFmtId="165" fontId="16" fillId="0" borderId="32" xfId="0" applyNumberFormat="1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37" xfId="0" applyFont="1" applyBorder="1" applyAlignment="1">
      <alignment vertical="center"/>
    </xf>
    <xf numFmtId="0" fontId="23" fillId="0" borderId="18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165" fontId="16" fillId="0" borderId="0" xfId="0" applyNumberFormat="1" applyFont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25" fillId="0" borderId="4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 wrapText="1"/>
    </xf>
    <xf numFmtId="165" fontId="25" fillId="0" borderId="48" xfId="0" applyNumberFormat="1" applyFont="1" applyBorder="1" applyAlignment="1">
      <alignment horizontal="center" vertical="center" wrapText="1"/>
    </xf>
    <xf numFmtId="3" fontId="25" fillId="0" borderId="51" xfId="0" applyNumberFormat="1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center" vertical="center" wrapText="1"/>
    </xf>
    <xf numFmtId="3" fontId="25" fillId="0" borderId="53" xfId="0" applyNumberFormat="1" applyFont="1" applyBorder="1" applyAlignment="1">
      <alignment horizontal="center" vertical="center"/>
    </xf>
    <xf numFmtId="165" fontId="0" fillId="0" borderId="0" xfId="0" applyNumberFormat="1" applyFont="1"/>
    <xf numFmtId="0" fontId="0" fillId="0" borderId="0" xfId="0" applyFont="1" applyAlignment="1">
      <alignment horizontal="center"/>
    </xf>
    <xf numFmtId="3" fontId="26" fillId="0" borderId="16" xfId="0" applyNumberFormat="1" applyFont="1" applyBorder="1"/>
    <xf numFmtId="167" fontId="0" fillId="0" borderId="16" xfId="0" applyNumberFormat="1" applyFont="1" applyBorder="1" applyAlignment="1">
      <alignment horizontal="left"/>
    </xf>
    <xf numFmtId="0" fontId="0" fillId="0" borderId="16" xfId="0" applyFont="1" applyBorder="1"/>
    <xf numFmtId="0" fontId="0" fillId="0" borderId="18" xfId="0" applyFont="1" applyBorder="1"/>
    <xf numFmtId="0" fontId="0" fillId="0" borderId="0" xfId="0" applyFont="1" applyAlignment="1">
      <alignment horizontal="left"/>
    </xf>
    <xf numFmtId="167" fontId="0" fillId="0" borderId="0" xfId="0" applyNumberFormat="1" applyFont="1" applyAlignment="1">
      <alignment horizontal="left"/>
    </xf>
    <xf numFmtId="165" fontId="0" fillId="0" borderId="19" xfId="0" applyNumberFormat="1" applyFont="1" applyBorder="1"/>
    <xf numFmtId="0" fontId="0" fillId="0" borderId="27" xfId="0" applyFont="1" applyBorder="1"/>
    <xf numFmtId="0" fontId="0" fillId="0" borderId="28" xfId="0" applyFont="1" applyBorder="1"/>
    <xf numFmtId="0" fontId="0" fillId="0" borderId="28" xfId="0" applyFont="1" applyBorder="1" applyAlignment="1">
      <alignment horizontal="left"/>
    </xf>
    <xf numFmtId="165" fontId="0" fillId="0" borderId="55" xfId="0" applyNumberFormat="1" applyFont="1" applyBorder="1"/>
    <xf numFmtId="0" fontId="31" fillId="0" borderId="6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31" fillId="0" borderId="63" xfId="0" applyFont="1" applyBorder="1" applyAlignment="1">
      <alignment horizontal="left" vertical="center"/>
    </xf>
    <xf numFmtId="0" fontId="31" fillId="0" borderId="64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67" xfId="0" applyFont="1" applyBorder="1" applyAlignment="1">
      <alignment horizontal="center" vertical="center"/>
    </xf>
    <xf numFmtId="165" fontId="0" fillId="0" borderId="69" xfId="0" applyNumberFormat="1" applyFont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0" fillId="0" borderId="71" xfId="0" applyFont="1" applyBorder="1" applyAlignment="1">
      <alignment horizontal="center" vertical="center"/>
    </xf>
    <xf numFmtId="0" fontId="0" fillId="0" borderId="72" xfId="0" applyFont="1" applyBorder="1" applyAlignment="1">
      <alignment horizontal="center" vertical="center"/>
    </xf>
    <xf numFmtId="0" fontId="0" fillId="0" borderId="73" xfId="0" applyFont="1" applyBorder="1" applyAlignment="1">
      <alignment horizontal="center" vertical="center"/>
    </xf>
    <xf numFmtId="165" fontId="0" fillId="0" borderId="76" xfId="0" applyNumberFormat="1" applyFont="1" applyBorder="1" applyAlignment="1">
      <alignment horizontal="center" vertical="center"/>
    </xf>
    <xf numFmtId="0" fontId="29" fillId="0" borderId="70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/>
    </xf>
    <xf numFmtId="0" fontId="29" fillId="0" borderId="73" xfId="0" applyFont="1" applyBorder="1" applyAlignment="1">
      <alignment horizontal="center" vertical="center"/>
    </xf>
    <xf numFmtId="0" fontId="0" fillId="0" borderId="77" xfId="0" applyFont="1" applyBorder="1" applyAlignment="1">
      <alignment horizontal="center" vertical="center"/>
    </xf>
    <xf numFmtId="0" fontId="0" fillId="0" borderId="78" xfId="0" applyFont="1" applyBorder="1" applyAlignment="1">
      <alignment horizontal="center" vertical="center"/>
    </xf>
    <xf numFmtId="0" fontId="0" fillId="0" borderId="79" xfId="0" applyFont="1" applyBorder="1" applyAlignment="1">
      <alignment horizontal="center" vertical="center"/>
    </xf>
    <xf numFmtId="165" fontId="0" fillId="0" borderId="81" xfId="0" applyNumberFormat="1" applyFont="1" applyBorder="1" applyAlignment="1">
      <alignment horizontal="center" vertical="center"/>
    </xf>
    <xf numFmtId="165" fontId="31" fillId="0" borderId="83" xfId="0" applyNumberFormat="1" applyFont="1" applyBorder="1" applyAlignment="1">
      <alignment horizontal="center" vertical="center"/>
    </xf>
    <xf numFmtId="0" fontId="13" fillId="0" borderId="19" xfId="0" applyFont="1" applyBorder="1"/>
    <xf numFmtId="0" fontId="12" fillId="0" borderId="0" xfId="0" applyFont="1" applyAlignment="1">
      <alignment horizontal="center" vertical="center"/>
    </xf>
    <xf numFmtId="0" fontId="0" fillId="0" borderId="0" xfId="0" applyFont="1" applyAlignment="1"/>
    <xf numFmtId="0" fontId="36" fillId="0" borderId="0" xfId="0" applyFont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165" fontId="7" fillId="0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 wrapText="1"/>
    </xf>
    <xf numFmtId="165" fontId="7" fillId="0" borderId="6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7" fillId="0" borderId="1" xfId="0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65" fontId="7" fillId="0" borderId="10" xfId="0" applyNumberFormat="1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3" fontId="7" fillId="0" borderId="11" xfId="0" applyNumberFormat="1" applyFont="1" applyFill="1" applyBorder="1" applyAlignment="1">
      <alignment horizontal="center" vertical="center" wrapText="1"/>
    </xf>
    <xf numFmtId="0" fontId="6" fillId="0" borderId="85" xfId="0" applyFont="1" applyBorder="1" applyAlignment="1">
      <alignment horizontal="center" vertical="center" wrapText="1"/>
    </xf>
    <xf numFmtId="0" fontId="8" fillId="0" borderId="84" xfId="0" applyFont="1" applyFill="1" applyBorder="1" applyAlignment="1">
      <alignment vertical="center" wrapText="1"/>
    </xf>
    <xf numFmtId="0" fontId="9" fillId="0" borderId="86" xfId="0" applyFont="1" applyFill="1" applyBorder="1" applyAlignment="1">
      <alignment vertical="center" wrapText="1"/>
    </xf>
    <xf numFmtId="0" fontId="7" fillId="0" borderId="86" xfId="0" applyFont="1" applyFill="1" applyBorder="1" applyAlignment="1">
      <alignment vertical="center" wrapText="1"/>
    </xf>
    <xf numFmtId="0" fontId="34" fillId="0" borderId="86" xfId="0" applyFont="1" applyFill="1" applyBorder="1" applyAlignment="1">
      <alignment vertical="center" wrapText="1"/>
    </xf>
    <xf numFmtId="0" fontId="33" fillId="0" borderId="86" xfId="0" applyFont="1" applyFill="1" applyBorder="1" applyAlignment="1">
      <alignment vertical="center" wrapText="1"/>
    </xf>
    <xf numFmtId="0" fontId="35" fillId="0" borderId="86" xfId="0" applyFont="1" applyFill="1" applyBorder="1" applyAlignment="1">
      <alignment vertical="center" wrapText="1"/>
    </xf>
    <xf numFmtId="0" fontId="36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36" fillId="0" borderId="0" xfId="0" applyFont="1" applyAlignment="1"/>
    <xf numFmtId="0" fontId="36" fillId="0" borderId="0" xfId="0" applyFont="1"/>
    <xf numFmtId="0" fontId="40" fillId="0" borderId="26" xfId="0" applyFont="1" applyBorder="1" applyAlignment="1">
      <alignment horizontal="center" vertical="center"/>
    </xf>
    <xf numFmtId="165" fontId="42" fillId="0" borderId="0" xfId="0" applyNumberFormat="1" applyFont="1"/>
    <xf numFmtId="0" fontId="42" fillId="0" borderId="0" xfId="0" applyFont="1"/>
    <xf numFmtId="0" fontId="42" fillId="0" borderId="0" xfId="0" applyFont="1" applyAlignment="1"/>
    <xf numFmtId="0" fontId="0" fillId="0" borderId="0" xfId="0" applyFont="1" applyAlignment="1"/>
    <xf numFmtId="168" fontId="0" fillId="0" borderId="0" xfId="0" applyNumberFormat="1" applyFont="1" applyAlignment="1"/>
    <xf numFmtId="0" fontId="43" fillId="0" borderId="73" xfId="0" applyFont="1" applyBorder="1" applyAlignment="1">
      <alignment horizontal="center" vertical="center"/>
    </xf>
    <xf numFmtId="0" fontId="7" fillId="0" borderId="90" xfId="0" applyFont="1" applyBorder="1" applyAlignment="1">
      <alignment horizontal="left" vertical="center" wrapText="1"/>
    </xf>
    <xf numFmtId="0" fontId="7" fillId="0" borderId="91" xfId="0" applyFont="1" applyBorder="1" applyAlignment="1">
      <alignment horizontal="left" vertical="center" wrapText="1"/>
    </xf>
    <xf numFmtId="0" fontId="7" fillId="0" borderId="92" xfId="0" applyFont="1" applyBorder="1" applyAlignment="1">
      <alignment horizontal="left" vertical="center" wrapText="1"/>
    </xf>
    <xf numFmtId="0" fontId="39" fillId="0" borderId="87" xfId="0" applyFont="1" applyBorder="1" applyAlignment="1">
      <alignment horizontal="left" vertical="center" wrapText="1"/>
    </xf>
    <xf numFmtId="0" fontId="11" fillId="0" borderId="88" xfId="0" applyFont="1" applyBorder="1" applyAlignment="1">
      <alignment horizontal="left" vertical="center" wrapText="1"/>
    </xf>
    <xf numFmtId="0" fontId="11" fillId="0" borderId="89" xfId="0" applyFont="1" applyBorder="1" applyAlignment="1">
      <alignment horizontal="left" vertical="center" wrapText="1"/>
    </xf>
    <xf numFmtId="0" fontId="0" fillId="0" borderId="0" xfId="0" applyFont="1" applyAlignment="1"/>
    <xf numFmtId="0" fontId="12" fillId="0" borderId="0" xfId="0" applyFont="1" applyAlignment="1">
      <alignment horizontal="left" vertical="center" wrapText="1"/>
    </xf>
    <xf numFmtId="0" fontId="13" fillId="0" borderId="19" xfId="0" applyFont="1" applyBorder="1"/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8" fillId="0" borderId="15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8" fillId="0" borderId="18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center" vertical="center" wrapText="1"/>
    </xf>
    <xf numFmtId="0" fontId="11" fillId="0" borderId="87" xfId="0" applyFont="1" applyBorder="1" applyAlignment="1">
      <alignment horizontal="left" vertical="center" wrapText="1"/>
    </xf>
    <xf numFmtId="0" fontId="7" fillId="0" borderId="93" xfId="0" applyFont="1" applyBorder="1" applyAlignment="1">
      <alignment horizontal="left" vertical="center" wrapText="1"/>
    </xf>
    <xf numFmtId="0" fontId="7" fillId="0" borderId="94" xfId="0" applyFont="1" applyBorder="1" applyAlignment="1">
      <alignment horizontal="left" vertical="center" wrapText="1"/>
    </xf>
    <xf numFmtId="0" fontId="7" fillId="0" borderId="95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0" fillId="0" borderId="21" xfId="0" applyFont="1" applyBorder="1" applyAlignment="1">
      <alignment horizontal="center" vertical="center"/>
    </xf>
    <xf numFmtId="0" fontId="13" fillId="0" borderId="22" xfId="0" applyFont="1" applyBorder="1"/>
    <xf numFmtId="0" fontId="36" fillId="0" borderId="0" xfId="0" applyFont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 wrapText="1"/>
    </xf>
    <xf numFmtId="0" fontId="13" fillId="0" borderId="7" xfId="0" applyFont="1" applyBorder="1"/>
    <xf numFmtId="0" fontId="13" fillId="0" borderId="14" xfId="0" applyFont="1" applyBorder="1"/>
    <xf numFmtId="0" fontId="23" fillId="0" borderId="34" xfId="0" applyFont="1" applyBorder="1" applyAlignment="1">
      <alignment horizontal="left" vertical="center" wrapText="1"/>
    </xf>
    <xf numFmtId="0" fontId="13" fillId="0" borderId="35" xfId="0" applyFont="1" applyBorder="1"/>
    <xf numFmtId="0" fontId="25" fillId="0" borderId="49" xfId="0" applyFont="1" applyBorder="1" applyAlignment="1">
      <alignment horizontal="left" vertical="center" wrapText="1"/>
    </xf>
    <xf numFmtId="0" fontId="13" fillId="0" borderId="8" xfId="0" applyFont="1" applyBorder="1"/>
    <xf numFmtId="0" fontId="13" fillId="0" borderId="50" xfId="0" applyFont="1" applyBorder="1"/>
    <xf numFmtId="0" fontId="24" fillId="0" borderId="38" xfId="0" applyFont="1" applyBorder="1" applyAlignment="1">
      <alignment horizontal="center" vertical="center"/>
    </xf>
    <xf numFmtId="0" fontId="13" fillId="0" borderId="42" xfId="0" applyFont="1" applyBorder="1"/>
    <xf numFmtId="0" fontId="24" fillId="0" borderId="39" xfId="0" applyFont="1" applyBorder="1" applyAlignment="1">
      <alignment horizontal="center" vertical="center" wrapText="1"/>
    </xf>
    <xf numFmtId="0" fontId="13" fillId="0" borderId="43" xfId="0" applyFont="1" applyBorder="1"/>
    <xf numFmtId="0" fontId="24" fillId="0" borderId="40" xfId="0" applyFont="1" applyBorder="1" applyAlignment="1">
      <alignment horizontal="center" vertical="center" wrapText="1"/>
    </xf>
    <xf numFmtId="0" fontId="13" fillId="0" borderId="16" xfId="0" applyFont="1" applyBorder="1"/>
    <xf numFmtId="0" fontId="13" fillId="0" borderId="25" xfId="0" applyFont="1" applyBorder="1"/>
    <xf numFmtId="0" fontId="13" fillId="0" borderId="44" xfId="0" applyFont="1" applyBorder="1"/>
    <xf numFmtId="0" fontId="13" fillId="0" borderId="45" xfId="0" applyFont="1" applyBorder="1"/>
    <xf numFmtId="0" fontId="23" fillId="0" borderId="29" xfId="0" applyFont="1" applyBorder="1" applyAlignment="1">
      <alignment horizontal="left" vertical="center" wrapText="1"/>
    </xf>
    <xf numFmtId="0" fontId="13" fillId="0" borderId="30" xfId="0" applyFont="1" applyBorder="1"/>
    <xf numFmtId="0" fontId="23" fillId="0" borderId="31" xfId="0" applyFont="1" applyBorder="1" applyAlignment="1">
      <alignment horizontal="left" vertical="center"/>
    </xf>
    <xf numFmtId="0" fontId="13" fillId="0" borderId="32" xfId="0" applyFont="1" applyBorder="1"/>
    <xf numFmtId="0" fontId="13" fillId="0" borderId="36" xfId="0" applyFont="1" applyBorder="1"/>
    <xf numFmtId="0" fontId="14" fillId="0" borderId="15" xfId="0" applyFont="1" applyBorder="1" applyAlignment="1">
      <alignment horizontal="center" vertical="center"/>
    </xf>
    <xf numFmtId="166" fontId="16" fillId="0" borderId="23" xfId="0" applyNumberFormat="1" applyFont="1" applyBorder="1" applyAlignment="1">
      <alignment horizontal="center" vertical="center"/>
    </xf>
    <xf numFmtId="0" fontId="13" fillId="0" borderId="24" xfId="0" applyFont="1" applyBorder="1"/>
    <xf numFmtId="0" fontId="2" fillId="0" borderId="20" xfId="0" applyFont="1" applyBorder="1" applyAlignment="1">
      <alignment horizontal="left" vertical="center" wrapText="1"/>
    </xf>
    <xf numFmtId="0" fontId="13" fillId="0" borderId="21" xfId="0" applyFont="1" applyBorder="1"/>
    <xf numFmtId="0" fontId="25" fillId="0" borderId="9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13" fillId="0" borderId="46" xfId="0" applyFont="1" applyBorder="1"/>
    <xf numFmtId="165" fontId="24" fillId="0" borderId="39" xfId="0" applyNumberFormat="1" applyFont="1" applyBorder="1" applyAlignment="1">
      <alignment horizontal="center" vertical="center" wrapText="1"/>
    </xf>
    <xf numFmtId="0" fontId="43" fillId="0" borderId="74" xfId="0" applyFont="1" applyBorder="1" applyAlignment="1">
      <alignment horizontal="left" vertical="center"/>
    </xf>
    <xf numFmtId="0" fontId="13" fillId="0" borderId="75" xfId="0" applyFont="1" applyBorder="1"/>
    <xf numFmtId="0" fontId="0" fillId="0" borderId="74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13" fillId="0" borderId="59" xfId="0" applyFont="1" applyBorder="1"/>
    <xf numFmtId="0" fontId="31" fillId="0" borderId="29" xfId="0" applyFont="1" applyBorder="1" applyAlignment="1">
      <alignment horizontal="center" vertical="center"/>
    </xf>
    <xf numFmtId="0" fontId="13" fillId="0" borderId="56" xfId="0" applyFont="1" applyBorder="1"/>
    <xf numFmtId="0" fontId="31" fillId="0" borderId="60" xfId="0" applyFont="1" applyBorder="1" applyAlignment="1">
      <alignment horizontal="center" vertical="center" wrapText="1"/>
    </xf>
    <xf numFmtId="0" fontId="13" fillId="0" borderId="61" xfId="0" applyFont="1" applyBorder="1"/>
    <xf numFmtId="165" fontId="31" fillId="0" borderId="59" xfId="0" applyNumberFormat="1" applyFont="1" applyBorder="1" applyAlignment="1">
      <alignment horizontal="center" vertical="center"/>
    </xf>
    <xf numFmtId="0" fontId="0" fillId="0" borderId="67" xfId="0" applyFont="1" applyBorder="1" applyAlignment="1">
      <alignment horizontal="left" vertical="center" wrapText="1"/>
    </xf>
    <xf numFmtId="0" fontId="13" fillId="0" borderId="68" xfId="0" applyFont="1" applyBorder="1"/>
    <xf numFmtId="0" fontId="0" fillId="0" borderId="74" xfId="0" applyFont="1" applyBorder="1" applyAlignment="1">
      <alignment horizontal="left" vertical="center"/>
    </xf>
    <xf numFmtId="0" fontId="0" fillId="0" borderId="74" xfId="0" applyFont="1" applyBorder="1" applyAlignment="1">
      <alignment horizontal="left"/>
    </xf>
    <xf numFmtId="0" fontId="1" fillId="0" borderId="29" xfId="0" applyFont="1" applyBorder="1" applyAlignment="1">
      <alignment horizontal="left" vertical="center" wrapText="1"/>
    </xf>
    <xf numFmtId="0" fontId="28" fillId="0" borderId="29" xfId="0" applyFont="1" applyBorder="1"/>
    <xf numFmtId="0" fontId="29" fillId="0" borderId="34" xfId="0" applyFont="1" applyBorder="1" applyAlignment="1">
      <alignment horizontal="left"/>
    </xf>
    <xf numFmtId="0" fontId="30" fillId="0" borderId="29" xfId="0" applyFont="1" applyBorder="1" applyAlignment="1">
      <alignment horizontal="left"/>
    </xf>
    <xf numFmtId="0" fontId="13" fillId="0" borderId="58" xfId="0" applyFont="1" applyBorder="1"/>
    <xf numFmtId="0" fontId="29" fillId="0" borderId="57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3" fontId="26" fillId="0" borderId="32" xfId="0" applyNumberFormat="1" applyFont="1" applyBorder="1" applyAlignment="1">
      <alignment horizontal="center"/>
    </xf>
    <xf numFmtId="0" fontId="13" fillId="0" borderId="33" xfId="0" applyFont="1" applyBorder="1"/>
    <xf numFmtId="0" fontId="27" fillId="0" borderId="40" xfId="0" applyFont="1" applyBorder="1" applyAlignment="1">
      <alignment horizontal="center" vertical="center" wrapText="1"/>
    </xf>
    <xf numFmtId="0" fontId="13" fillId="0" borderId="17" xfId="0" applyFont="1" applyBorder="1"/>
    <xf numFmtId="0" fontId="13" fillId="0" borderId="54" xfId="0" applyFont="1" applyBorder="1"/>
    <xf numFmtId="0" fontId="13" fillId="0" borderId="55" xfId="0" applyFont="1" applyBorder="1"/>
    <xf numFmtId="0" fontId="44" fillId="0" borderId="27" xfId="0" applyFont="1" applyBorder="1" applyAlignment="1">
      <alignment horizontal="left" vertical="center" wrapText="1"/>
    </xf>
    <xf numFmtId="0" fontId="13" fillId="0" borderId="28" xfId="0" applyFont="1" applyBorder="1"/>
    <xf numFmtId="0" fontId="13" fillId="0" borderId="82" xfId="0" applyFont="1" applyBorder="1"/>
    <xf numFmtId="0" fontId="0" fillId="0" borderId="34" xfId="0" applyFont="1" applyBorder="1"/>
    <xf numFmtId="0" fontId="26" fillId="0" borderId="31" xfId="0" applyFont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0" fillId="0" borderId="79" xfId="0" applyFont="1" applyBorder="1" applyAlignment="1">
      <alignment horizontal="left" vertical="center"/>
    </xf>
    <xf numFmtId="0" fontId="13" fillId="0" borderId="80" xfId="0" applyFont="1" applyBorder="1"/>
    <xf numFmtId="0" fontId="3" fillId="3" borderId="0" xfId="0" applyFont="1" applyFill="1" applyAlignment="1">
      <alignment horizontal="center" vertical="center" wrapText="1"/>
    </xf>
    <xf numFmtId="0" fontId="0" fillId="3" borderId="0" xfId="0" applyFont="1" applyFill="1" applyAlignment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left" vertical="center" wrapText="1"/>
    </xf>
    <xf numFmtId="49" fontId="41" fillId="3" borderId="18" xfId="0" applyNumberFormat="1" applyFont="1" applyFill="1" applyBorder="1" applyAlignment="1">
      <alignment horizontal="left" vertical="center" wrapText="1"/>
    </xf>
    <xf numFmtId="0" fontId="13" fillId="3" borderId="19" xfId="0" applyFont="1" applyFill="1" applyBorder="1"/>
    <xf numFmtId="0" fontId="29" fillId="0" borderId="18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13" fillId="0" borderId="19" xfId="0" applyFont="1" applyFill="1" applyBorder="1"/>
    <xf numFmtId="0" fontId="13" fillId="0" borderId="20" xfId="0" applyFont="1" applyFill="1" applyBorder="1"/>
    <xf numFmtId="0" fontId="13" fillId="0" borderId="21" xfId="0" applyFont="1" applyFill="1" applyBorder="1"/>
    <xf numFmtId="0" fontId="13" fillId="0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75"/>
  <sheetViews>
    <sheetView topLeftCell="F1" zoomScale="90" zoomScaleNormal="90" workbookViewId="0">
      <selection activeCell="A10" sqref="A10"/>
    </sheetView>
  </sheetViews>
  <sheetFormatPr baseColWidth="10" defaultColWidth="14.42578125" defaultRowHeight="15" customHeight="1" x14ac:dyDescent="0.25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1.5703125" bestFit="1" customWidth="1"/>
    <col min="7" max="7" width="11.5703125" customWidth="1"/>
    <col min="8" max="8" width="15.5703125" customWidth="1"/>
    <col min="9" max="9" width="16.7109375" customWidth="1"/>
    <col min="10" max="10" width="117.140625" bestFit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8"/>
      <c r="H1" s="6"/>
      <c r="I1" s="6"/>
      <c r="J1" s="9"/>
    </row>
    <row r="2" spans="1:10" ht="18.75" x14ac:dyDescent="0.25">
      <c r="A2" s="3"/>
      <c r="B2" s="153" t="s">
        <v>0</v>
      </c>
      <c r="C2" s="149"/>
      <c r="D2" s="149"/>
      <c r="E2" s="149"/>
      <c r="F2" s="149"/>
      <c r="G2" s="149"/>
      <c r="H2" s="149"/>
      <c r="I2" s="6"/>
      <c r="J2" s="9"/>
    </row>
    <row r="3" spans="1:10" x14ac:dyDescent="0.25">
      <c r="A3" s="3"/>
      <c r="B3" s="2"/>
      <c r="C3" s="3"/>
      <c r="D3" s="3"/>
      <c r="E3" s="4"/>
      <c r="F3" s="3"/>
      <c r="G3" s="8"/>
      <c r="H3" s="6"/>
      <c r="I3" s="6"/>
      <c r="J3" s="9"/>
    </row>
    <row r="4" spans="1:10" x14ac:dyDescent="0.25">
      <c r="A4" s="235" t="s">
        <v>1</v>
      </c>
      <c r="B4" s="236"/>
      <c r="C4" s="237" t="s">
        <v>2</v>
      </c>
      <c r="D4" s="236"/>
      <c r="E4" s="236"/>
      <c r="F4" s="11"/>
      <c r="G4" s="8"/>
      <c r="H4" s="6"/>
      <c r="I4" s="6"/>
      <c r="J4" s="9"/>
    </row>
    <row r="5" spans="1:10" x14ac:dyDescent="0.25">
      <c r="A5" s="235" t="s">
        <v>3</v>
      </c>
      <c r="B5" s="236"/>
      <c r="C5" s="238" t="s">
        <v>4</v>
      </c>
      <c r="D5" s="236"/>
      <c r="E5" s="236"/>
      <c r="F5" s="11"/>
      <c r="G5" s="12"/>
      <c r="H5" s="5"/>
      <c r="I5" s="5"/>
      <c r="J5" s="9"/>
    </row>
    <row r="6" spans="1:10" x14ac:dyDescent="0.25">
      <c r="A6" s="235" t="s">
        <v>5</v>
      </c>
      <c r="B6" s="236"/>
      <c r="C6" s="239">
        <v>2022</v>
      </c>
      <c r="D6" s="240"/>
      <c r="E6" s="239"/>
      <c r="F6" s="11"/>
      <c r="G6" s="12"/>
      <c r="H6" s="5"/>
      <c r="I6" s="5"/>
      <c r="J6" s="9"/>
    </row>
    <row r="7" spans="1:10" x14ac:dyDescent="0.25">
      <c r="A7" s="235" t="s">
        <v>6</v>
      </c>
      <c r="B7" s="236"/>
      <c r="C7" s="241" t="s">
        <v>189</v>
      </c>
      <c r="D7" s="240"/>
      <c r="E7" s="239"/>
      <c r="F7" s="11"/>
      <c r="G7" s="12"/>
      <c r="H7" s="5"/>
      <c r="I7" s="5"/>
      <c r="J7" s="9"/>
    </row>
    <row r="8" spans="1:10" ht="15.75" thickBot="1" x14ac:dyDescent="0.3">
      <c r="A8" s="3"/>
      <c r="B8" s="11"/>
      <c r="C8" s="11"/>
      <c r="D8" s="11"/>
      <c r="E8" s="13"/>
      <c r="F8" s="11"/>
      <c r="G8" s="12"/>
      <c r="H8" s="5"/>
      <c r="I8" s="5"/>
      <c r="J8" s="9"/>
    </row>
    <row r="9" spans="1:10" ht="39" thickBot="1" x14ac:dyDescent="0.3">
      <c r="A9" s="14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8" t="s">
        <v>13</v>
      </c>
      <c r="H9" s="20" t="s">
        <v>14</v>
      </c>
      <c r="I9" s="19" t="s">
        <v>15</v>
      </c>
      <c r="J9" s="124" t="s">
        <v>16</v>
      </c>
    </row>
    <row r="10" spans="1:10" s="116" customFormat="1" ht="48" customHeight="1" x14ac:dyDescent="0.25">
      <c r="A10" s="109">
        <v>1</v>
      </c>
      <c r="B10" s="110" t="s">
        <v>169</v>
      </c>
      <c r="C10" s="110" t="s">
        <v>17</v>
      </c>
      <c r="D10" s="110" t="s">
        <v>18</v>
      </c>
      <c r="E10" s="111" t="s">
        <v>170</v>
      </c>
      <c r="F10" s="112" t="s">
        <v>19</v>
      </c>
      <c r="G10" s="114">
        <v>70</v>
      </c>
      <c r="H10" s="113">
        <v>75000</v>
      </c>
      <c r="I10" s="115">
        <f t="shared" ref="I10:I46" si="0">+G10*H10</f>
        <v>5250000</v>
      </c>
      <c r="J10" s="125" t="s">
        <v>173</v>
      </c>
    </row>
    <row r="11" spans="1:10" s="116" customFormat="1" ht="44.25" customHeight="1" x14ac:dyDescent="0.25">
      <c r="A11" s="117">
        <v>2</v>
      </c>
      <c r="B11" s="110" t="s">
        <v>20</v>
      </c>
      <c r="C11" s="110" t="s">
        <v>17</v>
      </c>
      <c r="D11" s="110" t="s">
        <v>18</v>
      </c>
      <c r="E11" s="111" t="s">
        <v>21</v>
      </c>
      <c r="F11" s="110" t="s">
        <v>19</v>
      </c>
      <c r="G11" s="119">
        <v>42</v>
      </c>
      <c r="H11" s="118">
        <v>85000</v>
      </c>
      <c r="I11" s="115">
        <f t="shared" si="0"/>
        <v>3570000</v>
      </c>
      <c r="J11" s="126" t="s">
        <v>22</v>
      </c>
    </row>
    <row r="12" spans="1:10" s="116" customFormat="1" ht="24" customHeight="1" x14ac:dyDescent="0.25">
      <c r="A12" s="117">
        <v>3</v>
      </c>
      <c r="B12" s="120" t="s">
        <v>23</v>
      </c>
      <c r="C12" s="110" t="s">
        <v>24</v>
      </c>
      <c r="D12" s="110" t="s">
        <v>25</v>
      </c>
      <c r="E12" s="111" t="s">
        <v>26</v>
      </c>
      <c r="F12" s="110" t="s">
        <v>19</v>
      </c>
      <c r="G12" s="119">
        <v>100</v>
      </c>
      <c r="H12" s="118">
        <v>4200</v>
      </c>
      <c r="I12" s="115">
        <f t="shared" si="0"/>
        <v>420000</v>
      </c>
      <c r="J12" s="129" t="s">
        <v>227</v>
      </c>
    </row>
    <row r="13" spans="1:10" s="116" customFormat="1" ht="48" customHeight="1" x14ac:dyDescent="0.25">
      <c r="A13" s="117">
        <v>4</v>
      </c>
      <c r="B13" s="110" t="s">
        <v>27</v>
      </c>
      <c r="C13" s="110" t="s">
        <v>17</v>
      </c>
      <c r="D13" s="110" t="s">
        <v>18</v>
      </c>
      <c r="E13" s="111" t="s">
        <v>28</v>
      </c>
      <c r="F13" s="110" t="s">
        <v>19</v>
      </c>
      <c r="G13" s="119">
        <v>60</v>
      </c>
      <c r="H13" s="118">
        <v>22000</v>
      </c>
      <c r="I13" s="115">
        <f t="shared" si="0"/>
        <v>1320000</v>
      </c>
      <c r="J13" s="127" t="s">
        <v>29</v>
      </c>
    </row>
    <row r="14" spans="1:10" s="116" customFormat="1" ht="25.5" x14ac:dyDescent="0.25">
      <c r="A14" s="117">
        <v>5</v>
      </c>
      <c r="B14" s="110" t="s">
        <v>30</v>
      </c>
      <c r="C14" s="110" t="s">
        <v>17</v>
      </c>
      <c r="D14" s="110" t="s">
        <v>18</v>
      </c>
      <c r="E14" s="111" t="s">
        <v>31</v>
      </c>
      <c r="F14" s="110" t="s">
        <v>19</v>
      </c>
      <c r="G14" s="119">
        <v>10</v>
      </c>
      <c r="H14" s="118">
        <v>15500</v>
      </c>
      <c r="I14" s="115">
        <f t="shared" si="0"/>
        <v>155000</v>
      </c>
      <c r="J14" s="127" t="s">
        <v>32</v>
      </c>
    </row>
    <row r="15" spans="1:10" s="116" customFormat="1" ht="25.5" x14ac:dyDescent="0.25">
      <c r="A15" s="117">
        <v>6</v>
      </c>
      <c r="B15" s="110" t="s">
        <v>33</v>
      </c>
      <c r="C15" s="110" t="s">
        <v>17</v>
      </c>
      <c r="D15" s="110" t="s">
        <v>18</v>
      </c>
      <c r="E15" s="111" t="s">
        <v>34</v>
      </c>
      <c r="F15" s="110" t="s">
        <v>19</v>
      </c>
      <c r="G15" s="119">
        <v>70</v>
      </c>
      <c r="H15" s="118">
        <v>31000</v>
      </c>
      <c r="I15" s="115">
        <f t="shared" si="0"/>
        <v>2170000</v>
      </c>
      <c r="J15" s="128" t="s">
        <v>174</v>
      </c>
    </row>
    <row r="16" spans="1:10" s="116" customFormat="1" ht="30" customHeight="1" x14ac:dyDescent="0.25">
      <c r="A16" s="117">
        <v>7</v>
      </c>
      <c r="B16" s="110" t="s">
        <v>35</v>
      </c>
      <c r="C16" s="110" t="s">
        <v>17</v>
      </c>
      <c r="D16" s="110" t="s">
        <v>228</v>
      </c>
      <c r="E16" s="111" t="s">
        <v>36</v>
      </c>
      <c r="F16" s="110" t="s">
        <v>19</v>
      </c>
      <c r="G16" s="119">
        <v>70</v>
      </c>
      <c r="H16" s="118">
        <v>18500</v>
      </c>
      <c r="I16" s="115">
        <f t="shared" si="0"/>
        <v>1295000</v>
      </c>
      <c r="J16" s="129" t="s">
        <v>166</v>
      </c>
    </row>
    <row r="17" spans="1:10" s="116" customFormat="1" x14ac:dyDescent="0.25">
      <c r="A17" s="117">
        <v>8</v>
      </c>
      <c r="B17" s="110" t="s">
        <v>37</v>
      </c>
      <c r="C17" s="110" t="s">
        <v>38</v>
      </c>
      <c r="D17" s="122" t="s">
        <v>18</v>
      </c>
      <c r="E17" s="111" t="s">
        <v>39</v>
      </c>
      <c r="F17" s="110" t="s">
        <v>19</v>
      </c>
      <c r="G17" s="119">
        <v>210</v>
      </c>
      <c r="H17" s="118">
        <v>4000</v>
      </c>
      <c r="I17" s="115">
        <f t="shared" si="0"/>
        <v>840000</v>
      </c>
      <c r="J17" s="127" t="s">
        <v>40</v>
      </c>
    </row>
    <row r="18" spans="1:10" s="116" customFormat="1" x14ac:dyDescent="0.25">
      <c r="A18" s="117">
        <v>9</v>
      </c>
      <c r="B18" s="110" t="s">
        <v>41</v>
      </c>
      <c r="C18" s="110" t="s">
        <v>17</v>
      </c>
      <c r="D18" s="110" t="s">
        <v>18</v>
      </c>
      <c r="E18" s="111" t="s">
        <v>42</v>
      </c>
      <c r="F18" s="110" t="s">
        <v>19</v>
      </c>
      <c r="G18" s="119">
        <v>10</v>
      </c>
      <c r="H18" s="118">
        <v>20000</v>
      </c>
      <c r="I18" s="115">
        <f t="shared" si="0"/>
        <v>200000</v>
      </c>
      <c r="J18" s="127" t="s">
        <v>43</v>
      </c>
    </row>
    <row r="19" spans="1:10" s="116" customFormat="1" ht="25.5" x14ac:dyDescent="0.25">
      <c r="A19" s="117">
        <v>10</v>
      </c>
      <c r="B19" s="110" t="s">
        <v>44</v>
      </c>
      <c r="C19" s="110" t="s">
        <v>24</v>
      </c>
      <c r="D19" s="110" t="s">
        <v>25</v>
      </c>
      <c r="E19" s="111" t="s">
        <v>45</v>
      </c>
      <c r="F19" s="110" t="s">
        <v>19</v>
      </c>
      <c r="G19" s="119">
        <v>10</v>
      </c>
      <c r="H19" s="118">
        <v>20000</v>
      </c>
      <c r="I19" s="115">
        <f t="shared" si="0"/>
        <v>200000</v>
      </c>
      <c r="J19" s="127" t="s">
        <v>46</v>
      </c>
    </row>
    <row r="20" spans="1:10" s="116" customFormat="1" x14ac:dyDescent="0.25">
      <c r="A20" s="117">
        <v>11</v>
      </c>
      <c r="B20" s="122" t="s">
        <v>223</v>
      </c>
      <c r="C20" s="110" t="s">
        <v>47</v>
      </c>
      <c r="D20" s="122" t="s">
        <v>48</v>
      </c>
      <c r="E20" s="111" t="s">
        <v>224</v>
      </c>
      <c r="F20" s="110" t="s">
        <v>19</v>
      </c>
      <c r="G20" s="119">
        <v>300</v>
      </c>
      <c r="H20" s="118">
        <v>3200</v>
      </c>
      <c r="I20" s="115">
        <f t="shared" si="0"/>
        <v>960000</v>
      </c>
      <c r="J20" s="129" t="s">
        <v>222</v>
      </c>
    </row>
    <row r="21" spans="1:10" s="116" customFormat="1" x14ac:dyDescent="0.25">
      <c r="A21" s="117">
        <v>12</v>
      </c>
      <c r="B21" s="110" t="s">
        <v>49</v>
      </c>
      <c r="C21" s="110" t="s">
        <v>17</v>
      </c>
      <c r="D21" s="110" t="s">
        <v>18</v>
      </c>
      <c r="E21" s="111" t="s">
        <v>50</v>
      </c>
      <c r="F21" s="110" t="s">
        <v>19</v>
      </c>
      <c r="G21" s="119">
        <v>50</v>
      </c>
      <c r="H21" s="118">
        <v>7500</v>
      </c>
      <c r="I21" s="115">
        <f t="shared" si="0"/>
        <v>375000</v>
      </c>
      <c r="J21" s="127" t="s">
        <v>51</v>
      </c>
    </row>
    <row r="22" spans="1:10" s="116" customFormat="1" ht="63.75" x14ac:dyDescent="0.25">
      <c r="A22" s="117">
        <v>13</v>
      </c>
      <c r="B22" s="110" t="s">
        <v>52</v>
      </c>
      <c r="C22" s="110" t="s">
        <v>17</v>
      </c>
      <c r="D22" s="110" t="s">
        <v>18</v>
      </c>
      <c r="E22" s="111" t="s">
        <v>53</v>
      </c>
      <c r="F22" s="110" t="s">
        <v>19</v>
      </c>
      <c r="G22" s="119">
        <v>150</v>
      </c>
      <c r="H22" s="118">
        <v>22000</v>
      </c>
      <c r="I22" s="115">
        <f t="shared" si="0"/>
        <v>3300000</v>
      </c>
      <c r="J22" s="126" t="s">
        <v>54</v>
      </c>
    </row>
    <row r="23" spans="1:10" s="116" customFormat="1" ht="73.5" customHeight="1" x14ac:dyDescent="0.25">
      <c r="A23" s="117">
        <v>14</v>
      </c>
      <c r="B23" s="110" t="s">
        <v>55</v>
      </c>
      <c r="C23" s="110" t="s">
        <v>17</v>
      </c>
      <c r="D23" s="110" t="s">
        <v>18</v>
      </c>
      <c r="E23" s="111" t="s">
        <v>56</v>
      </c>
      <c r="F23" s="110" t="s">
        <v>19</v>
      </c>
      <c r="G23" s="119">
        <v>150</v>
      </c>
      <c r="H23" s="118">
        <v>23000</v>
      </c>
      <c r="I23" s="115">
        <f t="shared" si="0"/>
        <v>3450000</v>
      </c>
      <c r="J23" s="130" t="s">
        <v>229</v>
      </c>
    </row>
    <row r="24" spans="1:10" s="116" customFormat="1" ht="25.5" x14ac:dyDescent="0.25">
      <c r="A24" s="117">
        <v>15</v>
      </c>
      <c r="B24" s="110" t="s">
        <v>57</v>
      </c>
      <c r="C24" s="110" t="s">
        <v>17</v>
      </c>
      <c r="D24" s="110" t="s">
        <v>18</v>
      </c>
      <c r="E24" s="111" t="s">
        <v>58</v>
      </c>
      <c r="F24" s="110" t="s">
        <v>19</v>
      </c>
      <c r="G24" s="119">
        <v>30</v>
      </c>
      <c r="H24" s="118">
        <v>40000</v>
      </c>
      <c r="I24" s="115">
        <f t="shared" si="0"/>
        <v>1200000</v>
      </c>
      <c r="J24" s="130" t="s">
        <v>230</v>
      </c>
    </row>
    <row r="25" spans="1:10" s="116" customFormat="1" ht="30.75" customHeight="1" x14ac:dyDescent="0.25">
      <c r="A25" s="117">
        <v>16</v>
      </c>
      <c r="B25" s="110" t="s">
        <v>59</v>
      </c>
      <c r="C25" s="110" t="s">
        <v>47</v>
      </c>
      <c r="D25" s="110" t="s">
        <v>48</v>
      </c>
      <c r="E25" s="111" t="s">
        <v>60</v>
      </c>
      <c r="F25" s="110" t="s">
        <v>19</v>
      </c>
      <c r="G25" s="119">
        <v>300</v>
      </c>
      <c r="H25" s="118">
        <v>3000</v>
      </c>
      <c r="I25" s="115">
        <f t="shared" si="0"/>
        <v>900000</v>
      </c>
      <c r="J25" s="129" t="s">
        <v>175</v>
      </c>
    </row>
    <row r="26" spans="1:10" s="116" customFormat="1" ht="25.5" x14ac:dyDescent="0.25">
      <c r="A26" s="117">
        <v>17</v>
      </c>
      <c r="B26" s="110" t="s">
        <v>61</v>
      </c>
      <c r="C26" s="110" t="s">
        <v>17</v>
      </c>
      <c r="D26" s="110" t="s">
        <v>18</v>
      </c>
      <c r="E26" s="111" t="s">
        <v>62</v>
      </c>
      <c r="F26" s="110" t="s">
        <v>19</v>
      </c>
      <c r="G26" s="119">
        <v>100</v>
      </c>
      <c r="H26" s="118">
        <v>9000</v>
      </c>
      <c r="I26" s="115">
        <f t="shared" si="0"/>
        <v>900000</v>
      </c>
      <c r="J26" s="127" t="s">
        <v>63</v>
      </c>
    </row>
    <row r="27" spans="1:10" s="116" customFormat="1" ht="53.25" customHeight="1" x14ac:dyDescent="0.25">
      <c r="A27" s="117">
        <v>18</v>
      </c>
      <c r="B27" s="110" t="s">
        <v>64</v>
      </c>
      <c r="C27" s="110" t="s">
        <v>24</v>
      </c>
      <c r="D27" s="110" t="s">
        <v>18</v>
      </c>
      <c r="E27" s="111" t="s">
        <v>65</v>
      </c>
      <c r="F27" s="110" t="s">
        <v>19</v>
      </c>
      <c r="G27" s="119">
        <v>10</v>
      </c>
      <c r="H27" s="118">
        <v>136000</v>
      </c>
      <c r="I27" s="115">
        <f t="shared" si="0"/>
        <v>1360000</v>
      </c>
      <c r="J27" s="129" t="s">
        <v>231</v>
      </c>
    </row>
    <row r="28" spans="1:10" s="116" customFormat="1" ht="38.25" x14ac:dyDescent="0.25">
      <c r="A28" s="117">
        <v>19</v>
      </c>
      <c r="B28" s="110" t="s">
        <v>66</v>
      </c>
      <c r="C28" s="110" t="s">
        <v>24</v>
      </c>
      <c r="D28" s="110" t="s">
        <v>18</v>
      </c>
      <c r="E28" s="111" t="s">
        <v>67</v>
      </c>
      <c r="F28" s="110" t="s">
        <v>19</v>
      </c>
      <c r="G28" s="119">
        <v>10</v>
      </c>
      <c r="H28" s="118">
        <v>24599</v>
      </c>
      <c r="I28" s="115">
        <f t="shared" si="0"/>
        <v>245990</v>
      </c>
      <c r="J28" s="127" t="s">
        <v>232</v>
      </c>
    </row>
    <row r="29" spans="1:10" s="116" customFormat="1" ht="48.75" customHeight="1" x14ac:dyDescent="0.25">
      <c r="A29" s="117">
        <v>20</v>
      </c>
      <c r="B29" s="110" t="s">
        <v>171</v>
      </c>
      <c r="C29" s="110" t="s">
        <v>38</v>
      </c>
      <c r="D29" s="122" t="s">
        <v>18</v>
      </c>
      <c r="E29" s="111" t="s">
        <v>172</v>
      </c>
      <c r="F29" s="110" t="s">
        <v>19</v>
      </c>
      <c r="G29" s="119">
        <v>10</v>
      </c>
      <c r="H29" s="118">
        <v>96000</v>
      </c>
      <c r="I29" s="115">
        <f t="shared" si="0"/>
        <v>960000</v>
      </c>
      <c r="J29" s="129" t="s">
        <v>167</v>
      </c>
    </row>
    <row r="30" spans="1:10" s="116" customFormat="1" ht="38.25" x14ac:dyDescent="0.25">
      <c r="A30" s="117">
        <v>21</v>
      </c>
      <c r="B30" s="110" t="s">
        <v>68</v>
      </c>
      <c r="C30" s="110" t="s">
        <v>17</v>
      </c>
      <c r="D30" s="110" t="s">
        <v>18</v>
      </c>
      <c r="E30" s="111" t="s">
        <v>69</v>
      </c>
      <c r="F30" s="110" t="s">
        <v>19</v>
      </c>
      <c r="G30" s="119">
        <v>48</v>
      </c>
      <c r="H30" s="118">
        <v>50000</v>
      </c>
      <c r="I30" s="115">
        <f t="shared" si="0"/>
        <v>2400000</v>
      </c>
      <c r="J30" s="130" t="s">
        <v>176</v>
      </c>
    </row>
    <row r="31" spans="1:10" s="116" customFormat="1" x14ac:dyDescent="0.25">
      <c r="A31" s="117">
        <v>22</v>
      </c>
      <c r="B31" s="110" t="s">
        <v>70</v>
      </c>
      <c r="C31" s="110" t="s">
        <v>17</v>
      </c>
      <c r="D31" s="110" t="s">
        <v>18</v>
      </c>
      <c r="E31" s="111" t="s">
        <v>71</v>
      </c>
      <c r="F31" s="110" t="s">
        <v>19</v>
      </c>
      <c r="G31" s="119">
        <v>80</v>
      </c>
      <c r="H31" s="118">
        <v>23823.99</v>
      </c>
      <c r="I31" s="115">
        <f t="shared" si="0"/>
        <v>1905919.2000000002</v>
      </c>
      <c r="J31" s="130" t="s">
        <v>177</v>
      </c>
    </row>
    <row r="32" spans="1:10" s="116" customFormat="1" ht="25.5" x14ac:dyDescent="0.25">
      <c r="A32" s="117">
        <v>23</v>
      </c>
      <c r="B32" s="110" t="s">
        <v>72</v>
      </c>
      <c r="C32" s="110" t="s">
        <v>17</v>
      </c>
      <c r="D32" s="110" t="s">
        <v>18</v>
      </c>
      <c r="E32" s="111" t="s">
        <v>73</v>
      </c>
      <c r="F32" s="110" t="s">
        <v>19</v>
      </c>
      <c r="G32" s="119">
        <v>7</v>
      </c>
      <c r="H32" s="118">
        <v>28000</v>
      </c>
      <c r="I32" s="115">
        <f t="shared" si="0"/>
        <v>196000</v>
      </c>
      <c r="J32" s="127" t="s">
        <v>178</v>
      </c>
    </row>
    <row r="33" spans="1:10" s="116" customFormat="1" ht="25.5" x14ac:dyDescent="0.25">
      <c r="A33" s="117">
        <v>24</v>
      </c>
      <c r="B33" s="110" t="s">
        <v>74</v>
      </c>
      <c r="C33" s="110" t="s">
        <v>17</v>
      </c>
      <c r="D33" s="110" t="s">
        <v>18</v>
      </c>
      <c r="E33" s="111" t="s">
        <v>75</v>
      </c>
      <c r="F33" s="110" t="s">
        <v>19</v>
      </c>
      <c r="G33" s="119">
        <v>100</v>
      </c>
      <c r="H33" s="118">
        <v>12000</v>
      </c>
      <c r="I33" s="115">
        <f t="shared" si="0"/>
        <v>1200000</v>
      </c>
      <c r="J33" s="127" t="s">
        <v>233</v>
      </c>
    </row>
    <row r="34" spans="1:10" s="116" customFormat="1" x14ac:dyDescent="0.25">
      <c r="A34" s="117">
        <v>25</v>
      </c>
      <c r="B34" s="110" t="s">
        <v>76</v>
      </c>
      <c r="C34" s="110" t="s">
        <v>17</v>
      </c>
      <c r="D34" s="110" t="s">
        <v>18</v>
      </c>
      <c r="E34" s="111" t="s">
        <v>77</v>
      </c>
      <c r="F34" s="110" t="s">
        <v>19</v>
      </c>
      <c r="G34" s="119">
        <v>7</v>
      </c>
      <c r="H34" s="118">
        <v>10000</v>
      </c>
      <c r="I34" s="115">
        <f t="shared" si="0"/>
        <v>70000</v>
      </c>
      <c r="J34" s="127" t="s">
        <v>78</v>
      </c>
    </row>
    <row r="35" spans="1:10" s="116" customFormat="1" ht="25.5" x14ac:dyDescent="0.25">
      <c r="A35" s="117">
        <v>26</v>
      </c>
      <c r="B35" s="110" t="s">
        <v>79</v>
      </c>
      <c r="C35" s="122" t="s">
        <v>80</v>
      </c>
      <c r="D35" s="122" t="s">
        <v>18</v>
      </c>
      <c r="E35" s="111" t="s">
        <v>81</v>
      </c>
      <c r="F35" s="110" t="s">
        <v>19</v>
      </c>
      <c r="G35" s="119">
        <v>10</v>
      </c>
      <c r="H35" s="118">
        <v>8200</v>
      </c>
      <c r="I35" s="115">
        <f t="shared" si="0"/>
        <v>82000</v>
      </c>
      <c r="J35" s="129" t="s">
        <v>179</v>
      </c>
    </row>
    <row r="36" spans="1:10" s="116" customFormat="1" ht="41.25" customHeight="1" x14ac:dyDescent="0.25">
      <c r="A36" s="117">
        <v>27</v>
      </c>
      <c r="B36" s="110" t="s">
        <v>82</v>
      </c>
      <c r="C36" s="110" t="s">
        <v>24</v>
      </c>
      <c r="D36" s="122" t="s">
        <v>18</v>
      </c>
      <c r="E36" s="111" t="s">
        <v>83</v>
      </c>
      <c r="F36" s="110" t="s">
        <v>19</v>
      </c>
      <c r="G36" s="119">
        <v>20</v>
      </c>
      <c r="H36" s="118">
        <v>5000</v>
      </c>
      <c r="I36" s="115">
        <f t="shared" si="0"/>
        <v>100000</v>
      </c>
      <c r="J36" s="126" t="s">
        <v>84</v>
      </c>
    </row>
    <row r="37" spans="1:10" s="116" customFormat="1" ht="25.5" x14ac:dyDescent="0.25">
      <c r="A37" s="117">
        <v>28</v>
      </c>
      <c r="B37" s="110" t="s">
        <v>85</v>
      </c>
      <c r="C37" s="110" t="s">
        <v>24</v>
      </c>
      <c r="D37" s="122" t="s">
        <v>18</v>
      </c>
      <c r="E37" s="111" t="s">
        <v>86</v>
      </c>
      <c r="F37" s="110" t="s">
        <v>19</v>
      </c>
      <c r="G37" s="119">
        <v>10</v>
      </c>
      <c r="H37" s="118">
        <v>4500</v>
      </c>
      <c r="I37" s="115">
        <f t="shared" si="0"/>
        <v>45000</v>
      </c>
      <c r="J37" s="129" t="s">
        <v>180</v>
      </c>
    </row>
    <row r="38" spans="1:10" s="116" customFormat="1" ht="25.5" x14ac:dyDescent="0.25">
      <c r="A38" s="117">
        <v>29</v>
      </c>
      <c r="B38" s="110" t="s">
        <v>87</v>
      </c>
      <c r="C38" s="110" t="s">
        <v>17</v>
      </c>
      <c r="D38" s="122" t="s">
        <v>18</v>
      </c>
      <c r="E38" s="111" t="s">
        <v>88</v>
      </c>
      <c r="F38" s="110" t="s">
        <v>19</v>
      </c>
      <c r="G38" s="119">
        <v>30</v>
      </c>
      <c r="H38" s="118">
        <v>2300</v>
      </c>
      <c r="I38" s="115">
        <f t="shared" si="0"/>
        <v>69000</v>
      </c>
      <c r="J38" s="126" t="s">
        <v>89</v>
      </c>
    </row>
    <row r="39" spans="1:10" s="116" customFormat="1" x14ac:dyDescent="0.25">
      <c r="A39" s="117">
        <v>30</v>
      </c>
      <c r="B39" s="117" t="s">
        <v>90</v>
      </c>
      <c r="C39" s="110" t="s">
        <v>47</v>
      </c>
      <c r="D39" s="122" t="s">
        <v>48</v>
      </c>
      <c r="E39" s="111" t="s">
        <v>91</v>
      </c>
      <c r="F39" s="110" t="s">
        <v>19</v>
      </c>
      <c r="G39" s="119">
        <v>300</v>
      </c>
      <c r="H39" s="118">
        <v>3000</v>
      </c>
      <c r="I39" s="115">
        <f t="shared" si="0"/>
        <v>900000</v>
      </c>
      <c r="J39" s="129" t="s">
        <v>181</v>
      </c>
    </row>
    <row r="40" spans="1:10" s="116" customFormat="1" ht="38.25" x14ac:dyDescent="0.25">
      <c r="A40" s="117">
        <v>31</v>
      </c>
      <c r="B40" s="110" t="s">
        <v>92</v>
      </c>
      <c r="C40" s="110" t="s">
        <v>38</v>
      </c>
      <c r="D40" s="122" t="s">
        <v>18</v>
      </c>
      <c r="E40" s="111" t="s">
        <v>93</v>
      </c>
      <c r="F40" s="110" t="s">
        <v>19</v>
      </c>
      <c r="G40" s="119">
        <v>10</v>
      </c>
      <c r="H40" s="118">
        <v>80000</v>
      </c>
      <c r="I40" s="115">
        <f t="shared" si="0"/>
        <v>800000</v>
      </c>
      <c r="J40" s="128" t="s">
        <v>188</v>
      </c>
    </row>
    <row r="41" spans="1:10" s="116" customFormat="1" ht="38.25" x14ac:dyDescent="0.25">
      <c r="A41" s="117">
        <v>32</v>
      </c>
      <c r="B41" s="110" t="s">
        <v>94</v>
      </c>
      <c r="C41" s="110" t="s">
        <v>17</v>
      </c>
      <c r="D41" s="122" t="s">
        <v>18</v>
      </c>
      <c r="E41" s="111" t="s">
        <v>95</v>
      </c>
      <c r="F41" s="110" t="s">
        <v>19</v>
      </c>
      <c r="G41" s="119">
        <v>600</v>
      </c>
      <c r="H41" s="118">
        <v>9720</v>
      </c>
      <c r="I41" s="121">
        <f t="shared" si="0"/>
        <v>5832000</v>
      </c>
      <c r="J41" s="126" t="s">
        <v>234</v>
      </c>
    </row>
    <row r="42" spans="1:10" s="116" customFormat="1" ht="22.5" x14ac:dyDescent="0.25">
      <c r="A42" s="117">
        <v>33</v>
      </c>
      <c r="B42" s="110" t="s">
        <v>96</v>
      </c>
      <c r="C42" s="110" t="s">
        <v>17</v>
      </c>
      <c r="D42" s="122" t="s">
        <v>18</v>
      </c>
      <c r="E42" s="111" t="s">
        <v>97</v>
      </c>
      <c r="F42" s="110" t="s">
        <v>19</v>
      </c>
      <c r="G42" s="119">
        <v>80</v>
      </c>
      <c r="H42" s="118">
        <v>53000</v>
      </c>
      <c r="I42" s="115">
        <f t="shared" si="0"/>
        <v>4240000</v>
      </c>
      <c r="J42" s="130" t="s">
        <v>235</v>
      </c>
    </row>
    <row r="43" spans="1:10" s="116" customFormat="1" ht="30.75" customHeight="1" x14ac:dyDescent="0.25">
      <c r="A43" s="117">
        <v>34</v>
      </c>
      <c r="B43" s="122" t="s">
        <v>182</v>
      </c>
      <c r="C43" s="110" t="s">
        <v>98</v>
      </c>
      <c r="D43" s="122" t="s">
        <v>99</v>
      </c>
      <c r="E43" s="111" t="s">
        <v>183</v>
      </c>
      <c r="F43" s="110" t="s">
        <v>19</v>
      </c>
      <c r="G43" s="119">
        <v>200</v>
      </c>
      <c r="H43" s="118">
        <v>17250</v>
      </c>
      <c r="I43" s="115">
        <f t="shared" si="0"/>
        <v>3450000</v>
      </c>
      <c r="J43" s="130" t="s">
        <v>185</v>
      </c>
    </row>
    <row r="44" spans="1:10" s="116" customFormat="1" ht="31.5" customHeight="1" x14ac:dyDescent="0.25">
      <c r="A44" s="117">
        <v>35</v>
      </c>
      <c r="B44" s="110" t="s">
        <v>100</v>
      </c>
      <c r="C44" s="110" t="s">
        <v>98</v>
      </c>
      <c r="D44" s="110" t="s">
        <v>99</v>
      </c>
      <c r="E44" s="111" t="s">
        <v>101</v>
      </c>
      <c r="F44" s="110" t="s">
        <v>19</v>
      </c>
      <c r="G44" s="119">
        <v>210</v>
      </c>
      <c r="H44" s="118">
        <v>7200</v>
      </c>
      <c r="I44" s="115">
        <f t="shared" si="0"/>
        <v>1512000</v>
      </c>
      <c r="J44" s="130" t="s">
        <v>184</v>
      </c>
    </row>
    <row r="45" spans="1:10" s="116" customFormat="1" ht="59.25" customHeight="1" x14ac:dyDescent="0.25">
      <c r="A45" s="117">
        <v>36</v>
      </c>
      <c r="B45" s="110" t="s">
        <v>102</v>
      </c>
      <c r="C45" s="110" t="s">
        <v>24</v>
      </c>
      <c r="D45" s="110" t="s">
        <v>18</v>
      </c>
      <c r="E45" s="111" t="s">
        <v>103</v>
      </c>
      <c r="F45" s="110" t="s">
        <v>19</v>
      </c>
      <c r="G45" s="119">
        <v>210</v>
      </c>
      <c r="H45" s="118">
        <v>6000</v>
      </c>
      <c r="I45" s="115">
        <f t="shared" si="0"/>
        <v>1260000</v>
      </c>
      <c r="J45" s="129" t="s">
        <v>168</v>
      </c>
    </row>
    <row r="46" spans="1:10" s="116" customFormat="1" ht="46.5" customHeight="1" thickBot="1" x14ac:dyDescent="0.3">
      <c r="A46" s="117">
        <v>37</v>
      </c>
      <c r="B46" s="110" t="s">
        <v>104</v>
      </c>
      <c r="C46" s="110" t="s">
        <v>17</v>
      </c>
      <c r="D46" s="110" t="s">
        <v>18</v>
      </c>
      <c r="E46" s="111" t="s">
        <v>105</v>
      </c>
      <c r="F46" s="110" t="s">
        <v>19</v>
      </c>
      <c r="G46" s="123">
        <v>80</v>
      </c>
      <c r="H46" s="118">
        <v>53500</v>
      </c>
      <c r="I46" s="115">
        <f t="shared" si="0"/>
        <v>4280000</v>
      </c>
      <c r="J46" s="129" t="s">
        <v>186</v>
      </c>
    </row>
    <row r="47" spans="1:10" ht="15.75" customHeight="1" thickBot="1" x14ac:dyDescent="0.3">
      <c r="A47" s="21"/>
      <c r="B47" s="22"/>
      <c r="C47" s="23"/>
      <c r="D47" s="23"/>
      <c r="E47" s="24" t="s">
        <v>106</v>
      </c>
      <c r="F47" s="23"/>
      <c r="G47" s="26"/>
      <c r="H47" s="25"/>
      <c r="I47" s="27">
        <f>+SUM(I10:I46)</f>
        <v>57412909.200000003</v>
      </c>
      <c r="J47" s="28"/>
    </row>
    <row r="48" spans="1:10" ht="15.75" customHeight="1" x14ac:dyDescent="0.25">
      <c r="A48" s="29"/>
      <c r="B48" s="29"/>
      <c r="C48" s="29"/>
      <c r="D48" s="29"/>
      <c r="E48" s="30"/>
      <c r="F48" s="29"/>
      <c r="G48" s="31"/>
      <c r="H48" s="32"/>
      <c r="I48" s="32"/>
      <c r="J48" s="33"/>
    </row>
    <row r="49" spans="1:10" ht="15.75" customHeight="1" thickBot="1" x14ac:dyDescent="0.3">
      <c r="A49" s="29"/>
      <c r="B49" s="29"/>
      <c r="C49" s="29"/>
      <c r="D49" s="29"/>
      <c r="E49" s="30"/>
      <c r="F49" s="29"/>
      <c r="G49" s="31"/>
      <c r="H49" s="32"/>
      <c r="I49" s="32"/>
      <c r="J49" s="33"/>
    </row>
    <row r="50" spans="1:10" ht="29.25" customHeight="1" x14ac:dyDescent="0.25">
      <c r="A50" s="29"/>
      <c r="B50" s="29"/>
      <c r="C50" s="154" t="s">
        <v>107</v>
      </c>
      <c r="D50" s="155"/>
      <c r="E50" s="156"/>
      <c r="F50" s="29"/>
      <c r="G50" s="31"/>
      <c r="H50" s="32"/>
      <c r="I50" s="32"/>
      <c r="J50" s="34"/>
    </row>
    <row r="51" spans="1:10" s="140" customFormat="1" ht="29.25" customHeight="1" x14ac:dyDescent="0.25">
      <c r="A51" s="29"/>
      <c r="B51" s="29"/>
      <c r="C51" s="157" t="s">
        <v>237</v>
      </c>
      <c r="D51" s="158"/>
      <c r="E51" s="159"/>
      <c r="F51" s="29"/>
      <c r="G51" s="31"/>
      <c r="H51" s="32"/>
      <c r="I51" s="32"/>
      <c r="J51" s="34"/>
    </row>
    <row r="52" spans="1:10" ht="15.75" customHeight="1" x14ac:dyDescent="0.25">
      <c r="A52" s="29"/>
      <c r="B52" s="29"/>
      <c r="C52" s="35"/>
      <c r="D52" s="164"/>
      <c r="E52" s="151"/>
      <c r="F52" s="29"/>
      <c r="G52" s="31"/>
      <c r="H52" s="32"/>
      <c r="I52" s="32"/>
      <c r="J52" s="33"/>
    </row>
    <row r="53" spans="1:10" ht="15.75" customHeight="1" x14ac:dyDescent="0.25">
      <c r="A53" s="29"/>
      <c r="B53" s="29"/>
      <c r="C53" s="35" t="s">
        <v>108</v>
      </c>
      <c r="D53" s="108" t="s">
        <v>187</v>
      </c>
      <c r="E53" s="37"/>
      <c r="F53" s="29"/>
      <c r="G53" s="31"/>
      <c r="H53" s="32"/>
      <c r="I53" s="32"/>
      <c r="J53" s="33"/>
    </row>
    <row r="54" spans="1:10" ht="15.75" customHeight="1" x14ac:dyDescent="0.25">
      <c r="A54" s="29"/>
      <c r="B54" s="29"/>
      <c r="C54" s="35"/>
      <c r="D54" s="152"/>
      <c r="E54" s="151"/>
      <c r="F54" s="29"/>
      <c r="G54" s="31"/>
      <c r="H54" s="32"/>
      <c r="I54" s="32"/>
      <c r="J54" s="33"/>
    </row>
    <row r="55" spans="1:10" ht="15.75" customHeight="1" x14ac:dyDescent="0.25">
      <c r="A55" s="29"/>
      <c r="B55" s="29"/>
      <c r="C55" s="35" t="s">
        <v>109</v>
      </c>
      <c r="D55" s="150" t="s">
        <v>110</v>
      </c>
      <c r="E55" s="151"/>
      <c r="F55" s="29"/>
      <c r="G55" s="31"/>
      <c r="H55" s="32"/>
      <c r="I55" s="32"/>
      <c r="J55" s="33"/>
    </row>
    <row r="56" spans="1:10" ht="15.75" customHeight="1" x14ac:dyDescent="0.25">
      <c r="A56" s="29"/>
      <c r="B56" s="29"/>
      <c r="C56" s="35"/>
      <c r="D56" s="152"/>
      <c r="E56" s="151"/>
      <c r="F56" s="29"/>
      <c r="G56" s="31"/>
      <c r="H56" s="32"/>
      <c r="I56" s="32"/>
      <c r="J56" s="33"/>
    </row>
    <row r="57" spans="1:10" ht="15.75" customHeight="1" x14ac:dyDescent="0.25">
      <c r="A57" s="29"/>
      <c r="B57" s="29"/>
      <c r="C57" s="35" t="s">
        <v>111</v>
      </c>
      <c r="D57" s="152"/>
      <c r="E57" s="151"/>
      <c r="F57" s="29"/>
      <c r="G57" s="31"/>
      <c r="H57" s="32"/>
      <c r="I57" s="32"/>
      <c r="J57" s="33"/>
    </row>
    <row r="58" spans="1:10" s="107" customFormat="1" ht="15.75" customHeight="1" x14ac:dyDescent="0.25">
      <c r="A58" s="29"/>
      <c r="B58" s="29"/>
      <c r="C58" s="35"/>
      <c r="D58" s="106"/>
      <c r="E58" s="105"/>
      <c r="F58" s="29"/>
      <c r="G58" s="31"/>
      <c r="H58" s="32"/>
      <c r="I58" s="32"/>
      <c r="J58" s="33"/>
    </row>
    <row r="59" spans="1:10" s="107" customFormat="1" ht="15.75" customHeight="1" x14ac:dyDescent="0.25">
      <c r="A59" s="29"/>
      <c r="B59" s="29"/>
      <c r="C59" s="131" t="s">
        <v>190</v>
      </c>
      <c r="D59" s="167" t="s">
        <v>191</v>
      </c>
      <c r="E59" s="168"/>
      <c r="F59" s="29"/>
      <c r="G59" s="31"/>
      <c r="H59" s="32"/>
      <c r="I59" s="32"/>
      <c r="J59" s="33"/>
    </row>
    <row r="60" spans="1:10" ht="15.75" customHeight="1" x14ac:dyDescent="0.25">
      <c r="A60" s="29"/>
      <c r="B60" s="29"/>
      <c r="C60" s="35"/>
      <c r="D60" s="152"/>
      <c r="E60" s="151"/>
      <c r="F60" s="29"/>
      <c r="G60" s="31"/>
      <c r="H60" s="32"/>
      <c r="I60" s="32"/>
      <c r="J60" s="33"/>
    </row>
    <row r="61" spans="1:10" ht="15.75" customHeight="1" x14ac:dyDescent="0.25">
      <c r="A61" s="29"/>
      <c r="B61" s="29"/>
      <c r="C61" s="35" t="s">
        <v>112</v>
      </c>
      <c r="D61" s="36" t="s">
        <v>113</v>
      </c>
      <c r="E61" s="37"/>
      <c r="F61" s="29"/>
      <c r="G61" s="31"/>
      <c r="H61" s="32"/>
      <c r="I61" s="32"/>
      <c r="J61" s="33"/>
    </row>
    <row r="62" spans="1:10" ht="15.75" customHeight="1" thickBot="1" x14ac:dyDescent="0.3">
      <c r="A62" s="29"/>
      <c r="B62" s="29"/>
      <c r="C62" s="38"/>
      <c r="D62" s="165"/>
      <c r="E62" s="166"/>
      <c r="F62" s="29"/>
      <c r="G62" s="31"/>
      <c r="H62" s="32"/>
      <c r="I62" s="32"/>
      <c r="J62" s="33"/>
    </row>
    <row r="63" spans="1:10" ht="15.75" customHeight="1" x14ac:dyDescent="0.25">
      <c r="A63" s="29"/>
      <c r="B63" s="29"/>
      <c r="C63" s="29"/>
      <c r="D63" s="29"/>
      <c r="E63" s="30"/>
      <c r="F63" s="29"/>
      <c r="G63" s="31"/>
      <c r="H63" s="32"/>
      <c r="I63" s="32"/>
      <c r="J63" s="33"/>
    </row>
    <row r="64" spans="1:10" ht="15.75" customHeight="1" thickBot="1" x14ac:dyDescent="0.3">
      <c r="A64" s="29"/>
      <c r="B64" s="29"/>
      <c r="C64" s="29"/>
      <c r="D64" s="29"/>
      <c r="E64" s="30"/>
      <c r="F64" s="29"/>
      <c r="G64" s="31"/>
      <c r="H64" s="32"/>
      <c r="I64" s="32"/>
      <c r="J64" s="33"/>
    </row>
    <row r="65" spans="1:10" ht="15.75" customHeight="1" x14ac:dyDescent="0.25">
      <c r="A65" s="29"/>
      <c r="B65" s="29"/>
      <c r="C65" s="160" t="s">
        <v>114</v>
      </c>
      <c r="D65" s="147"/>
      <c r="E65" s="148"/>
      <c r="F65" s="29"/>
      <c r="G65" s="31"/>
      <c r="H65" s="32"/>
      <c r="I65" s="32"/>
      <c r="J65" s="33"/>
    </row>
    <row r="66" spans="1:10" ht="15.75" customHeight="1" thickBot="1" x14ac:dyDescent="0.3">
      <c r="A66" s="7"/>
      <c r="B66" s="7"/>
      <c r="C66" s="161" t="str">
        <f>J10</f>
        <v>AIRE ACONDICIONADOS SPLIT INVERTER</v>
      </c>
      <c r="D66" s="162"/>
      <c r="E66" s="163"/>
      <c r="F66" s="7"/>
      <c r="G66" s="8"/>
      <c r="H66" s="6"/>
      <c r="I66" s="6"/>
      <c r="J66" s="9"/>
    </row>
    <row r="67" spans="1:10" ht="15.75" customHeight="1" thickBot="1" x14ac:dyDescent="0.3">
      <c r="A67" s="29"/>
      <c r="B67" s="29"/>
      <c r="C67" s="30"/>
      <c r="D67" s="30"/>
      <c r="E67" s="30"/>
      <c r="F67" s="29"/>
      <c r="G67" s="29"/>
      <c r="H67" s="29"/>
      <c r="I67" s="29"/>
      <c r="J67" s="29"/>
    </row>
    <row r="68" spans="1:10" ht="15.75" customHeight="1" x14ac:dyDescent="0.25">
      <c r="A68" s="7"/>
      <c r="B68" s="7"/>
      <c r="C68" s="146" t="s">
        <v>115</v>
      </c>
      <c r="D68" s="147"/>
      <c r="E68" s="148"/>
      <c r="F68" s="7"/>
      <c r="G68" s="8"/>
      <c r="H68" s="6"/>
      <c r="I68" s="6"/>
      <c r="J68" s="9"/>
    </row>
    <row r="69" spans="1:10" ht="33.75" customHeight="1" thickBot="1" x14ac:dyDescent="0.3">
      <c r="A69" s="7"/>
      <c r="B69" s="7"/>
      <c r="C69" s="143" t="str">
        <f>J11</f>
        <v>AIRE ACONDICIONADOS SPLIT INVERTER</v>
      </c>
      <c r="D69" s="144"/>
      <c r="E69" s="145"/>
      <c r="F69" s="7"/>
      <c r="G69" s="8"/>
      <c r="H69" s="6"/>
      <c r="I69" s="6"/>
      <c r="J69" s="9"/>
    </row>
    <row r="70" spans="1:10" ht="15.75" customHeight="1" thickBot="1" x14ac:dyDescent="0.3">
      <c r="A70" s="7"/>
      <c r="B70" s="7"/>
      <c r="C70" s="132"/>
      <c r="D70" s="39"/>
      <c r="E70" s="39"/>
      <c r="F70" s="7"/>
      <c r="G70" s="8"/>
      <c r="H70" s="6"/>
      <c r="I70" s="6"/>
      <c r="J70" s="9"/>
    </row>
    <row r="71" spans="1:10" ht="15.75" customHeight="1" x14ac:dyDescent="0.25">
      <c r="A71" s="7"/>
      <c r="B71" s="7"/>
      <c r="C71" s="146" t="s">
        <v>192</v>
      </c>
      <c r="D71" s="147"/>
      <c r="E71" s="148"/>
      <c r="F71" s="7"/>
      <c r="G71" s="8"/>
      <c r="H71" s="6"/>
      <c r="I71" s="6"/>
      <c r="J71" s="9"/>
    </row>
    <row r="72" spans="1:10" ht="27" customHeight="1" thickBot="1" x14ac:dyDescent="0.3">
      <c r="A72" s="7"/>
      <c r="B72" s="7"/>
      <c r="C72" s="143" t="str">
        <f>J12</f>
        <v>Algodón lavable. Color Blanco. Relleno: espuma viscoelástica</v>
      </c>
      <c r="D72" s="144"/>
      <c r="E72" s="145"/>
      <c r="F72" s="7"/>
      <c r="G72" s="8"/>
      <c r="H72" s="6"/>
      <c r="I72" s="6"/>
      <c r="J72" s="9"/>
    </row>
    <row r="73" spans="1:10" ht="15.75" customHeight="1" thickBot="1" x14ac:dyDescent="0.3">
      <c r="A73" s="7"/>
      <c r="B73" s="7"/>
      <c r="C73" s="132"/>
      <c r="D73" s="39"/>
      <c r="E73" s="39"/>
      <c r="F73" s="7"/>
      <c r="G73" s="8"/>
      <c r="H73" s="6"/>
      <c r="I73" s="6"/>
      <c r="J73" s="9"/>
    </row>
    <row r="74" spans="1:10" ht="15.75" customHeight="1" x14ac:dyDescent="0.25">
      <c r="A74" s="7"/>
      <c r="B74" s="7"/>
      <c r="C74" s="146" t="s">
        <v>193</v>
      </c>
      <c r="D74" s="147"/>
      <c r="E74" s="148"/>
      <c r="F74" s="7"/>
      <c r="G74" s="8"/>
      <c r="H74" s="6"/>
      <c r="I74" s="6"/>
      <c r="J74" s="9"/>
    </row>
    <row r="75" spans="1:10" ht="15.75" customHeight="1" thickBot="1" x14ac:dyDescent="0.3">
      <c r="A75" s="7"/>
      <c r="B75" s="7"/>
      <c r="C75" s="143" t="str">
        <f>J13</f>
        <v>BANQUETA METAL (c/respaldo, Giratoria, 5 patas y ruedas)</v>
      </c>
      <c r="D75" s="144"/>
      <c r="E75" s="145"/>
      <c r="F75" s="7"/>
      <c r="G75" s="8"/>
      <c r="H75" s="6"/>
      <c r="I75" s="6"/>
      <c r="J75" s="9"/>
    </row>
    <row r="76" spans="1:10" ht="15.75" customHeight="1" thickBot="1" x14ac:dyDescent="0.3">
      <c r="A76" s="7"/>
      <c r="B76" s="7"/>
      <c r="C76" s="132"/>
      <c r="D76" s="39"/>
      <c r="E76" s="39"/>
      <c r="F76" s="7"/>
      <c r="G76" s="8"/>
      <c r="H76" s="6"/>
      <c r="I76" s="6"/>
      <c r="J76" s="9"/>
    </row>
    <row r="77" spans="1:10" ht="15.75" customHeight="1" x14ac:dyDescent="0.25">
      <c r="A77" s="7"/>
      <c r="B77" s="7"/>
      <c r="C77" s="146" t="s">
        <v>194</v>
      </c>
      <c r="D77" s="147"/>
      <c r="E77" s="148"/>
      <c r="F77" s="7"/>
      <c r="G77" s="8"/>
      <c r="H77" s="6"/>
      <c r="I77" s="6"/>
      <c r="J77" s="9"/>
    </row>
    <row r="78" spans="1:10" ht="25.5" customHeight="1" thickBot="1" x14ac:dyDescent="0.3">
      <c r="A78" s="7"/>
      <c r="B78" s="7"/>
      <c r="C78" s="143" t="str">
        <f>J14</f>
        <v>BANQUETA METAL (s/respaldo, Fija, 4 patas y sin ruedas)</v>
      </c>
      <c r="D78" s="144"/>
      <c r="E78" s="145"/>
      <c r="F78" s="7"/>
      <c r="G78" s="8"/>
      <c r="H78" s="6"/>
      <c r="I78" s="6"/>
      <c r="J78" s="9"/>
    </row>
    <row r="79" spans="1:10" ht="15.75" customHeight="1" thickBot="1" x14ac:dyDescent="0.3">
      <c r="A79" s="7"/>
      <c r="B79" s="7"/>
      <c r="C79" s="132"/>
      <c r="D79" s="39"/>
      <c r="E79" s="39"/>
      <c r="F79" s="7"/>
      <c r="G79" s="8"/>
      <c r="H79" s="6"/>
      <c r="I79" s="6"/>
      <c r="J79" s="9"/>
    </row>
    <row r="80" spans="1:10" ht="15.75" customHeight="1" x14ac:dyDescent="0.25">
      <c r="A80" s="7"/>
      <c r="B80" s="7"/>
      <c r="C80" s="146" t="s">
        <v>195</v>
      </c>
      <c r="D80" s="147"/>
      <c r="E80" s="148"/>
      <c r="F80" s="7"/>
      <c r="G80" s="8"/>
      <c r="H80" s="6"/>
      <c r="I80" s="6"/>
      <c r="J80" s="9"/>
    </row>
    <row r="81" spans="1:10" ht="24" customHeight="1" thickBot="1" x14ac:dyDescent="0.3">
      <c r="A81" s="7"/>
      <c r="B81" s="7"/>
      <c r="C81" s="143" t="str">
        <f>J15</f>
        <v>BIBLIOTECA (Melamina, 2 puertas) Estantes: 5</v>
      </c>
      <c r="D81" s="144"/>
      <c r="E81" s="145"/>
      <c r="F81" s="7"/>
      <c r="G81" s="8"/>
      <c r="H81" s="6"/>
      <c r="I81" s="6"/>
      <c r="J81" s="9"/>
    </row>
    <row r="82" spans="1:10" ht="15.75" customHeight="1" thickBot="1" x14ac:dyDescent="0.3">
      <c r="A82" s="7"/>
      <c r="B82" s="7"/>
      <c r="C82" s="132"/>
      <c r="D82" s="39"/>
      <c r="E82" s="39"/>
      <c r="F82" s="7"/>
      <c r="G82" s="8"/>
      <c r="H82" s="6"/>
      <c r="I82" s="6"/>
      <c r="J82" s="9"/>
    </row>
    <row r="83" spans="1:10" ht="15.75" customHeight="1" x14ac:dyDescent="0.25">
      <c r="A83" s="7"/>
      <c r="B83" s="7"/>
      <c r="C83" s="146" t="s">
        <v>196</v>
      </c>
      <c r="D83" s="147"/>
      <c r="E83" s="148"/>
      <c r="F83" s="7"/>
      <c r="G83" s="8"/>
      <c r="H83" s="6"/>
      <c r="I83" s="6"/>
      <c r="J83" s="9"/>
    </row>
    <row r="84" spans="1:10" ht="15.75" customHeight="1" thickBot="1" x14ac:dyDescent="0.3">
      <c r="A84" s="7"/>
      <c r="B84" s="7"/>
      <c r="C84" s="143" t="str">
        <f>J16</f>
        <v>Biombos sanitarios con estructura metálica protegida por pintura epoxi, con ruedas de plástico y cuerpo de tela refrozada</v>
      </c>
      <c r="D84" s="144"/>
      <c r="E84" s="145"/>
      <c r="F84" s="7"/>
      <c r="G84" s="8"/>
      <c r="H84" s="6"/>
      <c r="I84" s="6"/>
      <c r="J84" s="9"/>
    </row>
    <row r="85" spans="1:10" ht="15.75" customHeight="1" thickBot="1" x14ac:dyDescent="0.3">
      <c r="A85" s="7"/>
      <c r="B85" s="7"/>
      <c r="C85" s="132"/>
      <c r="D85" s="39"/>
      <c r="E85" s="39"/>
      <c r="F85" s="7"/>
      <c r="G85" s="8"/>
      <c r="H85" s="6"/>
      <c r="I85" s="6"/>
      <c r="J85" s="9"/>
    </row>
    <row r="86" spans="1:10" ht="15.75" customHeight="1" x14ac:dyDescent="0.25">
      <c r="A86" s="7"/>
      <c r="B86" s="7"/>
      <c r="C86" s="146" t="s">
        <v>197</v>
      </c>
      <c r="D86" s="147"/>
      <c r="E86" s="148"/>
      <c r="F86" s="7"/>
      <c r="G86" s="8"/>
      <c r="H86" s="6"/>
      <c r="I86" s="6"/>
      <c r="J86" s="9"/>
    </row>
    <row r="87" spans="1:10" ht="15.75" customHeight="1" thickBot="1" x14ac:dyDescent="0.3">
      <c r="A87" s="7"/>
      <c r="B87" s="7"/>
      <c r="C87" s="143" t="str">
        <f>J17</f>
        <v>CALOVENTOR (1800 W)</v>
      </c>
      <c r="D87" s="144"/>
      <c r="E87" s="145"/>
      <c r="F87" s="7"/>
      <c r="G87" s="8"/>
      <c r="H87" s="6"/>
      <c r="I87" s="6"/>
      <c r="J87" s="9"/>
    </row>
    <row r="88" spans="1:10" ht="15.75" customHeight="1" thickBot="1" x14ac:dyDescent="0.3">
      <c r="A88" s="7"/>
      <c r="B88" s="7"/>
      <c r="C88" s="30"/>
      <c r="D88" s="30"/>
      <c r="E88" s="30"/>
      <c r="F88" s="7"/>
      <c r="G88" s="8"/>
      <c r="H88" s="6"/>
      <c r="I88" s="6"/>
      <c r="J88" s="9"/>
    </row>
    <row r="89" spans="1:10" ht="15.75" customHeight="1" x14ac:dyDescent="0.25">
      <c r="A89" s="7"/>
      <c r="B89" s="7"/>
      <c r="C89" s="146" t="s">
        <v>198</v>
      </c>
      <c r="D89" s="147"/>
      <c r="E89" s="148"/>
      <c r="F89" s="7"/>
      <c r="G89" s="8"/>
      <c r="H89" s="6"/>
      <c r="I89" s="6"/>
      <c r="J89" s="9"/>
    </row>
    <row r="90" spans="1:10" ht="15.75" customHeight="1" thickBot="1" x14ac:dyDescent="0.3">
      <c r="A90" s="7"/>
      <c r="B90" s="7"/>
      <c r="C90" s="143" t="str">
        <f>J18</f>
        <v>CAMA Madera (1 plaza)</v>
      </c>
      <c r="D90" s="144"/>
      <c r="E90" s="145"/>
      <c r="F90" s="7"/>
      <c r="G90" s="8"/>
      <c r="H90" s="6"/>
      <c r="I90" s="6"/>
      <c r="J90" s="9"/>
    </row>
    <row r="91" spans="1:10" ht="15.75" customHeight="1" thickBot="1" x14ac:dyDescent="0.3">
      <c r="A91" s="7"/>
      <c r="B91" s="7"/>
      <c r="C91" s="132"/>
      <c r="D91" s="39"/>
      <c r="E91" s="39"/>
      <c r="F91" s="7"/>
      <c r="G91" s="8"/>
      <c r="H91" s="6"/>
      <c r="I91" s="6"/>
      <c r="J91" s="9"/>
    </row>
    <row r="92" spans="1:10" ht="15.75" customHeight="1" x14ac:dyDescent="0.25">
      <c r="A92" s="7"/>
      <c r="B92" s="7"/>
      <c r="C92" s="146" t="s">
        <v>199</v>
      </c>
      <c r="D92" s="147"/>
      <c r="E92" s="148"/>
      <c r="F92" s="7"/>
      <c r="G92" s="8"/>
      <c r="H92" s="6"/>
      <c r="I92" s="6"/>
      <c r="J92" s="9"/>
    </row>
    <row r="93" spans="1:10" ht="15.75" customHeight="1" thickBot="1" x14ac:dyDescent="0.3">
      <c r="A93" s="7"/>
      <c r="B93" s="7"/>
      <c r="C93" s="143" t="str">
        <f>J19</f>
        <v>COLCHONES (1 plaza)</v>
      </c>
      <c r="D93" s="144"/>
      <c r="E93" s="145"/>
      <c r="F93" s="7"/>
      <c r="G93" s="8"/>
      <c r="H93" s="6"/>
      <c r="I93" s="6"/>
      <c r="J93" s="9"/>
    </row>
    <row r="94" spans="1:10" ht="15.75" customHeight="1" thickBot="1" x14ac:dyDescent="0.3">
      <c r="A94" s="7"/>
      <c r="B94" s="7"/>
      <c r="C94" s="132"/>
      <c r="D94" s="39"/>
      <c r="E94" s="39"/>
      <c r="F94" s="7"/>
      <c r="G94" s="8"/>
      <c r="H94" s="6"/>
      <c r="I94" s="6"/>
      <c r="J94" s="9"/>
    </row>
    <row r="95" spans="1:10" ht="15.75" customHeight="1" x14ac:dyDescent="0.25">
      <c r="A95" s="7"/>
      <c r="B95" s="7"/>
      <c r="C95" s="146" t="s">
        <v>200</v>
      </c>
      <c r="D95" s="147"/>
      <c r="E95" s="148"/>
      <c r="F95" s="7"/>
      <c r="G95" s="8"/>
      <c r="H95" s="6"/>
      <c r="I95" s="6"/>
      <c r="J95" s="9"/>
    </row>
    <row r="96" spans="1:10" ht="15.75" customHeight="1" thickBot="1" x14ac:dyDescent="0.3">
      <c r="A96" s="7"/>
      <c r="B96" s="7"/>
      <c r="C96" s="143" t="str">
        <f>J20</f>
        <v xml:space="preserve">ACOLCHADO Cubrecama Nido de abeja (1, 1/2 plaza), color beige, material: 70% algodón - 30% poliester, uso: hospitalario. </v>
      </c>
      <c r="D96" s="144"/>
      <c r="E96" s="145"/>
      <c r="F96" s="7"/>
      <c r="G96" s="8"/>
      <c r="H96" s="6"/>
      <c r="I96" s="6"/>
      <c r="J96" s="9"/>
    </row>
    <row r="97" spans="1:10" ht="15.75" customHeight="1" thickBot="1" x14ac:dyDescent="0.3">
      <c r="A97" s="7"/>
      <c r="B97" s="7"/>
      <c r="C97" s="132"/>
      <c r="D97" s="39"/>
      <c r="E97" s="39"/>
      <c r="F97" s="7"/>
      <c r="G97" s="8"/>
      <c r="H97" s="6"/>
      <c r="I97" s="6"/>
      <c r="J97" s="9"/>
    </row>
    <row r="98" spans="1:10" ht="15.75" customHeight="1" x14ac:dyDescent="0.25">
      <c r="A98" s="7"/>
      <c r="B98" s="7"/>
      <c r="C98" s="146" t="s">
        <v>201</v>
      </c>
      <c r="D98" s="147"/>
      <c r="E98" s="148"/>
      <c r="F98" s="7"/>
      <c r="G98" s="8"/>
      <c r="H98" s="6"/>
      <c r="I98" s="6"/>
      <c r="J98" s="9"/>
    </row>
    <row r="99" spans="1:10" ht="15.75" customHeight="1" thickBot="1" x14ac:dyDescent="0.3">
      <c r="A99" s="7"/>
      <c r="B99" s="7"/>
      <c r="C99" s="143" t="str">
        <f>J21</f>
        <v>ESCALERA de Apoyo (2 peldaños)</v>
      </c>
      <c r="D99" s="144"/>
      <c r="E99" s="145"/>
      <c r="F99" s="7"/>
      <c r="G99" s="8"/>
      <c r="H99" s="6"/>
      <c r="I99" s="6"/>
      <c r="J99" s="9"/>
    </row>
    <row r="100" spans="1:10" ht="15.75" customHeight="1" thickBot="1" x14ac:dyDescent="0.3">
      <c r="A100" s="7"/>
      <c r="B100" s="7"/>
      <c r="C100" s="132"/>
      <c r="D100" s="39"/>
      <c r="E100" s="39"/>
      <c r="F100" s="7"/>
      <c r="G100" s="8"/>
      <c r="H100" s="6"/>
      <c r="I100" s="6"/>
      <c r="J100" s="9"/>
    </row>
    <row r="101" spans="1:10" ht="15.75" customHeight="1" x14ac:dyDescent="0.25">
      <c r="A101" s="7"/>
      <c r="B101" s="7"/>
      <c r="C101" s="146" t="s">
        <v>202</v>
      </c>
      <c r="D101" s="147"/>
      <c r="E101" s="148"/>
      <c r="F101" s="7"/>
      <c r="G101" s="8"/>
      <c r="H101" s="6"/>
      <c r="I101" s="6"/>
      <c r="J101" s="9"/>
    </row>
    <row r="102" spans="1:10" ht="15.75" customHeight="1" thickBot="1" x14ac:dyDescent="0.3">
      <c r="A102" s="7"/>
      <c r="B102" s="7"/>
      <c r="C102" s="143" t="str">
        <f>J22</f>
        <v>ESCRITORIO (Aglomerado, terminación melamina, c/3 cajones y bandeja portateclado)</v>
      </c>
      <c r="D102" s="144"/>
      <c r="E102" s="145"/>
      <c r="F102" s="7"/>
      <c r="G102" s="8"/>
      <c r="H102" s="6"/>
      <c r="I102" s="6"/>
      <c r="J102" s="9"/>
    </row>
    <row r="103" spans="1:10" ht="15.75" customHeight="1" thickBot="1" x14ac:dyDescent="0.3">
      <c r="A103" s="7"/>
      <c r="B103" s="7"/>
      <c r="C103" s="132"/>
      <c r="D103" s="39"/>
      <c r="E103" s="39"/>
      <c r="F103" s="7"/>
      <c r="G103" s="8"/>
      <c r="H103" s="6"/>
      <c r="I103" s="6"/>
      <c r="J103" s="9"/>
    </row>
    <row r="104" spans="1:10" ht="15" customHeight="1" x14ac:dyDescent="0.25">
      <c r="C104" s="146" t="s">
        <v>203</v>
      </c>
      <c r="D104" s="147"/>
      <c r="E104" s="148"/>
    </row>
    <row r="105" spans="1:10" ht="32.25" customHeight="1" thickBot="1" x14ac:dyDescent="0.3">
      <c r="C105" s="143" t="str">
        <f>J23</f>
        <v>ESCRITORIO (Aglomerado, terminación melamina, c/4 cajones) con bandeja porta teclado corredizo y pasacables. Profundidad: 73 CM APROX. Largo: 150 CM APROX. Altura: 75 CM APROX</v>
      </c>
      <c r="D105" s="144"/>
      <c r="E105" s="145"/>
    </row>
    <row r="106" spans="1:10" ht="15" customHeight="1" thickBot="1" x14ac:dyDescent="0.3">
      <c r="C106" s="133"/>
      <c r="D106" s="133"/>
      <c r="E106" s="133"/>
    </row>
    <row r="107" spans="1:10" ht="15" customHeight="1" x14ac:dyDescent="0.25">
      <c r="C107" s="146" t="s">
        <v>204</v>
      </c>
      <c r="D107" s="147"/>
      <c r="E107" s="148"/>
    </row>
    <row r="108" spans="1:10" ht="15" customHeight="1" thickBot="1" x14ac:dyDescent="0.3">
      <c r="C108" s="143" t="str">
        <f>J24</f>
        <v>ESTANTERIA METALICA (6 Estantes) (Alt.xAnc.xProf.=260x205x60cm) Estantes reforzados: capacidad de carga 35/40 kg por estante. Terminación con pintura epoxi.</v>
      </c>
      <c r="D108" s="144"/>
      <c r="E108" s="145"/>
    </row>
    <row r="109" spans="1:10" ht="15" customHeight="1" thickBot="1" x14ac:dyDescent="0.3">
      <c r="C109" s="30"/>
      <c r="D109" s="30"/>
      <c r="E109" s="30"/>
    </row>
    <row r="110" spans="1:10" ht="15" customHeight="1" x14ac:dyDescent="0.25">
      <c r="C110" s="146" t="s">
        <v>205</v>
      </c>
      <c r="D110" s="147"/>
      <c r="E110" s="148"/>
    </row>
    <row r="111" spans="1:10" ht="15" customHeight="1" thickBot="1" x14ac:dyDescent="0.3">
      <c r="C111" s="143" t="str">
        <f>J25</f>
        <v>FRAZADA de Polar (1 plaza y 1/2), color beige. Polar Reversible.</v>
      </c>
      <c r="D111" s="144"/>
      <c r="E111" s="145"/>
    </row>
    <row r="112" spans="1:10" ht="15" customHeight="1" thickBot="1" x14ac:dyDescent="0.3">
      <c r="C112" s="132"/>
      <c r="D112" s="39"/>
      <c r="E112" s="39"/>
    </row>
    <row r="113" spans="3:5" ht="15" customHeight="1" x14ac:dyDescent="0.25">
      <c r="C113" s="146" t="s">
        <v>116</v>
      </c>
      <c r="D113" s="147"/>
      <c r="E113" s="148"/>
    </row>
    <row r="114" spans="3:5" ht="15" customHeight="1" thickBot="1" x14ac:dyDescent="0.3">
      <c r="C114" s="143" t="str">
        <f>J26</f>
        <v>Incluye 3 separadores por cada cajon</v>
      </c>
      <c r="D114" s="144"/>
      <c r="E114" s="145"/>
    </row>
    <row r="115" spans="3:5" ht="15" customHeight="1" thickBot="1" x14ac:dyDescent="0.3">
      <c r="C115" s="132"/>
      <c r="D115" s="39"/>
      <c r="E115" s="39"/>
    </row>
    <row r="116" spans="3:5" ht="15" customHeight="1" x14ac:dyDescent="0.25">
      <c r="C116" s="146" t="s">
        <v>206</v>
      </c>
      <c r="D116" s="147"/>
      <c r="E116" s="148"/>
    </row>
    <row r="117" spans="3:5" ht="48" customHeight="1" thickBot="1" x14ac:dyDescent="0.3">
      <c r="C117" s="143" t="str">
        <f>J27</f>
        <v xml:space="preserve">Heladera No Frost de 400 lts aproximadamente (incluyendo el freezer). Con estantes de vidrio templado, alarma de puerta abierta, filtro antibacterial y control de temperatura. </v>
      </c>
      <c r="D117" s="144"/>
      <c r="E117" s="145"/>
    </row>
    <row r="118" spans="3:5" ht="15" customHeight="1" thickBot="1" x14ac:dyDescent="0.3">
      <c r="C118" s="132"/>
      <c r="D118" s="39"/>
      <c r="E118" s="39"/>
    </row>
    <row r="119" spans="3:5" ht="15" customHeight="1" x14ac:dyDescent="0.25">
      <c r="C119" s="146" t="s">
        <v>207</v>
      </c>
      <c r="D119" s="147"/>
      <c r="E119" s="148"/>
    </row>
    <row r="120" spans="3:5" ht="15" customHeight="1" thickBot="1" x14ac:dyDescent="0.3">
      <c r="C120" s="143" t="str">
        <f>J28</f>
        <v>MICROONDA Cap.30L, Potencia Max.: 1000W. Eficiencia Energetica: minima B.</v>
      </c>
      <c r="D120" s="144"/>
      <c r="E120" s="145"/>
    </row>
    <row r="121" spans="3:5" ht="15" customHeight="1" thickBot="1" x14ac:dyDescent="0.3">
      <c r="C121" s="132"/>
      <c r="D121" s="39"/>
      <c r="E121" s="39"/>
    </row>
    <row r="122" spans="3:5" ht="15" customHeight="1" x14ac:dyDescent="0.25">
      <c r="C122" s="146" t="s">
        <v>208</v>
      </c>
      <c r="D122" s="147"/>
      <c r="E122" s="148"/>
    </row>
    <row r="123" spans="3:5" ht="42.75" customHeight="1" thickBot="1" x14ac:dyDescent="0.3">
      <c r="C123" s="143" t="str">
        <f>J29</f>
        <v xml:space="preserve">Lavarropas de tecnología inverter, de marca reconocida, con carga frontal y capacidad de 10Kg de ropa, con eficiencia energática A o superior y tensión de alimentación: 220Vca, apto para lavar con agua a diferentes temperatura, tambor de acero inoxidable y filtros atrapa pelusas. La velocidad de centrifugado mínima debe ser 1200 R.P.M. Debe contar con bloqueo de seguridad de puerta. </v>
      </c>
      <c r="D123" s="144"/>
      <c r="E123" s="145"/>
    </row>
    <row r="124" spans="3:5" ht="15" customHeight="1" thickBot="1" x14ac:dyDescent="0.3">
      <c r="C124" s="132"/>
      <c r="D124" s="39"/>
      <c r="E124" s="39"/>
    </row>
    <row r="125" spans="3:5" ht="15" customHeight="1" x14ac:dyDescent="0.25">
      <c r="C125" s="146" t="s">
        <v>209</v>
      </c>
      <c r="D125" s="147"/>
      <c r="E125" s="148"/>
    </row>
    <row r="126" spans="3:5" ht="15" customHeight="1" thickBot="1" x14ac:dyDescent="0.3">
      <c r="C126" s="143" t="str">
        <f>J30</f>
        <v>LOCKER Metálicos: 6 casilleros c/estantes, dimensión: Alt. 182 x ancho 78x prof. 52 cm</v>
      </c>
      <c r="D126" s="144"/>
      <c r="E126" s="145"/>
    </row>
    <row r="127" spans="3:5" ht="15" customHeight="1" thickBot="1" x14ac:dyDescent="0.3">
      <c r="C127" s="10"/>
      <c r="D127" s="10"/>
      <c r="E127" s="10"/>
    </row>
    <row r="128" spans="3:5" ht="15" customHeight="1" x14ac:dyDescent="0.25">
      <c r="C128" s="146" t="s">
        <v>117</v>
      </c>
      <c r="D128" s="147"/>
      <c r="E128" s="148"/>
    </row>
    <row r="129" spans="3:5" ht="15" customHeight="1" thickBot="1" x14ac:dyDescent="0.3">
      <c r="C129" s="143" t="str">
        <f>J31</f>
        <v>MESA DE LUZ (c/1 cajón y 1 puerta) Alt. 70 cm aprox.</v>
      </c>
      <c r="D129" s="144"/>
      <c r="E129" s="145"/>
    </row>
    <row r="130" spans="3:5" ht="15" customHeight="1" thickBot="1" x14ac:dyDescent="0.3">
      <c r="C130" s="10"/>
      <c r="D130" s="10"/>
      <c r="E130" s="10"/>
    </row>
    <row r="131" spans="3:5" ht="15" customHeight="1" x14ac:dyDescent="0.25">
      <c r="C131" s="146" t="s">
        <v>210</v>
      </c>
      <c r="D131" s="147"/>
      <c r="E131" s="148"/>
    </row>
    <row r="132" spans="3:5" ht="15" customHeight="1" thickBot="1" x14ac:dyDescent="0.3">
      <c r="C132" s="143" t="str">
        <f>J32</f>
        <v>MESA DE REUNIONES Aglomerado, terminación melamina (Cap.8 personas)</v>
      </c>
      <c r="D132" s="144"/>
      <c r="E132" s="145"/>
    </row>
    <row r="133" spans="3:5" ht="15" customHeight="1" thickBot="1" x14ac:dyDescent="0.3">
      <c r="C133" s="10"/>
      <c r="D133" s="10"/>
      <c r="E133" s="10"/>
    </row>
    <row r="134" spans="3:5" ht="15" customHeight="1" x14ac:dyDescent="0.25">
      <c r="C134" s="146" t="s">
        <v>211</v>
      </c>
      <c r="D134" s="147"/>
      <c r="E134" s="148"/>
    </row>
    <row r="135" spans="3:5" ht="15" customHeight="1" thickBot="1" x14ac:dyDescent="0.3">
      <c r="C135" s="143" t="str">
        <f>J33</f>
        <v>MESA P/CAMA; Rodante;  Altura regulable; Estructura de acero pintado/cromado. Cuatro ruedas dobles con frenos. Con ajuste manual. Regulable en altura: 72 a 115cm.</v>
      </c>
      <c r="D135" s="144"/>
      <c r="E135" s="145"/>
    </row>
    <row r="136" spans="3:5" ht="15" customHeight="1" thickBot="1" x14ac:dyDescent="0.3">
      <c r="C136" s="10"/>
      <c r="D136" s="10"/>
      <c r="E136" s="10"/>
    </row>
    <row r="137" spans="3:5" ht="15" customHeight="1" x14ac:dyDescent="0.25">
      <c r="C137" s="146" t="s">
        <v>212</v>
      </c>
      <c r="D137" s="147"/>
      <c r="E137" s="148"/>
    </row>
    <row r="138" spans="3:5" ht="15" customHeight="1" thickBot="1" x14ac:dyDescent="0.3">
      <c r="C138" s="143" t="str">
        <f>J34</f>
        <v>MESA P/ Impresora</v>
      </c>
      <c r="D138" s="144"/>
      <c r="E138" s="145"/>
    </row>
    <row r="139" spans="3:5" ht="15" customHeight="1" thickBot="1" x14ac:dyDescent="0.3">
      <c r="C139" s="10"/>
      <c r="D139" s="10"/>
      <c r="E139" s="10"/>
    </row>
    <row r="140" spans="3:5" ht="15" customHeight="1" x14ac:dyDescent="0.25">
      <c r="C140" s="146" t="s">
        <v>118</v>
      </c>
      <c r="D140" s="147"/>
      <c r="E140" s="148"/>
    </row>
    <row r="141" spans="3:5" ht="15" customHeight="1" thickBot="1" x14ac:dyDescent="0.3">
      <c r="C141" s="143" t="str">
        <f>J35</f>
        <v>Mesa para planchado. Plegable, caño 3/4.</v>
      </c>
      <c r="D141" s="144"/>
      <c r="E141" s="145"/>
    </row>
    <row r="142" spans="3:5" ht="15" customHeight="1" thickBot="1" x14ac:dyDescent="0.3">
      <c r="C142" s="10"/>
      <c r="D142" s="10"/>
      <c r="E142" s="10"/>
    </row>
    <row r="143" spans="3:5" ht="15" customHeight="1" x14ac:dyDescent="0.25">
      <c r="C143" s="146" t="s">
        <v>213</v>
      </c>
      <c r="D143" s="147"/>
      <c r="E143" s="148"/>
    </row>
    <row r="144" spans="3:5" ht="15" customHeight="1" thickBot="1" x14ac:dyDescent="0.3">
      <c r="C144" s="143" t="str">
        <f>J36</f>
        <v>PAVA ELECTRICA (de Aluminio, Cap.1,7L)</v>
      </c>
      <c r="D144" s="144"/>
      <c r="E144" s="145"/>
    </row>
    <row r="145" spans="3:5" ht="15" customHeight="1" thickBot="1" x14ac:dyDescent="0.3">
      <c r="C145" s="10"/>
      <c r="D145" s="10"/>
      <c r="E145" s="10"/>
    </row>
    <row r="146" spans="3:5" ht="15" customHeight="1" x14ac:dyDescent="0.25">
      <c r="C146" s="146" t="s">
        <v>119</v>
      </c>
      <c r="D146" s="147"/>
      <c r="E146" s="148"/>
    </row>
    <row r="147" spans="3:5" ht="15" customHeight="1" thickBot="1" x14ac:dyDescent="0.3">
      <c r="C147" s="143" t="str">
        <f>J37</f>
        <v>PLANCHA 800W. A vapor, con suela antiadherente</v>
      </c>
      <c r="D147" s="144"/>
      <c r="E147" s="145"/>
    </row>
    <row r="148" spans="3:5" ht="15" customHeight="1" thickBot="1" x14ac:dyDescent="0.3">
      <c r="C148" s="10"/>
      <c r="D148" s="10"/>
      <c r="E148" s="10"/>
    </row>
    <row r="149" spans="3:5" ht="15" customHeight="1" x14ac:dyDescent="0.25">
      <c r="C149" s="146" t="s">
        <v>214</v>
      </c>
      <c r="D149" s="147"/>
      <c r="E149" s="148"/>
    </row>
    <row r="150" spans="3:5" ht="15" customHeight="1" thickBot="1" x14ac:dyDescent="0.3">
      <c r="C150" s="143" t="str">
        <f>J38</f>
        <v>RELOJ ANALOGICO (de pared, material plástico)</v>
      </c>
      <c r="D150" s="144"/>
      <c r="E150" s="145"/>
    </row>
    <row r="151" spans="3:5" ht="15" customHeight="1" thickBot="1" x14ac:dyDescent="0.3">
      <c r="C151" s="10"/>
      <c r="D151" s="10"/>
      <c r="E151" s="10"/>
    </row>
    <row r="152" spans="3:5" ht="15" customHeight="1" x14ac:dyDescent="0.25">
      <c r="C152" s="146" t="s">
        <v>215</v>
      </c>
      <c r="D152" s="147"/>
      <c r="E152" s="148"/>
    </row>
    <row r="153" spans="3:5" ht="15" customHeight="1" thickBot="1" x14ac:dyDescent="0.3">
      <c r="C153" s="143" t="str">
        <f>J39</f>
        <v>SABANA 1 Plaza c/funda, color blanco, medidas 080 X 190 X 21 APROX.</v>
      </c>
      <c r="D153" s="144"/>
      <c r="E153" s="145"/>
    </row>
    <row r="154" spans="3:5" ht="15" customHeight="1" thickBot="1" x14ac:dyDescent="0.3">
      <c r="C154" s="10"/>
      <c r="D154" s="10"/>
      <c r="E154" s="10"/>
    </row>
    <row r="155" spans="3:5" ht="15" customHeight="1" x14ac:dyDescent="0.25">
      <c r="C155" s="146" t="s">
        <v>216</v>
      </c>
      <c r="D155" s="147"/>
      <c r="E155" s="148"/>
    </row>
    <row r="156" spans="3:5" ht="15" customHeight="1" thickBot="1" x14ac:dyDescent="0.3">
      <c r="C156" s="143" t="str">
        <f>J40</f>
        <v>SECARROPA CENTRIFUGO (Alim.220V, Cap.10Kg, Efic.energ. B)</v>
      </c>
      <c r="D156" s="144"/>
      <c r="E156" s="145"/>
    </row>
    <row r="157" spans="3:5" ht="15" customHeight="1" thickBot="1" x14ac:dyDescent="0.3">
      <c r="C157" s="10"/>
      <c r="D157" s="10"/>
      <c r="E157" s="10"/>
    </row>
    <row r="158" spans="3:5" ht="15" customHeight="1" x14ac:dyDescent="0.25">
      <c r="C158" s="146" t="s">
        <v>217</v>
      </c>
      <c r="D158" s="147"/>
      <c r="E158" s="148"/>
    </row>
    <row r="159" spans="3:5" ht="26.25" customHeight="1" thickBot="1" x14ac:dyDescent="0.3">
      <c r="C159" s="143" t="str">
        <f>J41</f>
        <v>SILLA METAL c/tapizado cuerina, c/respaldo, 4 patas; Medidas aprox: Altura del respaldo: 38 cm - Altura de la silla: 81 cm - Profundidad de la silla: 42 cm - Ancho de la silla: 53 cm - Ancho del asiento: 46 cm</v>
      </c>
      <c r="D159" s="144"/>
      <c r="E159" s="145"/>
    </row>
    <row r="160" spans="3:5" ht="15" customHeight="1" thickBot="1" x14ac:dyDescent="0.3">
      <c r="C160" s="10"/>
      <c r="D160" s="10"/>
      <c r="E160" s="10"/>
    </row>
    <row r="161" spans="3:5" ht="15" customHeight="1" x14ac:dyDescent="0.25">
      <c r="C161" s="146" t="s">
        <v>218</v>
      </c>
      <c r="D161" s="147"/>
      <c r="E161" s="148"/>
    </row>
    <row r="162" spans="3:5" ht="24" customHeight="1" thickBot="1" x14ac:dyDescent="0.3">
      <c r="C162" s="143" t="str">
        <f>J42</f>
        <v>SIST.DE SILLAS (4 asientos). Estructura: metal.  Terminacion de la silla: plastico inyectado de alto impacto, color: negra, reforzada: si. Medidas aprox: MEDIDAS: • Largo total: 2,1 m; • Alto final: 81 cm; • Alto asiento: 45 cm; • Profundidad: 56 cm.</v>
      </c>
      <c r="D162" s="144"/>
      <c r="E162" s="145"/>
    </row>
    <row r="163" spans="3:5" ht="15" customHeight="1" thickBot="1" x14ac:dyDescent="0.3">
      <c r="C163" s="10"/>
      <c r="D163" s="10"/>
      <c r="E163" s="10"/>
    </row>
    <row r="164" spans="3:5" ht="15" customHeight="1" x14ac:dyDescent="0.25">
      <c r="C164" s="146" t="s">
        <v>219</v>
      </c>
      <c r="D164" s="147"/>
      <c r="E164" s="148"/>
    </row>
    <row r="165" spans="3:5" ht="15" customHeight="1" thickBot="1" x14ac:dyDescent="0.3">
      <c r="C165" s="143" t="str">
        <f>J43</f>
        <v>TACHO DE RESIDUOS (circular con tapa, capacidad: 119 litros)</v>
      </c>
      <c r="D165" s="144"/>
      <c r="E165" s="145"/>
    </row>
    <row r="166" spans="3:5" ht="15" customHeight="1" thickBot="1" x14ac:dyDescent="0.3">
      <c r="C166" s="10"/>
      <c r="D166" s="10"/>
      <c r="E166" s="10"/>
    </row>
    <row r="167" spans="3:5" ht="15" customHeight="1" x14ac:dyDescent="0.25">
      <c r="C167" s="146" t="s">
        <v>220</v>
      </c>
      <c r="D167" s="147"/>
      <c r="E167" s="148"/>
    </row>
    <row r="168" spans="3:5" ht="15" customHeight="1" thickBot="1" x14ac:dyDescent="0.3">
      <c r="C168" s="143" t="str">
        <f>J44</f>
        <v>TACHO DE RESIDUOS (circular con tapa, 80x30cm)</v>
      </c>
      <c r="D168" s="144"/>
      <c r="E168" s="145"/>
    </row>
    <row r="169" spans="3:5" ht="15" customHeight="1" thickBot="1" x14ac:dyDescent="0.3">
      <c r="C169" s="10"/>
      <c r="D169" s="10"/>
      <c r="E169" s="10"/>
    </row>
    <row r="170" spans="3:5" ht="15" customHeight="1" x14ac:dyDescent="0.25">
      <c r="C170" s="146" t="s">
        <v>221</v>
      </c>
      <c r="D170" s="147"/>
      <c r="E170" s="148"/>
    </row>
    <row r="171" spans="3:5" ht="30" customHeight="1" thickBot="1" x14ac:dyDescent="0.3">
      <c r="C171" s="143" t="str">
        <f>J45</f>
        <v>Ventilador de pie de 20", con barral y base metálicos, con regulador de inclinación, con 3 velocidades seleccionables por perilla, con motor de 140Watts, con 3 palas de aluminio reforzadas, con rejilla protectora metálica.</v>
      </c>
      <c r="D171" s="144"/>
      <c r="E171" s="145"/>
    </row>
    <row r="172" spans="3:5" ht="15" customHeight="1" thickBot="1" x14ac:dyDescent="0.3">
      <c r="C172" s="10"/>
      <c r="D172" s="10"/>
      <c r="E172" s="10"/>
    </row>
    <row r="173" spans="3:5" ht="15" customHeight="1" x14ac:dyDescent="0.25">
      <c r="C173" s="146" t="s">
        <v>120</v>
      </c>
      <c r="D173" s="147"/>
      <c r="E173" s="148"/>
    </row>
    <row r="174" spans="3:5" ht="29.25" customHeight="1" thickBot="1" x14ac:dyDescent="0.3">
      <c r="C174" s="143" t="str">
        <f>J46</f>
        <v>VITRINA (madera c/estantes y c/2puertas de vidrio, HxAxProf= 170x132x43cm) Estantes: 4, tipo de madera: aglomerado, terminación: melanima. Con 2 puertas vidriadas con llave</v>
      </c>
      <c r="D174" s="144"/>
      <c r="E174" s="145"/>
    </row>
    <row r="175" spans="3:5" ht="15" customHeight="1" x14ac:dyDescent="0.25">
      <c r="C175" s="10"/>
      <c r="D175" s="10"/>
      <c r="E175" s="10"/>
    </row>
  </sheetData>
  <autoFilter ref="A9:J47" xr:uid="{00000000-0001-0000-0000-000000000000}"/>
  <mergeCells count="91">
    <mergeCell ref="C173:E173"/>
    <mergeCell ref="C174:E174"/>
    <mergeCell ref="C165:E165"/>
    <mergeCell ref="C167:E167"/>
    <mergeCell ref="C168:E168"/>
    <mergeCell ref="C170:E170"/>
    <mergeCell ref="C171:E171"/>
    <mergeCell ref="C158:E158"/>
    <mergeCell ref="C159:E159"/>
    <mergeCell ref="C161:E161"/>
    <mergeCell ref="C162:E162"/>
    <mergeCell ref="C164:E164"/>
    <mergeCell ref="C150:E150"/>
    <mergeCell ref="C152:E152"/>
    <mergeCell ref="C153:E153"/>
    <mergeCell ref="C155:E155"/>
    <mergeCell ref="C156:E156"/>
    <mergeCell ref="C143:E143"/>
    <mergeCell ref="C144:E144"/>
    <mergeCell ref="C146:E146"/>
    <mergeCell ref="C147:E147"/>
    <mergeCell ref="C149:E149"/>
    <mergeCell ref="C135:E135"/>
    <mergeCell ref="C137:E137"/>
    <mergeCell ref="C138:E138"/>
    <mergeCell ref="C140:E140"/>
    <mergeCell ref="C141:E141"/>
    <mergeCell ref="C125:E125"/>
    <mergeCell ref="C126:E126"/>
    <mergeCell ref="C129:E129"/>
    <mergeCell ref="C132:E132"/>
    <mergeCell ref="C134:E134"/>
    <mergeCell ref="C128:E128"/>
    <mergeCell ref="C131:E131"/>
    <mergeCell ref="C117:E117"/>
    <mergeCell ref="C119:E119"/>
    <mergeCell ref="C120:E120"/>
    <mergeCell ref="C122:E122"/>
    <mergeCell ref="C123:E123"/>
    <mergeCell ref="C110:E110"/>
    <mergeCell ref="C111:E111"/>
    <mergeCell ref="C113:E113"/>
    <mergeCell ref="C114:E114"/>
    <mergeCell ref="C116:E116"/>
    <mergeCell ref="C102:E102"/>
    <mergeCell ref="C104:E104"/>
    <mergeCell ref="C105:E105"/>
    <mergeCell ref="C107:E107"/>
    <mergeCell ref="C108:E108"/>
    <mergeCell ref="C95:E95"/>
    <mergeCell ref="C96:E96"/>
    <mergeCell ref="C98:E98"/>
    <mergeCell ref="C99:E99"/>
    <mergeCell ref="C101:E101"/>
    <mergeCell ref="C87:E87"/>
    <mergeCell ref="C89:E89"/>
    <mergeCell ref="C90:E90"/>
    <mergeCell ref="C92:E92"/>
    <mergeCell ref="C93:E93"/>
    <mergeCell ref="C80:E80"/>
    <mergeCell ref="C81:E81"/>
    <mergeCell ref="C83:E83"/>
    <mergeCell ref="C84:E84"/>
    <mergeCell ref="C86:E86"/>
    <mergeCell ref="C65:E65"/>
    <mergeCell ref="C66:E66"/>
    <mergeCell ref="C68:E68"/>
    <mergeCell ref="C69:E69"/>
    <mergeCell ref="D52:E52"/>
    <mergeCell ref="D56:E56"/>
    <mergeCell ref="D57:E57"/>
    <mergeCell ref="D60:E60"/>
    <mergeCell ref="D62:E62"/>
    <mergeCell ref="D59:E59"/>
    <mergeCell ref="A6:B6"/>
    <mergeCell ref="A7:B7"/>
    <mergeCell ref="D55:E55"/>
    <mergeCell ref="D54:E54"/>
    <mergeCell ref="B2:H2"/>
    <mergeCell ref="C4:E4"/>
    <mergeCell ref="C5:E5"/>
    <mergeCell ref="A4:B4"/>
    <mergeCell ref="A5:B5"/>
    <mergeCell ref="C50:E50"/>
    <mergeCell ref="C51:E51"/>
    <mergeCell ref="C78:E78"/>
    <mergeCell ref="C71:E71"/>
    <mergeCell ref="C72:E72"/>
    <mergeCell ref="C74:E74"/>
    <mergeCell ref="C75:E75"/>
    <mergeCell ref="C77:E7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3"/>
  <sheetViews>
    <sheetView tabSelected="1" workbookViewId="0">
      <selection activeCell="K3" sqref="K3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1.85546875" style="134" bestFit="1" customWidth="1"/>
    <col min="13" max="16" width="11.85546875" style="134" customWidth="1"/>
    <col min="17" max="17" width="14.7109375" style="139" customWidth="1"/>
    <col min="18" max="19" width="14.5703125" style="139" customWidth="1"/>
    <col min="20" max="20" width="15.5703125" style="139" customWidth="1"/>
    <col min="21" max="21" width="14.5703125" style="139" customWidth="1"/>
    <col min="22" max="22" width="15.5703125" style="139" customWidth="1"/>
    <col min="23" max="28" width="14.42578125" style="134"/>
  </cols>
  <sheetData>
    <row r="1" spans="1:22" ht="30" x14ac:dyDescent="0.25">
      <c r="A1" s="191" t="s">
        <v>121</v>
      </c>
      <c r="B1" s="182"/>
      <c r="C1" s="182"/>
      <c r="D1" s="182"/>
      <c r="E1" s="182"/>
      <c r="F1" s="182"/>
      <c r="G1" s="182"/>
      <c r="H1" s="182"/>
      <c r="I1" s="182"/>
      <c r="J1" s="41" t="s">
        <v>122</v>
      </c>
      <c r="K1" s="136" t="s">
        <v>225</v>
      </c>
      <c r="Q1" s="137"/>
      <c r="R1" s="137"/>
      <c r="S1" s="137"/>
      <c r="T1" s="137"/>
      <c r="U1" s="137"/>
    </row>
    <row r="2" spans="1:22" ht="15.75" x14ac:dyDescent="0.25">
      <c r="A2" s="42"/>
      <c r="B2" s="43"/>
      <c r="C2" s="44"/>
      <c r="D2" s="45"/>
      <c r="E2" s="45"/>
      <c r="F2" s="45"/>
      <c r="G2" s="45"/>
      <c r="H2" s="45"/>
      <c r="I2" s="45"/>
      <c r="J2" s="46"/>
      <c r="K2" s="47"/>
      <c r="Q2" s="137"/>
      <c r="R2" s="137"/>
      <c r="S2" s="137"/>
      <c r="T2" s="137"/>
      <c r="U2" s="137"/>
    </row>
    <row r="3" spans="1:22" ht="16.5" customHeight="1" x14ac:dyDescent="0.25">
      <c r="A3" s="186" t="s">
        <v>123</v>
      </c>
      <c r="B3" s="187"/>
      <c r="C3" s="187"/>
      <c r="D3" s="48" t="s">
        <v>2</v>
      </c>
      <c r="E3" s="49"/>
      <c r="F3" s="49"/>
      <c r="G3" s="49"/>
      <c r="H3" s="49"/>
      <c r="I3" s="49"/>
      <c r="J3" s="50"/>
      <c r="K3" s="51"/>
      <c r="Q3" s="137"/>
      <c r="R3" s="137"/>
      <c r="S3" s="137"/>
      <c r="T3" s="137"/>
      <c r="U3" s="137"/>
    </row>
    <row r="4" spans="1:22" ht="16.5" customHeight="1" x14ac:dyDescent="0.25">
      <c r="A4" s="172" t="s">
        <v>124</v>
      </c>
      <c r="B4" s="173"/>
      <c r="C4" s="173"/>
      <c r="D4" s="48" t="s">
        <v>125</v>
      </c>
      <c r="E4" s="49"/>
      <c r="F4" s="49"/>
      <c r="G4" s="49"/>
      <c r="H4" s="49"/>
      <c r="I4" s="49"/>
      <c r="J4" s="50"/>
      <c r="K4" s="51"/>
      <c r="Q4" s="137"/>
      <c r="R4" s="137"/>
      <c r="S4" s="137"/>
      <c r="T4" s="137"/>
      <c r="U4" s="137"/>
    </row>
    <row r="5" spans="1:22" ht="15.75" x14ac:dyDescent="0.25">
      <c r="A5" s="172" t="s">
        <v>126</v>
      </c>
      <c r="B5" s="173"/>
      <c r="C5" s="173"/>
      <c r="D5" s="48" t="s">
        <v>127</v>
      </c>
      <c r="E5" s="49"/>
      <c r="F5" s="49"/>
      <c r="G5" s="49"/>
      <c r="H5" s="49"/>
      <c r="I5" s="49"/>
      <c r="J5" s="50"/>
      <c r="K5" s="51"/>
      <c r="Q5" s="137"/>
      <c r="R5" s="137"/>
      <c r="S5" s="137"/>
      <c r="T5" s="137"/>
      <c r="U5" s="137"/>
    </row>
    <row r="6" spans="1:22" ht="15.75" x14ac:dyDescent="0.25">
      <c r="A6" s="186" t="s">
        <v>128</v>
      </c>
      <c r="B6" s="187"/>
      <c r="C6" s="187"/>
      <c r="D6" s="48" t="s">
        <v>127</v>
      </c>
      <c r="E6" s="49"/>
      <c r="F6" s="49"/>
      <c r="G6" s="49"/>
      <c r="H6" s="49"/>
      <c r="I6" s="49"/>
      <c r="J6" s="50"/>
      <c r="K6" s="51"/>
      <c r="Q6" s="137"/>
      <c r="R6" s="137"/>
      <c r="S6" s="137"/>
      <c r="T6" s="137"/>
      <c r="U6" s="137"/>
    </row>
    <row r="7" spans="1:22" ht="15.75" x14ac:dyDescent="0.25">
      <c r="A7" s="172" t="s">
        <v>129</v>
      </c>
      <c r="B7" s="173"/>
      <c r="C7" s="173"/>
      <c r="D7" s="48" t="s">
        <v>236</v>
      </c>
      <c r="E7" s="49"/>
      <c r="F7" s="49"/>
      <c r="G7" s="49"/>
      <c r="H7" s="49"/>
      <c r="I7" s="49"/>
      <c r="J7" s="50"/>
      <c r="K7" s="51"/>
      <c r="Q7" s="137"/>
      <c r="R7" s="137"/>
      <c r="S7" s="137"/>
      <c r="T7" s="137"/>
      <c r="U7" s="137"/>
    </row>
    <row r="8" spans="1:22" ht="16.5" customHeight="1" x14ac:dyDescent="0.25">
      <c r="A8" s="188" t="s">
        <v>130</v>
      </c>
      <c r="B8" s="189"/>
      <c r="C8" s="190"/>
      <c r="D8" s="52" t="s">
        <v>131</v>
      </c>
      <c r="E8" s="49"/>
      <c r="F8" s="49"/>
      <c r="G8" s="49"/>
      <c r="H8" s="49"/>
      <c r="I8" s="49"/>
      <c r="J8" s="50"/>
      <c r="K8" s="51"/>
      <c r="Q8" s="137"/>
      <c r="R8" s="137"/>
      <c r="S8" s="137"/>
      <c r="T8" s="137"/>
      <c r="U8" s="137"/>
    </row>
    <row r="9" spans="1:22" ht="15.75" x14ac:dyDescent="0.25">
      <c r="A9" s="53"/>
      <c r="B9" s="54"/>
      <c r="C9" s="55"/>
      <c r="D9" s="56"/>
      <c r="E9" s="56"/>
      <c r="F9" s="56"/>
      <c r="G9" s="56"/>
      <c r="H9" s="56"/>
      <c r="I9" s="56"/>
      <c r="J9" s="57"/>
      <c r="K9" s="58"/>
      <c r="Q9" s="137"/>
      <c r="R9" s="137"/>
      <c r="S9" s="137"/>
      <c r="T9" s="137"/>
      <c r="U9" s="137"/>
    </row>
    <row r="10" spans="1:22" x14ac:dyDescent="0.25">
      <c r="A10" s="177" t="s">
        <v>132</v>
      </c>
      <c r="B10" s="179" t="s">
        <v>133</v>
      </c>
      <c r="C10" s="181" t="s">
        <v>134</v>
      </c>
      <c r="D10" s="182"/>
      <c r="E10" s="182"/>
      <c r="F10" s="182"/>
      <c r="G10" s="183"/>
      <c r="H10" s="179" t="s">
        <v>135</v>
      </c>
      <c r="I10" s="179" t="s">
        <v>136</v>
      </c>
      <c r="J10" s="199" t="s">
        <v>137</v>
      </c>
      <c r="K10" s="197" t="s">
        <v>138</v>
      </c>
      <c r="Q10" s="137"/>
      <c r="R10" s="137"/>
      <c r="S10" s="137"/>
      <c r="T10" s="137"/>
      <c r="U10" s="137"/>
    </row>
    <row r="11" spans="1:22" ht="36.75" customHeight="1" x14ac:dyDescent="0.25">
      <c r="A11" s="178"/>
      <c r="B11" s="180"/>
      <c r="C11" s="184"/>
      <c r="D11" s="149"/>
      <c r="E11" s="149"/>
      <c r="F11" s="149"/>
      <c r="G11" s="185"/>
      <c r="H11" s="180"/>
      <c r="I11" s="180"/>
      <c r="J11" s="180"/>
      <c r="K11" s="198"/>
      <c r="Q11" s="138">
        <v>223</v>
      </c>
      <c r="R11" s="138">
        <v>229</v>
      </c>
      <c r="S11" s="138">
        <v>291</v>
      </c>
      <c r="T11" s="138">
        <v>437</v>
      </c>
      <c r="U11" s="138">
        <v>433</v>
      </c>
    </row>
    <row r="12" spans="1:22" ht="56.25" customHeight="1" x14ac:dyDescent="0.25">
      <c r="A12" s="59">
        <v>1</v>
      </c>
      <c r="B12" s="60" t="str">
        <f>'SAF 011 - NECESIDAD TRIMESTRAL'!B10</f>
        <v>4.3.7-1367.427</v>
      </c>
      <c r="C12" s="174" t="str">
        <f>'SAF 011 - NECESIDAD TRIMESTRAL'!E10</f>
        <v>ACONDICIONADORES DE AIRE; TIPO: SPLIT, FRIO: 3500 FRIG, CALOR: 3500 CAL, TENSION NOMINAL: 220 V, CRITERIO DE SEGURIDAD: SELLO DE SEGURIDAD, CONSUMO: 4000 W, CORRIENTE NOMINAL: 6 A, EFICIENCIA ENERGETICA: GRADO A</v>
      </c>
      <c r="D12" s="175"/>
      <c r="E12" s="175"/>
      <c r="F12" s="175"/>
      <c r="G12" s="176"/>
      <c r="H12" s="60" t="s">
        <v>139</v>
      </c>
      <c r="I12" s="61" t="s">
        <v>19</v>
      </c>
      <c r="J12" s="62">
        <v>75000</v>
      </c>
      <c r="K12" s="63">
        <v>70</v>
      </c>
      <c r="L12" s="135"/>
      <c r="M12" s="135"/>
      <c r="N12" s="135"/>
      <c r="O12" s="135"/>
      <c r="P12" s="135"/>
      <c r="Q12" s="137"/>
      <c r="R12" s="137"/>
      <c r="S12" s="137"/>
      <c r="T12" s="137">
        <f t="shared" ref="T12:T13" si="0">+J12*K12</f>
        <v>5250000</v>
      </c>
      <c r="U12" s="137"/>
      <c r="V12" s="138"/>
    </row>
    <row r="13" spans="1:22" ht="41.25" customHeight="1" x14ac:dyDescent="0.25">
      <c r="A13" s="64">
        <v>2</v>
      </c>
      <c r="B13" s="65" t="str">
        <f>'SAF 011 - NECESIDAD TRIMESTRAL'!B11</f>
        <v>4.3.7-1367.320</v>
      </c>
      <c r="C13" s="169" t="str">
        <f>'SAF 011 - NECESIDAD TRIMESTRAL'!E11</f>
        <v>ACONDICIONADORES DE AIRE; TIPO: SPLIT, FRIO: 4500 FRIG, CALOR: 4500 CAL, TENSION NOMINAL: 220 V, CRITERIO DE SEGURIDAD: SELLO DE SEGURIDAD, CONSUMO: MENOR A 5 KVA, CORRIENTE NOMINAL: 12 A, EFICIENCIA ENERGETICA: GRADO A</v>
      </c>
      <c r="D13" s="170"/>
      <c r="E13" s="170"/>
      <c r="F13" s="170"/>
      <c r="G13" s="171"/>
      <c r="H13" s="65" t="s">
        <v>139</v>
      </c>
      <c r="I13" s="66" t="s">
        <v>19</v>
      </c>
      <c r="J13" s="67">
        <v>85000</v>
      </c>
      <c r="K13" s="68">
        <v>42</v>
      </c>
      <c r="L13" s="135"/>
      <c r="M13" s="135"/>
      <c r="N13" s="135"/>
      <c r="O13" s="135"/>
      <c r="P13" s="135"/>
      <c r="Q13" s="137"/>
      <c r="R13" s="137"/>
      <c r="S13" s="137"/>
      <c r="T13" s="137">
        <f t="shared" si="0"/>
        <v>3570000</v>
      </c>
      <c r="U13" s="137"/>
      <c r="V13" s="138"/>
    </row>
    <row r="14" spans="1:22" ht="30" customHeight="1" x14ac:dyDescent="0.25">
      <c r="A14" s="64">
        <v>3</v>
      </c>
      <c r="B14" s="65" t="str">
        <f>'SAF 011 - NECESIDAD TRIMESTRAL'!B12</f>
        <v>2.2.9-702.3</v>
      </c>
      <c r="C14" s="169" t="str">
        <f>'SAF 011 - NECESIDAD TRIMESTRAL'!E12</f>
        <v>ALMOHADAS; DIMENSION: 80 X 35 Cm, CONSTRUCCION: ESPUMA</v>
      </c>
      <c r="D14" s="170"/>
      <c r="E14" s="170"/>
      <c r="F14" s="170"/>
      <c r="G14" s="171"/>
      <c r="H14" s="65" t="s">
        <v>139</v>
      </c>
      <c r="I14" s="66" t="s">
        <v>19</v>
      </c>
      <c r="J14" s="67">
        <v>4200</v>
      </c>
      <c r="K14" s="68">
        <v>100</v>
      </c>
      <c r="L14" s="135"/>
      <c r="M14" s="135"/>
      <c r="N14" s="135"/>
      <c r="O14" s="135"/>
      <c r="P14" s="135"/>
      <c r="Q14" s="137"/>
      <c r="R14" s="137">
        <f>+J14*K14</f>
        <v>420000</v>
      </c>
      <c r="S14" s="137"/>
      <c r="T14" s="137"/>
      <c r="U14" s="137"/>
      <c r="V14" s="138"/>
    </row>
    <row r="15" spans="1:22" ht="42" customHeight="1" x14ac:dyDescent="0.25">
      <c r="A15" s="64">
        <v>4</v>
      </c>
      <c r="B15" s="65" t="str">
        <f>'SAF 011 - NECESIDAD TRIMESTRAL'!B13</f>
        <v>4.3.7-2001.4</v>
      </c>
      <c r="C15" s="169" t="str">
        <f>'SAF 011 - NECESIDAD TRIMESTRAL'!E13</f>
        <v>BANQUETAS/TABURETES; MATERIAL ESTRUCTURA: 147 dBV/mPa , TERMINACION: TAPIZADO, DIMENSION: 45 X 35 Cm, RESPALDO: CON, GIRATORIA: SI, APOYABRAZO: SIN, PATAS: 5 RUEDAS, ALTURA: 42 A 54 Cm, MATERIAL: METAL</v>
      </c>
      <c r="D15" s="170"/>
      <c r="E15" s="170"/>
      <c r="F15" s="170"/>
      <c r="G15" s="171"/>
      <c r="H15" s="65" t="s">
        <v>139</v>
      </c>
      <c r="I15" s="66" t="s">
        <v>19</v>
      </c>
      <c r="J15" s="67">
        <v>22000</v>
      </c>
      <c r="K15" s="68">
        <v>60</v>
      </c>
      <c r="L15" s="135"/>
      <c r="M15" s="135"/>
      <c r="N15" s="135"/>
      <c r="O15" s="135"/>
      <c r="P15" s="135"/>
      <c r="Q15" s="137"/>
      <c r="R15" s="137"/>
      <c r="S15" s="137"/>
      <c r="T15" s="137">
        <f t="shared" ref="T15:T17" si="1">+J15*K15</f>
        <v>1320000</v>
      </c>
      <c r="U15" s="137"/>
      <c r="V15" s="138"/>
    </row>
    <row r="16" spans="1:22" ht="32.25" customHeight="1" x14ac:dyDescent="0.25">
      <c r="A16" s="64">
        <v>5</v>
      </c>
      <c r="B16" s="65" t="str">
        <f>'SAF 011 - NECESIDAD TRIMESTRAL'!B14</f>
        <v>4.3.7-2001.22</v>
      </c>
      <c r="C16" s="169" t="str">
        <f>'SAF 011 - NECESIDAD TRIMESTRAL'!E14</f>
        <v>BANQUETAS/TABURETES; TERMINACION: METAL, DIMENSION: 0,6 X 0,3, RESPALDO: SIN, GIRATORIA: NO, APOYABRAZO: SIN, PATAS: 4, ALTURA: REGULABLE, MATERIAL: METAL</v>
      </c>
      <c r="D16" s="170"/>
      <c r="E16" s="170"/>
      <c r="F16" s="170"/>
      <c r="G16" s="171"/>
      <c r="H16" s="65" t="s">
        <v>139</v>
      </c>
      <c r="I16" s="66" t="s">
        <v>19</v>
      </c>
      <c r="J16" s="67">
        <v>15500</v>
      </c>
      <c r="K16" s="68">
        <v>10</v>
      </c>
      <c r="L16" s="135"/>
      <c r="M16" s="135"/>
      <c r="N16" s="135"/>
      <c r="O16" s="135"/>
      <c r="P16" s="135"/>
      <c r="Q16" s="137"/>
      <c r="R16" s="137"/>
      <c r="S16" s="137"/>
      <c r="T16" s="137">
        <f t="shared" si="1"/>
        <v>155000</v>
      </c>
      <c r="U16" s="137"/>
      <c r="V16" s="138"/>
    </row>
    <row r="17" spans="1:22" ht="40.5" customHeight="1" x14ac:dyDescent="0.25">
      <c r="A17" s="64">
        <v>6</v>
      </c>
      <c r="B17" s="65" t="str">
        <f>'SAF 011 - NECESIDAD TRIMESTRAL'!B15</f>
        <v>4.3.7-32.680</v>
      </c>
      <c r="C17" s="169" t="str">
        <f>'SAF 011 - NECESIDAD TRIMESTRAL'!E15</f>
        <v>BIBLIOTECAS; MATERIAL: MELAMINA, CANT. PUERTAS: 2, TERMINACION: LAMINADO, DIMENSION (ANCHO/PROF/ALTO): 120 X 40 X 180 Cm</v>
      </c>
      <c r="D17" s="170"/>
      <c r="E17" s="170"/>
      <c r="F17" s="170"/>
      <c r="G17" s="171"/>
      <c r="H17" s="65" t="s">
        <v>139</v>
      </c>
      <c r="I17" s="66" t="s">
        <v>19</v>
      </c>
      <c r="J17" s="67">
        <v>31000</v>
      </c>
      <c r="K17" s="68">
        <v>70</v>
      </c>
      <c r="L17" s="135"/>
      <c r="M17" s="135"/>
      <c r="N17" s="135"/>
      <c r="O17" s="135"/>
      <c r="P17" s="135"/>
      <c r="Q17" s="137"/>
      <c r="R17" s="137"/>
      <c r="S17" s="137"/>
      <c r="T17" s="137">
        <f t="shared" si="1"/>
        <v>2170000</v>
      </c>
      <c r="U17" s="137"/>
      <c r="V17" s="138"/>
    </row>
    <row r="18" spans="1:22" ht="36" customHeight="1" x14ac:dyDescent="0.25">
      <c r="A18" s="64">
        <v>7</v>
      </c>
      <c r="B18" s="65" t="str">
        <f>'SAF 011 - NECESIDAD TRIMESTRAL'!B16</f>
        <v>4.3.7-5605.1</v>
      </c>
      <c r="C18" s="169" t="str">
        <f>'SAF 011 - NECESIDAD TRIMESTRAL'!E16</f>
        <v>BIOMBOS; TIPO: PLEGABLE, DIMENSION: 2 X 2 M, USO: SANITARIO</v>
      </c>
      <c r="D18" s="170"/>
      <c r="E18" s="170"/>
      <c r="F18" s="170"/>
      <c r="G18" s="171"/>
      <c r="H18" s="65" t="s">
        <v>139</v>
      </c>
      <c r="I18" s="66" t="s">
        <v>19</v>
      </c>
      <c r="J18" s="67">
        <v>18500</v>
      </c>
      <c r="K18" s="68">
        <v>70</v>
      </c>
      <c r="L18" s="135"/>
      <c r="M18" s="135"/>
      <c r="N18" s="135"/>
      <c r="O18" s="135"/>
      <c r="P18" s="135"/>
      <c r="Q18" s="137"/>
      <c r="R18" s="137"/>
      <c r="S18" s="137"/>
      <c r="T18" s="137"/>
      <c r="U18" s="137">
        <f>+J18*K18</f>
        <v>1295000</v>
      </c>
      <c r="V18" s="138"/>
    </row>
    <row r="19" spans="1:22" ht="33" customHeight="1" x14ac:dyDescent="0.25">
      <c r="A19" s="64">
        <v>8</v>
      </c>
      <c r="B19" s="65" t="str">
        <f>'SAF 011 - NECESIDAD TRIMESTRAL'!B17</f>
        <v>4.3.9-8811.3</v>
      </c>
      <c r="C19" s="169" t="str">
        <f>'SAF 011 - NECESIDAD TRIMESTRAL'!E17</f>
        <v>CALOVENTILADORES; TIPO: AIRE, CAPACIDAD CALORICA: 1800 W, CAUDAL: CONTINUO, MOTOR: ELECTRICO</v>
      </c>
      <c r="D19" s="170"/>
      <c r="E19" s="170"/>
      <c r="F19" s="170"/>
      <c r="G19" s="171"/>
      <c r="H19" s="65" t="s">
        <v>139</v>
      </c>
      <c r="I19" s="66" t="s">
        <v>19</v>
      </c>
      <c r="J19" s="67">
        <v>4000</v>
      </c>
      <c r="K19" s="68">
        <v>210</v>
      </c>
      <c r="L19" s="135"/>
      <c r="M19" s="135"/>
      <c r="N19" s="135"/>
      <c r="O19" s="135"/>
      <c r="P19" s="135"/>
      <c r="Q19" s="137"/>
      <c r="R19" s="137"/>
      <c r="S19" s="137"/>
      <c r="T19" s="137">
        <f>+J19*K19</f>
        <v>840000</v>
      </c>
      <c r="U19" s="137"/>
      <c r="V19" s="138"/>
    </row>
    <row r="20" spans="1:22" ht="27" customHeight="1" x14ac:dyDescent="0.25">
      <c r="A20" s="64">
        <v>9</v>
      </c>
      <c r="B20" s="65" t="str">
        <f>'SAF 011 - NECESIDAD TRIMESTRAL'!B18</f>
        <v>4.3.7-2207.2</v>
      </c>
      <c r="C20" s="169" t="str">
        <f>'SAF 011 - NECESIDAD TRIMESTRAL'!E18</f>
        <v>CAMAS; LARGO X ANCHO: 190 X 80 Cm, MATERIAL: MADERA, TERMINACION: LUSTRE NATURAL, TIPO: 1PLAZA</v>
      </c>
      <c r="D20" s="170"/>
      <c r="E20" s="170"/>
      <c r="F20" s="170"/>
      <c r="G20" s="171"/>
      <c r="H20" s="65" t="s">
        <v>139</v>
      </c>
      <c r="I20" s="66" t="s">
        <v>19</v>
      </c>
      <c r="J20" s="67">
        <v>20000</v>
      </c>
      <c r="K20" s="68">
        <v>10</v>
      </c>
      <c r="L20" s="135"/>
      <c r="M20" s="135"/>
      <c r="N20" s="135"/>
      <c r="O20" s="135"/>
      <c r="P20" s="135"/>
      <c r="Q20" s="137"/>
      <c r="R20" s="137"/>
      <c r="S20" s="137"/>
      <c r="T20" s="137">
        <f>+J20*K20</f>
        <v>200000</v>
      </c>
      <c r="U20" s="137"/>
      <c r="V20" s="138"/>
    </row>
    <row r="21" spans="1:22" ht="42.75" customHeight="1" x14ac:dyDescent="0.25">
      <c r="A21" s="64">
        <v>10</v>
      </c>
      <c r="B21" s="65" t="str">
        <f>'SAF 011 - NECESIDAD TRIMESTRAL'!B19</f>
        <v>2.2.9-701.57</v>
      </c>
      <c r="C21" s="169" t="str">
        <f>'SAF 011 - NECESIDAD TRIMESTRAL'!E19</f>
        <v>COLCHONES; DIMENSION: 190 X 80 Cm, DENSIDAD: 25 kg/cm3, ESPESOR: 21 Cm, CONSTRUCCION: ESPUMA, TERMINACION: MATELASSEADO</v>
      </c>
      <c r="D21" s="170"/>
      <c r="E21" s="170"/>
      <c r="F21" s="170"/>
      <c r="G21" s="171"/>
      <c r="H21" s="65" t="s">
        <v>139</v>
      </c>
      <c r="I21" s="66" t="s">
        <v>19</v>
      </c>
      <c r="J21" s="67">
        <v>20000</v>
      </c>
      <c r="K21" s="68">
        <v>10</v>
      </c>
      <c r="L21" s="135"/>
      <c r="M21" s="135"/>
      <c r="N21" s="135"/>
      <c r="O21" s="135"/>
      <c r="P21" s="135"/>
      <c r="Q21" s="137"/>
      <c r="R21" s="137">
        <f>+J21*K21</f>
        <v>200000</v>
      </c>
      <c r="S21" s="137"/>
      <c r="T21" s="137"/>
      <c r="U21" s="137"/>
      <c r="V21" s="138"/>
    </row>
    <row r="22" spans="1:22" ht="36" customHeight="1" x14ac:dyDescent="0.25">
      <c r="A22" s="64">
        <v>11</v>
      </c>
      <c r="B22" s="65" t="str">
        <f>'SAF 011 - NECESIDAD TRIMESTRAL'!B20</f>
        <v>2.2.3-917.25</v>
      </c>
      <c r="C22" s="169" t="str">
        <f>'SAF 011 - NECESIDAD TRIMESTRAL'!E20</f>
        <v>CUBRECAMA; TIPO: ACOLCHADO, TAMAÑO: 1 1/2 PLAZA, MATERIAL: ALGODON Y POLIESTER</v>
      </c>
      <c r="D22" s="170"/>
      <c r="E22" s="170"/>
      <c r="F22" s="170"/>
      <c r="G22" s="171"/>
      <c r="H22" s="65" t="s">
        <v>139</v>
      </c>
      <c r="I22" s="66" t="s">
        <v>19</v>
      </c>
      <c r="J22" s="67">
        <v>3200</v>
      </c>
      <c r="K22" s="68">
        <v>300</v>
      </c>
      <c r="L22" s="135"/>
      <c r="M22" s="135"/>
      <c r="N22" s="135"/>
      <c r="O22" s="135"/>
      <c r="P22" s="135"/>
      <c r="Q22" s="137">
        <f>+K22*J22</f>
        <v>960000</v>
      </c>
      <c r="R22" s="137"/>
      <c r="S22" s="137"/>
      <c r="T22" s="137"/>
      <c r="U22" s="137"/>
      <c r="V22" s="138"/>
    </row>
    <row r="23" spans="1:22" ht="24" customHeight="1" x14ac:dyDescent="0.25">
      <c r="A23" s="64">
        <v>12</v>
      </c>
      <c r="B23" s="65" t="str">
        <f>'SAF 011 - NECESIDAD TRIMESTRAL'!B21</f>
        <v>4.3.7-37.82</v>
      </c>
      <c r="C23" s="169" t="str">
        <f>'SAF 011 - NECESIDAD TRIMESTRAL'!E21</f>
        <v>ESCALERAS; MATERIAL: METAL, ESCALONES: 2, TRAMOS: UNICO, DESARROLLO: PLANO UNICO, SOPORTE: APOYO</v>
      </c>
      <c r="D23" s="170"/>
      <c r="E23" s="170"/>
      <c r="F23" s="170"/>
      <c r="G23" s="171"/>
      <c r="H23" s="65" t="s">
        <v>139</v>
      </c>
      <c r="I23" s="66" t="s">
        <v>19</v>
      </c>
      <c r="J23" s="67">
        <v>7500</v>
      </c>
      <c r="K23" s="68">
        <v>50</v>
      </c>
      <c r="L23" s="135"/>
      <c r="M23" s="135"/>
      <c r="N23" s="135"/>
      <c r="O23" s="135"/>
      <c r="P23" s="135"/>
      <c r="Q23" s="137"/>
      <c r="R23" s="137"/>
      <c r="S23" s="137"/>
      <c r="T23" s="137">
        <f t="shared" ref="T23:T26" si="2">+J23*K23</f>
        <v>375000</v>
      </c>
      <c r="U23" s="137"/>
      <c r="V23" s="138"/>
    </row>
    <row r="24" spans="1:22" ht="78" customHeight="1" x14ac:dyDescent="0.25">
      <c r="A24" s="64">
        <v>13</v>
      </c>
      <c r="B24" s="65" t="str">
        <f>'SAF 011 - NECESIDAD TRIMESTRAL'!B22</f>
        <v>4.3.7-4502.8</v>
      </c>
      <c r="C24" s="169" t="str">
        <f>'SAF 011 - NECESIDAD TRIMESTRAL'!E22</f>
        <v>ESCRITORIOS ERGONOMICOS; MATERIAL ESTRUCTURA: AGLOMERADO, ALTURA: 75 Cm, CAJONERA: SI, CAJONES: 3, TIRANTE SOBRE CAJON: SIN, BANDEJA PORTATECLADO: CON, PASACABLES: CON, TERMINACION: MELAMINA, ANCHO MAYOR: 120 Cm, ANCHO MENOR: SIN VALOR, PROF. MAYOR: 70 Cm, PROF. MENOR: SIN VALOR, CANTIDAD DE CAJONES: 3, MATERIAL: AGLOMERADO, ANCHO MAXIMO: 120 Cm, PROFUNDIDAD MAXIMA: 70 Cm, DIMENSION (A/P/H): 120 X 70 X 75 Cm</v>
      </c>
      <c r="D24" s="170"/>
      <c r="E24" s="170"/>
      <c r="F24" s="170"/>
      <c r="G24" s="171"/>
      <c r="H24" s="65" t="s">
        <v>139</v>
      </c>
      <c r="I24" s="66" t="s">
        <v>19</v>
      </c>
      <c r="J24" s="67">
        <v>22000</v>
      </c>
      <c r="K24" s="68">
        <v>150</v>
      </c>
      <c r="L24" s="135"/>
      <c r="M24" s="135"/>
      <c r="N24" s="135"/>
      <c r="O24" s="135"/>
      <c r="P24" s="135"/>
      <c r="Q24" s="137"/>
      <c r="R24" s="137"/>
      <c r="S24" s="137"/>
      <c r="T24" s="137">
        <f t="shared" si="2"/>
        <v>3300000</v>
      </c>
      <c r="U24" s="137"/>
      <c r="V24" s="138"/>
    </row>
    <row r="25" spans="1:22" ht="65.25" customHeight="1" x14ac:dyDescent="0.25">
      <c r="A25" s="64">
        <v>14</v>
      </c>
      <c r="B25" s="65" t="str">
        <f>'SAF 011 - NECESIDAD TRIMESTRAL'!B23</f>
        <v>4.3.7-40.38</v>
      </c>
      <c r="C25" s="169" t="str">
        <f>'SAF 011 - NECESIDAD TRIMESTRAL'!E23</f>
        <v>ESCRITORIOS; CAJONERA: 2 IZQUIERDA, 2 DERECHA, TIRANTE SOBRE CAJON.: SIN, TERMINACION: REVESTIMIENTO MELAMINICO, DIM. DEL PLANO DE UNION: SIN VALOR, DIM. DEL PLANO DE APOYO: SIN VALOR, DIM. DE LAS PANTALLA DIVISORIA: SIN VALOR, DIM. DEL PLANO DE EXTENSION: SIN VALOR, BANDEJA PORTATECLADO: SIN VALOR, PASACABLES: SIN VALOR, MATERIAL ESTRUCTURA: AGLOMERADO, CAJONES: 4, CANTIDAD DE CAJONES: 4</v>
      </c>
      <c r="D25" s="170"/>
      <c r="E25" s="170"/>
      <c r="F25" s="170"/>
      <c r="G25" s="171"/>
      <c r="H25" s="65" t="s">
        <v>139</v>
      </c>
      <c r="I25" s="66" t="s">
        <v>19</v>
      </c>
      <c r="J25" s="67">
        <v>23000</v>
      </c>
      <c r="K25" s="68">
        <v>150</v>
      </c>
      <c r="L25" s="135"/>
      <c r="M25" s="135"/>
      <c r="N25" s="135"/>
      <c r="O25" s="135"/>
      <c r="P25" s="135"/>
      <c r="Q25" s="137"/>
      <c r="R25" s="137"/>
      <c r="S25" s="137"/>
      <c r="T25" s="137">
        <f t="shared" si="2"/>
        <v>3450000</v>
      </c>
      <c r="U25" s="137"/>
      <c r="V25" s="138"/>
    </row>
    <row r="26" spans="1:22" ht="45" customHeight="1" x14ac:dyDescent="0.25">
      <c r="A26" s="64">
        <v>15</v>
      </c>
      <c r="B26" s="65" t="str">
        <f>'SAF 011 - NECESIDAD TRIMESTRAL'!B24</f>
        <v>4.3.7-1404.22</v>
      </c>
      <c r="C26" s="169" t="str">
        <f>'SAF 011 - NECESIDAD TRIMESTRAL'!E24</f>
        <v>ESTANTERIAS; MATERIAL: METAL, DIMENSION: 205 X 60 Cm, ALTURA: 260 Cm, ESTANTES: 6 UN, CAPACIDAD POR ESTANTE: SIN VALOR</v>
      </c>
      <c r="D26" s="170"/>
      <c r="E26" s="170"/>
      <c r="F26" s="170"/>
      <c r="G26" s="171"/>
      <c r="H26" s="65" t="s">
        <v>139</v>
      </c>
      <c r="I26" s="66" t="s">
        <v>19</v>
      </c>
      <c r="J26" s="67">
        <v>40000</v>
      </c>
      <c r="K26" s="68">
        <v>30</v>
      </c>
      <c r="L26" s="135"/>
      <c r="M26" s="135"/>
      <c r="N26" s="135"/>
      <c r="O26" s="135"/>
      <c r="P26" s="135"/>
      <c r="Q26" s="137"/>
      <c r="R26" s="137"/>
      <c r="S26" s="137"/>
      <c r="T26" s="137">
        <f t="shared" si="2"/>
        <v>1200000</v>
      </c>
      <c r="U26" s="137"/>
      <c r="V26" s="138"/>
    </row>
    <row r="27" spans="1:22" ht="33.75" customHeight="1" x14ac:dyDescent="0.25">
      <c r="A27" s="64">
        <v>16</v>
      </c>
      <c r="B27" s="65" t="str">
        <f>'SAF 011 - NECESIDAD TRIMESTRAL'!B25</f>
        <v>2.2.3-920.42</v>
      </c>
      <c r="C27" s="169" t="str">
        <f>'SAF 011 - NECESIDAD TRIMESTRAL'!E25</f>
        <v>FRAZADAS; MATERIAL: POLAR, TAMAÑO: 1 1/2 PLAZA</v>
      </c>
      <c r="D27" s="170"/>
      <c r="E27" s="170"/>
      <c r="F27" s="170"/>
      <c r="G27" s="171"/>
      <c r="H27" s="65" t="s">
        <v>139</v>
      </c>
      <c r="I27" s="66" t="s">
        <v>19</v>
      </c>
      <c r="J27" s="67">
        <v>3000</v>
      </c>
      <c r="K27" s="68">
        <v>300</v>
      </c>
      <c r="L27" s="135"/>
      <c r="M27" s="135"/>
      <c r="N27" s="135"/>
      <c r="O27" s="135"/>
      <c r="P27" s="135"/>
      <c r="Q27" s="137">
        <f>+K27*J27</f>
        <v>900000</v>
      </c>
      <c r="R27" s="137"/>
      <c r="S27" s="137"/>
      <c r="T27" s="137"/>
      <c r="U27" s="137"/>
      <c r="V27" s="138"/>
    </row>
    <row r="28" spans="1:22" ht="37.5" customHeight="1" x14ac:dyDescent="0.25">
      <c r="A28" s="64">
        <v>17</v>
      </c>
      <c r="B28" s="65" t="str">
        <f>'SAF 011 - NECESIDAD TRIMESTRAL'!B26</f>
        <v>4.3.7-4500.4</v>
      </c>
      <c r="C28" s="169" t="str">
        <f>'SAF 011 - NECESIDAD TRIMESTRAL'!E26</f>
        <v>GAVETEROS; MATERIAL: METAL, ALTURA: 240 Cm, ANCHO: 110 Cm, PROFUNDIDAD: 36 Cm, TERMINACION: ESMALTE, CANTIDAD DE CAJONES: 32</v>
      </c>
      <c r="D28" s="170"/>
      <c r="E28" s="170"/>
      <c r="F28" s="170"/>
      <c r="G28" s="171"/>
      <c r="H28" s="65" t="s">
        <v>139</v>
      </c>
      <c r="I28" s="66" t="s">
        <v>19</v>
      </c>
      <c r="J28" s="67">
        <v>9000</v>
      </c>
      <c r="K28" s="68">
        <v>100</v>
      </c>
      <c r="L28" s="135"/>
      <c r="M28" s="135"/>
      <c r="N28" s="135"/>
      <c r="O28" s="135"/>
      <c r="P28" s="135"/>
      <c r="Q28" s="137"/>
      <c r="R28" s="137"/>
      <c r="S28" s="137"/>
      <c r="T28" s="137">
        <f t="shared" ref="T28:T30" si="3">+J28*K28</f>
        <v>900000</v>
      </c>
      <c r="U28" s="137"/>
      <c r="V28" s="138"/>
    </row>
    <row r="29" spans="1:22" ht="44.25" customHeight="1" x14ac:dyDescent="0.25">
      <c r="A29" s="64">
        <v>18</v>
      </c>
      <c r="B29" s="65" t="str">
        <f>'SAF 011 - NECESIDAD TRIMESTRAL'!B27</f>
        <v>4.3.7-15.123</v>
      </c>
      <c r="C29" s="169" t="str">
        <f>'SAF 011 - NECESIDAD TRIMESTRAL'!E27</f>
        <v>HELADERAS; CAPACIDAD: 400 L, FRIO: CON FREEZER, CONSUMO: MENOR A 5 KVA, TENSION NOMINAL: 220 V, CRITERIO DE SEGURIDAD: SELLO DE SEGURIDAD, CORRIENTE NOMINAL: MENOR A 63 A, EFICIENCIA ENERGETICA: GRADO A</v>
      </c>
      <c r="D29" s="170"/>
      <c r="E29" s="170"/>
      <c r="F29" s="170"/>
      <c r="G29" s="171"/>
      <c r="H29" s="65" t="s">
        <v>139</v>
      </c>
      <c r="I29" s="66" t="s">
        <v>19</v>
      </c>
      <c r="J29" s="67">
        <v>136000</v>
      </c>
      <c r="K29" s="68">
        <v>10</v>
      </c>
      <c r="L29" s="135"/>
      <c r="M29" s="135"/>
      <c r="N29" s="135"/>
      <c r="O29" s="135"/>
      <c r="P29" s="135"/>
      <c r="Q29" s="137"/>
      <c r="R29" s="137"/>
      <c r="S29" s="137"/>
      <c r="T29" s="137">
        <f t="shared" si="3"/>
        <v>1360000</v>
      </c>
      <c r="U29" s="137"/>
      <c r="V29" s="138"/>
    </row>
    <row r="30" spans="1:22" ht="47.25" customHeight="1" x14ac:dyDescent="0.25">
      <c r="A30" s="64">
        <v>19</v>
      </c>
      <c r="B30" s="65" t="str">
        <f>'SAF 011 - NECESIDAD TRIMESTRAL'!B28</f>
        <v>4.3.7-96.28</v>
      </c>
      <c r="C30" s="169" t="str">
        <f>'SAF 011 - NECESIDAD TRIMESTRAL'!E28</f>
        <v>HORNOS MICROONDAS; CAPACIDAD: 30 L, DIMENSION (A/P/H): 520 X 510 X 500 mm, ACCESORIO: BANDEJA, MATERIAL INTERNO: CHAPA ESMALTADA, POTENCIA: 1000 W, TENSION NOMINAL: 220 V, CORRIENTE NOMINAL: 4,5 A, CONSUMO: 800 W, CRITERIO DE SEGURIDAD: SELLO DE SEGURIDAD, EFICIENCIA ENERGETICA: SIN VALOR</v>
      </c>
      <c r="D30" s="170"/>
      <c r="E30" s="170"/>
      <c r="F30" s="170"/>
      <c r="G30" s="171"/>
      <c r="H30" s="65" t="s">
        <v>139</v>
      </c>
      <c r="I30" s="66" t="s">
        <v>19</v>
      </c>
      <c r="J30" s="67">
        <v>24599</v>
      </c>
      <c r="K30" s="68">
        <v>10</v>
      </c>
      <c r="L30" s="135"/>
      <c r="M30" s="135"/>
      <c r="N30" s="135"/>
      <c r="O30" s="135"/>
      <c r="P30" s="135"/>
      <c r="Q30" s="137"/>
      <c r="R30" s="137"/>
      <c r="S30" s="137"/>
      <c r="T30" s="137">
        <f t="shared" si="3"/>
        <v>245990</v>
      </c>
      <c r="U30" s="137"/>
      <c r="V30" s="138"/>
    </row>
    <row r="31" spans="1:22" ht="41.25" customHeight="1" x14ac:dyDescent="0.25">
      <c r="A31" s="64">
        <v>20</v>
      </c>
      <c r="B31" s="65" t="str">
        <f>'SAF 011 - NECESIDAD TRIMESTRAL'!B29</f>
        <v>4.3.9-2757.58</v>
      </c>
      <c r="C31" s="169" t="str">
        <f>'SAF 011 - NECESIDAD TRIMESTRAL'!E29</f>
        <v>LAVADORAS; USO: ROPA, CAPACIDAD: 10 Kg, VAPOR SOBRECALENTADO: SIN, BOMBA ADICIONAL: SIN, ALIMENTACION: 220 V, TENSION NOMINAL: 220/224 V, CORRIENTE NOMINAL: 10 A, CRITERIO DE SEGURIDAD: SELLO DE SEGURIDAD, CONSUMO: 6 KW, EFICIENCIA ENERGETICA: SIN VALOR</v>
      </c>
      <c r="D31" s="170"/>
      <c r="E31" s="170"/>
      <c r="F31" s="170"/>
      <c r="G31" s="171"/>
      <c r="H31" s="65" t="s">
        <v>139</v>
      </c>
      <c r="I31" s="66" t="s">
        <v>19</v>
      </c>
      <c r="J31" s="67">
        <v>96000</v>
      </c>
      <c r="K31" s="68">
        <v>10</v>
      </c>
      <c r="L31" s="135"/>
      <c r="M31" s="135"/>
      <c r="N31" s="135"/>
      <c r="O31" s="135"/>
      <c r="P31" s="135"/>
      <c r="Q31" s="137"/>
      <c r="R31" s="137"/>
      <c r="S31" s="137"/>
      <c r="T31" s="137">
        <f>+J31*K31</f>
        <v>960000</v>
      </c>
      <c r="U31" s="137"/>
      <c r="V31" s="138"/>
    </row>
    <row r="32" spans="1:22" ht="48.75" customHeight="1" x14ac:dyDescent="0.25">
      <c r="A32" s="64">
        <v>21</v>
      </c>
      <c r="B32" s="65" t="str">
        <f>'SAF 011 - NECESIDAD TRIMESTRAL'!B30</f>
        <v>4.3.7-2012.7</v>
      </c>
      <c r="C32" s="169" t="str">
        <f>'SAF 011 - NECESIDAD TRIMESTRAL'!E30</f>
        <v>LOCKERS; MATERIAL ESTRUCTURA: 147 dBV/mPa , DIMENSION: 182 X 78 X 52 Cm, CANTIDAD CASILLEROS: 6, ESTANTES: CON, PUERTAS: 6, CAJONES: SIN, CANTIDAD DE CAJONES: SIN, MATERIAL: METAL, CANT. PUERTAS: 6, CANTIDAD DE CASILLEROS: 6</v>
      </c>
      <c r="D32" s="170"/>
      <c r="E32" s="170"/>
      <c r="F32" s="170"/>
      <c r="G32" s="171"/>
      <c r="H32" s="65" t="s">
        <v>139</v>
      </c>
      <c r="I32" s="66" t="s">
        <v>19</v>
      </c>
      <c r="J32" s="67">
        <v>50000</v>
      </c>
      <c r="K32" s="68">
        <v>48</v>
      </c>
      <c r="L32" s="135"/>
      <c r="M32" s="135"/>
      <c r="N32" s="135"/>
      <c r="O32" s="135"/>
      <c r="P32" s="135"/>
      <c r="Q32" s="137"/>
      <c r="R32" s="137"/>
      <c r="S32" s="137"/>
      <c r="T32" s="137">
        <f t="shared" ref="T32:T36" si="4">+J32*K32</f>
        <v>2400000</v>
      </c>
      <c r="U32" s="137"/>
      <c r="V32" s="138"/>
    </row>
    <row r="33" spans="1:22" ht="34.5" customHeight="1" x14ac:dyDescent="0.25">
      <c r="A33" s="64">
        <v>22</v>
      </c>
      <c r="B33" s="65" t="str">
        <f>'SAF 011 - NECESIDAD TRIMESTRAL'!B31</f>
        <v>4.3.7-2208.50</v>
      </c>
      <c r="C33" s="169" t="str">
        <f>'SAF 011 - NECESIDAD TRIMESTRAL'!E31</f>
        <v>MESAS DE LUZ; ANCHO: 45 Cm, PROFUNDIDAD: 40 Cm, MATERIAL: METAL, TERMINACION: MELAMINA</v>
      </c>
      <c r="D33" s="170"/>
      <c r="E33" s="170"/>
      <c r="F33" s="170"/>
      <c r="G33" s="171"/>
      <c r="H33" s="65" t="s">
        <v>139</v>
      </c>
      <c r="I33" s="66" t="s">
        <v>19</v>
      </c>
      <c r="J33" s="67">
        <v>23823.99</v>
      </c>
      <c r="K33" s="68">
        <v>80</v>
      </c>
      <c r="L33" s="135"/>
      <c r="M33" s="135"/>
      <c r="N33" s="135"/>
      <c r="O33" s="135"/>
      <c r="P33" s="135"/>
      <c r="Q33" s="137"/>
      <c r="R33" s="137"/>
      <c r="S33" s="137"/>
      <c r="T33" s="137">
        <f t="shared" si="4"/>
        <v>1905919.2000000002</v>
      </c>
      <c r="U33" s="137"/>
      <c r="V33" s="138"/>
    </row>
    <row r="34" spans="1:22" ht="51" customHeight="1" x14ac:dyDescent="0.25">
      <c r="A34" s="64">
        <v>23</v>
      </c>
      <c r="B34" s="65" t="str">
        <f>'SAF 011 - NECESIDAD TRIMESTRAL'!B32</f>
        <v>4.3.7-1406.271</v>
      </c>
      <c r="C34" s="169" t="str">
        <f>'SAF 011 - NECESIDAD TRIMESTRAL'!E32</f>
        <v>MESAS DE REUNIONES; SUPERFICIE APOYO: AGLOMERADO, TERMINACION: LAMINADO MELAMINICO, DIM. DEL PLANO DE APOYO: 240 X 110 Cm, BASE: AGLOMERADO, CAPACIDAD: 8 PERSONAS, MATERIAL: AGLOMERADO</v>
      </c>
      <c r="D34" s="170"/>
      <c r="E34" s="170"/>
      <c r="F34" s="170"/>
      <c r="G34" s="171"/>
      <c r="H34" s="65" t="s">
        <v>139</v>
      </c>
      <c r="I34" s="66" t="s">
        <v>19</v>
      </c>
      <c r="J34" s="67">
        <v>28000</v>
      </c>
      <c r="K34" s="68">
        <v>7</v>
      </c>
      <c r="L34" s="135"/>
      <c r="M34" s="135"/>
      <c r="N34" s="135"/>
      <c r="O34" s="135"/>
      <c r="P34" s="135"/>
      <c r="Q34" s="137"/>
      <c r="R34" s="137"/>
      <c r="S34" s="137"/>
      <c r="T34" s="137">
        <f t="shared" si="4"/>
        <v>196000</v>
      </c>
      <c r="U34" s="137"/>
      <c r="V34" s="138"/>
    </row>
    <row r="35" spans="1:22" ht="43.5" customHeight="1" x14ac:dyDescent="0.25">
      <c r="A35" s="64">
        <v>24</v>
      </c>
      <c r="B35" s="65" t="str">
        <f>'SAF 011 - NECESIDAD TRIMESTRAL'!B33</f>
        <v>4.3.7-5446.1</v>
      </c>
      <c r="C35" s="169" t="str">
        <f>'SAF 011 - NECESIDAD TRIMESTRAL'!E33</f>
        <v>MESAS P/CAMAS; BASE: ACERO INOXIDABLE, ALTURA: REGULABLE, DIMENSION DE TAPA: 50 X 80 Cm, MATERIAL DE TAPA: LAMINADA EN MELAMINA, SUPERFICIE APOYO: 50 X 80 Cm</v>
      </c>
      <c r="D35" s="170"/>
      <c r="E35" s="170"/>
      <c r="F35" s="170"/>
      <c r="G35" s="171"/>
      <c r="H35" s="65" t="s">
        <v>139</v>
      </c>
      <c r="I35" s="66" t="s">
        <v>19</v>
      </c>
      <c r="J35" s="67">
        <v>12000</v>
      </c>
      <c r="K35" s="68">
        <v>100</v>
      </c>
      <c r="L35" s="135"/>
      <c r="M35" s="135"/>
      <c r="N35" s="135"/>
      <c r="O35" s="135"/>
      <c r="P35" s="135"/>
      <c r="Q35" s="137"/>
      <c r="R35" s="137"/>
      <c r="S35" s="137"/>
      <c r="T35" s="137">
        <f t="shared" si="4"/>
        <v>1200000</v>
      </c>
      <c r="U35" s="137"/>
      <c r="V35" s="138"/>
    </row>
    <row r="36" spans="1:22" ht="36" customHeight="1" x14ac:dyDescent="0.25">
      <c r="A36" s="64">
        <v>25</v>
      </c>
      <c r="B36" s="65" t="str">
        <f>'SAF 011 - NECESIDAD TRIMESTRAL'!B34</f>
        <v>4.3.7-1910.21</v>
      </c>
      <c r="C36" s="169" t="str">
        <f>'SAF 011 - NECESIDAD TRIMESTRAL'!E34</f>
        <v>MESAS P/IMPRESORAS; MATERIAL: MADERA, DIM. APROX. (ANCHO/PROF/ALTO): 250 X 45 X 85 Cm</v>
      </c>
      <c r="D36" s="170"/>
      <c r="E36" s="170"/>
      <c r="F36" s="170"/>
      <c r="G36" s="171"/>
      <c r="H36" s="65" t="s">
        <v>139</v>
      </c>
      <c r="I36" s="66" t="s">
        <v>19</v>
      </c>
      <c r="J36" s="67">
        <v>10000</v>
      </c>
      <c r="K36" s="68">
        <v>7</v>
      </c>
      <c r="L36" s="135"/>
      <c r="M36" s="135"/>
      <c r="N36" s="135"/>
      <c r="O36" s="135"/>
      <c r="P36" s="135"/>
      <c r="Q36" s="137"/>
      <c r="R36" s="137"/>
      <c r="S36" s="137"/>
      <c r="T36" s="137">
        <f t="shared" si="4"/>
        <v>70000</v>
      </c>
      <c r="U36" s="137"/>
      <c r="V36" s="138"/>
    </row>
    <row r="37" spans="1:22" ht="39.75" customHeight="1" x14ac:dyDescent="0.25">
      <c r="A37" s="64">
        <v>26</v>
      </c>
      <c r="B37" s="65" t="str">
        <f>'SAF 011 - NECESIDAD TRIMESTRAL'!B35</f>
        <v>4.3.9-7935.2</v>
      </c>
      <c r="C37" s="169" t="str">
        <f>'SAF 011 - NECESIDAD TRIMESTRAL'!E35</f>
        <v>MESAS P/PLANCHADO; ESTRUCTURA: HIERRO REFORZADO, DIMENSION: 1 X 0,5 M, TERMINACION: TELA DE AMIANTO, MATERIAL ESTRUCTURA: HIERRO REFORZADO</v>
      </c>
      <c r="D37" s="170"/>
      <c r="E37" s="170"/>
      <c r="F37" s="170"/>
      <c r="G37" s="171"/>
      <c r="H37" s="65" t="s">
        <v>139</v>
      </c>
      <c r="I37" s="66" t="s">
        <v>19</v>
      </c>
      <c r="J37" s="67">
        <v>8200</v>
      </c>
      <c r="K37" s="68">
        <v>10</v>
      </c>
      <c r="L37" s="135"/>
      <c r="M37" s="135"/>
      <c r="N37" s="135"/>
      <c r="O37" s="135"/>
      <c r="P37" s="135"/>
      <c r="Q37" s="137"/>
      <c r="R37" s="137"/>
      <c r="S37" s="137"/>
      <c r="T37" s="137">
        <f>+J37*K37</f>
        <v>82000</v>
      </c>
      <c r="U37" s="137"/>
      <c r="V37" s="138"/>
    </row>
    <row r="38" spans="1:22" ht="43.5" customHeight="1" x14ac:dyDescent="0.25">
      <c r="A38" s="64">
        <v>27</v>
      </c>
      <c r="B38" s="65" t="str">
        <f>'SAF 011 - NECESIDAD TRIMESTRAL'!B36</f>
        <v>4.3.7-9066.3</v>
      </c>
      <c r="C38" s="169" t="str">
        <f>'SAF 011 - NECESIDAD TRIMESTRAL'!E36</f>
        <v>PAVAS ELECTRICAS; MATERIAL: ALUMINIO, CAPACIDAD: 1,7 L, POTENCIA: 2100 W, TENSION NOMINAL: 220 V, CORRIENTE NOMINAL: MENOR A 63 A, CONSUMO: MENOR A 5 KVA, CRITERIO DE SEGURIDAD: SELLO DE SEGURIDAD</v>
      </c>
      <c r="D38" s="170"/>
      <c r="E38" s="170"/>
      <c r="F38" s="170"/>
      <c r="G38" s="171"/>
      <c r="H38" s="65" t="s">
        <v>139</v>
      </c>
      <c r="I38" s="66" t="s">
        <v>19</v>
      </c>
      <c r="J38" s="67">
        <v>5000</v>
      </c>
      <c r="K38" s="68">
        <v>20</v>
      </c>
      <c r="L38" s="135"/>
      <c r="M38" s="135"/>
      <c r="N38" s="135"/>
      <c r="O38" s="135"/>
      <c r="P38" s="135"/>
      <c r="Q38" s="137"/>
      <c r="R38" s="137"/>
      <c r="S38" s="137"/>
      <c r="T38" s="137">
        <f>+J38*K38</f>
        <v>100000</v>
      </c>
      <c r="U38" s="137"/>
      <c r="V38" s="138"/>
    </row>
    <row r="39" spans="1:22" ht="39.75" customHeight="1" x14ac:dyDescent="0.25">
      <c r="A39" s="64">
        <v>28</v>
      </c>
      <c r="B39" s="65" t="str">
        <f>'SAF 011 - NECESIDAD TRIMESTRAL'!B37</f>
        <v>4.3.9-2489.10</v>
      </c>
      <c r="C39" s="169" t="str">
        <f>'SAF 011 - NECESIDAD TRIMESTRAL'!E37</f>
        <v>PLANCHAS; CONSUMO: 800 W, CRITERIO DE SEGURIDAD: SELLO DE SEGURIDAD, CORRIENTE NOMINAL: MENOR A 63 A, TENSION NOMINAL: 220 - 240 V, ACCESORIO: CON, TIPO: ELECTRICA</v>
      </c>
      <c r="D39" s="170"/>
      <c r="E39" s="170"/>
      <c r="F39" s="170"/>
      <c r="G39" s="171"/>
      <c r="H39" s="65" t="s">
        <v>139</v>
      </c>
      <c r="I39" s="66" t="s">
        <v>19</v>
      </c>
      <c r="J39" s="67">
        <v>4500</v>
      </c>
      <c r="K39" s="68">
        <v>10</v>
      </c>
      <c r="L39" s="135"/>
      <c r="M39" s="135"/>
      <c r="N39" s="135"/>
      <c r="O39" s="135"/>
      <c r="P39" s="135"/>
      <c r="Q39" s="137"/>
      <c r="R39" s="137"/>
      <c r="S39" s="137"/>
      <c r="T39" s="137">
        <f>+J39*K39</f>
        <v>45000</v>
      </c>
      <c r="U39" s="137"/>
      <c r="V39" s="138"/>
    </row>
    <row r="40" spans="1:22" ht="39" customHeight="1" x14ac:dyDescent="0.25">
      <c r="A40" s="64">
        <v>29</v>
      </c>
      <c r="B40" s="65" t="str">
        <f>'SAF 011 - NECESIDAD TRIMESTRAL'!B38</f>
        <v>4.3.7-1880.1</v>
      </c>
      <c r="C40" s="169" t="str">
        <f>'SAF 011 - NECESIDAD TRIMESTRAL'!E38</f>
        <v>RELOJES; TAMAÑO: 30 X 25 Cm, ALIMENTACION: ELECTRICA, MECANISMO: ANALOGICO, TIPO: DE PARED, MATERIAL: PLASTICO</v>
      </c>
      <c r="D40" s="170"/>
      <c r="E40" s="170"/>
      <c r="F40" s="170"/>
      <c r="G40" s="171"/>
      <c r="H40" s="65" t="s">
        <v>139</v>
      </c>
      <c r="I40" s="66" t="s">
        <v>19</v>
      </c>
      <c r="J40" s="67">
        <v>2300</v>
      </c>
      <c r="K40" s="68">
        <v>30</v>
      </c>
      <c r="L40" s="135"/>
      <c r="M40" s="135"/>
      <c r="N40" s="135"/>
      <c r="O40" s="135"/>
      <c r="P40" s="135"/>
      <c r="Q40" s="137"/>
      <c r="R40" s="137"/>
      <c r="S40" s="137"/>
      <c r="T40" s="137">
        <f>+J40*K40</f>
        <v>69000</v>
      </c>
      <c r="U40" s="137"/>
      <c r="V40" s="138"/>
    </row>
    <row r="41" spans="1:22" ht="36.75" customHeight="1" x14ac:dyDescent="0.25">
      <c r="A41" s="64">
        <v>30</v>
      </c>
      <c r="B41" s="65" t="str">
        <f>'SAF 011 - NECESIDAD TRIMESTRAL'!B39</f>
        <v>2.2.3-923.1</v>
      </c>
      <c r="C41" s="169" t="str">
        <f>'SAF 011 - NECESIDAD TRIMESTRAL'!E39</f>
        <v>SABANAS; TELA: PURO ALGODON, TAMAÑO: 1 PLAZA, CONJUNTO: SUPERIOR,INFERIOR Y FUNDA</v>
      </c>
      <c r="D41" s="170"/>
      <c r="E41" s="170"/>
      <c r="F41" s="170"/>
      <c r="G41" s="171"/>
      <c r="H41" s="65" t="s">
        <v>139</v>
      </c>
      <c r="I41" s="66" t="s">
        <v>19</v>
      </c>
      <c r="J41" s="67">
        <v>3000</v>
      </c>
      <c r="K41" s="68">
        <v>300</v>
      </c>
      <c r="L41" s="135"/>
      <c r="M41" s="135"/>
      <c r="N41" s="135"/>
      <c r="O41" s="135"/>
      <c r="P41" s="135"/>
      <c r="Q41" s="137">
        <f>+K41*J41</f>
        <v>900000</v>
      </c>
      <c r="R41" s="137"/>
      <c r="S41" s="137"/>
      <c r="T41" s="137"/>
      <c r="U41" s="137"/>
      <c r="V41" s="138"/>
    </row>
    <row r="42" spans="1:22" ht="51.75" customHeight="1" x14ac:dyDescent="0.25">
      <c r="A42" s="64">
        <v>31</v>
      </c>
      <c r="B42" s="65" t="str">
        <f>'SAF 011 - NECESIDAD TRIMESTRAL'!B40</f>
        <v>4.3.9-2655.27</v>
      </c>
      <c r="C42" s="169" t="str">
        <f>'SAF 011 - NECESIDAD TRIMESTRAL'!E40</f>
        <v>SECARROPAS/CENTRIFUGA; TIPO: ROTATIVO, SECADO: POR CALOR, CAPACIDAD: 10 Kg, TENSION NOMINAL: 220 V, CORRIENTE NOMINAL: 10 A, CRITERIO DE SEGURIDAD: SELLO DE SEGURIDAD, CONSUMO: 6 KW, EFICIENCIA ENERGETICA: GRADO B</v>
      </c>
      <c r="D42" s="170"/>
      <c r="E42" s="170"/>
      <c r="F42" s="170"/>
      <c r="G42" s="171"/>
      <c r="H42" s="65" t="s">
        <v>139</v>
      </c>
      <c r="I42" s="66" t="s">
        <v>19</v>
      </c>
      <c r="J42" s="67">
        <v>80000</v>
      </c>
      <c r="K42" s="68">
        <v>10</v>
      </c>
      <c r="L42" s="135"/>
      <c r="M42" s="135"/>
      <c r="N42" s="135"/>
      <c r="O42" s="135"/>
      <c r="P42" s="135"/>
      <c r="Q42" s="137"/>
      <c r="R42" s="137"/>
      <c r="S42" s="137"/>
      <c r="T42" s="137">
        <f>+J42*K42</f>
        <v>800000</v>
      </c>
      <c r="U42" s="137"/>
      <c r="V42" s="138"/>
    </row>
    <row r="43" spans="1:22" ht="55.5" customHeight="1" x14ac:dyDescent="0.25">
      <c r="A43" s="64">
        <v>32</v>
      </c>
      <c r="B43" s="65" t="str">
        <f>'SAF 011 - NECESIDAD TRIMESTRAL'!B41</f>
        <v>4.3.7-45.30</v>
      </c>
      <c r="C43" s="169" t="str">
        <f>'SAF 011 - NECESIDAD TRIMESTRAL'!E41</f>
        <v>SILLAS; MATERIAL ESTRUCTURA: METAL, PATAS: BASE CENTRAL,PATAS FIJAS, ALTURA: FIJA, GIRATORIA: NO, RESPALDO: FIJO, ASIENTO: SIN VALOR, TAPIZADO: CUERINA, APOYA BRAZO: SIN, CANTIDAD PATAS: 4, Nº PATAS: 4, APOYABRAZO: SIN</v>
      </c>
      <c r="D43" s="170"/>
      <c r="E43" s="170"/>
      <c r="F43" s="170"/>
      <c r="G43" s="171"/>
      <c r="H43" s="65" t="s">
        <v>139</v>
      </c>
      <c r="I43" s="66" t="s">
        <v>19</v>
      </c>
      <c r="J43" s="67">
        <v>9720</v>
      </c>
      <c r="K43" s="68">
        <v>600</v>
      </c>
      <c r="L43" s="135"/>
      <c r="M43" s="135"/>
      <c r="N43" s="135"/>
      <c r="O43" s="135"/>
      <c r="P43" s="135"/>
      <c r="Q43" s="137"/>
      <c r="R43" s="137"/>
      <c r="S43" s="137"/>
      <c r="T43" s="137">
        <f t="shared" ref="T43:T44" si="5">+J43*K43</f>
        <v>5832000</v>
      </c>
      <c r="U43" s="137"/>
      <c r="V43" s="138"/>
    </row>
    <row r="44" spans="1:22" ht="25.5" customHeight="1" x14ac:dyDescent="0.25">
      <c r="A44" s="64">
        <v>33</v>
      </c>
      <c r="B44" s="65" t="str">
        <f>'SAF 011 - NECESIDAD TRIMESTRAL'!B42</f>
        <v>4.3.7-2004.2</v>
      </c>
      <c r="C44" s="169" t="str">
        <f>'SAF 011 - NECESIDAD TRIMESTRAL'!E42</f>
        <v>SISTEMAS DE SILLAS; ALTURA FIJA - APOYABRAZO SIN - Nº DE ASIENTOS 4 - MATERIAL METAL</v>
      </c>
      <c r="D44" s="170"/>
      <c r="E44" s="170"/>
      <c r="F44" s="170"/>
      <c r="G44" s="171"/>
      <c r="H44" s="65" t="s">
        <v>139</v>
      </c>
      <c r="I44" s="66" t="s">
        <v>19</v>
      </c>
      <c r="J44" s="67">
        <v>53000</v>
      </c>
      <c r="K44" s="68">
        <v>80</v>
      </c>
      <c r="L44" s="135"/>
      <c r="M44" s="135"/>
      <c r="N44" s="135"/>
      <c r="O44" s="135"/>
      <c r="P44" s="135"/>
      <c r="Q44" s="137"/>
      <c r="R44" s="137"/>
      <c r="S44" s="137"/>
      <c r="T44" s="137">
        <f t="shared" si="5"/>
        <v>4240000</v>
      </c>
      <c r="U44" s="137"/>
      <c r="V44" s="138"/>
    </row>
    <row r="45" spans="1:22" ht="33.75" customHeight="1" x14ac:dyDescent="0.25">
      <c r="A45" s="64">
        <v>34</v>
      </c>
      <c r="B45" s="65" t="str">
        <f>'SAF 011 - NECESIDAD TRIMESTRAL'!B43</f>
        <v>2.9.1-2661.8</v>
      </c>
      <c r="C45" s="169" t="str">
        <f>'SAF 011 - NECESIDAD TRIMESTRAL'!E43</f>
        <v>TACHOS DE RESIDUOS; MATERIAL: PLASTICO, SECCION: CIRCULAR, DIMENSION: 119 L, TAPA: CON</v>
      </c>
      <c r="D45" s="170"/>
      <c r="E45" s="170"/>
      <c r="F45" s="170"/>
      <c r="G45" s="171"/>
      <c r="H45" s="65" t="s">
        <v>139</v>
      </c>
      <c r="I45" s="66" t="s">
        <v>19</v>
      </c>
      <c r="J45" s="67">
        <v>17250</v>
      </c>
      <c r="K45" s="68">
        <v>200</v>
      </c>
      <c r="L45" s="135"/>
      <c r="M45" s="135"/>
      <c r="N45" s="135"/>
      <c r="O45" s="135"/>
      <c r="P45" s="135"/>
      <c r="Q45" s="137"/>
      <c r="R45" s="137"/>
      <c r="S45" s="137">
        <f t="shared" ref="S45:S46" si="6">+J45*K45</f>
        <v>3450000</v>
      </c>
      <c r="T45" s="137"/>
      <c r="U45" s="137"/>
      <c r="V45" s="138"/>
    </row>
    <row r="46" spans="1:22" ht="37.5" customHeight="1" x14ac:dyDescent="0.25">
      <c r="A46" s="64">
        <v>35</v>
      </c>
      <c r="B46" s="65" t="str">
        <f>'SAF 011 - NECESIDAD TRIMESTRAL'!B44</f>
        <v>2.9.1-2661.1</v>
      </c>
      <c r="C46" s="169" t="str">
        <f>'SAF 011 - NECESIDAD TRIMESTRAL'!E44</f>
        <v>TACHOS DE RESIDUOS; MATERIAL: PLASTICO, SECCION: CIRCULAR, DIMENSION: DIAM. 30 X 80 Cm, TAPA: CON</v>
      </c>
      <c r="D46" s="170"/>
      <c r="E46" s="170"/>
      <c r="F46" s="170"/>
      <c r="G46" s="171"/>
      <c r="H46" s="65" t="s">
        <v>139</v>
      </c>
      <c r="I46" s="66" t="s">
        <v>19</v>
      </c>
      <c r="J46" s="67">
        <v>7200</v>
      </c>
      <c r="K46" s="68">
        <v>210</v>
      </c>
      <c r="L46" s="135"/>
      <c r="M46" s="135"/>
      <c r="N46" s="135"/>
      <c r="O46" s="135"/>
      <c r="P46" s="135"/>
      <c r="Q46" s="137"/>
      <c r="R46" s="137"/>
      <c r="S46" s="137">
        <f t="shared" si="6"/>
        <v>1512000</v>
      </c>
      <c r="T46" s="137"/>
      <c r="U46" s="137"/>
      <c r="V46" s="138"/>
    </row>
    <row r="47" spans="1:22" ht="40.5" customHeight="1" x14ac:dyDescent="0.25">
      <c r="A47" s="64">
        <v>36</v>
      </c>
      <c r="B47" s="65" t="str">
        <f>'SAF 011 - NECESIDAD TRIMESTRAL'!B45</f>
        <v>4.3.7-28.58</v>
      </c>
      <c r="C47" s="169" t="str">
        <f>'SAF 011 - NECESIDAD TRIMESTRAL'!E45</f>
        <v>VENTILADORES; TIPO: DE PIE, POTENCIA: 140 W, TENSION NOMINAL: 220 V, CORRIENTE NOMINAL: MENOR A 0,6 A, CONSUMO: MENOR A 5 KVA, CRITERIO DE SEGURIDAD: SELLO DE SEGURIDAD</v>
      </c>
      <c r="D47" s="170"/>
      <c r="E47" s="170"/>
      <c r="F47" s="170"/>
      <c r="G47" s="171"/>
      <c r="H47" s="65" t="s">
        <v>139</v>
      </c>
      <c r="I47" s="66" t="s">
        <v>19</v>
      </c>
      <c r="J47" s="67">
        <v>6000</v>
      </c>
      <c r="K47" s="68">
        <v>210</v>
      </c>
      <c r="L47" s="135"/>
      <c r="M47" s="135"/>
      <c r="N47" s="135"/>
      <c r="O47" s="135"/>
      <c r="P47" s="135"/>
      <c r="Q47" s="137"/>
      <c r="R47" s="137"/>
      <c r="S47" s="137"/>
      <c r="T47" s="137">
        <f t="shared" ref="T47:T48" si="7">+J47*K47</f>
        <v>1260000</v>
      </c>
      <c r="U47" s="137"/>
      <c r="V47" s="138"/>
    </row>
    <row r="48" spans="1:22" ht="45" customHeight="1" x14ac:dyDescent="0.25">
      <c r="A48" s="64">
        <v>37</v>
      </c>
      <c r="B48" s="65" t="str">
        <f>'SAF 011 - NECESIDAD TRIMESTRAL'!B46</f>
        <v>4.3.7-1832.16</v>
      </c>
      <c r="C48" s="169" t="str">
        <f>'SAF 011 - NECESIDAD TRIMESTRAL'!E46</f>
        <v>VITRINAS; ESTRUCTURA: MADERA, ALTURA: 170 Cm, ANCHO: 132 Cm, PROFUNDIDAD: 43 Cm, ESTANTE: CON, MATERIAL ESTRUCTURA: MADERA, PUERTA: 2 DE VIDRIO Y MADERA, PUERTAS: 2 DE VIDRIO Y MADERA</v>
      </c>
      <c r="D48" s="170"/>
      <c r="E48" s="170"/>
      <c r="F48" s="170"/>
      <c r="G48" s="171"/>
      <c r="H48" s="65" t="s">
        <v>139</v>
      </c>
      <c r="I48" s="66" t="s">
        <v>19</v>
      </c>
      <c r="J48" s="67">
        <v>53500</v>
      </c>
      <c r="K48" s="68">
        <v>80</v>
      </c>
      <c r="L48" s="135"/>
      <c r="M48" s="135"/>
      <c r="N48" s="135"/>
      <c r="O48" s="135"/>
      <c r="P48" s="135"/>
      <c r="Q48" s="137"/>
      <c r="R48" s="137"/>
      <c r="S48" s="137"/>
      <c r="T48" s="137">
        <f t="shared" si="7"/>
        <v>4280000</v>
      </c>
      <c r="U48" s="137"/>
      <c r="V48" s="138"/>
    </row>
    <row r="49" spans="1:22" ht="15.75" customHeight="1" x14ac:dyDescent="0.25">
      <c r="A49" s="64"/>
      <c r="B49" s="65"/>
      <c r="C49" s="196"/>
      <c r="D49" s="170"/>
      <c r="E49" s="170"/>
      <c r="F49" s="170"/>
      <c r="G49" s="171"/>
      <c r="H49" s="65"/>
      <c r="I49" s="66"/>
      <c r="J49" s="67"/>
      <c r="K49" s="68"/>
      <c r="L49" s="135"/>
      <c r="M49" s="135"/>
      <c r="N49" s="135"/>
      <c r="O49" s="135"/>
      <c r="P49" s="135"/>
      <c r="Q49" s="137"/>
      <c r="R49" s="137"/>
      <c r="S49" s="137"/>
      <c r="T49" s="137"/>
      <c r="U49" s="137"/>
      <c r="V49" s="138"/>
    </row>
    <row r="50" spans="1:22" ht="29.25" customHeight="1" x14ac:dyDescent="0.25">
      <c r="A50" s="194" t="s">
        <v>239</v>
      </c>
      <c r="B50" s="195"/>
      <c r="C50" s="195"/>
      <c r="D50" s="195"/>
      <c r="E50" s="195"/>
      <c r="F50" s="195"/>
      <c r="G50" s="195"/>
      <c r="H50" s="195"/>
      <c r="I50" s="166"/>
      <c r="J50" s="192">
        <f>SUMPRODUCT(J12:J48,K12:K48)</f>
        <v>57412909.200000003</v>
      </c>
      <c r="K50" s="193"/>
      <c r="L50" s="135"/>
      <c r="M50" s="135"/>
      <c r="N50" s="135"/>
      <c r="O50" s="135"/>
      <c r="Q50" s="137">
        <f t="shared" ref="Q50:U50" si="8">SUM(Q12:Q49)</f>
        <v>2760000</v>
      </c>
      <c r="R50" s="137">
        <f t="shared" si="8"/>
        <v>620000</v>
      </c>
      <c r="S50" s="137">
        <f t="shared" si="8"/>
        <v>4962000</v>
      </c>
      <c r="T50" s="137">
        <f t="shared" si="8"/>
        <v>47775909.200000003</v>
      </c>
      <c r="U50" s="137">
        <f t="shared" si="8"/>
        <v>1295000</v>
      </c>
      <c r="V50" s="137">
        <f>SUM(Q50:U50)</f>
        <v>57412909.200000003</v>
      </c>
    </row>
    <row r="51" spans="1:22" ht="15.75" customHeight="1" x14ac:dyDescent="0.25">
      <c r="B51" s="70"/>
      <c r="J51" s="69"/>
      <c r="L51" s="135"/>
      <c r="M51" s="135"/>
      <c r="N51" s="135"/>
      <c r="O51" s="135"/>
      <c r="Q51" s="137"/>
      <c r="R51" s="137"/>
      <c r="S51" s="137"/>
      <c r="T51" s="137"/>
      <c r="U51" s="137"/>
    </row>
    <row r="52" spans="1:22" ht="15.75" customHeight="1" x14ac:dyDescent="0.25">
      <c r="B52" s="70"/>
      <c r="J52" s="69"/>
      <c r="L52" s="135"/>
      <c r="M52" s="135"/>
      <c r="N52" s="135"/>
      <c r="O52" s="135"/>
      <c r="Q52" s="137"/>
      <c r="R52" s="137"/>
      <c r="S52" s="137"/>
      <c r="T52" s="137"/>
      <c r="U52" s="137"/>
    </row>
    <row r="53" spans="1:22" ht="15.75" customHeight="1" x14ac:dyDescent="0.25">
      <c r="B53" s="70"/>
      <c r="J53" s="69"/>
      <c r="L53" s="135"/>
      <c r="M53" s="135"/>
      <c r="N53" s="135"/>
      <c r="O53" s="135"/>
      <c r="Q53" s="137"/>
      <c r="R53" s="137"/>
      <c r="S53" s="137"/>
      <c r="T53" s="137"/>
      <c r="U53" s="137"/>
    </row>
    <row r="54" spans="1:22" ht="15.75" customHeight="1" x14ac:dyDescent="0.25">
      <c r="B54" s="70"/>
      <c r="J54" s="69"/>
      <c r="L54" s="135"/>
      <c r="M54" s="135"/>
      <c r="N54" s="135"/>
      <c r="O54" s="135"/>
      <c r="Q54" s="137"/>
      <c r="R54" s="137"/>
      <c r="S54" s="137"/>
      <c r="T54" s="137"/>
      <c r="U54" s="137"/>
    </row>
    <row r="55" spans="1:22" ht="15.75" customHeight="1" x14ac:dyDescent="0.25">
      <c r="B55" s="70"/>
      <c r="J55" s="69"/>
      <c r="L55" s="135"/>
      <c r="M55" s="135"/>
      <c r="N55" s="135"/>
      <c r="O55" s="135"/>
      <c r="Q55" s="137"/>
      <c r="R55" s="137"/>
      <c r="S55" s="137"/>
      <c r="T55" s="137"/>
      <c r="U55" s="137"/>
    </row>
    <row r="56" spans="1:22" ht="15.75" customHeight="1" x14ac:dyDescent="0.25">
      <c r="B56" s="70"/>
      <c r="J56" s="69"/>
      <c r="L56" s="135"/>
      <c r="M56" s="135"/>
      <c r="N56" s="135"/>
      <c r="O56" s="135"/>
      <c r="Q56" s="137"/>
      <c r="R56" s="137"/>
      <c r="S56" s="137"/>
      <c r="T56" s="137"/>
      <c r="U56" s="137"/>
    </row>
    <row r="57" spans="1:22" ht="15.75" customHeight="1" x14ac:dyDescent="0.25">
      <c r="B57" s="70"/>
      <c r="J57" s="69"/>
      <c r="L57" s="135"/>
      <c r="M57" s="135"/>
      <c r="N57" s="135"/>
      <c r="O57" s="135"/>
      <c r="Q57" s="137"/>
      <c r="R57" s="137"/>
      <c r="S57" s="137"/>
      <c r="T57" s="137"/>
      <c r="U57" s="137"/>
    </row>
    <row r="58" spans="1:22" ht="15.75" customHeight="1" x14ac:dyDescent="0.25">
      <c r="B58" s="70"/>
      <c r="J58" s="69"/>
      <c r="L58" s="135"/>
      <c r="M58" s="135"/>
      <c r="N58" s="135"/>
      <c r="O58" s="135"/>
      <c r="Q58" s="137"/>
      <c r="R58" s="137"/>
      <c r="S58" s="137"/>
      <c r="T58" s="137"/>
      <c r="U58" s="137"/>
    </row>
    <row r="59" spans="1:22" ht="15.75" customHeight="1" x14ac:dyDescent="0.25">
      <c r="B59" s="70"/>
      <c r="J59" s="69"/>
      <c r="L59" s="135"/>
      <c r="M59" s="135"/>
      <c r="N59" s="135"/>
      <c r="O59" s="135"/>
      <c r="Q59" s="137"/>
      <c r="R59" s="137"/>
      <c r="S59" s="137"/>
      <c r="T59" s="137"/>
      <c r="U59" s="137"/>
    </row>
    <row r="60" spans="1:22" ht="15.75" customHeight="1" x14ac:dyDescent="0.25">
      <c r="B60" s="70"/>
      <c r="J60" s="69"/>
      <c r="L60" s="135"/>
      <c r="M60" s="135"/>
      <c r="N60" s="135"/>
      <c r="O60" s="135"/>
      <c r="Q60" s="137"/>
      <c r="R60" s="137"/>
      <c r="S60" s="137"/>
      <c r="T60" s="137"/>
      <c r="U60" s="137"/>
    </row>
    <row r="61" spans="1:22" ht="15.75" customHeight="1" x14ac:dyDescent="0.25">
      <c r="B61" s="70"/>
      <c r="J61" s="69"/>
      <c r="L61" s="135"/>
      <c r="M61" s="135"/>
      <c r="N61" s="135"/>
      <c r="O61" s="135"/>
      <c r="Q61" s="137"/>
      <c r="R61" s="137"/>
      <c r="S61" s="137"/>
      <c r="T61" s="137"/>
      <c r="U61" s="137"/>
    </row>
    <row r="62" spans="1:22" ht="15.75" customHeight="1" x14ac:dyDescent="0.25">
      <c r="B62" s="70"/>
      <c r="J62" s="69"/>
      <c r="L62" s="135"/>
      <c r="M62" s="135"/>
      <c r="N62" s="135"/>
      <c r="O62" s="135"/>
      <c r="Q62" s="137"/>
      <c r="R62" s="137"/>
      <c r="S62" s="137"/>
      <c r="T62" s="137"/>
      <c r="U62" s="137"/>
    </row>
    <row r="63" spans="1:22" ht="15.75" customHeight="1" x14ac:dyDescent="0.25">
      <c r="B63" s="70"/>
      <c r="J63" s="69"/>
      <c r="L63" s="135"/>
      <c r="M63" s="135"/>
      <c r="N63" s="135"/>
      <c r="O63" s="135"/>
      <c r="Q63" s="137"/>
      <c r="R63" s="137"/>
      <c r="S63" s="137"/>
      <c r="T63" s="137"/>
      <c r="U63" s="137"/>
    </row>
    <row r="64" spans="1:22" ht="15.75" customHeight="1" x14ac:dyDescent="0.25">
      <c r="B64" s="70"/>
      <c r="J64" s="69"/>
      <c r="L64" s="135"/>
      <c r="M64" s="135"/>
      <c r="N64" s="135"/>
      <c r="O64" s="135"/>
      <c r="Q64" s="137"/>
      <c r="R64" s="137"/>
      <c r="S64" s="137"/>
      <c r="T64" s="137"/>
      <c r="U64" s="137"/>
    </row>
    <row r="65" spans="2:21" ht="15.75" customHeight="1" x14ac:dyDescent="0.25">
      <c r="B65" s="70"/>
      <c r="J65" s="69"/>
      <c r="L65" s="135"/>
      <c r="M65" s="135"/>
      <c r="N65" s="135"/>
      <c r="O65" s="135"/>
      <c r="Q65" s="137"/>
      <c r="R65" s="137"/>
      <c r="S65" s="137"/>
      <c r="T65" s="137"/>
      <c r="U65" s="137"/>
    </row>
    <row r="66" spans="2:21" ht="15.75" customHeight="1" x14ac:dyDescent="0.25">
      <c r="B66" s="70"/>
      <c r="J66" s="69"/>
      <c r="L66" s="135"/>
      <c r="M66" s="135"/>
      <c r="N66" s="135"/>
      <c r="O66" s="135"/>
      <c r="Q66" s="137"/>
      <c r="R66" s="137"/>
      <c r="S66" s="137"/>
      <c r="T66" s="137"/>
      <c r="U66" s="137"/>
    </row>
    <row r="67" spans="2:21" ht="15.75" customHeight="1" x14ac:dyDescent="0.25">
      <c r="B67" s="70"/>
      <c r="J67" s="69"/>
      <c r="L67" s="135"/>
      <c r="M67" s="135"/>
      <c r="N67" s="135"/>
      <c r="O67" s="135"/>
      <c r="Q67" s="137"/>
      <c r="R67" s="137"/>
      <c r="S67" s="137"/>
      <c r="T67" s="137"/>
      <c r="U67" s="137"/>
    </row>
    <row r="68" spans="2:21" ht="15.75" customHeight="1" x14ac:dyDescent="0.25">
      <c r="B68" s="70"/>
      <c r="J68" s="69"/>
      <c r="L68" s="135"/>
      <c r="M68" s="135"/>
      <c r="N68" s="135"/>
      <c r="O68" s="135"/>
      <c r="Q68" s="137"/>
      <c r="R68" s="137"/>
      <c r="S68" s="137"/>
      <c r="T68" s="137"/>
      <c r="U68" s="137"/>
    </row>
    <row r="69" spans="2:21" ht="15.75" customHeight="1" x14ac:dyDescent="0.25">
      <c r="B69" s="70"/>
      <c r="J69" s="69"/>
      <c r="L69" s="135"/>
      <c r="M69" s="135"/>
      <c r="N69" s="135"/>
      <c r="O69" s="135"/>
      <c r="Q69" s="137"/>
      <c r="R69" s="137"/>
      <c r="S69" s="137"/>
      <c r="T69" s="137"/>
      <c r="U69" s="137"/>
    </row>
    <row r="70" spans="2:21" ht="15.75" customHeight="1" x14ac:dyDescent="0.25">
      <c r="B70" s="70"/>
      <c r="J70" s="69"/>
      <c r="L70" s="135"/>
      <c r="M70" s="135"/>
      <c r="N70" s="135"/>
      <c r="O70" s="135"/>
      <c r="Q70" s="137"/>
      <c r="R70" s="137"/>
      <c r="S70" s="137"/>
      <c r="T70" s="137"/>
      <c r="U70" s="137"/>
    </row>
    <row r="71" spans="2:21" ht="15.75" customHeight="1" x14ac:dyDescent="0.25">
      <c r="B71" s="70"/>
      <c r="J71" s="69"/>
      <c r="L71" s="135"/>
      <c r="M71" s="135"/>
      <c r="N71" s="135"/>
      <c r="O71" s="135"/>
      <c r="Q71" s="137"/>
      <c r="R71" s="137"/>
      <c r="S71" s="137"/>
      <c r="T71" s="137"/>
      <c r="U71" s="137"/>
    </row>
    <row r="72" spans="2:21" ht="15.75" customHeight="1" x14ac:dyDescent="0.25">
      <c r="B72" s="70"/>
      <c r="J72" s="69"/>
      <c r="L72" s="135"/>
      <c r="M72" s="135"/>
      <c r="N72" s="135"/>
      <c r="O72" s="135"/>
      <c r="Q72" s="137"/>
      <c r="R72" s="137"/>
      <c r="S72" s="137"/>
      <c r="T72" s="137"/>
      <c r="U72" s="137"/>
    </row>
    <row r="73" spans="2:21" ht="15.75" customHeight="1" x14ac:dyDescent="0.25">
      <c r="B73" s="70"/>
      <c r="J73" s="69"/>
      <c r="L73" s="135"/>
      <c r="M73" s="135"/>
      <c r="N73" s="135"/>
      <c r="O73" s="135"/>
      <c r="Q73" s="137"/>
      <c r="R73" s="137"/>
      <c r="S73" s="137"/>
      <c r="T73" s="137"/>
      <c r="U73" s="137"/>
    </row>
    <row r="74" spans="2:21" ht="15.75" customHeight="1" x14ac:dyDescent="0.25">
      <c r="B74" s="70"/>
      <c r="J74" s="69"/>
      <c r="L74" s="135"/>
      <c r="M74" s="135"/>
      <c r="N74" s="135"/>
      <c r="O74" s="135"/>
      <c r="Q74" s="137"/>
      <c r="R74" s="137"/>
      <c r="S74" s="137"/>
      <c r="T74" s="137"/>
      <c r="U74" s="137"/>
    </row>
    <row r="75" spans="2:21" ht="15.75" customHeight="1" x14ac:dyDescent="0.25">
      <c r="B75" s="70"/>
      <c r="J75" s="69"/>
      <c r="L75" s="135"/>
      <c r="M75" s="135"/>
      <c r="N75" s="135"/>
      <c r="O75" s="135"/>
      <c r="Q75" s="137"/>
      <c r="R75" s="137"/>
      <c r="S75" s="137"/>
      <c r="T75" s="137"/>
      <c r="U75" s="137"/>
    </row>
    <row r="76" spans="2:21" ht="15.75" customHeight="1" x14ac:dyDescent="0.25">
      <c r="B76" s="70"/>
      <c r="J76" s="69"/>
      <c r="L76" s="135"/>
      <c r="M76" s="135"/>
      <c r="N76" s="135"/>
      <c r="O76" s="135"/>
      <c r="Q76" s="137"/>
      <c r="R76" s="137"/>
      <c r="S76" s="137"/>
      <c r="T76" s="137"/>
      <c r="U76" s="137"/>
    </row>
    <row r="77" spans="2:21" ht="15.75" customHeight="1" x14ac:dyDescent="0.25">
      <c r="B77" s="70"/>
      <c r="J77" s="69"/>
      <c r="L77" s="135"/>
      <c r="M77" s="135"/>
      <c r="N77" s="135"/>
      <c r="O77" s="135"/>
      <c r="Q77" s="137"/>
      <c r="R77" s="137"/>
      <c r="S77" s="137"/>
      <c r="T77" s="137"/>
      <c r="U77" s="137"/>
    </row>
    <row r="78" spans="2:21" ht="15.75" customHeight="1" x14ac:dyDescent="0.25">
      <c r="B78" s="70"/>
      <c r="J78" s="69"/>
      <c r="L78" s="135"/>
      <c r="M78" s="135"/>
      <c r="N78" s="135"/>
      <c r="O78" s="135"/>
      <c r="Q78" s="137"/>
      <c r="R78" s="137"/>
      <c r="S78" s="137"/>
      <c r="T78" s="137"/>
      <c r="U78" s="137"/>
    </row>
    <row r="79" spans="2:21" ht="15.75" customHeight="1" x14ac:dyDescent="0.25">
      <c r="B79" s="70"/>
      <c r="J79" s="69"/>
      <c r="L79" s="135"/>
      <c r="M79" s="135"/>
      <c r="N79" s="135"/>
      <c r="O79" s="135"/>
      <c r="Q79" s="137"/>
      <c r="R79" s="137"/>
      <c r="S79" s="137"/>
      <c r="T79" s="137"/>
      <c r="U79" s="137"/>
    </row>
    <row r="80" spans="2:21" ht="15.75" customHeight="1" x14ac:dyDescent="0.25">
      <c r="B80" s="70"/>
      <c r="J80" s="69"/>
      <c r="L80" s="135"/>
      <c r="M80" s="135"/>
      <c r="N80" s="135"/>
      <c r="O80" s="135"/>
      <c r="Q80" s="137"/>
      <c r="R80" s="137"/>
      <c r="S80" s="137"/>
      <c r="T80" s="137"/>
      <c r="U80" s="137"/>
    </row>
    <row r="81" spans="2:21" ht="15.75" customHeight="1" x14ac:dyDescent="0.25">
      <c r="B81" s="70"/>
      <c r="J81" s="69"/>
      <c r="L81" s="135"/>
      <c r="M81" s="135"/>
      <c r="N81" s="135"/>
      <c r="O81" s="135"/>
      <c r="Q81" s="137"/>
      <c r="R81" s="137"/>
      <c r="S81" s="137"/>
      <c r="T81" s="137"/>
      <c r="U81" s="137"/>
    </row>
    <row r="82" spans="2:21" ht="15.75" customHeight="1" x14ac:dyDescent="0.25">
      <c r="B82" s="70"/>
      <c r="J82" s="69"/>
      <c r="L82" s="135"/>
      <c r="M82" s="135"/>
      <c r="N82" s="135"/>
      <c r="O82" s="135"/>
      <c r="Q82" s="137"/>
      <c r="R82" s="137"/>
      <c r="S82" s="137"/>
      <c r="T82" s="137"/>
      <c r="U82" s="137"/>
    </row>
    <row r="83" spans="2:21" ht="15.75" customHeight="1" x14ac:dyDescent="0.25">
      <c r="B83" s="70"/>
      <c r="J83" s="69"/>
      <c r="L83" s="135"/>
      <c r="M83" s="135"/>
      <c r="N83" s="135"/>
      <c r="O83" s="135"/>
      <c r="Q83" s="137"/>
      <c r="R83" s="137"/>
      <c r="S83" s="137"/>
      <c r="T83" s="137"/>
      <c r="U83" s="137"/>
    </row>
    <row r="84" spans="2:21" ht="15.75" customHeight="1" x14ac:dyDescent="0.25">
      <c r="B84" s="70"/>
      <c r="J84" s="69"/>
      <c r="L84" s="135"/>
      <c r="M84" s="135"/>
      <c r="N84" s="135"/>
      <c r="O84" s="135"/>
      <c r="Q84" s="137"/>
      <c r="R84" s="137"/>
      <c r="S84" s="137"/>
      <c r="T84" s="137"/>
      <c r="U84" s="137"/>
    </row>
    <row r="85" spans="2:21" ht="15.75" customHeight="1" x14ac:dyDescent="0.25">
      <c r="B85" s="70"/>
      <c r="J85" s="69"/>
      <c r="L85" s="135"/>
      <c r="M85" s="135"/>
      <c r="N85" s="135"/>
      <c r="O85" s="135"/>
      <c r="Q85" s="137"/>
      <c r="R85" s="137"/>
      <c r="S85" s="137"/>
      <c r="T85" s="137"/>
      <c r="U85" s="137"/>
    </row>
    <row r="86" spans="2:21" ht="15.75" customHeight="1" x14ac:dyDescent="0.25">
      <c r="B86" s="70"/>
      <c r="J86" s="69"/>
      <c r="L86" s="135"/>
      <c r="M86" s="135"/>
      <c r="N86" s="135"/>
      <c r="O86" s="135"/>
      <c r="Q86" s="137"/>
      <c r="R86" s="137"/>
      <c r="S86" s="137"/>
      <c r="T86" s="137"/>
      <c r="U86" s="137"/>
    </row>
    <row r="87" spans="2:21" ht="15.75" customHeight="1" x14ac:dyDescent="0.25">
      <c r="B87" s="70"/>
      <c r="J87" s="69"/>
      <c r="L87" s="135"/>
      <c r="M87" s="135"/>
      <c r="N87" s="135"/>
      <c r="O87" s="135"/>
      <c r="Q87" s="137"/>
      <c r="R87" s="137"/>
      <c r="S87" s="137"/>
      <c r="T87" s="137"/>
      <c r="U87" s="137"/>
    </row>
    <row r="88" spans="2:21" ht="15.75" customHeight="1" x14ac:dyDescent="0.25">
      <c r="B88" s="70"/>
      <c r="J88" s="69"/>
      <c r="L88" s="135"/>
      <c r="M88" s="135"/>
      <c r="N88" s="135"/>
      <c r="O88" s="135"/>
      <c r="Q88" s="137"/>
      <c r="R88" s="137"/>
      <c r="S88" s="137"/>
      <c r="T88" s="137"/>
      <c r="U88" s="137"/>
    </row>
    <row r="89" spans="2:21" ht="15.75" customHeight="1" x14ac:dyDescent="0.25">
      <c r="B89" s="70"/>
      <c r="J89" s="69"/>
      <c r="L89" s="135"/>
      <c r="M89" s="135"/>
      <c r="N89" s="135"/>
      <c r="O89" s="135"/>
      <c r="Q89" s="137"/>
      <c r="R89" s="137"/>
      <c r="S89" s="137"/>
      <c r="T89" s="137"/>
      <c r="U89" s="137"/>
    </row>
    <row r="90" spans="2:21" ht="15.75" customHeight="1" x14ac:dyDescent="0.25">
      <c r="B90" s="70"/>
      <c r="J90" s="69"/>
      <c r="L90" s="135"/>
      <c r="M90" s="135"/>
      <c r="N90" s="135"/>
      <c r="O90" s="135"/>
      <c r="Q90" s="137"/>
      <c r="R90" s="137"/>
      <c r="S90" s="137"/>
      <c r="T90" s="137"/>
      <c r="U90" s="137"/>
    </row>
    <row r="91" spans="2:21" ht="15.75" customHeight="1" x14ac:dyDescent="0.25">
      <c r="B91" s="70"/>
      <c r="J91" s="69"/>
      <c r="L91" s="135"/>
      <c r="M91" s="135"/>
      <c r="N91" s="135"/>
      <c r="O91" s="135"/>
      <c r="Q91" s="137"/>
      <c r="R91" s="137"/>
      <c r="S91" s="137"/>
      <c r="T91" s="137"/>
      <c r="U91" s="137"/>
    </row>
    <row r="92" spans="2:21" ht="15.75" customHeight="1" x14ac:dyDescent="0.25">
      <c r="B92" s="70"/>
      <c r="J92" s="69"/>
      <c r="L92" s="135"/>
      <c r="M92" s="135"/>
      <c r="N92" s="135"/>
      <c r="O92" s="135"/>
      <c r="Q92" s="137"/>
      <c r="R92" s="137"/>
      <c r="S92" s="137"/>
      <c r="T92" s="137"/>
      <c r="U92" s="137"/>
    </row>
    <row r="93" spans="2:21" ht="15.75" customHeight="1" x14ac:dyDescent="0.25">
      <c r="B93" s="70"/>
      <c r="J93" s="69"/>
      <c r="L93" s="135"/>
      <c r="M93" s="135"/>
      <c r="N93" s="135"/>
      <c r="O93" s="135"/>
      <c r="Q93" s="137"/>
      <c r="R93" s="137"/>
      <c r="S93" s="137"/>
      <c r="T93" s="137"/>
      <c r="U93" s="137"/>
    </row>
    <row r="94" spans="2:21" ht="15.75" customHeight="1" x14ac:dyDescent="0.25">
      <c r="B94" s="70"/>
      <c r="J94" s="69"/>
      <c r="L94" s="135"/>
      <c r="M94" s="135"/>
      <c r="N94" s="135"/>
      <c r="O94" s="135"/>
      <c r="Q94" s="137"/>
      <c r="R94" s="137"/>
      <c r="S94" s="137"/>
      <c r="T94" s="137"/>
      <c r="U94" s="137"/>
    </row>
    <row r="95" spans="2:21" ht="15.75" customHeight="1" x14ac:dyDescent="0.25">
      <c r="B95" s="70"/>
      <c r="J95" s="69"/>
      <c r="L95" s="135"/>
      <c r="M95" s="135"/>
      <c r="N95" s="135"/>
      <c r="O95" s="135"/>
      <c r="Q95" s="137"/>
      <c r="R95" s="137"/>
      <c r="S95" s="137"/>
      <c r="T95" s="137"/>
      <c r="U95" s="137"/>
    </row>
    <row r="96" spans="2:21" ht="15.75" customHeight="1" x14ac:dyDescent="0.25">
      <c r="B96" s="70"/>
      <c r="J96" s="69"/>
      <c r="L96" s="135"/>
      <c r="M96" s="135"/>
      <c r="N96" s="135"/>
      <c r="O96" s="135"/>
      <c r="Q96" s="137"/>
      <c r="R96" s="137"/>
      <c r="S96" s="137"/>
      <c r="T96" s="137"/>
      <c r="U96" s="137"/>
    </row>
    <row r="97" spans="2:21" ht="15.75" customHeight="1" x14ac:dyDescent="0.25">
      <c r="B97" s="70"/>
      <c r="J97" s="69"/>
      <c r="L97" s="135"/>
      <c r="M97" s="135"/>
      <c r="N97" s="135"/>
      <c r="O97" s="135"/>
      <c r="Q97" s="137"/>
      <c r="R97" s="137"/>
      <c r="S97" s="137"/>
      <c r="T97" s="137"/>
      <c r="U97" s="137"/>
    </row>
    <row r="98" spans="2:21" ht="15.75" customHeight="1" x14ac:dyDescent="0.25">
      <c r="B98" s="70"/>
      <c r="J98" s="69"/>
      <c r="L98" s="135"/>
      <c r="M98" s="135"/>
      <c r="N98" s="135"/>
      <c r="O98" s="135"/>
      <c r="Q98" s="137"/>
      <c r="R98" s="137"/>
      <c r="S98" s="137"/>
      <c r="T98" s="137"/>
      <c r="U98" s="137"/>
    </row>
    <row r="99" spans="2:21" ht="15.75" customHeight="1" x14ac:dyDescent="0.25">
      <c r="B99" s="70"/>
      <c r="J99" s="69"/>
      <c r="L99" s="135"/>
      <c r="M99" s="135"/>
      <c r="N99" s="135"/>
      <c r="O99" s="135"/>
      <c r="Q99" s="137"/>
      <c r="R99" s="137"/>
      <c r="S99" s="137"/>
      <c r="T99" s="137"/>
      <c r="U99" s="137"/>
    </row>
    <row r="100" spans="2:21" ht="15.75" customHeight="1" x14ac:dyDescent="0.25">
      <c r="B100" s="70"/>
      <c r="J100" s="69"/>
      <c r="L100" s="135"/>
      <c r="M100" s="135"/>
      <c r="N100" s="135"/>
      <c r="O100" s="135"/>
      <c r="Q100" s="137"/>
      <c r="R100" s="137"/>
      <c r="S100" s="137"/>
      <c r="T100" s="137"/>
      <c r="U100" s="137"/>
    </row>
    <row r="101" spans="2:21" ht="15" customHeight="1" x14ac:dyDescent="0.25">
      <c r="L101" s="135"/>
      <c r="M101" s="135"/>
      <c r="N101" s="135"/>
      <c r="O101" s="135"/>
    </row>
    <row r="102" spans="2:21" ht="15" customHeight="1" x14ac:dyDescent="0.25">
      <c r="L102" s="135"/>
      <c r="M102" s="135"/>
      <c r="N102" s="135"/>
      <c r="O102" s="135"/>
    </row>
    <row r="103" spans="2:21" ht="15" customHeight="1" x14ac:dyDescent="0.25">
      <c r="L103" s="135"/>
      <c r="M103" s="135"/>
      <c r="N103" s="135"/>
      <c r="O103" s="135"/>
    </row>
    <row r="104" spans="2:21" ht="15" customHeight="1" x14ac:dyDescent="0.25">
      <c r="L104" s="135"/>
      <c r="M104" s="135"/>
      <c r="N104" s="135"/>
      <c r="O104" s="135"/>
    </row>
    <row r="105" spans="2:21" ht="15" customHeight="1" x14ac:dyDescent="0.25">
      <c r="L105" s="135"/>
      <c r="M105" s="135"/>
      <c r="N105" s="135"/>
      <c r="O105" s="135"/>
    </row>
    <row r="106" spans="2:21" ht="15" customHeight="1" x14ac:dyDescent="0.25">
      <c r="L106" s="135"/>
      <c r="M106" s="135"/>
      <c r="N106" s="135"/>
      <c r="O106" s="135"/>
    </row>
    <row r="107" spans="2:21" ht="15" customHeight="1" x14ac:dyDescent="0.25">
      <c r="L107" s="135"/>
      <c r="M107" s="135"/>
      <c r="N107" s="135"/>
      <c r="O107" s="135"/>
    </row>
    <row r="108" spans="2:21" ht="15" customHeight="1" x14ac:dyDescent="0.25">
      <c r="L108" s="135"/>
      <c r="M108" s="135"/>
      <c r="N108" s="135"/>
      <c r="O108" s="135"/>
    </row>
    <row r="109" spans="2:21" ht="15" customHeight="1" x14ac:dyDescent="0.25">
      <c r="L109" s="135"/>
      <c r="M109" s="135"/>
      <c r="N109" s="135"/>
      <c r="O109" s="135"/>
    </row>
    <row r="110" spans="2:21" ht="15" customHeight="1" x14ac:dyDescent="0.25">
      <c r="L110" s="135"/>
      <c r="M110" s="135"/>
      <c r="N110" s="135"/>
      <c r="O110" s="135"/>
    </row>
    <row r="111" spans="2:21" ht="15" customHeight="1" x14ac:dyDescent="0.25">
      <c r="L111" s="135"/>
      <c r="M111" s="135"/>
      <c r="N111" s="135"/>
      <c r="O111" s="135"/>
    </row>
    <row r="112" spans="2:21" ht="15" customHeight="1" x14ac:dyDescent="0.25">
      <c r="L112" s="135"/>
      <c r="M112" s="135"/>
      <c r="N112" s="135"/>
      <c r="O112" s="135"/>
    </row>
    <row r="113" spans="12:15" ht="15" customHeight="1" x14ac:dyDescent="0.25">
      <c r="L113" s="135"/>
      <c r="M113" s="135"/>
      <c r="N113" s="135"/>
      <c r="O113" s="135"/>
    </row>
    <row r="114" spans="12:15" ht="15" customHeight="1" x14ac:dyDescent="0.25">
      <c r="L114" s="135"/>
      <c r="M114" s="135"/>
      <c r="N114" s="135"/>
      <c r="O114" s="135"/>
    </row>
    <row r="115" spans="12:15" ht="15" customHeight="1" x14ac:dyDescent="0.25">
      <c r="L115" s="135"/>
      <c r="M115" s="135"/>
      <c r="N115" s="135"/>
      <c r="O115" s="135"/>
    </row>
    <row r="116" spans="12:15" ht="15" customHeight="1" x14ac:dyDescent="0.25">
      <c r="L116" s="135"/>
      <c r="M116" s="135"/>
      <c r="N116" s="135"/>
      <c r="O116" s="135"/>
    </row>
    <row r="117" spans="12:15" ht="15" customHeight="1" x14ac:dyDescent="0.25">
      <c r="L117" s="135"/>
      <c r="M117" s="135"/>
      <c r="N117" s="135"/>
      <c r="O117" s="135"/>
    </row>
    <row r="118" spans="12:15" ht="15" customHeight="1" x14ac:dyDescent="0.25">
      <c r="L118" s="135"/>
      <c r="M118" s="135"/>
      <c r="N118" s="135"/>
      <c r="O118" s="135"/>
    </row>
    <row r="119" spans="12:15" ht="15" customHeight="1" x14ac:dyDescent="0.25">
      <c r="L119" s="135"/>
      <c r="M119" s="135"/>
      <c r="N119" s="135"/>
      <c r="O119" s="135"/>
    </row>
    <row r="120" spans="12:15" ht="15" customHeight="1" x14ac:dyDescent="0.25">
      <c r="L120" s="135"/>
      <c r="M120" s="135"/>
      <c r="N120" s="135"/>
      <c r="O120" s="135"/>
    </row>
    <row r="121" spans="12:15" ht="15" customHeight="1" x14ac:dyDescent="0.25">
      <c r="L121" s="135"/>
      <c r="M121" s="135"/>
      <c r="N121" s="135"/>
      <c r="O121" s="135"/>
    </row>
    <row r="122" spans="12:15" ht="15" customHeight="1" x14ac:dyDescent="0.25">
      <c r="L122" s="135"/>
      <c r="M122" s="135"/>
      <c r="N122" s="135"/>
      <c r="O122" s="135"/>
    </row>
    <row r="123" spans="12:15" ht="15" customHeight="1" x14ac:dyDescent="0.25">
      <c r="L123" s="135"/>
      <c r="M123" s="135"/>
      <c r="N123" s="135"/>
      <c r="O123" s="135"/>
    </row>
  </sheetData>
  <autoFilter ref="A11:AB11" xr:uid="{00000000-0001-0000-0100-000000000000}">
    <filterColumn colId="2" showButton="0"/>
    <filterColumn colId="3" showButton="0"/>
    <filterColumn colId="4" showButton="0"/>
    <filterColumn colId="5" showButton="0"/>
  </autoFilter>
  <mergeCells count="54">
    <mergeCell ref="C39:G39"/>
    <mergeCell ref="C13:G13"/>
    <mergeCell ref="I10:I11"/>
    <mergeCell ref="H10:H11"/>
    <mergeCell ref="K10:K11"/>
    <mergeCell ref="J10:J11"/>
    <mergeCell ref="C14:G14"/>
    <mergeCell ref="C15:G15"/>
    <mergeCell ref="C16:G16"/>
    <mergeCell ref="C17:G17"/>
    <mergeCell ref="C37:G37"/>
    <mergeCell ref="C36:G36"/>
    <mergeCell ref="C34:G34"/>
    <mergeCell ref="C35:G35"/>
    <mergeCell ref="C38:G38"/>
    <mergeCell ref="C29:G29"/>
    <mergeCell ref="J50:K50"/>
    <mergeCell ref="C45:G45"/>
    <mergeCell ref="C40:G40"/>
    <mergeCell ref="C41:G41"/>
    <mergeCell ref="C42:G42"/>
    <mergeCell ref="C43:G43"/>
    <mergeCell ref="C44:G44"/>
    <mergeCell ref="C46:G46"/>
    <mergeCell ref="A50:I50"/>
    <mergeCell ref="C49:G49"/>
    <mergeCell ref="C47:G47"/>
    <mergeCell ref="C48:G48"/>
    <mergeCell ref="A1:I1"/>
    <mergeCell ref="A3:C3"/>
    <mergeCell ref="A4:C4"/>
    <mergeCell ref="C32:G32"/>
    <mergeCell ref="C33:G33"/>
    <mergeCell ref="C30:G30"/>
    <mergeCell ref="C31:G31"/>
    <mergeCell ref="C28:G28"/>
    <mergeCell ref="C23:G23"/>
    <mergeCell ref="C24:G24"/>
    <mergeCell ref="C25:G25"/>
    <mergeCell ref="C26:G26"/>
    <mergeCell ref="C27:G27"/>
    <mergeCell ref="C18:G18"/>
    <mergeCell ref="C19:G19"/>
    <mergeCell ref="C20:G20"/>
    <mergeCell ref="C21:G21"/>
    <mergeCell ref="C22:G22"/>
    <mergeCell ref="A5:C5"/>
    <mergeCell ref="C12:G12"/>
    <mergeCell ref="A10:A11"/>
    <mergeCell ref="B10:B11"/>
    <mergeCell ref="C10:G11"/>
    <mergeCell ref="A6:C6"/>
    <mergeCell ref="A7:C7"/>
    <mergeCell ref="A8:C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"/>
  <sheetViews>
    <sheetView topLeftCell="A18" workbookViewId="0">
      <selection activeCell="A41" sqref="A41:Q42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4.7109375" customWidth="1"/>
    <col min="17" max="17" width="19.5703125" customWidth="1"/>
    <col min="19" max="19" width="15.5703125" style="141" bestFit="1" customWidth="1"/>
  </cols>
  <sheetData>
    <row r="1" spans="1:17" x14ac:dyDescent="0.25">
      <c r="A1" s="220" t="s">
        <v>5</v>
      </c>
      <c r="B1" s="189"/>
      <c r="C1" s="189"/>
      <c r="D1" s="221">
        <v>2022</v>
      </c>
      <c r="E1" s="222"/>
      <c r="F1" s="71"/>
      <c r="G1" s="71"/>
      <c r="H1" s="72"/>
      <c r="I1" s="72"/>
      <c r="J1" s="72"/>
      <c r="K1" s="72"/>
      <c r="L1" s="72"/>
      <c r="M1" s="72"/>
      <c r="N1" s="72"/>
      <c r="O1" s="73"/>
      <c r="P1" s="223" t="s">
        <v>140</v>
      </c>
      <c r="Q1" s="224"/>
    </row>
    <row r="2" spans="1:17" x14ac:dyDescent="0.25">
      <c r="A2" s="74"/>
      <c r="B2" s="40"/>
      <c r="C2" s="40"/>
      <c r="D2" s="40"/>
      <c r="E2" s="40"/>
      <c r="F2" s="40"/>
      <c r="G2" s="75"/>
      <c r="H2" s="76"/>
      <c r="I2" s="76"/>
      <c r="J2" s="76"/>
      <c r="K2" s="76"/>
      <c r="L2" s="76"/>
      <c r="M2" s="76"/>
      <c r="N2" s="76"/>
      <c r="O2" s="40"/>
      <c r="P2" s="225"/>
      <c r="Q2" s="226"/>
    </row>
    <row r="3" spans="1:17" x14ac:dyDescent="0.25">
      <c r="A3" s="74"/>
      <c r="B3" s="40"/>
      <c r="C3" s="40"/>
      <c r="D3" s="40"/>
      <c r="E3" s="40"/>
      <c r="F3" s="40"/>
      <c r="G3" s="75"/>
      <c r="H3" s="40"/>
      <c r="I3" s="40"/>
      <c r="J3" s="40"/>
      <c r="K3" s="40"/>
      <c r="L3" s="40"/>
      <c r="M3" s="40"/>
      <c r="N3" s="40"/>
      <c r="O3" s="40"/>
      <c r="P3" s="40"/>
      <c r="Q3" s="77"/>
    </row>
    <row r="4" spans="1:17" x14ac:dyDescent="0.25">
      <c r="A4" s="215" t="s">
        <v>141</v>
      </c>
      <c r="B4" s="187"/>
      <c r="C4" s="187"/>
      <c r="D4" s="187"/>
      <c r="E4" s="187"/>
      <c r="F4" s="206"/>
      <c r="G4" s="219" t="str">
        <f>NP!D3</f>
        <v>040 - MINISTERIO DE SALUD</v>
      </c>
      <c r="H4" s="187"/>
      <c r="I4" s="187"/>
      <c r="J4" s="187"/>
      <c r="K4" s="187"/>
      <c r="L4" s="187"/>
      <c r="M4" s="187"/>
      <c r="N4" s="187"/>
      <c r="O4" s="187"/>
      <c r="P4" s="187"/>
      <c r="Q4" s="218"/>
    </row>
    <row r="5" spans="1:17" x14ac:dyDescent="0.25">
      <c r="A5" s="214" t="s">
        <v>124</v>
      </c>
      <c r="B5" s="187"/>
      <c r="C5" s="187"/>
      <c r="D5" s="187"/>
      <c r="E5" s="187"/>
      <c r="F5" s="206"/>
      <c r="G5" s="219" t="str">
        <f>NP!D4</f>
        <v>011 - DIRECCION PROVINCIAL DE ADMINISTRACION DEL MINISTERIO DE SALUD</v>
      </c>
      <c r="H5" s="187"/>
      <c r="I5" s="187"/>
      <c r="J5" s="187"/>
      <c r="K5" s="187"/>
      <c r="L5" s="187"/>
      <c r="M5" s="187"/>
      <c r="N5" s="187"/>
      <c r="O5" s="187"/>
      <c r="P5" s="187"/>
      <c r="Q5" s="218"/>
    </row>
    <row r="6" spans="1:17" x14ac:dyDescent="0.25">
      <c r="A6" s="214" t="s">
        <v>126</v>
      </c>
      <c r="B6" s="187"/>
      <c r="C6" s="187"/>
      <c r="D6" s="187"/>
      <c r="E6" s="187"/>
      <c r="F6" s="206"/>
      <c r="G6" s="219" t="str">
        <f>NP!D5</f>
        <v>352 - MINISTERIO DE SALUD</v>
      </c>
      <c r="H6" s="187"/>
      <c r="I6" s="187"/>
      <c r="J6" s="187"/>
      <c r="K6" s="187"/>
      <c r="L6" s="187"/>
      <c r="M6" s="187"/>
      <c r="N6" s="187"/>
      <c r="O6" s="187"/>
      <c r="P6" s="187"/>
      <c r="Q6" s="218"/>
    </row>
    <row r="7" spans="1:17" x14ac:dyDescent="0.25">
      <c r="A7" s="214" t="s">
        <v>128</v>
      </c>
      <c r="B7" s="187"/>
      <c r="C7" s="187"/>
      <c r="D7" s="187"/>
      <c r="E7" s="187"/>
      <c r="F7" s="206"/>
      <c r="G7" s="219" t="str">
        <f>NP!D6</f>
        <v>352 - MINISTERIO DE SALUD</v>
      </c>
      <c r="H7" s="187"/>
      <c r="I7" s="187"/>
      <c r="J7" s="187"/>
      <c r="K7" s="187"/>
      <c r="L7" s="187"/>
      <c r="M7" s="187"/>
      <c r="N7" s="187"/>
      <c r="O7" s="187"/>
      <c r="P7" s="187"/>
      <c r="Q7" s="218"/>
    </row>
    <row r="8" spans="1:17" x14ac:dyDescent="0.25">
      <c r="A8" s="217" t="s">
        <v>142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218"/>
    </row>
    <row r="9" spans="1:17" x14ac:dyDescent="0.25">
      <c r="A9" s="216" t="s">
        <v>143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204"/>
    </row>
    <row r="10" spans="1:17" ht="75" customHeight="1" x14ac:dyDescent="0.25">
      <c r="A10" s="242" t="s">
        <v>226</v>
      </c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43"/>
    </row>
    <row r="11" spans="1:17" x14ac:dyDescent="0.25">
      <c r="A11" s="78"/>
      <c r="B11" s="79"/>
      <c r="C11" s="79"/>
      <c r="D11" s="79"/>
      <c r="E11" s="79"/>
      <c r="F11" s="79"/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81"/>
    </row>
    <row r="12" spans="1:17" x14ac:dyDescent="0.25">
      <c r="A12" s="203" t="s">
        <v>144</v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204"/>
    </row>
    <row r="13" spans="1:17" x14ac:dyDescent="0.25">
      <c r="A13" s="205" t="s">
        <v>145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206"/>
      <c r="O13" s="207" t="s">
        <v>146</v>
      </c>
      <c r="P13" s="208"/>
      <c r="Q13" s="209" t="s">
        <v>147</v>
      </c>
    </row>
    <row r="14" spans="1:17" x14ac:dyDescent="0.25">
      <c r="A14" s="82" t="s">
        <v>148</v>
      </c>
      <c r="B14" s="83" t="s">
        <v>149</v>
      </c>
      <c r="C14" s="83" t="s">
        <v>150</v>
      </c>
      <c r="D14" s="83" t="s">
        <v>151</v>
      </c>
      <c r="E14" s="83" t="s">
        <v>152</v>
      </c>
      <c r="F14" s="83" t="s">
        <v>153</v>
      </c>
      <c r="G14" s="84" t="s">
        <v>154</v>
      </c>
      <c r="H14" s="83" t="s">
        <v>155</v>
      </c>
      <c r="I14" s="83" t="s">
        <v>156</v>
      </c>
      <c r="J14" s="83" t="s">
        <v>157</v>
      </c>
      <c r="K14" s="83" t="s">
        <v>157</v>
      </c>
      <c r="L14" s="83" t="s">
        <v>158</v>
      </c>
      <c r="M14" s="85" t="s">
        <v>159</v>
      </c>
      <c r="N14" s="86" t="s">
        <v>160</v>
      </c>
      <c r="O14" s="184"/>
      <c r="P14" s="185"/>
      <c r="Q14" s="151"/>
    </row>
    <row r="15" spans="1:17" x14ac:dyDescent="0.25">
      <c r="A15" s="87">
        <v>1</v>
      </c>
      <c r="B15" s="88"/>
      <c r="C15" s="88"/>
      <c r="D15" s="88">
        <v>1</v>
      </c>
      <c r="E15" s="88"/>
      <c r="F15" s="88">
        <v>4901</v>
      </c>
      <c r="G15" s="88">
        <v>3</v>
      </c>
      <c r="H15" s="88">
        <v>1</v>
      </c>
      <c r="I15" s="88">
        <v>2</v>
      </c>
      <c r="J15" s="88">
        <v>2</v>
      </c>
      <c r="K15" s="88">
        <v>3</v>
      </c>
      <c r="L15" s="88"/>
      <c r="M15" s="89">
        <v>1</v>
      </c>
      <c r="N15" s="88" t="s">
        <v>161</v>
      </c>
      <c r="O15" s="210" t="s">
        <v>162</v>
      </c>
      <c r="P15" s="211"/>
      <c r="Q15" s="90">
        <v>2760000</v>
      </c>
    </row>
    <row r="16" spans="1:17" x14ac:dyDescent="0.25">
      <c r="A16" s="91">
        <v>1</v>
      </c>
      <c r="B16" s="92"/>
      <c r="C16" s="92"/>
      <c r="D16" s="92">
        <v>1</v>
      </c>
      <c r="E16" s="92"/>
      <c r="F16" s="92">
        <v>4901</v>
      </c>
      <c r="G16" s="92">
        <v>3</v>
      </c>
      <c r="H16" s="92">
        <v>1</v>
      </c>
      <c r="I16" s="92">
        <v>2</v>
      </c>
      <c r="J16" s="92">
        <v>2</v>
      </c>
      <c r="K16" s="92">
        <v>9</v>
      </c>
      <c r="L16" s="92"/>
      <c r="M16" s="93">
        <v>1</v>
      </c>
      <c r="N16" s="94" t="s">
        <v>161</v>
      </c>
      <c r="O16" s="212" t="s">
        <v>163</v>
      </c>
      <c r="P16" s="201"/>
      <c r="Q16" s="95">
        <v>620000</v>
      </c>
    </row>
    <row r="17" spans="1:17" x14ac:dyDescent="0.25">
      <c r="A17" s="91">
        <v>1</v>
      </c>
      <c r="B17" s="92"/>
      <c r="C17" s="92"/>
      <c r="D17" s="92">
        <v>1</v>
      </c>
      <c r="E17" s="92"/>
      <c r="F17" s="92">
        <v>4901</v>
      </c>
      <c r="G17" s="92">
        <v>3</v>
      </c>
      <c r="H17" s="92">
        <v>1</v>
      </c>
      <c r="I17" s="92">
        <v>2</v>
      </c>
      <c r="J17" s="92">
        <v>9</v>
      </c>
      <c r="K17" s="92">
        <v>1</v>
      </c>
      <c r="L17" s="92"/>
      <c r="M17" s="93">
        <v>1</v>
      </c>
      <c r="N17" s="94" t="s">
        <v>161</v>
      </c>
      <c r="O17" s="213" t="s">
        <v>98</v>
      </c>
      <c r="P17" s="201"/>
      <c r="Q17" s="95">
        <v>4962000</v>
      </c>
    </row>
    <row r="18" spans="1:17" x14ac:dyDescent="0.25">
      <c r="A18" s="91">
        <v>1</v>
      </c>
      <c r="B18" s="92"/>
      <c r="C18" s="92"/>
      <c r="D18" s="92">
        <v>1</v>
      </c>
      <c r="E18" s="92"/>
      <c r="F18" s="92">
        <v>4901</v>
      </c>
      <c r="G18" s="92">
        <v>3</v>
      </c>
      <c r="H18" s="92">
        <v>1</v>
      </c>
      <c r="I18" s="92">
        <v>4</v>
      </c>
      <c r="J18" s="92">
        <v>3</v>
      </c>
      <c r="K18" s="92">
        <v>3</v>
      </c>
      <c r="L18" s="92"/>
      <c r="M18" s="93">
        <v>1</v>
      </c>
      <c r="N18" s="94" t="s">
        <v>161</v>
      </c>
      <c r="O18" s="200" t="s">
        <v>238</v>
      </c>
      <c r="P18" s="201"/>
      <c r="Q18" s="95">
        <v>1295000</v>
      </c>
    </row>
    <row r="19" spans="1:17" x14ac:dyDescent="0.25">
      <c r="A19" s="91">
        <v>1</v>
      </c>
      <c r="B19" s="92"/>
      <c r="C19" s="92"/>
      <c r="D19" s="92">
        <v>1</v>
      </c>
      <c r="E19" s="92"/>
      <c r="F19" s="92">
        <v>4901</v>
      </c>
      <c r="G19" s="92">
        <v>3</v>
      </c>
      <c r="H19" s="92">
        <v>1</v>
      </c>
      <c r="I19" s="92">
        <v>4</v>
      </c>
      <c r="J19" s="92">
        <v>3</v>
      </c>
      <c r="K19" s="92">
        <v>7</v>
      </c>
      <c r="L19" s="92"/>
      <c r="M19" s="93">
        <v>1</v>
      </c>
      <c r="N19" s="142" t="s">
        <v>161</v>
      </c>
      <c r="O19" s="200" t="s">
        <v>164</v>
      </c>
      <c r="P19" s="201"/>
      <c r="Q19" s="95">
        <v>47775909.200000003</v>
      </c>
    </row>
    <row r="20" spans="1:17" x14ac:dyDescent="0.25">
      <c r="A20" s="91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3"/>
      <c r="N20" s="94"/>
      <c r="O20" s="202"/>
      <c r="P20" s="201"/>
      <c r="Q20" s="95"/>
    </row>
    <row r="21" spans="1:17" ht="15.75" customHeight="1" x14ac:dyDescent="0.25">
      <c r="A21" s="91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3"/>
      <c r="N21" s="94"/>
      <c r="O21" s="202"/>
      <c r="P21" s="201"/>
      <c r="Q21" s="95"/>
    </row>
    <row r="22" spans="1:17" ht="15.75" customHeight="1" x14ac:dyDescent="0.25">
      <c r="A22" s="9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3"/>
      <c r="N22" s="94"/>
      <c r="O22" s="202"/>
      <c r="P22" s="201"/>
      <c r="Q22" s="95"/>
    </row>
    <row r="23" spans="1:17" ht="15.75" customHeight="1" x14ac:dyDescent="0.25">
      <c r="A23" s="91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3"/>
      <c r="N23" s="94"/>
      <c r="O23" s="202"/>
      <c r="P23" s="201"/>
      <c r="Q23" s="95"/>
    </row>
    <row r="24" spans="1:17" ht="15.75" customHeight="1" x14ac:dyDescent="0.25">
      <c r="A24" s="91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94"/>
      <c r="O24" s="202"/>
      <c r="P24" s="201"/>
      <c r="Q24" s="95"/>
    </row>
    <row r="25" spans="1:17" ht="15.75" customHeight="1" x14ac:dyDescent="0.25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94"/>
      <c r="O25" s="202"/>
      <c r="P25" s="201"/>
      <c r="Q25" s="95"/>
    </row>
    <row r="26" spans="1:17" ht="15.75" customHeight="1" x14ac:dyDescent="0.25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94"/>
      <c r="O26" s="202"/>
      <c r="P26" s="201"/>
      <c r="Q26" s="95"/>
    </row>
    <row r="27" spans="1:17" ht="15.75" customHeight="1" x14ac:dyDescent="0.25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94"/>
      <c r="O27" s="202"/>
      <c r="P27" s="201"/>
      <c r="Q27" s="95"/>
    </row>
    <row r="28" spans="1:17" ht="15.75" customHeight="1" x14ac:dyDescent="0.2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94"/>
      <c r="O28" s="202"/>
      <c r="P28" s="201"/>
      <c r="Q28" s="95"/>
    </row>
    <row r="29" spans="1:17" ht="15.75" customHeight="1" x14ac:dyDescent="0.25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94"/>
      <c r="O29" s="202"/>
      <c r="P29" s="201"/>
      <c r="Q29" s="95"/>
    </row>
    <row r="30" spans="1:17" ht="15.75" customHeight="1" x14ac:dyDescent="0.25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94"/>
      <c r="O30" s="202"/>
      <c r="P30" s="201"/>
      <c r="Q30" s="95"/>
    </row>
    <row r="31" spans="1:17" ht="15.75" customHeight="1" x14ac:dyDescent="0.25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94"/>
      <c r="O31" s="202"/>
      <c r="P31" s="201"/>
      <c r="Q31" s="95"/>
    </row>
    <row r="32" spans="1:17" ht="15.75" customHeight="1" x14ac:dyDescent="0.25">
      <c r="A32" s="91"/>
      <c r="B32" s="92"/>
      <c r="C32" s="92"/>
      <c r="D32" s="92"/>
      <c r="E32" s="92"/>
      <c r="F32" s="94"/>
      <c r="G32" s="92"/>
      <c r="H32" s="92"/>
      <c r="I32" s="92"/>
      <c r="J32" s="92"/>
      <c r="K32" s="92"/>
      <c r="L32" s="92"/>
      <c r="M32" s="93"/>
      <c r="N32" s="94"/>
      <c r="O32" s="212"/>
      <c r="P32" s="201"/>
      <c r="Q32" s="95"/>
    </row>
    <row r="33" spans="1:17" ht="15.75" customHeight="1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94"/>
      <c r="O33" s="212"/>
      <c r="P33" s="201"/>
      <c r="Q33" s="95"/>
    </row>
    <row r="34" spans="1:17" ht="15.75" customHeight="1" x14ac:dyDescent="0.25">
      <c r="A34" s="91"/>
      <c r="B34" s="92"/>
      <c r="C34" s="92"/>
      <c r="D34" s="92"/>
      <c r="E34" s="92"/>
      <c r="F34" s="94"/>
      <c r="G34" s="92"/>
      <c r="H34" s="92"/>
      <c r="I34" s="92"/>
      <c r="J34" s="92"/>
      <c r="K34" s="92"/>
      <c r="L34" s="92"/>
      <c r="M34" s="93"/>
      <c r="N34" s="94"/>
      <c r="O34" s="212"/>
      <c r="P34" s="201"/>
      <c r="Q34" s="95"/>
    </row>
    <row r="35" spans="1:17" ht="15.75" customHeight="1" x14ac:dyDescent="0.25">
      <c r="A35" s="91"/>
      <c r="B35" s="92"/>
      <c r="C35" s="92"/>
      <c r="D35" s="92"/>
      <c r="E35" s="92"/>
      <c r="F35" s="94"/>
      <c r="G35" s="92"/>
      <c r="H35" s="92"/>
      <c r="I35" s="92"/>
      <c r="J35" s="92"/>
      <c r="K35" s="92"/>
      <c r="L35" s="92"/>
      <c r="M35" s="93"/>
      <c r="N35" s="94"/>
      <c r="O35" s="212"/>
      <c r="P35" s="201"/>
      <c r="Q35" s="95"/>
    </row>
    <row r="36" spans="1:17" ht="15.75" customHeight="1" x14ac:dyDescent="0.25">
      <c r="A36" s="96"/>
      <c r="B36" s="97"/>
      <c r="C36" s="97"/>
      <c r="D36" s="97"/>
      <c r="E36" s="97"/>
      <c r="F36" s="94"/>
      <c r="G36" s="97"/>
      <c r="H36" s="97"/>
      <c r="I36" s="97"/>
      <c r="J36" s="97"/>
      <c r="K36" s="97"/>
      <c r="L36" s="97"/>
      <c r="M36" s="98"/>
      <c r="N36" s="99"/>
      <c r="O36" s="212"/>
      <c r="P36" s="201"/>
      <c r="Q36" s="95"/>
    </row>
    <row r="37" spans="1:17" ht="15.75" customHeight="1" x14ac:dyDescent="0.25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2"/>
      <c r="N37" s="101"/>
      <c r="O37" s="233"/>
      <c r="P37" s="234"/>
      <c r="Q37" s="103"/>
    </row>
    <row r="38" spans="1:17" ht="36" customHeight="1" x14ac:dyDescent="0.25">
      <c r="A38" s="227" t="s">
        <v>240</v>
      </c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9"/>
      <c r="Q38" s="104">
        <f>SUM(Q15:Q37)</f>
        <v>57412909.200000003</v>
      </c>
    </row>
    <row r="39" spans="1:17" ht="15.75" customHeight="1" x14ac:dyDescent="0.25">
      <c r="A39" s="230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204"/>
    </row>
    <row r="40" spans="1:17" ht="15.75" customHeight="1" x14ac:dyDescent="0.25">
      <c r="A40" s="231" t="s">
        <v>165</v>
      </c>
      <c r="B40" s="189"/>
      <c r="C40" s="189"/>
      <c r="D40" s="189"/>
      <c r="E40" s="189"/>
      <c r="F40" s="222"/>
      <c r="G40" s="232"/>
      <c r="H40" s="173"/>
      <c r="I40" s="173"/>
      <c r="J40" s="173"/>
      <c r="K40" s="173"/>
      <c r="L40" s="173"/>
      <c r="M40" s="173"/>
      <c r="N40" s="173"/>
      <c r="O40" s="173"/>
      <c r="P40" s="173"/>
      <c r="Q40" s="204"/>
    </row>
    <row r="41" spans="1:17" ht="15.75" customHeight="1" x14ac:dyDescent="0.25">
      <c r="A41" s="244" t="str">
        <f>NP!D8</f>
        <v>ADQUISICION DE ARTICULOS DE HOGAR Y MUEBLES CON DESTINO A HOSPITALES DE LA PROVINCIA</v>
      </c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6"/>
    </row>
    <row r="42" spans="1:17" ht="15.75" customHeight="1" x14ac:dyDescent="0.25">
      <c r="A42" s="247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9"/>
    </row>
    <row r="43" spans="1:17" ht="15.75" customHeight="1" x14ac:dyDescent="0.25">
      <c r="Q43" s="69"/>
    </row>
    <row r="44" spans="1:17" ht="15.75" customHeight="1" x14ac:dyDescent="0.25">
      <c r="Q44" s="69"/>
    </row>
    <row r="45" spans="1:17" ht="15.75" customHeight="1" x14ac:dyDescent="0.25">
      <c r="Q45" s="69"/>
    </row>
    <row r="46" spans="1:17" ht="15.75" customHeight="1" x14ac:dyDescent="0.25">
      <c r="Q46" s="69"/>
    </row>
    <row r="47" spans="1:17" ht="15.75" customHeight="1" x14ac:dyDescent="0.25">
      <c r="Q47" s="69"/>
    </row>
    <row r="48" spans="1:17" ht="15.75" customHeight="1" x14ac:dyDescent="0.25">
      <c r="Q48" s="69"/>
    </row>
    <row r="49" spans="17:17" ht="15.75" customHeight="1" x14ac:dyDescent="0.25">
      <c r="Q49" s="69"/>
    </row>
    <row r="50" spans="17:17" ht="15.75" customHeight="1" x14ac:dyDescent="0.25">
      <c r="Q50" s="69"/>
    </row>
    <row r="51" spans="17:17" ht="15.75" customHeight="1" x14ac:dyDescent="0.25">
      <c r="Q51" s="69"/>
    </row>
    <row r="52" spans="17:17" ht="15.75" customHeight="1" x14ac:dyDescent="0.25">
      <c r="Q52" s="69"/>
    </row>
    <row r="53" spans="17:17" ht="15.75" customHeight="1" x14ac:dyDescent="0.25">
      <c r="Q53" s="69"/>
    </row>
    <row r="54" spans="17:17" ht="15.75" customHeight="1" x14ac:dyDescent="0.25">
      <c r="Q54" s="69"/>
    </row>
    <row r="55" spans="17:17" ht="15.75" customHeight="1" x14ac:dyDescent="0.25">
      <c r="Q55" s="69"/>
    </row>
    <row r="56" spans="17:17" ht="15.75" customHeight="1" x14ac:dyDescent="0.25">
      <c r="Q56" s="69"/>
    </row>
    <row r="57" spans="17:17" ht="15.75" customHeight="1" x14ac:dyDescent="0.25">
      <c r="Q57" s="69"/>
    </row>
    <row r="58" spans="17:17" ht="15.75" customHeight="1" x14ac:dyDescent="0.25">
      <c r="Q58" s="69"/>
    </row>
    <row r="59" spans="17:17" ht="15.75" customHeight="1" x14ac:dyDescent="0.25">
      <c r="Q59" s="69"/>
    </row>
    <row r="60" spans="17:17" ht="15.75" customHeight="1" x14ac:dyDescent="0.25">
      <c r="Q60" s="69"/>
    </row>
    <row r="61" spans="17:17" ht="15.75" customHeight="1" x14ac:dyDescent="0.25">
      <c r="Q61" s="69"/>
    </row>
    <row r="62" spans="17:17" ht="15.75" customHeight="1" x14ac:dyDescent="0.25">
      <c r="Q62" s="69"/>
    </row>
    <row r="63" spans="17:17" ht="15.75" customHeight="1" x14ac:dyDescent="0.25">
      <c r="Q63" s="69"/>
    </row>
    <row r="64" spans="17:17" ht="15.75" customHeight="1" x14ac:dyDescent="0.25">
      <c r="Q64" s="69"/>
    </row>
    <row r="65" spans="17:17" ht="15.75" customHeight="1" x14ac:dyDescent="0.25">
      <c r="Q65" s="69"/>
    </row>
    <row r="66" spans="17:17" ht="15.75" customHeight="1" x14ac:dyDescent="0.25">
      <c r="Q66" s="69"/>
    </row>
    <row r="67" spans="17:17" ht="15.75" customHeight="1" x14ac:dyDescent="0.25">
      <c r="Q67" s="69"/>
    </row>
    <row r="68" spans="17:17" ht="15.75" customHeight="1" x14ac:dyDescent="0.25">
      <c r="Q68" s="69"/>
    </row>
    <row r="69" spans="17:17" ht="15.75" customHeight="1" x14ac:dyDescent="0.25">
      <c r="Q69" s="69"/>
    </row>
    <row r="70" spans="17:17" ht="15.75" customHeight="1" x14ac:dyDescent="0.25">
      <c r="Q70" s="69"/>
    </row>
    <row r="71" spans="17:17" ht="15.75" customHeight="1" x14ac:dyDescent="0.25">
      <c r="Q71" s="69"/>
    </row>
    <row r="72" spans="17:17" ht="15.75" customHeight="1" x14ac:dyDescent="0.25">
      <c r="Q72" s="69"/>
    </row>
    <row r="73" spans="17:17" ht="15.75" customHeight="1" x14ac:dyDescent="0.25">
      <c r="Q73" s="69"/>
    </row>
    <row r="74" spans="17:17" ht="15.75" customHeight="1" x14ac:dyDescent="0.25">
      <c r="Q74" s="69"/>
    </row>
    <row r="75" spans="17:17" ht="15.75" customHeight="1" x14ac:dyDescent="0.25">
      <c r="Q75" s="69"/>
    </row>
    <row r="76" spans="17:17" ht="15.75" customHeight="1" x14ac:dyDescent="0.25">
      <c r="Q76" s="69"/>
    </row>
    <row r="77" spans="17:17" ht="15.75" customHeight="1" x14ac:dyDescent="0.25">
      <c r="Q77" s="69"/>
    </row>
    <row r="78" spans="17:17" ht="15.75" customHeight="1" x14ac:dyDescent="0.25">
      <c r="Q78" s="69"/>
    </row>
    <row r="79" spans="17:17" ht="15.75" customHeight="1" x14ac:dyDescent="0.25">
      <c r="Q79" s="69"/>
    </row>
    <row r="80" spans="17:17" ht="15.75" customHeight="1" x14ac:dyDescent="0.25">
      <c r="Q80" s="69"/>
    </row>
    <row r="81" spans="17:17" ht="15.75" customHeight="1" x14ac:dyDescent="0.25">
      <c r="Q81" s="69"/>
    </row>
    <row r="82" spans="17:17" ht="15.75" customHeight="1" x14ac:dyDescent="0.25">
      <c r="Q82" s="69"/>
    </row>
    <row r="83" spans="17:17" ht="15.75" customHeight="1" x14ac:dyDescent="0.25">
      <c r="Q83" s="69"/>
    </row>
    <row r="84" spans="17:17" ht="15.75" customHeight="1" x14ac:dyDescent="0.25">
      <c r="Q84" s="69"/>
    </row>
    <row r="85" spans="17:17" ht="15.75" customHeight="1" x14ac:dyDescent="0.25">
      <c r="Q85" s="69"/>
    </row>
    <row r="86" spans="17:17" ht="15.75" customHeight="1" x14ac:dyDescent="0.25">
      <c r="Q86" s="69"/>
    </row>
    <row r="87" spans="17:17" ht="15.75" customHeight="1" x14ac:dyDescent="0.25">
      <c r="Q87" s="69"/>
    </row>
    <row r="88" spans="17:17" ht="15.75" customHeight="1" x14ac:dyDescent="0.25">
      <c r="Q88" s="69"/>
    </row>
    <row r="89" spans="17:17" ht="15.75" customHeight="1" x14ac:dyDescent="0.25">
      <c r="Q89" s="69"/>
    </row>
    <row r="90" spans="17:17" ht="15.75" customHeight="1" x14ac:dyDescent="0.25">
      <c r="Q90" s="69"/>
    </row>
    <row r="91" spans="17:17" ht="15.75" customHeight="1" x14ac:dyDescent="0.25">
      <c r="Q91" s="69"/>
    </row>
    <row r="92" spans="17:17" ht="15.75" customHeight="1" x14ac:dyDescent="0.25">
      <c r="Q92" s="69"/>
    </row>
    <row r="93" spans="17:17" ht="15.75" customHeight="1" x14ac:dyDescent="0.25">
      <c r="Q93" s="69"/>
    </row>
    <row r="94" spans="17:17" ht="15.75" customHeight="1" x14ac:dyDescent="0.25">
      <c r="Q94" s="69"/>
    </row>
    <row r="95" spans="17:17" ht="15.75" customHeight="1" x14ac:dyDescent="0.25">
      <c r="Q95" s="69"/>
    </row>
    <row r="96" spans="17:17" ht="15.75" customHeight="1" x14ac:dyDescent="0.25">
      <c r="Q96" s="69"/>
    </row>
    <row r="97" spans="17:17" ht="15.75" customHeight="1" x14ac:dyDescent="0.25">
      <c r="Q97" s="69"/>
    </row>
    <row r="98" spans="17:17" ht="15.75" customHeight="1" x14ac:dyDescent="0.25">
      <c r="Q98" s="69"/>
    </row>
    <row r="99" spans="17:17" ht="15.75" customHeight="1" x14ac:dyDescent="0.25">
      <c r="Q99" s="69"/>
    </row>
    <row r="100" spans="17:17" ht="15.75" customHeight="1" x14ac:dyDescent="0.25">
      <c r="Q100" s="69"/>
    </row>
  </sheetData>
  <mergeCells count="46">
    <mergeCell ref="O23:P23"/>
    <mergeCell ref="O24:P24"/>
    <mergeCell ref="O25:P25"/>
    <mergeCell ref="O26:P26"/>
    <mergeCell ref="O27:P27"/>
    <mergeCell ref="O34:P34"/>
    <mergeCell ref="O35:P35"/>
    <mergeCell ref="O36:P36"/>
    <mergeCell ref="O37:P37"/>
    <mergeCell ref="O28:P28"/>
    <mergeCell ref="O29:P29"/>
    <mergeCell ref="O30:P30"/>
    <mergeCell ref="O31:P31"/>
    <mergeCell ref="O33:P33"/>
    <mergeCell ref="O32:P32"/>
    <mergeCell ref="A38:P38"/>
    <mergeCell ref="A39:Q39"/>
    <mergeCell ref="A40:F40"/>
    <mergeCell ref="G40:Q40"/>
    <mergeCell ref="A41:Q42"/>
    <mergeCell ref="A1:C1"/>
    <mergeCell ref="D1:E1"/>
    <mergeCell ref="P1:Q2"/>
    <mergeCell ref="G4:Q4"/>
    <mergeCell ref="G5:Q5"/>
    <mergeCell ref="A5:F5"/>
    <mergeCell ref="A6:F6"/>
    <mergeCell ref="A4:F4"/>
    <mergeCell ref="A7:F7"/>
    <mergeCell ref="A9:Q9"/>
    <mergeCell ref="A8:Q8"/>
    <mergeCell ref="G6:Q6"/>
    <mergeCell ref="G7:Q7"/>
    <mergeCell ref="O19:P19"/>
    <mergeCell ref="O20:P20"/>
    <mergeCell ref="O22:P2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2022-06-27T11:59:26Z</dcterms:modified>
</cp:coreProperties>
</file>