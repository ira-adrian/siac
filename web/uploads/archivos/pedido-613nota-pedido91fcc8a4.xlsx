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Medicamentos 4to Trim\"/>
    </mc:Choice>
  </mc:AlternateContent>
  <xr:revisionPtr revIDLastSave="0" documentId="13_ncr:1_{6B23ABCE-F27D-495A-A590-AAF453076226}" xr6:coauthVersionLast="46" xr6:coauthVersionMax="46" xr10:uidLastSave="{00000000-0000-0000-0000-000000000000}"/>
  <bookViews>
    <workbookView xWindow="-120" yWindow="-120" windowWidth="29040" windowHeight="15840" tabRatio="641" xr2:uid="{00000000-000D-0000-FFFF-FFFF00000000}"/>
  </bookViews>
  <sheets>
    <sheet name="SAF 011" sheetId="1" r:id="rId1"/>
    <sheet name=" NP FARMACIA" sheetId="2" r:id="rId2"/>
    <sheet name="APG FARMACIA" sheetId="3" r:id="rId3"/>
  </sheets>
  <definedNames>
    <definedName name="_xlnm._FilterDatabase" localSheetId="0" hidden="1">'SAF 011'!$A$9:$AU$9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" i="2" l="1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K20" i="2"/>
  <c r="K21" i="2"/>
  <c r="M21" i="2" s="1"/>
  <c r="K22" i="2"/>
  <c r="K23" i="2"/>
  <c r="M23" i="2" s="1"/>
  <c r="K24" i="2"/>
  <c r="K25" i="2"/>
  <c r="K26" i="2"/>
  <c r="K27" i="2"/>
  <c r="M27" i="2" s="1"/>
  <c r="K28" i="2"/>
  <c r="K29" i="2"/>
  <c r="M29" i="2" s="1"/>
  <c r="K30" i="2"/>
  <c r="M30" i="2" s="1"/>
  <c r="K31" i="2"/>
  <c r="M31" i="2" s="1"/>
  <c r="K32" i="2"/>
  <c r="M32" i="2" s="1"/>
  <c r="K33" i="2"/>
  <c r="M33" i="2" s="1"/>
  <c r="K34" i="2"/>
  <c r="M34" i="2" s="1"/>
  <c r="K35" i="2"/>
  <c r="M35" i="2" s="1"/>
  <c r="K36" i="2"/>
  <c r="M36" i="2" s="1"/>
  <c r="K37" i="2"/>
  <c r="M37" i="2" s="1"/>
  <c r="K38" i="2"/>
  <c r="M38" i="2" s="1"/>
  <c r="K39" i="2"/>
  <c r="M39" i="2" s="1"/>
  <c r="K40" i="2"/>
  <c r="M40" i="2" s="1"/>
  <c r="K41" i="2"/>
  <c r="M41" i="2" s="1"/>
  <c r="K42" i="2"/>
  <c r="M42" i="2" s="1"/>
  <c r="K12" i="2"/>
  <c r="J13" i="2"/>
  <c r="J14" i="2"/>
  <c r="J15" i="2"/>
  <c r="J16" i="2"/>
  <c r="J17" i="2"/>
  <c r="J18" i="2"/>
  <c r="J19" i="2"/>
  <c r="M19" i="2" s="1"/>
  <c r="J20" i="2"/>
  <c r="M20" i="2" s="1"/>
  <c r="J21" i="2"/>
  <c r="J22" i="2"/>
  <c r="M22" i="2" s="1"/>
  <c r="J23" i="2"/>
  <c r="J24" i="2"/>
  <c r="M24" i="2" s="1"/>
  <c r="J25" i="2"/>
  <c r="M25" i="2" s="1"/>
  <c r="J26" i="2"/>
  <c r="M26" i="2" s="1"/>
  <c r="J27" i="2"/>
  <c r="J28" i="2"/>
  <c r="M28" i="2" s="1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12" i="2"/>
  <c r="AU35" i="1" l="1"/>
  <c r="AU34" i="1"/>
  <c r="AU29" i="1"/>
  <c r="AU26" i="1"/>
  <c r="AU13" i="1"/>
  <c r="AU40" i="1"/>
  <c r="AU28" i="1"/>
  <c r="AU10" i="1"/>
  <c r="AU37" i="1"/>
  <c r="AU36" i="1"/>
  <c r="AU21" i="1"/>
  <c r="AU39" i="1"/>
  <c r="AU38" i="1"/>
  <c r="AU33" i="1"/>
  <c r="AU32" i="1"/>
  <c r="AU25" i="1"/>
  <c r="AU23" i="1"/>
  <c r="AU20" i="1"/>
  <c r="AU19" i="1"/>
  <c r="AU16" i="1"/>
  <c r="AU15" i="1"/>
  <c r="AU12" i="1"/>
  <c r="AU11" i="1"/>
  <c r="AU17" i="1"/>
  <c r="AU31" i="1"/>
  <c r="A40" i="3" l="1"/>
  <c r="P41" i="1" l="1"/>
  <c r="R41" i="1"/>
  <c r="AU30" i="1"/>
  <c r="AU18" i="1"/>
  <c r="AU22" i="1"/>
  <c r="AU24" i="1"/>
  <c r="AU27" i="1"/>
  <c r="N41" i="1" l="1"/>
  <c r="X41" i="1"/>
  <c r="L41" i="1"/>
  <c r="Z41" i="1"/>
  <c r="V41" i="1"/>
  <c r="F37" i="3" l="1"/>
  <c r="G5" i="3"/>
  <c r="G6" i="3"/>
  <c r="G7" i="3"/>
  <c r="G4" i="3"/>
  <c r="M12" i="2"/>
  <c r="M43" i="2" s="1"/>
  <c r="T41" i="1" l="1"/>
  <c r="J43" i="2" l="1"/>
  <c r="AU14" i="1"/>
  <c r="AU41" i="1" s="1"/>
  <c r="Q15" i="3" s="1"/>
  <c r="Q37" i="3" l="1"/>
</calcChain>
</file>

<file path=xl/sharedStrings.xml><?xml version="1.0" encoding="utf-8"?>
<sst xmlns="http://schemas.openxmlformats.org/spreadsheetml/2006/main" count="275" uniqueCount="158">
  <si>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</si>
  <si>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</si>
  <si>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</si>
  <si>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</si>
  <si>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</si>
  <si>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</si>
  <si>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</si>
  <si>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</si>
  <si>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</si>
  <si>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</si>
  <si>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</si>
  <si>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DIR. LAB. CENTRAL</t>
  </si>
  <si>
    <t>TOTAL DE LAB CENTRAL</t>
  </si>
  <si>
    <t xml:space="preserve">BCO DE SANGRE </t>
  </si>
  <si>
    <t xml:space="preserve">TOTAL BANCO DE SANGRE 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</si>
  <si>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</si>
  <si>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</si>
  <si>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</si>
  <si>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</si>
  <si>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</si>
  <si>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</si>
  <si>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</si>
  <si>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DE SAME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</si>
  <si>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</si>
  <si>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</si>
  <si>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</si>
  <si>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</si>
  <si>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</si>
  <si>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</si>
  <si>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</si>
  <si>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</si>
  <si>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SALUD MENTAL</t>
  </si>
  <si>
    <t>TOTAL SALUD MENTAL</t>
  </si>
  <si>
    <t>AREAS Y DPAS</t>
  </si>
  <si>
    <t>TOTAL DPAS</t>
  </si>
  <si>
    <t>PRECIO UNITARIO ESTIMADO</t>
  </si>
  <si>
    <t xml:space="preserve">IMPORTE TOTAL ESTIMADO </t>
  </si>
  <si>
    <t>011 - DIRECCION PROVINCIAL DE ADMINISTRACION - MINISTERIO DE SALUD</t>
  </si>
  <si>
    <t>040 - MINISTERIO DE SALUD</t>
  </si>
  <si>
    <t>TOTAL S.A.</t>
  </si>
  <si>
    <t>SMPyPS</t>
  </si>
  <si>
    <t>TOTAL SMPyPS</t>
  </si>
  <si>
    <t>TOTAL A.P.S.</t>
  </si>
  <si>
    <t>HPTAL MALBRAN</t>
  </si>
  <si>
    <t>TOTAL HPTAL MALBRAN</t>
  </si>
  <si>
    <t>MATERNIDAD E INFANCIA</t>
  </si>
  <si>
    <t>TOTAL MATERNIDAD E INFANCIA</t>
  </si>
  <si>
    <t>APS</t>
  </si>
  <si>
    <t>SASP</t>
  </si>
  <si>
    <t>TOTAL SASP</t>
  </si>
  <si>
    <t>SPyGS</t>
  </si>
  <si>
    <t>TOTAL SPyGS</t>
  </si>
  <si>
    <t>SECRETARIA DE ADMINISTRACION</t>
  </si>
  <si>
    <t xml:space="preserve">CUARTO 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</si>
  <si>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</si>
  <si>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</si>
  <si>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</si>
  <si>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</si>
  <si>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</si>
  <si>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</si>
  <si>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</si>
  <si>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</si>
  <si>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</si>
  <si>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4TO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</si>
  <si>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</si>
  <si>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</si>
  <si>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</si>
  <si>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</si>
  <si>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</si>
  <si>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</si>
  <si>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</si>
  <si>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</si>
  <si>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Costo total estimado: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</si>
  <si>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</si>
  <si>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</si>
  <si>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</si>
  <si>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</si>
  <si>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</si>
  <si>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</si>
  <si>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</si>
  <si>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</si>
  <si>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</si>
  <si>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</si>
  <si>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</si>
  <si>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</si>
  <si>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</si>
  <si>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</si>
  <si>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</si>
  <si>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</si>
  <si>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</si>
  <si>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</si>
  <si>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</si>
  <si>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</si>
  <si>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</si>
  <si>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</si>
  <si>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</si>
  <si>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JUSTIFICACIÓN:</t>
  </si>
  <si>
    <t xml:space="preserve"> 86/2021</t>
  </si>
  <si>
    <t>Autorizo la realización de los  trámites correspondientes, a fin de proveer a  este Organismo los bienes que se detallan en Nota  de Pedido N° 86/2021 afectando la erogación resultante a los créditos presupuestarios aprobados a favor de esta Unidad Ejecutora, conforme al siguiente detalle: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</si>
  <si>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</si>
  <si>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</si>
  <si>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</si>
  <si>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corridos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</si>
  <si>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</si>
  <si>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</si>
  <si>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</si>
  <si>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</si>
  <si>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</si>
  <si>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TOTAL </t>
  </si>
  <si>
    <t>NO</t>
  </si>
  <si>
    <t>Productos Farmacéuticos y Medicinales</t>
  </si>
  <si>
    <t>2.5.2.</t>
  </si>
  <si>
    <t>CLORPROMAZINA 25MG  AMPOLLA IM</t>
  </si>
  <si>
    <t>AMPOLLA</t>
  </si>
  <si>
    <t>FRASCO</t>
  </si>
  <si>
    <t>FENITOINA 100 MG COMPRIMIDO</t>
  </si>
  <si>
    <t>COMPRIMIDO</t>
  </si>
  <si>
    <t>HALOPERIDOL 5 MG AMPOLLA</t>
  </si>
  <si>
    <t>OLANZAPINA 10MG COMPRIMIDO</t>
  </si>
  <si>
    <t>KIT</t>
  </si>
  <si>
    <t xml:space="preserve">CANTIDAD </t>
  </si>
  <si>
    <t>AMIKACINA 500 MG AMPOLLA</t>
  </si>
  <si>
    <t xml:space="preserve">BETAMETASONA G 12 MG ( 6 MG ACETATO/6 MG FOSFATO ) AMPOLLA </t>
  </si>
  <si>
    <t>COLISTINA 100 MG FCO AMPOLLA</t>
  </si>
  <si>
    <t>FLUCONAZOL 200 MG SACHET 100 ML</t>
  </si>
  <si>
    <t>ENVASE</t>
  </si>
  <si>
    <t>PARACETAMOL 1GR ML FRASCO AMPOLLA</t>
  </si>
  <si>
    <t>PROPOFOL 1% AMPOLLAS X 20 ML</t>
  </si>
  <si>
    <t>SUCCINILCOLINA 500 MG FCO AMP</t>
  </si>
  <si>
    <t>VECURONIO BROMURO 10 MG AMPOLLA</t>
  </si>
  <si>
    <t xml:space="preserve">EMULSION LIPIDICA PARA PERFUSION INTRAVENOSA TIPO INTRALIPIP 20% ENVASE POR 500 ML. </t>
  </si>
  <si>
    <t>SOLUCION FISIOLOGICA 0,9% SACHET X 100 ML</t>
  </si>
  <si>
    <t>UNIDAD</t>
  </si>
  <si>
    <t>LOSARTAN 50 MG COMPRIMIDO</t>
  </si>
  <si>
    <t>VITAMINA K 1 MG AMPOLLA</t>
  </si>
  <si>
    <t>BUTIL BROMURO DE HIOSCINA 20 MG INY</t>
  </si>
  <si>
    <t>LACTULOSA SUSPENSIÓN X 120 ML</t>
  </si>
  <si>
    <t>RANITIDINA 50 MG AMPOLLA</t>
  </si>
  <si>
    <t>SALES DE REHIDRATACION ORAL SOBRES</t>
  </si>
  <si>
    <t>ADQ. DEL RUBRO MEDICAMENTOS PARA FARMACIA CENTRAL</t>
  </si>
  <si>
    <t>DANTROLENO 20 MG/60 ML KIT X 12 FCO AMPOLLA</t>
  </si>
  <si>
    <t>ADRENALINA  1MG/ML AMPOLLA de 1 ML</t>
  </si>
  <si>
    <t>CLONIDINA CLORHIDRATO 0,150 MG/ML AMPOLLA x 1 ML</t>
  </si>
  <si>
    <t>DIFENHIDRAMINA 0,25% JARABE x 120 ml</t>
  </si>
  <si>
    <t>DOBUTAMINA 250 mg/ml FRASCO AMPOLLA x 20 ML</t>
  </si>
  <si>
    <t>DOPAMINA 200 MG  AMPOLLA X 5 ML</t>
  </si>
  <si>
    <t>KETAMINA 50MG/ML FCO AMPOLLA</t>
  </si>
  <si>
    <t>LEVETIRACETAM 100MG/ML SOLUCION ORAL X 300 ML</t>
  </si>
  <si>
    <t>METOCLOPRAMIDA AMPOLLA 10 MG X 2 ML</t>
  </si>
  <si>
    <t>NEOSTIGMINA 0,5 MG AMPOLLA x 1 ML</t>
  </si>
  <si>
    <t>SOLUCION FISIOLOGICA 0,9 % SACHET X 500 ML SISTEMA CERRADO DOBLE PUERTO DE INYECCION</t>
  </si>
  <si>
    <t>DIECISIETE MILLONES CUATROCIENTOS SESENTA  MIL TRESCIENTOS VEINTISEIS CON 30/100.-</t>
  </si>
  <si>
    <t>Sangre</t>
  </si>
  <si>
    <t>Med Covid</t>
  </si>
  <si>
    <t>Tracto Aliment.</t>
  </si>
  <si>
    <t>Antiepilect</t>
  </si>
  <si>
    <t>Antinfecc</t>
  </si>
  <si>
    <t>NUTRICCION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</si>
</sst>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dd\-mm\-yy;@"/>
    <numFmt numFmtId="169" formatCode="_(\$* #,##0.00_);_(\$* \(#,##0.00\);_(\$* \-??_);_(@_)"/>
    <numFmt numFmtId="170" formatCode="#,##0_ ;\-#,##0\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10"/>
      <name val="Calibri"/>
      <family val="2"/>
      <scheme val="minor"/>
    </font>
    <font>
      <sz val="11"/>
      <color theme="1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3" fillId="0" borderId="0"/>
    <xf numFmtId="164" fontId="3" fillId="0" borderId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21" fillId="0" borderId="0" applyBorder="0" applyProtection="0"/>
    <xf numFmtId="43" fontId="1" fillId="0" borderId="0" applyFont="0" applyFill="0" applyBorder="0" applyAlignment="0" applyProtection="0"/>
  </cellStyleXfs>
  <cellXfs count="18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7" fontId="2" fillId="0" borderId="0" xfId="1" applyNumberFormat="1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67" fontId="6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7" fontId="0" fillId="0" borderId="0" xfId="0" applyNumberFormat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44" fontId="0" fillId="0" borderId="0" xfId="1" applyFont="1"/>
    <xf numFmtId="0" fontId="0" fillId="0" borderId="0" xfId="0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67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167" fontId="7" fillId="0" borderId="0" xfId="0" applyNumberFormat="1" applyFont="1" applyBorder="1" applyAlignment="1">
      <alignment horizontal="center" vertical="center"/>
    </xf>
    <xf numFmtId="3" fontId="7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8" fillId="0" borderId="5" xfId="0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7" fontId="11" fillId="0" borderId="0" xfId="0" applyNumberFormat="1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3" fillId="0" borderId="16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 wrapText="1" indent="1"/>
    </xf>
    <xf numFmtId="167" fontId="12" fillId="0" borderId="0" xfId="0" applyNumberFormat="1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 indent="1"/>
    </xf>
    <xf numFmtId="0" fontId="15" fillId="0" borderId="20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7" fontId="16" fillId="0" borderId="1" xfId="0" applyNumberFormat="1" applyFont="1" applyBorder="1" applyAlignment="1">
      <alignment horizontal="center" vertical="center" wrapText="1"/>
    </xf>
    <xf numFmtId="3" fontId="16" fillId="0" borderId="24" xfId="0" applyNumberFormat="1" applyFont="1" applyBorder="1" applyAlignment="1">
      <alignment horizontal="center" vertical="center"/>
    </xf>
    <xf numFmtId="3" fontId="19" fillId="0" borderId="29" xfId="0" applyNumberFormat="1" applyFont="1" applyBorder="1" applyAlignment="1"/>
    <xf numFmtId="168" fontId="0" fillId="0" borderId="29" xfId="0" applyNumberFormat="1" applyBorder="1" applyAlignment="1">
      <alignment horizontal="left"/>
    </xf>
    <xf numFmtId="0" fontId="0" fillId="0" borderId="29" xfId="0" applyBorder="1"/>
    <xf numFmtId="0" fontId="0" fillId="0" borderId="16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0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0" fillId="0" borderId="38" xfId="0" applyBorder="1"/>
    <xf numFmtId="0" fontId="24" fillId="0" borderId="41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9" fillId="0" borderId="0" xfId="0" applyFont="1"/>
    <xf numFmtId="167" fontId="9" fillId="0" borderId="0" xfId="0" applyNumberFormat="1" applyFont="1"/>
    <xf numFmtId="0" fontId="2" fillId="0" borderId="0" xfId="5" applyFont="1" applyBorder="1" applyAlignment="1">
      <alignment horizontal="left" vertical="center"/>
    </xf>
    <xf numFmtId="167" fontId="0" fillId="0" borderId="49" xfId="8" applyNumberFormat="1" applyFont="1" applyBorder="1" applyAlignment="1" applyProtection="1">
      <alignment horizontal="center" vertical="center"/>
    </xf>
    <xf numFmtId="167" fontId="0" fillId="0" borderId="53" xfId="8" applyNumberFormat="1" applyFont="1" applyBorder="1" applyAlignment="1" applyProtection="1">
      <alignment horizontal="center" vertical="center"/>
    </xf>
    <xf numFmtId="167" fontId="24" fillId="0" borderId="55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2" fillId="0" borderId="0" xfId="5" applyFont="1" applyFill="1" applyBorder="1" applyAlignment="1">
      <alignment horizontal="left" vertical="center"/>
    </xf>
    <xf numFmtId="0" fontId="2" fillId="0" borderId="0" xfId="5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/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27" fillId="2" borderId="1" xfId="0" applyFont="1" applyFill="1" applyBorder="1"/>
    <xf numFmtId="170" fontId="7" fillId="2" borderId="1" xfId="9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/>
    <xf numFmtId="0" fontId="26" fillId="2" borderId="1" xfId="0" applyFont="1" applyFill="1" applyBorder="1" applyAlignment="1">
      <alignment horizontal="center" vertical="center" wrapText="1"/>
    </xf>
    <xf numFmtId="3" fontId="26" fillId="2" borderId="1" xfId="0" applyNumberFormat="1" applyFont="1" applyFill="1" applyBorder="1" applyAlignment="1">
      <alignment horizontal="center" vertical="center"/>
    </xf>
    <xf numFmtId="167" fontId="26" fillId="2" borderId="1" xfId="0" applyNumberFormat="1" applyFont="1" applyFill="1" applyBorder="1" applyAlignment="1">
      <alignment horizontal="center" vertical="center" wrapText="1"/>
    </xf>
    <xf numFmtId="44" fontId="7" fillId="2" borderId="1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vertical="center"/>
    </xf>
    <xf numFmtId="0" fontId="25" fillId="0" borderId="58" xfId="5" applyFont="1" applyFill="1" applyBorder="1" applyAlignment="1">
      <alignment horizontal="center" vertical="center" wrapText="1"/>
    </xf>
    <xf numFmtId="0" fontId="25" fillId="0" borderId="61" xfId="5" applyFont="1" applyFill="1" applyBorder="1" applyAlignment="1">
      <alignment horizontal="center" vertical="center" wrapText="1"/>
    </xf>
    <xf numFmtId="167" fontId="7" fillId="0" borderId="62" xfId="0" applyNumberFormat="1" applyFont="1" applyBorder="1" applyAlignment="1">
      <alignment horizontal="center" vertical="center"/>
    </xf>
    <xf numFmtId="0" fontId="25" fillId="0" borderId="61" xfId="5" applyFont="1" applyFill="1" applyBorder="1" applyAlignment="1">
      <alignment horizontal="center" wrapText="1"/>
    </xf>
    <xf numFmtId="0" fontId="25" fillId="0" borderId="61" xfId="5" applyFont="1" applyBorder="1" applyAlignment="1">
      <alignment horizontal="center" wrapText="1"/>
    </xf>
    <xf numFmtId="0" fontId="25" fillId="0" borderId="63" xfId="5" applyFont="1" applyBorder="1" applyAlignment="1">
      <alignment horizontal="center" wrapText="1"/>
    </xf>
    <xf numFmtId="0" fontId="2" fillId="0" borderId="64" xfId="5" applyFont="1" applyBorder="1" applyAlignment="1">
      <alignment horizontal="left" vertical="center"/>
    </xf>
    <xf numFmtId="0" fontId="7" fillId="0" borderId="64" xfId="0" applyFont="1" applyBorder="1" applyAlignment="1">
      <alignment horizontal="left" vertical="center" wrapText="1"/>
    </xf>
    <xf numFmtId="0" fontId="7" fillId="0" borderId="64" xfId="0" applyFont="1" applyBorder="1" applyAlignment="1">
      <alignment horizontal="center" vertical="center"/>
    </xf>
    <xf numFmtId="3" fontId="7" fillId="0" borderId="64" xfId="0" applyNumberFormat="1" applyFont="1" applyBorder="1" applyAlignment="1">
      <alignment horizontal="center" vertical="center"/>
    </xf>
    <xf numFmtId="167" fontId="7" fillId="0" borderId="65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2" fillId="0" borderId="59" xfId="5" applyFont="1" applyFill="1" applyBorder="1" applyAlignment="1">
      <alignment horizontal="left" vertical="center" wrapText="1"/>
    </xf>
    <xf numFmtId="0" fontId="2" fillId="0" borderId="60" xfId="5" applyFont="1" applyFill="1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" fillId="0" borderId="62" xfId="5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167" fontId="14" fillId="0" borderId="18" xfId="0" applyNumberFormat="1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wrapText="1"/>
    </xf>
    <xf numFmtId="166" fontId="18" fillId="0" borderId="28" xfId="0" applyNumberFormat="1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7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0" fillId="0" borderId="48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24" fillId="0" borderId="40" xfId="0" applyFont="1" applyBorder="1" applyAlignment="1">
      <alignment horizontal="center" vertical="center"/>
    </xf>
    <xf numFmtId="0" fontId="0" fillId="0" borderId="56" xfId="0" applyBorder="1" applyAlignment="1">
      <alignment horizontal="left" vertical="center" wrapText="1"/>
    </xf>
    <xf numFmtId="0" fontId="0" fillId="0" borderId="57" xfId="0" applyFont="1" applyBorder="1" applyAlignment="1">
      <alignment horizontal="left" vertical="center" wrapText="1"/>
    </xf>
    <xf numFmtId="0" fontId="0" fillId="0" borderId="48" xfId="0" applyBorder="1" applyAlignment="1">
      <alignment horizontal="center"/>
    </xf>
    <xf numFmtId="0" fontId="0" fillId="0" borderId="31" xfId="0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 wrapText="1"/>
    </xf>
    <xf numFmtId="0" fontId="21" fillId="0" borderId="33" xfId="0" applyFont="1" applyBorder="1"/>
    <xf numFmtId="0" fontId="22" fillId="0" borderId="34" xfId="0" applyFont="1" applyBorder="1" applyAlignment="1">
      <alignment horizontal="left" indent="1"/>
    </xf>
    <xf numFmtId="0" fontId="16" fillId="0" borderId="33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 indent="1"/>
    </xf>
    <xf numFmtId="0" fontId="0" fillId="0" borderId="36" xfId="0" applyBorder="1"/>
    <xf numFmtId="0" fontId="19" fillId="0" borderId="12" xfId="0" applyFont="1" applyBorder="1" applyAlignment="1">
      <alignment vertical="center" wrapText="1"/>
    </xf>
    <xf numFmtId="0" fontId="22" fillId="0" borderId="40" xfId="0" applyFont="1" applyBorder="1" applyAlignment="1">
      <alignment vertical="center" wrapText="1"/>
    </xf>
    <xf numFmtId="0" fontId="23" fillId="0" borderId="35" xfId="0" applyFont="1" applyBorder="1" applyAlignment="1">
      <alignment horizontal="left"/>
    </xf>
    <xf numFmtId="0" fontId="22" fillId="0" borderId="36" xfId="0" applyFont="1" applyBorder="1" applyAlignment="1">
      <alignment horizontal="left"/>
    </xf>
    <xf numFmtId="0" fontId="22" fillId="0" borderId="37" xfId="0" applyNumberFormat="1" applyFont="1" applyBorder="1" applyAlignment="1">
      <alignment horizontal="justify" vertical="center" wrapText="1"/>
    </xf>
    <xf numFmtId="0" fontId="24" fillId="0" borderId="36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 wrapText="1"/>
    </xf>
  </cellXfs>
  <cellStyles count="10">
    <cellStyle name="Millares" xfId="9" builtinId="3"/>
    <cellStyle name="Moneda" xfId="1" builtinId="4"/>
    <cellStyle name="Moneda 2" xfId="3" xr:uid="{00000000-0005-0000-0000-000002000000}"/>
    <cellStyle name="Moneda_AUTORIZACION Y NOTA DE PEDIDO" xfId="8" xr:uid="{00000000-0005-0000-0000-000003000000}"/>
    <cellStyle name="Normal" xfId="0" builtinId="0"/>
    <cellStyle name="Normal 2" xfId="2" xr:uid="{00000000-0005-0000-0000-000005000000}"/>
    <cellStyle name="Normal 2 2" xfId="5" xr:uid="{00000000-0005-0000-0000-000006000000}"/>
    <cellStyle name="Normal 3" xfId="7" xr:uid="{00000000-0005-0000-0000-000007000000}"/>
    <cellStyle name="Normal 4" xfId="6" xr:uid="{00000000-0005-0000-0000-000008000000}"/>
    <cellStyle name="Normal 5" xfId="4" xr:uid="{00000000-0005-0000-0000-000009000000}"/>
  </cellStyles>
  <dxfs count="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864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21"/>
  <sheetViews>
    <sheetView tabSelected="1" topLeftCell="A25" zoomScale="110" zoomScaleNormal="110" workbookViewId="0">
      <selection activeCell="C12" sqref="C12"/>
    </sheetView>
  </sheetViews>
  <sheetFormatPr baseColWidth="10" defaultRowHeight="15" x14ac:dyDescent="0.25"/>
  <cols>
    <col min="1" max="1" width="5.140625" style="24" bestFit="1" customWidth="1"/>
    <col min="2" max="2" width="11" style="24" customWidth="1"/>
    <col min="3" max="3" width="31.42578125" style="24" bestFit="1" customWidth="1"/>
    <col min="4" max="4" width="6.85546875" style="24" customWidth="1"/>
    <col min="5" max="5" width="33.28515625" style="32" customWidth="1"/>
    <col min="6" max="6" width="12.140625" style="24" bestFit="1" customWidth="1"/>
    <col min="7" max="7" width="19.28515625" style="24" hidden="1" customWidth="1"/>
    <col min="8" max="8" width="10.85546875" style="24" hidden="1" customWidth="1"/>
    <col min="9" max="9" width="8" style="24" hidden="1" customWidth="1"/>
    <col min="10" max="10" width="14.5703125" style="24" hidden="1" customWidth="1"/>
    <col min="11" max="11" width="10.5703125" style="24" hidden="1" customWidth="1"/>
    <col min="12" max="12" width="15.140625" style="24" hidden="1" customWidth="1"/>
    <col min="13" max="13" width="9" style="24" hidden="1" customWidth="1"/>
    <col min="14" max="14" width="15.5703125" style="24" hidden="1" customWidth="1"/>
    <col min="15" max="15" width="4.5703125" style="24" hidden="1" customWidth="1"/>
    <col min="16" max="16" width="12.42578125" style="24" hidden="1" customWidth="1"/>
    <col min="17" max="17" width="14.7109375" style="24" hidden="1" customWidth="1"/>
    <col min="18" max="18" width="15.140625" style="24" hidden="1" customWidth="1"/>
    <col min="19" max="19" width="10.5703125" style="24" hidden="1" customWidth="1"/>
    <col min="20" max="20" width="14.85546875" style="24" hidden="1" customWidth="1"/>
    <col min="21" max="21" width="14.7109375" style="24" hidden="1" customWidth="1"/>
    <col min="22" max="22" width="14" style="24" hidden="1" customWidth="1"/>
    <col min="23" max="23" width="6" style="24" hidden="1" customWidth="1"/>
    <col min="24" max="24" width="12.42578125" style="24" hidden="1" customWidth="1"/>
    <col min="25" max="25" width="11.28515625" style="24" hidden="1" customWidth="1"/>
    <col min="26" max="26" width="15.140625" style="24" hidden="1" customWidth="1"/>
    <col min="27" max="27" width="14.5703125" style="24" hidden="1" customWidth="1"/>
    <col min="28" max="28" width="22.42578125" style="24" hidden="1" customWidth="1"/>
    <col min="29" max="29" width="5.7109375" style="24" hidden="1" customWidth="1"/>
    <col min="30" max="30" width="13" style="24" hidden="1" customWidth="1"/>
    <col min="31" max="31" width="17" style="24" hidden="1" customWidth="1"/>
    <col min="32" max="32" width="19.42578125" style="24" hidden="1" customWidth="1"/>
    <col min="33" max="33" width="12.85546875" style="24" hidden="1" customWidth="1"/>
    <col min="34" max="34" width="14.28515625" style="24" hidden="1" customWidth="1"/>
    <col min="35" max="35" width="7.42578125" style="24" hidden="1" customWidth="1"/>
    <col min="36" max="36" width="14" style="24" hidden="1" customWidth="1"/>
    <col min="37" max="37" width="4.7109375" style="24" hidden="1" customWidth="1"/>
    <col min="38" max="38" width="11.28515625" style="24" hidden="1" customWidth="1"/>
    <col min="39" max="39" width="6.5703125" style="24" hidden="1" customWidth="1"/>
    <col min="40" max="40" width="13.140625" style="24" hidden="1" customWidth="1"/>
    <col min="41" max="41" width="14.85546875" style="24" hidden="1" customWidth="1"/>
    <col min="42" max="42" width="15" style="24" hidden="1" customWidth="1"/>
    <col min="43" max="43" width="13.85546875" style="24" hidden="1" customWidth="1"/>
    <col min="44" max="44" width="12.42578125" style="24" hidden="1" customWidth="1"/>
    <col min="45" max="45" width="13" style="43" customWidth="1"/>
    <col min="46" max="46" width="19.85546875" style="28" bestFit="1" customWidth="1"/>
    <col min="47" max="47" width="18.42578125" style="28" bestFit="1" customWidth="1"/>
  </cols>
  <sheetData>
    <row r="1" spans="1:47" x14ac:dyDescent="0.25">
      <c r="A1" s="7">
        <v>2021</v>
      </c>
      <c r="B1" s="2"/>
      <c r="C1" s="1"/>
      <c r="D1" s="1"/>
      <c r="E1" s="25"/>
      <c r="F1" s="1"/>
      <c r="G1" s="1"/>
      <c r="H1" s="1"/>
      <c r="I1" s="1"/>
      <c r="J1" s="1"/>
      <c r="K1" s="1"/>
      <c r="L1" s="1"/>
      <c r="M1" s="15"/>
      <c r="N1" s="16"/>
      <c r="O1" s="3"/>
      <c r="P1" s="1"/>
      <c r="Q1" s="15"/>
      <c r="R1" s="1"/>
      <c r="S1" s="3"/>
      <c r="T1" s="17"/>
      <c r="U1" s="15"/>
      <c r="V1" s="1"/>
      <c r="W1" s="3"/>
      <c r="X1" s="1"/>
      <c r="Y1" s="3"/>
      <c r="Z1" s="1"/>
      <c r="AA1" s="3"/>
      <c r="AB1" s="1"/>
      <c r="AC1" s="3"/>
      <c r="AD1" s="1"/>
      <c r="AE1" s="3"/>
      <c r="AF1" s="1"/>
      <c r="AG1" s="3"/>
      <c r="AH1" s="1"/>
      <c r="AI1" s="3"/>
      <c r="AJ1" s="1"/>
      <c r="AK1" s="3"/>
      <c r="AL1" s="1"/>
      <c r="AM1" s="3"/>
      <c r="AN1" s="1"/>
      <c r="AO1" s="3"/>
      <c r="AP1" s="1"/>
      <c r="AQ1" s="3"/>
      <c r="AR1" s="1"/>
      <c r="AS1" s="3"/>
      <c r="AT1" s="21"/>
      <c r="AU1" s="30"/>
    </row>
    <row r="2" spans="1:47" x14ac:dyDescent="0.25">
      <c r="A2" s="1"/>
      <c r="B2" s="135" t="s">
        <v>0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30"/>
    </row>
    <row r="3" spans="1:47" x14ac:dyDescent="0.25">
      <c r="A3" s="1"/>
      <c r="B3" s="2"/>
      <c r="C3" s="1"/>
      <c r="D3" s="1"/>
      <c r="E3" s="25"/>
      <c r="F3" s="1"/>
      <c r="G3" s="1"/>
      <c r="H3" s="1"/>
      <c r="I3" s="1"/>
      <c r="J3" s="1"/>
      <c r="K3" s="1"/>
      <c r="L3" s="1"/>
      <c r="M3" s="15"/>
      <c r="N3" s="16"/>
      <c r="O3" s="3"/>
      <c r="P3" s="1"/>
      <c r="Q3" s="15"/>
      <c r="R3" s="1"/>
      <c r="S3" s="3"/>
      <c r="T3" s="17"/>
      <c r="U3" s="15"/>
      <c r="V3" s="1"/>
      <c r="W3" s="3"/>
      <c r="X3" s="1"/>
      <c r="Y3" s="3"/>
      <c r="Z3" s="1"/>
      <c r="AA3" s="3"/>
      <c r="AB3" s="1"/>
      <c r="AC3" s="3"/>
      <c r="AD3" s="1"/>
      <c r="AE3" s="3"/>
      <c r="AF3" s="1"/>
      <c r="AG3" s="3"/>
      <c r="AH3" s="1"/>
      <c r="AI3" s="3"/>
      <c r="AJ3" s="1"/>
      <c r="AK3" s="3"/>
      <c r="AL3" s="1"/>
      <c r="AM3" s="3"/>
      <c r="AN3" s="1"/>
      <c r="AO3" s="3"/>
      <c r="AP3" s="1"/>
      <c r="AQ3" s="3"/>
      <c r="AR3" s="1"/>
      <c r="AS3" s="3"/>
      <c r="AT3" s="21"/>
      <c r="AU3" s="30"/>
    </row>
    <row r="4" spans="1:47" ht="20.25" customHeight="1" x14ac:dyDescent="0.25">
      <c r="A4" s="134" t="s">
        <v>1</v>
      </c>
      <c r="B4" s="134"/>
      <c r="C4" s="136" t="s">
        <v>38</v>
      </c>
      <c r="D4" s="136"/>
      <c r="E4" s="136"/>
      <c r="F4" s="6"/>
      <c r="G4" s="6"/>
      <c r="H4" s="6"/>
      <c r="I4" s="6"/>
      <c r="J4" s="6"/>
      <c r="K4" s="6"/>
      <c r="L4" s="6"/>
      <c r="M4" s="18"/>
      <c r="N4" s="19"/>
      <c r="O4" s="4"/>
      <c r="P4" s="6"/>
      <c r="Q4" s="18"/>
      <c r="R4" s="6"/>
      <c r="S4" s="4"/>
      <c r="T4" s="20"/>
      <c r="U4" s="18"/>
      <c r="V4" s="6"/>
      <c r="W4" s="4"/>
      <c r="X4" s="6"/>
      <c r="Y4" s="4"/>
      <c r="Z4" s="6"/>
      <c r="AA4" s="4"/>
      <c r="AB4" s="6"/>
      <c r="AC4" s="4"/>
      <c r="AD4" s="6"/>
      <c r="AE4" s="4"/>
      <c r="AF4" s="6"/>
      <c r="AG4" s="4"/>
      <c r="AH4" s="6"/>
      <c r="AI4" s="4"/>
      <c r="AJ4" s="6"/>
      <c r="AK4" s="4"/>
      <c r="AL4" s="6"/>
      <c r="AM4" s="4"/>
      <c r="AN4" s="6"/>
      <c r="AO4" s="4"/>
      <c r="AP4" s="6"/>
      <c r="AQ4" s="4"/>
      <c r="AR4" s="6"/>
      <c r="AS4" s="4"/>
      <c r="AT4" s="21"/>
      <c r="AU4" s="30"/>
    </row>
    <row r="5" spans="1:47" ht="32.25" customHeight="1" x14ac:dyDescent="0.25">
      <c r="A5" s="134" t="s">
        <v>2</v>
      </c>
      <c r="B5" s="134"/>
      <c r="C5" s="137" t="s">
        <v>37</v>
      </c>
      <c r="D5" s="137"/>
      <c r="E5" s="137"/>
      <c r="F5" s="6"/>
      <c r="G5" s="6"/>
      <c r="H5" s="6"/>
      <c r="I5" s="6"/>
      <c r="J5" s="6"/>
      <c r="K5" s="6"/>
      <c r="L5" s="6"/>
      <c r="M5" s="18"/>
      <c r="N5" s="19"/>
      <c r="O5" s="4"/>
      <c r="P5" s="6"/>
      <c r="Q5" s="18"/>
      <c r="R5" s="6"/>
      <c r="S5" s="4"/>
      <c r="T5" s="20"/>
      <c r="U5" s="18"/>
      <c r="V5" s="6"/>
      <c r="W5" s="4"/>
      <c r="X5" s="6"/>
      <c r="Y5" s="4"/>
      <c r="Z5" s="6"/>
      <c r="AA5" s="4"/>
      <c r="AB5" s="6"/>
      <c r="AC5" s="4"/>
      <c r="AD5" s="6"/>
      <c r="AE5" s="4"/>
      <c r="AF5" s="6"/>
      <c r="AG5" s="4"/>
      <c r="AH5" s="6"/>
      <c r="AI5" s="4"/>
      <c r="AJ5" s="6"/>
      <c r="AK5" s="4"/>
      <c r="AL5" s="6"/>
      <c r="AM5" s="4"/>
      <c r="AN5" s="6"/>
      <c r="AO5" s="4"/>
      <c r="AP5" s="6"/>
      <c r="AQ5" s="4"/>
      <c r="AR5" s="6"/>
      <c r="AS5" s="4"/>
      <c r="AT5" s="21"/>
      <c r="AU5" s="30"/>
    </row>
    <row r="6" spans="1:47" x14ac:dyDescent="0.25">
      <c r="A6" s="134" t="s">
        <v>3</v>
      </c>
      <c r="B6" s="134"/>
      <c r="C6" s="5">
        <v>2021</v>
      </c>
      <c r="D6" s="22"/>
      <c r="E6" s="5"/>
      <c r="F6" s="6"/>
      <c r="G6" s="6"/>
      <c r="H6" s="6"/>
      <c r="I6" s="6"/>
      <c r="J6" s="6"/>
      <c r="K6" s="6"/>
      <c r="L6" s="6"/>
      <c r="M6" s="18"/>
      <c r="N6" s="19"/>
      <c r="O6" s="4"/>
      <c r="P6" s="6"/>
      <c r="Q6" s="18"/>
      <c r="R6" s="6"/>
      <c r="S6" s="4"/>
      <c r="T6" s="20"/>
      <c r="U6" s="18"/>
      <c r="V6" s="6"/>
      <c r="W6" s="4"/>
      <c r="X6" s="6"/>
      <c r="Y6" s="4"/>
      <c r="Z6" s="6"/>
      <c r="AA6" s="4"/>
      <c r="AB6" s="6"/>
      <c r="AC6" s="4"/>
      <c r="AD6" s="6"/>
      <c r="AE6" s="4"/>
      <c r="AF6" s="6"/>
      <c r="AG6" s="4"/>
      <c r="AH6" s="6"/>
      <c r="AI6" s="4"/>
      <c r="AJ6" s="6"/>
      <c r="AK6" s="4"/>
      <c r="AL6" s="6"/>
      <c r="AM6" s="4"/>
      <c r="AN6" s="6"/>
      <c r="AO6" s="4"/>
      <c r="AP6" s="6"/>
      <c r="AQ6" s="4"/>
      <c r="AR6" s="6"/>
      <c r="AS6" s="4"/>
      <c r="AT6" s="21"/>
      <c r="AU6" s="30"/>
    </row>
    <row r="7" spans="1:47" x14ac:dyDescent="0.25">
      <c r="A7" s="134" t="s">
        <v>4</v>
      </c>
      <c r="B7" s="134"/>
      <c r="C7" s="5" t="s">
        <v>53</v>
      </c>
      <c r="D7" s="22"/>
      <c r="E7" s="5"/>
      <c r="F7" s="6"/>
      <c r="G7" s="6"/>
      <c r="H7" s="6"/>
      <c r="I7" s="6"/>
      <c r="J7" s="6"/>
      <c r="K7" s="6"/>
      <c r="L7" s="6"/>
      <c r="M7" s="18"/>
      <c r="N7" s="19"/>
      <c r="O7" s="4"/>
      <c r="P7" s="6"/>
      <c r="Q7" s="18"/>
      <c r="R7" s="6"/>
      <c r="S7" s="4"/>
      <c r="T7" s="20"/>
      <c r="U7" s="18"/>
      <c r="V7" s="6"/>
      <c r="W7" s="4"/>
      <c r="X7" s="6"/>
      <c r="Y7" s="4"/>
      <c r="Z7" s="6"/>
      <c r="AA7" s="4"/>
      <c r="AB7" s="6"/>
      <c r="AC7" s="4"/>
      <c r="AD7" s="6"/>
      <c r="AE7" s="4"/>
      <c r="AF7" s="6"/>
      <c r="AG7" s="4"/>
      <c r="AH7" s="6"/>
      <c r="AI7" s="4"/>
      <c r="AJ7" s="6"/>
      <c r="AK7" s="4"/>
      <c r="AL7" s="6"/>
      <c r="AM7" s="4"/>
      <c r="AN7" s="6"/>
      <c r="AO7" s="4"/>
      <c r="AP7" s="6"/>
      <c r="AQ7" s="4"/>
      <c r="AR7" s="6"/>
      <c r="AS7" s="4"/>
      <c r="AT7" s="21"/>
      <c r="AU7" s="30"/>
    </row>
    <row r="8" spans="1:47" x14ac:dyDescent="0.25">
      <c r="A8" s="1"/>
      <c r="B8" s="6"/>
      <c r="C8" s="6"/>
      <c r="D8" s="6"/>
      <c r="E8" s="26"/>
      <c r="F8" s="6"/>
      <c r="G8" s="6"/>
      <c r="H8" s="6"/>
      <c r="I8" s="6"/>
      <c r="J8" s="6"/>
      <c r="K8" s="6"/>
      <c r="L8" s="6"/>
      <c r="M8" s="18"/>
      <c r="N8" s="19"/>
      <c r="O8" s="4"/>
      <c r="P8" s="6"/>
      <c r="Q8" s="18"/>
      <c r="R8" s="6"/>
      <c r="S8" s="4"/>
      <c r="T8" s="20"/>
      <c r="U8" s="18"/>
      <c r="V8" s="6"/>
      <c r="W8" s="4"/>
      <c r="X8" s="6"/>
      <c r="Y8" s="4"/>
      <c r="Z8" s="6"/>
      <c r="AA8" s="4"/>
      <c r="AB8" s="6"/>
      <c r="AC8" s="4"/>
      <c r="AD8" s="6"/>
      <c r="AE8" s="4"/>
      <c r="AF8" s="6"/>
      <c r="AG8" s="4"/>
      <c r="AH8" s="6"/>
      <c r="AI8" s="4"/>
      <c r="AJ8" s="6"/>
      <c r="AK8" s="4"/>
      <c r="AL8" s="6"/>
      <c r="AM8" s="4"/>
      <c r="AN8" s="6"/>
      <c r="AO8" s="4"/>
      <c r="AP8" s="6"/>
      <c r="AQ8" s="4"/>
      <c r="AR8" s="6"/>
      <c r="AS8" s="4"/>
      <c r="AT8" s="21"/>
      <c r="AU8" s="30"/>
    </row>
    <row r="9" spans="1:47" ht="25.5" x14ac:dyDescent="0.25">
      <c r="A9" s="8" t="s">
        <v>5</v>
      </c>
      <c r="B9" s="9" t="s">
        <v>6</v>
      </c>
      <c r="C9" s="9" t="s">
        <v>7</v>
      </c>
      <c r="D9" s="8" t="s">
        <v>8</v>
      </c>
      <c r="E9" s="27" t="s">
        <v>9</v>
      </c>
      <c r="F9" s="9" t="s">
        <v>10</v>
      </c>
      <c r="G9" s="9" t="s">
        <v>52</v>
      </c>
      <c r="H9" s="9" t="s">
        <v>39</v>
      </c>
      <c r="I9" s="9" t="s">
        <v>40</v>
      </c>
      <c r="J9" s="9" t="s">
        <v>41</v>
      </c>
      <c r="K9" s="9" t="s">
        <v>11</v>
      </c>
      <c r="L9" s="9" t="s">
        <v>12</v>
      </c>
      <c r="M9" s="10" t="s">
        <v>13</v>
      </c>
      <c r="N9" s="11" t="s">
        <v>14</v>
      </c>
      <c r="O9" s="12" t="s">
        <v>47</v>
      </c>
      <c r="P9" s="9" t="s">
        <v>42</v>
      </c>
      <c r="Q9" s="10" t="s">
        <v>15</v>
      </c>
      <c r="R9" s="9" t="s">
        <v>16</v>
      </c>
      <c r="S9" s="12" t="s">
        <v>17</v>
      </c>
      <c r="T9" s="13" t="s">
        <v>18</v>
      </c>
      <c r="U9" s="10" t="s">
        <v>19</v>
      </c>
      <c r="V9" s="9" t="s">
        <v>20</v>
      </c>
      <c r="W9" s="12" t="s">
        <v>21</v>
      </c>
      <c r="X9" s="9" t="s">
        <v>22</v>
      </c>
      <c r="Y9" s="12" t="s">
        <v>43</v>
      </c>
      <c r="Z9" s="9" t="s">
        <v>44</v>
      </c>
      <c r="AA9" s="12" t="s">
        <v>45</v>
      </c>
      <c r="AB9" s="9" t="s">
        <v>46</v>
      </c>
      <c r="AC9" s="14" t="s">
        <v>48</v>
      </c>
      <c r="AD9" s="9" t="s">
        <v>49</v>
      </c>
      <c r="AE9" s="12" t="s">
        <v>23</v>
      </c>
      <c r="AF9" s="9" t="s">
        <v>24</v>
      </c>
      <c r="AG9" s="12" t="s">
        <v>25</v>
      </c>
      <c r="AH9" s="9" t="s">
        <v>26</v>
      </c>
      <c r="AI9" s="12" t="s">
        <v>27</v>
      </c>
      <c r="AJ9" s="9" t="s">
        <v>28</v>
      </c>
      <c r="AK9" s="12" t="s">
        <v>29</v>
      </c>
      <c r="AL9" s="9" t="s">
        <v>30</v>
      </c>
      <c r="AM9" s="14" t="s">
        <v>50</v>
      </c>
      <c r="AN9" s="9" t="s">
        <v>51</v>
      </c>
      <c r="AO9" s="12" t="s">
        <v>31</v>
      </c>
      <c r="AP9" s="9" t="s">
        <v>32</v>
      </c>
      <c r="AQ9" s="12" t="s">
        <v>33</v>
      </c>
      <c r="AR9" s="9" t="s">
        <v>34</v>
      </c>
      <c r="AS9" s="12" t="s">
        <v>120</v>
      </c>
      <c r="AT9" s="23" t="s">
        <v>35</v>
      </c>
      <c r="AU9" s="29" t="s">
        <v>36</v>
      </c>
    </row>
    <row r="10" spans="1:47" ht="30" customHeight="1" x14ac:dyDescent="0.25">
      <c r="A10" s="35">
        <v>1</v>
      </c>
      <c r="B10" s="35"/>
      <c r="C10" s="35" t="s">
        <v>152</v>
      </c>
      <c r="D10" s="111" t="s">
        <v>111</v>
      </c>
      <c r="E10" s="131" t="s">
        <v>141</v>
      </c>
      <c r="F10" s="107" t="s">
        <v>132</v>
      </c>
      <c r="G10" s="107"/>
      <c r="H10" s="107"/>
      <c r="I10" s="107"/>
      <c r="J10" s="107"/>
      <c r="K10" s="107"/>
      <c r="L10" s="108"/>
      <c r="M10" s="107"/>
      <c r="N10" s="108"/>
      <c r="O10" s="107"/>
      <c r="P10" s="107"/>
      <c r="Q10" s="107"/>
      <c r="R10" s="107"/>
      <c r="S10" s="107"/>
      <c r="T10" s="108"/>
      <c r="U10" s="107"/>
      <c r="V10" s="108"/>
      <c r="W10" s="107"/>
      <c r="X10" s="108"/>
      <c r="Y10" s="107"/>
      <c r="Z10" s="108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13">
        <v>1500</v>
      </c>
      <c r="AT10" s="119">
        <v>45</v>
      </c>
      <c r="AU10" s="36">
        <f>+AS10*AT10</f>
        <v>67500</v>
      </c>
    </row>
    <row r="11" spans="1:47" x14ac:dyDescent="0.25">
      <c r="A11" s="35">
        <v>2</v>
      </c>
      <c r="B11" s="35"/>
      <c r="C11" s="35" t="s">
        <v>153</v>
      </c>
      <c r="D11" s="110" t="s">
        <v>111</v>
      </c>
      <c r="E11" s="131" t="s">
        <v>121</v>
      </c>
      <c r="F11" s="107" t="s">
        <v>113</v>
      </c>
      <c r="G11" s="107"/>
      <c r="H11" s="107"/>
      <c r="I11" s="107"/>
      <c r="J11" s="107"/>
      <c r="K11" s="107"/>
      <c r="L11" s="108"/>
      <c r="M11" s="107"/>
      <c r="N11" s="108"/>
      <c r="O11" s="107"/>
      <c r="P11" s="107"/>
      <c r="Q11" s="107"/>
      <c r="R11" s="107"/>
      <c r="S11" s="107"/>
      <c r="T11" s="108"/>
      <c r="U11" s="107"/>
      <c r="V11" s="108"/>
      <c r="W11" s="107"/>
      <c r="X11" s="108"/>
      <c r="Y11" s="107"/>
      <c r="Z11" s="108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13">
        <v>1000</v>
      </c>
      <c r="AT11" s="118">
        <v>75</v>
      </c>
      <c r="AU11" s="36">
        <f>+AS11*AT11</f>
        <v>75000</v>
      </c>
    </row>
    <row r="12" spans="1:47" ht="25.5" x14ac:dyDescent="0.25">
      <c r="A12" s="35">
        <v>3</v>
      </c>
      <c r="B12" s="35"/>
      <c r="C12" s="35" t="s">
        <v>153</v>
      </c>
      <c r="D12" s="111" t="s">
        <v>111</v>
      </c>
      <c r="E12" s="131" t="s">
        <v>122</v>
      </c>
      <c r="F12" s="107" t="s">
        <v>113</v>
      </c>
      <c r="G12" s="107"/>
      <c r="H12" s="107"/>
      <c r="I12" s="107"/>
      <c r="J12" s="107"/>
      <c r="K12" s="107"/>
      <c r="L12" s="108"/>
      <c r="M12" s="107"/>
      <c r="N12" s="108"/>
      <c r="O12" s="107"/>
      <c r="P12" s="107"/>
      <c r="Q12" s="107"/>
      <c r="R12" s="107"/>
      <c r="S12" s="107"/>
      <c r="T12" s="108"/>
      <c r="U12" s="107"/>
      <c r="V12" s="108"/>
      <c r="W12" s="107"/>
      <c r="X12" s="108"/>
      <c r="Y12" s="107"/>
      <c r="Z12" s="108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13">
        <v>2000</v>
      </c>
      <c r="AT12" s="114">
        <v>120</v>
      </c>
      <c r="AU12" s="36">
        <f>+AS12*AT12</f>
        <v>240000</v>
      </c>
    </row>
    <row r="13" spans="1:47" ht="25.5" x14ac:dyDescent="0.25">
      <c r="A13" s="35">
        <v>4</v>
      </c>
      <c r="B13" s="35"/>
      <c r="C13" s="35" t="s">
        <v>154</v>
      </c>
      <c r="D13" s="111" t="s">
        <v>111</v>
      </c>
      <c r="E13" s="131" t="s">
        <v>135</v>
      </c>
      <c r="F13" s="107" t="s">
        <v>113</v>
      </c>
      <c r="G13" s="107"/>
      <c r="H13" s="107"/>
      <c r="I13" s="107"/>
      <c r="J13" s="107"/>
      <c r="K13" s="107"/>
      <c r="L13" s="108"/>
      <c r="M13" s="107"/>
      <c r="N13" s="108"/>
      <c r="O13" s="107"/>
      <c r="P13" s="107"/>
      <c r="Q13" s="107"/>
      <c r="R13" s="107"/>
      <c r="S13" s="107"/>
      <c r="T13" s="108"/>
      <c r="U13" s="107"/>
      <c r="V13" s="108"/>
      <c r="W13" s="107"/>
      <c r="X13" s="108"/>
      <c r="Y13" s="107"/>
      <c r="Z13" s="108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13">
        <v>30000</v>
      </c>
      <c r="AT13" s="114">
        <v>38</v>
      </c>
      <c r="AU13" s="36">
        <f>+AS13*AT13</f>
        <v>1140000</v>
      </c>
    </row>
    <row r="14" spans="1:47" x14ac:dyDescent="0.25">
      <c r="A14" s="35">
        <v>5</v>
      </c>
      <c r="B14" s="35"/>
      <c r="C14" s="35" t="s">
        <v>155</v>
      </c>
      <c r="D14" s="106" t="s">
        <v>111</v>
      </c>
      <c r="E14" s="131" t="s">
        <v>112</v>
      </c>
      <c r="F14" s="107" t="s">
        <v>113</v>
      </c>
      <c r="G14" s="107"/>
      <c r="H14" s="107"/>
      <c r="I14" s="107"/>
      <c r="J14" s="107"/>
      <c r="K14" s="107"/>
      <c r="L14" s="108"/>
      <c r="M14" s="107"/>
      <c r="N14" s="108"/>
      <c r="O14" s="107"/>
      <c r="P14" s="107"/>
      <c r="Q14" s="107"/>
      <c r="R14" s="107"/>
      <c r="S14" s="107"/>
      <c r="T14" s="108"/>
      <c r="U14" s="107"/>
      <c r="V14" s="108"/>
      <c r="W14" s="107"/>
      <c r="X14" s="108"/>
      <c r="Y14" s="107"/>
      <c r="Z14" s="108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13">
        <v>1000</v>
      </c>
      <c r="AT14" s="114">
        <v>130</v>
      </c>
      <c r="AU14" s="36">
        <f t="shared" ref="AU14:AU27" si="0">+AS14*AT14</f>
        <v>130000</v>
      </c>
    </row>
    <row r="15" spans="1:47" ht="25.5" x14ac:dyDescent="0.25">
      <c r="A15" s="35">
        <v>6</v>
      </c>
      <c r="B15" s="35"/>
      <c r="C15" s="35" t="s">
        <v>153</v>
      </c>
      <c r="D15" s="111" t="s">
        <v>111</v>
      </c>
      <c r="E15" s="131" t="s">
        <v>142</v>
      </c>
      <c r="F15" s="107" t="s">
        <v>113</v>
      </c>
      <c r="G15" s="107"/>
      <c r="H15" s="107"/>
      <c r="I15" s="107"/>
      <c r="J15" s="107"/>
      <c r="K15" s="107"/>
      <c r="L15" s="108"/>
      <c r="M15" s="107"/>
      <c r="N15" s="108"/>
      <c r="O15" s="107"/>
      <c r="P15" s="107"/>
      <c r="Q15" s="107"/>
      <c r="R15" s="107"/>
      <c r="S15" s="107"/>
      <c r="T15" s="108"/>
      <c r="U15" s="107"/>
      <c r="V15" s="108"/>
      <c r="W15" s="107"/>
      <c r="X15" s="108"/>
      <c r="Y15" s="107"/>
      <c r="Z15" s="108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13">
        <v>1000</v>
      </c>
      <c r="AT15" s="114">
        <v>120</v>
      </c>
      <c r="AU15" s="36">
        <f>+AS15*AT15</f>
        <v>120000</v>
      </c>
    </row>
    <row r="16" spans="1:47" x14ac:dyDescent="0.25">
      <c r="A16" s="35">
        <v>7</v>
      </c>
      <c r="B16" s="35"/>
      <c r="C16" s="35" t="s">
        <v>153</v>
      </c>
      <c r="D16" s="111" t="s">
        <v>111</v>
      </c>
      <c r="E16" s="131" t="s">
        <v>123</v>
      </c>
      <c r="F16" s="107" t="s">
        <v>113</v>
      </c>
      <c r="G16" s="107"/>
      <c r="H16" s="107"/>
      <c r="I16" s="107"/>
      <c r="J16" s="107"/>
      <c r="K16" s="107"/>
      <c r="L16" s="108"/>
      <c r="M16" s="107"/>
      <c r="N16" s="108"/>
      <c r="O16" s="107"/>
      <c r="P16" s="107"/>
      <c r="Q16" s="107"/>
      <c r="R16" s="107"/>
      <c r="S16" s="107"/>
      <c r="T16" s="108"/>
      <c r="U16" s="107"/>
      <c r="V16" s="108"/>
      <c r="W16" s="107"/>
      <c r="X16" s="108"/>
      <c r="Y16" s="107"/>
      <c r="Z16" s="108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13">
        <v>2500</v>
      </c>
      <c r="AT16" s="114">
        <v>497</v>
      </c>
      <c r="AU16" s="36">
        <f>+AS16*AT16</f>
        <v>1242500</v>
      </c>
    </row>
    <row r="17" spans="1:47" ht="25.5" x14ac:dyDescent="0.25">
      <c r="A17" s="35">
        <v>8</v>
      </c>
      <c r="B17" s="35"/>
      <c r="C17" s="107" t="s">
        <v>156</v>
      </c>
      <c r="D17" s="109" t="s">
        <v>111</v>
      </c>
      <c r="E17" s="131" t="s">
        <v>140</v>
      </c>
      <c r="F17" s="115" t="s">
        <v>119</v>
      </c>
      <c r="G17" s="107"/>
      <c r="H17" s="107"/>
      <c r="I17" s="107"/>
      <c r="J17" s="107"/>
      <c r="K17" s="107"/>
      <c r="L17" s="108"/>
      <c r="M17" s="107"/>
      <c r="N17" s="108"/>
      <c r="O17" s="107"/>
      <c r="P17" s="107"/>
      <c r="Q17" s="107"/>
      <c r="R17" s="107"/>
      <c r="S17" s="107"/>
      <c r="T17" s="108"/>
      <c r="U17" s="107"/>
      <c r="V17" s="108"/>
      <c r="W17" s="107"/>
      <c r="X17" s="108"/>
      <c r="Y17" s="107"/>
      <c r="Z17" s="108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16">
        <v>7</v>
      </c>
      <c r="AT17" s="117">
        <v>231000</v>
      </c>
      <c r="AU17" s="108">
        <f>+AS17*AT17</f>
        <v>1617000</v>
      </c>
    </row>
    <row r="18" spans="1:47" ht="25.5" customHeight="1" x14ac:dyDescent="0.25">
      <c r="A18" s="35">
        <v>9</v>
      </c>
      <c r="B18" s="35"/>
      <c r="C18" s="35" t="s">
        <v>155</v>
      </c>
      <c r="D18" s="106" t="s">
        <v>111</v>
      </c>
      <c r="E18" s="131" t="s">
        <v>143</v>
      </c>
      <c r="F18" s="107" t="s">
        <v>114</v>
      </c>
      <c r="G18" s="107"/>
      <c r="H18" s="107"/>
      <c r="I18" s="107"/>
      <c r="J18" s="107"/>
      <c r="K18" s="107"/>
      <c r="L18" s="108"/>
      <c r="M18" s="107"/>
      <c r="N18" s="108"/>
      <c r="O18" s="107"/>
      <c r="P18" s="107"/>
      <c r="Q18" s="107"/>
      <c r="R18" s="107"/>
      <c r="S18" s="107"/>
      <c r="T18" s="108"/>
      <c r="U18" s="107"/>
      <c r="V18" s="108"/>
      <c r="W18" s="107"/>
      <c r="X18" s="108"/>
      <c r="Y18" s="107"/>
      <c r="Z18" s="108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107"/>
      <c r="AP18" s="107"/>
      <c r="AQ18" s="107"/>
      <c r="AR18" s="107"/>
      <c r="AS18" s="113">
        <v>4000</v>
      </c>
      <c r="AT18" s="114">
        <v>92</v>
      </c>
      <c r="AU18" s="36">
        <f t="shared" si="0"/>
        <v>368000</v>
      </c>
    </row>
    <row r="19" spans="1:47" ht="25.5" x14ac:dyDescent="0.25">
      <c r="A19" s="35">
        <v>10</v>
      </c>
      <c r="B19" s="35"/>
      <c r="C19" s="35" t="s">
        <v>153</v>
      </c>
      <c r="D19" s="111" t="s">
        <v>111</v>
      </c>
      <c r="E19" s="131" t="s">
        <v>144</v>
      </c>
      <c r="F19" s="107" t="s">
        <v>113</v>
      </c>
      <c r="G19" s="107"/>
      <c r="H19" s="107"/>
      <c r="I19" s="107"/>
      <c r="J19" s="107"/>
      <c r="K19" s="107"/>
      <c r="L19" s="108"/>
      <c r="M19" s="107"/>
      <c r="N19" s="108"/>
      <c r="O19" s="107"/>
      <c r="P19" s="107"/>
      <c r="Q19" s="107"/>
      <c r="R19" s="107"/>
      <c r="S19" s="107"/>
      <c r="T19" s="108"/>
      <c r="U19" s="107"/>
      <c r="V19" s="108"/>
      <c r="W19" s="107"/>
      <c r="X19" s="108"/>
      <c r="Y19" s="107"/>
      <c r="Z19" s="108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13">
        <v>300</v>
      </c>
      <c r="AT19" s="114">
        <v>560</v>
      </c>
      <c r="AU19" s="36">
        <f>+AS19*AT19</f>
        <v>168000</v>
      </c>
    </row>
    <row r="20" spans="1:47" x14ac:dyDescent="0.25">
      <c r="A20" s="35">
        <v>11</v>
      </c>
      <c r="B20" s="35"/>
      <c r="C20" s="35" t="s">
        <v>153</v>
      </c>
      <c r="D20" s="111" t="s">
        <v>111</v>
      </c>
      <c r="E20" s="131" t="s">
        <v>145</v>
      </c>
      <c r="F20" s="107" t="s">
        <v>113</v>
      </c>
      <c r="G20" s="107"/>
      <c r="H20" s="107"/>
      <c r="I20" s="107"/>
      <c r="J20" s="107"/>
      <c r="K20" s="107"/>
      <c r="L20" s="108"/>
      <c r="M20" s="107"/>
      <c r="N20" s="108"/>
      <c r="O20" s="107"/>
      <c r="P20" s="107"/>
      <c r="Q20" s="107"/>
      <c r="R20" s="107"/>
      <c r="S20" s="107"/>
      <c r="T20" s="108"/>
      <c r="U20" s="107"/>
      <c r="V20" s="108"/>
      <c r="W20" s="107"/>
      <c r="X20" s="108"/>
      <c r="Y20" s="107"/>
      <c r="Z20" s="108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13">
        <v>1000</v>
      </c>
      <c r="AT20" s="114">
        <v>165</v>
      </c>
      <c r="AU20" s="36">
        <f>+AS20*AT20</f>
        <v>165000</v>
      </c>
    </row>
    <row r="21" spans="1:47" ht="38.25" x14ac:dyDescent="0.25">
      <c r="A21" s="35">
        <v>12</v>
      </c>
      <c r="B21" s="35"/>
      <c r="C21" s="35" t="s">
        <v>157</v>
      </c>
      <c r="D21" s="111" t="s">
        <v>111</v>
      </c>
      <c r="E21" s="131" t="s">
        <v>130</v>
      </c>
      <c r="F21" s="107" t="s">
        <v>132</v>
      </c>
      <c r="G21" s="107"/>
      <c r="H21" s="107"/>
      <c r="I21" s="107"/>
      <c r="J21" s="107"/>
      <c r="K21" s="107"/>
      <c r="L21" s="108"/>
      <c r="M21" s="107"/>
      <c r="N21" s="108"/>
      <c r="O21" s="107"/>
      <c r="P21" s="107"/>
      <c r="Q21" s="107"/>
      <c r="R21" s="107"/>
      <c r="S21" s="107"/>
      <c r="T21" s="108"/>
      <c r="U21" s="107"/>
      <c r="V21" s="108"/>
      <c r="W21" s="107"/>
      <c r="X21" s="108"/>
      <c r="Y21" s="107"/>
      <c r="Z21" s="108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13">
        <v>10</v>
      </c>
      <c r="AT21" s="114">
        <v>4328.63</v>
      </c>
      <c r="AU21" s="36">
        <f>+AS21*AT21</f>
        <v>43286.3</v>
      </c>
    </row>
    <row r="22" spans="1:47" ht="14.25" customHeight="1" x14ac:dyDescent="0.25">
      <c r="A22" s="35">
        <v>13</v>
      </c>
      <c r="B22" s="35"/>
      <c r="C22" s="35" t="s">
        <v>155</v>
      </c>
      <c r="D22" s="106" t="s">
        <v>111</v>
      </c>
      <c r="E22" s="131" t="s">
        <v>115</v>
      </c>
      <c r="F22" s="107" t="s">
        <v>116</v>
      </c>
      <c r="G22" s="107"/>
      <c r="H22" s="107"/>
      <c r="I22" s="107"/>
      <c r="J22" s="107"/>
      <c r="K22" s="107"/>
      <c r="L22" s="108"/>
      <c r="M22" s="107"/>
      <c r="N22" s="108"/>
      <c r="O22" s="107"/>
      <c r="P22" s="107"/>
      <c r="Q22" s="107"/>
      <c r="R22" s="107"/>
      <c r="S22" s="107"/>
      <c r="T22" s="108"/>
      <c r="U22" s="107"/>
      <c r="V22" s="108"/>
      <c r="W22" s="107"/>
      <c r="X22" s="108"/>
      <c r="Y22" s="107"/>
      <c r="Z22" s="108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13">
        <v>8500</v>
      </c>
      <c r="AT22" s="114">
        <v>6.9</v>
      </c>
      <c r="AU22" s="36">
        <f t="shared" si="0"/>
        <v>58650</v>
      </c>
    </row>
    <row r="23" spans="1:47" x14ac:dyDescent="0.25">
      <c r="A23" s="35">
        <v>14</v>
      </c>
      <c r="B23" s="35"/>
      <c r="C23" s="35" t="s">
        <v>153</v>
      </c>
      <c r="D23" s="111" t="s">
        <v>111</v>
      </c>
      <c r="E23" s="131" t="s">
        <v>124</v>
      </c>
      <c r="F23" s="107" t="s">
        <v>125</v>
      </c>
      <c r="G23" s="107"/>
      <c r="H23" s="107"/>
      <c r="I23" s="107"/>
      <c r="J23" s="107"/>
      <c r="K23" s="107"/>
      <c r="L23" s="108"/>
      <c r="M23" s="107"/>
      <c r="N23" s="108"/>
      <c r="O23" s="107"/>
      <c r="P23" s="107"/>
      <c r="Q23" s="107"/>
      <c r="R23" s="107"/>
      <c r="S23" s="107"/>
      <c r="T23" s="108"/>
      <c r="U23" s="107"/>
      <c r="V23" s="108"/>
      <c r="W23" s="107"/>
      <c r="X23" s="108"/>
      <c r="Y23" s="107"/>
      <c r="Z23" s="108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13">
        <v>300</v>
      </c>
      <c r="AT23" s="114">
        <v>645</v>
      </c>
      <c r="AU23" s="36">
        <f>+AS23*AT23</f>
        <v>193500</v>
      </c>
    </row>
    <row r="24" spans="1:47" x14ac:dyDescent="0.25">
      <c r="A24" s="35">
        <v>15</v>
      </c>
      <c r="B24" s="35"/>
      <c r="C24" s="35" t="s">
        <v>155</v>
      </c>
      <c r="D24" s="106" t="s">
        <v>111</v>
      </c>
      <c r="E24" s="131" t="s">
        <v>117</v>
      </c>
      <c r="F24" s="107" t="s">
        <v>113</v>
      </c>
      <c r="G24" s="107"/>
      <c r="H24" s="107"/>
      <c r="I24" s="107"/>
      <c r="J24" s="107"/>
      <c r="K24" s="107"/>
      <c r="L24" s="108"/>
      <c r="M24" s="107"/>
      <c r="N24" s="108"/>
      <c r="O24" s="107"/>
      <c r="P24" s="107"/>
      <c r="Q24" s="107"/>
      <c r="R24" s="107"/>
      <c r="S24" s="107"/>
      <c r="T24" s="108"/>
      <c r="U24" s="107"/>
      <c r="V24" s="108"/>
      <c r="W24" s="107"/>
      <c r="X24" s="108"/>
      <c r="Y24" s="107"/>
      <c r="Z24" s="108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13">
        <v>500</v>
      </c>
      <c r="AT24" s="114">
        <v>46</v>
      </c>
      <c r="AU24" s="36">
        <f t="shared" si="0"/>
        <v>23000</v>
      </c>
    </row>
    <row r="25" spans="1:47" x14ac:dyDescent="0.25">
      <c r="A25" s="35">
        <v>16</v>
      </c>
      <c r="B25" s="35"/>
      <c r="C25" s="35" t="s">
        <v>153</v>
      </c>
      <c r="D25" s="111" t="s">
        <v>111</v>
      </c>
      <c r="E25" s="131" t="s">
        <v>146</v>
      </c>
      <c r="F25" s="107" t="s">
        <v>113</v>
      </c>
      <c r="G25" s="107"/>
      <c r="H25" s="107"/>
      <c r="I25" s="107"/>
      <c r="J25" s="107"/>
      <c r="K25" s="107"/>
      <c r="L25" s="108"/>
      <c r="M25" s="107"/>
      <c r="N25" s="108"/>
      <c r="O25" s="107"/>
      <c r="P25" s="107"/>
      <c r="Q25" s="107"/>
      <c r="R25" s="107"/>
      <c r="S25" s="107"/>
      <c r="T25" s="108"/>
      <c r="U25" s="107"/>
      <c r="V25" s="108"/>
      <c r="W25" s="107"/>
      <c r="X25" s="108"/>
      <c r="Y25" s="107"/>
      <c r="Z25" s="108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13">
        <v>1000</v>
      </c>
      <c r="AT25" s="114">
        <v>2400</v>
      </c>
      <c r="AU25" s="36">
        <f>+AS25*AT25</f>
        <v>2400000</v>
      </c>
    </row>
    <row r="26" spans="1:47" x14ac:dyDescent="0.25">
      <c r="A26" s="35">
        <v>17</v>
      </c>
      <c r="B26" s="35"/>
      <c r="C26" s="35" t="s">
        <v>154</v>
      </c>
      <c r="D26" s="111" t="s">
        <v>111</v>
      </c>
      <c r="E26" s="131" t="s">
        <v>136</v>
      </c>
      <c r="F26" s="107" t="s">
        <v>114</v>
      </c>
      <c r="G26" s="107"/>
      <c r="H26" s="107"/>
      <c r="I26" s="107"/>
      <c r="J26" s="107"/>
      <c r="K26" s="107"/>
      <c r="L26" s="108"/>
      <c r="M26" s="107"/>
      <c r="N26" s="108"/>
      <c r="O26" s="107"/>
      <c r="P26" s="107"/>
      <c r="Q26" s="107"/>
      <c r="R26" s="107"/>
      <c r="S26" s="107"/>
      <c r="T26" s="108"/>
      <c r="U26" s="107"/>
      <c r="V26" s="108"/>
      <c r="W26" s="107"/>
      <c r="X26" s="108"/>
      <c r="Y26" s="107"/>
      <c r="Z26" s="108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13">
        <v>30</v>
      </c>
      <c r="AT26" s="114">
        <v>248</v>
      </c>
      <c r="AU26" s="36">
        <f>+AS26*AT26</f>
        <v>7440</v>
      </c>
    </row>
    <row r="27" spans="1:47" ht="25.5" x14ac:dyDescent="0.25">
      <c r="A27" s="35">
        <v>18</v>
      </c>
      <c r="B27" s="35"/>
      <c r="C27" s="35" t="s">
        <v>155</v>
      </c>
      <c r="D27" s="106" t="s">
        <v>111</v>
      </c>
      <c r="E27" s="131" t="s">
        <v>147</v>
      </c>
      <c r="F27" s="107" t="s">
        <v>114</v>
      </c>
      <c r="G27" s="107"/>
      <c r="H27" s="107"/>
      <c r="I27" s="107"/>
      <c r="J27" s="107"/>
      <c r="K27" s="107"/>
      <c r="L27" s="108"/>
      <c r="M27" s="107"/>
      <c r="N27" s="108"/>
      <c r="O27" s="107"/>
      <c r="P27" s="107"/>
      <c r="Q27" s="107"/>
      <c r="R27" s="107"/>
      <c r="S27" s="107"/>
      <c r="T27" s="108"/>
      <c r="U27" s="107"/>
      <c r="V27" s="108"/>
      <c r="W27" s="107"/>
      <c r="X27" s="108"/>
      <c r="Y27" s="107"/>
      <c r="Z27" s="108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13">
        <v>10</v>
      </c>
      <c r="AT27" s="114">
        <v>2435</v>
      </c>
      <c r="AU27" s="36">
        <f t="shared" si="0"/>
        <v>24350</v>
      </c>
    </row>
    <row r="28" spans="1:47" x14ac:dyDescent="0.25">
      <c r="A28" s="35">
        <v>19</v>
      </c>
      <c r="B28" s="35"/>
      <c r="C28" s="35" t="s">
        <v>152</v>
      </c>
      <c r="D28" s="111" t="s">
        <v>111</v>
      </c>
      <c r="E28" s="131" t="s">
        <v>133</v>
      </c>
      <c r="F28" s="107" t="s">
        <v>132</v>
      </c>
      <c r="G28" s="107"/>
      <c r="H28" s="107"/>
      <c r="I28" s="107"/>
      <c r="J28" s="107"/>
      <c r="K28" s="107"/>
      <c r="L28" s="108"/>
      <c r="M28" s="107"/>
      <c r="N28" s="108"/>
      <c r="O28" s="107"/>
      <c r="P28" s="107"/>
      <c r="Q28" s="107"/>
      <c r="R28" s="107"/>
      <c r="S28" s="107"/>
      <c r="T28" s="108"/>
      <c r="U28" s="107"/>
      <c r="V28" s="108"/>
      <c r="W28" s="107"/>
      <c r="X28" s="108"/>
      <c r="Y28" s="107"/>
      <c r="Z28" s="108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13">
        <v>50000</v>
      </c>
      <c r="AT28" s="114">
        <v>4.42</v>
      </c>
      <c r="AU28" s="36">
        <f>+AS28*AT28</f>
        <v>221000</v>
      </c>
    </row>
    <row r="29" spans="1:47" ht="25.5" x14ac:dyDescent="0.25">
      <c r="A29" s="35">
        <v>20</v>
      </c>
      <c r="B29" s="35"/>
      <c r="C29" s="35" t="s">
        <v>154</v>
      </c>
      <c r="D29" s="111" t="s">
        <v>111</v>
      </c>
      <c r="E29" s="131" t="s">
        <v>148</v>
      </c>
      <c r="F29" s="107" t="s">
        <v>113</v>
      </c>
      <c r="G29" s="107"/>
      <c r="H29" s="107"/>
      <c r="I29" s="107"/>
      <c r="J29" s="107"/>
      <c r="K29" s="107"/>
      <c r="L29" s="108"/>
      <c r="M29" s="107"/>
      <c r="N29" s="108"/>
      <c r="O29" s="107"/>
      <c r="P29" s="107"/>
      <c r="Q29" s="107"/>
      <c r="R29" s="107"/>
      <c r="S29" s="107"/>
      <c r="T29" s="108"/>
      <c r="U29" s="107"/>
      <c r="V29" s="108"/>
      <c r="W29" s="107"/>
      <c r="X29" s="108"/>
      <c r="Y29" s="107"/>
      <c r="Z29" s="108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13">
        <v>30000</v>
      </c>
      <c r="AT29" s="114">
        <v>35</v>
      </c>
      <c r="AU29" s="36">
        <f>+AS29*AT29</f>
        <v>1050000</v>
      </c>
    </row>
    <row r="30" spans="1:47" x14ac:dyDescent="0.25">
      <c r="A30" s="35">
        <v>21</v>
      </c>
      <c r="B30" s="35"/>
      <c r="C30" s="35" t="s">
        <v>155</v>
      </c>
      <c r="D30" s="106" t="s">
        <v>111</v>
      </c>
      <c r="E30" s="131" t="s">
        <v>149</v>
      </c>
      <c r="F30" s="107" t="s">
        <v>113</v>
      </c>
      <c r="G30" s="107"/>
      <c r="H30" s="107"/>
      <c r="I30" s="107"/>
      <c r="J30" s="107"/>
      <c r="K30" s="107"/>
      <c r="L30" s="108"/>
      <c r="M30" s="107"/>
      <c r="N30" s="108"/>
      <c r="O30" s="107"/>
      <c r="P30" s="107"/>
      <c r="Q30" s="107"/>
      <c r="R30" s="107"/>
      <c r="S30" s="107"/>
      <c r="T30" s="108"/>
      <c r="U30" s="107"/>
      <c r="V30" s="108"/>
      <c r="W30" s="107"/>
      <c r="X30" s="108"/>
      <c r="Y30" s="107"/>
      <c r="Z30" s="108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13">
        <v>500</v>
      </c>
      <c r="AT30" s="114">
        <v>36</v>
      </c>
      <c r="AU30" s="36">
        <f>+AS30*AT30</f>
        <v>18000</v>
      </c>
    </row>
    <row r="31" spans="1:47" x14ac:dyDescent="0.25">
      <c r="A31" s="35">
        <v>22</v>
      </c>
      <c r="B31" s="35"/>
      <c r="C31" s="35" t="s">
        <v>155</v>
      </c>
      <c r="D31" s="106" t="s">
        <v>111</v>
      </c>
      <c r="E31" s="131" t="s">
        <v>118</v>
      </c>
      <c r="F31" s="107" t="s">
        <v>116</v>
      </c>
      <c r="G31" s="107"/>
      <c r="H31" s="107"/>
      <c r="I31" s="107"/>
      <c r="J31" s="107"/>
      <c r="K31" s="107"/>
      <c r="L31" s="108"/>
      <c r="M31" s="107"/>
      <c r="N31" s="108"/>
      <c r="O31" s="107"/>
      <c r="P31" s="107"/>
      <c r="Q31" s="107"/>
      <c r="R31" s="107"/>
      <c r="S31" s="107"/>
      <c r="T31" s="108"/>
      <c r="U31" s="107"/>
      <c r="V31" s="108"/>
      <c r="W31" s="107"/>
      <c r="X31" s="108"/>
      <c r="Y31" s="107"/>
      <c r="Z31" s="108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13">
        <v>1000</v>
      </c>
      <c r="AT31" s="114">
        <v>19</v>
      </c>
      <c r="AU31" s="36">
        <f t="shared" ref="AU31" si="1">+AS31*AT31</f>
        <v>19000</v>
      </c>
    </row>
    <row r="32" spans="1:47" ht="35.25" customHeight="1" x14ac:dyDescent="0.25">
      <c r="A32" s="35">
        <v>23</v>
      </c>
      <c r="B32" s="35"/>
      <c r="C32" s="35" t="s">
        <v>153</v>
      </c>
      <c r="D32" s="111" t="s">
        <v>111</v>
      </c>
      <c r="E32" s="131" t="s">
        <v>126</v>
      </c>
      <c r="F32" s="107" t="s">
        <v>113</v>
      </c>
      <c r="G32" s="107"/>
      <c r="H32" s="107"/>
      <c r="I32" s="107"/>
      <c r="J32" s="107"/>
      <c r="K32" s="107"/>
      <c r="L32" s="108"/>
      <c r="M32" s="107"/>
      <c r="N32" s="108"/>
      <c r="O32" s="107"/>
      <c r="P32" s="107"/>
      <c r="Q32" s="107"/>
      <c r="R32" s="107"/>
      <c r="S32" s="107"/>
      <c r="T32" s="108"/>
      <c r="U32" s="107"/>
      <c r="V32" s="108"/>
      <c r="W32" s="107"/>
      <c r="X32" s="108"/>
      <c r="Y32" s="107"/>
      <c r="Z32" s="108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13">
        <v>100</v>
      </c>
      <c r="AT32" s="114">
        <v>1100</v>
      </c>
      <c r="AU32" s="36">
        <f t="shared" ref="AU32" si="2">+AS32*AT32</f>
        <v>110000</v>
      </c>
    </row>
    <row r="33" spans="1:47" x14ac:dyDescent="0.25">
      <c r="A33" s="35">
        <v>24</v>
      </c>
      <c r="B33" s="35"/>
      <c r="C33" s="35" t="s">
        <v>153</v>
      </c>
      <c r="D33" s="111" t="s">
        <v>111</v>
      </c>
      <c r="E33" s="131" t="s">
        <v>127</v>
      </c>
      <c r="F33" s="107" t="s">
        <v>113</v>
      </c>
      <c r="G33" s="107"/>
      <c r="H33" s="107"/>
      <c r="I33" s="107"/>
      <c r="J33" s="107"/>
      <c r="K33" s="107"/>
      <c r="L33" s="108"/>
      <c r="M33" s="107"/>
      <c r="N33" s="108"/>
      <c r="O33" s="107"/>
      <c r="P33" s="107"/>
      <c r="Q33" s="107"/>
      <c r="R33" s="107"/>
      <c r="S33" s="107"/>
      <c r="T33" s="108"/>
      <c r="U33" s="107"/>
      <c r="V33" s="108"/>
      <c r="W33" s="107"/>
      <c r="X33" s="108"/>
      <c r="Y33" s="107"/>
      <c r="Z33" s="108"/>
      <c r="AA33" s="107"/>
      <c r="AB33" s="107"/>
      <c r="AC33" s="107"/>
      <c r="AD33" s="107"/>
      <c r="AE33" s="107"/>
      <c r="AF33" s="107"/>
      <c r="AG33" s="107"/>
      <c r="AH33" s="107"/>
      <c r="AI33" s="107"/>
      <c r="AJ33" s="107"/>
      <c r="AK33" s="107"/>
      <c r="AL33" s="107"/>
      <c r="AM33" s="107"/>
      <c r="AN33" s="107"/>
      <c r="AO33" s="107"/>
      <c r="AP33" s="107"/>
      <c r="AQ33" s="107"/>
      <c r="AR33" s="107"/>
      <c r="AS33" s="113">
        <v>4000</v>
      </c>
      <c r="AT33" s="114">
        <v>415.15</v>
      </c>
      <c r="AU33" s="36">
        <f>+AS33*AT33</f>
        <v>1660600</v>
      </c>
    </row>
    <row r="34" spans="1:47" x14ac:dyDescent="0.25">
      <c r="A34" s="35">
        <v>25</v>
      </c>
      <c r="B34" s="35"/>
      <c r="C34" s="35" t="s">
        <v>154</v>
      </c>
      <c r="D34" s="111" t="s">
        <v>111</v>
      </c>
      <c r="E34" s="131" t="s">
        <v>137</v>
      </c>
      <c r="F34" s="107" t="s">
        <v>113</v>
      </c>
      <c r="G34" s="107"/>
      <c r="H34" s="107"/>
      <c r="I34" s="107"/>
      <c r="J34" s="107"/>
      <c r="K34" s="107"/>
      <c r="L34" s="108"/>
      <c r="M34" s="107"/>
      <c r="N34" s="108"/>
      <c r="O34" s="107"/>
      <c r="P34" s="107"/>
      <c r="Q34" s="107"/>
      <c r="R34" s="107"/>
      <c r="S34" s="107"/>
      <c r="T34" s="108"/>
      <c r="U34" s="107"/>
      <c r="V34" s="108"/>
      <c r="W34" s="107"/>
      <c r="X34" s="108"/>
      <c r="Y34" s="107"/>
      <c r="Z34" s="108"/>
      <c r="AA34" s="107"/>
      <c r="AB34" s="107"/>
      <c r="AC34" s="107"/>
      <c r="AD34" s="107"/>
      <c r="AE34" s="107"/>
      <c r="AF34" s="107"/>
      <c r="AG34" s="107"/>
      <c r="AH34" s="107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13">
        <v>10000</v>
      </c>
      <c r="AT34" s="114">
        <v>42</v>
      </c>
      <c r="AU34" s="36">
        <f>+AS34*AT34</f>
        <v>420000</v>
      </c>
    </row>
    <row r="35" spans="1:47" x14ac:dyDescent="0.25">
      <c r="A35" s="35">
        <v>26</v>
      </c>
      <c r="B35" s="35"/>
      <c r="C35" s="35" t="s">
        <v>154</v>
      </c>
      <c r="D35" s="111" t="s">
        <v>111</v>
      </c>
      <c r="E35" s="131" t="s">
        <v>138</v>
      </c>
      <c r="F35" s="107" t="s">
        <v>132</v>
      </c>
      <c r="G35" s="107"/>
      <c r="H35" s="107"/>
      <c r="I35" s="107"/>
      <c r="J35" s="107"/>
      <c r="K35" s="107"/>
      <c r="L35" s="108"/>
      <c r="M35" s="107"/>
      <c r="N35" s="108"/>
      <c r="O35" s="107"/>
      <c r="P35" s="107"/>
      <c r="Q35" s="107"/>
      <c r="R35" s="107"/>
      <c r="S35" s="107"/>
      <c r="T35" s="108"/>
      <c r="U35" s="107"/>
      <c r="V35" s="108"/>
      <c r="W35" s="107"/>
      <c r="X35" s="108"/>
      <c r="Y35" s="107"/>
      <c r="Z35" s="108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13">
        <v>3000</v>
      </c>
      <c r="AT35" s="114">
        <v>98</v>
      </c>
      <c r="AU35" s="36">
        <f t="shared" ref="AU35" si="3">+AS35*AT35</f>
        <v>294000</v>
      </c>
    </row>
    <row r="36" spans="1:47" ht="25.5" x14ac:dyDescent="0.25">
      <c r="A36" s="35">
        <v>27</v>
      </c>
      <c r="B36" s="35"/>
      <c r="C36" s="35" t="s">
        <v>157</v>
      </c>
      <c r="D36" s="111" t="s">
        <v>111</v>
      </c>
      <c r="E36" s="131" t="s">
        <v>131</v>
      </c>
      <c r="F36" s="107" t="s">
        <v>132</v>
      </c>
      <c r="G36" s="107"/>
      <c r="H36" s="107"/>
      <c r="I36" s="107"/>
      <c r="J36" s="107"/>
      <c r="K36" s="107"/>
      <c r="L36" s="108"/>
      <c r="M36" s="107"/>
      <c r="N36" s="108"/>
      <c r="O36" s="107"/>
      <c r="P36" s="107"/>
      <c r="Q36" s="107"/>
      <c r="R36" s="107"/>
      <c r="S36" s="107"/>
      <c r="T36" s="108"/>
      <c r="U36" s="107"/>
      <c r="V36" s="108"/>
      <c r="W36" s="107"/>
      <c r="X36" s="108"/>
      <c r="Y36" s="107"/>
      <c r="Z36" s="108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13">
        <v>10000</v>
      </c>
      <c r="AT36" s="114">
        <v>67</v>
      </c>
      <c r="AU36" s="36">
        <f>+AS36*AT36</f>
        <v>670000</v>
      </c>
    </row>
    <row r="37" spans="1:47" ht="38.25" x14ac:dyDescent="0.25">
      <c r="A37" s="35">
        <v>28</v>
      </c>
      <c r="B37" s="35"/>
      <c r="C37" s="35" t="s">
        <v>157</v>
      </c>
      <c r="D37" s="112" t="s">
        <v>111</v>
      </c>
      <c r="E37" s="131" t="s">
        <v>150</v>
      </c>
      <c r="F37" s="115" t="s">
        <v>132</v>
      </c>
      <c r="G37" s="107"/>
      <c r="H37" s="107"/>
      <c r="I37" s="107"/>
      <c r="J37" s="107"/>
      <c r="K37" s="107"/>
      <c r="L37" s="108"/>
      <c r="M37" s="107"/>
      <c r="N37" s="108"/>
      <c r="O37" s="107"/>
      <c r="P37" s="107"/>
      <c r="Q37" s="107"/>
      <c r="R37" s="107"/>
      <c r="S37" s="107"/>
      <c r="T37" s="108"/>
      <c r="U37" s="107"/>
      <c r="V37" s="108"/>
      <c r="W37" s="107"/>
      <c r="X37" s="108"/>
      <c r="Y37" s="107"/>
      <c r="Z37" s="108"/>
      <c r="AA37" s="107"/>
      <c r="AB37" s="107"/>
      <c r="AC37" s="107"/>
      <c r="AD37" s="107"/>
      <c r="AE37" s="107"/>
      <c r="AF37" s="107"/>
      <c r="AG37" s="107"/>
      <c r="AH37" s="107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16">
        <v>50000</v>
      </c>
      <c r="AT37" s="117">
        <v>80</v>
      </c>
      <c r="AU37" s="36">
        <f>+AS37*AT37</f>
        <v>4000000</v>
      </c>
    </row>
    <row r="38" spans="1:47" x14ac:dyDescent="0.25">
      <c r="A38" s="35">
        <v>29</v>
      </c>
      <c r="B38" s="35"/>
      <c r="C38" s="35" t="s">
        <v>153</v>
      </c>
      <c r="D38" s="111" t="s">
        <v>111</v>
      </c>
      <c r="E38" s="131" t="s">
        <v>128</v>
      </c>
      <c r="F38" s="107" t="s">
        <v>113</v>
      </c>
      <c r="G38" s="107"/>
      <c r="H38" s="107"/>
      <c r="I38" s="107"/>
      <c r="J38" s="107"/>
      <c r="K38" s="107"/>
      <c r="L38" s="108"/>
      <c r="M38" s="107"/>
      <c r="N38" s="108"/>
      <c r="O38" s="107"/>
      <c r="P38" s="107"/>
      <c r="Q38" s="107"/>
      <c r="R38" s="107"/>
      <c r="S38" s="107"/>
      <c r="T38" s="108"/>
      <c r="U38" s="107"/>
      <c r="V38" s="108"/>
      <c r="W38" s="107"/>
      <c r="X38" s="108"/>
      <c r="Y38" s="107"/>
      <c r="Z38" s="108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13">
        <v>1000</v>
      </c>
      <c r="AT38" s="114">
        <v>587</v>
      </c>
      <c r="AU38" s="36">
        <f t="shared" ref="AU38:AU39" si="4">+AS38*AT38</f>
        <v>587000</v>
      </c>
    </row>
    <row r="39" spans="1:47" x14ac:dyDescent="0.25">
      <c r="A39" s="35">
        <v>30</v>
      </c>
      <c r="B39" s="35"/>
      <c r="C39" s="35" t="s">
        <v>153</v>
      </c>
      <c r="D39" s="111" t="s">
        <v>111</v>
      </c>
      <c r="E39" s="131" t="s">
        <v>129</v>
      </c>
      <c r="F39" s="107" t="s">
        <v>113</v>
      </c>
      <c r="G39" s="107"/>
      <c r="H39" s="107"/>
      <c r="I39" s="107"/>
      <c r="J39" s="107"/>
      <c r="K39" s="107"/>
      <c r="L39" s="108"/>
      <c r="M39" s="107"/>
      <c r="N39" s="108"/>
      <c r="O39" s="107"/>
      <c r="P39" s="107"/>
      <c r="Q39" s="107"/>
      <c r="R39" s="107"/>
      <c r="S39" s="107"/>
      <c r="T39" s="108"/>
      <c r="U39" s="107"/>
      <c r="V39" s="108"/>
      <c r="W39" s="107"/>
      <c r="X39" s="108"/>
      <c r="Y39" s="107"/>
      <c r="Z39" s="108"/>
      <c r="AA39" s="107"/>
      <c r="AB39" s="107"/>
      <c r="AC39" s="107"/>
      <c r="AD39" s="107"/>
      <c r="AE39" s="107"/>
      <c r="AF39" s="107"/>
      <c r="AG39" s="107"/>
      <c r="AH39" s="107"/>
      <c r="AI39" s="107"/>
      <c r="AJ39" s="107"/>
      <c r="AK39" s="107"/>
      <c r="AL39" s="107"/>
      <c r="AM39" s="107"/>
      <c r="AN39" s="107"/>
      <c r="AO39" s="107"/>
      <c r="AP39" s="107"/>
      <c r="AQ39" s="107"/>
      <c r="AR39" s="107"/>
      <c r="AS39" s="113">
        <v>300</v>
      </c>
      <c r="AT39" s="114">
        <v>975</v>
      </c>
      <c r="AU39" s="36">
        <f t="shared" si="4"/>
        <v>292500</v>
      </c>
    </row>
    <row r="40" spans="1:47" ht="15.75" thickBot="1" x14ac:dyDescent="0.3">
      <c r="A40" s="35">
        <v>31</v>
      </c>
      <c r="B40" s="35"/>
      <c r="C40" s="35" t="s">
        <v>152</v>
      </c>
      <c r="D40" s="111" t="s">
        <v>111</v>
      </c>
      <c r="E40" s="131" t="s">
        <v>134</v>
      </c>
      <c r="F40" s="107" t="s">
        <v>132</v>
      </c>
      <c r="G40" s="107"/>
      <c r="H40" s="107"/>
      <c r="I40" s="107"/>
      <c r="J40" s="107"/>
      <c r="K40" s="107"/>
      <c r="L40" s="108"/>
      <c r="M40" s="107"/>
      <c r="N40" s="108"/>
      <c r="O40" s="107"/>
      <c r="P40" s="107"/>
      <c r="Q40" s="107"/>
      <c r="R40" s="107"/>
      <c r="S40" s="107"/>
      <c r="T40" s="108"/>
      <c r="U40" s="107"/>
      <c r="V40" s="108"/>
      <c r="W40" s="107"/>
      <c r="X40" s="108"/>
      <c r="Y40" s="107"/>
      <c r="Z40" s="108"/>
      <c r="AA40" s="107"/>
      <c r="AB40" s="107"/>
      <c r="AC40" s="107"/>
      <c r="AD40" s="107"/>
      <c r="AE40" s="107"/>
      <c r="AF40" s="107"/>
      <c r="AG40" s="107"/>
      <c r="AH40" s="107"/>
      <c r="AI40" s="107"/>
      <c r="AJ40" s="107"/>
      <c r="AK40" s="107"/>
      <c r="AL40" s="107"/>
      <c r="AM40" s="107"/>
      <c r="AN40" s="107"/>
      <c r="AO40" s="107"/>
      <c r="AP40" s="107"/>
      <c r="AQ40" s="107"/>
      <c r="AR40" s="107"/>
      <c r="AS40" s="113">
        <v>1000</v>
      </c>
      <c r="AT40" s="114">
        <v>35</v>
      </c>
      <c r="AU40" s="36">
        <f t="shared" ref="AU40" si="5">+AS40*AT40</f>
        <v>35000</v>
      </c>
    </row>
    <row r="41" spans="1:47" ht="15.75" thickBot="1" x14ac:dyDescent="0.3">
      <c r="A41" s="50"/>
      <c r="B41" s="44"/>
      <c r="C41" s="33"/>
      <c r="D41" s="33"/>
      <c r="E41" s="132" t="s">
        <v>108</v>
      </c>
      <c r="F41" s="33"/>
      <c r="G41" s="33"/>
      <c r="H41" s="33"/>
      <c r="I41" s="33"/>
      <c r="J41" s="33"/>
      <c r="K41" s="33"/>
      <c r="L41" s="38">
        <f>+SUM(L14:L27)</f>
        <v>0</v>
      </c>
      <c r="M41" s="38"/>
      <c r="N41" s="38">
        <f>+SUM(N14:N27)</f>
        <v>0</v>
      </c>
      <c r="O41" s="38"/>
      <c r="P41" s="38">
        <f>+SUM(P14:P27)</f>
        <v>0</v>
      </c>
      <c r="Q41" s="38"/>
      <c r="R41" s="38">
        <f>+SUM(R14:R27)</f>
        <v>0</v>
      </c>
      <c r="S41" s="38"/>
      <c r="T41" s="38">
        <f>+SUM(T14:T27)</f>
        <v>0</v>
      </c>
      <c r="U41" s="38"/>
      <c r="V41" s="38">
        <f>+SUM(V14:V27)</f>
        <v>0</v>
      </c>
      <c r="W41" s="38"/>
      <c r="X41" s="38">
        <f>+SUM(X14:X27)</f>
        <v>0</v>
      </c>
      <c r="Y41" s="38"/>
      <c r="Z41" s="38">
        <f>+SUM(Z14:Z27)</f>
        <v>0</v>
      </c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4"/>
      <c r="AT41" s="38"/>
      <c r="AU41" s="37">
        <f>SUM(AU10:AU40)</f>
        <v>17460326.300000001</v>
      </c>
    </row>
    <row r="42" spans="1:47" s="49" customFormat="1" x14ac:dyDescent="0.25">
      <c r="A42" s="45"/>
      <c r="B42" s="45"/>
      <c r="C42" s="45"/>
      <c r="D42" s="45"/>
      <c r="E42" s="46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7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8"/>
      <c r="AT42" s="47"/>
      <c r="AU42" s="47"/>
    </row>
    <row r="43" spans="1:47" s="49" customFormat="1" ht="143.25" customHeight="1" x14ac:dyDescent="0.25">
      <c r="A43" s="45"/>
      <c r="B43" s="45"/>
      <c r="C43" s="120" t="s">
        <v>99</v>
      </c>
      <c r="D43" s="138" t="s">
        <v>100</v>
      </c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  <c r="AE43" s="138"/>
      <c r="AF43" s="138"/>
      <c r="AG43" s="138"/>
      <c r="AH43" s="138"/>
      <c r="AI43" s="138"/>
      <c r="AJ43" s="138"/>
      <c r="AK43" s="138"/>
      <c r="AL43" s="138"/>
      <c r="AM43" s="138"/>
      <c r="AN43" s="138"/>
      <c r="AO43" s="138"/>
      <c r="AP43" s="138"/>
      <c r="AQ43" s="138"/>
      <c r="AR43" s="138"/>
      <c r="AS43" s="138"/>
      <c r="AT43" s="139"/>
      <c r="AU43" s="47"/>
    </row>
    <row r="44" spans="1:47" s="49" customFormat="1" x14ac:dyDescent="0.25">
      <c r="A44" s="45"/>
      <c r="B44" s="45"/>
      <c r="C44" s="121"/>
      <c r="D44" s="105"/>
      <c r="E44" s="46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7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8"/>
      <c r="AT44" s="122"/>
      <c r="AU44" s="47"/>
    </row>
    <row r="45" spans="1:47" s="49" customFormat="1" x14ac:dyDescent="0.25">
      <c r="A45" s="45"/>
      <c r="B45" s="45"/>
      <c r="C45" s="123" t="s">
        <v>101</v>
      </c>
      <c r="D45" s="133" t="s">
        <v>102</v>
      </c>
      <c r="E45" s="133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7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8"/>
      <c r="AT45" s="122"/>
      <c r="AU45" s="47"/>
    </row>
    <row r="46" spans="1:47" s="49" customFormat="1" x14ac:dyDescent="0.25">
      <c r="A46" s="45"/>
      <c r="B46" s="45"/>
      <c r="C46" s="123"/>
      <c r="D46" s="104"/>
      <c r="E46" s="46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7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8"/>
      <c r="AT46" s="122"/>
      <c r="AU46" s="47"/>
    </row>
    <row r="47" spans="1:47" s="49" customFormat="1" ht="34.5" customHeight="1" x14ac:dyDescent="0.25">
      <c r="A47" s="45"/>
      <c r="B47" s="45"/>
      <c r="C47" s="123" t="s">
        <v>103</v>
      </c>
      <c r="D47" s="140" t="s">
        <v>104</v>
      </c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0"/>
      <c r="AK47" s="140"/>
      <c r="AL47" s="140"/>
      <c r="AM47" s="140"/>
      <c r="AN47" s="140"/>
      <c r="AO47" s="140"/>
      <c r="AP47" s="140"/>
      <c r="AQ47" s="140"/>
      <c r="AR47" s="140"/>
      <c r="AS47" s="140"/>
      <c r="AT47" s="141"/>
      <c r="AU47" s="47"/>
    </row>
    <row r="48" spans="1:47" s="49" customFormat="1" x14ac:dyDescent="0.25">
      <c r="A48" s="45"/>
      <c r="B48" s="45"/>
      <c r="C48" s="123"/>
      <c r="D48" s="133"/>
      <c r="E48" s="133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7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8"/>
      <c r="AT48" s="122"/>
      <c r="AU48" s="47"/>
    </row>
    <row r="49" spans="1:47" s="49" customFormat="1" x14ac:dyDescent="0.25">
      <c r="A49" s="45"/>
      <c r="B49" s="45"/>
      <c r="C49" s="123"/>
      <c r="D49" s="133"/>
      <c r="E49" s="133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7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8"/>
      <c r="AT49" s="122"/>
      <c r="AU49" s="47"/>
    </row>
    <row r="50" spans="1:47" s="49" customFormat="1" x14ac:dyDescent="0.25">
      <c r="A50" s="45"/>
      <c r="B50" s="45"/>
      <c r="C50" s="123"/>
      <c r="D50" s="133"/>
      <c r="E50" s="133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7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8"/>
      <c r="AT50" s="122"/>
      <c r="AU50" s="47"/>
    </row>
    <row r="51" spans="1:47" s="49" customFormat="1" x14ac:dyDescent="0.25">
      <c r="A51" s="45"/>
      <c r="B51" s="45"/>
      <c r="C51" s="123"/>
      <c r="D51" s="133"/>
      <c r="E51" s="133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7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8"/>
      <c r="AT51" s="122"/>
      <c r="AU51" s="47"/>
    </row>
    <row r="52" spans="1:47" s="49" customFormat="1" x14ac:dyDescent="0.25">
      <c r="A52" s="45"/>
      <c r="B52" s="45"/>
      <c r="C52" s="123"/>
      <c r="D52" s="104"/>
      <c r="E52" s="46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8"/>
      <c r="AT52" s="122"/>
      <c r="AU52" s="47"/>
    </row>
    <row r="53" spans="1:47" s="49" customFormat="1" x14ac:dyDescent="0.25">
      <c r="A53" s="45"/>
      <c r="B53" s="45"/>
      <c r="C53" s="124" t="s">
        <v>105</v>
      </c>
      <c r="D53" s="99"/>
      <c r="E53" s="46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8"/>
      <c r="AT53" s="122"/>
      <c r="AU53" s="47"/>
    </row>
    <row r="54" spans="1:47" s="49" customFormat="1" x14ac:dyDescent="0.25">
      <c r="A54" s="45"/>
      <c r="B54" s="45"/>
      <c r="C54" s="124"/>
      <c r="D54" s="99"/>
      <c r="E54" s="46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8"/>
      <c r="AT54" s="122"/>
      <c r="AU54" s="47"/>
    </row>
    <row r="55" spans="1:47" s="49" customFormat="1" x14ac:dyDescent="0.25">
      <c r="A55" s="45"/>
      <c r="B55" s="45"/>
      <c r="C55" s="125" t="s">
        <v>106</v>
      </c>
      <c r="D55" s="126" t="s">
        <v>107</v>
      </c>
      <c r="E55" s="127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9"/>
      <c r="AT55" s="130"/>
      <c r="AU55" s="47"/>
    </row>
    <row r="56" spans="1:47" s="49" customFormat="1" x14ac:dyDescent="0.25">
      <c r="A56" s="45"/>
      <c r="B56" s="45"/>
      <c r="C56" s="45"/>
      <c r="D56" s="45"/>
      <c r="E56" s="46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8"/>
      <c r="AT56" s="47"/>
      <c r="AU56" s="47"/>
    </row>
    <row r="57" spans="1:47" s="49" customFormat="1" x14ac:dyDescent="0.25">
      <c r="A57" s="45"/>
      <c r="B57" s="45"/>
      <c r="C57" s="45"/>
      <c r="D57" s="45"/>
      <c r="E57" s="46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8"/>
      <c r="AT57" s="47"/>
      <c r="AU57" s="47"/>
    </row>
    <row r="58" spans="1:47" s="49" customFormat="1" x14ac:dyDescent="0.25">
      <c r="A58" s="45"/>
      <c r="B58" s="45"/>
      <c r="C58" s="45"/>
      <c r="D58" s="45"/>
      <c r="E58" s="46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8"/>
      <c r="AT58" s="47"/>
      <c r="AU58" s="47"/>
    </row>
    <row r="59" spans="1:47" s="49" customFormat="1" x14ac:dyDescent="0.25">
      <c r="A59" s="45"/>
      <c r="B59" s="45"/>
      <c r="C59" s="45"/>
      <c r="D59" s="45"/>
      <c r="E59" s="46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8"/>
      <c r="AT59" s="47"/>
      <c r="AU59" s="47"/>
    </row>
    <row r="60" spans="1:47" s="49" customFormat="1" x14ac:dyDescent="0.25">
      <c r="A60" s="45"/>
      <c r="B60" s="45"/>
      <c r="C60" s="45"/>
      <c r="D60" s="45"/>
      <c r="E60" s="46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8"/>
      <c r="AT60" s="47"/>
      <c r="AU60" s="47"/>
    </row>
    <row r="61" spans="1:47" s="49" customFormat="1" x14ac:dyDescent="0.25">
      <c r="A61" s="45"/>
      <c r="B61" s="45"/>
      <c r="C61" s="45"/>
      <c r="D61" s="45"/>
      <c r="E61" s="46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8"/>
      <c r="AT61" s="47"/>
      <c r="AU61" s="47"/>
    </row>
    <row r="62" spans="1:47" s="49" customFormat="1" x14ac:dyDescent="0.25">
      <c r="A62" s="45"/>
      <c r="B62" s="45"/>
      <c r="C62" s="45"/>
      <c r="D62" s="45"/>
      <c r="E62" s="46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8"/>
      <c r="AT62" s="47"/>
      <c r="AU62" s="47"/>
    </row>
    <row r="63" spans="1:47" s="49" customFormat="1" x14ac:dyDescent="0.25">
      <c r="A63" s="45"/>
      <c r="B63" s="45"/>
      <c r="C63" s="45"/>
      <c r="D63" s="45"/>
      <c r="E63" s="46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8"/>
      <c r="AT63" s="47"/>
      <c r="AU63" s="47"/>
    </row>
    <row r="64" spans="1:47" s="49" customFormat="1" x14ac:dyDescent="0.25">
      <c r="A64" s="45"/>
      <c r="B64" s="45"/>
      <c r="C64" s="45"/>
      <c r="D64" s="45"/>
      <c r="E64" s="46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8"/>
      <c r="AT64" s="47"/>
      <c r="AU64" s="47"/>
    </row>
    <row r="65" spans="1:47" s="49" customFormat="1" x14ac:dyDescent="0.25">
      <c r="A65" s="45"/>
      <c r="B65" s="45"/>
      <c r="C65" s="45"/>
      <c r="D65" s="45"/>
      <c r="E65" s="46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8"/>
      <c r="AT65" s="47"/>
      <c r="AU65" s="47"/>
    </row>
    <row r="66" spans="1:47" s="49" customFormat="1" x14ac:dyDescent="0.25">
      <c r="A66" s="45"/>
      <c r="B66" s="45"/>
      <c r="C66" s="45"/>
      <c r="D66" s="45"/>
      <c r="E66" s="46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8"/>
      <c r="AT66" s="47"/>
      <c r="AU66" s="47"/>
    </row>
    <row r="67" spans="1:47" s="49" customFormat="1" x14ac:dyDescent="0.25">
      <c r="A67" s="45"/>
      <c r="B67" s="45"/>
      <c r="C67" s="45"/>
      <c r="D67" s="45"/>
      <c r="E67" s="46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8"/>
      <c r="AT67" s="47"/>
      <c r="AU67" s="47"/>
    </row>
    <row r="68" spans="1:47" s="49" customFormat="1" x14ac:dyDescent="0.25">
      <c r="A68" s="45"/>
      <c r="B68" s="45"/>
      <c r="C68" s="45"/>
      <c r="D68" s="45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8"/>
      <c r="AT68" s="47"/>
      <c r="AU68" s="47"/>
    </row>
    <row r="69" spans="1:47" s="49" customFormat="1" x14ac:dyDescent="0.25">
      <c r="A69" s="45"/>
      <c r="B69" s="45"/>
      <c r="C69" s="45"/>
      <c r="D69" s="45"/>
      <c r="E69" s="46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8"/>
      <c r="AT69" s="47"/>
      <c r="AU69" s="47"/>
    </row>
    <row r="70" spans="1:47" s="49" customFormat="1" x14ac:dyDescent="0.25">
      <c r="A70" s="45"/>
      <c r="B70" s="45"/>
      <c r="C70" s="45"/>
      <c r="D70" s="45"/>
      <c r="E70" s="46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8"/>
      <c r="AT70" s="47"/>
      <c r="AU70" s="47"/>
    </row>
    <row r="71" spans="1:47" s="49" customFormat="1" x14ac:dyDescent="0.25">
      <c r="A71" s="45"/>
      <c r="B71" s="45"/>
      <c r="C71" s="45"/>
      <c r="D71" s="45"/>
      <c r="E71" s="46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8"/>
      <c r="AT71" s="47"/>
      <c r="AU71" s="47"/>
    </row>
    <row r="72" spans="1:47" s="49" customFormat="1" x14ac:dyDescent="0.25">
      <c r="A72" s="45"/>
      <c r="B72" s="45"/>
      <c r="C72" s="45"/>
      <c r="D72" s="45"/>
      <c r="E72" s="46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8"/>
      <c r="AT72" s="47"/>
      <c r="AU72" s="47"/>
    </row>
    <row r="73" spans="1:47" s="49" customFormat="1" x14ac:dyDescent="0.25">
      <c r="A73" s="45"/>
      <c r="B73" s="45"/>
      <c r="C73" s="45"/>
      <c r="D73" s="45"/>
      <c r="E73" s="46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8"/>
      <c r="AT73" s="47"/>
      <c r="AU73" s="47"/>
    </row>
    <row r="74" spans="1:47" s="49" customFormat="1" x14ac:dyDescent="0.25">
      <c r="A74" s="45"/>
      <c r="B74" s="45"/>
      <c r="C74" s="45"/>
      <c r="D74" s="45"/>
      <c r="E74" s="46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8"/>
      <c r="AT74" s="47"/>
      <c r="AU74" s="47"/>
    </row>
    <row r="75" spans="1:47" s="49" customFormat="1" x14ac:dyDescent="0.25">
      <c r="A75" s="45"/>
      <c r="B75" s="45"/>
      <c r="C75" s="45"/>
      <c r="D75" s="45"/>
      <c r="E75" s="46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8"/>
      <c r="AT75" s="47"/>
      <c r="AU75" s="47"/>
    </row>
    <row r="76" spans="1:47" s="49" customFormat="1" x14ac:dyDescent="0.25">
      <c r="A76" s="45"/>
      <c r="B76" s="45"/>
      <c r="C76" s="45"/>
      <c r="D76" s="45"/>
      <c r="E76" s="46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8"/>
      <c r="AT76" s="47"/>
      <c r="AU76" s="47"/>
    </row>
    <row r="77" spans="1:47" s="49" customFormat="1" x14ac:dyDescent="0.25">
      <c r="A77" s="45"/>
      <c r="B77" s="45"/>
      <c r="C77" s="45"/>
      <c r="D77" s="45"/>
      <c r="E77" s="46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8"/>
      <c r="AT77" s="47"/>
      <c r="AU77" s="47"/>
    </row>
    <row r="78" spans="1:47" s="49" customFormat="1" x14ac:dyDescent="0.25">
      <c r="A78" s="45"/>
      <c r="B78" s="45"/>
      <c r="C78" s="45"/>
      <c r="D78" s="45"/>
      <c r="E78" s="46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8"/>
      <c r="AT78" s="47"/>
      <c r="AU78" s="47"/>
    </row>
    <row r="79" spans="1:47" s="49" customFormat="1" x14ac:dyDescent="0.25">
      <c r="A79" s="45"/>
      <c r="B79" s="45"/>
      <c r="C79" s="45"/>
      <c r="D79" s="45"/>
      <c r="E79" s="46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8"/>
      <c r="AT79" s="47"/>
      <c r="AU79" s="47"/>
    </row>
    <row r="80" spans="1:47" s="49" customFormat="1" x14ac:dyDescent="0.25">
      <c r="A80" s="45"/>
      <c r="B80" s="45"/>
      <c r="C80" s="45"/>
      <c r="D80" s="45"/>
      <c r="E80" s="46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8"/>
      <c r="AT80" s="47"/>
      <c r="AU80" s="47"/>
    </row>
    <row r="81" spans="1:47" s="49" customFormat="1" x14ac:dyDescent="0.25">
      <c r="A81" s="45"/>
      <c r="B81" s="45"/>
      <c r="C81" s="45"/>
      <c r="D81" s="45"/>
      <c r="E81" s="46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8"/>
      <c r="AT81" s="47"/>
      <c r="AU81" s="47"/>
    </row>
    <row r="82" spans="1:47" s="49" customFormat="1" x14ac:dyDescent="0.25">
      <c r="A82" s="45"/>
      <c r="B82" s="45"/>
      <c r="C82" s="45"/>
      <c r="D82" s="45"/>
      <c r="E82" s="46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8"/>
      <c r="AT82" s="47"/>
      <c r="AU82" s="47"/>
    </row>
    <row r="83" spans="1:47" s="49" customFormat="1" x14ac:dyDescent="0.25">
      <c r="A83" s="45"/>
      <c r="B83" s="45"/>
      <c r="C83" s="45"/>
      <c r="D83" s="45"/>
      <c r="E83" s="46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8"/>
      <c r="AT83" s="47"/>
      <c r="AU83" s="47"/>
    </row>
    <row r="84" spans="1:47" s="49" customFormat="1" x14ac:dyDescent="0.25">
      <c r="A84" s="45"/>
      <c r="B84" s="45"/>
      <c r="C84" s="45"/>
      <c r="D84" s="45"/>
      <c r="E84" s="46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8"/>
      <c r="AT84" s="47"/>
      <c r="AU84" s="47"/>
    </row>
    <row r="85" spans="1:47" s="49" customFormat="1" x14ac:dyDescent="0.25">
      <c r="A85" s="45"/>
      <c r="B85" s="45"/>
      <c r="C85" s="45"/>
      <c r="D85" s="45"/>
      <c r="E85" s="46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8"/>
      <c r="AT85" s="47"/>
      <c r="AU85" s="47"/>
    </row>
    <row r="86" spans="1:47" s="49" customFormat="1" x14ac:dyDescent="0.25">
      <c r="A86" s="45"/>
      <c r="B86" s="45"/>
      <c r="C86" s="45"/>
      <c r="D86" s="45"/>
      <c r="E86" s="46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8"/>
      <c r="AT86" s="47"/>
      <c r="AU86" s="47"/>
    </row>
    <row r="87" spans="1:47" s="49" customFormat="1" x14ac:dyDescent="0.25">
      <c r="A87" s="45"/>
      <c r="B87" s="45"/>
      <c r="C87" s="45"/>
      <c r="D87" s="45"/>
      <c r="E87" s="46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8"/>
      <c r="AT87" s="47"/>
      <c r="AU87" s="47"/>
    </row>
    <row r="88" spans="1:47" s="49" customFormat="1" x14ac:dyDescent="0.25">
      <c r="A88" s="45"/>
      <c r="B88" s="45"/>
      <c r="C88" s="45"/>
      <c r="D88" s="45"/>
      <c r="E88" s="46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8"/>
      <c r="AT88" s="47"/>
      <c r="AU88" s="47"/>
    </row>
    <row r="89" spans="1:47" s="49" customFormat="1" x14ac:dyDescent="0.25">
      <c r="A89" s="45"/>
      <c r="B89" s="45"/>
      <c r="C89" s="45"/>
      <c r="D89" s="45"/>
      <c r="E89" s="46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8"/>
      <c r="AT89" s="47"/>
      <c r="AU89" s="47"/>
    </row>
    <row r="90" spans="1:47" s="49" customFormat="1" x14ac:dyDescent="0.25">
      <c r="A90" s="45"/>
      <c r="B90" s="45"/>
      <c r="C90" s="45"/>
      <c r="D90" s="45"/>
      <c r="E90" s="46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8"/>
      <c r="AT90" s="47"/>
      <c r="AU90" s="47"/>
    </row>
    <row r="91" spans="1:47" s="49" customFormat="1" x14ac:dyDescent="0.25">
      <c r="A91" s="45"/>
      <c r="B91" s="45"/>
      <c r="C91" s="45"/>
      <c r="D91" s="45"/>
      <c r="E91" s="46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8"/>
      <c r="AT91" s="47"/>
      <c r="AU91" s="47"/>
    </row>
    <row r="92" spans="1:47" s="49" customFormat="1" x14ac:dyDescent="0.25">
      <c r="A92" s="45"/>
      <c r="B92" s="45"/>
      <c r="C92" s="45"/>
      <c r="D92" s="45"/>
      <c r="E92" s="46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8"/>
      <c r="AT92" s="47"/>
      <c r="AU92" s="47"/>
    </row>
    <row r="93" spans="1:47" s="49" customFormat="1" x14ac:dyDescent="0.25">
      <c r="A93" s="45"/>
      <c r="B93" s="45"/>
      <c r="C93" s="45"/>
      <c r="D93" s="45"/>
      <c r="E93" s="46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8"/>
      <c r="AT93" s="47"/>
      <c r="AU93" s="47"/>
    </row>
    <row r="94" spans="1:47" x14ac:dyDescent="0.25">
      <c r="A94" s="39"/>
      <c r="B94" s="39"/>
      <c r="C94" s="39"/>
      <c r="D94" s="39"/>
      <c r="E94" s="40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42"/>
      <c r="AT94" s="41"/>
      <c r="AU94" s="41"/>
    </row>
    <row r="95" spans="1:47" x14ac:dyDescent="0.25">
      <c r="A95" s="39"/>
      <c r="B95" s="39"/>
      <c r="C95" s="39"/>
      <c r="D95" s="39"/>
      <c r="E95" s="40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42"/>
      <c r="AT95" s="41"/>
      <c r="AU95" s="41"/>
    </row>
    <row r="96" spans="1:47" x14ac:dyDescent="0.25">
      <c r="A96" s="39"/>
      <c r="B96" s="39"/>
      <c r="C96" s="39"/>
      <c r="D96" s="39"/>
      <c r="E96" s="40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42"/>
      <c r="AT96" s="41"/>
      <c r="AU96" s="41"/>
    </row>
    <row r="97" spans="1:47" x14ac:dyDescent="0.25">
      <c r="A97" s="39"/>
      <c r="B97" s="39"/>
      <c r="C97" s="39"/>
      <c r="D97" s="39"/>
      <c r="E97" s="40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42"/>
      <c r="AT97" s="41"/>
      <c r="AU97" s="41"/>
    </row>
    <row r="98" spans="1:47" x14ac:dyDescent="0.25">
      <c r="A98" s="39"/>
      <c r="B98" s="39"/>
      <c r="C98" s="39"/>
      <c r="D98" s="39"/>
      <c r="E98" s="40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42"/>
      <c r="AT98" s="41"/>
      <c r="AU98" s="41"/>
    </row>
    <row r="99" spans="1:47" x14ac:dyDescent="0.25">
      <c r="A99" s="39"/>
      <c r="B99" s="39"/>
      <c r="C99" s="39"/>
      <c r="D99" s="39"/>
      <c r="E99" s="40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42"/>
      <c r="AT99" s="41"/>
      <c r="AU99" s="41"/>
    </row>
    <row r="100" spans="1:47" x14ac:dyDescent="0.25">
      <c r="A100" s="39"/>
      <c r="B100" s="39"/>
      <c r="C100" s="39"/>
      <c r="D100" s="39"/>
      <c r="E100" s="40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42"/>
      <c r="AT100" s="41"/>
      <c r="AU100" s="41"/>
    </row>
    <row r="101" spans="1:47" x14ac:dyDescent="0.25">
      <c r="A101" s="39"/>
      <c r="B101" s="39"/>
      <c r="C101" s="39"/>
      <c r="D101" s="39"/>
      <c r="E101" s="40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42"/>
      <c r="AT101" s="41"/>
      <c r="AU101" s="41"/>
    </row>
    <row r="102" spans="1:47" x14ac:dyDescent="0.25">
      <c r="A102" s="39"/>
      <c r="B102" s="39"/>
      <c r="C102" s="39"/>
      <c r="D102" s="39"/>
      <c r="E102" s="40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42"/>
      <c r="AT102" s="41"/>
      <c r="AU102" s="41"/>
    </row>
    <row r="103" spans="1:47" x14ac:dyDescent="0.25">
      <c r="A103" s="39"/>
      <c r="B103" s="39"/>
      <c r="C103" s="39"/>
      <c r="D103" s="39"/>
      <c r="E103" s="40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42"/>
      <c r="AT103" s="41"/>
      <c r="AU103" s="41"/>
    </row>
    <row r="104" spans="1:47" x14ac:dyDescent="0.25">
      <c r="A104" s="39"/>
      <c r="B104" s="39"/>
      <c r="C104" s="39"/>
      <c r="D104" s="39"/>
      <c r="E104" s="40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42"/>
      <c r="AT104" s="41"/>
      <c r="AU104" s="41"/>
    </row>
    <row r="105" spans="1:47" x14ac:dyDescent="0.25">
      <c r="A105" s="39"/>
      <c r="B105" s="39"/>
      <c r="C105" s="39"/>
      <c r="D105" s="39"/>
      <c r="E105" s="40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42"/>
      <c r="AT105" s="41"/>
      <c r="AU105" s="41"/>
    </row>
    <row r="106" spans="1:47" x14ac:dyDescent="0.25">
      <c r="A106" s="39"/>
      <c r="B106" s="39"/>
      <c r="C106" s="39"/>
      <c r="D106" s="39"/>
      <c r="E106" s="40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42"/>
      <c r="AT106" s="41"/>
      <c r="AU106" s="41"/>
    </row>
    <row r="107" spans="1:47" x14ac:dyDescent="0.25">
      <c r="A107" s="39"/>
      <c r="B107" s="39"/>
      <c r="C107" s="39"/>
      <c r="D107" s="39"/>
      <c r="E107" s="40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42"/>
      <c r="AT107" s="41"/>
      <c r="AU107" s="41"/>
    </row>
    <row r="108" spans="1:47" x14ac:dyDescent="0.25">
      <c r="A108" s="39"/>
      <c r="B108" s="39"/>
      <c r="C108" s="39"/>
      <c r="D108" s="39"/>
      <c r="E108" s="40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42"/>
      <c r="AT108" s="41"/>
      <c r="AU108" s="41"/>
    </row>
    <row r="109" spans="1:47" x14ac:dyDescent="0.25">
      <c r="A109" s="39"/>
      <c r="B109" s="39"/>
      <c r="C109" s="39"/>
      <c r="D109" s="39"/>
      <c r="E109" s="40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42"/>
      <c r="AT109" s="41"/>
      <c r="AU109" s="41"/>
    </row>
    <row r="110" spans="1:47" x14ac:dyDescent="0.25">
      <c r="A110" s="39"/>
      <c r="B110" s="39"/>
      <c r="C110" s="39"/>
      <c r="D110" s="39"/>
      <c r="E110" s="40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42"/>
      <c r="AT110" s="41"/>
      <c r="AU110" s="41"/>
    </row>
    <row r="111" spans="1:47" x14ac:dyDescent="0.25">
      <c r="A111" s="39"/>
      <c r="B111" s="39"/>
      <c r="C111" s="39"/>
      <c r="D111" s="39"/>
      <c r="E111" s="40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42"/>
      <c r="AT111" s="41"/>
      <c r="AU111" s="41"/>
    </row>
    <row r="112" spans="1:47" x14ac:dyDescent="0.25">
      <c r="A112" s="39"/>
      <c r="B112" s="39"/>
      <c r="C112" s="39"/>
      <c r="D112" s="39"/>
      <c r="E112" s="40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42"/>
      <c r="AT112" s="41"/>
      <c r="AU112" s="41"/>
    </row>
    <row r="113" spans="1:47" x14ac:dyDescent="0.25">
      <c r="A113" s="39"/>
      <c r="B113" s="39"/>
      <c r="C113" s="39"/>
      <c r="D113" s="39"/>
      <c r="E113" s="40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42"/>
      <c r="AT113" s="41"/>
      <c r="AU113" s="41"/>
    </row>
    <row r="114" spans="1:47" x14ac:dyDescent="0.25">
      <c r="A114" s="39"/>
      <c r="B114" s="39"/>
      <c r="C114" s="39"/>
      <c r="D114" s="39"/>
      <c r="E114" s="40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42"/>
      <c r="AT114" s="41"/>
      <c r="AU114" s="41"/>
    </row>
    <row r="115" spans="1:47" x14ac:dyDescent="0.25">
      <c r="A115" s="39"/>
      <c r="B115" s="39"/>
      <c r="C115" s="39"/>
      <c r="D115" s="39"/>
      <c r="E115" s="40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42"/>
      <c r="AT115" s="41"/>
      <c r="AU115" s="41"/>
    </row>
    <row r="116" spans="1:47" x14ac:dyDescent="0.25">
      <c r="A116" s="39"/>
      <c r="B116" s="39"/>
      <c r="C116" s="39"/>
      <c r="D116" s="39"/>
      <c r="E116" s="40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42"/>
      <c r="AT116" s="41"/>
      <c r="AU116" s="41"/>
    </row>
    <row r="117" spans="1:47" x14ac:dyDescent="0.25">
      <c r="A117" s="39"/>
      <c r="B117" s="39"/>
      <c r="C117" s="39"/>
      <c r="D117" s="39"/>
      <c r="E117" s="40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42"/>
      <c r="AT117" s="41"/>
      <c r="AU117" s="41"/>
    </row>
    <row r="118" spans="1:47" x14ac:dyDescent="0.25">
      <c r="A118" s="39"/>
      <c r="B118" s="39"/>
      <c r="C118" s="39"/>
      <c r="D118" s="39"/>
      <c r="E118" s="40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42"/>
      <c r="AT118" s="41"/>
      <c r="AU118" s="41"/>
    </row>
    <row r="119" spans="1:47" x14ac:dyDescent="0.25">
      <c r="A119" s="39"/>
      <c r="B119" s="39"/>
      <c r="C119" s="39"/>
      <c r="D119" s="39"/>
      <c r="E119" s="40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42"/>
      <c r="AT119" s="41"/>
      <c r="AU119" s="41"/>
    </row>
    <row r="120" spans="1:47" x14ac:dyDescent="0.25">
      <c r="A120" s="39"/>
      <c r="B120" s="39"/>
      <c r="C120" s="39"/>
      <c r="D120" s="39"/>
      <c r="E120" s="40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42"/>
      <c r="AT120" s="41"/>
      <c r="AU120" s="41"/>
    </row>
    <row r="121" spans="1:47" x14ac:dyDescent="0.25">
      <c r="A121" s="39"/>
      <c r="B121" s="39"/>
      <c r="C121" s="39"/>
      <c r="D121" s="39"/>
      <c r="E121" s="40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42"/>
      <c r="AT121" s="41"/>
      <c r="AU121" s="41"/>
    </row>
  </sheetData>
  <sortState xmlns:xlrd2="http://schemas.microsoft.com/office/spreadsheetml/2017/richdata2" ref="A10:AV38">
    <sortCondition ref="E10"/>
  </sortState>
  <mergeCells count="14">
    <mergeCell ref="D51:E51"/>
    <mergeCell ref="D45:E45"/>
    <mergeCell ref="A7:B7"/>
    <mergeCell ref="B2:AT2"/>
    <mergeCell ref="A4:B4"/>
    <mergeCell ref="C4:E4"/>
    <mergeCell ref="A5:B5"/>
    <mergeCell ref="C5:E5"/>
    <mergeCell ref="A6:B6"/>
    <mergeCell ref="D43:AT43"/>
    <mergeCell ref="D47:AT47"/>
    <mergeCell ref="D48:E48"/>
    <mergeCell ref="D49:E49"/>
    <mergeCell ref="D50:E50"/>
  </mergeCells>
  <conditionalFormatting sqref="B1:B9 E1:E9">
    <cfRule type="duplicateValues" dxfId="7" priority="1006"/>
  </conditionalFormatting>
  <conditionalFormatting sqref="E1:E9 B1:B9">
    <cfRule type="duplicateValues" dxfId="6" priority="1008"/>
  </conditionalFormatting>
  <conditionalFormatting sqref="B1:B9">
    <cfRule type="duplicateValues" dxfId="5" priority="1009"/>
  </conditionalFormatting>
  <conditionalFormatting sqref="E1:E9">
    <cfRule type="duplicateValues" dxfId="4" priority="1010"/>
  </conditionalFormatting>
  <conditionalFormatting sqref="E1:E9">
    <cfRule type="duplicateValues" dxfId="3" priority="1011"/>
    <cfRule type="duplicateValues" dxfId="2" priority="1012"/>
  </conditionalFormatting>
  <conditionalFormatting sqref="C45:C55">
    <cfRule type="duplicateValues" dxfId="1" priority="1013"/>
  </conditionalFormatting>
  <conditionalFormatting sqref="C45:C55">
    <cfRule type="duplicateValues" dxfId="0" priority="101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topLeftCell="A28" zoomScale="80" zoomScaleNormal="80" workbookViewId="0">
      <selection activeCell="C43" sqref="C43:I43"/>
    </sheetView>
  </sheetViews>
  <sheetFormatPr baseColWidth="10" defaultRowHeight="15" x14ac:dyDescent="0.25"/>
  <cols>
    <col min="1" max="1" width="5.5703125" style="31" customWidth="1"/>
    <col min="2" max="2" width="15.140625" customWidth="1"/>
    <col min="3" max="3" width="14.140625" style="31" customWidth="1"/>
    <col min="4" max="4" width="26" customWidth="1"/>
    <col min="5" max="5" width="8" customWidth="1"/>
    <col min="6" max="6" width="7.85546875" customWidth="1"/>
    <col min="7" max="7" width="46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3" max="13" width="15.5703125" style="97" bestFit="1" customWidth="1"/>
  </cols>
  <sheetData>
    <row r="1" spans="1:13" ht="30.75" thickBot="1" x14ac:dyDescent="0.3">
      <c r="A1" s="142" t="s">
        <v>54</v>
      </c>
      <c r="B1" s="142"/>
      <c r="C1" s="142"/>
      <c r="D1" s="142"/>
      <c r="E1" s="142"/>
      <c r="F1" s="142"/>
      <c r="G1" s="142"/>
      <c r="H1" s="142"/>
      <c r="I1" s="142"/>
      <c r="J1" s="51" t="s">
        <v>55</v>
      </c>
      <c r="K1" s="52" t="s">
        <v>97</v>
      </c>
    </row>
    <row r="2" spans="1:13" ht="16.5" thickBot="1" x14ac:dyDescent="0.3">
      <c r="A2" s="53"/>
      <c r="B2" s="54"/>
      <c r="C2" s="54"/>
      <c r="D2" s="55"/>
      <c r="E2" s="55"/>
      <c r="F2" s="55"/>
      <c r="G2" s="55"/>
      <c r="H2" s="55"/>
      <c r="I2" s="55"/>
      <c r="J2" s="56"/>
      <c r="K2" s="57"/>
    </row>
    <row r="3" spans="1:13" ht="16.5" customHeight="1" thickBot="1" x14ac:dyDescent="0.3">
      <c r="A3" s="143" t="s">
        <v>56</v>
      </c>
      <c r="B3" s="143"/>
      <c r="C3" s="143"/>
      <c r="D3" s="144" t="s">
        <v>38</v>
      </c>
      <c r="E3" s="144"/>
      <c r="F3" s="144"/>
      <c r="G3" s="144"/>
      <c r="H3" s="144"/>
      <c r="I3" s="144"/>
      <c r="J3" s="144"/>
      <c r="K3" s="144"/>
    </row>
    <row r="4" spans="1:13" ht="16.5" customHeight="1" thickBot="1" x14ac:dyDescent="0.3">
      <c r="A4" s="145" t="s">
        <v>57</v>
      </c>
      <c r="B4" s="145"/>
      <c r="C4" s="145"/>
      <c r="D4" s="144" t="s">
        <v>58</v>
      </c>
      <c r="E4" s="144"/>
      <c r="F4" s="144"/>
      <c r="G4" s="144"/>
      <c r="H4" s="144"/>
      <c r="I4" s="144"/>
      <c r="J4" s="144"/>
      <c r="K4" s="144"/>
    </row>
    <row r="5" spans="1:13" ht="16.5" customHeight="1" thickBot="1" x14ac:dyDescent="0.3">
      <c r="A5" s="145" t="s">
        <v>59</v>
      </c>
      <c r="B5" s="145"/>
      <c r="C5" s="145"/>
      <c r="D5" s="144" t="s">
        <v>60</v>
      </c>
      <c r="E5" s="144"/>
      <c r="F5" s="144"/>
      <c r="G5" s="144"/>
      <c r="H5" s="144"/>
      <c r="I5" s="144"/>
      <c r="J5" s="144"/>
      <c r="K5" s="144"/>
    </row>
    <row r="6" spans="1:13" ht="16.5" customHeight="1" thickBot="1" x14ac:dyDescent="0.3">
      <c r="A6" s="143" t="s">
        <v>61</v>
      </c>
      <c r="B6" s="143"/>
      <c r="C6" s="143"/>
      <c r="D6" s="144" t="s">
        <v>60</v>
      </c>
      <c r="E6" s="144"/>
      <c r="F6" s="144"/>
      <c r="G6" s="144"/>
      <c r="H6" s="144"/>
      <c r="I6" s="144"/>
      <c r="J6" s="144"/>
      <c r="K6" s="144"/>
    </row>
    <row r="7" spans="1:13" ht="16.5" customHeight="1" thickBot="1" x14ac:dyDescent="0.3">
      <c r="A7" s="145" t="s">
        <v>62</v>
      </c>
      <c r="B7" s="145"/>
      <c r="C7" s="145"/>
      <c r="D7" s="144" t="s">
        <v>63</v>
      </c>
      <c r="E7" s="144"/>
      <c r="F7" s="144"/>
      <c r="G7" s="144"/>
      <c r="H7" s="144"/>
      <c r="I7" s="144"/>
      <c r="J7" s="144"/>
      <c r="K7" s="144"/>
    </row>
    <row r="8" spans="1:13" ht="16.5" customHeight="1" thickBot="1" x14ac:dyDescent="0.3">
      <c r="A8" s="146" t="s">
        <v>64</v>
      </c>
      <c r="B8" s="146"/>
      <c r="C8" s="146"/>
      <c r="D8" s="147" t="s">
        <v>139</v>
      </c>
      <c r="E8" s="147"/>
      <c r="F8" s="147"/>
      <c r="G8" s="147"/>
      <c r="H8" s="147"/>
      <c r="I8" s="147"/>
      <c r="J8" s="147"/>
      <c r="K8" s="147"/>
    </row>
    <row r="9" spans="1:13" ht="16.5" thickBot="1" x14ac:dyDescent="0.3">
      <c r="A9" s="58"/>
      <c r="B9" s="59"/>
      <c r="C9" s="59"/>
      <c r="D9" s="60"/>
      <c r="E9" s="60"/>
      <c r="F9" s="60"/>
      <c r="G9" s="60"/>
      <c r="H9" s="60"/>
      <c r="I9" s="60"/>
      <c r="J9" s="61"/>
      <c r="K9" s="62"/>
    </row>
    <row r="10" spans="1:13" ht="15.75" customHeight="1" thickBot="1" x14ac:dyDescent="0.3">
      <c r="A10" s="148" t="s">
        <v>65</v>
      </c>
      <c r="B10" s="149" t="s">
        <v>66</v>
      </c>
      <c r="C10" s="149" t="s">
        <v>67</v>
      </c>
      <c r="D10" s="149"/>
      <c r="E10" s="149"/>
      <c r="F10" s="149"/>
      <c r="G10" s="149"/>
      <c r="H10" s="149" t="s">
        <v>68</v>
      </c>
      <c r="I10" s="149" t="s">
        <v>69</v>
      </c>
      <c r="J10" s="150" t="s">
        <v>70</v>
      </c>
      <c r="K10" s="151" t="s">
        <v>71</v>
      </c>
    </row>
    <row r="11" spans="1:13" ht="33" customHeight="1" x14ac:dyDescent="0.25">
      <c r="A11" s="148"/>
      <c r="B11" s="149"/>
      <c r="C11" s="149"/>
      <c r="D11" s="149"/>
      <c r="E11" s="149"/>
      <c r="F11" s="149"/>
      <c r="G11" s="149"/>
      <c r="H11" s="149"/>
      <c r="I11" s="149"/>
      <c r="J11" s="150"/>
      <c r="K11" s="151"/>
    </row>
    <row r="12" spans="1:13" ht="22.5" customHeight="1" x14ac:dyDescent="0.25">
      <c r="A12" s="63">
        <v>1</v>
      </c>
      <c r="B12" s="103"/>
      <c r="C12" s="152" t="str">
        <f>+'SAF 011'!E10</f>
        <v>ADRENALINA  1MG/ML AMPOLLA de 1 ML</v>
      </c>
      <c r="D12" s="153"/>
      <c r="E12" s="153"/>
      <c r="F12" s="153"/>
      <c r="G12" s="154"/>
      <c r="H12" s="65" t="s">
        <v>109</v>
      </c>
      <c r="I12" s="66" t="str">
        <f>+'SAF 011'!F10</f>
        <v>UNIDAD</v>
      </c>
      <c r="J12" s="67">
        <f>+'SAF 011'!AT10</f>
        <v>45</v>
      </c>
      <c r="K12" s="68">
        <f>+'SAF 011'!AS10</f>
        <v>1500</v>
      </c>
      <c r="M12" s="98">
        <f t="shared" ref="M12:M42" si="0">+K12*J12</f>
        <v>67500</v>
      </c>
    </row>
    <row r="13" spans="1:13" ht="22.5" customHeight="1" x14ac:dyDescent="0.25">
      <c r="A13" s="63">
        <v>2</v>
      </c>
      <c r="B13" s="103"/>
      <c r="C13" s="152" t="str">
        <f>+'SAF 011'!E11</f>
        <v>AMIKACINA 500 MG AMPOLLA</v>
      </c>
      <c r="D13" s="153"/>
      <c r="E13" s="153"/>
      <c r="F13" s="153"/>
      <c r="G13" s="154"/>
      <c r="H13" s="65" t="s">
        <v>109</v>
      </c>
      <c r="I13" s="66" t="str">
        <f>+'SAF 011'!F11</f>
        <v>AMPOLLA</v>
      </c>
      <c r="J13" s="67">
        <f>+'SAF 011'!AT11</f>
        <v>75</v>
      </c>
      <c r="K13" s="68">
        <f>+'SAF 011'!AS11</f>
        <v>1000</v>
      </c>
      <c r="M13" s="98">
        <f t="shared" si="0"/>
        <v>75000</v>
      </c>
    </row>
    <row r="14" spans="1:13" ht="22.5" customHeight="1" x14ac:dyDescent="0.25">
      <c r="A14" s="63">
        <v>3</v>
      </c>
      <c r="B14" s="103"/>
      <c r="C14" s="152" t="str">
        <f>+'SAF 011'!E12</f>
        <v xml:space="preserve">BETAMETASONA G 12 MG ( 6 MG ACETATO/6 MG FOSFATO ) AMPOLLA </v>
      </c>
      <c r="D14" s="153"/>
      <c r="E14" s="153"/>
      <c r="F14" s="153"/>
      <c r="G14" s="154"/>
      <c r="H14" s="65" t="s">
        <v>109</v>
      </c>
      <c r="I14" s="66" t="str">
        <f>+'SAF 011'!F12</f>
        <v>AMPOLLA</v>
      </c>
      <c r="J14" s="67">
        <f>+'SAF 011'!AT12</f>
        <v>120</v>
      </c>
      <c r="K14" s="68">
        <f>+'SAF 011'!AS12</f>
        <v>2000</v>
      </c>
      <c r="M14" s="98">
        <f t="shared" si="0"/>
        <v>240000</v>
      </c>
    </row>
    <row r="15" spans="1:13" ht="22.5" customHeight="1" x14ac:dyDescent="0.25">
      <c r="A15" s="63">
        <v>4</v>
      </c>
      <c r="B15" s="103"/>
      <c r="C15" s="152" t="str">
        <f>+'SAF 011'!E13</f>
        <v>BUTIL BROMURO DE HIOSCINA 20 MG INY</v>
      </c>
      <c r="D15" s="153"/>
      <c r="E15" s="153"/>
      <c r="F15" s="153"/>
      <c r="G15" s="154"/>
      <c r="H15" s="65" t="s">
        <v>109</v>
      </c>
      <c r="I15" s="66" t="str">
        <f>+'SAF 011'!F13</f>
        <v>AMPOLLA</v>
      </c>
      <c r="J15" s="67">
        <f>+'SAF 011'!AT13</f>
        <v>38</v>
      </c>
      <c r="K15" s="68">
        <f>+'SAF 011'!AS13</f>
        <v>30000</v>
      </c>
      <c r="M15" s="98">
        <f t="shared" si="0"/>
        <v>1140000</v>
      </c>
    </row>
    <row r="16" spans="1:13" ht="22.5" customHeight="1" x14ac:dyDescent="0.25">
      <c r="A16" s="63">
        <v>5</v>
      </c>
      <c r="B16" s="103"/>
      <c r="C16" s="152" t="str">
        <f>+'SAF 011'!E14</f>
        <v>CLORPROMAZINA 25MG  AMPOLLA IM</v>
      </c>
      <c r="D16" s="153"/>
      <c r="E16" s="153"/>
      <c r="F16" s="153"/>
      <c r="G16" s="154"/>
      <c r="H16" s="65" t="s">
        <v>109</v>
      </c>
      <c r="I16" s="66" t="str">
        <f>+'SAF 011'!F14</f>
        <v>AMPOLLA</v>
      </c>
      <c r="J16" s="67">
        <f>+'SAF 011'!AT14</f>
        <v>130</v>
      </c>
      <c r="K16" s="68">
        <f>+'SAF 011'!AS14</f>
        <v>1000</v>
      </c>
      <c r="M16" s="98">
        <f t="shared" si="0"/>
        <v>130000</v>
      </c>
    </row>
    <row r="17" spans="1:13" ht="22.5" customHeight="1" x14ac:dyDescent="0.25">
      <c r="A17" s="63">
        <v>6</v>
      </c>
      <c r="B17" s="103"/>
      <c r="C17" s="152" t="str">
        <f>+'SAF 011'!E15</f>
        <v>CLONIDINA CLORHIDRATO 0,150 MG/ML AMPOLLA x 1 ML</v>
      </c>
      <c r="D17" s="153"/>
      <c r="E17" s="153"/>
      <c r="F17" s="153"/>
      <c r="G17" s="154"/>
      <c r="H17" s="65" t="s">
        <v>109</v>
      </c>
      <c r="I17" s="66" t="str">
        <f>+'SAF 011'!F15</f>
        <v>AMPOLLA</v>
      </c>
      <c r="J17" s="67">
        <f>+'SAF 011'!AT15</f>
        <v>120</v>
      </c>
      <c r="K17" s="68">
        <f>+'SAF 011'!AS15</f>
        <v>1000</v>
      </c>
      <c r="M17" s="98">
        <f t="shared" si="0"/>
        <v>120000</v>
      </c>
    </row>
    <row r="18" spans="1:13" ht="22.5" customHeight="1" x14ac:dyDescent="0.25">
      <c r="A18" s="63">
        <v>7</v>
      </c>
      <c r="B18" s="103"/>
      <c r="C18" s="152" t="str">
        <f>+'SAF 011'!E16</f>
        <v>COLISTINA 100 MG FCO AMPOLLA</v>
      </c>
      <c r="D18" s="153"/>
      <c r="E18" s="153"/>
      <c r="F18" s="153"/>
      <c r="G18" s="154"/>
      <c r="H18" s="65" t="s">
        <v>109</v>
      </c>
      <c r="I18" s="66" t="str">
        <f>+'SAF 011'!F16</f>
        <v>AMPOLLA</v>
      </c>
      <c r="J18" s="67">
        <f>+'SAF 011'!AT16</f>
        <v>497</v>
      </c>
      <c r="K18" s="68">
        <f>+'SAF 011'!AS16</f>
        <v>2500</v>
      </c>
      <c r="M18" s="98">
        <f t="shared" si="0"/>
        <v>1242500</v>
      </c>
    </row>
    <row r="19" spans="1:13" ht="22.5" customHeight="1" x14ac:dyDescent="0.25">
      <c r="A19" s="63">
        <v>8</v>
      </c>
      <c r="B19" s="103"/>
      <c r="C19" s="152" t="str">
        <f>+'SAF 011'!E17</f>
        <v>DANTROLENO 20 MG/60 ML KIT X 12 FCO AMPOLLA</v>
      </c>
      <c r="D19" s="153"/>
      <c r="E19" s="153"/>
      <c r="F19" s="153"/>
      <c r="G19" s="154"/>
      <c r="H19" s="65" t="s">
        <v>109</v>
      </c>
      <c r="I19" s="66" t="str">
        <f>+'SAF 011'!F17</f>
        <v>KIT</v>
      </c>
      <c r="J19" s="67">
        <f>+'SAF 011'!AT17</f>
        <v>231000</v>
      </c>
      <c r="K19" s="68">
        <f>+'SAF 011'!AS17</f>
        <v>7</v>
      </c>
      <c r="M19" s="98">
        <f t="shared" si="0"/>
        <v>1617000</v>
      </c>
    </row>
    <row r="20" spans="1:13" ht="22.5" customHeight="1" x14ac:dyDescent="0.25">
      <c r="A20" s="63">
        <v>9</v>
      </c>
      <c r="B20" s="103"/>
      <c r="C20" s="152" t="str">
        <f>+'SAF 011'!E18</f>
        <v>DIFENHIDRAMINA 0,25% JARABE x 120 ml</v>
      </c>
      <c r="D20" s="153"/>
      <c r="E20" s="153"/>
      <c r="F20" s="153"/>
      <c r="G20" s="154"/>
      <c r="H20" s="65" t="s">
        <v>109</v>
      </c>
      <c r="I20" s="66" t="str">
        <f>+'SAF 011'!F18</f>
        <v>FRASCO</v>
      </c>
      <c r="J20" s="67">
        <f>+'SAF 011'!AT18</f>
        <v>92</v>
      </c>
      <c r="K20" s="68">
        <f>+'SAF 011'!AS18</f>
        <v>4000</v>
      </c>
      <c r="M20" s="98">
        <f t="shared" si="0"/>
        <v>368000</v>
      </c>
    </row>
    <row r="21" spans="1:13" ht="22.5" customHeight="1" x14ac:dyDescent="0.25">
      <c r="A21" s="63">
        <v>10</v>
      </c>
      <c r="B21" s="103"/>
      <c r="C21" s="152" t="str">
        <f>+'SAF 011'!E19</f>
        <v>DOBUTAMINA 250 mg/ml FRASCO AMPOLLA x 20 ML</v>
      </c>
      <c r="D21" s="153"/>
      <c r="E21" s="153"/>
      <c r="F21" s="153"/>
      <c r="G21" s="154"/>
      <c r="H21" s="65" t="s">
        <v>109</v>
      </c>
      <c r="I21" s="66" t="str">
        <f>+'SAF 011'!F19</f>
        <v>AMPOLLA</v>
      </c>
      <c r="J21" s="67">
        <f>+'SAF 011'!AT19</f>
        <v>560</v>
      </c>
      <c r="K21" s="68">
        <f>+'SAF 011'!AS19</f>
        <v>300</v>
      </c>
      <c r="M21" s="98">
        <f t="shared" si="0"/>
        <v>168000</v>
      </c>
    </row>
    <row r="22" spans="1:13" ht="22.5" customHeight="1" x14ac:dyDescent="0.25">
      <c r="A22" s="63">
        <v>11</v>
      </c>
      <c r="B22" s="103"/>
      <c r="C22" s="152" t="str">
        <f>+'SAF 011'!E20</f>
        <v>DOPAMINA 200 MG  AMPOLLA X 5 ML</v>
      </c>
      <c r="D22" s="153"/>
      <c r="E22" s="153"/>
      <c r="F22" s="153"/>
      <c r="G22" s="154"/>
      <c r="H22" s="65" t="s">
        <v>109</v>
      </c>
      <c r="I22" s="66" t="str">
        <f>+'SAF 011'!F20</f>
        <v>AMPOLLA</v>
      </c>
      <c r="J22" s="67">
        <f>+'SAF 011'!AT20</f>
        <v>165</v>
      </c>
      <c r="K22" s="68">
        <f>+'SAF 011'!AS20</f>
        <v>1000</v>
      </c>
      <c r="M22" s="98">
        <f t="shared" si="0"/>
        <v>165000</v>
      </c>
    </row>
    <row r="23" spans="1:13" ht="22.5" customHeight="1" x14ac:dyDescent="0.25">
      <c r="A23" s="63">
        <v>12</v>
      </c>
      <c r="B23" s="103"/>
      <c r="C23" s="152" t="str">
        <f>+'SAF 011'!E21</f>
        <v xml:space="preserve">EMULSION LIPIDICA PARA PERFUSION INTRAVENOSA TIPO INTRALIPIP 20% ENVASE POR 500 ML. </v>
      </c>
      <c r="D23" s="153"/>
      <c r="E23" s="153"/>
      <c r="F23" s="153"/>
      <c r="G23" s="154"/>
      <c r="H23" s="65" t="s">
        <v>109</v>
      </c>
      <c r="I23" s="66" t="str">
        <f>+'SAF 011'!F21</f>
        <v>UNIDAD</v>
      </c>
      <c r="J23" s="67">
        <f>+'SAF 011'!AT21</f>
        <v>4328.63</v>
      </c>
      <c r="K23" s="68">
        <f>+'SAF 011'!AS21</f>
        <v>10</v>
      </c>
      <c r="M23" s="98">
        <f t="shared" si="0"/>
        <v>43286.3</v>
      </c>
    </row>
    <row r="24" spans="1:13" ht="22.5" customHeight="1" x14ac:dyDescent="0.25">
      <c r="A24" s="63">
        <v>13</v>
      </c>
      <c r="B24" s="103"/>
      <c r="C24" s="152" t="str">
        <f>+'SAF 011'!E22</f>
        <v>FENITOINA 100 MG COMPRIMIDO</v>
      </c>
      <c r="D24" s="153"/>
      <c r="E24" s="153"/>
      <c r="F24" s="153"/>
      <c r="G24" s="154"/>
      <c r="H24" s="65" t="s">
        <v>109</v>
      </c>
      <c r="I24" s="66" t="str">
        <f>+'SAF 011'!F22</f>
        <v>COMPRIMIDO</v>
      </c>
      <c r="J24" s="67">
        <f>+'SAF 011'!AT22</f>
        <v>6.9</v>
      </c>
      <c r="K24" s="68">
        <f>+'SAF 011'!AS22</f>
        <v>8500</v>
      </c>
      <c r="M24" s="98">
        <f t="shared" si="0"/>
        <v>58650</v>
      </c>
    </row>
    <row r="25" spans="1:13" ht="22.5" customHeight="1" x14ac:dyDescent="0.25">
      <c r="A25" s="63">
        <v>14</v>
      </c>
      <c r="B25" s="103"/>
      <c r="C25" s="152" t="str">
        <f>+'SAF 011'!E23</f>
        <v>FLUCONAZOL 200 MG SACHET 100 ML</v>
      </c>
      <c r="D25" s="153"/>
      <c r="E25" s="153"/>
      <c r="F25" s="153"/>
      <c r="G25" s="154"/>
      <c r="H25" s="65" t="s">
        <v>109</v>
      </c>
      <c r="I25" s="66" t="str">
        <f>+'SAF 011'!F23</f>
        <v>ENVASE</v>
      </c>
      <c r="J25" s="67">
        <f>+'SAF 011'!AT23</f>
        <v>645</v>
      </c>
      <c r="K25" s="68">
        <f>+'SAF 011'!AS23</f>
        <v>300</v>
      </c>
      <c r="M25" s="98">
        <f t="shared" si="0"/>
        <v>193500</v>
      </c>
    </row>
    <row r="26" spans="1:13" ht="22.5" customHeight="1" x14ac:dyDescent="0.25">
      <c r="A26" s="63">
        <v>15</v>
      </c>
      <c r="B26" s="103"/>
      <c r="C26" s="152" t="str">
        <f>+'SAF 011'!E24</f>
        <v>HALOPERIDOL 5 MG AMPOLLA</v>
      </c>
      <c r="D26" s="153"/>
      <c r="E26" s="153"/>
      <c r="F26" s="153"/>
      <c r="G26" s="154"/>
      <c r="H26" s="65" t="s">
        <v>109</v>
      </c>
      <c r="I26" s="66" t="str">
        <f>+'SAF 011'!F24</f>
        <v>AMPOLLA</v>
      </c>
      <c r="J26" s="67">
        <f>+'SAF 011'!AT24</f>
        <v>46</v>
      </c>
      <c r="K26" s="68">
        <f>+'SAF 011'!AS24</f>
        <v>500</v>
      </c>
      <c r="M26" s="98">
        <f t="shared" si="0"/>
        <v>23000</v>
      </c>
    </row>
    <row r="27" spans="1:13" ht="22.5" customHeight="1" x14ac:dyDescent="0.25">
      <c r="A27" s="63">
        <v>16</v>
      </c>
      <c r="B27" s="103"/>
      <c r="C27" s="152" t="str">
        <f>+'SAF 011'!E25</f>
        <v>KETAMINA 50MG/ML FCO AMPOLLA</v>
      </c>
      <c r="D27" s="153"/>
      <c r="E27" s="153"/>
      <c r="F27" s="153"/>
      <c r="G27" s="154"/>
      <c r="H27" s="65" t="s">
        <v>109</v>
      </c>
      <c r="I27" s="66" t="str">
        <f>+'SAF 011'!F25</f>
        <v>AMPOLLA</v>
      </c>
      <c r="J27" s="67">
        <f>+'SAF 011'!AT25</f>
        <v>2400</v>
      </c>
      <c r="K27" s="68">
        <f>+'SAF 011'!AS25</f>
        <v>1000</v>
      </c>
      <c r="M27" s="98">
        <f t="shared" si="0"/>
        <v>2400000</v>
      </c>
    </row>
    <row r="28" spans="1:13" ht="22.5" customHeight="1" x14ac:dyDescent="0.25">
      <c r="A28" s="63">
        <v>17</v>
      </c>
      <c r="B28" s="103"/>
      <c r="C28" s="152" t="str">
        <f>+'SAF 011'!E26</f>
        <v>LACTULOSA SUSPENSIÓN X 120 ML</v>
      </c>
      <c r="D28" s="153"/>
      <c r="E28" s="153"/>
      <c r="F28" s="153"/>
      <c r="G28" s="154"/>
      <c r="H28" s="65" t="s">
        <v>109</v>
      </c>
      <c r="I28" s="66" t="str">
        <f>+'SAF 011'!F26</f>
        <v>FRASCO</v>
      </c>
      <c r="J28" s="67">
        <f>+'SAF 011'!AT26</f>
        <v>248</v>
      </c>
      <c r="K28" s="68">
        <f>+'SAF 011'!AS26</f>
        <v>30</v>
      </c>
      <c r="M28" s="98">
        <f t="shared" si="0"/>
        <v>7440</v>
      </c>
    </row>
    <row r="29" spans="1:13" ht="22.5" customHeight="1" x14ac:dyDescent="0.25">
      <c r="A29" s="63">
        <v>18</v>
      </c>
      <c r="B29" s="103"/>
      <c r="C29" s="152" t="str">
        <f>+'SAF 011'!E27</f>
        <v>LEVETIRACETAM 100MG/ML SOLUCION ORAL X 300 ML</v>
      </c>
      <c r="D29" s="153"/>
      <c r="E29" s="153"/>
      <c r="F29" s="153"/>
      <c r="G29" s="154"/>
      <c r="H29" s="65" t="s">
        <v>109</v>
      </c>
      <c r="I29" s="66" t="str">
        <f>+'SAF 011'!F27</f>
        <v>FRASCO</v>
      </c>
      <c r="J29" s="67">
        <f>+'SAF 011'!AT27</f>
        <v>2435</v>
      </c>
      <c r="K29" s="68">
        <f>+'SAF 011'!AS27</f>
        <v>10</v>
      </c>
      <c r="M29" s="98">
        <f t="shared" si="0"/>
        <v>24350</v>
      </c>
    </row>
    <row r="30" spans="1:13" ht="22.5" customHeight="1" x14ac:dyDescent="0.25">
      <c r="A30" s="63">
        <v>19</v>
      </c>
      <c r="B30" s="103"/>
      <c r="C30" s="152" t="str">
        <f>+'SAF 011'!E28</f>
        <v>LOSARTAN 50 MG COMPRIMIDO</v>
      </c>
      <c r="D30" s="153"/>
      <c r="E30" s="153"/>
      <c r="F30" s="153"/>
      <c r="G30" s="154"/>
      <c r="H30" s="65" t="s">
        <v>109</v>
      </c>
      <c r="I30" s="66" t="str">
        <f>+'SAF 011'!F28</f>
        <v>UNIDAD</v>
      </c>
      <c r="J30" s="67">
        <f>+'SAF 011'!AT28</f>
        <v>4.42</v>
      </c>
      <c r="K30" s="68">
        <f>+'SAF 011'!AS28</f>
        <v>50000</v>
      </c>
      <c r="M30" s="98">
        <f t="shared" si="0"/>
        <v>221000</v>
      </c>
    </row>
    <row r="31" spans="1:13" ht="22.5" customHeight="1" x14ac:dyDescent="0.25">
      <c r="A31" s="63">
        <v>20</v>
      </c>
      <c r="B31" s="103"/>
      <c r="C31" s="152" t="str">
        <f>+'SAF 011'!E29</f>
        <v>METOCLOPRAMIDA AMPOLLA 10 MG X 2 ML</v>
      </c>
      <c r="D31" s="153"/>
      <c r="E31" s="153"/>
      <c r="F31" s="153"/>
      <c r="G31" s="154"/>
      <c r="H31" s="65" t="s">
        <v>109</v>
      </c>
      <c r="I31" s="66" t="str">
        <f>+'SAF 011'!F29</f>
        <v>AMPOLLA</v>
      </c>
      <c r="J31" s="67">
        <f>+'SAF 011'!AT29</f>
        <v>35</v>
      </c>
      <c r="K31" s="68">
        <f>+'SAF 011'!AS29</f>
        <v>30000</v>
      </c>
      <c r="M31" s="98">
        <f t="shared" si="0"/>
        <v>1050000</v>
      </c>
    </row>
    <row r="32" spans="1:13" ht="22.5" customHeight="1" x14ac:dyDescent="0.25">
      <c r="A32" s="63">
        <v>21</v>
      </c>
      <c r="B32" s="103"/>
      <c r="C32" s="152" t="str">
        <f>+'SAF 011'!E30</f>
        <v>NEOSTIGMINA 0,5 MG AMPOLLA x 1 ML</v>
      </c>
      <c r="D32" s="153"/>
      <c r="E32" s="153"/>
      <c r="F32" s="153"/>
      <c r="G32" s="154"/>
      <c r="H32" s="65" t="s">
        <v>109</v>
      </c>
      <c r="I32" s="66" t="str">
        <f>+'SAF 011'!F30</f>
        <v>AMPOLLA</v>
      </c>
      <c r="J32" s="67">
        <f>+'SAF 011'!AT30</f>
        <v>36</v>
      </c>
      <c r="K32" s="68">
        <f>+'SAF 011'!AS30</f>
        <v>500</v>
      </c>
      <c r="M32" s="98">
        <f t="shared" si="0"/>
        <v>18000</v>
      </c>
    </row>
    <row r="33" spans="1:13" ht="22.5" customHeight="1" x14ac:dyDescent="0.25">
      <c r="A33" s="63">
        <v>22</v>
      </c>
      <c r="B33" s="103"/>
      <c r="C33" s="152" t="str">
        <f>+'SAF 011'!E31</f>
        <v>OLANZAPINA 10MG COMPRIMIDO</v>
      </c>
      <c r="D33" s="153"/>
      <c r="E33" s="153"/>
      <c r="F33" s="153"/>
      <c r="G33" s="154"/>
      <c r="H33" s="65" t="s">
        <v>109</v>
      </c>
      <c r="I33" s="66" t="str">
        <f>+'SAF 011'!F31</f>
        <v>COMPRIMIDO</v>
      </c>
      <c r="J33" s="67">
        <f>+'SAF 011'!AT31</f>
        <v>19</v>
      </c>
      <c r="K33" s="68">
        <f>+'SAF 011'!AS31</f>
        <v>1000</v>
      </c>
      <c r="M33" s="98">
        <f t="shared" si="0"/>
        <v>19000</v>
      </c>
    </row>
    <row r="34" spans="1:13" ht="22.5" customHeight="1" x14ac:dyDescent="0.25">
      <c r="A34" s="63">
        <v>23</v>
      </c>
      <c r="B34" s="103"/>
      <c r="C34" s="152" t="str">
        <f>+'SAF 011'!E32</f>
        <v>PARACETAMOL 1GR ML FRASCO AMPOLLA</v>
      </c>
      <c r="D34" s="153"/>
      <c r="E34" s="153"/>
      <c r="F34" s="153"/>
      <c r="G34" s="154"/>
      <c r="H34" s="65" t="s">
        <v>109</v>
      </c>
      <c r="I34" s="66" t="str">
        <f>+'SAF 011'!F32</f>
        <v>AMPOLLA</v>
      </c>
      <c r="J34" s="67">
        <f>+'SAF 011'!AT32</f>
        <v>1100</v>
      </c>
      <c r="K34" s="68">
        <f>+'SAF 011'!AS32</f>
        <v>100</v>
      </c>
      <c r="M34" s="98">
        <f t="shared" si="0"/>
        <v>110000</v>
      </c>
    </row>
    <row r="35" spans="1:13" ht="22.5" customHeight="1" x14ac:dyDescent="0.25">
      <c r="A35" s="63">
        <v>24</v>
      </c>
      <c r="B35" s="103"/>
      <c r="C35" s="152" t="str">
        <f>+'SAF 011'!E33</f>
        <v>PROPOFOL 1% AMPOLLAS X 20 ML</v>
      </c>
      <c r="D35" s="153"/>
      <c r="E35" s="153"/>
      <c r="F35" s="153"/>
      <c r="G35" s="154"/>
      <c r="H35" s="65" t="s">
        <v>109</v>
      </c>
      <c r="I35" s="66" t="str">
        <f>+'SAF 011'!F33</f>
        <v>AMPOLLA</v>
      </c>
      <c r="J35" s="67">
        <f>+'SAF 011'!AT33</f>
        <v>415.15</v>
      </c>
      <c r="K35" s="68">
        <f>+'SAF 011'!AS33</f>
        <v>4000</v>
      </c>
      <c r="M35" s="98">
        <f t="shared" si="0"/>
        <v>1660600</v>
      </c>
    </row>
    <row r="36" spans="1:13" ht="22.5" customHeight="1" x14ac:dyDescent="0.25">
      <c r="A36" s="63">
        <v>25</v>
      </c>
      <c r="B36" s="103"/>
      <c r="C36" s="152" t="str">
        <f>+'SAF 011'!E34</f>
        <v>RANITIDINA 50 MG AMPOLLA</v>
      </c>
      <c r="D36" s="153"/>
      <c r="E36" s="153"/>
      <c r="F36" s="153"/>
      <c r="G36" s="154"/>
      <c r="H36" s="65" t="s">
        <v>109</v>
      </c>
      <c r="I36" s="66" t="str">
        <f>+'SAF 011'!F34</f>
        <v>AMPOLLA</v>
      </c>
      <c r="J36" s="67">
        <f>+'SAF 011'!AT34</f>
        <v>42</v>
      </c>
      <c r="K36" s="68">
        <f>+'SAF 011'!AS34</f>
        <v>10000</v>
      </c>
      <c r="M36" s="98">
        <f t="shared" si="0"/>
        <v>420000</v>
      </c>
    </row>
    <row r="37" spans="1:13" ht="22.5" customHeight="1" x14ac:dyDescent="0.25">
      <c r="A37" s="63">
        <v>26</v>
      </c>
      <c r="B37" s="103"/>
      <c r="C37" s="152" t="str">
        <f>+'SAF 011'!E35</f>
        <v>SALES DE REHIDRATACION ORAL SOBRES</v>
      </c>
      <c r="D37" s="153"/>
      <c r="E37" s="153"/>
      <c r="F37" s="153"/>
      <c r="G37" s="154"/>
      <c r="H37" s="65" t="s">
        <v>109</v>
      </c>
      <c r="I37" s="66" t="str">
        <f>+'SAF 011'!F35</f>
        <v>UNIDAD</v>
      </c>
      <c r="J37" s="67">
        <f>+'SAF 011'!AT35</f>
        <v>98</v>
      </c>
      <c r="K37" s="68">
        <f>+'SAF 011'!AS35</f>
        <v>3000</v>
      </c>
      <c r="M37" s="98">
        <f t="shared" si="0"/>
        <v>294000</v>
      </c>
    </row>
    <row r="38" spans="1:13" ht="22.5" customHeight="1" x14ac:dyDescent="0.25">
      <c r="A38" s="63">
        <v>27</v>
      </c>
      <c r="B38" s="103"/>
      <c r="C38" s="152" t="str">
        <f>+'SAF 011'!E36</f>
        <v>SOLUCION FISIOLOGICA 0,9% SACHET X 100 ML</v>
      </c>
      <c r="D38" s="153"/>
      <c r="E38" s="153"/>
      <c r="F38" s="153"/>
      <c r="G38" s="154"/>
      <c r="H38" s="65" t="s">
        <v>109</v>
      </c>
      <c r="I38" s="66" t="str">
        <f>+'SAF 011'!F36</f>
        <v>UNIDAD</v>
      </c>
      <c r="J38" s="67">
        <f>+'SAF 011'!AT36</f>
        <v>67</v>
      </c>
      <c r="K38" s="68">
        <f>+'SAF 011'!AS36</f>
        <v>10000</v>
      </c>
      <c r="M38" s="98">
        <f t="shared" si="0"/>
        <v>670000</v>
      </c>
    </row>
    <row r="39" spans="1:13" ht="44.25" customHeight="1" x14ac:dyDescent="0.25">
      <c r="A39" s="63">
        <v>28</v>
      </c>
      <c r="B39" s="103"/>
      <c r="C39" s="152" t="str">
        <f>+'SAF 011'!E37</f>
        <v>SOLUCION FISIOLOGICA 0,9 % SACHET X 500 ML SISTEMA CERRADO DOBLE PUERTO DE INYECCION</v>
      </c>
      <c r="D39" s="153"/>
      <c r="E39" s="153"/>
      <c r="F39" s="153"/>
      <c r="G39" s="154"/>
      <c r="H39" s="65" t="s">
        <v>109</v>
      </c>
      <c r="I39" s="66" t="str">
        <f>+'SAF 011'!F37</f>
        <v>UNIDAD</v>
      </c>
      <c r="J39" s="67">
        <f>+'SAF 011'!AT37</f>
        <v>80</v>
      </c>
      <c r="K39" s="68">
        <f>+'SAF 011'!AS37</f>
        <v>50000</v>
      </c>
      <c r="M39" s="98">
        <f t="shared" si="0"/>
        <v>4000000</v>
      </c>
    </row>
    <row r="40" spans="1:13" ht="22.5" customHeight="1" x14ac:dyDescent="0.25">
      <c r="A40" s="63">
        <v>29</v>
      </c>
      <c r="B40" s="103"/>
      <c r="C40" s="152" t="str">
        <f>+'SAF 011'!E38</f>
        <v>SUCCINILCOLINA 500 MG FCO AMP</v>
      </c>
      <c r="D40" s="153"/>
      <c r="E40" s="153"/>
      <c r="F40" s="153"/>
      <c r="G40" s="154"/>
      <c r="H40" s="65" t="s">
        <v>109</v>
      </c>
      <c r="I40" s="66" t="str">
        <f>+'SAF 011'!F38</f>
        <v>AMPOLLA</v>
      </c>
      <c r="J40" s="67">
        <f>+'SAF 011'!AT38</f>
        <v>587</v>
      </c>
      <c r="K40" s="68">
        <f>+'SAF 011'!AS38</f>
        <v>1000</v>
      </c>
      <c r="M40" s="98">
        <f t="shared" si="0"/>
        <v>587000</v>
      </c>
    </row>
    <row r="41" spans="1:13" ht="22.5" customHeight="1" x14ac:dyDescent="0.25">
      <c r="A41" s="63">
        <v>30</v>
      </c>
      <c r="B41" s="103"/>
      <c r="C41" s="152" t="str">
        <f>+'SAF 011'!E39</f>
        <v>VECURONIO BROMURO 10 MG AMPOLLA</v>
      </c>
      <c r="D41" s="153"/>
      <c r="E41" s="153"/>
      <c r="F41" s="153"/>
      <c r="G41" s="154"/>
      <c r="H41" s="65" t="s">
        <v>109</v>
      </c>
      <c r="I41" s="66" t="str">
        <f>+'SAF 011'!F39</f>
        <v>AMPOLLA</v>
      </c>
      <c r="J41" s="67">
        <f>+'SAF 011'!AT39</f>
        <v>975</v>
      </c>
      <c r="K41" s="68">
        <f>+'SAF 011'!AS39</f>
        <v>300</v>
      </c>
      <c r="M41" s="98">
        <f t="shared" si="0"/>
        <v>292500</v>
      </c>
    </row>
    <row r="42" spans="1:13" ht="15.75" x14ac:dyDescent="0.25">
      <c r="A42" s="63">
        <v>31</v>
      </c>
      <c r="B42" s="64"/>
      <c r="C42" s="152" t="str">
        <f>+'SAF 011'!E40</f>
        <v>VITAMINA K 1 MG AMPOLLA</v>
      </c>
      <c r="D42" s="153"/>
      <c r="E42" s="153"/>
      <c r="F42" s="153"/>
      <c r="G42" s="154"/>
      <c r="H42" s="65" t="s">
        <v>109</v>
      </c>
      <c r="I42" s="66" t="str">
        <f>+'SAF 011'!F40</f>
        <v>UNIDAD</v>
      </c>
      <c r="J42" s="67">
        <f>+'SAF 011'!AT40</f>
        <v>35</v>
      </c>
      <c r="K42" s="68">
        <f>+'SAF 011'!AS40</f>
        <v>1000</v>
      </c>
      <c r="M42" s="98">
        <f t="shared" si="0"/>
        <v>35000</v>
      </c>
    </row>
    <row r="43" spans="1:13" ht="43.5" customHeight="1" thickBot="1" x14ac:dyDescent="0.3">
      <c r="A43" s="156" t="s">
        <v>72</v>
      </c>
      <c r="B43" s="157"/>
      <c r="C43" s="158" t="s">
        <v>151</v>
      </c>
      <c r="D43" s="158"/>
      <c r="E43" s="158"/>
      <c r="F43" s="158"/>
      <c r="G43" s="158"/>
      <c r="H43" s="158"/>
      <c r="I43" s="159"/>
      <c r="J43" s="155">
        <f>+M43</f>
        <v>17460326.300000001</v>
      </c>
      <c r="K43" s="155"/>
      <c r="M43" s="98">
        <f>SUM(M12:M42)</f>
        <v>17460326.300000001</v>
      </c>
    </row>
  </sheetData>
  <mergeCells count="54">
    <mergeCell ref="C38:G38"/>
    <mergeCell ref="C39:G39"/>
    <mergeCell ref="C40:G40"/>
    <mergeCell ref="C33:G33"/>
    <mergeCell ref="C34:G34"/>
    <mergeCell ref="C35:G35"/>
    <mergeCell ref="C36:G36"/>
    <mergeCell ref="C37:G37"/>
    <mergeCell ref="C28:G28"/>
    <mergeCell ref="C29:G29"/>
    <mergeCell ref="C30:G30"/>
    <mergeCell ref="C31:G31"/>
    <mergeCell ref="C32:G32"/>
    <mergeCell ref="J43:K43"/>
    <mergeCell ref="C42:G42"/>
    <mergeCell ref="A43:B43"/>
    <mergeCell ref="C43:I43"/>
    <mergeCell ref="C17:G17"/>
    <mergeCell ref="C41:G41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topLeftCell="A7" workbookViewId="0">
      <selection activeCell="O35" sqref="O35:P35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5" width="14.85546875" customWidth="1"/>
    <col min="16" max="16" width="7.85546875" customWidth="1"/>
    <col min="17" max="17" width="17.7109375" customWidth="1"/>
  </cols>
  <sheetData>
    <row r="1" spans="1:17" ht="15.75" customHeight="1" thickBot="1" x14ac:dyDescent="0.3">
      <c r="A1" s="172" t="s">
        <v>3</v>
      </c>
      <c r="B1" s="172"/>
      <c r="C1" s="172"/>
      <c r="D1" s="173">
        <v>2021</v>
      </c>
      <c r="E1" s="173"/>
      <c r="F1" s="69"/>
      <c r="G1" s="69"/>
      <c r="H1" s="70"/>
      <c r="I1" s="70"/>
      <c r="J1" s="70"/>
      <c r="K1" s="70"/>
      <c r="L1" s="70"/>
      <c r="M1" s="70"/>
      <c r="N1" s="70"/>
      <c r="O1" s="71"/>
      <c r="P1" s="174" t="s">
        <v>73</v>
      </c>
      <c r="Q1" s="174"/>
    </row>
    <row r="2" spans="1:17" ht="15.75" customHeight="1" thickBot="1" x14ac:dyDescent="0.3">
      <c r="A2" s="72"/>
      <c r="B2" s="49"/>
      <c r="C2" s="49"/>
      <c r="D2" s="49"/>
      <c r="E2" s="49"/>
      <c r="F2" s="49"/>
      <c r="G2" s="73"/>
      <c r="H2" s="74"/>
      <c r="I2" s="74"/>
      <c r="J2" s="74"/>
      <c r="K2" s="74"/>
      <c r="L2" s="74"/>
      <c r="M2" s="74"/>
      <c r="N2" s="74"/>
      <c r="O2" s="49"/>
      <c r="P2" s="174"/>
      <c r="Q2" s="174"/>
    </row>
    <row r="3" spans="1:17" ht="15.75" thickBot="1" x14ac:dyDescent="0.3">
      <c r="A3" s="72"/>
      <c r="B3" s="49"/>
      <c r="C3" s="49"/>
      <c r="D3" s="49"/>
      <c r="E3" s="49"/>
      <c r="F3" s="49"/>
      <c r="G3" s="73"/>
      <c r="H3" s="49"/>
      <c r="I3" s="49"/>
      <c r="J3" s="49"/>
      <c r="K3" s="49"/>
      <c r="L3" s="49"/>
      <c r="M3" s="49"/>
      <c r="N3" s="49"/>
      <c r="O3" s="49"/>
      <c r="P3" s="49"/>
      <c r="Q3" s="75"/>
    </row>
    <row r="4" spans="1:17" ht="15.75" thickBot="1" x14ac:dyDescent="0.3">
      <c r="A4" s="175" t="s">
        <v>74</v>
      </c>
      <c r="B4" s="175"/>
      <c r="C4" s="175"/>
      <c r="D4" s="175"/>
      <c r="E4" s="175"/>
      <c r="F4" s="175"/>
      <c r="G4" s="176" t="str">
        <f>' NP FARMACIA'!D3</f>
        <v>040 - MINISTERIO DE SALUD</v>
      </c>
      <c r="H4" s="176"/>
      <c r="I4" s="176"/>
      <c r="J4" s="176"/>
      <c r="K4" s="176"/>
      <c r="L4" s="176"/>
      <c r="M4" s="176"/>
      <c r="N4" s="176"/>
      <c r="O4" s="176"/>
      <c r="P4" s="176"/>
      <c r="Q4" s="176"/>
    </row>
    <row r="5" spans="1:17" ht="15.75" thickBot="1" x14ac:dyDescent="0.3">
      <c r="A5" s="177" t="s">
        <v>57</v>
      </c>
      <c r="B5" s="177"/>
      <c r="C5" s="177"/>
      <c r="D5" s="177"/>
      <c r="E5" s="177"/>
      <c r="F5" s="177"/>
      <c r="G5" s="176" t="str">
        <f>' NP FARMACIA'!D4</f>
        <v>011 - DIRECCION PROVINCIAL DE ADMINISTRACION DEL MINISTERIO DE SALUD</v>
      </c>
      <c r="H5" s="176"/>
      <c r="I5" s="176"/>
      <c r="J5" s="176"/>
      <c r="K5" s="176"/>
      <c r="L5" s="176"/>
      <c r="M5" s="176"/>
      <c r="N5" s="176"/>
      <c r="O5" s="176"/>
      <c r="P5" s="176"/>
      <c r="Q5" s="176"/>
    </row>
    <row r="6" spans="1:17" ht="15.75" customHeight="1" thickBot="1" x14ac:dyDescent="0.3">
      <c r="A6" s="177" t="s">
        <v>59</v>
      </c>
      <c r="B6" s="177"/>
      <c r="C6" s="177"/>
      <c r="D6" s="177"/>
      <c r="E6" s="177"/>
      <c r="F6" s="177"/>
      <c r="G6" s="176" t="str">
        <f>' NP FARMACIA'!D5</f>
        <v>469 - DIRECCION PROVINCIAL DE FARMACIA E INSUMOS</v>
      </c>
      <c r="H6" s="176"/>
      <c r="I6" s="176"/>
      <c r="J6" s="176"/>
      <c r="K6" s="176"/>
      <c r="L6" s="176"/>
      <c r="M6" s="176"/>
      <c r="N6" s="176"/>
      <c r="O6" s="176"/>
      <c r="P6" s="176"/>
      <c r="Q6" s="176"/>
    </row>
    <row r="7" spans="1:17" ht="15.75" customHeight="1" thickBot="1" x14ac:dyDescent="0.3">
      <c r="A7" s="177" t="s">
        <v>61</v>
      </c>
      <c r="B7" s="177"/>
      <c r="C7" s="177"/>
      <c r="D7" s="177"/>
      <c r="E7" s="177"/>
      <c r="F7" s="177"/>
      <c r="G7" s="176" t="str">
        <f>' NP FARMACIA'!D6</f>
        <v>469 - DIRECCION PROVINCIAL DE FARMACIA E INSUMOS</v>
      </c>
      <c r="H7" s="176"/>
      <c r="I7" s="176"/>
      <c r="J7" s="176"/>
      <c r="K7" s="176"/>
      <c r="L7" s="176"/>
      <c r="M7" s="176"/>
      <c r="N7" s="176"/>
      <c r="O7" s="176"/>
      <c r="P7" s="176"/>
      <c r="Q7" s="176"/>
    </row>
    <row r="8" spans="1:17" ht="15.75" thickBot="1" x14ac:dyDescent="0.3">
      <c r="A8" s="182" t="s">
        <v>75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</row>
    <row r="9" spans="1:17" x14ac:dyDescent="0.25">
      <c r="A9" s="183" t="s">
        <v>76</v>
      </c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</row>
    <row r="10" spans="1:17" ht="50.25" customHeight="1" x14ac:dyDescent="0.25">
      <c r="A10" s="184" t="s">
        <v>98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</row>
    <row r="11" spans="1:17" ht="15.75" thickBot="1" x14ac:dyDescent="0.3">
      <c r="A11" s="76"/>
      <c r="B11" s="77"/>
      <c r="C11" s="77"/>
      <c r="D11" s="77"/>
      <c r="E11" s="77"/>
      <c r="F11" s="77"/>
      <c r="G11" s="78"/>
      <c r="H11" s="77"/>
      <c r="I11" s="77"/>
      <c r="J11" s="77"/>
      <c r="K11" s="77"/>
      <c r="L11" s="77"/>
      <c r="M11" s="77"/>
      <c r="N11" s="77"/>
      <c r="O11" s="77"/>
      <c r="P11" s="77"/>
      <c r="Q11" s="79"/>
    </row>
    <row r="12" spans="1:17" ht="15.75" thickBot="1" x14ac:dyDescent="0.3">
      <c r="A12" s="185" t="s">
        <v>77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</row>
    <row r="13" spans="1:17" ht="15.75" customHeight="1" thickBot="1" x14ac:dyDescent="0.3">
      <c r="A13" s="186" t="s">
        <v>78</v>
      </c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7" t="s">
        <v>79</v>
      </c>
      <c r="P13" s="187"/>
      <c r="Q13" s="168" t="s">
        <v>80</v>
      </c>
    </row>
    <row r="14" spans="1:17" ht="23.25" customHeight="1" x14ac:dyDescent="0.25">
      <c r="A14" s="80" t="s">
        <v>81</v>
      </c>
      <c r="B14" s="81" t="s">
        <v>82</v>
      </c>
      <c r="C14" s="81" t="s">
        <v>83</v>
      </c>
      <c r="D14" s="81" t="s">
        <v>84</v>
      </c>
      <c r="E14" s="81" t="s">
        <v>85</v>
      </c>
      <c r="F14" s="81" t="s">
        <v>86</v>
      </c>
      <c r="G14" s="82" t="s">
        <v>87</v>
      </c>
      <c r="H14" s="81" t="s">
        <v>88</v>
      </c>
      <c r="I14" s="81" t="s">
        <v>89</v>
      </c>
      <c r="J14" s="81" t="s">
        <v>90</v>
      </c>
      <c r="K14" s="81" t="s">
        <v>90</v>
      </c>
      <c r="L14" s="81" t="s">
        <v>91</v>
      </c>
      <c r="M14" s="83" t="s">
        <v>92</v>
      </c>
      <c r="N14" s="84" t="s">
        <v>93</v>
      </c>
      <c r="O14" s="187"/>
      <c r="P14" s="187"/>
      <c r="Q14" s="168"/>
    </row>
    <row r="15" spans="1:17" ht="30.75" customHeight="1" x14ac:dyDescent="0.25">
      <c r="A15" s="85">
        <v>30</v>
      </c>
      <c r="B15" s="86"/>
      <c r="C15" s="86"/>
      <c r="D15" s="86">
        <v>1</v>
      </c>
      <c r="E15" s="86"/>
      <c r="F15" s="86">
        <v>4901</v>
      </c>
      <c r="G15" s="86">
        <v>3</v>
      </c>
      <c r="H15" s="86">
        <v>1</v>
      </c>
      <c r="I15" s="86">
        <v>2</v>
      </c>
      <c r="J15" s="86">
        <v>5</v>
      </c>
      <c r="K15" s="86">
        <v>2</v>
      </c>
      <c r="L15" s="86"/>
      <c r="M15" s="87">
        <v>1</v>
      </c>
      <c r="N15" s="88" t="s">
        <v>94</v>
      </c>
      <c r="O15" s="169" t="s">
        <v>110</v>
      </c>
      <c r="P15" s="170"/>
      <c r="Q15" s="100">
        <f>+'SAF 011'!AU41</f>
        <v>17460326.300000001</v>
      </c>
    </row>
    <row r="16" spans="1:17" x14ac:dyDescent="0.25">
      <c r="A16" s="85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7"/>
      <c r="N16" s="88"/>
      <c r="O16" s="171"/>
      <c r="P16" s="171"/>
      <c r="Q16" s="100"/>
    </row>
    <row r="17" spans="1:17" x14ac:dyDescent="0.25">
      <c r="A17" s="85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7"/>
      <c r="N17" s="88"/>
      <c r="O17" s="164"/>
      <c r="P17" s="164"/>
      <c r="Q17" s="100"/>
    </row>
    <row r="18" spans="1:17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7"/>
      <c r="N18" s="88"/>
      <c r="O18" s="164"/>
      <c r="P18" s="164"/>
      <c r="Q18" s="100"/>
    </row>
    <row r="19" spans="1:17" x14ac:dyDescent="0.25">
      <c r="A19" s="85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7"/>
      <c r="N19" s="88"/>
      <c r="O19" s="164"/>
      <c r="P19" s="164"/>
      <c r="Q19" s="100"/>
    </row>
    <row r="20" spans="1:17" x14ac:dyDescent="0.25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7"/>
      <c r="N20" s="88"/>
      <c r="O20" s="164"/>
      <c r="P20" s="164"/>
      <c r="Q20" s="100"/>
    </row>
    <row r="21" spans="1:17" x14ac:dyDescent="0.25">
      <c r="A21" s="85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7"/>
      <c r="N21" s="88"/>
      <c r="O21" s="164"/>
      <c r="P21" s="164"/>
      <c r="Q21" s="100"/>
    </row>
    <row r="22" spans="1:17" x14ac:dyDescent="0.25">
      <c r="A22" s="85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7"/>
      <c r="N22" s="88"/>
      <c r="O22" s="164"/>
      <c r="P22" s="164"/>
      <c r="Q22" s="100"/>
    </row>
    <row r="23" spans="1:17" x14ac:dyDescent="0.25">
      <c r="A23" s="85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7"/>
      <c r="N23" s="88"/>
      <c r="O23" s="164"/>
      <c r="P23" s="164"/>
      <c r="Q23" s="100"/>
    </row>
    <row r="24" spans="1:17" x14ac:dyDescent="0.25">
      <c r="A24" s="85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7"/>
      <c r="N24" s="88"/>
      <c r="O24" s="164"/>
      <c r="P24" s="164"/>
      <c r="Q24" s="100"/>
    </row>
    <row r="25" spans="1:17" x14ac:dyDescent="0.25">
      <c r="A25" s="85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7"/>
      <c r="N25" s="88"/>
      <c r="O25" s="164"/>
      <c r="P25" s="164"/>
      <c r="Q25" s="100"/>
    </row>
    <row r="26" spans="1:17" x14ac:dyDescent="0.25">
      <c r="A26" s="85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7"/>
      <c r="N26" s="88"/>
      <c r="O26" s="164"/>
      <c r="P26" s="164"/>
      <c r="Q26" s="100"/>
    </row>
    <row r="27" spans="1:17" x14ac:dyDescent="0.25">
      <c r="A27" s="85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7"/>
      <c r="N27" s="88"/>
      <c r="O27" s="164"/>
      <c r="P27" s="164"/>
      <c r="Q27" s="100"/>
    </row>
    <row r="28" spans="1:17" x14ac:dyDescent="0.25">
      <c r="A28" s="85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7"/>
      <c r="N28" s="88"/>
      <c r="O28" s="164"/>
      <c r="P28" s="164"/>
      <c r="Q28" s="100"/>
    </row>
    <row r="29" spans="1:17" x14ac:dyDescent="0.25">
      <c r="A29" s="85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7"/>
      <c r="N29" s="88"/>
      <c r="O29" s="164"/>
      <c r="P29" s="164"/>
      <c r="Q29" s="100"/>
    </row>
    <row r="30" spans="1:17" x14ac:dyDescent="0.25">
      <c r="A30" s="85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7"/>
      <c r="N30" s="88"/>
      <c r="O30" s="164"/>
      <c r="P30" s="164"/>
      <c r="Q30" s="100"/>
    </row>
    <row r="31" spans="1:17" x14ac:dyDescent="0.25">
      <c r="A31" s="85"/>
      <c r="B31" s="86"/>
      <c r="C31" s="86"/>
      <c r="D31" s="86"/>
      <c r="E31" s="86"/>
      <c r="F31" s="88"/>
      <c r="G31" s="86"/>
      <c r="H31" s="86"/>
      <c r="I31" s="86"/>
      <c r="J31" s="86"/>
      <c r="K31" s="86"/>
      <c r="L31" s="86"/>
      <c r="M31" s="87"/>
      <c r="N31" s="88"/>
      <c r="O31" s="165"/>
      <c r="P31" s="165"/>
      <c r="Q31" s="100"/>
    </row>
    <row r="32" spans="1:17" x14ac:dyDescent="0.25">
      <c r="A32" s="85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7"/>
      <c r="N32" s="88"/>
      <c r="O32" s="165"/>
      <c r="P32" s="165"/>
      <c r="Q32" s="100"/>
    </row>
    <row r="33" spans="1:17" x14ac:dyDescent="0.25">
      <c r="A33" s="85"/>
      <c r="B33" s="86"/>
      <c r="C33" s="86"/>
      <c r="D33" s="86"/>
      <c r="E33" s="86"/>
      <c r="F33" s="88"/>
      <c r="G33" s="86"/>
      <c r="H33" s="86"/>
      <c r="I33" s="86"/>
      <c r="J33" s="86"/>
      <c r="K33" s="86"/>
      <c r="L33" s="86"/>
      <c r="M33" s="87"/>
      <c r="N33" s="88"/>
      <c r="O33" s="165"/>
      <c r="P33" s="165"/>
      <c r="Q33" s="100"/>
    </row>
    <row r="34" spans="1:17" x14ac:dyDescent="0.25">
      <c r="A34" s="85"/>
      <c r="B34" s="86"/>
      <c r="C34" s="86"/>
      <c r="D34" s="86"/>
      <c r="E34" s="86"/>
      <c r="F34" s="88"/>
      <c r="G34" s="86"/>
      <c r="H34" s="86"/>
      <c r="I34" s="86"/>
      <c r="J34" s="86"/>
      <c r="K34" s="86"/>
      <c r="L34" s="86"/>
      <c r="M34" s="87"/>
      <c r="N34" s="88"/>
      <c r="O34" s="165"/>
      <c r="P34" s="165"/>
      <c r="Q34" s="100"/>
    </row>
    <row r="35" spans="1:17" x14ac:dyDescent="0.25">
      <c r="A35" s="89"/>
      <c r="B35" s="90"/>
      <c r="C35" s="90"/>
      <c r="D35" s="90"/>
      <c r="E35" s="90"/>
      <c r="F35" s="91"/>
      <c r="G35" s="90"/>
      <c r="H35" s="90"/>
      <c r="I35" s="90"/>
      <c r="J35" s="90"/>
      <c r="K35" s="90"/>
      <c r="L35" s="90"/>
      <c r="M35" s="92"/>
      <c r="N35" s="93"/>
      <c r="O35" s="166"/>
      <c r="P35" s="166"/>
      <c r="Q35" s="100"/>
    </row>
    <row r="36" spans="1:17" ht="15.75" thickBo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95"/>
      <c r="O36" s="167"/>
      <c r="P36" s="167"/>
      <c r="Q36" s="101"/>
    </row>
    <row r="37" spans="1:17" ht="34.5" customHeight="1" thickBot="1" x14ac:dyDescent="0.3">
      <c r="A37" s="160" t="s">
        <v>95</v>
      </c>
      <c r="B37" s="161"/>
      <c r="C37" s="161"/>
      <c r="D37" s="161"/>
      <c r="E37" s="161"/>
      <c r="F37" s="162" t="str">
        <f>' NP FARMACIA'!C43</f>
        <v>DIECISIETE MILLONES CUATROCIENTOS SESENTA  MIL TRESCIENTOS VEINTISEIS CON 30/100.-</v>
      </c>
      <c r="G37" s="162"/>
      <c r="H37" s="162"/>
      <c r="I37" s="162"/>
      <c r="J37" s="162"/>
      <c r="K37" s="162"/>
      <c r="L37" s="162"/>
      <c r="M37" s="162"/>
      <c r="N37" s="162"/>
      <c r="O37" s="162"/>
      <c r="P37" s="163"/>
      <c r="Q37" s="102">
        <f>SUM(Q15:Q36)</f>
        <v>17460326.300000001</v>
      </c>
    </row>
    <row r="38" spans="1:17" ht="15.75" thickBot="1" x14ac:dyDescent="0.3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</row>
    <row r="39" spans="1:17" ht="15.75" customHeight="1" thickBot="1" x14ac:dyDescent="0.3">
      <c r="A39" s="180" t="s">
        <v>96</v>
      </c>
      <c r="B39" s="180"/>
      <c r="C39" s="180"/>
      <c r="D39" s="180"/>
      <c r="E39" s="180"/>
      <c r="F39" s="180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</row>
    <row r="40" spans="1:17" ht="15.75" customHeight="1" thickBot="1" x14ac:dyDescent="0.3">
      <c r="A40" s="178" t="str">
        <f>' NP FARMACIA'!D8</f>
        <v>ADQ. DEL RUBRO MEDICAMENTOS PARA FARMACIA CENTRAL</v>
      </c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</row>
    <row r="41" spans="1:17" ht="15.75" thickBot="1" x14ac:dyDescent="0.3">
      <c r="A41" s="178"/>
      <c r="B41" s="178"/>
      <c r="C41" s="178"/>
      <c r="D41" s="178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</row>
  </sheetData>
  <mergeCells count="46">
    <mergeCell ref="A5:F5"/>
    <mergeCell ref="G5:Q5"/>
    <mergeCell ref="A6:F6"/>
    <mergeCell ref="G6:Q6"/>
    <mergeCell ref="A40:Q41"/>
    <mergeCell ref="A38:Q38"/>
    <mergeCell ref="A39:F39"/>
    <mergeCell ref="G39:Q39"/>
    <mergeCell ref="A7:F7"/>
    <mergeCell ref="G7:Q7"/>
    <mergeCell ref="A8:Q8"/>
    <mergeCell ref="A9:Q9"/>
    <mergeCell ref="A10:Q10"/>
    <mergeCell ref="A12:Q12"/>
    <mergeCell ref="A13:N13"/>
    <mergeCell ref="O13:P14"/>
    <mergeCell ref="A1:C1"/>
    <mergeCell ref="D1:E1"/>
    <mergeCell ref="P1:Q2"/>
    <mergeCell ref="A4:F4"/>
    <mergeCell ref="G4:Q4"/>
    <mergeCell ref="Q13:Q14"/>
    <mergeCell ref="O25:P25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A37:E37"/>
    <mergeCell ref="F37:P37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</mergeCells>
  <pageMargins left="0.70866141732283472" right="0.70866141732283472" top="0.74803149606299213" bottom="0.74803149606299213" header="0.31496062992125984" footer="0.31496062992125984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 NP FARMACIA</vt:lpstr>
      <vt:lpstr>APG FARMACIA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COMPRAS</cp:lastModifiedBy>
  <cp:lastPrinted>2021-11-03T13:07:36Z</cp:lastPrinted>
  <dcterms:created xsi:type="dcterms:W3CDTF">2021-08-30T13:24:26Z</dcterms:created>
  <dcterms:modified xsi:type="dcterms:W3CDTF">2021-11-11T13:21:22Z</dcterms:modified>
</cp:coreProperties>
</file>