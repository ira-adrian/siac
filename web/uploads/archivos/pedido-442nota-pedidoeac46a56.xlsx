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tabRatio="500" activeTab="2"/>
  </bookViews>
  <sheets>
    <sheet name="Autor Gastar" sheetId="2" r:id="rId1"/>
    <sheet name="nota trimestral" sheetId="3" r:id="rId2"/>
    <sheet name="nota de pedido" sheetId="4" r:id="rId3"/>
  </sheets>
  <definedNames>
    <definedName name="_xlnm.Print_Area" localSheetId="0">'Autor Gastar'!$A$1:$Q$37</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J34" i="4" l="1"/>
  <c r="I13" i="4" l="1"/>
  <c r="I14" i="4"/>
  <c r="I15" i="4"/>
  <c r="I16" i="4"/>
  <c r="I17" i="4"/>
  <c r="I18" i="4"/>
  <c r="I19" i="4"/>
  <c r="I20" i="4"/>
  <c r="I21" i="4"/>
  <c r="I22" i="4"/>
  <c r="I23" i="4"/>
  <c r="I24" i="4"/>
  <c r="I25" i="4"/>
  <c r="I26" i="4"/>
  <c r="I27" i="4"/>
  <c r="I28" i="4"/>
  <c r="I29" i="4"/>
  <c r="I30" i="4"/>
  <c r="I31" i="4"/>
  <c r="I32" i="4"/>
  <c r="I33" i="4"/>
  <c r="I12" i="4"/>
  <c r="B13" i="4"/>
  <c r="B14" i="4"/>
  <c r="B15" i="4"/>
  <c r="B16" i="4"/>
  <c r="B17" i="4"/>
  <c r="B18" i="4"/>
  <c r="B19" i="4"/>
  <c r="B20" i="4"/>
  <c r="B21" i="4"/>
  <c r="B22" i="4"/>
  <c r="B23" i="4"/>
  <c r="B24" i="4"/>
  <c r="B25" i="4"/>
  <c r="B26" i="4"/>
  <c r="B27" i="4"/>
  <c r="B28" i="4"/>
  <c r="B29" i="4"/>
  <c r="B30" i="4"/>
  <c r="B31" i="4"/>
  <c r="B32" i="4"/>
  <c r="B33" i="4"/>
  <c r="B12" i="4"/>
  <c r="C13" i="4"/>
  <c r="C14" i="4"/>
  <c r="C15" i="4"/>
  <c r="C16" i="4"/>
  <c r="C17" i="4"/>
  <c r="C18" i="4"/>
  <c r="C19" i="4"/>
  <c r="C20" i="4"/>
  <c r="C21" i="4"/>
  <c r="C22" i="4"/>
  <c r="C23" i="4"/>
  <c r="C24" i="4"/>
  <c r="C25" i="4"/>
  <c r="C26" i="4"/>
  <c r="C27" i="4"/>
  <c r="C28" i="4"/>
  <c r="C29" i="4"/>
  <c r="C30" i="4"/>
  <c r="C31" i="4"/>
  <c r="C32" i="4"/>
  <c r="C33" i="4"/>
  <c r="C12" i="4"/>
  <c r="I30" i="3" l="1"/>
  <c r="D30" i="3"/>
  <c r="I29" i="3"/>
  <c r="D29" i="3"/>
  <c r="I28" i="3"/>
  <c r="D28" i="3"/>
  <c r="I27" i="3"/>
  <c r="D27" i="3"/>
  <c r="I26" i="3"/>
  <c r="D26" i="3"/>
  <c r="I25" i="3"/>
  <c r="D25" i="3"/>
  <c r="I24" i="3"/>
  <c r="D24" i="3"/>
  <c r="I23" i="3"/>
  <c r="D23" i="3"/>
  <c r="I22" i="3"/>
  <c r="D22" i="3"/>
  <c r="I21" i="3"/>
  <c r="D21" i="3"/>
  <c r="I20" i="3"/>
  <c r="D20" i="3"/>
  <c r="I19" i="3"/>
  <c r="D19" i="3"/>
  <c r="I18" i="3"/>
  <c r="D18" i="3"/>
  <c r="I17" i="3"/>
  <c r="D17" i="3"/>
  <c r="I16" i="3"/>
  <c r="D16" i="3"/>
  <c r="I15" i="3"/>
  <c r="D15" i="3"/>
  <c r="I14" i="3"/>
  <c r="D14" i="3"/>
  <c r="I13" i="3"/>
  <c r="D13" i="3"/>
  <c r="I12" i="3"/>
  <c r="D12" i="3"/>
  <c r="I11" i="3"/>
  <c r="D11" i="3"/>
  <c r="I10" i="3"/>
  <c r="D10" i="3"/>
  <c r="I9" i="3"/>
  <c r="D9" i="3"/>
  <c r="Q33" i="2" l="1"/>
</calcChain>
</file>

<file path=xl/sharedStrings.xml><?xml version="1.0" encoding="utf-8"?>
<sst xmlns="http://schemas.openxmlformats.org/spreadsheetml/2006/main" count="285" uniqueCount="127">
  <si>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</si>
  <si>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</si>
  <si>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</si>
  <si>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</si>
  <si>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</si>
  <si>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</si>
  <si>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</si>
  <si>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</si>
  <si>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</si>
  <si>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</si>
  <si>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</si>
  <si>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</si>
  <si>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</si>
  <si>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</si>
  <si>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</si>
  <si>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</si>
  <si>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</si>
  <si>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</si>
  <si>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</si>
  <si>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</si>
  <si>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</si>
  <si>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</si>
  <si>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</si>
  <si>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</si>
  <si>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</si>
  <si>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</si>
  <si>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</si>
  <si>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ELEMENTOS DE LIMPIEZA</t>
  </si>
  <si>
    <t>70 - MINISTERIO DE CIENCIA E INNOVACION TECNOLOGICA</t>
  </si>
  <si>
    <t>20 - MINISTERIO DE CIENCIA E INNOVACION TECNOLOGICA</t>
  </si>
  <si>
    <t>MINISTERIO DE CIENCIA E INNOVACION TECNOLOGICA</t>
  </si>
  <si>
    <t>DIRECCION PROVINCIAL DE GESTION ADMINISTRATVA</t>
  </si>
  <si>
    <t>Autorizo la realización de los  trámites correspondientes, a fin de proveer a  este Organismo los bienes, servicios o ejecución de obras públicas que se detallan en Nota  de Pedido N°  031/20 ,  conforme al siguiente detalle:</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</si>
  <si>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</si>
  <si>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</si>
  <si>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</si>
  <si>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</si>
  <si>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</si>
  <si>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</si>
  <si>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</si>
  <si>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</si>
  <si>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</si>
  <si>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</si>
  <si>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</si>
  <si>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</si>
  <si>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</si>
  <si>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2.9.1-6951.139</t>
  </si>
  <si>
    <t>LIMPIADORES; TIPO: LIMPIADOR DE PISOS, PRESENTACION: ENVASE X 5 L</t>
  </si>
  <si>
    <t>UNIDAD</t>
  </si>
  <si>
    <t>2.9.1-6951.27</t>
  </si>
  <si>
    <t>LIMPIADORES; TIPO: LAVANDINA, PRESENTACION: ENVASE X 2 L</t>
  </si>
  <si>
    <t>2.9.1-6961.38</t>
  </si>
  <si>
    <t>ELEM. P/LIMPIEZA SANITARIOS; TIPO: LAVANDINA EN GEL, PRESENTACION: ENVASE X 5 L</t>
  </si>
  <si>
    <t>2.9.1-6951.214</t>
  </si>
  <si>
    <t>LIMPIADORES; TIPO: DETERGENTE NEUTRO, PRESENTACION: ENVASE X 5 L</t>
  </si>
  <si>
    <t>2.9.1-6960.16</t>
  </si>
  <si>
    <t>ELEM. LIMPIEZA P/INDUMENTARIA; TIPO: JABON EN POLVO, PRESENTACION: ENVASE X 5 Kg</t>
  </si>
  <si>
    <t>2.9.1-1164.1</t>
  </si>
  <si>
    <t>ESPONJAS; MATERIAL: POLIURETANO POLIETER, USO: P/COCINA, ADITAMENTO: FIBRA POLIESTER SUAVE, FORMA: PRISMATICA, LARGO X ANCHO X ESP: 10 X 6 X 3,5 Cm, COLOR: AMARILLO</t>
  </si>
  <si>
    <t>2.9.1-713.12</t>
  </si>
  <si>
    <t>TRAPOS DE PISO; DIMENSION: 50 X 55 Cm, COLOR: GRIS</t>
  </si>
  <si>
    <t>2.9.1-544.57</t>
  </si>
  <si>
    <t>DESODORANTES DE AMBIENTE; FORMATO: AEROSOL, FRAGANCIA: LAVANDA, PRESENTACION: ENVASE X 360 CM3, LIBRE DE CFC: SI</t>
  </si>
  <si>
    <t>PAQUETE</t>
  </si>
  <si>
    <t>2.9.1-2030.1</t>
  </si>
  <si>
    <t>LANAS DE ACERO; PRESENTACION: PAQUETE, CONTENIDO: MADEJA</t>
  </si>
  <si>
    <t>2.9.1-683.17</t>
  </si>
  <si>
    <t>SECADORES DE GOMA; LARGO: 35 Cm</t>
  </si>
  <si>
    <t>2.9.1-6952.31</t>
  </si>
  <si>
    <t>CEPILLOS; TIPO: ESCOBILLON, MATERIAL: CERDA</t>
  </si>
  <si>
    <t>2.9.1-761.6</t>
  </si>
  <si>
    <t>GUANTES P/LIMPIEZA; TAMAÑO: MEDIANO, MATERIAL: LATEX C/FELPA INTERIOR</t>
  </si>
  <si>
    <t>2.9.1-4784.4</t>
  </si>
  <si>
    <t>LIMPIADORES MULTIUSO; TIPO: P/LAMPAZO, PRESENTACION: ENVASE X 1 L</t>
  </si>
  <si>
    <t>2.9.1-6961.6</t>
  </si>
  <si>
    <t>ELEM. P/LIMPIEZA SANITARIOS; TIPO: PASTILLA DESODORANTE, PRESENTACION: UNIDAD</t>
  </si>
  <si>
    <t>2.9.1-2425.2</t>
  </si>
  <si>
    <t>LAMPAZOS; MATERIAL: HILO, MANGO: MADERA</t>
  </si>
  <si>
    <t>2.9.1-2661.43</t>
  </si>
  <si>
    <t>TACHOS DE RESIDUOS; MATERIAL: POLIETILENO DE ALTA DENSIDAD, SECCION: RECTANGULAR, DIMENSION: 50 L, TAPA: ABISAGRADA</t>
  </si>
  <si>
    <t>2.9.1-564.18</t>
  </si>
  <si>
    <t>BALDES DE PLASTICO; CAPACIDAD: 14 L</t>
  </si>
  <si>
    <t xml:space="preserve">UNIDAD </t>
  </si>
  <si>
    <t>2.9.1-6950.30</t>
  </si>
  <si>
    <t>LUSTRADORES; TIPO: LUSTRAMUEBLES, PRESENTACION: AEROSOL X 360 CM3</t>
  </si>
  <si>
    <t>2.9.1-2437.2</t>
  </si>
  <si>
    <t>PALAS DE RESIDUOS; MATERIAL: PLASTICO, MANGO: LARGO</t>
  </si>
  <si>
    <t>2.9.1-4784.40</t>
  </si>
  <si>
    <t>LIMPIADORES MULTIUSO; TIPO: CREMOSO, PRESENTACION: ENVASE X 750 CM3</t>
  </si>
  <si>
    <t>Especificidades Items N° 1 al 22:</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</si>
  <si>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</si>
  <si>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</si>
  <si>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</si>
  <si>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</si>
  <si>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r>
      <t xml:space="preserve">Mantenimiento: </t>
    </r>
    <r>
      <rPr>
        <sz val="10"/>
        <rFont val="Times New Roman"/>
        <family val="1"/>
      </rPr>
      <t xml:space="preserve"> Treinta(30) dias habiles</t>
    </r>
  </si>
  <si>
    <t>Garantia</t>
  </si>
  <si>
    <t>NOTA DE PEDIDO</t>
  </si>
  <si>
    <t>N°</t>
  </si>
  <si>
    <t>031/20</t>
  </si>
  <si>
    <t xml:space="preserve">JURISDICCIÓN: </t>
  </si>
  <si>
    <t xml:space="preserve"> MINISTERIO DE CIENCIA E INNOVACION TECNOLOGICA</t>
  </si>
  <si>
    <t>DIRECCION PROVINCIAL DE GESTION ADMINISTRATIVA</t>
  </si>
  <si>
    <t>PERIODO UTILIZACIÓN:</t>
  </si>
  <si>
    <t>OBJETO:</t>
  </si>
  <si>
    <t>Ítem</t>
  </si>
  <si>
    <t>Codigo Item</t>
  </si>
  <si>
    <t>DESCRIPCIÓN</t>
  </si>
  <si>
    <t>Adjunta Detalle Técnico</t>
  </si>
  <si>
    <t>Unidad Medida</t>
  </si>
  <si>
    <t>Precio Unitario Estimado</t>
  </si>
  <si>
    <t>Cantidad Solicitada</t>
  </si>
  <si>
    <t>NO</t>
  </si>
  <si>
    <t>4 TRIMESTRE 2020</t>
  </si>
  <si>
    <t>Adquisición de elementos de limpieza para distintas Escuelas Agrotécnicas y dependencias del Ministerio de Ciencia e Innovación Tecnológica, las cuales son de suma necesidad para el desarrollo de sus funciones en un ámbito adecuado e higiénico acorde a la necesidad sanitaria con la que convivimos.</t>
  </si>
  <si>
    <t>La presente erogación tiene por objeto la adquisición de elementos de limpieza para distintas Escuelas Agrotécnicas y dependencias del Ministerio de Ciencia e Innovación Tecnológica, las cuales son de suma necesidad para el desarrollo de sus funciones en un ámbito adecuado e higiénico acorde a la necesidad sanitaria con la que convivimos.</t>
  </si>
  <si>
    <t>TRAPOS REJILLA; DIMENSION: 38 X 42 Cm, MATERIAL: PURO ALGODON, COLOR: BLANCO</t>
  </si>
  <si>
    <t>2.9.1-678.1</t>
  </si>
  <si>
    <t>2.9.1-1083.6</t>
  </si>
  <si>
    <t>ESPONJA DE ACERO; CUERPO: METALICO, PESO: 15 GR, MATERIAL DEL CUERPO: METALICO, MATERIAL: METALICO</t>
  </si>
  <si>
    <t>Items N°10: Esponjas bollito doradas chico x 15 grs  por 10 unidades.</t>
  </si>
  <si>
    <t>Items N°8: Trapo rejilla multiuso de 38 x42 cm por 12 unidades.</t>
  </si>
  <si>
    <t>Items N°7: Trapo de piso de 50 x55 cm por 12 unidades.</t>
  </si>
  <si>
    <t>Items N°11: Lana de acero por 10 rollos de 60/70 grs</t>
  </si>
  <si>
    <t>Items N°13: Escobillon mediano sin cabo por 12 unidades</t>
  </si>
  <si>
    <t>SI</t>
  </si>
  <si>
    <t>Costo total estimado: UN MILLON QUINIENTOS MIL TREINTA Y TRES CON 00/100-</t>
  </si>
  <si>
    <t>TOTAL DE PESOS: UN MILLON QUINIENTOS MIL TREINTA Y TRES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</si>
</sst>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6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2" fillId="0" borderId="0" applyFont="0" applyFill="0" applyBorder="0" applyAlignment="0" applyProtection="0"/>
  </cellStyleXfs>
  <cellXfs count="153">
    <xf numFmtId="0" fontId="0" fillId="0" borderId="0" xfId="0"/>
    <xf numFmtId="0" fontId="0" fillId="0" borderId="0" xfId="0" applyAlignment="1">
      <alignment horizontal="left"/>
    </xf>
    <xf numFmtId="3" fontId="5" fillId="0" borderId="14" xfId="0" applyNumberFormat="1" applyFont="1" applyBorder="1" applyAlignment="1"/>
    <xf numFmtId="166"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20" xfId="0" applyBorder="1"/>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4" xfId="0" applyFont="1" applyBorder="1" applyAlignment="1">
      <alignment horizontal="left"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167" fontId="0" fillId="0" borderId="28" xfId="2" applyNumberFormat="1" applyFont="1" applyBorder="1" applyAlignment="1" applyProtection="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67" fontId="0" fillId="0" borderId="33" xfId="2" applyNumberFormat="1" applyFont="1" applyBorder="1" applyAlignment="1" applyProtection="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167" fontId="0" fillId="0" borderId="37" xfId="2" applyNumberFormat="1" applyFont="1" applyBorder="1" applyAlignment="1" applyProtection="1">
      <alignment horizontal="center" vertical="center"/>
    </xf>
    <xf numFmtId="167" fontId="9" fillId="0" borderId="39" xfId="0" applyNumberFormat="1"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40"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44" xfId="0" applyFont="1" applyBorder="1" applyAlignment="1">
      <alignment horizontal="center" vertical="center" wrapText="1"/>
    </xf>
    <xf numFmtId="0" fontId="20" fillId="3" borderId="45" xfId="0" applyFont="1" applyFill="1" applyBorder="1" applyAlignment="1">
      <alignment horizontal="center" vertical="center" wrapText="1"/>
    </xf>
    <xf numFmtId="167" fontId="19" fillId="3" borderId="45" xfId="4"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3" borderId="14" xfId="0" applyFont="1" applyFill="1" applyBorder="1" applyAlignment="1">
      <alignment horizontal="center" vertical="center" wrapText="1"/>
    </xf>
    <xf numFmtId="0" fontId="0" fillId="0" borderId="0" xfId="0" applyBorder="1" applyAlignment="1">
      <alignment horizontal="center" vertical="center" wrapText="1"/>
    </xf>
    <xf numFmtId="0" fontId="20" fillId="0" borderId="14" xfId="0" applyFont="1" applyBorder="1" applyAlignment="1">
      <alignment horizontal="center" vertical="center" wrapText="1"/>
    </xf>
    <xf numFmtId="0" fontId="0" fillId="0" borderId="0" xfId="0" applyBorder="1" applyAlignment="1">
      <alignment horizontal="left" vertical="center" wrapText="1"/>
    </xf>
    <xf numFmtId="0" fontId="20" fillId="3" borderId="0" xfId="0" applyFont="1" applyFill="1" applyBorder="1" applyAlignment="1">
      <alignment horizontal="center" vertical="center" wrapText="1"/>
    </xf>
    <xf numFmtId="167" fontId="19" fillId="3" borderId="0" xfId="4" applyNumberFormat="1" applyFont="1" applyFill="1" applyBorder="1" applyAlignment="1" applyProtection="1">
      <alignment horizontal="right" vertical="center" wrapText="1"/>
    </xf>
    <xf numFmtId="0" fontId="21" fillId="0" borderId="46" xfId="0" applyFont="1" applyBorder="1"/>
    <xf numFmtId="0" fontId="13" fillId="0" borderId="14" xfId="0" applyFont="1" applyBorder="1"/>
    <xf numFmtId="0" fontId="13" fillId="0" borderId="47" xfId="0" applyFont="1" applyBorder="1"/>
    <xf numFmtId="0" fontId="13" fillId="0" borderId="7" xfId="0" applyFont="1" applyBorder="1"/>
    <xf numFmtId="0" fontId="13" fillId="0" borderId="0" xfId="0" applyFont="1" applyBorder="1"/>
    <xf numFmtId="0" fontId="13" fillId="0" borderId="5" xfId="0" applyFont="1" applyBorder="1"/>
    <xf numFmtId="0" fontId="21" fillId="0" borderId="7" xfId="0" applyFont="1" applyBorder="1" applyAlignment="1">
      <alignment horizontal="left" indent="3"/>
    </xf>
    <xf numFmtId="0" fontId="13" fillId="0" borderId="7" xfId="0" applyFont="1" applyBorder="1" applyAlignment="1">
      <alignment horizontal="left" indent="3"/>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8" xfId="0" applyFont="1" applyBorder="1" applyAlignment="1">
      <alignment horizontal="left" indent="3"/>
    </xf>
    <xf numFmtId="0" fontId="13" fillId="0" borderId="49" xfId="0" applyFont="1" applyBorder="1"/>
    <xf numFmtId="0" fontId="13" fillId="0" borderId="50" xfId="0" applyFont="1" applyBorder="1"/>
    <xf numFmtId="0" fontId="23" fillId="0" borderId="51" xfId="0" applyFont="1" applyBorder="1" applyAlignment="1">
      <alignment horizontal="right" vertical="center"/>
    </xf>
    <xf numFmtId="0" fontId="24" fillId="0" borderId="2" xfId="0" applyFont="1" applyBorder="1" applyAlignment="1">
      <alignment horizontal="center"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9" xfId="0" applyFont="1" applyBorder="1" applyAlignment="1">
      <alignment horizontal="center" vertical="center"/>
    </xf>
    <xf numFmtId="0" fontId="28" fillId="0" borderId="45" xfId="0" applyFont="1" applyBorder="1" applyAlignment="1">
      <alignment horizontal="center" vertical="center"/>
    </xf>
    <xf numFmtId="0" fontId="4" fillId="0" borderId="45" xfId="0" applyFont="1" applyBorder="1" applyAlignment="1">
      <alignment horizontal="center" vertical="center"/>
    </xf>
    <xf numFmtId="0" fontId="4" fillId="0" borderId="45" xfId="0" applyFont="1" applyBorder="1" applyAlignment="1">
      <alignment horizontal="center" vertical="center" wrapText="1"/>
    </xf>
    <xf numFmtId="164" fontId="4" fillId="0" borderId="45" xfId="4" applyFont="1" applyBorder="1" applyAlignment="1">
      <alignment horizontal="center" vertical="center" wrapText="1"/>
    </xf>
    <xf numFmtId="3" fontId="4" fillId="0" borderId="63" xfId="0" applyNumberFormat="1" applyFont="1" applyBorder="1" applyAlignment="1">
      <alignment horizontal="center" vertical="center"/>
    </xf>
    <xf numFmtId="164" fontId="2" fillId="0" borderId="0" xfId="0" applyNumberFormat="1" applyFont="1" applyBorder="1" applyAlignment="1">
      <alignment vertical="center"/>
    </xf>
    <xf numFmtId="164" fontId="4" fillId="0" borderId="9" xfId="4" applyFont="1" applyBorder="1" applyAlignment="1">
      <alignment horizontal="center" vertical="center" wrapText="1"/>
    </xf>
    <xf numFmtId="3" fontId="4" fillId="0" borderId="10" xfId="0" applyNumberFormat="1" applyFont="1" applyBorder="1" applyAlignment="1">
      <alignment horizontal="center" vertical="center"/>
    </xf>
    <xf numFmtId="0" fontId="19" fillId="4" borderId="8" xfId="0" applyFont="1" applyFill="1" applyBorder="1" applyAlignment="1">
      <alignment horizontal="center" vertical="center"/>
    </xf>
    <xf numFmtId="0" fontId="13" fillId="4" borderId="9" xfId="0" applyFont="1" applyFill="1" applyBorder="1" applyAlignment="1">
      <alignment horizontal="center" vertical="center" wrapText="1"/>
    </xf>
    <xf numFmtId="0" fontId="0" fillId="4" borderId="9" xfId="0" applyFill="1" applyBorder="1" applyAlignment="1">
      <alignment horizontal="center" vertical="center" wrapText="1"/>
    </xf>
    <xf numFmtId="0" fontId="20" fillId="4" borderId="45" xfId="0" applyFont="1" applyFill="1" applyBorder="1" applyAlignment="1">
      <alignment horizontal="center" vertical="center" wrapText="1"/>
    </xf>
    <xf numFmtId="0" fontId="0" fillId="4" borderId="9" xfId="0" applyFill="1" applyBorder="1" applyAlignment="1">
      <alignment vertical="center" wrapText="1"/>
    </xf>
    <xf numFmtId="0" fontId="17" fillId="4" borderId="9" xfId="0" applyFont="1" applyFill="1" applyBorder="1" applyAlignment="1">
      <alignment horizontal="center" vertical="center" wrapText="1"/>
    </xf>
    <xf numFmtId="168" fontId="17" fillId="4" borderId="10" xfId="0" applyNumberFormat="1" applyFont="1" applyFill="1" applyBorder="1" applyAlignment="1">
      <alignment horizontal="right" vertical="center" wrapText="1"/>
    </xf>
    <xf numFmtId="0" fontId="13" fillId="4" borderId="0" xfId="0" applyFont="1" applyFill="1"/>
    <xf numFmtId="0" fontId="11" fillId="4" borderId="9" xfId="0" applyFont="1" applyFill="1" applyBorder="1" applyAlignment="1">
      <alignment vertical="center" wrapText="1"/>
    </xf>
    <xf numFmtId="0" fontId="0" fillId="4" borderId="9" xfId="0" applyFill="1" applyBorder="1" applyAlignment="1">
      <alignment horizontal="left" vertical="center" wrapText="1"/>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xf numFmtId="0" fontId="7" fillId="0" borderId="41" xfId="0" applyFont="1" applyBorder="1" applyAlignment="1">
      <alignment horizontal="left" indent="1"/>
    </xf>
    <xf numFmtId="0" fontId="7" fillId="0" borderId="42" xfId="0" applyFont="1" applyBorder="1" applyAlignment="1">
      <alignment horizontal="left" indent="1"/>
    </xf>
    <xf numFmtId="0" fontId="7" fillId="0" borderId="43" xfId="0" applyFont="1" applyBorder="1" applyAlignment="1">
      <alignment horizontal="left" indent="1"/>
    </xf>
    <xf numFmtId="0" fontId="4" fillId="0" borderId="15" xfId="0" applyFont="1" applyBorder="1" applyAlignment="1">
      <alignment horizontal="left" vertical="center" wrapText="1"/>
    </xf>
    <xf numFmtId="0" fontId="7" fillId="0" borderId="41" xfId="0" applyFont="1" applyBorder="1" applyAlignment="1">
      <alignment horizontal="left" wrapText="1" indent="1"/>
    </xf>
    <xf numFmtId="0" fontId="7" fillId="0" borderId="42" xfId="0" applyFont="1" applyBorder="1" applyAlignment="1">
      <alignment horizontal="left" wrapText="1" indent="1"/>
    </xf>
    <xf numFmtId="0" fontId="7" fillId="0" borderId="43" xfId="0" applyFont="1" applyBorder="1" applyAlignment="1">
      <alignment horizontal="left" wrapText="1" indent="1"/>
    </xf>
    <xf numFmtId="0" fontId="7" fillId="0" borderId="16" xfId="0" applyFont="1" applyBorder="1" applyAlignment="1">
      <alignment horizontal="left" wrapText="1" indent="1"/>
    </xf>
    <xf numFmtId="0" fontId="8" fillId="0" borderId="17" xfId="0" applyFont="1" applyBorder="1" applyAlignment="1">
      <alignment horizontal="left"/>
    </xf>
    <xf numFmtId="0" fontId="7" fillId="0" borderId="18" xfId="0" applyFont="1" applyBorder="1" applyAlignment="1">
      <alignment horizontal="left"/>
    </xf>
    <xf numFmtId="49" fontId="7" fillId="0" borderId="19" xfId="0" applyNumberFormat="1" applyFont="1" applyBorder="1" applyAlignment="1">
      <alignment horizontal="justify" vertical="center" wrapText="1"/>
    </xf>
    <xf numFmtId="0" fontId="9" fillId="0" borderId="18" xfId="0" applyFont="1" applyBorder="1" applyAlignment="1">
      <alignment horizontal="center" vertical="center"/>
    </xf>
    <xf numFmtId="0" fontId="9" fillId="0" borderId="15" xfId="0" applyFont="1" applyBorder="1" applyAlignment="1">
      <alignment horizontal="center" vertic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xf>
    <xf numFmtId="0" fontId="11" fillId="0" borderId="27" xfId="0" applyFont="1" applyBorder="1" applyAlignment="1">
      <alignment horizontal="left" vertical="center" wrapText="1"/>
    </xf>
    <xf numFmtId="0" fontId="0" fillId="0" borderId="27" xfId="0" applyFont="1" applyBorder="1" applyAlignment="1">
      <alignment horizontal="left" vertical="center" wrapText="1"/>
    </xf>
    <xf numFmtId="0" fontId="0" fillId="0" borderId="32" xfId="0" applyBorder="1" applyAlignment="1">
      <alignment horizontal="center"/>
    </xf>
    <xf numFmtId="0" fontId="0" fillId="0" borderId="32" xfId="0" applyFont="1" applyBorder="1" applyAlignment="1">
      <alignment horizontal="center" vertical="center"/>
    </xf>
    <xf numFmtId="0" fontId="0" fillId="0" borderId="32" xfId="0" applyFont="1" applyBorder="1" applyAlignment="1">
      <alignment horizontal="left" vertical="center"/>
    </xf>
    <xf numFmtId="0" fontId="5" fillId="0" borderId="6" xfId="0" applyFont="1" applyBorder="1" applyAlignment="1">
      <alignment vertical="center" wrapText="1"/>
    </xf>
    <xf numFmtId="0" fontId="7" fillId="0" borderId="22" xfId="0" applyFont="1" applyBorder="1" applyAlignment="1">
      <alignment vertical="center" wrapText="1"/>
    </xf>
    <xf numFmtId="0" fontId="7" fillId="0" borderId="11" xfId="0" applyFont="1" applyBorder="1" applyAlignment="1">
      <alignment horizontal="left" vertical="center" wrapText="1" indent="1"/>
    </xf>
    <xf numFmtId="0" fontId="0" fillId="0" borderId="32" xfId="0" applyBorder="1" applyAlignment="1">
      <alignment horizontal="left" vertical="center"/>
    </xf>
    <xf numFmtId="0" fontId="0" fillId="0" borderId="35" xfId="0" applyBorder="1" applyAlignment="1">
      <alignment horizontal="left" vertical="center"/>
    </xf>
    <xf numFmtId="0" fontId="5" fillId="0" borderId="38" xfId="0" applyFont="1" applyBorder="1" applyAlignment="1">
      <alignment horizontal="left" vertical="center" wrapText="1"/>
    </xf>
    <xf numFmtId="0" fontId="0" fillId="0" borderId="18" xfId="0" applyBorder="1"/>
    <xf numFmtId="0" fontId="13" fillId="3" borderId="0"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5" xfId="0" applyFont="1" applyFill="1" applyBorder="1" applyAlignment="1">
      <alignment horizontal="left" wrapText="1"/>
    </xf>
    <xf numFmtId="0" fontId="25" fillId="0" borderId="53" xfId="0" applyFont="1" applyBorder="1" applyAlignment="1">
      <alignment horizontal="left" vertical="center" wrapText="1"/>
    </xf>
    <xf numFmtId="0" fontId="7" fillId="0" borderId="16" xfId="0" applyFont="1" applyBorder="1" applyAlignment="1">
      <alignment horizontal="left" indent="1"/>
    </xf>
    <xf numFmtId="0" fontId="22" fillId="0" borderId="46" xfId="0" applyFont="1" applyBorder="1" applyAlignment="1">
      <alignment horizontal="center" vertical="center"/>
    </xf>
    <xf numFmtId="0" fontId="25" fillId="0" borderId="52" xfId="0" applyFont="1" applyBorder="1" applyAlignment="1">
      <alignment horizontal="left" vertical="center" wrapText="1"/>
    </xf>
    <xf numFmtId="0" fontId="26" fillId="0" borderId="6" xfId="0" applyFont="1" applyBorder="1" applyAlignment="1">
      <alignment horizontal="left" vertical="center" wrapText="1" indent="1"/>
    </xf>
    <xf numFmtId="0" fontId="25" fillId="0" borderId="54" xfId="0" applyFont="1" applyBorder="1" applyAlignment="1">
      <alignment horizontal="left" vertical="center"/>
    </xf>
    <xf numFmtId="0" fontId="26" fillId="0" borderId="55" xfId="0" applyFont="1" applyBorder="1" applyAlignment="1">
      <alignment horizontal="left" vertical="center" wrapText="1" indent="1"/>
    </xf>
    <xf numFmtId="0" fontId="25" fillId="0" borderId="60"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7" fillId="0" borderId="56" xfId="0" applyFont="1" applyBorder="1" applyAlignment="1">
      <alignment horizontal="center" vertical="center"/>
    </xf>
    <xf numFmtId="0" fontId="27" fillId="0" borderId="57" xfId="0" applyFont="1" applyBorder="1" applyAlignment="1">
      <alignment horizontal="center" vertical="center" wrapText="1"/>
    </xf>
    <xf numFmtId="0" fontId="27" fillId="0" borderId="58" xfId="0" applyFont="1" applyBorder="1" applyAlignment="1">
      <alignment horizontal="center" vertical="center" wrapText="1"/>
    </xf>
    <xf numFmtId="168" fontId="25" fillId="0" borderId="11" xfId="0" applyNumberFormat="1" applyFont="1" applyBorder="1" applyAlignment="1">
      <alignment horizontal="center" vertical="center"/>
    </xf>
    <xf numFmtId="0" fontId="29" fillId="0" borderId="11" xfId="0" applyFont="1" applyBorder="1" applyAlignment="1">
      <alignment horizontal="left" vertical="center" wrapText="1" indent="1"/>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topLeftCell="D17" zoomScale="130" zoomScaleNormal="130" workbookViewId="0">
      <selection activeCell="Q19" sqref="Q19"/>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98" t="s">
        <v>3</v>
      </c>
      <c r="B1" s="98"/>
      <c r="C1" s="98"/>
      <c r="D1" s="99">
        <v>2020</v>
      </c>
      <c r="E1" s="99"/>
      <c r="F1" s="2"/>
      <c r="G1" s="2"/>
      <c r="H1" s="3"/>
      <c r="I1" s="3"/>
      <c r="J1" s="3"/>
      <c r="K1" s="3"/>
      <c r="L1" s="3"/>
      <c r="M1" s="3"/>
      <c r="N1" s="3"/>
      <c r="O1" s="4"/>
      <c r="P1" s="100" t="s">
        <v>4</v>
      </c>
      <c r="Q1" s="100"/>
    </row>
    <row r="2" spans="1:17" ht="15.75" customHeight="1" x14ac:dyDescent="0.2">
      <c r="A2" s="5"/>
      <c r="B2" s="6"/>
      <c r="C2" s="6"/>
      <c r="D2" s="6"/>
      <c r="E2" s="6"/>
      <c r="F2" s="6"/>
      <c r="G2" s="7"/>
      <c r="H2" s="8"/>
      <c r="I2" s="8"/>
      <c r="J2" s="8"/>
      <c r="K2" s="8"/>
      <c r="L2" s="8"/>
      <c r="M2" s="8"/>
      <c r="N2" s="8"/>
      <c r="O2" s="6"/>
      <c r="P2" s="100"/>
      <c r="Q2" s="100"/>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101" t="s">
        <v>5</v>
      </c>
      <c r="B4" s="101"/>
      <c r="C4" s="101"/>
      <c r="D4" s="101"/>
      <c r="E4" s="101"/>
      <c r="F4" s="101"/>
      <c r="G4" s="102" t="s">
        <v>28</v>
      </c>
      <c r="H4" s="103"/>
      <c r="I4" s="103"/>
      <c r="J4" s="103"/>
      <c r="K4" s="103"/>
      <c r="L4" s="103"/>
      <c r="M4" s="103"/>
      <c r="N4" s="103"/>
      <c r="O4" s="103"/>
      <c r="P4" s="103"/>
      <c r="Q4" s="104"/>
    </row>
    <row r="5" spans="1:17" s="10" customFormat="1" ht="32.25" customHeight="1" thickBot="1" x14ac:dyDescent="0.25">
      <c r="A5" s="105" t="s">
        <v>0</v>
      </c>
      <c r="B5" s="105"/>
      <c r="C5" s="105"/>
      <c r="D5" s="105"/>
      <c r="E5" s="105"/>
      <c r="F5" s="105"/>
      <c r="G5" s="106" t="s">
        <v>29</v>
      </c>
      <c r="H5" s="107"/>
      <c r="I5" s="107"/>
      <c r="J5" s="107"/>
      <c r="K5" s="107"/>
      <c r="L5" s="107"/>
      <c r="M5" s="107"/>
      <c r="N5" s="107"/>
      <c r="O5" s="107"/>
      <c r="P5" s="107"/>
      <c r="Q5" s="108"/>
    </row>
    <row r="6" spans="1:17" s="10" customFormat="1" ht="29.25" customHeight="1" thickBot="1" x14ac:dyDescent="0.25">
      <c r="A6" s="105" t="s">
        <v>1</v>
      </c>
      <c r="B6" s="105"/>
      <c r="C6" s="105"/>
      <c r="D6" s="105"/>
      <c r="E6" s="105"/>
      <c r="F6" s="105"/>
      <c r="G6" s="109" t="s">
        <v>30</v>
      </c>
      <c r="H6" s="109"/>
      <c r="I6" s="109"/>
      <c r="J6" s="109"/>
      <c r="K6" s="109"/>
      <c r="L6" s="109"/>
      <c r="M6" s="109"/>
      <c r="N6" s="109"/>
      <c r="O6" s="109"/>
      <c r="P6" s="109"/>
      <c r="Q6" s="109"/>
    </row>
    <row r="7" spans="1:17" s="10" customFormat="1" ht="18" customHeight="1" thickBot="1" x14ac:dyDescent="0.25">
      <c r="A7" s="105" t="s">
        <v>2</v>
      </c>
      <c r="B7" s="105"/>
      <c r="C7" s="105"/>
      <c r="D7" s="105"/>
      <c r="E7" s="105"/>
      <c r="F7" s="105"/>
      <c r="G7" s="109" t="s">
        <v>31</v>
      </c>
      <c r="H7" s="109"/>
      <c r="I7" s="109"/>
      <c r="J7" s="109"/>
      <c r="K7" s="109"/>
      <c r="L7" s="109"/>
      <c r="M7" s="109"/>
      <c r="N7" s="109"/>
      <c r="O7" s="109"/>
      <c r="P7" s="109"/>
      <c r="Q7" s="109"/>
    </row>
    <row r="8" spans="1:17" ht="18" customHeight="1" thickBot="1" x14ac:dyDescent="0.25">
      <c r="A8" s="110" t="s">
        <v>6</v>
      </c>
      <c r="B8" s="110"/>
      <c r="C8" s="110"/>
      <c r="D8" s="110"/>
      <c r="E8" s="110"/>
      <c r="F8" s="110"/>
      <c r="G8" s="110"/>
      <c r="H8" s="110"/>
      <c r="I8" s="110"/>
      <c r="J8" s="110"/>
      <c r="K8" s="110"/>
      <c r="L8" s="110"/>
      <c r="M8" s="110"/>
      <c r="N8" s="110"/>
      <c r="O8" s="110"/>
      <c r="P8" s="110"/>
      <c r="Q8" s="110"/>
    </row>
    <row r="9" spans="1:17" ht="18" customHeight="1" x14ac:dyDescent="0.2">
      <c r="A9" s="111" t="s">
        <v>7</v>
      </c>
      <c r="B9" s="111"/>
      <c r="C9" s="111"/>
      <c r="D9" s="111"/>
      <c r="E9" s="111"/>
      <c r="F9" s="111"/>
      <c r="G9" s="111"/>
      <c r="H9" s="111"/>
      <c r="I9" s="111"/>
      <c r="J9" s="111"/>
      <c r="K9" s="111"/>
      <c r="L9" s="111"/>
      <c r="M9" s="111"/>
      <c r="N9" s="111"/>
      <c r="O9" s="111"/>
      <c r="P9" s="111"/>
      <c r="Q9" s="111"/>
    </row>
    <row r="10" spans="1:17" ht="66" customHeight="1" x14ac:dyDescent="0.2">
      <c r="A10" s="112" t="s">
        <v>32</v>
      </c>
      <c r="B10" s="112"/>
      <c r="C10" s="112"/>
      <c r="D10" s="112"/>
      <c r="E10" s="112"/>
      <c r="F10" s="112"/>
      <c r="G10" s="112"/>
      <c r="H10" s="112"/>
      <c r="I10" s="112"/>
      <c r="J10" s="112"/>
      <c r="K10" s="112"/>
      <c r="L10" s="112"/>
      <c r="M10" s="112"/>
      <c r="N10" s="112"/>
      <c r="O10" s="112"/>
      <c r="P10" s="112"/>
      <c r="Q10" s="112"/>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13" t="s">
        <v>8</v>
      </c>
      <c r="B12" s="113"/>
      <c r="C12" s="113"/>
      <c r="D12" s="113"/>
      <c r="E12" s="113"/>
      <c r="F12" s="113"/>
      <c r="G12" s="113"/>
      <c r="H12" s="113"/>
      <c r="I12" s="113"/>
      <c r="J12" s="113"/>
      <c r="K12" s="113"/>
      <c r="L12" s="113"/>
      <c r="M12" s="113"/>
      <c r="N12" s="113"/>
      <c r="O12" s="113"/>
      <c r="P12" s="113"/>
      <c r="Q12" s="113"/>
    </row>
    <row r="13" spans="1:17" ht="15.75" customHeight="1" x14ac:dyDescent="0.2">
      <c r="A13" s="114" t="s">
        <v>9</v>
      </c>
      <c r="B13" s="114"/>
      <c r="C13" s="114"/>
      <c r="D13" s="114"/>
      <c r="E13" s="114"/>
      <c r="F13" s="114"/>
      <c r="G13" s="114"/>
      <c r="H13" s="114"/>
      <c r="I13" s="114"/>
      <c r="J13" s="114"/>
      <c r="K13" s="114"/>
      <c r="L13" s="114"/>
      <c r="M13" s="114"/>
      <c r="N13" s="114"/>
      <c r="O13" s="115" t="s">
        <v>10</v>
      </c>
      <c r="P13" s="115"/>
      <c r="Q13" s="116"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15"/>
      <c r="P14" s="115"/>
      <c r="Q14" s="116"/>
    </row>
    <row r="15" spans="1:17" ht="17.25" customHeight="1" thickBot="1" x14ac:dyDescent="0.25">
      <c r="A15" s="36">
        <v>15</v>
      </c>
      <c r="B15" s="37">
        <v>0</v>
      </c>
      <c r="C15" s="37">
        <v>0</v>
      </c>
      <c r="D15" s="37">
        <v>1</v>
      </c>
      <c r="E15" s="37">
        <v>0</v>
      </c>
      <c r="F15" s="37">
        <v>4901</v>
      </c>
      <c r="G15" s="37">
        <v>3</v>
      </c>
      <c r="H15" s="37">
        <v>4</v>
      </c>
      <c r="I15" s="37">
        <v>2</v>
      </c>
      <c r="J15" s="37">
        <v>9</v>
      </c>
      <c r="K15" s="37">
        <v>1</v>
      </c>
      <c r="L15" s="37">
        <v>0</v>
      </c>
      <c r="M15" s="38">
        <v>1</v>
      </c>
      <c r="N15" s="39" t="s">
        <v>26</v>
      </c>
      <c r="O15" s="117" t="s">
        <v>27</v>
      </c>
      <c r="P15" s="118"/>
      <c r="Q15" s="20">
        <v>1500033</v>
      </c>
    </row>
    <row r="16" spans="1:17" ht="17.25" customHeight="1" x14ac:dyDescent="0.2">
      <c r="A16" s="36"/>
      <c r="B16" s="37"/>
      <c r="C16" s="37"/>
      <c r="D16" s="37"/>
      <c r="E16" s="37"/>
      <c r="F16" s="37"/>
      <c r="G16" s="37"/>
      <c r="H16" s="37"/>
      <c r="I16" s="37"/>
      <c r="J16" s="37"/>
      <c r="K16" s="37"/>
      <c r="L16" s="37"/>
      <c r="M16" s="38"/>
      <c r="N16" s="39"/>
      <c r="O16" s="117"/>
      <c r="P16" s="118"/>
      <c r="Q16" s="25"/>
    </row>
    <row r="17" spans="1:18" ht="17.25" customHeight="1" x14ac:dyDescent="0.2">
      <c r="A17" s="21"/>
      <c r="B17" s="22"/>
      <c r="C17" s="22"/>
      <c r="D17" s="22"/>
      <c r="E17" s="22"/>
      <c r="F17" s="22"/>
      <c r="G17" s="22"/>
      <c r="H17" s="22"/>
      <c r="I17" s="22"/>
      <c r="J17" s="22"/>
      <c r="K17" s="22"/>
      <c r="L17" s="22"/>
      <c r="M17" s="23"/>
      <c r="N17" s="24"/>
      <c r="O17" s="119"/>
      <c r="P17" s="119"/>
      <c r="Q17" s="25"/>
    </row>
    <row r="18" spans="1:18" ht="17.25" customHeight="1" x14ac:dyDescent="0.2">
      <c r="A18" s="21"/>
      <c r="B18" s="22"/>
      <c r="C18" s="22"/>
      <c r="D18" s="22"/>
      <c r="E18" s="22"/>
      <c r="F18" s="22"/>
      <c r="G18" s="22"/>
      <c r="H18" s="22"/>
      <c r="I18" s="22"/>
      <c r="J18" s="22"/>
      <c r="K18" s="22"/>
      <c r="L18" s="22"/>
      <c r="M18" s="23"/>
      <c r="N18" s="24"/>
      <c r="O18" s="120"/>
      <c r="P18" s="120"/>
      <c r="Q18" s="25"/>
    </row>
    <row r="19" spans="1:18" ht="17.25" customHeight="1" x14ac:dyDescent="0.2">
      <c r="A19" s="21"/>
      <c r="B19" s="22"/>
      <c r="C19" s="22"/>
      <c r="D19" s="22"/>
      <c r="E19" s="22"/>
      <c r="F19" s="22"/>
      <c r="G19" s="22"/>
      <c r="H19" s="22"/>
      <c r="I19" s="22"/>
      <c r="J19" s="22"/>
      <c r="K19" s="22"/>
      <c r="L19" s="22"/>
      <c r="M19" s="23"/>
      <c r="N19" s="24"/>
      <c r="O19" s="120"/>
      <c r="P19" s="120"/>
      <c r="Q19" s="25"/>
    </row>
    <row r="20" spans="1:18" ht="17.25" customHeight="1" x14ac:dyDescent="0.2">
      <c r="A20" s="21"/>
      <c r="B20" s="22"/>
      <c r="C20" s="22"/>
      <c r="D20" s="22"/>
      <c r="E20" s="22"/>
      <c r="F20" s="22"/>
      <c r="G20" s="22"/>
      <c r="H20" s="22"/>
      <c r="I20" s="22"/>
      <c r="J20" s="22"/>
      <c r="K20" s="22"/>
      <c r="L20" s="22"/>
      <c r="M20" s="23"/>
      <c r="N20" s="24"/>
      <c r="O20" s="120"/>
      <c r="P20" s="120"/>
      <c r="Q20" s="25"/>
    </row>
    <row r="21" spans="1:18" ht="17.25" customHeight="1" x14ac:dyDescent="0.2">
      <c r="A21" s="21"/>
      <c r="B21" s="22"/>
      <c r="C21" s="22"/>
      <c r="D21" s="22"/>
      <c r="E21" s="22"/>
      <c r="F21" s="22"/>
      <c r="G21" s="22"/>
      <c r="H21" s="22"/>
      <c r="I21" s="22"/>
      <c r="J21" s="22"/>
      <c r="K21" s="22"/>
      <c r="L21" s="22"/>
      <c r="M21" s="23"/>
      <c r="N21" s="24"/>
      <c r="O21" s="120"/>
      <c r="P21" s="120"/>
      <c r="Q21" s="25"/>
    </row>
    <row r="22" spans="1:18" ht="17.25" customHeight="1" x14ac:dyDescent="0.2">
      <c r="A22" s="21"/>
      <c r="B22" s="22"/>
      <c r="C22" s="22"/>
      <c r="D22" s="22"/>
      <c r="E22" s="22"/>
      <c r="F22" s="22"/>
      <c r="G22" s="22"/>
      <c r="H22" s="22"/>
      <c r="I22" s="22"/>
      <c r="J22" s="22"/>
      <c r="K22" s="22"/>
      <c r="L22" s="22"/>
      <c r="M22" s="23"/>
      <c r="N22" s="24"/>
      <c r="O22" s="120"/>
      <c r="P22" s="120"/>
      <c r="Q22" s="25"/>
    </row>
    <row r="23" spans="1:18" ht="17.25" customHeight="1" x14ac:dyDescent="0.2">
      <c r="A23" s="21"/>
      <c r="B23" s="22"/>
      <c r="C23" s="22"/>
      <c r="D23" s="22"/>
      <c r="E23" s="22"/>
      <c r="F23" s="22"/>
      <c r="G23" s="22"/>
      <c r="H23" s="22"/>
      <c r="I23" s="22"/>
      <c r="J23" s="22"/>
      <c r="K23" s="22"/>
      <c r="L23" s="22"/>
      <c r="M23" s="23"/>
      <c r="N23" s="24"/>
      <c r="O23" s="120"/>
      <c r="P23" s="120"/>
      <c r="Q23" s="25"/>
    </row>
    <row r="24" spans="1:18" ht="17.25" customHeight="1" x14ac:dyDescent="0.2">
      <c r="A24" s="21"/>
      <c r="B24" s="22"/>
      <c r="C24" s="22"/>
      <c r="D24" s="22"/>
      <c r="E24" s="22"/>
      <c r="F24" s="22"/>
      <c r="G24" s="22"/>
      <c r="H24" s="22"/>
      <c r="I24" s="22"/>
      <c r="J24" s="22"/>
      <c r="K24" s="22"/>
      <c r="L24" s="22"/>
      <c r="M24" s="23"/>
      <c r="N24" s="24"/>
      <c r="O24" s="120"/>
      <c r="P24" s="120"/>
      <c r="Q24" s="25"/>
    </row>
    <row r="25" spans="1:18" ht="17.25" customHeight="1" x14ac:dyDescent="0.2">
      <c r="A25" s="21"/>
      <c r="B25" s="22"/>
      <c r="C25" s="22"/>
      <c r="D25" s="22"/>
      <c r="E25" s="22"/>
      <c r="F25" s="22"/>
      <c r="G25" s="22"/>
      <c r="H25" s="22"/>
      <c r="I25" s="22"/>
      <c r="J25" s="22"/>
      <c r="K25" s="22"/>
      <c r="L25" s="22"/>
      <c r="M25" s="23"/>
      <c r="N25" s="24"/>
      <c r="O25" s="120"/>
      <c r="P25" s="120"/>
      <c r="Q25" s="25"/>
    </row>
    <row r="26" spans="1:18" ht="14.25" customHeight="1" x14ac:dyDescent="0.2">
      <c r="A26" s="21"/>
      <c r="B26" s="22"/>
      <c r="C26" s="22"/>
      <c r="D26" s="22"/>
      <c r="E26" s="22"/>
      <c r="F26" s="22"/>
      <c r="G26" s="22"/>
      <c r="H26" s="22"/>
      <c r="I26" s="22"/>
      <c r="J26" s="22"/>
      <c r="K26" s="22"/>
      <c r="L26" s="22"/>
      <c r="M26" s="23"/>
      <c r="N26" s="24"/>
      <c r="O26" s="120"/>
      <c r="P26" s="120"/>
      <c r="Q26" s="25"/>
    </row>
    <row r="27" spans="1:18" ht="17.25" hidden="1" customHeight="1" x14ac:dyDescent="0.2">
      <c r="A27" s="21"/>
      <c r="B27" s="22"/>
      <c r="C27" s="22"/>
      <c r="D27" s="22"/>
      <c r="E27" s="22"/>
      <c r="F27" s="24"/>
      <c r="G27" s="22"/>
      <c r="H27" s="22"/>
      <c r="I27" s="22"/>
      <c r="J27" s="22"/>
      <c r="K27" s="22"/>
      <c r="L27" s="22"/>
      <c r="M27" s="23"/>
      <c r="N27" s="24"/>
      <c r="O27" s="121"/>
      <c r="P27" s="121"/>
      <c r="Q27" s="25"/>
    </row>
    <row r="28" spans="1:18" ht="17.25" hidden="1" customHeight="1" x14ac:dyDescent="0.2">
      <c r="A28" s="21"/>
      <c r="B28" s="22"/>
      <c r="C28" s="22"/>
      <c r="D28" s="22"/>
      <c r="E28" s="22"/>
      <c r="F28" s="22"/>
      <c r="G28" s="22"/>
      <c r="H28" s="22"/>
      <c r="I28" s="22"/>
      <c r="J28" s="22"/>
      <c r="K28" s="22"/>
      <c r="L28" s="22"/>
      <c r="M28" s="23"/>
      <c r="N28" s="24"/>
      <c r="O28" s="121"/>
      <c r="P28" s="121"/>
      <c r="Q28" s="25"/>
    </row>
    <row r="29" spans="1:18" ht="17.25" hidden="1" customHeight="1" x14ac:dyDescent="0.2">
      <c r="A29" s="21"/>
      <c r="B29" s="22"/>
      <c r="C29" s="22"/>
      <c r="D29" s="22"/>
      <c r="E29" s="22"/>
      <c r="F29" s="24"/>
      <c r="G29" s="22"/>
      <c r="H29" s="22"/>
      <c r="I29" s="22"/>
      <c r="J29" s="22"/>
      <c r="K29" s="22"/>
      <c r="L29" s="22"/>
      <c r="M29" s="23"/>
      <c r="N29" s="24"/>
      <c r="O29" s="121"/>
      <c r="P29" s="121"/>
      <c r="Q29" s="25"/>
    </row>
    <row r="30" spans="1:18" ht="17.25" hidden="1" customHeight="1" x14ac:dyDescent="0.2">
      <c r="A30" s="21"/>
      <c r="B30" s="22"/>
      <c r="C30" s="22"/>
      <c r="D30" s="22"/>
      <c r="E30" s="22"/>
      <c r="F30" s="24"/>
      <c r="G30" s="22"/>
      <c r="H30" s="22"/>
      <c r="I30" s="22"/>
      <c r="J30" s="22"/>
      <c r="K30" s="22"/>
      <c r="L30" s="22"/>
      <c r="M30" s="23"/>
      <c r="N30" s="24"/>
      <c r="O30" s="121"/>
      <c r="P30" s="121"/>
      <c r="Q30" s="25"/>
    </row>
    <row r="31" spans="1:18" ht="17.25" hidden="1" customHeight="1" x14ac:dyDescent="0.2">
      <c r="A31" s="26"/>
      <c r="B31" s="27"/>
      <c r="C31" s="27"/>
      <c r="D31" s="27"/>
      <c r="E31" s="27"/>
      <c r="F31" s="28"/>
      <c r="G31" s="27"/>
      <c r="H31" s="27"/>
      <c r="I31" s="27"/>
      <c r="J31" s="27"/>
      <c r="K31" s="27"/>
      <c r="L31" s="27"/>
      <c r="M31" s="29"/>
      <c r="N31" s="30"/>
      <c r="O31" s="125"/>
      <c r="P31" s="125"/>
      <c r="Q31" s="25"/>
      <c r="R31" s="6"/>
    </row>
    <row r="32" spans="1:18" ht="17.25" customHeight="1" thickBot="1" x14ac:dyDescent="0.25">
      <c r="A32" s="31"/>
      <c r="B32" s="32"/>
      <c r="C32" s="32"/>
      <c r="D32" s="32"/>
      <c r="E32" s="32"/>
      <c r="F32" s="32"/>
      <c r="G32" s="32"/>
      <c r="H32" s="32"/>
      <c r="I32" s="32"/>
      <c r="J32" s="32"/>
      <c r="K32" s="32"/>
      <c r="L32" s="32"/>
      <c r="M32" s="33"/>
      <c r="N32" s="32"/>
      <c r="O32" s="126"/>
      <c r="P32" s="126"/>
      <c r="Q32" s="34"/>
    </row>
    <row r="33" spans="1:17" ht="36" customHeight="1" thickBot="1" x14ac:dyDescent="0.25">
      <c r="A33" s="127" t="s">
        <v>126</v>
      </c>
      <c r="B33" s="127"/>
      <c r="C33" s="127"/>
      <c r="D33" s="127"/>
      <c r="E33" s="127"/>
      <c r="F33" s="127"/>
      <c r="G33" s="127"/>
      <c r="H33" s="127"/>
      <c r="I33" s="127"/>
      <c r="J33" s="127"/>
      <c r="K33" s="127"/>
      <c r="L33" s="127"/>
      <c r="M33" s="127"/>
      <c r="N33" s="127"/>
      <c r="O33" s="127"/>
      <c r="P33" s="127"/>
      <c r="Q33" s="35">
        <f>SUM(Q15:Q32)</f>
        <v>1500033</v>
      </c>
    </row>
    <row r="34" spans="1:17" ht="18" customHeight="1" x14ac:dyDescent="0.2">
      <c r="A34" s="128"/>
      <c r="B34" s="128"/>
      <c r="C34" s="128"/>
      <c r="D34" s="128"/>
      <c r="E34" s="128"/>
      <c r="F34" s="128"/>
      <c r="G34" s="128"/>
      <c r="H34" s="128"/>
      <c r="I34" s="128"/>
      <c r="J34" s="128"/>
      <c r="K34" s="128"/>
      <c r="L34" s="128"/>
      <c r="M34" s="128"/>
      <c r="N34" s="128"/>
      <c r="O34" s="128"/>
      <c r="P34" s="128"/>
      <c r="Q34" s="128"/>
    </row>
    <row r="35" spans="1:17" ht="17.25" customHeight="1" x14ac:dyDescent="0.2">
      <c r="A35" s="122" t="s">
        <v>25</v>
      </c>
      <c r="B35" s="122"/>
      <c r="C35" s="122"/>
      <c r="D35" s="122"/>
      <c r="E35" s="122"/>
      <c r="F35" s="122"/>
      <c r="G35" s="123"/>
      <c r="H35" s="123"/>
      <c r="I35" s="123"/>
      <c r="J35" s="123"/>
      <c r="K35" s="123"/>
      <c r="L35" s="123"/>
      <c r="M35" s="123"/>
      <c r="N35" s="123"/>
      <c r="O35" s="123"/>
      <c r="P35" s="123"/>
      <c r="Q35" s="123"/>
    </row>
    <row r="36" spans="1:17" ht="18" customHeight="1" x14ac:dyDescent="0.2">
      <c r="A36" s="124" t="s">
        <v>114</v>
      </c>
      <c r="B36" s="124"/>
      <c r="C36" s="124"/>
      <c r="D36" s="124"/>
      <c r="E36" s="124"/>
      <c r="F36" s="124"/>
      <c r="G36" s="124"/>
      <c r="H36" s="124"/>
      <c r="I36" s="124"/>
      <c r="J36" s="124"/>
      <c r="K36" s="124"/>
      <c r="L36" s="124"/>
      <c r="M36" s="124"/>
      <c r="N36" s="124"/>
      <c r="O36" s="124"/>
      <c r="P36" s="124"/>
      <c r="Q36" s="124"/>
    </row>
    <row r="37" spans="1:17" ht="63.75" customHeight="1" x14ac:dyDescent="0.2">
      <c r="A37" s="124"/>
      <c r="B37" s="124"/>
      <c r="C37" s="124"/>
      <c r="D37" s="124"/>
      <c r="E37" s="124"/>
      <c r="F37" s="124"/>
      <c r="G37" s="124"/>
      <c r="H37" s="124"/>
      <c r="I37" s="124"/>
      <c r="J37" s="124"/>
      <c r="K37" s="124"/>
      <c r="L37" s="124"/>
      <c r="M37" s="124"/>
      <c r="N37" s="124"/>
      <c r="O37" s="124"/>
      <c r="P37" s="124"/>
      <c r="Q37" s="124"/>
    </row>
    <row r="38" spans="1:17" ht="10.5" customHeight="1" x14ac:dyDescent="0.2"/>
    <row r="39" spans="1:17" hidden="1" x14ac:dyDescent="0.2"/>
  </sheetData>
  <mergeCells count="41">
    <mergeCell ref="A35:F35"/>
    <mergeCell ref="G35:Q35"/>
    <mergeCell ref="A36:Q37"/>
    <mergeCell ref="O30:P30"/>
    <mergeCell ref="O31:P31"/>
    <mergeCell ref="O32:P32"/>
    <mergeCell ref="A33:P33"/>
    <mergeCell ref="A34:Q34"/>
    <mergeCell ref="O25:P25"/>
    <mergeCell ref="O26:P26"/>
    <mergeCell ref="O27:P27"/>
    <mergeCell ref="O28:P28"/>
    <mergeCell ref="O29:P29"/>
    <mergeCell ref="O24:P24"/>
    <mergeCell ref="O20:P20"/>
    <mergeCell ref="O21:P21"/>
    <mergeCell ref="O22:P22"/>
    <mergeCell ref="O23:P23"/>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topLeftCell="A26" workbookViewId="0">
      <selection activeCell="H30" sqref="H30"/>
    </sheetView>
  </sheetViews>
  <sheetFormatPr baseColWidth="10" defaultColWidth="11" defaultRowHeight="12.75" x14ac:dyDescent="0.2"/>
  <cols>
    <col min="1" max="1" width="4.5703125" style="40" customWidth="1"/>
    <col min="2" max="2" width="13.42578125" style="40" customWidth="1"/>
    <col min="3" max="3" width="23" style="40" customWidth="1"/>
    <col min="4" max="4" width="8.42578125" style="40" customWidth="1"/>
    <col min="5" max="5" width="64.7109375" style="40" customWidth="1"/>
    <col min="6" max="6" width="11" style="40"/>
    <col min="7" max="7" width="12.7109375" style="40" customWidth="1"/>
    <col min="8" max="8" width="13.85546875" style="40" customWidth="1"/>
    <col min="9" max="9" width="13" style="40" customWidth="1"/>
    <col min="10" max="16384" width="11" style="40"/>
  </cols>
  <sheetData>
    <row r="1" spans="1:9" ht="27" x14ac:dyDescent="0.35">
      <c r="B1" s="132" t="s">
        <v>33</v>
      </c>
      <c r="C1" s="132"/>
      <c r="D1" s="132"/>
      <c r="E1" s="132"/>
      <c r="F1" s="132"/>
      <c r="G1" s="132"/>
      <c r="H1" s="132"/>
    </row>
    <row r="3" spans="1:9" ht="30.75" customHeight="1" x14ac:dyDescent="0.25">
      <c r="A3" s="133" t="s">
        <v>34</v>
      </c>
      <c r="B3" s="133"/>
      <c r="C3" s="134" t="s">
        <v>28</v>
      </c>
      <c r="D3" s="134"/>
      <c r="E3" s="134"/>
      <c r="F3" s="41"/>
      <c r="G3" s="42"/>
      <c r="H3" s="41"/>
    </row>
    <row r="4" spans="1:9" ht="18" customHeight="1" x14ac:dyDescent="0.25">
      <c r="A4" s="133" t="s">
        <v>35</v>
      </c>
      <c r="B4" s="133"/>
      <c r="C4" s="134" t="s">
        <v>29</v>
      </c>
      <c r="D4" s="134"/>
      <c r="E4" s="134"/>
      <c r="F4" s="41"/>
      <c r="G4" s="42"/>
      <c r="H4" s="41"/>
    </row>
    <row r="5" spans="1:9" ht="16.5" customHeight="1" x14ac:dyDescent="0.25">
      <c r="A5" s="133" t="s">
        <v>3</v>
      </c>
      <c r="B5" s="133"/>
      <c r="C5" s="43">
        <v>2020</v>
      </c>
      <c r="D5" s="44"/>
      <c r="E5" s="44"/>
      <c r="F5" s="41"/>
      <c r="G5" s="42"/>
      <c r="H5" s="41"/>
    </row>
    <row r="6" spans="1:9" ht="16.5" customHeight="1" x14ac:dyDescent="0.25">
      <c r="A6" s="133" t="s">
        <v>36</v>
      </c>
      <c r="B6" s="133"/>
      <c r="C6" s="43">
        <v>4</v>
      </c>
      <c r="D6" s="44"/>
      <c r="E6" s="44"/>
      <c r="F6" s="41"/>
      <c r="G6" s="42"/>
      <c r="H6" s="41"/>
    </row>
    <row r="7" spans="1:9" ht="13.5" thickBot="1" x14ac:dyDescent="0.25">
      <c r="B7" s="41"/>
      <c r="C7" s="42"/>
      <c r="D7" s="41"/>
      <c r="E7" s="41"/>
      <c r="F7" s="41"/>
      <c r="G7" s="42"/>
      <c r="H7" s="41"/>
    </row>
    <row r="8" spans="1:9" ht="39.75" thickTop="1" thickBot="1" x14ac:dyDescent="0.25">
      <c r="A8" s="45" t="s">
        <v>37</v>
      </c>
      <c r="B8" s="45" t="s">
        <v>38</v>
      </c>
      <c r="C8" s="45" t="s">
        <v>39</v>
      </c>
      <c r="D8" s="45" t="s">
        <v>40</v>
      </c>
      <c r="E8" s="45" t="s">
        <v>41</v>
      </c>
      <c r="F8" s="45" t="s">
        <v>42</v>
      </c>
      <c r="G8" s="45" t="s">
        <v>43</v>
      </c>
      <c r="H8" s="45" t="s">
        <v>44</v>
      </c>
      <c r="I8" s="45" t="s">
        <v>45</v>
      </c>
    </row>
    <row r="9" spans="1:9" s="95" customFormat="1" ht="30" customHeight="1" thickBot="1" x14ac:dyDescent="0.25">
      <c r="A9" s="88">
        <v>1</v>
      </c>
      <c r="B9" s="89" t="s">
        <v>46</v>
      </c>
      <c r="C9" s="90" t="s">
        <v>27</v>
      </c>
      <c r="D9" s="91" t="str">
        <f t="shared" ref="D9:D30" si="0">LEFT(B9,5)</f>
        <v>2.9.1</v>
      </c>
      <c r="E9" s="92" t="s">
        <v>47</v>
      </c>
      <c r="F9" s="46" t="s">
        <v>48</v>
      </c>
      <c r="G9" s="93">
        <v>200</v>
      </c>
      <c r="H9" s="47">
        <v>400</v>
      </c>
      <c r="I9" s="94">
        <f>H9*G9</f>
        <v>80000</v>
      </c>
    </row>
    <row r="10" spans="1:9" s="95" customFormat="1" ht="27.75" customHeight="1" thickBot="1" x14ac:dyDescent="0.25">
      <c r="A10" s="88">
        <v>2</v>
      </c>
      <c r="B10" s="89" t="s">
        <v>49</v>
      </c>
      <c r="C10" s="90" t="s">
        <v>27</v>
      </c>
      <c r="D10" s="91" t="str">
        <f t="shared" si="0"/>
        <v>2.9.1</v>
      </c>
      <c r="E10" s="92" t="s">
        <v>50</v>
      </c>
      <c r="F10" s="46" t="s">
        <v>48</v>
      </c>
      <c r="G10" s="93">
        <v>200</v>
      </c>
      <c r="H10" s="47">
        <v>200</v>
      </c>
      <c r="I10" s="94">
        <f t="shared" ref="I10:I30" si="1">H10*G10</f>
        <v>40000</v>
      </c>
    </row>
    <row r="11" spans="1:9" s="95" customFormat="1" ht="29.25" customHeight="1" thickBot="1" x14ac:dyDescent="0.25">
      <c r="A11" s="88">
        <v>3</v>
      </c>
      <c r="B11" s="89" t="s">
        <v>51</v>
      </c>
      <c r="C11" s="90" t="s">
        <v>27</v>
      </c>
      <c r="D11" s="91" t="str">
        <f t="shared" si="0"/>
        <v>2.9.1</v>
      </c>
      <c r="E11" s="92" t="s">
        <v>52</v>
      </c>
      <c r="F11" s="46" t="s">
        <v>48</v>
      </c>
      <c r="G11" s="93">
        <v>200</v>
      </c>
      <c r="H11" s="47">
        <v>850</v>
      </c>
      <c r="I11" s="94">
        <f t="shared" si="1"/>
        <v>170000</v>
      </c>
    </row>
    <row r="12" spans="1:9" s="95" customFormat="1" ht="29.25" customHeight="1" thickBot="1" x14ac:dyDescent="0.25">
      <c r="A12" s="88">
        <v>4</v>
      </c>
      <c r="B12" s="89" t="s">
        <v>53</v>
      </c>
      <c r="C12" s="90" t="s">
        <v>27</v>
      </c>
      <c r="D12" s="91" t="str">
        <f t="shared" si="0"/>
        <v>2.9.1</v>
      </c>
      <c r="E12" s="92" t="s">
        <v>54</v>
      </c>
      <c r="F12" s="46" t="s">
        <v>48</v>
      </c>
      <c r="G12" s="93">
        <v>200</v>
      </c>
      <c r="H12" s="47">
        <v>920</v>
      </c>
      <c r="I12" s="94">
        <f t="shared" si="1"/>
        <v>184000</v>
      </c>
    </row>
    <row r="13" spans="1:9" s="95" customFormat="1" ht="28.5" customHeight="1" thickBot="1" x14ac:dyDescent="0.25">
      <c r="A13" s="88">
        <v>5</v>
      </c>
      <c r="B13" s="89" t="s">
        <v>55</v>
      </c>
      <c r="C13" s="90" t="s">
        <v>27</v>
      </c>
      <c r="D13" s="91" t="str">
        <f t="shared" si="0"/>
        <v>2.9.1</v>
      </c>
      <c r="E13" s="92" t="s">
        <v>56</v>
      </c>
      <c r="F13" s="46" t="s">
        <v>48</v>
      </c>
      <c r="G13" s="93">
        <v>200</v>
      </c>
      <c r="H13" s="47">
        <v>1537.5</v>
      </c>
      <c r="I13" s="94">
        <f t="shared" si="1"/>
        <v>307500</v>
      </c>
    </row>
    <row r="14" spans="1:9" s="95" customFormat="1" ht="45" customHeight="1" thickBot="1" x14ac:dyDescent="0.25">
      <c r="A14" s="88">
        <v>6</v>
      </c>
      <c r="B14" s="89" t="s">
        <v>57</v>
      </c>
      <c r="C14" s="90" t="s">
        <v>27</v>
      </c>
      <c r="D14" s="91" t="str">
        <f t="shared" si="0"/>
        <v>2.9.1</v>
      </c>
      <c r="E14" s="92" t="s">
        <v>58</v>
      </c>
      <c r="F14" s="46" t="s">
        <v>48</v>
      </c>
      <c r="G14" s="93">
        <v>100</v>
      </c>
      <c r="H14" s="47">
        <v>31.25</v>
      </c>
      <c r="I14" s="94">
        <f t="shared" si="1"/>
        <v>3125</v>
      </c>
    </row>
    <row r="15" spans="1:9" s="95" customFormat="1" ht="26.25" thickBot="1" x14ac:dyDescent="0.25">
      <c r="A15" s="88">
        <v>7</v>
      </c>
      <c r="B15" s="89" t="s">
        <v>59</v>
      </c>
      <c r="C15" s="90" t="s">
        <v>27</v>
      </c>
      <c r="D15" s="91" t="str">
        <f t="shared" si="0"/>
        <v>2.9.1</v>
      </c>
      <c r="E15" s="92" t="s">
        <v>60</v>
      </c>
      <c r="F15" s="46" t="s">
        <v>63</v>
      </c>
      <c r="G15" s="93">
        <v>165</v>
      </c>
      <c r="H15" s="47">
        <v>750</v>
      </c>
      <c r="I15" s="94">
        <f t="shared" si="1"/>
        <v>123750</v>
      </c>
    </row>
    <row r="16" spans="1:9" s="95" customFormat="1" ht="30.75" customHeight="1" thickBot="1" x14ac:dyDescent="0.25">
      <c r="A16" s="88">
        <v>8</v>
      </c>
      <c r="B16" s="89" t="s">
        <v>116</v>
      </c>
      <c r="C16" s="90" t="s">
        <v>27</v>
      </c>
      <c r="D16" s="91" t="str">
        <f t="shared" si="0"/>
        <v>2.9.1</v>
      </c>
      <c r="E16" s="96" t="s">
        <v>115</v>
      </c>
      <c r="F16" s="46" t="s">
        <v>63</v>
      </c>
      <c r="G16" s="93">
        <v>100</v>
      </c>
      <c r="H16" s="47">
        <v>440</v>
      </c>
      <c r="I16" s="94">
        <f t="shared" si="1"/>
        <v>44000</v>
      </c>
    </row>
    <row r="17" spans="1:9" s="95" customFormat="1" ht="27.75" customHeight="1" thickBot="1" x14ac:dyDescent="0.25">
      <c r="A17" s="88">
        <v>9</v>
      </c>
      <c r="B17" s="89" t="s">
        <v>61</v>
      </c>
      <c r="C17" s="90" t="s">
        <v>27</v>
      </c>
      <c r="D17" s="91" t="str">
        <f t="shared" si="0"/>
        <v>2.9.1</v>
      </c>
      <c r="E17" s="92" t="s">
        <v>62</v>
      </c>
      <c r="F17" s="46" t="s">
        <v>48</v>
      </c>
      <c r="G17" s="93">
        <v>100</v>
      </c>
      <c r="H17" s="47">
        <v>170</v>
      </c>
      <c r="I17" s="94">
        <f t="shared" si="1"/>
        <v>17000</v>
      </c>
    </row>
    <row r="18" spans="1:9" s="95" customFormat="1" ht="30.75" customHeight="1" thickBot="1" x14ac:dyDescent="0.25">
      <c r="A18" s="88">
        <v>10</v>
      </c>
      <c r="B18" s="89" t="s">
        <v>117</v>
      </c>
      <c r="C18" s="90" t="s">
        <v>27</v>
      </c>
      <c r="D18" s="91" t="str">
        <f t="shared" si="0"/>
        <v>2.9.1</v>
      </c>
      <c r="E18" s="96" t="s">
        <v>118</v>
      </c>
      <c r="F18" s="46" t="s">
        <v>63</v>
      </c>
      <c r="G18" s="93">
        <v>70</v>
      </c>
      <c r="H18" s="47">
        <v>423.75</v>
      </c>
      <c r="I18" s="94">
        <f t="shared" si="1"/>
        <v>29662.5</v>
      </c>
    </row>
    <row r="19" spans="1:9" s="95" customFormat="1" ht="26.25" thickBot="1" x14ac:dyDescent="0.25">
      <c r="A19" s="88">
        <v>11</v>
      </c>
      <c r="B19" s="89" t="s">
        <v>64</v>
      </c>
      <c r="C19" s="90" t="s">
        <v>27</v>
      </c>
      <c r="D19" s="91" t="str">
        <f t="shared" si="0"/>
        <v>2.9.1</v>
      </c>
      <c r="E19" s="92" t="s">
        <v>65</v>
      </c>
      <c r="F19" s="46" t="s">
        <v>63</v>
      </c>
      <c r="G19" s="93">
        <v>70</v>
      </c>
      <c r="H19" s="47">
        <v>81.25</v>
      </c>
      <c r="I19" s="94">
        <f t="shared" si="1"/>
        <v>5687.5</v>
      </c>
    </row>
    <row r="20" spans="1:9" s="95" customFormat="1" ht="26.25" thickBot="1" x14ac:dyDescent="0.25">
      <c r="A20" s="88">
        <v>12</v>
      </c>
      <c r="B20" s="89" t="s">
        <v>66</v>
      </c>
      <c r="C20" s="90" t="s">
        <v>27</v>
      </c>
      <c r="D20" s="91" t="str">
        <f t="shared" si="0"/>
        <v>2.9.1</v>
      </c>
      <c r="E20" s="92" t="s">
        <v>67</v>
      </c>
      <c r="F20" s="46" t="s">
        <v>48</v>
      </c>
      <c r="G20" s="93">
        <v>50</v>
      </c>
      <c r="H20" s="47">
        <v>187.5</v>
      </c>
      <c r="I20" s="94">
        <f t="shared" si="1"/>
        <v>9375</v>
      </c>
    </row>
    <row r="21" spans="1:9" s="95" customFormat="1" ht="26.25" thickBot="1" x14ac:dyDescent="0.25">
      <c r="A21" s="88">
        <v>13</v>
      </c>
      <c r="B21" s="89" t="s">
        <v>68</v>
      </c>
      <c r="C21" s="90" t="s">
        <v>27</v>
      </c>
      <c r="D21" s="91" t="str">
        <f t="shared" si="0"/>
        <v>2.9.1</v>
      </c>
      <c r="E21" s="92" t="s">
        <v>69</v>
      </c>
      <c r="F21" s="46" t="s">
        <v>63</v>
      </c>
      <c r="G21" s="93">
        <v>50</v>
      </c>
      <c r="H21" s="47">
        <v>1612.5</v>
      </c>
      <c r="I21" s="94">
        <f t="shared" si="1"/>
        <v>80625</v>
      </c>
    </row>
    <row r="22" spans="1:9" s="95" customFormat="1" ht="29.25" customHeight="1" thickBot="1" x14ac:dyDescent="0.25">
      <c r="A22" s="88">
        <v>14</v>
      </c>
      <c r="B22" s="46" t="s">
        <v>70</v>
      </c>
      <c r="C22" s="90" t="s">
        <v>27</v>
      </c>
      <c r="D22" s="91" t="str">
        <f t="shared" si="0"/>
        <v>2.9.1</v>
      </c>
      <c r="E22" s="97" t="s">
        <v>71</v>
      </c>
      <c r="F22" s="46" t="s">
        <v>48</v>
      </c>
      <c r="G22" s="46">
        <v>100</v>
      </c>
      <c r="H22" s="47">
        <v>193.73</v>
      </c>
      <c r="I22" s="94">
        <f t="shared" si="1"/>
        <v>19373</v>
      </c>
    </row>
    <row r="23" spans="1:9" s="95" customFormat="1" ht="30" customHeight="1" thickBot="1" x14ac:dyDescent="0.25">
      <c r="A23" s="88">
        <v>15</v>
      </c>
      <c r="B23" s="46" t="s">
        <v>72</v>
      </c>
      <c r="C23" s="90" t="s">
        <v>27</v>
      </c>
      <c r="D23" s="91" t="str">
        <f t="shared" si="0"/>
        <v>2.9.1</v>
      </c>
      <c r="E23" s="97" t="s">
        <v>73</v>
      </c>
      <c r="F23" s="46" t="s">
        <v>48</v>
      </c>
      <c r="G23" s="46">
        <v>1050</v>
      </c>
      <c r="H23" s="47">
        <v>179.2</v>
      </c>
      <c r="I23" s="94">
        <f t="shared" si="1"/>
        <v>188160</v>
      </c>
    </row>
    <row r="24" spans="1:9" s="95" customFormat="1" ht="31.5" customHeight="1" thickBot="1" x14ac:dyDescent="0.25">
      <c r="A24" s="88">
        <v>16</v>
      </c>
      <c r="B24" s="46" t="s">
        <v>74</v>
      </c>
      <c r="C24" s="90" t="s">
        <v>27</v>
      </c>
      <c r="D24" s="91" t="str">
        <f t="shared" si="0"/>
        <v>2.9.1</v>
      </c>
      <c r="E24" s="97" t="s">
        <v>75</v>
      </c>
      <c r="F24" s="46" t="s">
        <v>48</v>
      </c>
      <c r="G24" s="46">
        <v>70</v>
      </c>
      <c r="H24" s="47">
        <v>120</v>
      </c>
      <c r="I24" s="94">
        <f t="shared" si="1"/>
        <v>8400</v>
      </c>
    </row>
    <row r="25" spans="1:9" s="95" customFormat="1" ht="26.25" thickBot="1" x14ac:dyDescent="0.25">
      <c r="A25" s="88">
        <v>17</v>
      </c>
      <c r="B25" s="46" t="s">
        <v>76</v>
      </c>
      <c r="C25" s="90" t="s">
        <v>27</v>
      </c>
      <c r="D25" s="91" t="str">
        <f t="shared" si="0"/>
        <v>2.9.1</v>
      </c>
      <c r="E25" s="97" t="s">
        <v>77</v>
      </c>
      <c r="F25" s="46" t="s">
        <v>48</v>
      </c>
      <c r="G25" s="46">
        <v>40</v>
      </c>
      <c r="H25" s="47">
        <v>500</v>
      </c>
      <c r="I25" s="94">
        <f t="shared" si="1"/>
        <v>20000</v>
      </c>
    </row>
    <row r="26" spans="1:9" s="95" customFormat="1" ht="39" thickBot="1" x14ac:dyDescent="0.25">
      <c r="A26" s="88">
        <v>18</v>
      </c>
      <c r="B26" s="46" t="s">
        <v>78</v>
      </c>
      <c r="C26" s="90" t="s">
        <v>27</v>
      </c>
      <c r="D26" s="91" t="str">
        <f t="shared" si="0"/>
        <v>2.9.1</v>
      </c>
      <c r="E26" s="97" t="s">
        <v>79</v>
      </c>
      <c r="F26" s="46" t="s">
        <v>48</v>
      </c>
      <c r="G26" s="46">
        <v>30</v>
      </c>
      <c r="H26" s="47">
        <v>4125</v>
      </c>
      <c r="I26" s="94">
        <f t="shared" si="1"/>
        <v>123750</v>
      </c>
    </row>
    <row r="27" spans="1:9" s="95" customFormat="1" ht="26.25" thickBot="1" x14ac:dyDescent="0.25">
      <c r="A27" s="88">
        <v>19</v>
      </c>
      <c r="B27" s="46" t="s">
        <v>80</v>
      </c>
      <c r="C27" s="90" t="s">
        <v>27</v>
      </c>
      <c r="D27" s="91" t="str">
        <f t="shared" si="0"/>
        <v>2.9.1</v>
      </c>
      <c r="E27" s="97" t="s">
        <v>81</v>
      </c>
      <c r="F27" s="46" t="s">
        <v>82</v>
      </c>
      <c r="G27" s="46">
        <v>30</v>
      </c>
      <c r="H27" s="47">
        <v>400</v>
      </c>
      <c r="I27" s="94">
        <f t="shared" si="1"/>
        <v>12000</v>
      </c>
    </row>
    <row r="28" spans="1:9" s="95" customFormat="1" ht="30.75" customHeight="1" thickBot="1" x14ac:dyDescent="0.25">
      <c r="A28" s="88">
        <v>20</v>
      </c>
      <c r="B28" s="46" t="s">
        <v>83</v>
      </c>
      <c r="C28" s="90" t="s">
        <v>27</v>
      </c>
      <c r="D28" s="91" t="str">
        <f t="shared" si="0"/>
        <v>2.9.1</v>
      </c>
      <c r="E28" s="97" t="s">
        <v>84</v>
      </c>
      <c r="F28" s="46" t="s">
        <v>82</v>
      </c>
      <c r="G28" s="46">
        <v>50</v>
      </c>
      <c r="H28" s="47">
        <v>250</v>
      </c>
      <c r="I28" s="94">
        <f t="shared" si="1"/>
        <v>12500</v>
      </c>
    </row>
    <row r="29" spans="1:9" s="95" customFormat="1" ht="26.25" thickBot="1" x14ac:dyDescent="0.25">
      <c r="A29" s="88">
        <v>21</v>
      </c>
      <c r="B29" s="46" t="s">
        <v>85</v>
      </c>
      <c r="C29" s="90" t="s">
        <v>27</v>
      </c>
      <c r="D29" s="91" t="str">
        <f t="shared" si="0"/>
        <v>2.9.1</v>
      </c>
      <c r="E29" s="97" t="s">
        <v>86</v>
      </c>
      <c r="F29" s="46" t="s">
        <v>48</v>
      </c>
      <c r="G29" s="46">
        <v>30</v>
      </c>
      <c r="H29" s="47">
        <v>270</v>
      </c>
      <c r="I29" s="94">
        <f t="shared" si="1"/>
        <v>8100</v>
      </c>
    </row>
    <row r="30" spans="1:9" s="95" customFormat="1" ht="32.25" customHeight="1" thickBot="1" x14ac:dyDescent="0.25">
      <c r="A30" s="88">
        <v>22</v>
      </c>
      <c r="B30" s="46" t="s">
        <v>87</v>
      </c>
      <c r="C30" s="90" t="s">
        <v>27</v>
      </c>
      <c r="D30" s="91" t="str">
        <f t="shared" si="0"/>
        <v>2.9.1</v>
      </c>
      <c r="E30" s="97" t="s">
        <v>88</v>
      </c>
      <c r="F30" s="46" t="s">
        <v>48</v>
      </c>
      <c r="G30" s="46">
        <v>100</v>
      </c>
      <c r="H30" s="47">
        <v>130.25</v>
      </c>
      <c r="I30" s="94">
        <f t="shared" si="1"/>
        <v>13025</v>
      </c>
    </row>
    <row r="31" spans="1:9" ht="13.5" thickBot="1" x14ac:dyDescent="0.25">
      <c r="A31" s="48"/>
      <c r="B31" s="49"/>
      <c r="C31" s="50"/>
      <c r="D31" s="51"/>
      <c r="E31" s="52"/>
      <c r="F31" s="53"/>
      <c r="G31" s="53"/>
      <c r="H31" s="54"/>
      <c r="I31" s="54"/>
    </row>
    <row r="32" spans="1:9" x14ac:dyDescent="0.2">
      <c r="B32" s="55" t="s">
        <v>89</v>
      </c>
      <c r="C32" s="56"/>
      <c r="D32" s="56"/>
      <c r="E32" s="57"/>
    </row>
    <row r="33" spans="2:5" x14ac:dyDescent="0.2">
      <c r="B33" s="58"/>
      <c r="C33" s="59"/>
      <c r="D33" s="59"/>
      <c r="E33" s="60"/>
    </row>
    <row r="34" spans="2:5" x14ac:dyDescent="0.2">
      <c r="B34" s="61" t="s">
        <v>90</v>
      </c>
      <c r="C34" s="59"/>
      <c r="D34" s="59"/>
      <c r="E34" s="60"/>
    </row>
    <row r="35" spans="2:5" x14ac:dyDescent="0.2">
      <c r="B35" s="61"/>
      <c r="C35" s="135" t="s">
        <v>121</v>
      </c>
      <c r="D35" s="135"/>
      <c r="E35" s="136"/>
    </row>
    <row r="36" spans="2:5" x14ac:dyDescent="0.2">
      <c r="B36" s="61"/>
      <c r="C36" s="59" t="s">
        <v>120</v>
      </c>
      <c r="D36" s="59"/>
      <c r="E36" s="60"/>
    </row>
    <row r="37" spans="2:5" x14ac:dyDescent="0.2">
      <c r="B37" s="61"/>
      <c r="C37" s="59" t="s">
        <v>119</v>
      </c>
      <c r="D37" s="59"/>
      <c r="E37" s="60"/>
    </row>
    <row r="38" spans="2:5" x14ac:dyDescent="0.2">
      <c r="B38" s="61"/>
      <c r="C38" s="59" t="s">
        <v>122</v>
      </c>
      <c r="D38" s="59"/>
      <c r="E38" s="60"/>
    </row>
    <row r="39" spans="2:5" x14ac:dyDescent="0.2">
      <c r="B39" s="61"/>
      <c r="C39" s="59" t="s">
        <v>123</v>
      </c>
      <c r="D39" s="59"/>
      <c r="E39" s="60"/>
    </row>
    <row r="40" spans="2:5" x14ac:dyDescent="0.2">
      <c r="B40" s="61"/>
      <c r="C40" s="59"/>
      <c r="D40" s="59"/>
      <c r="E40" s="60"/>
    </row>
    <row r="41" spans="2:5" x14ac:dyDescent="0.2">
      <c r="B41" s="61"/>
      <c r="C41" s="59"/>
      <c r="D41" s="59"/>
      <c r="E41" s="60"/>
    </row>
    <row r="42" spans="2:5" x14ac:dyDescent="0.2">
      <c r="B42" s="61"/>
      <c r="C42" s="59"/>
      <c r="D42" s="59"/>
      <c r="E42" s="60"/>
    </row>
    <row r="43" spans="2:5" x14ac:dyDescent="0.2">
      <c r="B43" s="61"/>
      <c r="C43" s="59"/>
      <c r="D43" s="59"/>
      <c r="E43" s="60"/>
    </row>
    <row r="44" spans="2:5" x14ac:dyDescent="0.2">
      <c r="B44" s="61"/>
      <c r="C44" s="135"/>
      <c r="D44" s="135"/>
      <c r="E44" s="136"/>
    </row>
    <row r="45" spans="2:5" x14ac:dyDescent="0.2">
      <c r="B45" s="61" t="s">
        <v>91</v>
      </c>
      <c r="C45" s="59"/>
      <c r="D45" s="59"/>
      <c r="E45" s="60"/>
    </row>
    <row r="46" spans="2:5" x14ac:dyDescent="0.2">
      <c r="B46" s="62"/>
      <c r="C46" s="129" t="s">
        <v>92</v>
      </c>
      <c r="D46" s="129"/>
      <c r="E46" s="137"/>
    </row>
    <row r="47" spans="2:5" ht="58.5" customHeight="1" x14ac:dyDescent="0.2">
      <c r="B47" s="62"/>
      <c r="C47" s="129"/>
      <c r="D47" s="129"/>
      <c r="E47" s="137"/>
    </row>
    <row r="48" spans="2:5" x14ac:dyDescent="0.2">
      <c r="B48" s="61" t="s">
        <v>93</v>
      </c>
      <c r="C48" s="59"/>
      <c r="D48" s="59"/>
      <c r="E48" s="60"/>
    </row>
    <row r="49" spans="2:5" x14ac:dyDescent="0.2">
      <c r="B49" s="62"/>
      <c r="C49" s="129"/>
      <c r="D49" s="129"/>
      <c r="E49" s="137"/>
    </row>
    <row r="50" spans="2:5" x14ac:dyDescent="0.2">
      <c r="B50" s="61" t="s">
        <v>94</v>
      </c>
      <c r="C50" s="63"/>
      <c r="D50" s="63"/>
      <c r="E50" s="64"/>
    </row>
    <row r="51" spans="2:5" x14ac:dyDescent="0.2">
      <c r="B51" s="62"/>
      <c r="C51" s="129"/>
      <c r="D51" s="129"/>
      <c r="E51" s="137"/>
    </row>
    <row r="52" spans="2:5" x14ac:dyDescent="0.2">
      <c r="B52" s="61" t="s">
        <v>95</v>
      </c>
      <c r="C52" s="59"/>
      <c r="D52" s="59"/>
      <c r="E52" s="60"/>
    </row>
    <row r="53" spans="2:5" x14ac:dyDescent="0.2">
      <c r="B53" s="61"/>
      <c r="C53" s="129"/>
      <c r="D53" s="130"/>
      <c r="E53" s="131"/>
    </row>
    <row r="54" spans="2:5" ht="13.5" thickBot="1" x14ac:dyDescent="0.25">
      <c r="B54" s="65"/>
      <c r="C54" s="66"/>
      <c r="D54" s="66"/>
      <c r="E54" s="67"/>
    </row>
  </sheetData>
  <mergeCells count="13">
    <mergeCell ref="C53:E53"/>
    <mergeCell ref="B1:H1"/>
    <mergeCell ref="A3:B3"/>
    <mergeCell ref="C3:E3"/>
    <mergeCell ref="A4:B4"/>
    <mergeCell ref="C4:E4"/>
    <mergeCell ref="A5:B5"/>
    <mergeCell ref="A6:B6"/>
    <mergeCell ref="C44:E44"/>
    <mergeCell ref="C46:E47"/>
    <mergeCell ref="C49:E49"/>
    <mergeCell ref="C51:E51"/>
    <mergeCell ref="C35:E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34"/>
  <sheetViews>
    <sheetView tabSelected="1" topLeftCell="A23" zoomScale="80" zoomScaleNormal="80" workbookViewId="0">
      <selection activeCell="Q28" sqref="Q28"/>
    </sheetView>
  </sheetViews>
  <sheetFormatPr baseColWidth="10" defaultColWidth="9.140625" defaultRowHeight="12.75" x14ac:dyDescent="0.2"/>
  <cols>
    <col min="1" max="1" width="5.5703125" style="70" customWidth="1"/>
    <col min="2" max="2" width="15.140625" style="70" customWidth="1"/>
    <col min="3" max="3" width="14.140625" style="70" customWidth="1"/>
    <col min="4" max="4" width="26" style="70" customWidth="1"/>
    <col min="5" max="5" width="8" style="70" customWidth="1"/>
    <col min="6" max="6" width="7.85546875" style="70" customWidth="1"/>
    <col min="7" max="7" width="28.5703125" style="70" customWidth="1"/>
    <col min="8" max="8" width="9.28515625" style="70" customWidth="1"/>
    <col min="9" max="9" width="15.5703125" style="70" customWidth="1"/>
    <col min="10" max="10" width="14.7109375" style="70" customWidth="1"/>
    <col min="11" max="11" width="15.5703125" style="70" customWidth="1"/>
    <col min="12" max="14" width="5.85546875" style="70" hidden="1" customWidth="1"/>
    <col min="15" max="15" width="12.5703125" style="70" customWidth="1"/>
    <col min="16" max="1024" width="9.140625" style="70"/>
  </cols>
  <sheetData>
    <row r="1" spans="1:14" ht="30.75" thickBot="1" x14ac:dyDescent="0.25">
      <c r="A1" s="140" t="s">
        <v>96</v>
      </c>
      <c r="B1" s="140"/>
      <c r="C1" s="140"/>
      <c r="D1" s="140"/>
      <c r="E1" s="140"/>
      <c r="F1" s="140"/>
      <c r="G1" s="140"/>
      <c r="H1" s="140"/>
      <c r="I1" s="140"/>
      <c r="J1" s="68" t="s">
        <v>97</v>
      </c>
      <c r="K1" s="69" t="s">
        <v>98</v>
      </c>
    </row>
    <row r="2" spans="1:14" ht="16.5" thickBot="1" x14ac:dyDescent="0.25">
      <c r="A2" s="71"/>
      <c r="B2" s="72"/>
      <c r="C2" s="72"/>
      <c r="D2" s="73"/>
      <c r="E2" s="73"/>
      <c r="F2" s="73"/>
      <c r="G2" s="73"/>
      <c r="H2" s="73"/>
      <c r="I2" s="73"/>
      <c r="J2" s="73"/>
      <c r="K2" s="74"/>
    </row>
    <row r="3" spans="1:14" ht="16.5" thickBot="1" x14ac:dyDescent="0.25">
      <c r="A3" s="141" t="s">
        <v>99</v>
      </c>
      <c r="B3" s="141"/>
      <c r="C3" s="141"/>
      <c r="D3" s="139" t="s">
        <v>28</v>
      </c>
      <c r="E3" s="139"/>
      <c r="F3" s="139"/>
      <c r="G3" s="139"/>
      <c r="H3" s="139"/>
      <c r="I3" s="139"/>
      <c r="J3" s="139"/>
      <c r="K3" s="139"/>
      <c r="L3" s="139"/>
      <c r="M3" s="139"/>
      <c r="N3" s="139"/>
    </row>
    <row r="4" spans="1:14" ht="16.5" thickBot="1" x14ac:dyDescent="0.25">
      <c r="A4" s="138" t="s">
        <v>0</v>
      </c>
      <c r="B4" s="138"/>
      <c r="C4" s="138"/>
      <c r="D4" s="109" t="s">
        <v>29</v>
      </c>
      <c r="E4" s="109"/>
      <c r="F4" s="109"/>
      <c r="G4" s="109"/>
      <c r="H4" s="109"/>
      <c r="I4" s="109"/>
      <c r="J4" s="109"/>
      <c r="K4" s="109"/>
      <c r="L4" s="109"/>
      <c r="M4" s="109"/>
      <c r="N4" s="109"/>
    </row>
    <row r="5" spans="1:14" ht="16.5" thickBot="1" x14ac:dyDescent="0.25">
      <c r="A5" s="138" t="s">
        <v>1</v>
      </c>
      <c r="B5" s="138"/>
      <c r="C5" s="138"/>
      <c r="D5" s="139" t="s">
        <v>100</v>
      </c>
      <c r="E5" s="139"/>
      <c r="F5" s="139"/>
      <c r="G5" s="139"/>
      <c r="H5" s="139"/>
      <c r="I5" s="139"/>
      <c r="J5" s="139"/>
      <c r="K5" s="139"/>
      <c r="L5" s="139"/>
      <c r="M5" s="139"/>
      <c r="N5" s="139"/>
    </row>
    <row r="6" spans="1:14" ht="16.5" thickBot="1" x14ac:dyDescent="0.25">
      <c r="A6" s="141" t="s">
        <v>2</v>
      </c>
      <c r="B6" s="141"/>
      <c r="C6" s="141"/>
      <c r="D6" s="139" t="s">
        <v>101</v>
      </c>
      <c r="E6" s="139"/>
      <c r="F6" s="139"/>
      <c r="G6" s="139"/>
      <c r="H6" s="139"/>
      <c r="I6" s="139"/>
      <c r="J6" s="139"/>
      <c r="K6" s="139"/>
      <c r="L6" s="139"/>
      <c r="M6" s="139"/>
      <c r="N6" s="139"/>
    </row>
    <row r="7" spans="1:14" ht="16.5" thickBot="1" x14ac:dyDescent="0.25">
      <c r="A7" s="138" t="s">
        <v>102</v>
      </c>
      <c r="B7" s="138"/>
      <c r="C7" s="138"/>
      <c r="D7" s="142" t="s">
        <v>112</v>
      </c>
      <c r="E7" s="142"/>
      <c r="F7" s="142"/>
      <c r="G7" s="142"/>
      <c r="H7" s="142"/>
      <c r="I7" s="142"/>
      <c r="J7" s="142"/>
      <c r="K7" s="142"/>
    </row>
    <row r="8" spans="1:14" ht="49.5" customHeight="1" thickBot="1" x14ac:dyDescent="0.25">
      <c r="A8" s="143" t="s">
        <v>103</v>
      </c>
      <c r="B8" s="143"/>
      <c r="C8" s="143"/>
      <c r="D8" s="144" t="s">
        <v>113</v>
      </c>
      <c r="E8" s="144"/>
      <c r="F8" s="144"/>
      <c r="G8" s="144"/>
      <c r="H8" s="144"/>
      <c r="I8" s="144"/>
      <c r="J8" s="144"/>
      <c r="K8" s="144"/>
    </row>
    <row r="9" spans="1:14" ht="16.5" thickBot="1" x14ac:dyDescent="0.25">
      <c r="A9" s="75"/>
      <c r="B9" s="76"/>
      <c r="C9" s="76"/>
      <c r="D9" s="77"/>
      <c r="E9" s="77"/>
      <c r="F9" s="77"/>
      <c r="G9" s="77"/>
      <c r="H9" s="77"/>
      <c r="I9" s="77"/>
      <c r="J9" s="77"/>
      <c r="K9" s="78"/>
    </row>
    <row r="10" spans="1:14" ht="13.5" thickBot="1" x14ac:dyDescent="0.25">
      <c r="A10" s="148" t="s">
        <v>104</v>
      </c>
      <c r="B10" s="149" t="s">
        <v>105</v>
      </c>
      <c r="C10" s="149" t="s">
        <v>106</v>
      </c>
      <c r="D10" s="149"/>
      <c r="E10" s="149"/>
      <c r="F10" s="149"/>
      <c r="G10" s="149"/>
      <c r="H10" s="149" t="s">
        <v>107</v>
      </c>
      <c r="I10" s="149" t="s">
        <v>108</v>
      </c>
      <c r="J10" s="149" t="s">
        <v>109</v>
      </c>
      <c r="K10" s="150" t="s">
        <v>110</v>
      </c>
    </row>
    <row r="11" spans="1:14" ht="34.5" customHeight="1" thickBot="1" x14ac:dyDescent="0.25">
      <c r="A11" s="148"/>
      <c r="B11" s="149"/>
      <c r="C11" s="149"/>
      <c r="D11" s="149"/>
      <c r="E11" s="149"/>
      <c r="F11" s="149"/>
      <c r="G11" s="149"/>
      <c r="H11" s="149"/>
      <c r="I11" s="149"/>
      <c r="J11" s="149"/>
      <c r="K11" s="150"/>
    </row>
    <row r="12" spans="1:14" ht="27" customHeight="1" thickBot="1" x14ac:dyDescent="0.25">
      <c r="A12" s="79">
        <v>1</v>
      </c>
      <c r="B12" s="80" t="str">
        <f>'nota trimestral'!B9</f>
        <v>2.9.1-6951.139</v>
      </c>
      <c r="C12" s="145" t="str">
        <f>'nota trimestral'!E9</f>
        <v>LIMPIADORES; TIPO: LIMPIADOR DE PISOS, PRESENTACION: ENVASE X 5 L</v>
      </c>
      <c r="D12" s="146" t="s">
        <v>47</v>
      </c>
      <c r="E12" s="146" t="s">
        <v>47</v>
      </c>
      <c r="F12" s="146" t="s">
        <v>47</v>
      </c>
      <c r="G12" s="147" t="s">
        <v>47</v>
      </c>
      <c r="H12" s="81" t="s">
        <v>111</v>
      </c>
      <c r="I12" s="82" t="str">
        <f>'nota trimestral'!F9</f>
        <v>UNIDAD</v>
      </c>
      <c r="J12" s="83">
        <v>400</v>
      </c>
      <c r="K12" s="84">
        <v>200</v>
      </c>
    </row>
    <row r="13" spans="1:14" ht="24.75" customHeight="1" thickBot="1" x14ac:dyDescent="0.25">
      <c r="A13" s="79">
        <v>2</v>
      </c>
      <c r="B13" s="80" t="str">
        <f>'nota trimestral'!B10</f>
        <v>2.9.1-6951.27</v>
      </c>
      <c r="C13" s="145" t="str">
        <f>'nota trimestral'!E10</f>
        <v>LIMPIADORES; TIPO: LAVANDINA, PRESENTACION: ENVASE X 2 L</v>
      </c>
      <c r="D13" s="146" t="s">
        <v>47</v>
      </c>
      <c r="E13" s="146" t="s">
        <v>47</v>
      </c>
      <c r="F13" s="146" t="s">
        <v>47</v>
      </c>
      <c r="G13" s="147" t="s">
        <v>47</v>
      </c>
      <c r="H13" s="81" t="s">
        <v>111</v>
      </c>
      <c r="I13" s="82" t="str">
        <f>'nota trimestral'!F10</f>
        <v>UNIDAD</v>
      </c>
      <c r="J13" s="83">
        <v>200</v>
      </c>
      <c r="K13" s="84">
        <v>200</v>
      </c>
    </row>
    <row r="14" spans="1:14" ht="39.75" customHeight="1" thickBot="1" x14ac:dyDescent="0.25">
      <c r="A14" s="79">
        <v>3</v>
      </c>
      <c r="B14" s="80" t="str">
        <f>'nota trimestral'!B11</f>
        <v>2.9.1-6961.38</v>
      </c>
      <c r="C14" s="145" t="str">
        <f>'nota trimestral'!E11</f>
        <v>ELEM. P/LIMPIEZA SANITARIOS; TIPO: LAVANDINA EN GEL, PRESENTACION: ENVASE X 5 L</v>
      </c>
      <c r="D14" s="146" t="s">
        <v>47</v>
      </c>
      <c r="E14" s="146" t="s">
        <v>47</v>
      </c>
      <c r="F14" s="146" t="s">
        <v>47</v>
      </c>
      <c r="G14" s="147" t="s">
        <v>47</v>
      </c>
      <c r="H14" s="81" t="s">
        <v>111</v>
      </c>
      <c r="I14" s="82" t="str">
        <f>'nota trimestral'!F11</f>
        <v>UNIDAD</v>
      </c>
      <c r="J14" s="83">
        <v>850</v>
      </c>
      <c r="K14" s="84">
        <v>200</v>
      </c>
    </row>
    <row r="15" spans="1:14" ht="34.5" customHeight="1" thickBot="1" x14ac:dyDescent="0.25">
      <c r="A15" s="79">
        <v>4</v>
      </c>
      <c r="B15" s="80" t="str">
        <f>'nota trimestral'!B12</f>
        <v>2.9.1-6951.214</v>
      </c>
      <c r="C15" s="145" t="str">
        <f>'nota trimestral'!E12</f>
        <v>LIMPIADORES; TIPO: DETERGENTE NEUTRO, PRESENTACION: ENVASE X 5 L</v>
      </c>
      <c r="D15" s="146" t="s">
        <v>47</v>
      </c>
      <c r="E15" s="146" t="s">
        <v>47</v>
      </c>
      <c r="F15" s="146" t="s">
        <v>47</v>
      </c>
      <c r="G15" s="147" t="s">
        <v>47</v>
      </c>
      <c r="H15" s="81" t="s">
        <v>111</v>
      </c>
      <c r="I15" s="82" t="str">
        <f>'nota trimestral'!F12</f>
        <v>UNIDAD</v>
      </c>
      <c r="J15" s="83">
        <v>920</v>
      </c>
      <c r="K15" s="84">
        <v>200</v>
      </c>
    </row>
    <row r="16" spans="1:14" ht="38.25" customHeight="1" thickBot="1" x14ac:dyDescent="0.25">
      <c r="A16" s="79">
        <v>5</v>
      </c>
      <c r="B16" s="80" t="str">
        <f>'nota trimestral'!B13</f>
        <v>2.9.1-6960.16</v>
      </c>
      <c r="C16" s="145" t="str">
        <f>'nota trimestral'!E13</f>
        <v>ELEM. LIMPIEZA P/INDUMENTARIA; TIPO: JABON EN POLVO, PRESENTACION: ENVASE X 5 Kg</v>
      </c>
      <c r="D16" s="146" t="s">
        <v>47</v>
      </c>
      <c r="E16" s="146" t="s">
        <v>47</v>
      </c>
      <c r="F16" s="146" t="s">
        <v>47</v>
      </c>
      <c r="G16" s="147" t="s">
        <v>47</v>
      </c>
      <c r="H16" s="81" t="s">
        <v>111</v>
      </c>
      <c r="I16" s="82" t="str">
        <f>'nota trimestral'!F13</f>
        <v>UNIDAD</v>
      </c>
      <c r="J16" s="83">
        <v>1537.5</v>
      </c>
      <c r="K16" s="84">
        <v>200</v>
      </c>
    </row>
    <row r="17" spans="1:15" ht="52.5" customHeight="1" thickBot="1" x14ac:dyDescent="0.25">
      <c r="A17" s="79">
        <v>6</v>
      </c>
      <c r="B17" s="80" t="str">
        <f>'nota trimestral'!B14</f>
        <v>2.9.1-1164.1</v>
      </c>
      <c r="C17" s="145" t="str">
        <f>'nota trimestral'!E14</f>
        <v>ESPONJAS; MATERIAL: POLIURETANO POLIETER, USO: P/COCINA, ADITAMENTO: FIBRA POLIESTER SUAVE, FORMA: PRISMATICA, LARGO X ANCHO X ESP: 10 X 6 X 3,5 Cm, COLOR: AMARILLO</v>
      </c>
      <c r="D17" s="146" t="s">
        <v>47</v>
      </c>
      <c r="E17" s="146" t="s">
        <v>47</v>
      </c>
      <c r="F17" s="146" t="s">
        <v>47</v>
      </c>
      <c r="G17" s="147" t="s">
        <v>47</v>
      </c>
      <c r="H17" s="81" t="s">
        <v>111</v>
      </c>
      <c r="I17" s="82" t="str">
        <f>'nota trimestral'!F14</f>
        <v>UNIDAD</v>
      </c>
      <c r="J17" s="83">
        <v>31.25</v>
      </c>
      <c r="K17" s="84">
        <v>100</v>
      </c>
    </row>
    <row r="18" spans="1:15" ht="28.5" customHeight="1" thickBot="1" x14ac:dyDescent="0.25">
      <c r="A18" s="79">
        <v>7</v>
      </c>
      <c r="B18" s="80" t="str">
        <f>'nota trimestral'!B15</f>
        <v>2.9.1-713.12</v>
      </c>
      <c r="C18" s="145" t="str">
        <f>'nota trimestral'!E15</f>
        <v>TRAPOS DE PISO; DIMENSION: 50 X 55 Cm, COLOR: GRIS</v>
      </c>
      <c r="D18" s="146" t="s">
        <v>47</v>
      </c>
      <c r="E18" s="146" t="s">
        <v>47</v>
      </c>
      <c r="F18" s="146" t="s">
        <v>47</v>
      </c>
      <c r="G18" s="147" t="s">
        <v>47</v>
      </c>
      <c r="H18" s="81" t="s">
        <v>124</v>
      </c>
      <c r="I18" s="82" t="str">
        <f>'nota trimestral'!F15</f>
        <v>PAQUETE</v>
      </c>
      <c r="J18" s="83">
        <v>750</v>
      </c>
      <c r="K18" s="84">
        <v>165</v>
      </c>
    </row>
    <row r="19" spans="1:15" ht="33" customHeight="1" thickBot="1" x14ac:dyDescent="0.25">
      <c r="A19" s="79">
        <v>8</v>
      </c>
      <c r="B19" s="80" t="str">
        <f>'nota trimestral'!B16</f>
        <v>2.9.1-678.1</v>
      </c>
      <c r="C19" s="145" t="str">
        <f>'nota trimestral'!E16</f>
        <v>TRAPOS REJILLA; DIMENSION: 38 X 42 Cm, MATERIAL: PURO ALGODON, COLOR: BLANCO</v>
      </c>
      <c r="D19" s="146" t="s">
        <v>47</v>
      </c>
      <c r="E19" s="146" t="s">
        <v>47</v>
      </c>
      <c r="F19" s="146" t="s">
        <v>47</v>
      </c>
      <c r="G19" s="147" t="s">
        <v>47</v>
      </c>
      <c r="H19" s="81" t="s">
        <v>124</v>
      </c>
      <c r="I19" s="82" t="str">
        <f>'nota trimestral'!F16</f>
        <v>PAQUETE</v>
      </c>
      <c r="J19" s="83">
        <v>440</v>
      </c>
      <c r="K19" s="84">
        <v>100</v>
      </c>
      <c r="O19" s="85"/>
    </row>
    <row r="20" spans="1:15" ht="36.75" customHeight="1" thickBot="1" x14ac:dyDescent="0.25">
      <c r="A20" s="79">
        <v>9</v>
      </c>
      <c r="B20" s="80" t="str">
        <f>'nota trimestral'!B17</f>
        <v>2.9.1-544.57</v>
      </c>
      <c r="C20" s="145" t="str">
        <f>'nota trimestral'!E17</f>
        <v>DESODORANTES DE AMBIENTE; FORMATO: AEROSOL, FRAGANCIA: LAVANDA, PRESENTACION: ENVASE X 360 CM3, LIBRE DE CFC: SI</v>
      </c>
      <c r="D20" s="146" t="s">
        <v>47</v>
      </c>
      <c r="E20" s="146" t="s">
        <v>47</v>
      </c>
      <c r="F20" s="146" t="s">
        <v>47</v>
      </c>
      <c r="G20" s="147" t="s">
        <v>47</v>
      </c>
      <c r="H20" s="81" t="s">
        <v>111</v>
      </c>
      <c r="I20" s="82" t="str">
        <f>'nota trimestral'!F17</f>
        <v>UNIDAD</v>
      </c>
      <c r="J20" s="86">
        <v>170</v>
      </c>
      <c r="K20" s="87">
        <v>100</v>
      </c>
      <c r="O20" s="85"/>
    </row>
    <row r="21" spans="1:15" ht="38.25" customHeight="1" thickBot="1" x14ac:dyDescent="0.25">
      <c r="A21" s="79">
        <v>10</v>
      </c>
      <c r="B21" s="80" t="str">
        <f>'nota trimestral'!B18</f>
        <v>2.9.1-1083.6</v>
      </c>
      <c r="C21" s="145" t="str">
        <f>'nota trimestral'!E18</f>
        <v>ESPONJA DE ACERO; CUERPO: METALICO, PESO: 15 GR, MATERIAL DEL CUERPO: METALICO, MATERIAL: METALICO</v>
      </c>
      <c r="D21" s="146" t="s">
        <v>47</v>
      </c>
      <c r="E21" s="146" t="s">
        <v>47</v>
      </c>
      <c r="F21" s="146" t="s">
        <v>47</v>
      </c>
      <c r="G21" s="147" t="s">
        <v>47</v>
      </c>
      <c r="H21" s="81" t="s">
        <v>124</v>
      </c>
      <c r="I21" s="82" t="str">
        <f>'nota trimestral'!F18</f>
        <v>PAQUETE</v>
      </c>
      <c r="J21" s="86">
        <v>423.75</v>
      </c>
      <c r="K21" s="87">
        <v>70</v>
      </c>
      <c r="O21" s="85"/>
    </row>
    <row r="22" spans="1:15" ht="27" customHeight="1" thickBot="1" x14ac:dyDescent="0.25">
      <c r="A22" s="79">
        <v>11</v>
      </c>
      <c r="B22" s="80" t="str">
        <f>'nota trimestral'!B19</f>
        <v>2.9.1-2030.1</v>
      </c>
      <c r="C22" s="145" t="str">
        <f>'nota trimestral'!E19</f>
        <v>LANAS DE ACERO; PRESENTACION: PAQUETE, CONTENIDO: MADEJA</v>
      </c>
      <c r="D22" s="146" t="s">
        <v>47</v>
      </c>
      <c r="E22" s="146" t="s">
        <v>47</v>
      </c>
      <c r="F22" s="146" t="s">
        <v>47</v>
      </c>
      <c r="G22" s="147" t="s">
        <v>47</v>
      </c>
      <c r="H22" s="81" t="s">
        <v>124</v>
      </c>
      <c r="I22" s="82" t="str">
        <f>'nota trimestral'!F19</f>
        <v>PAQUETE</v>
      </c>
      <c r="J22" s="86">
        <v>81.25</v>
      </c>
      <c r="K22" s="87">
        <v>70</v>
      </c>
      <c r="O22" s="85"/>
    </row>
    <row r="23" spans="1:15" ht="25.5" customHeight="1" thickBot="1" x14ac:dyDescent="0.25">
      <c r="A23" s="79">
        <v>12</v>
      </c>
      <c r="B23" s="80" t="str">
        <f>'nota trimestral'!B20</f>
        <v>2.9.1-683.17</v>
      </c>
      <c r="C23" s="145" t="str">
        <f>'nota trimestral'!E20</f>
        <v>SECADORES DE GOMA; LARGO: 35 Cm</v>
      </c>
      <c r="D23" s="146" t="s">
        <v>47</v>
      </c>
      <c r="E23" s="146" t="s">
        <v>47</v>
      </c>
      <c r="F23" s="146" t="s">
        <v>47</v>
      </c>
      <c r="G23" s="147" t="s">
        <v>47</v>
      </c>
      <c r="H23" s="81" t="s">
        <v>111</v>
      </c>
      <c r="I23" s="82" t="str">
        <f>'nota trimestral'!F20</f>
        <v>UNIDAD</v>
      </c>
      <c r="J23" s="86">
        <v>187.5</v>
      </c>
      <c r="K23" s="87">
        <v>50</v>
      </c>
      <c r="O23" s="85"/>
    </row>
    <row r="24" spans="1:15" ht="30" customHeight="1" thickBot="1" x14ac:dyDescent="0.25">
      <c r="A24" s="79">
        <v>13</v>
      </c>
      <c r="B24" s="80" t="str">
        <f>'nota trimestral'!B21</f>
        <v>2.9.1-6952.31</v>
      </c>
      <c r="C24" s="145" t="str">
        <f>'nota trimestral'!E21</f>
        <v>CEPILLOS; TIPO: ESCOBILLON, MATERIAL: CERDA</v>
      </c>
      <c r="D24" s="146" t="s">
        <v>47</v>
      </c>
      <c r="E24" s="146" t="s">
        <v>47</v>
      </c>
      <c r="F24" s="146" t="s">
        <v>47</v>
      </c>
      <c r="G24" s="147" t="s">
        <v>47</v>
      </c>
      <c r="H24" s="81" t="s">
        <v>124</v>
      </c>
      <c r="I24" s="82" t="str">
        <f>'nota trimestral'!F21</f>
        <v>PAQUETE</v>
      </c>
      <c r="J24" s="86">
        <v>1612.5</v>
      </c>
      <c r="K24" s="87">
        <v>50</v>
      </c>
      <c r="O24" s="85"/>
    </row>
    <row r="25" spans="1:15" ht="36.75" customHeight="1" thickBot="1" x14ac:dyDescent="0.25">
      <c r="A25" s="79">
        <v>14</v>
      </c>
      <c r="B25" s="80" t="str">
        <f>'nota trimestral'!B22</f>
        <v>2.9.1-761.6</v>
      </c>
      <c r="C25" s="145" t="str">
        <f>'nota trimestral'!E22</f>
        <v>GUANTES P/LIMPIEZA; TAMAÑO: MEDIANO, MATERIAL: LATEX C/FELPA INTERIOR</v>
      </c>
      <c r="D25" s="146" t="s">
        <v>47</v>
      </c>
      <c r="E25" s="146" t="s">
        <v>47</v>
      </c>
      <c r="F25" s="146" t="s">
        <v>47</v>
      </c>
      <c r="G25" s="147" t="s">
        <v>47</v>
      </c>
      <c r="H25" s="81" t="s">
        <v>111</v>
      </c>
      <c r="I25" s="82" t="str">
        <f>'nota trimestral'!F22</f>
        <v>UNIDAD</v>
      </c>
      <c r="J25" s="86">
        <v>193.73</v>
      </c>
      <c r="K25" s="87">
        <v>100</v>
      </c>
      <c r="O25" s="85"/>
    </row>
    <row r="26" spans="1:15" ht="26.25" customHeight="1" thickBot="1" x14ac:dyDescent="0.25">
      <c r="A26" s="79">
        <v>15</v>
      </c>
      <c r="B26" s="80" t="str">
        <f>'nota trimestral'!B23</f>
        <v>2.9.1-4784.4</v>
      </c>
      <c r="C26" s="145" t="str">
        <f>'nota trimestral'!E23</f>
        <v>LIMPIADORES MULTIUSO; TIPO: P/LAMPAZO, PRESENTACION: ENVASE X 1 L</v>
      </c>
      <c r="D26" s="146" t="s">
        <v>47</v>
      </c>
      <c r="E26" s="146" t="s">
        <v>47</v>
      </c>
      <c r="F26" s="146" t="s">
        <v>47</v>
      </c>
      <c r="G26" s="147" t="s">
        <v>47</v>
      </c>
      <c r="H26" s="81" t="s">
        <v>111</v>
      </c>
      <c r="I26" s="82" t="str">
        <f>'nota trimestral'!F23</f>
        <v>UNIDAD</v>
      </c>
      <c r="J26" s="86">
        <v>179.2</v>
      </c>
      <c r="K26" s="87">
        <v>1050</v>
      </c>
      <c r="O26" s="85"/>
    </row>
    <row r="27" spans="1:15" ht="37.5" customHeight="1" thickBot="1" x14ac:dyDescent="0.25">
      <c r="A27" s="79">
        <v>16</v>
      </c>
      <c r="B27" s="80" t="str">
        <f>'nota trimestral'!B24</f>
        <v>2.9.1-6961.6</v>
      </c>
      <c r="C27" s="145" t="str">
        <f>'nota trimestral'!E24</f>
        <v>ELEM. P/LIMPIEZA SANITARIOS; TIPO: PASTILLA DESODORANTE, PRESENTACION: UNIDAD</v>
      </c>
      <c r="D27" s="146" t="s">
        <v>47</v>
      </c>
      <c r="E27" s="146" t="s">
        <v>47</v>
      </c>
      <c r="F27" s="146" t="s">
        <v>47</v>
      </c>
      <c r="G27" s="147" t="s">
        <v>47</v>
      </c>
      <c r="H27" s="81" t="s">
        <v>111</v>
      </c>
      <c r="I27" s="82" t="str">
        <f>'nota trimestral'!F24</f>
        <v>UNIDAD</v>
      </c>
      <c r="J27" s="86">
        <v>120</v>
      </c>
      <c r="K27" s="87">
        <v>70</v>
      </c>
      <c r="O27" s="85"/>
    </row>
    <row r="28" spans="1:15" ht="33" customHeight="1" thickBot="1" x14ac:dyDescent="0.25">
      <c r="A28" s="79">
        <v>17</v>
      </c>
      <c r="B28" s="80" t="str">
        <f>'nota trimestral'!B25</f>
        <v>2.9.1-2425.2</v>
      </c>
      <c r="C28" s="145" t="str">
        <f>'nota trimestral'!E25</f>
        <v>LAMPAZOS; MATERIAL: HILO, MANGO: MADERA</v>
      </c>
      <c r="D28" s="146" t="s">
        <v>47</v>
      </c>
      <c r="E28" s="146" t="s">
        <v>47</v>
      </c>
      <c r="F28" s="146" t="s">
        <v>47</v>
      </c>
      <c r="G28" s="147" t="s">
        <v>47</v>
      </c>
      <c r="H28" s="81" t="s">
        <v>111</v>
      </c>
      <c r="I28" s="82" t="str">
        <f>'nota trimestral'!F25</f>
        <v>UNIDAD</v>
      </c>
      <c r="J28" s="86">
        <v>500</v>
      </c>
      <c r="K28" s="87">
        <v>40</v>
      </c>
      <c r="O28" s="85"/>
    </row>
    <row r="29" spans="1:15" ht="38.25" customHeight="1" thickBot="1" x14ac:dyDescent="0.25">
      <c r="A29" s="79">
        <v>18</v>
      </c>
      <c r="B29" s="80" t="str">
        <f>'nota trimestral'!B26</f>
        <v>2.9.1-2661.43</v>
      </c>
      <c r="C29" s="145" t="str">
        <f>'nota trimestral'!E26</f>
        <v>TACHOS DE RESIDUOS; MATERIAL: POLIETILENO DE ALTA DENSIDAD, SECCION: RECTANGULAR, DIMENSION: 50 L, TAPA: ABISAGRADA</v>
      </c>
      <c r="D29" s="146" t="s">
        <v>47</v>
      </c>
      <c r="E29" s="146" t="s">
        <v>47</v>
      </c>
      <c r="F29" s="146" t="s">
        <v>47</v>
      </c>
      <c r="G29" s="147" t="s">
        <v>47</v>
      </c>
      <c r="H29" s="81" t="s">
        <v>111</v>
      </c>
      <c r="I29" s="82" t="str">
        <f>'nota trimestral'!F26</f>
        <v>UNIDAD</v>
      </c>
      <c r="J29" s="86">
        <v>4125</v>
      </c>
      <c r="K29" s="87">
        <v>30</v>
      </c>
      <c r="O29" s="85"/>
    </row>
    <row r="30" spans="1:15" ht="33.75" customHeight="1" thickBot="1" x14ac:dyDescent="0.25">
      <c r="A30" s="79">
        <v>19</v>
      </c>
      <c r="B30" s="80" t="str">
        <f>'nota trimestral'!B27</f>
        <v>2.9.1-564.18</v>
      </c>
      <c r="C30" s="145" t="str">
        <f>'nota trimestral'!E27</f>
        <v>BALDES DE PLASTICO; CAPACIDAD: 14 L</v>
      </c>
      <c r="D30" s="146" t="s">
        <v>47</v>
      </c>
      <c r="E30" s="146" t="s">
        <v>47</v>
      </c>
      <c r="F30" s="146" t="s">
        <v>47</v>
      </c>
      <c r="G30" s="147" t="s">
        <v>47</v>
      </c>
      <c r="H30" s="81" t="s">
        <v>111</v>
      </c>
      <c r="I30" s="82" t="str">
        <f>'nota trimestral'!F27</f>
        <v xml:space="preserve">UNIDAD </v>
      </c>
      <c r="J30" s="86">
        <v>400</v>
      </c>
      <c r="K30" s="87">
        <v>30</v>
      </c>
      <c r="O30" s="85"/>
    </row>
    <row r="31" spans="1:15" ht="29.25" customHeight="1" thickBot="1" x14ac:dyDescent="0.25">
      <c r="A31" s="79">
        <v>20</v>
      </c>
      <c r="B31" s="80" t="str">
        <f>'nota trimestral'!B28</f>
        <v>2.9.1-6950.30</v>
      </c>
      <c r="C31" s="145" t="str">
        <f>'nota trimestral'!E28</f>
        <v>LUSTRADORES; TIPO: LUSTRAMUEBLES, PRESENTACION: AEROSOL X 360 CM3</v>
      </c>
      <c r="D31" s="146" t="s">
        <v>47</v>
      </c>
      <c r="E31" s="146" t="s">
        <v>47</v>
      </c>
      <c r="F31" s="146" t="s">
        <v>47</v>
      </c>
      <c r="G31" s="147" t="s">
        <v>47</v>
      </c>
      <c r="H31" s="81" t="s">
        <v>111</v>
      </c>
      <c r="I31" s="82" t="str">
        <f>'nota trimestral'!F28</f>
        <v xml:space="preserve">UNIDAD </v>
      </c>
      <c r="J31" s="86">
        <v>250</v>
      </c>
      <c r="K31" s="87">
        <v>50</v>
      </c>
      <c r="O31" s="85"/>
    </row>
    <row r="32" spans="1:15" ht="29.25" customHeight="1" thickBot="1" x14ac:dyDescent="0.25">
      <c r="A32" s="79">
        <v>21</v>
      </c>
      <c r="B32" s="80" t="str">
        <f>'nota trimestral'!B29</f>
        <v>2.9.1-2437.2</v>
      </c>
      <c r="C32" s="145" t="str">
        <f>'nota trimestral'!E29</f>
        <v>PALAS DE RESIDUOS; MATERIAL: PLASTICO, MANGO: LARGO</v>
      </c>
      <c r="D32" s="146" t="s">
        <v>47</v>
      </c>
      <c r="E32" s="146" t="s">
        <v>47</v>
      </c>
      <c r="F32" s="146" t="s">
        <v>47</v>
      </c>
      <c r="G32" s="147" t="s">
        <v>47</v>
      </c>
      <c r="H32" s="81" t="s">
        <v>111</v>
      </c>
      <c r="I32" s="82" t="str">
        <f>'nota trimestral'!F29</f>
        <v>UNIDAD</v>
      </c>
      <c r="J32" s="86">
        <v>270</v>
      </c>
      <c r="K32" s="87">
        <v>30</v>
      </c>
      <c r="O32" s="85"/>
    </row>
    <row r="33" spans="1:15" ht="38.25" customHeight="1" thickBot="1" x14ac:dyDescent="0.25">
      <c r="A33" s="79">
        <v>22</v>
      </c>
      <c r="B33" s="80" t="str">
        <f>'nota trimestral'!B30</f>
        <v>2.9.1-4784.40</v>
      </c>
      <c r="C33" s="145" t="str">
        <f>'nota trimestral'!E30</f>
        <v>LIMPIADORES MULTIUSO; TIPO: CREMOSO, PRESENTACION: ENVASE X 750 CM3</v>
      </c>
      <c r="D33" s="146" t="s">
        <v>47</v>
      </c>
      <c r="E33" s="146" t="s">
        <v>47</v>
      </c>
      <c r="F33" s="146" t="s">
        <v>47</v>
      </c>
      <c r="G33" s="147" t="s">
        <v>47</v>
      </c>
      <c r="H33" s="81" t="s">
        <v>111</v>
      </c>
      <c r="I33" s="82" t="str">
        <f>'nota trimestral'!F30</f>
        <v>UNIDAD</v>
      </c>
      <c r="J33" s="86">
        <v>130.25</v>
      </c>
      <c r="K33" s="87">
        <v>100</v>
      </c>
      <c r="O33" s="85"/>
    </row>
    <row r="34" spans="1:15" ht="60" customHeight="1" thickBot="1" x14ac:dyDescent="0.25">
      <c r="A34" s="152" t="s">
        <v>125</v>
      </c>
      <c r="B34" s="152"/>
      <c r="C34" s="152"/>
      <c r="D34" s="152"/>
      <c r="E34" s="152"/>
      <c r="F34" s="152"/>
      <c r="G34" s="152"/>
      <c r="H34" s="152"/>
      <c r="I34" s="152"/>
      <c r="J34" s="151">
        <f>SUMPRODUCT(J12:J33,K12:K33)</f>
        <v>1500033</v>
      </c>
      <c r="K34" s="151"/>
      <c r="O34" s="85"/>
    </row>
  </sheetData>
  <mergeCells count="44">
    <mergeCell ref="J34:K34"/>
    <mergeCell ref="C29:G29"/>
    <mergeCell ref="C30:G30"/>
    <mergeCell ref="C31:G31"/>
    <mergeCell ref="C32:G32"/>
    <mergeCell ref="C33:G33"/>
    <mergeCell ref="A34:I34"/>
    <mergeCell ref="C28:G28"/>
    <mergeCell ref="C17:G17"/>
    <mergeCell ref="C18:G18"/>
    <mergeCell ref="C19:G19"/>
    <mergeCell ref="C20:G20"/>
    <mergeCell ref="C21:G21"/>
    <mergeCell ref="C22:G22"/>
    <mergeCell ref="C23:G23"/>
    <mergeCell ref="C24:G24"/>
    <mergeCell ref="C25:G25"/>
    <mergeCell ref="C26:G26"/>
    <mergeCell ref="C27:G27"/>
    <mergeCell ref="K10:K11"/>
    <mergeCell ref="C12:G12"/>
    <mergeCell ref="C13:G13"/>
    <mergeCell ref="C14:G14"/>
    <mergeCell ref="C15:G15"/>
    <mergeCell ref="I10:I11"/>
    <mergeCell ref="J10:J11"/>
    <mergeCell ref="C16:G16"/>
    <mergeCell ref="A10:A11"/>
    <mergeCell ref="B10:B11"/>
    <mergeCell ref="C10:G11"/>
    <mergeCell ref="H10:H11"/>
    <mergeCell ref="A6:C6"/>
    <mergeCell ref="D6:N6"/>
    <mergeCell ref="A7:C7"/>
    <mergeCell ref="D7:K7"/>
    <mergeCell ref="A8:C8"/>
    <mergeCell ref="D8:K8"/>
    <mergeCell ref="A5:C5"/>
    <mergeCell ref="D5:N5"/>
    <mergeCell ref="A1:I1"/>
    <mergeCell ref="A3:C3"/>
    <mergeCell ref="D3:N3"/>
    <mergeCell ref="A4:C4"/>
    <mergeCell ref="D4:N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Autor Gastar</vt:lpstr>
      <vt:lpstr>nota trimestral</vt:lpstr>
      <vt:lpstr>nota de pedido</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Luffi</cp:lastModifiedBy>
  <cp:revision>3</cp:revision>
  <cp:lastPrinted>2020-10-15T13:02:51Z</cp:lastPrinted>
  <dcterms:created xsi:type="dcterms:W3CDTF">2020-07-17T23:44:49Z</dcterms:created>
  <dcterms:modified xsi:type="dcterms:W3CDTF">2020-11-30T11:26:20Z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