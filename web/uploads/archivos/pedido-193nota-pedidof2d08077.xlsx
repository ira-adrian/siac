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4E33CCAD-755A-4B43-86BF-B4F524B1B9D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NotaPedido'!$A$1:$K$13</definedName>
    <definedName name="_xlnm.Print_Area" localSheetId="2">'Autor Gastar'!$A$1:$Q$27</definedName>
    <definedName name="_xlnm.Print_Area" localSheetId="0">'Necesidades Trimestrales'!$E$9:$E$10</definedName>
  </definedNames>
  <calcPr calcId="181029"/>
</workbook>
</file>

<file path=xl/calcChain.xml><?xml version="1.0" encoding="utf-8"?>
<calcChain xmlns="http://schemas.openxmlformats.org/spreadsheetml/2006/main">
  <c r="A10" i="3" l="1"/>
  <c r="I12" i="2" l="1"/>
  <c r="J12" i="2"/>
  <c r="K12" i="2"/>
  <c r="C12" i="2"/>
  <c r="B12" i="2"/>
  <c r="I10" i="1" l="1"/>
  <c r="G6" i="3" l="1"/>
  <c r="G7" i="3"/>
  <c r="D7" i="2"/>
  <c r="D3" i="2"/>
  <c r="G4" i="3" s="1"/>
  <c r="D4" i="2"/>
  <c r="G5" i="3" s="1"/>
  <c r="D1" i="3" l="1"/>
  <c r="Q23" i="3" l="1"/>
  <c r="J13" i="2"/>
</calcChain>
</file>

<file path=xl/sharedStrings.xml><?xml version="1.0" encoding="utf-8"?>
<sst xmlns="http://schemas.openxmlformats.org/spreadsheetml/2006/main" count="77" uniqueCount="70">
  <si>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</si>
  <si>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</si>
  <si>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</si>
  <si>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</si>
  <si>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</si>
  <si>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</si>
  <si>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</si>
  <si>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</si>
  <si>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</si>
  <si>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</si>
  <si>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</si>
  <si>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</si>
  <si>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</si>
  <si>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</si>
  <si>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</si>
  <si>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</si>
  <si>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</si>
  <si>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</si>
  <si>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</si>
  <si>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</si>
  <si>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</si>
  <si>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</si>
  <si>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</si>
  <si>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</si>
  <si>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</si>
  <si>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</si>
  <si>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</si>
  <si>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</si>
  <si>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</si>
  <si>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</si>
  <si>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</si>
  <si>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</si>
  <si>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</si>
  <si>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</si>
  <si>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</si>
  <si>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</si>
  <si>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</si>
  <si>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</si>
  <si>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</si>
  <si>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</si>
  <si>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</si>
  <si>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</si>
  <si>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</si>
  <si>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</si>
  <si>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</si>
  <si>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</si>
  <si>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</si>
  <si>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</si>
  <si>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</si>
  <si>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</si>
  <si>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</si>
  <si>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</si>
  <si>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</si>
  <si>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</si>
  <si>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</si>
  <si>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>COMBUSTIBLES Y LUBRICANTES</t>
  </si>
  <si>
    <t>LITRO</t>
  </si>
  <si>
    <t>NAFTA SUPER; TIPO: SUPER, OCTANO: 95, PRESENTACION: X LITRO, DESTINO: SIN VALOR</t>
  </si>
  <si>
    <t>2.5.6-797.15</t>
  </si>
  <si>
    <t>Adquisición de Combustibles</t>
  </si>
  <si>
    <t>Direccion de Mantenimiento</t>
  </si>
  <si>
    <t>Para la adquisición de Combustibles destinados a los vehiculos y generador de energia de emergencia del Hospital Interzonal de Niños Eva Peron, para el normal funcionamiento del organismo.</t>
  </si>
  <si>
    <t>008/2021</t>
  </si>
  <si>
    <t>TOTAL DE PESOS: CUATROCIENTOS CINCUENTA Y TRES MIL SEISCIENTOS CON 00/100.</t>
  </si>
  <si>
    <t>Costo total estimado: Cuatrocientos cincuenta y tres mil Seiscientos con 00/100.</t>
  </si>
  <si>
    <t>Plazos y lugares de entrega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</si>
  <si>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7 días de notificada la Orden de Compra</t>
    </r>
  </si>
  <si>
    <t>Mantenimiento</t>
  </si>
  <si>
    <t xml:space="preserve">45 dias habiles 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</si>
  <si>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MANTENIMIENTO -HOSPITAL INT. DE NIÑOS – AV. VIRGEN DEL VALLE N° 1050-CATAMARCA DE 8:00 A 12:00HS., DEBIENDO CORRER LOS GASTOS DE FLETES, ACARREO, CARGA, DESCARGA Y SEGURO A CARGO DEL ADJUDICATARIO.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</si>
</sst>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4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u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5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24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3" xfId="0" applyBorder="1"/>
    <xf numFmtId="0" fontId="0" fillId="0" borderId="18" xfId="0" applyBorder="1"/>
    <xf numFmtId="0" fontId="0" fillId="0" borderId="5" xfId="0" applyBorder="1"/>
    <xf numFmtId="0" fontId="0" fillId="0" borderId="5" xfId="0" applyBorder="1" applyAlignment="1">
      <alignment horizontal="left"/>
    </xf>
    <xf numFmtId="0" fontId="0" fillId="0" borderId="19" xfId="0" applyBorder="1"/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2" xfId="0" applyFont="1" applyBorder="1" applyAlignment="1">
      <alignment horizontal="left" vertical="center"/>
    </xf>
    <xf numFmtId="0" fontId="13" fillId="0" borderId="2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166" fontId="0" fillId="0" borderId="32" xfId="3" applyNumberFormat="1" applyFont="1" applyBorder="1" applyAlignment="1" applyProtection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66" fontId="0" fillId="0" borderId="36" xfId="3" applyNumberFormat="1" applyFont="1" applyBorder="1" applyAlignment="1" applyProtection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166" fontId="15" fillId="0" borderId="0" xfId="0" applyNumberFormat="1" applyFont="1"/>
    <xf numFmtId="0" fontId="19" fillId="0" borderId="41" xfId="0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5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12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left" vertical="center"/>
    </xf>
    <xf numFmtId="0" fontId="4" fillId="4" borderId="12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166" fontId="4" fillId="3" borderId="12" xfId="1" applyNumberFormat="1" applyFont="1" applyFill="1" applyBorder="1" applyAlignment="1" applyProtection="1">
      <alignment horizontal="right" vertical="center" wrapText="1"/>
    </xf>
    <xf numFmtId="3" fontId="4" fillId="3" borderId="12" xfId="0" applyNumberFormat="1" applyFont="1" applyFill="1" applyBorder="1" applyAlignment="1">
      <alignment horizontal="center" vertical="center"/>
    </xf>
    <xf numFmtId="0" fontId="22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0" fontId="0" fillId="4" borderId="24" xfId="0" applyFont="1" applyFill="1" applyBorder="1" applyAlignment="1">
      <alignment horizontal="center" vertical="center"/>
    </xf>
    <xf numFmtId="0" fontId="0" fillId="4" borderId="25" xfId="0" applyFont="1" applyFill="1" applyBorder="1" applyAlignment="1">
      <alignment horizontal="center" vertical="center"/>
    </xf>
    <xf numFmtId="0" fontId="0" fillId="3" borderId="25" xfId="0" applyFont="1" applyFill="1" applyBorder="1" applyAlignment="1">
      <alignment horizontal="center" vertical="center"/>
    </xf>
    <xf numFmtId="0" fontId="0" fillId="4" borderId="26" xfId="0" applyFont="1" applyFill="1" applyBorder="1" applyAlignment="1">
      <alignment horizontal="center" vertical="center"/>
    </xf>
    <xf numFmtId="0" fontId="14" fillId="4" borderId="25" xfId="0" applyFont="1" applyFill="1" applyBorder="1" applyAlignment="1">
      <alignment horizontal="center" vertical="center"/>
    </xf>
    <xf numFmtId="0" fontId="19" fillId="0" borderId="42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20" fillId="0" borderId="44" xfId="0" applyFont="1" applyBorder="1" applyAlignment="1">
      <alignment horizontal="center" vertical="center"/>
    </xf>
    <xf numFmtId="0" fontId="0" fillId="0" borderId="45" xfId="0" applyBorder="1"/>
    <xf numFmtId="0" fontId="21" fillId="0" borderId="45" xfId="0" applyFont="1" applyBorder="1" applyAlignment="1">
      <alignment horizontal="center" vertical="center" wrapText="1"/>
    </xf>
    <xf numFmtId="0" fontId="21" fillId="4" borderId="45" xfId="0" applyFont="1" applyFill="1" applyBorder="1" applyAlignment="1">
      <alignment horizontal="center" vertical="center" wrapText="1"/>
    </xf>
    <xf numFmtId="166" fontId="20" fillId="4" borderId="45" xfId="1" applyNumberFormat="1" applyFont="1" applyFill="1" applyBorder="1" applyAlignment="1" applyProtection="1">
      <alignment horizontal="right" vertical="center" wrapText="1"/>
    </xf>
    <xf numFmtId="166" fontId="20" fillId="4" borderId="46" xfId="1" applyNumberFormat="1" applyFont="1" applyFill="1" applyBorder="1" applyAlignment="1" applyProtection="1">
      <alignment horizontal="right" vertical="center" wrapText="1"/>
    </xf>
    <xf numFmtId="166" fontId="13" fillId="3" borderId="37" xfId="0" applyNumberFormat="1" applyFont="1" applyFill="1" applyBorder="1" applyAlignment="1">
      <alignment horizontal="center" vertical="center"/>
    </xf>
    <xf numFmtId="166" fontId="0" fillId="3" borderId="27" xfId="3" applyNumberFormat="1" applyFont="1" applyFill="1" applyBorder="1" applyAlignment="1" applyProtection="1">
      <alignment horizontal="center" vertical="center"/>
    </xf>
    <xf numFmtId="167" fontId="0" fillId="0" borderId="0" xfId="0" applyNumberFormat="1"/>
    <xf numFmtId="0" fontId="23" fillId="0" borderId="47" xfId="0" applyFont="1" applyBorder="1" applyAlignment="1">
      <alignment horizontal="left" indent="3"/>
    </xf>
    <xf numFmtId="0" fontId="15" fillId="0" borderId="48" xfId="0" applyFont="1" applyBorder="1"/>
    <xf numFmtId="0" fontId="15" fillId="0" borderId="49" xfId="0" applyFont="1" applyBorder="1"/>
    <xf numFmtId="0" fontId="23" fillId="0" borderId="50" xfId="0" applyFont="1" applyBorder="1" applyAlignment="1"/>
    <xf numFmtId="0" fontId="15" fillId="0" borderId="0" xfId="0" applyFont="1" applyBorder="1" applyAlignment="1">
      <alignment horizontal="center" wrapText="1"/>
    </xf>
    <xf numFmtId="0" fontId="15" fillId="0" borderId="0" xfId="0" applyFont="1" applyFill="1" applyBorder="1" applyAlignment="1">
      <alignment horizontal="center" wrapText="1"/>
    </xf>
    <xf numFmtId="0" fontId="15" fillId="0" borderId="51" xfId="0" applyFont="1" applyBorder="1" applyAlignment="1">
      <alignment horizontal="center" wrapText="1"/>
    </xf>
    <xf numFmtId="0" fontId="15" fillId="0" borderId="50" xfId="0" applyFont="1" applyBorder="1" applyAlignment="1">
      <alignment horizontal="left" indent="3"/>
    </xf>
    <xf numFmtId="0" fontId="15" fillId="0" borderId="52" xfId="0" applyFont="1" applyBorder="1" applyAlignment="1">
      <alignment horizontal="left" indent="3"/>
    </xf>
    <xf numFmtId="0" fontId="15" fillId="0" borderId="53" xfId="0" applyFont="1" applyBorder="1"/>
    <xf numFmtId="0" fontId="15" fillId="0" borderId="54" xfId="0" applyFont="1" applyBorder="1"/>
    <xf numFmtId="0" fontId="15" fillId="4" borderId="50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51" xfId="5" applyFont="1" applyFill="1" applyBorder="1" applyAlignment="1">
      <alignment horizontal="left" wrapText="1"/>
    </xf>
    <xf numFmtId="0" fontId="15" fillId="4" borderId="51" xfId="0" applyFont="1" applyFill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2" fillId="4" borderId="0" xfId="0" applyFont="1" applyFill="1" applyBorder="1" applyAlignment="1">
      <alignment horizontal="left" wrapText="1" indent="1"/>
    </xf>
    <xf numFmtId="0" fontId="6" fillId="3" borderId="7" xfId="0" applyFont="1" applyFill="1" applyBorder="1" applyAlignment="1">
      <alignment horizontal="left" vertical="center" wrapText="1" indent="1"/>
    </xf>
    <xf numFmtId="167" fontId="7" fillId="3" borderId="7" xfId="0" applyNumberFormat="1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left" vertical="center" wrapText="1"/>
    </xf>
    <xf numFmtId="0" fontId="7" fillId="3" borderId="9" xfId="0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left" vertical="center" wrapText="1" indent="1"/>
    </xf>
    <xf numFmtId="0" fontId="8" fillId="3" borderId="9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left" vertical="center" wrapText="1"/>
    </xf>
    <xf numFmtId="0" fontId="7" fillId="3" borderId="8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9" fillId="0" borderId="38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11" fillId="0" borderId="20" xfId="0" applyFont="1" applyBorder="1" applyAlignment="1">
      <alignment vertical="center" wrapText="1"/>
    </xf>
    <xf numFmtId="0" fontId="11" fillId="4" borderId="37" xfId="0" applyFont="1" applyFill="1" applyBorder="1" applyAlignment="1">
      <alignment horizontal="left" vertical="center" wrapText="1" indent="1"/>
    </xf>
    <xf numFmtId="0" fontId="0" fillId="0" borderId="31" xfId="0" applyFont="1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9" fillId="0" borderId="37" xfId="0" applyFont="1" applyBorder="1" applyAlignment="1">
      <alignment horizontal="left" vertical="center" wrapText="1"/>
    </xf>
    <xf numFmtId="0" fontId="0" fillId="0" borderId="15" xfId="0" applyBorder="1"/>
    <xf numFmtId="0" fontId="14" fillId="0" borderId="25" xfId="0" applyFont="1" applyBorder="1" applyAlignment="1">
      <alignment horizontal="left" vertical="center" wrapText="1"/>
    </xf>
    <xf numFmtId="0" fontId="0" fillId="0" borderId="25" xfId="0" applyFont="1" applyBorder="1" applyAlignment="1">
      <alignment horizontal="left" vertical="center" wrapText="1"/>
    </xf>
    <xf numFmtId="0" fontId="11" fillId="0" borderId="16" xfId="0" applyFont="1" applyBorder="1"/>
    <xf numFmtId="0" fontId="11" fillId="0" borderId="17" xfId="0" applyFont="1" applyBorder="1" applyAlignment="1">
      <alignment horizontal="left" vertical="center" wrapText="1" indent="1"/>
    </xf>
    <xf numFmtId="0" fontId="13" fillId="0" borderId="1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0" fontId="4" fillId="0" borderId="40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indent="1"/>
    </xf>
    <xf numFmtId="0" fontId="12" fillId="0" borderId="4" xfId="0" applyFont="1" applyBorder="1" applyAlignment="1">
      <alignment horizontal="left"/>
    </xf>
    <xf numFmtId="0" fontId="0" fillId="0" borderId="13" xfId="0" applyFont="1" applyBorder="1" applyAlignment="1">
      <alignment horizontal="center"/>
    </xf>
    <xf numFmtId="3" fontId="9" fillId="0" borderId="14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2" fillId="0" borderId="4" xfId="0" applyFont="1" applyBorder="1"/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18"/>
  <sheetViews>
    <sheetView tabSelected="1" zoomScale="90" zoomScaleNormal="90" workbookViewId="0">
      <selection activeCell="B15" sqref="B15:E15"/>
    </sheetView>
  </sheetViews>
  <sheetFormatPr baseColWidth="10" defaultColWidth="11" defaultRowHeight="12.75" x14ac:dyDescent="0.2"/>
  <cols>
    <col min="1" max="1" width="4.5703125" style="30" customWidth="1"/>
    <col min="2" max="2" width="14" style="30" customWidth="1"/>
    <col min="3" max="3" width="13.28515625" style="30" customWidth="1"/>
    <col min="4" max="4" width="8.42578125" style="30" customWidth="1"/>
    <col min="5" max="5" width="92.7109375" style="30" customWidth="1"/>
    <col min="6" max="6" width="11" style="30"/>
    <col min="7" max="7" width="10.42578125" style="30" bestFit="1" customWidth="1"/>
    <col min="8" max="8" width="13.85546875" style="30" customWidth="1"/>
    <col min="9" max="9" width="18.5703125" style="30" customWidth="1"/>
    <col min="10" max="16384" width="11" style="30"/>
  </cols>
  <sheetData>
    <row r="2" spans="1:9" ht="27" x14ac:dyDescent="0.35">
      <c r="B2" s="84" t="s">
        <v>0</v>
      </c>
      <c r="C2" s="84"/>
      <c r="D2" s="84"/>
      <c r="E2" s="84"/>
      <c r="F2" s="84"/>
      <c r="G2" s="84"/>
      <c r="H2" s="84"/>
    </row>
    <row r="3" spans="1:9" ht="12" customHeight="1" x14ac:dyDescent="0.2"/>
    <row r="4" spans="1:9" ht="18" customHeight="1" x14ac:dyDescent="0.25">
      <c r="A4" s="83" t="s">
        <v>1</v>
      </c>
      <c r="B4" s="83"/>
      <c r="C4" s="85" t="s">
        <v>52</v>
      </c>
      <c r="D4" s="85"/>
      <c r="E4" s="85"/>
      <c r="F4" s="31"/>
      <c r="G4" s="32"/>
      <c r="H4" s="31"/>
    </row>
    <row r="5" spans="1:9" ht="18" customHeight="1" x14ac:dyDescent="0.25">
      <c r="A5" s="83" t="s">
        <v>2</v>
      </c>
      <c r="B5" s="83"/>
      <c r="C5" s="85" t="s">
        <v>51</v>
      </c>
      <c r="D5" s="85"/>
      <c r="E5" s="85"/>
      <c r="F5" s="31"/>
      <c r="G5" s="32"/>
      <c r="H5" s="31"/>
    </row>
    <row r="6" spans="1:9" ht="16.5" customHeight="1" x14ac:dyDescent="0.25">
      <c r="A6" s="83" t="s">
        <v>3</v>
      </c>
      <c r="B6" s="83"/>
      <c r="C6" s="50">
        <v>2021</v>
      </c>
      <c r="D6" s="51"/>
      <c r="E6" s="51"/>
      <c r="F6" s="31"/>
      <c r="G6" s="32"/>
      <c r="H6" s="31"/>
    </row>
    <row r="7" spans="1:9" ht="16.5" customHeight="1" x14ac:dyDescent="0.25">
      <c r="A7" s="83" t="s">
        <v>4</v>
      </c>
      <c r="B7" s="83"/>
      <c r="C7" s="50">
        <v>1</v>
      </c>
      <c r="D7" s="51"/>
      <c r="E7" s="51"/>
      <c r="F7" s="31"/>
      <c r="G7" s="32"/>
      <c r="H7" s="31"/>
    </row>
    <row r="8" spans="1:9" ht="13.5" thickBot="1" x14ac:dyDescent="0.25">
      <c r="B8" s="31"/>
      <c r="C8" s="32"/>
      <c r="D8" s="31"/>
      <c r="E8" s="31"/>
      <c r="F8" s="31"/>
      <c r="G8" s="32"/>
      <c r="H8" s="31"/>
    </row>
    <row r="9" spans="1:9" ht="39" thickTop="1" x14ac:dyDescent="0.2">
      <c r="A9" s="33" t="s">
        <v>5</v>
      </c>
      <c r="B9" s="33" t="s">
        <v>6</v>
      </c>
      <c r="C9" s="33" t="s">
        <v>7</v>
      </c>
      <c r="D9" s="57" t="s">
        <v>8</v>
      </c>
      <c r="E9" s="58" t="s">
        <v>9</v>
      </c>
      <c r="F9" s="35" t="s">
        <v>10</v>
      </c>
      <c r="G9" s="33" t="s">
        <v>11</v>
      </c>
      <c r="H9" s="33" t="s">
        <v>12</v>
      </c>
      <c r="I9" s="33" t="s">
        <v>13</v>
      </c>
    </row>
    <row r="10" spans="1:9" ht="13.5" thickBot="1" x14ac:dyDescent="0.25">
      <c r="A10" s="59">
        <v>1</v>
      </c>
      <c r="B10" s="60" t="s">
        <v>58</v>
      </c>
      <c r="C10" s="60" t="s">
        <v>55</v>
      </c>
      <c r="D10" s="61">
        <v>256</v>
      </c>
      <c r="E10" s="60" t="s">
        <v>57</v>
      </c>
      <c r="F10" s="62" t="s">
        <v>56</v>
      </c>
      <c r="G10" s="62">
        <v>6000</v>
      </c>
      <c r="H10" s="63">
        <v>75.599999999999994</v>
      </c>
      <c r="I10" s="64">
        <f>G10*H10</f>
        <v>453599.99999999994</v>
      </c>
    </row>
    <row r="11" spans="1:9" ht="13.5" thickBot="1" x14ac:dyDescent="0.25">
      <c r="I11" s="34"/>
    </row>
    <row r="12" spans="1:9" x14ac:dyDescent="0.2">
      <c r="B12" s="68" t="s">
        <v>65</v>
      </c>
      <c r="C12" s="69"/>
      <c r="D12" s="69"/>
      <c r="E12" s="70"/>
    </row>
    <row r="13" spans="1:9" ht="12.75" customHeight="1" x14ac:dyDescent="0.2">
      <c r="B13" s="79" t="s">
        <v>69</v>
      </c>
      <c r="C13" s="80"/>
      <c r="D13" s="80"/>
      <c r="E13" s="81"/>
    </row>
    <row r="14" spans="1:9" ht="26.25" customHeight="1" x14ac:dyDescent="0.2">
      <c r="B14" s="79"/>
      <c r="C14" s="80"/>
      <c r="D14" s="80"/>
      <c r="E14" s="81"/>
    </row>
    <row r="15" spans="1:9" ht="26.25" customHeight="1" x14ac:dyDescent="0.2">
      <c r="B15" s="79" t="s">
        <v>66</v>
      </c>
      <c r="C15" s="80"/>
      <c r="D15" s="80"/>
      <c r="E15" s="81"/>
    </row>
    <row r="16" spans="1:9" x14ac:dyDescent="0.2">
      <c r="B16" s="71" t="s">
        <v>67</v>
      </c>
      <c r="C16" s="72"/>
      <c r="D16" s="73"/>
      <c r="E16" s="74"/>
    </row>
    <row r="17" spans="2:5" ht="26.25" customHeight="1" x14ac:dyDescent="0.2">
      <c r="B17" s="75"/>
      <c r="C17" s="82" t="s">
        <v>68</v>
      </c>
      <c r="D17" s="82"/>
      <c r="E17" s="82"/>
    </row>
    <row r="18" spans="2:5" ht="13.5" thickBot="1" x14ac:dyDescent="0.25">
      <c r="B18" s="76"/>
      <c r="C18" s="77"/>
      <c r="D18" s="77"/>
      <c r="E18" s="78"/>
    </row>
  </sheetData>
  <mergeCells count="10">
    <mergeCell ref="B2:H2"/>
    <mergeCell ref="A4:B4"/>
    <mergeCell ref="C4:E4"/>
    <mergeCell ref="A5:B5"/>
    <mergeCell ref="C5:E5"/>
    <mergeCell ref="B13:E14"/>
    <mergeCell ref="B15:E15"/>
    <mergeCell ref="C17:E17"/>
    <mergeCell ref="A6:B6"/>
    <mergeCell ref="A7:B7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3"/>
  <sheetViews>
    <sheetView zoomScale="110" zoomScaleNormal="110" workbookViewId="0">
      <selection activeCell="E17" sqref="E17"/>
    </sheetView>
  </sheetViews>
  <sheetFormatPr baseColWidth="10" defaultColWidth="9.140625" defaultRowHeight="12.75" x14ac:dyDescent="0.2"/>
  <cols>
    <col min="1" max="1" width="5.5703125" style="38" customWidth="1"/>
    <col min="2" max="2" width="15.140625" style="38" customWidth="1"/>
    <col min="3" max="3" width="14.140625" style="38" customWidth="1"/>
    <col min="4" max="4" width="26" style="38" customWidth="1"/>
    <col min="5" max="5" width="8" style="38" customWidth="1"/>
    <col min="6" max="6" width="7.85546875" style="38" customWidth="1"/>
    <col min="7" max="7" width="48.5703125" style="38" customWidth="1"/>
    <col min="8" max="8" width="9.28515625" style="38" customWidth="1"/>
    <col min="9" max="9" width="15.5703125" style="38" customWidth="1"/>
    <col min="10" max="10" width="14.7109375" style="38" customWidth="1"/>
    <col min="11" max="11" width="15.5703125" style="38" customWidth="1"/>
    <col min="12" max="14" width="5.85546875" style="38" customWidth="1"/>
    <col min="15" max="15" width="12.5703125" style="38" customWidth="1"/>
    <col min="16" max="1024" width="9.140625" style="38"/>
    <col min="1025" max="16384" width="9.140625" style="39"/>
  </cols>
  <sheetData>
    <row r="1" spans="1:11" ht="18" customHeight="1" x14ac:dyDescent="0.2">
      <c r="A1" s="94" t="s">
        <v>14</v>
      </c>
      <c r="B1" s="94"/>
      <c r="C1" s="94"/>
      <c r="D1" s="94"/>
      <c r="E1" s="94"/>
      <c r="F1" s="94"/>
      <c r="G1" s="94"/>
      <c r="H1" s="94"/>
      <c r="I1" s="94"/>
      <c r="J1" s="36" t="s">
        <v>15</v>
      </c>
      <c r="K1" s="37" t="s">
        <v>62</v>
      </c>
    </row>
    <row r="2" spans="1:11" ht="18.75" customHeight="1" thickBot="1" x14ac:dyDescent="0.25">
      <c r="A2" s="40"/>
      <c r="B2" s="40"/>
      <c r="C2" s="40"/>
      <c r="D2" s="41"/>
      <c r="E2" s="41"/>
      <c r="F2" s="41"/>
      <c r="G2" s="41"/>
      <c r="H2" s="41"/>
      <c r="I2" s="41"/>
      <c r="J2" s="41"/>
      <c r="K2" s="41"/>
    </row>
    <row r="3" spans="1:11" ht="18.75" customHeight="1" thickBot="1" x14ac:dyDescent="0.25">
      <c r="A3" s="95" t="s">
        <v>48</v>
      </c>
      <c r="B3" s="95"/>
      <c r="C3" s="95"/>
      <c r="D3" s="86" t="str">
        <f>'Necesidades Trimestrales'!C4</f>
        <v>040 - Ministerio de Salud</v>
      </c>
      <c r="E3" s="86"/>
      <c r="F3" s="86"/>
      <c r="G3" s="86"/>
      <c r="H3" s="86"/>
      <c r="I3" s="86"/>
      <c r="J3" s="86"/>
      <c r="K3" s="86"/>
    </row>
    <row r="4" spans="1:11" ht="18.75" customHeight="1" thickBot="1" x14ac:dyDescent="0.25">
      <c r="A4" s="96" t="s">
        <v>49</v>
      </c>
      <c r="B4" s="96"/>
      <c r="C4" s="96"/>
      <c r="D4" s="86" t="str">
        <f>'Necesidades Trimestrales'!C5</f>
        <v>024 - Hospital Interzonal de Niños</v>
      </c>
      <c r="E4" s="86"/>
      <c r="F4" s="86"/>
      <c r="G4" s="86"/>
      <c r="H4" s="86"/>
      <c r="I4" s="86"/>
      <c r="J4" s="86"/>
      <c r="K4" s="86"/>
    </row>
    <row r="5" spans="1:11" ht="18.75" customHeight="1" thickBot="1" x14ac:dyDescent="0.25">
      <c r="A5" s="96" t="s">
        <v>27</v>
      </c>
      <c r="B5" s="96"/>
      <c r="C5" s="96"/>
      <c r="D5" s="86" t="s">
        <v>51</v>
      </c>
      <c r="E5" s="86"/>
      <c r="F5" s="86"/>
      <c r="G5" s="86"/>
      <c r="H5" s="86"/>
      <c r="I5" s="86"/>
      <c r="J5" s="86"/>
      <c r="K5" s="86"/>
    </row>
    <row r="6" spans="1:11" ht="16.5" customHeight="1" thickBot="1" x14ac:dyDescent="0.25">
      <c r="A6" s="95" t="s">
        <v>50</v>
      </c>
      <c r="B6" s="95"/>
      <c r="C6" s="95"/>
      <c r="D6" s="86" t="s">
        <v>60</v>
      </c>
      <c r="E6" s="86"/>
      <c r="F6" s="86"/>
      <c r="G6" s="86"/>
      <c r="H6" s="86"/>
      <c r="I6" s="86"/>
      <c r="J6" s="86"/>
      <c r="K6" s="86"/>
    </row>
    <row r="7" spans="1:11" ht="16.5" customHeight="1" x14ac:dyDescent="0.2">
      <c r="A7" s="96" t="s">
        <v>16</v>
      </c>
      <c r="B7" s="96"/>
      <c r="C7" s="96"/>
      <c r="D7" s="86" t="str">
        <f>'Necesidades Trimestrales'!C7 &amp; "° Trimestre - Año " &amp; 'Necesidades Trimestrales'!C6</f>
        <v>1° Trimestre - Año 2021</v>
      </c>
      <c r="E7" s="86"/>
      <c r="F7" s="86"/>
      <c r="G7" s="86"/>
      <c r="H7" s="86"/>
      <c r="I7" s="86"/>
      <c r="J7" s="86"/>
      <c r="K7" s="86"/>
    </row>
    <row r="8" spans="1:11" ht="16.5" customHeight="1" x14ac:dyDescent="0.2">
      <c r="A8" s="89" t="s">
        <v>17</v>
      </c>
      <c r="B8" s="89"/>
      <c r="C8" s="89"/>
      <c r="D8" s="90" t="s">
        <v>59</v>
      </c>
      <c r="E8" s="90"/>
      <c r="F8" s="90"/>
      <c r="G8" s="90"/>
      <c r="H8" s="90"/>
      <c r="I8" s="90"/>
      <c r="J8" s="90"/>
      <c r="K8" s="90"/>
    </row>
    <row r="9" spans="1:11" ht="15.75" x14ac:dyDescent="0.2">
      <c r="A9" s="42"/>
      <c r="B9" s="42"/>
      <c r="C9" s="42"/>
      <c r="D9" s="43"/>
      <c r="E9" s="43"/>
      <c r="F9" s="43"/>
      <c r="G9" s="43"/>
      <c r="H9" s="43"/>
      <c r="I9" s="43"/>
      <c r="J9" s="43"/>
      <c r="K9" s="43"/>
    </row>
    <row r="10" spans="1:11" ht="18.75" customHeight="1" x14ac:dyDescent="0.2">
      <c r="A10" s="91" t="s">
        <v>18</v>
      </c>
      <c r="B10" s="92" t="s">
        <v>19</v>
      </c>
      <c r="C10" s="92" t="s">
        <v>20</v>
      </c>
      <c r="D10" s="92"/>
      <c r="E10" s="92"/>
      <c r="F10" s="92"/>
      <c r="G10" s="92"/>
      <c r="H10" s="92" t="s">
        <v>21</v>
      </c>
      <c r="I10" s="92" t="s">
        <v>22</v>
      </c>
      <c r="J10" s="92" t="s">
        <v>23</v>
      </c>
      <c r="K10" s="93" t="s">
        <v>24</v>
      </c>
    </row>
    <row r="11" spans="1:11" ht="24" customHeight="1" thickBot="1" x14ac:dyDescent="0.25">
      <c r="A11" s="91"/>
      <c r="B11" s="92"/>
      <c r="C11" s="92"/>
      <c r="D11" s="92"/>
      <c r="E11" s="92"/>
      <c r="F11" s="92"/>
      <c r="G11" s="92"/>
      <c r="H11" s="92"/>
      <c r="I11" s="92"/>
      <c r="J11" s="92"/>
      <c r="K11" s="93"/>
    </row>
    <row r="12" spans="1:11" ht="20.25" customHeight="1" thickBot="1" x14ac:dyDescent="0.25">
      <c r="A12" s="44">
        <v>1</v>
      </c>
      <c r="B12" s="45" t="str">
        <f>'Necesidades Trimestrales'!B10</f>
        <v>2.5.6-797.15</v>
      </c>
      <c r="C12" s="88" t="str">
        <f>'Necesidades Trimestrales'!E10</f>
        <v>NAFTA SUPER; TIPO: SUPER, OCTANO: 95, PRESENTACION: X LITRO, DESTINO: SIN VALOR</v>
      </c>
      <c r="D12" s="88"/>
      <c r="E12" s="88"/>
      <c r="F12" s="88"/>
      <c r="G12" s="88"/>
      <c r="H12" s="46" t="s">
        <v>54</v>
      </c>
      <c r="I12" s="47" t="str">
        <f>'Necesidades Trimestrales'!F10</f>
        <v>LITRO</v>
      </c>
      <c r="J12" s="48">
        <f>'Necesidades Trimestrales'!H10</f>
        <v>75.599999999999994</v>
      </c>
      <c r="K12" s="49">
        <f>'Necesidades Trimestrales'!G10</f>
        <v>6000</v>
      </c>
    </row>
    <row r="13" spans="1:11" ht="20.25" customHeight="1" thickBot="1" x14ac:dyDescent="0.25">
      <c r="A13" s="86" t="s">
        <v>64</v>
      </c>
      <c r="B13" s="86"/>
      <c r="C13" s="86"/>
      <c r="D13" s="86"/>
      <c r="E13" s="86"/>
      <c r="F13" s="86"/>
      <c r="G13" s="86"/>
      <c r="H13" s="86"/>
      <c r="I13" s="86"/>
      <c r="J13" s="87">
        <f>SUMPRODUCT(J12:J12,K12:K12)</f>
        <v>453599.99999999994</v>
      </c>
      <c r="K13" s="87"/>
    </row>
  </sheetData>
  <mergeCells count="23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3:I13"/>
    <mergeCell ref="J13:K13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zoomScale="130" zoomScaleNormal="130" workbookViewId="0">
      <selection activeCell="A24" sqref="A24:Q24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  <col min="19" max="19" width="12.28515625" bestFit="1" customWidth="1"/>
  </cols>
  <sheetData>
    <row r="1" spans="1:17" ht="15.75" customHeight="1" x14ac:dyDescent="0.25">
      <c r="A1" s="120" t="s">
        <v>3</v>
      </c>
      <c r="B1" s="120"/>
      <c r="C1" s="120"/>
      <c r="D1" s="121">
        <f>'Necesidades Trimestrales'!C6</f>
        <v>2021</v>
      </c>
      <c r="E1" s="121"/>
      <c r="F1" s="3"/>
      <c r="G1" s="3"/>
      <c r="H1" s="4"/>
      <c r="I1" s="4"/>
      <c r="J1" s="4"/>
      <c r="K1" s="4"/>
      <c r="L1" s="4"/>
      <c r="M1" s="4"/>
      <c r="N1" s="4"/>
      <c r="P1" s="122" t="s">
        <v>25</v>
      </c>
      <c r="Q1" s="122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22"/>
      <c r="Q2" s="122"/>
    </row>
    <row r="4" spans="1:17" s="5" customFormat="1" ht="18" customHeight="1" thickBot="1" x14ac:dyDescent="0.25">
      <c r="A4" s="123" t="s">
        <v>26</v>
      </c>
      <c r="B4" s="123"/>
      <c r="C4" s="123"/>
      <c r="D4" s="123"/>
      <c r="E4" s="123"/>
      <c r="F4" s="123"/>
      <c r="G4" s="118" t="str">
        <f>' NotaPedido'!D3</f>
        <v>040 - Ministerio de Salud</v>
      </c>
      <c r="H4" s="118"/>
      <c r="I4" s="118"/>
      <c r="J4" s="118"/>
      <c r="K4" s="118"/>
      <c r="L4" s="118"/>
      <c r="M4" s="118"/>
      <c r="N4" s="118"/>
      <c r="O4" s="118"/>
      <c r="P4" s="118"/>
      <c r="Q4" s="118"/>
    </row>
    <row r="5" spans="1:17" s="5" customFormat="1" ht="18" customHeight="1" thickBot="1" x14ac:dyDescent="0.25">
      <c r="A5" s="115" t="s">
        <v>49</v>
      </c>
      <c r="B5" s="116"/>
      <c r="C5" s="116"/>
      <c r="D5" s="116"/>
      <c r="E5" s="116"/>
      <c r="F5" s="117"/>
      <c r="G5" s="118" t="str">
        <f>' NotaPedido'!D4</f>
        <v>024 - Hospital Interzonal de Niños</v>
      </c>
      <c r="H5" s="118"/>
      <c r="I5" s="118"/>
      <c r="J5" s="118"/>
      <c r="K5" s="118"/>
      <c r="L5" s="118"/>
      <c r="M5" s="118"/>
      <c r="N5" s="118"/>
      <c r="O5" s="118"/>
      <c r="P5" s="118"/>
      <c r="Q5" s="118"/>
    </row>
    <row r="6" spans="1:17" s="5" customFormat="1" ht="18" customHeight="1" thickBot="1" x14ac:dyDescent="0.25">
      <c r="A6" s="115" t="s">
        <v>27</v>
      </c>
      <c r="B6" s="116"/>
      <c r="C6" s="116"/>
      <c r="D6" s="116"/>
      <c r="E6" s="116"/>
      <c r="F6" s="117"/>
      <c r="G6" s="118" t="str">
        <f>' NotaPedido'!D5</f>
        <v>024 - Hospital Interzonal de Niños</v>
      </c>
      <c r="H6" s="118"/>
      <c r="I6" s="118"/>
      <c r="J6" s="118"/>
      <c r="K6" s="118"/>
      <c r="L6" s="118"/>
      <c r="M6" s="118"/>
      <c r="N6" s="118"/>
      <c r="O6" s="118"/>
      <c r="P6" s="118"/>
      <c r="Q6" s="118"/>
    </row>
    <row r="7" spans="1:17" s="5" customFormat="1" ht="18" customHeight="1" thickBot="1" x14ac:dyDescent="0.25">
      <c r="A7" s="115" t="s">
        <v>50</v>
      </c>
      <c r="B7" s="116"/>
      <c r="C7" s="116"/>
      <c r="D7" s="116"/>
      <c r="E7" s="116"/>
      <c r="F7" s="117"/>
      <c r="G7" s="118" t="str">
        <f>' NotaPedido'!D6</f>
        <v>Direccion de Mantenimiento</v>
      </c>
      <c r="H7" s="118"/>
      <c r="I7" s="118"/>
      <c r="J7" s="118"/>
      <c r="K7" s="118"/>
      <c r="L7" s="118"/>
      <c r="M7" s="118"/>
      <c r="N7" s="118"/>
      <c r="O7" s="118"/>
      <c r="P7" s="118"/>
      <c r="Q7" s="118"/>
    </row>
    <row r="8" spans="1:17" ht="18" customHeight="1" thickBot="1" x14ac:dyDescent="0.25">
      <c r="A8" s="119" t="s">
        <v>28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</row>
    <row r="9" spans="1:17" ht="18" customHeight="1" x14ac:dyDescent="0.2">
      <c r="A9" s="109" t="s">
        <v>29</v>
      </c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"/>
      <c r="P9" s="1"/>
      <c r="Q9" s="6"/>
    </row>
    <row r="10" spans="1:17" ht="54.75" customHeight="1" x14ac:dyDescent="0.2">
      <c r="A10" s="110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008/2021,  afectando la erogación resultante a los créditos presupuestarios aprobados a favor de esta Unidad Ejecutora, conforme al siguiente detalle:</v>
      </c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11" t="s">
        <v>30</v>
      </c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</row>
    <row r="13" spans="1:17" ht="15.75" customHeight="1" x14ac:dyDescent="0.2">
      <c r="A13" s="112" t="s">
        <v>31</v>
      </c>
      <c r="B13" s="112"/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3" t="s">
        <v>32</v>
      </c>
      <c r="P13" s="113"/>
      <c r="Q13" s="114" t="s">
        <v>33</v>
      </c>
    </row>
    <row r="14" spans="1:17" ht="15.75" customHeight="1" x14ac:dyDescent="0.2">
      <c r="A14" s="11" t="s">
        <v>34</v>
      </c>
      <c r="B14" s="12" t="s">
        <v>35</v>
      </c>
      <c r="C14" s="12" t="s">
        <v>36</v>
      </c>
      <c r="D14" s="12" t="s">
        <v>37</v>
      </c>
      <c r="E14" s="12" t="s">
        <v>38</v>
      </c>
      <c r="F14" s="12" t="s">
        <v>39</v>
      </c>
      <c r="G14" s="13" t="s">
        <v>40</v>
      </c>
      <c r="H14" s="12" t="s">
        <v>41</v>
      </c>
      <c r="I14" s="12" t="s">
        <v>42</v>
      </c>
      <c r="J14" s="12" t="s">
        <v>43</v>
      </c>
      <c r="K14" s="12" t="s">
        <v>43</v>
      </c>
      <c r="L14" s="12" t="s">
        <v>44</v>
      </c>
      <c r="M14" s="14" t="s">
        <v>45</v>
      </c>
      <c r="N14" s="15" t="s">
        <v>46</v>
      </c>
      <c r="O14" s="113"/>
      <c r="P14" s="113"/>
      <c r="Q14" s="114"/>
    </row>
    <row r="15" spans="1:17" ht="17.25" customHeight="1" x14ac:dyDescent="0.2">
      <c r="A15" s="52">
        <v>36</v>
      </c>
      <c r="B15" s="53"/>
      <c r="C15" s="53"/>
      <c r="D15" s="53">
        <v>1</v>
      </c>
      <c r="E15" s="53"/>
      <c r="F15" s="53">
        <v>4901</v>
      </c>
      <c r="G15" s="53">
        <v>3</v>
      </c>
      <c r="H15" s="53">
        <v>310</v>
      </c>
      <c r="I15" s="54">
        <v>2</v>
      </c>
      <c r="J15" s="54">
        <v>5</v>
      </c>
      <c r="K15" s="54">
        <v>6</v>
      </c>
      <c r="L15" s="53"/>
      <c r="M15" s="55">
        <v>1</v>
      </c>
      <c r="N15" s="56" t="s">
        <v>53</v>
      </c>
      <c r="O15" s="107" t="s">
        <v>55</v>
      </c>
      <c r="P15" s="108"/>
      <c r="Q15" s="66">
        <v>453600</v>
      </c>
    </row>
    <row r="16" spans="1:17" ht="17.25" customHeight="1" x14ac:dyDescent="0.2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8"/>
      <c r="N16" s="19"/>
      <c r="O16" s="102"/>
      <c r="P16" s="102"/>
      <c r="Q16" s="20"/>
    </row>
    <row r="17" spans="1:19" ht="17.25" customHeight="1" x14ac:dyDescent="0.2">
      <c r="A17" s="16"/>
      <c r="B17" s="17"/>
      <c r="C17" s="17"/>
      <c r="D17" s="17"/>
      <c r="E17" s="17"/>
      <c r="F17" s="19"/>
      <c r="G17" s="17"/>
      <c r="H17" s="17"/>
      <c r="I17" s="17"/>
      <c r="J17" s="17"/>
      <c r="K17" s="17"/>
      <c r="L17" s="17"/>
      <c r="M17" s="18"/>
      <c r="N17" s="19"/>
      <c r="O17" s="102"/>
      <c r="P17" s="102"/>
      <c r="Q17" s="20"/>
      <c r="S17" s="67"/>
    </row>
    <row r="18" spans="1:19" ht="17.25" customHeight="1" x14ac:dyDescent="0.2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8"/>
      <c r="N18" s="19"/>
      <c r="O18" s="102"/>
      <c r="P18" s="102"/>
      <c r="Q18" s="20"/>
    </row>
    <row r="19" spans="1:19" ht="17.25" customHeight="1" x14ac:dyDescent="0.2">
      <c r="A19" s="16"/>
      <c r="B19" s="17"/>
      <c r="C19" s="17"/>
      <c r="D19" s="17"/>
      <c r="E19" s="17"/>
      <c r="F19" s="19"/>
      <c r="G19" s="17"/>
      <c r="H19" s="17"/>
      <c r="I19" s="17"/>
      <c r="J19" s="17"/>
      <c r="K19" s="17"/>
      <c r="L19" s="17"/>
      <c r="M19" s="18"/>
      <c r="N19" s="19"/>
      <c r="O19" s="102"/>
      <c r="P19" s="102"/>
      <c r="Q19" s="20"/>
    </row>
    <row r="20" spans="1:19" ht="17.25" customHeight="1" x14ac:dyDescent="0.2">
      <c r="A20" s="16"/>
      <c r="B20" s="17"/>
      <c r="C20" s="17"/>
      <c r="D20" s="17"/>
      <c r="E20" s="17"/>
      <c r="F20" s="19"/>
      <c r="G20" s="17"/>
      <c r="H20" s="17"/>
      <c r="I20" s="17"/>
      <c r="J20" s="17"/>
      <c r="K20" s="17"/>
      <c r="L20" s="17"/>
      <c r="M20" s="18"/>
      <c r="N20" s="19"/>
      <c r="O20" s="102"/>
      <c r="P20" s="102"/>
      <c r="Q20" s="20"/>
    </row>
    <row r="21" spans="1:19" ht="17.25" customHeight="1" x14ac:dyDescent="0.2">
      <c r="A21" s="21"/>
      <c r="B21" s="22"/>
      <c r="C21" s="22"/>
      <c r="D21" s="22"/>
      <c r="E21" s="22"/>
      <c r="F21" s="23"/>
      <c r="G21" s="22"/>
      <c r="H21" s="22"/>
      <c r="I21" s="22"/>
      <c r="J21" s="22"/>
      <c r="K21" s="22"/>
      <c r="L21" s="22"/>
      <c r="M21" s="24"/>
      <c r="N21" s="25"/>
      <c r="O21" s="103"/>
      <c r="P21" s="103"/>
      <c r="Q21" s="20"/>
      <c r="R21" s="1"/>
    </row>
    <row r="22" spans="1:19" ht="17.25" customHeight="1" x14ac:dyDescent="0.2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7"/>
      <c r="O22" s="104"/>
      <c r="P22" s="104"/>
      <c r="Q22" s="29"/>
    </row>
    <row r="23" spans="1:19" ht="29.25" customHeight="1" x14ac:dyDescent="0.2">
      <c r="A23" s="105" t="s">
        <v>63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65">
        <f>SUM(Q15:Q22)</f>
        <v>453600</v>
      </c>
    </row>
    <row r="24" spans="1:19" ht="18" customHeight="1" thickBot="1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</row>
    <row r="25" spans="1:19" ht="17.25" customHeight="1" thickBot="1" x14ac:dyDescent="0.25">
      <c r="A25" s="97" t="s">
        <v>47</v>
      </c>
      <c r="B25" s="98"/>
      <c r="C25" s="98"/>
      <c r="D25" s="98"/>
      <c r="E25" s="98"/>
      <c r="F25" s="99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</row>
    <row r="26" spans="1:19" ht="18" customHeight="1" thickBot="1" x14ac:dyDescent="0.25">
      <c r="A26" s="101" t="s">
        <v>61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</row>
    <row r="27" spans="1:19" ht="15" customHeight="1" x14ac:dyDescent="0.2">
      <c r="A27" s="101"/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ELIAS QUINTAR</cp:lastModifiedBy>
  <cp:revision>2</cp:revision>
  <cp:lastPrinted>2020-11-30T13:54:20Z</cp:lastPrinted>
  <dcterms:created xsi:type="dcterms:W3CDTF">2020-07-17T23:44:49Z</dcterms:created>
  <dcterms:modified xsi:type="dcterms:W3CDTF">2021-08-12T15:55:44Z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