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F935289-C840-4C02-9B45-681EE9CE0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4" i="2" l="1"/>
  <c r="M34" i="2"/>
  <c r="Q34" i="2"/>
  <c r="U34" i="2"/>
  <c r="Y34" i="2"/>
  <c r="AC34" i="2"/>
  <c r="AG34" i="2"/>
  <c r="AK34" i="2"/>
</calcChain>
</file>

<file path=xl/sharedStrings.xml><?xml version="1.0" encoding="utf-8"?>
<sst xmlns="http://schemas.openxmlformats.org/spreadsheetml/2006/main" count="274" uniqueCount="196">
  <si>
    <t>Número expediente:</t>
  </si>
  <si>
    <t>EX-2022-02217324-   -CAT-DPCBS#MEC</t>
  </si>
  <si>
    <t>Número proceso de compra:</t>
  </si>
  <si>
    <t>100-0219-CDI22</t>
  </si>
  <si>
    <t>Nombre descriptivo proceso de compra:</t>
  </si>
  <si>
    <t>ADQUISICIÓN DE ALIMENTOS PERECEDEROS SPP</t>
  </si>
  <si>
    <t>Unidad Operativa de Compras:</t>
  </si>
  <si>
    <t>Secretaria de Compras y Abastecimiento</t>
  </si>
  <si>
    <t>Fecha de Apertura:</t>
  </si>
  <si>
    <t>23/11/2022</t>
  </si>
  <si>
    <t>Renglón</t>
  </si>
  <si>
    <t>JUAN ANGEL PERNA</t>
  </si>
  <si>
    <t>GRUPO PROHMAX S.R.L</t>
  </si>
  <si>
    <t>LUJAIKO SRL</t>
  </si>
  <si>
    <t>LOS SAUCES SRL</t>
  </si>
  <si>
    <t>E-CO S. R. L.</t>
  </si>
  <si>
    <t>EL PUESTO SRL</t>
  </si>
  <si>
    <t>maria angela mascareño</t>
  </si>
  <si>
    <t>raquel del valle contreras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</si>
  <si>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</si>
  <si>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</si>
  <si>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</si>
  <si>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</si>
  <si>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</si>
  <si>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</si>
  <si>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</si>
  <si>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</si>
  <si>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</si>
  <si>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</si>
  <si>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</si>
  <si>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</si>
  <si>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UNIDAD </t>
  </si>
  <si>
    <t xml:space="preserve">  QUESOS; TIPO: CREMOSO, PRESENTACION: AL PESO, ELEM. TRANSPORTE: 
SIN, MATERIAL ELEM. TRANSPORTE: SIN, MATERIAL ENVASE: SIN, CERTIFICADO FORESTAL 
(GFS): SIN, LIBRE DE GLUTEN: A DEFINIR MARCA TREMBLAY PRIMERA 
CALIDAD </t>
  </si>
  <si>
    <t xml:space="preserve">QUESO CREMOSO X KILO  MARCA "CRAIKENSE"-  LIBRE DE 
GLUTEN </t>
  </si>
  <si>
    <t xml:space="preserve">QUESOS; TIPO: CREMOSO, PRESENTACION: AL PESO, SIN TACC X KG 
MARCA TREMBLAY </t>
  </si>
  <si>
    <t xml:space="preserve">QUESO CREMOSO LAS TRES X KG.  </t>
  </si>
  <si>
    <t xml:space="preserve">CONFORME AL PLIEGO - ANEXO I MARCA: LA NIÑA </t>
  </si>
  <si>
    <t xml:space="preserve">2 </t>
  </si>
  <si>
    <t xml:space="preserve">2.1.1-542.235 </t>
  </si>
  <si>
    <t xml:space="preserve">QUESOS; TIPO: PORT SALUT, PRESENTACION: AL PESO, ELEM. TRANSPORTE: SIN, 
MATERIAL ELEM. TRANSPORTE: SIN, MATERIAL ENVASE: SIN, CERTIFICADO FORESTAL (GFS): 
SIN, LIBRE DE GLUTEN: A DEFINIR </t>
  </si>
  <si>
    <t xml:space="preserve">  QUESOS; TIPO: PORT SALUT, PRESENTACION: AL PESO, ELEM. 
TRANSPORTE: SIN, MATERIAL ELEM. TRANSPORTE: SIN, MATERIAL ENVASE: SIN, CERTIFICADO 
FORESTAL (GFS): SIN, LIBRE DE GLUTEN: A DEFINIR MARCA TREMBLAY 
PRIMERA CALIDAD </t>
  </si>
  <si>
    <t xml:space="preserve">QUESO PORT SALUT X KILO MARCA "TREGAR"- LIBRE DE GLUTEN 
 </t>
  </si>
  <si>
    <t xml:space="preserve">QUESOS; TIPO: PORT SALUT, PRESENTACION: AL PESO, SIN TACC X 
KG MARCA TREMBLAY </t>
  </si>
  <si>
    <t xml:space="preserve">QUESO CREMOSO PORT SALUD TREMBLY X KG.  </t>
  </si>
  <si>
    <t xml:space="preserve">CONFORME AL PLIEGO - ANEXO I MARCA: REMOLAC </t>
  </si>
  <si>
    <t xml:space="preserve">3 </t>
  </si>
  <si>
    <t xml:space="preserve">2.1.1-541.18 </t>
  </si>
  <si>
    <t xml:space="preserve">CARNES; ESPECIE: VACUNA, CORTE: ROAST BEEF, TIPO: VACUNA </t>
  </si>
  <si>
    <t xml:space="preserve">CARNES; ESPECIE: VACUNA, CORTE: ROAST BEEF, TIPO: VACUNA MARCA ESTABLECIMIENTO 
FAENADOR NATILLA SA PRIMERA CALIDAD </t>
  </si>
  <si>
    <t xml:space="preserve">CARNES; ESPECIE: VACUNA, CORTE: ROAST BEEF, TIPO: VACUNA FRIGORIFICO FRIAR 
</t>
  </si>
  <si>
    <t xml:space="preserve">CARNE VACUNA CORTE ROAST BEEF X KG. "  </t>
  </si>
  <si>
    <t xml:space="preserve">CARNES; ESPECIE: VACUNA, CORTE: ROAST BEEF, TIPO: VACUNA PRIMERA CALIDAD 
</t>
  </si>
  <si>
    <t xml:space="preserve">4 </t>
  </si>
  <si>
    <t xml:space="preserve">2.1.1-541.59 </t>
  </si>
  <si>
    <t xml:space="preserve">CARNES; ESPECIE: VACUNA, CORTE: MONDONGO, TIPO: VACUNA </t>
  </si>
  <si>
    <t xml:space="preserve">CARNES; ESPECIE: VACUNA, CORTE: MONDONGO, TIPO: VACUNA MARCA NATILLA SA 
PRIMERA CALIDAD </t>
  </si>
  <si>
    <t xml:space="preserve">CARNES; ESPECIE: VACUNA, CORTE: MONDONGO, TIPO: VACUNA FRIGRIFICO NATILLA </t>
  </si>
  <si>
    <t xml:space="preserve">CARNE VACUNA CORTE MONDOGO X KG.  </t>
  </si>
  <si>
    <t xml:space="preserve">CARNES; ESPECIE: VACUNA, CORTE: MONDONGO, TIPO: VACUNA PRIMERA CALIDAD </t>
  </si>
  <si>
    <t xml:space="preserve">PRECIO POR KILO  </t>
  </si>
  <si>
    <t xml:space="preserve">5 </t>
  </si>
  <si>
    <t xml:space="preserve">2.1.1-541.45 </t>
  </si>
  <si>
    <t xml:space="preserve">CARNES; CORTE: HIGADO, ESPECIE: VACUNA, TIPO: VACUNA </t>
  </si>
  <si>
    <t xml:space="preserve">CARNES; CORTE: HIGADO, ESPECIE: VACUNA, TIPO: VACUNA MARCA NATILLA SA 
PRIMERA CALIDAD </t>
  </si>
  <si>
    <t xml:space="preserve">CARNES; CORTE: HIGADO, ESPECIE: VACUNA, TIPO: VACUNA FRIGORIFICO NATILLA </t>
  </si>
  <si>
    <t xml:space="preserve">CARNE VACUNA CORTE HIGADO X KG.  </t>
  </si>
  <si>
    <t xml:space="preserve">CARNES; CORTE: HIGADO, ESPECIE: VACUNA, TIPO: VACUNA PRIMERA CALIDAD </t>
  </si>
  <si>
    <t xml:space="preserve">PRECIO  POR KILO </t>
  </si>
  <si>
    <t xml:space="preserve">6 </t>
  </si>
  <si>
    <t xml:space="preserve">2.1.1-6546.335 </t>
  </si>
  <si>
    <t xml:space="preserve">VERDURAS Y HORTALIZAS; VARIEDAD: PAPA BLANCA, ESTADO: NATURAL, PRESENTACION: BOLSA, 
PESO: 25 Kg </t>
  </si>
  <si>
    <t xml:space="preserve">PAPA BLANCA, ESTADO: NATURAL, PRESENTACION: BOLSA </t>
  </si>
  <si>
    <t xml:space="preserve">VERDURA PAPA BLANCA EN BOLSA.  </t>
  </si>
  <si>
    <t xml:space="preserve">PAPA BLANCA X BOLSA25 KG </t>
  </si>
  <si>
    <t xml:space="preserve">VERDURAS Y HORTALIZAS; VARIEDAD: PAPA BLANCA, ESTADO: NATURAL, PRESENTACION: BOLSA, 
PESO: 25 Kg; PRIMERA CALIDAD </t>
  </si>
  <si>
    <t xml:space="preserve">7 </t>
  </si>
  <si>
    <t xml:space="preserve">2.1.1-6546.188 </t>
  </si>
  <si>
    <t xml:space="preserve">VERDURAS Y HORTALIZAS; ESTADO: NATURAL, PRESENTACION: GRANEL, PESO: SIN VALOR, 
VARIEDAD: ZAPALLO CRIOLLO </t>
  </si>
  <si>
    <t xml:space="preserve">ZAPALLO CRIOLLO X KG </t>
  </si>
  <si>
    <t xml:space="preserve">VERDURA ZAPALLO CRIOLLO X KG.  </t>
  </si>
  <si>
    <t xml:space="preserve">ZAPALLO CRIOLLO X KG  </t>
  </si>
  <si>
    <t xml:space="preserve">VERDURAS Y HORTALIZAS; ESTADO: NATURAL, PRESENTACION: GRANEL, PESO: SIN VALOR, 
VARIEDAD: ZAPALLO CRIOLLO; PRIMERA CALIDAD </t>
  </si>
  <si>
    <t xml:space="preserve">8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</si>
  <si>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</si>
  <si>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</si>
  <si>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TOMATE REDONDO, ESTADO: NATURAL, PRESENTACION: CAJON </t>
  </si>
  <si>
    <t xml:space="preserve">VERDURA TOMATE REDONDO EN CAJON X 20 KG. APROXIMADAMENTE.  
</t>
  </si>
  <si>
    <t xml:space="preserve">TOMATE REDONDO CAJON DE 17 A 22 KG </t>
  </si>
  <si>
    <t xml:space="preserve">VERDURAS Y HORTALIZAS; VARIEDAD: TOMATE REDONDO, ESTADO: NATURAL, PRESENTACION: CAJON, 
PESO: 17 A 22 Kg, ELEM. TRANSPORTE: SIN, MATERIAL ELEM. 
TRANSPORTE: SIN, LIBRE DE GLUTEN: SI, ORGANICO: NO; PRIMERA CALIDA 
</t>
  </si>
  <si>
    <t xml:space="preserve">9 </t>
  </si>
  <si>
    <t xml:space="preserve">2.1.1-6546.113 </t>
  </si>
  <si>
    <t xml:space="preserve">VERDURAS Y HORTALIZAS; ESTADO: NATURAL, PESO: SIN VALOR, VARIEDAD: REPOLLO 
BLANCO, PRESENTACION: GRANEL </t>
  </si>
  <si>
    <t xml:space="preserve">VERDURA REPOLLO BLANCO X UND.  </t>
  </si>
  <si>
    <t xml:space="preserve">REPOLLO BLANCO PIEZA X 2 KG APROXI. </t>
  </si>
  <si>
    <t xml:space="preserve">  VERDURAS Y HORTALIZAS; ESTADO: NATURAL, PESO: SIN VALOR, 
VARIEDAD: REPOLLO BLANCO, PRESENTACION: GRANEL; PRIMERA CALIDAD </t>
  </si>
  <si>
    <t xml:space="preserve">10 </t>
  </si>
  <si>
    <t xml:space="preserve">2.1.1-483.37 </t>
  </si>
  <si>
    <t xml:space="preserve">HUEVO DE GALLINA; TAMAÑO: GRANDE, COLOR: COLOR, PRESENTACION: 30 UN 
</t>
  </si>
  <si>
    <t xml:space="preserve">HUEVO DE GALLINA COLOR EN MAPLE X 30 UND.  
</t>
  </si>
  <si>
    <t xml:space="preserve">HUEVOS DE GALLINA MAPLE X 30 UNIDADES </t>
  </si>
  <si>
    <t xml:space="preserve">11 </t>
  </si>
  <si>
    <t xml:space="preserve">2.1.1-6546.153 </t>
  </si>
  <si>
    <t xml:space="preserve">VERDURAS Y HORTALIZAS; VARIEDAD: AJO, ESTADO: NATURAL, PRESENTACION: RISTRA, PESO: 
SIN VALOR </t>
  </si>
  <si>
    <t xml:space="preserve">AJO, ESTADO: NATURAL, PRESENTACION: RISTRA X 1 KG </t>
  </si>
  <si>
    <t xml:space="preserve">VERDURA AJO EN RISTRA X 50 UND.  </t>
  </si>
  <si>
    <t xml:space="preserve">AJO EN RISTRA  </t>
  </si>
  <si>
    <t xml:space="preserve">VERDURAS Y HORTALIZAS; VARIEDAD: AJO, ESTADO: NATURAL, PRESENTACION: RISTRA, PESO: 
SIN VALOR; PRIMERA CALIDAD </t>
  </si>
  <si>
    <t xml:space="preserve">12 </t>
  </si>
  <si>
    <t xml:space="preserve">2.1.1-6546.34 </t>
  </si>
  <si>
    <t xml:space="preserve">VERDURAS Y HORTALIZAS; VARIEDAD: ACELGA, ESTADO: EN HOJA, PRESENTACION: ATADO, 
PESO: SIN VALOR </t>
  </si>
  <si>
    <t xml:space="preserve">ACELGA, ESTADO: EN HOJA, PRESENTACION: ATADO x 1 KG aprox. 
</t>
  </si>
  <si>
    <t xml:space="preserve">VERDURA ACELGA EN ATADO X 1 KG.  </t>
  </si>
  <si>
    <t xml:space="preserve">ACELGA EN HOJA ATADO DE 1KG  APROXI. </t>
  </si>
  <si>
    <t xml:space="preserve">VERDURAS Y HORTALIZAS; VARIEDAD: ACELGA, ESTADO: EN HOJA, PRESENTACION: ATADO, 
PESO: SIN VALOR; PRIMERA CALIDAD </t>
  </si>
  <si>
    <t xml:space="preserve">13 </t>
  </si>
  <si>
    <t xml:space="preserve">2.1.1-6546.39 </t>
  </si>
  <si>
    <t xml:space="preserve">VERDURAS Y HORTALIZAS; VARIEDAD: CEBOLLA, ESTADO: NATURAL, PRESENTACION: BOLSA, PESO: 
25 Kg </t>
  </si>
  <si>
    <t xml:space="preserve">CEBOLLA, ESTADO: NATURAL, PRESENTACION: BOLSA </t>
  </si>
  <si>
    <t xml:space="preserve">VERDURA CEBOLLA EN BOLSA.  </t>
  </si>
  <si>
    <t xml:space="preserve">CEBOLLA EN BOLSA  </t>
  </si>
  <si>
    <t xml:space="preserve">VERDURAS Y HORTALIZAS; VARIEDAD: CEBOLLA, ESTADO: NATURAL, PRESENTACION: BOLSA, PESO: 
25 Kg; PRIMERA CALIDAD </t>
  </si>
  <si>
    <t xml:space="preserve">14 </t>
  </si>
  <si>
    <t xml:space="preserve">2.1.1-6546.240 </t>
  </si>
  <si>
    <t xml:space="preserve">VERDURAS Y HORTALIZAS; VARIEDAD: ZAPALLITO REDONDO, ESTADO: NATURAL, PRESENTACION: SIN 
VALOR, PESO: 20 Kg </t>
  </si>
  <si>
    <t xml:space="preserve">ZAPALLITO REDONDO, ESTADO: NATURAL, PRESENTACION CAJON </t>
  </si>
  <si>
    <t xml:space="preserve">VERDURA ZAPALLITO REDONDO VERDE EN CAJON X 20 KG.  
</t>
  </si>
  <si>
    <t xml:space="preserve">ZAPALLITO REDONDO X CAJON </t>
  </si>
  <si>
    <t xml:space="preserve">VERDURAS Y HORTALIZAS; VARIEDAD: ZAPALLITO REDONDO, ESTADO: NATURAL, PRESENTACION: SIN 
VALOR, PESO: 20 Kg; PRIMERA CALIDAD </t>
  </si>
  <si>
    <t xml:space="preserve">15 </t>
  </si>
  <si>
    <t xml:space="preserve">2.1.1-6546.167 </t>
  </si>
  <si>
    <t xml:space="preserve">VERDURAS Y HORTALIZAS; VARIEDAD: ZANAHORIA, PRESENTACION: BOLSA, ESTADO: NATURAL, PESO: 
20 Kg </t>
  </si>
  <si>
    <t xml:space="preserve">ZANAHORIA, PRESENTACION: BOLSA, ESTADO: NATURA </t>
  </si>
  <si>
    <t xml:space="preserve">VERDURA ZANAHORIA EN BOLSA X 20 KG. APROXIMADAMENTE  </t>
  </si>
  <si>
    <t xml:space="preserve">ZANAHORIA FRESCA BOLSA X 20 KG APROXI. </t>
  </si>
  <si>
    <t xml:space="preserve">VERDURAS Y HORTALIZAS; VARIEDAD: ZANAHORIA, PRESENTACION: BOLSA, ESTADO: NATURAL, PESO: 
20 Kg; PRIMERA CALIDAD </t>
  </si>
  <si>
    <t xml:space="preserve">16 </t>
  </si>
  <si>
    <t xml:space="preserve">2.1.1-6546.207 </t>
  </si>
  <si>
    <t xml:space="preserve">VERDURAS Y HORTALIZAS; VARIEDAD: BATATA, ESTADO: NATURAL, PRESENTACION: BOLSA, PESO: 
10 Kg </t>
  </si>
  <si>
    <t xml:space="preserve">BATATA, ESTADO: NATURAL, PRESENTACION: BOLSA </t>
  </si>
  <si>
    <t xml:space="preserve">VERDURA BATATA ROJA EN BOLSA X 10 KG. APROXIMADAMENTE.  
</t>
  </si>
  <si>
    <t xml:space="preserve">BATATA FRECA BOLSA X 10 KG  </t>
  </si>
  <si>
    <t xml:space="preserve">VERDURAS Y HORTALIZAS; VARIEDAD: BATATA, ESTADO: NATURAL, PRESENTACION: BOLSA, PESO: 
10 Kg; PRIMERA CALIDAD </t>
  </si>
  <si>
    <t xml:space="preserve">17 </t>
  </si>
  <si>
    <t xml:space="preserve">2.1.1-6546.95 </t>
  </si>
  <si>
    <t xml:space="preserve">VERDURAS Y HORTALIZAS; VARIEDAD: MORRON VERDE, ESTADO: NATURAL, PRESENTACION: GRANEL, 
PESO: SIN VALOR </t>
  </si>
  <si>
    <t xml:space="preserve">MORRON VERDE, ESTADO: NATURAL, PRESENTACION: CAJON </t>
  </si>
  <si>
    <t xml:space="preserve">VERDURA MORRON VERDE EN CAJON X 10 KG. APROXIMADAMENTE.  
</t>
  </si>
  <si>
    <t xml:space="preserve">MORRON VERDE CAJON X 10 KG </t>
  </si>
  <si>
    <t xml:space="preserve">  VERDURAS Y HORTALIZAS; VARIEDAD: MORRON VERDE, ESTADO: NATURAL, 
PRESENTACION: GRANEL, PESO: SIN VALOR; PRIMERA CALIDAD </t>
  </si>
  <si>
    <t xml:space="preserve">18 </t>
  </si>
  <si>
    <t xml:space="preserve">2.1.1-6539.2 </t>
  </si>
  <si>
    <t xml:space="preserve">FRUTAS; PRESENTACION: GRANEL, VARIEDAD: NARANJA OMBLIGO, ESTADO: NATURAL, PESO: SIN 
VALOR </t>
  </si>
  <si>
    <t xml:space="preserve">FRUTA NARANJA OMBLIGO EN BOLSA / CAJON X 20 KG. 
APROXIMADAMENTE.  </t>
  </si>
  <si>
    <t xml:space="preserve">NARANJA X BOLSA DE 20 KG  </t>
  </si>
  <si>
    <t xml:space="preserve">19 </t>
  </si>
  <si>
    <t xml:space="preserve">2.1.1-6539.32 </t>
  </si>
  <si>
    <t xml:space="preserve">FRUTAS; VARIEDAD: PERA AMARILLA, ESTADO: NATURAL, PRESENTACION: CAJON, PESO: SIN 
VALOR </t>
  </si>
  <si>
    <t xml:space="preserve"> PERA AMARILLA, ESTADO: NATURAL, PRESENTACION: CAJON </t>
  </si>
  <si>
    <t xml:space="preserve">FRUTA PERA AMARILLA EN CAJON X 18 KG. APROXIMADAMENTE.  
</t>
  </si>
  <si>
    <t xml:space="preserve">PERA AMARILLA CAJON X 10 KG </t>
  </si>
  <si>
    <t xml:space="preserve">FRUTAS; VARIEDAD: PERA AMARILLA, ESTADO: NATURAL, PRESENTACION: CAJON, PESO: SIN 
VALOR; PRIMERA CALIDAD </t>
  </si>
  <si>
    <t xml:space="preserve">20 </t>
  </si>
  <si>
    <t xml:space="preserve">2.1.1-6539.20 </t>
  </si>
  <si>
    <t xml:space="preserve">FRUTAS; ESTADO: NATURAL, VARIEDAD: MANZANA RED DELICIOSA, PRESENTACION: CAJON, PESO: 
SIN VALOR </t>
  </si>
  <si>
    <t xml:space="preserve">MANZANA RED DELICIOSA, PRESENTACION: CAJON </t>
  </si>
  <si>
    <t xml:space="preserve">FRUTA MANZANA RED DELICIOSA EN CAJON X 20 KG APROXIMADAMENTE. 
 </t>
  </si>
  <si>
    <t xml:space="preserve">MANZANA RED DELICIOSA CAJON X 10 KG </t>
  </si>
  <si>
    <t xml:space="preserve">FRUTAS; ESTADO: NATURAL, VARIEDAD: MANZANA RED DELICIOSA, PRESENTACION: CAJON, PESO: 
SIN VALOR; PRIMERA CALIDAD </t>
  </si>
  <si>
    <t xml:space="preserve">21 </t>
  </si>
  <si>
    <t xml:space="preserve">2.1.1-2116.2 </t>
  </si>
  <si>
    <t xml:space="preserve">LEVADURAS; TIPO: DE CERVEZA, PRESENTACION: PAQUETE, PESO: 1 Kg </t>
  </si>
  <si>
    <t xml:space="preserve">  LEVADURAS; TIPO: DE CERVEZA, PRESENTACIÓN: PAQUETE, PESO: 1 
Kg MARCA LA CORDOBESA PRIMERA CALIDAD </t>
  </si>
  <si>
    <t xml:space="preserve">LEVADURA DE CERVEZA EN PAQUETE X 1 KG.  </t>
  </si>
  <si>
    <t xml:space="preserve">22 </t>
  </si>
  <si>
    <t xml:space="preserve">2.1.1-456.1 </t>
  </si>
  <si>
    <t xml:space="preserve">YOGHURT; SABOR: VAINILLA, ENVASE: SACHET, AGREGADO: SIN VALOR, CONSISTENCIA: BEBIBLE, 
PRESENTACION: SACHET X 1 L, CAPACIDAD: 1 L, TIPO: ENTERO 
</t>
  </si>
  <si>
    <t xml:space="preserve">  YOGHURT; SABOR: VAINILLA, ENVASE: SACHET, AGREGADO: SIN VALOR, 
CONSISTENCIA: BEBIBLE, PRESENTACION: SACHET X 1 L, CAPACIDAD: 1 L, 
TIPO: ENTERO MARCA TREMBLAY PRIMERA CALIDAD </t>
  </si>
  <si>
    <t xml:space="preserve">YOGHURT SABOR VAINILLA, BEBIBLE, PRESENTACION: SACHET X 1 L, ENTERO- 
MARCA "TREMBLAY"  </t>
  </si>
  <si>
    <t xml:space="preserve">YOGHURT; SABOR: VAINILLA, ENVASE: SACHET, AGREGADO: SIN VALOR, CONSISTENCIA: BEBIBLE, 
PRESENTACION: SACHET X 1 L, CAPACIDAD: 1 L, TIPO: ENTERO 
MARCA MANFREY </t>
  </si>
  <si>
    <t xml:space="preserve">YOGURT ENTERO SABOR VAINILLA MANFREY X 1 LTRS.  </t>
  </si>
  <si>
    <t xml:space="preserve">CONFORME AL PLIEGO - ANEXO I MARCA: LA NUEVA </t>
  </si>
  <si>
    <t xml:space="preserve">23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</si>
  <si>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</si>
  <si>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</si>
  <si>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YOGHURT; CAPACIDAD: 1 L, SABOR: FRUTILLA, TIPO: ENTERO, ENVASE: SACHET, 
AGREGADO: SIN VALOR, CONSISTENCIA: BEBIBLE, PRESENTACION: SACHET X 1 L 
MARCA TREMBLAY PRIMERA CALIDAD </t>
  </si>
  <si>
    <t xml:space="preserve">YOGHURT SABOR: FRUTILLA, BEBIBLE , PRESENTACION: SACHET X 1 L 
, ENTERO -MARCA "TREMBLAY" </t>
  </si>
  <si>
    <t xml:space="preserve">YOGHURT; CAPACIDAD: 1 L, SABOR: FRUTILLA, TIPO: ENTERO, ENVASE: SACHET, 
AGREGADO: SIN VALOR, CONSISTENCIA: BEBIBLE, PRESENTACION: SACHET X 1 L 
MARCA MANFREY </t>
  </si>
  <si>
    <t xml:space="preserve">YOGURT ENTERO SABOR FRUTILLA MANFREY X 1 LTRS.  </t>
  </si>
  <si>
    <t xml:space="preserve">24 </t>
  </si>
  <si>
    <t xml:space="preserve">2.1.1-6546.158 </t>
  </si>
  <si>
    <t xml:space="preserve">VERDURAS Y HORTALIZAS; ESTADO: NATURAL, VARIEDAD: ZAPALLO ANCO, PRESENTACION: GRANEL, 
PESO: SIN VALOR </t>
  </si>
  <si>
    <t xml:space="preserve"> ZAPALLO ANCO x kg </t>
  </si>
  <si>
    <t xml:space="preserve">VERDURA ZAPALLO ANQUIN X KG.  </t>
  </si>
  <si>
    <t xml:space="preserve">ZAPALLO ANCO X 1 KG  </t>
  </si>
  <si>
    <t xml:space="preserve">  VERDURAS Y HORTALIZAS; ESTADO: NATURAL, VARIEDAD: ZAPALLO ANCO, 
PRESENTACION: GRANEL, PESO: SIN VALOR; PRIMERA CALIDAD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</si>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</sst>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4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34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34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E9:AH34" totalsRowCount="1">
  <tableColumns count="4">
    <tableColumn id="1" xr3:uid="{00000000-0010-0000-0700-000001000000}" name="Precio unitario"/>
    <tableColumn id="2" xr3:uid="{00000000-0010-0000-0700-000002000000}" name="Cantidad ofertada"/>
    <tableColumn id="3" xr3:uid="{00000000-0010-0000-0700-000003000000}" name="Total por renglón" totalsRowFunction="sum"/>
    <tableColumn id="4" xr3:uid="{00000000-0010-0000-0700-000004000000}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I9:AL34" totalsRowCount="1">
  <tableColumns count="4">
    <tableColumn id="1" xr3:uid="{00000000-0010-0000-0800-000001000000}" name="Precio unitario"/>
    <tableColumn id="2" xr3:uid="{00000000-0010-0000-0800-000002000000}" name="Cantidad ofertada"/>
    <tableColumn id="3" xr3:uid="{00000000-0010-0000-0800-000003000000}" name="Total por renglón" totalsRowFunction="sum"/>
    <tableColumn id="4" xr3:uid="{00000000-0010-0000-08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0" customWidth="1"/>
    <col min="5" max="5" width="44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1.42578125" customWidth="1"/>
    <col min="11" max="11" width="14.28515625" customWidth="1"/>
    <col min="12" max="12" width="17.28515625" customWidth="1"/>
    <col min="13" max="13" width="16.5703125" customWidth="1"/>
    <col min="14" max="14" width="67.7109375" customWidth="1"/>
    <col min="15" max="15" width="14.28515625" customWidth="1"/>
    <col min="16" max="16" width="17.28515625" customWidth="1"/>
    <col min="17" max="17" width="16.5703125" customWidth="1"/>
    <col min="18" max="18" width="84.5703125" customWidth="1"/>
    <col min="19" max="19" width="14.28515625" customWidth="1"/>
    <col min="20" max="20" width="17.28515625" customWidth="1"/>
    <col min="21" max="21" width="16.5703125" customWidth="1"/>
    <col min="22" max="22" width="65.7109375" customWidth="1"/>
    <col min="23" max="23" width="14.28515625" customWidth="1"/>
    <col min="24" max="24" width="17.28515625" customWidth="1"/>
    <col min="25" max="25" width="16.5703125" customWidth="1"/>
    <col min="26" max="26" width="72.85546875" customWidth="1"/>
    <col min="27" max="27" width="14.28515625" customWidth="1"/>
    <col min="28" max="28" width="17.28515625" customWidth="1"/>
    <col min="29" max="29" width="16.5703125" customWidth="1"/>
    <col min="30" max="30" width="20.28515625" customWidth="1"/>
    <col min="31" max="31" width="14.28515625" customWidth="1"/>
    <col min="32" max="32" width="17.28515625" customWidth="1"/>
    <col min="33" max="33" width="16.5703125" customWidth="1"/>
    <col min="34" max="34" width="39.85546875" customWidth="1"/>
    <col min="35" max="35" width="14.28515625" customWidth="1"/>
    <col min="36" max="36" width="17.28515625" customWidth="1"/>
    <col min="37" max="37" width="16.5703125" customWidth="1"/>
    <col min="38" max="38" width="90" customWidth="1"/>
  </cols>
  <sheetData>
    <row r="1" spans="1:38" x14ac:dyDescent="0.25">
      <c r="D1" s="2" t="s">
        <v>0</v>
      </c>
      <c r="E1" s="2" t="s">
        <v>1</v>
      </c>
    </row>
    <row r="2" spans="1:38" x14ac:dyDescent="0.25">
      <c r="D2" s="2" t="s">
        <v>2</v>
      </c>
      <c r="E2" s="2" t="s">
        <v>3</v>
      </c>
    </row>
    <row r="3" spans="1:38" x14ac:dyDescent="0.25">
      <c r="D3" s="2" t="s">
        <v>4</v>
      </c>
      <c r="E3" s="2" t="s">
        <v>5</v>
      </c>
    </row>
    <row r="4" spans="1:38" x14ac:dyDescent="0.25">
      <c r="D4" s="2" t="s">
        <v>6</v>
      </c>
      <c r="E4" s="2" t="s">
        <v>7</v>
      </c>
    </row>
    <row r="5" spans="1:38" x14ac:dyDescent="0.25">
      <c r="D5" s="2" t="s">
        <v>8</v>
      </c>
      <c r="E5" s="2" t="s">
        <v>9</v>
      </c>
    </row>
    <row r="8" spans="1:3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</row>
    <row r="9" spans="1:38" x14ac:dyDescent="0.25">
      <c r="A9" t="s">
        <v>10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s="3" t="s">
        <v>24</v>
      </c>
      <c r="H9" s="3" t="s">
        <v>25</v>
      </c>
      <c r="I9" t="s">
        <v>26</v>
      </c>
      <c r="J9" t="s">
        <v>27</v>
      </c>
      <c r="K9" s="3" t="s">
        <v>24</v>
      </c>
      <c r="L9" s="3" t="s">
        <v>25</v>
      </c>
      <c r="M9" t="s">
        <v>26</v>
      </c>
      <c r="N9" t="s">
        <v>27</v>
      </c>
      <c r="O9" s="3" t="s">
        <v>24</v>
      </c>
      <c r="P9" s="3" t="s">
        <v>25</v>
      </c>
      <c r="Q9" t="s">
        <v>26</v>
      </c>
      <c r="R9" t="s">
        <v>27</v>
      </c>
      <c r="S9" s="3" t="s">
        <v>24</v>
      </c>
      <c r="T9" s="3" t="s">
        <v>25</v>
      </c>
      <c r="U9" t="s">
        <v>26</v>
      </c>
      <c r="V9" t="s">
        <v>27</v>
      </c>
      <c r="W9" s="3" t="s">
        <v>24</v>
      </c>
      <c r="X9" s="3" t="s">
        <v>25</v>
      </c>
      <c r="Y9" t="s">
        <v>26</v>
      </c>
      <c r="Z9" t="s">
        <v>27</v>
      </c>
      <c r="AA9" s="3" t="s">
        <v>24</v>
      </c>
      <c r="AB9" s="3" t="s">
        <v>25</v>
      </c>
      <c r="AC9" t="s">
        <v>26</v>
      </c>
      <c r="AD9" t="s">
        <v>27</v>
      </c>
      <c r="AE9" s="3" t="s">
        <v>24</v>
      </c>
      <c r="AF9" s="3" t="s">
        <v>25</v>
      </c>
      <c r="AG9" t="s">
        <v>26</v>
      </c>
      <c r="AH9" t="s">
        <v>27</v>
      </c>
      <c r="AI9" s="3" t="s">
        <v>24</v>
      </c>
      <c r="AJ9" s="3" t="s">
        <v>25</v>
      </c>
      <c r="AK9" t="s">
        <v>26</v>
      </c>
      <c r="AL9" t="s">
        <v>27</v>
      </c>
    </row>
    <row r="10" spans="1:38" ht="60" x14ac:dyDescent="0.25">
      <c r="A10" t="s">
        <v>28</v>
      </c>
      <c r="B10" t="s">
        <v>28</v>
      </c>
      <c r="C10" t="s">
        <v>29</v>
      </c>
      <c r="D10" s="4" t="s">
        <v>30</v>
      </c>
      <c r="E10">
        <v>400</v>
      </c>
      <c r="F10" t="s">
        <v>31</v>
      </c>
      <c r="G10" s="3">
        <v>1150</v>
      </c>
      <c r="H10" s="3">
        <v>400</v>
      </c>
      <c r="I10" s="5">
        <v>460000</v>
      </c>
      <c r="J10" s="4" t="s">
        <v>32</v>
      </c>
      <c r="K10" s="3">
        <v>854.41</v>
      </c>
      <c r="L10" s="3">
        <v>400</v>
      </c>
      <c r="M10" s="5">
        <v>341764</v>
      </c>
      <c r="N10" s="4" t="s">
        <v>33</v>
      </c>
      <c r="O10" s="3">
        <v>1321.38</v>
      </c>
      <c r="P10" s="3">
        <v>400</v>
      </c>
      <c r="Q10" s="5">
        <v>528552</v>
      </c>
      <c r="R10" s="4" t="s">
        <v>34</v>
      </c>
      <c r="S10" s="3">
        <v>1175</v>
      </c>
      <c r="T10" s="3">
        <v>400</v>
      </c>
      <c r="U10" s="5">
        <v>470000</v>
      </c>
      <c r="V10" t="s">
        <v>35</v>
      </c>
      <c r="W10" s="3">
        <v>1070</v>
      </c>
      <c r="X10" s="3">
        <v>400</v>
      </c>
      <c r="Y10" s="5">
        <v>428000</v>
      </c>
      <c r="Z10" t="s">
        <v>36</v>
      </c>
      <c r="AA10" s="3"/>
      <c r="AB10" s="3"/>
      <c r="AC10" s="5"/>
      <c r="AE10" s="3"/>
      <c r="AF10" s="3"/>
      <c r="AG10" s="5"/>
      <c r="AI10" s="3"/>
      <c r="AJ10" s="3"/>
      <c r="AK10" s="5"/>
    </row>
    <row r="11" spans="1:38" ht="75" x14ac:dyDescent="0.25">
      <c r="A11" t="s">
        <v>37</v>
      </c>
      <c r="B11" t="s">
        <v>28</v>
      </c>
      <c r="C11" t="s">
        <v>38</v>
      </c>
      <c r="D11" s="4" t="s">
        <v>39</v>
      </c>
      <c r="E11">
        <v>400</v>
      </c>
      <c r="F11" t="s">
        <v>31</v>
      </c>
      <c r="G11" s="3">
        <v>1250</v>
      </c>
      <c r="H11" s="3">
        <v>400</v>
      </c>
      <c r="I11" s="5">
        <v>500000</v>
      </c>
      <c r="J11" s="4" t="s">
        <v>40</v>
      </c>
      <c r="K11" s="3">
        <v>1338.8</v>
      </c>
      <c r="L11" s="3">
        <v>400</v>
      </c>
      <c r="M11" s="5">
        <v>535520</v>
      </c>
      <c r="N11" s="4" t="s">
        <v>41</v>
      </c>
      <c r="O11" s="3">
        <v>1521</v>
      </c>
      <c r="P11" s="3">
        <v>400</v>
      </c>
      <c r="Q11" s="5">
        <v>608400</v>
      </c>
      <c r="R11" s="4" t="s">
        <v>42</v>
      </c>
      <c r="S11" s="3">
        <v>1515</v>
      </c>
      <c r="T11" s="3">
        <v>400</v>
      </c>
      <c r="U11" s="5">
        <v>606000</v>
      </c>
      <c r="V11" t="s">
        <v>43</v>
      </c>
      <c r="W11" s="3">
        <v>1390</v>
      </c>
      <c r="X11" s="3">
        <v>400</v>
      </c>
      <c r="Y11" s="5">
        <v>556000</v>
      </c>
      <c r="Z11" t="s">
        <v>44</v>
      </c>
      <c r="AA11" s="3"/>
      <c r="AB11" s="3"/>
      <c r="AC11" s="5"/>
      <c r="AE11" s="3"/>
      <c r="AF11" s="3"/>
      <c r="AG11" s="5"/>
      <c r="AI11" s="3"/>
      <c r="AJ11" s="3"/>
      <c r="AK11" s="5"/>
    </row>
    <row r="12" spans="1:38" ht="45" x14ac:dyDescent="0.25">
      <c r="A12" t="s">
        <v>45</v>
      </c>
      <c r="B12" t="s">
        <v>28</v>
      </c>
      <c r="C12" t="s">
        <v>46</v>
      </c>
      <c r="D12" t="s">
        <v>47</v>
      </c>
      <c r="E12">
        <v>5000</v>
      </c>
      <c r="F12" t="s">
        <v>31</v>
      </c>
      <c r="G12" s="3">
        <v>1250</v>
      </c>
      <c r="H12" s="3">
        <v>5000</v>
      </c>
      <c r="I12" s="5">
        <v>6250000</v>
      </c>
      <c r="J12" s="4" t="s">
        <v>48</v>
      </c>
      <c r="K12" s="3"/>
      <c r="L12" s="3"/>
      <c r="M12" s="5"/>
      <c r="O12" s="3">
        <v>1528.3</v>
      </c>
      <c r="P12" s="3">
        <v>5000</v>
      </c>
      <c r="Q12" s="5">
        <v>7641500</v>
      </c>
      <c r="R12" s="4" t="s">
        <v>49</v>
      </c>
      <c r="S12" s="3">
        <v>1450</v>
      </c>
      <c r="T12" s="3">
        <v>5000</v>
      </c>
      <c r="U12" s="5">
        <v>7250000</v>
      </c>
      <c r="V12" t="s">
        <v>50</v>
      </c>
      <c r="W12" s="3">
        <v>1650</v>
      </c>
      <c r="X12" s="3">
        <v>5000</v>
      </c>
      <c r="Y12" s="5">
        <v>8250000</v>
      </c>
      <c r="Z12" s="4" t="s">
        <v>51</v>
      </c>
      <c r="AA12" s="3"/>
      <c r="AB12" s="3"/>
      <c r="AC12" s="5"/>
      <c r="AE12" s="3"/>
      <c r="AF12" s="3"/>
      <c r="AG12" s="5"/>
      <c r="AI12" s="3"/>
      <c r="AJ12" s="3"/>
      <c r="AK12" s="5"/>
    </row>
    <row r="13" spans="1:38" ht="30" x14ac:dyDescent="0.25">
      <c r="A13" t="s">
        <v>52</v>
      </c>
      <c r="B13" t="s">
        <v>28</v>
      </c>
      <c r="C13" t="s">
        <v>53</v>
      </c>
      <c r="D13" t="s">
        <v>54</v>
      </c>
      <c r="E13">
        <v>500</v>
      </c>
      <c r="F13" t="s">
        <v>31</v>
      </c>
      <c r="G13" s="3">
        <v>850</v>
      </c>
      <c r="H13" s="3">
        <v>500</v>
      </c>
      <c r="I13" s="5">
        <v>425000</v>
      </c>
      <c r="J13" s="4" t="s">
        <v>55</v>
      </c>
      <c r="K13" s="3"/>
      <c r="L13" s="3"/>
      <c r="M13" s="5"/>
      <c r="O13" s="3">
        <v>884</v>
      </c>
      <c r="P13" s="3">
        <v>500</v>
      </c>
      <c r="Q13" s="5">
        <v>442000</v>
      </c>
      <c r="R13" t="s">
        <v>56</v>
      </c>
      <c r="S13" s="3">
        <v>890</v>
      </c>
      <c r="T13" s="3">
        <v>500</v>
      </c>
      <c r="U13" s="5">
        <v>445000</v>
      </c>
      <c r="V13" t="s">
        <v>57</v>
      </c>
      <c r="W13" s="3">
        <v>825</v>
      </c>
      <c r="X13" s="3">
        <v>500</v>
      </c>
      <c r="Y13" s="5">
        <v>412500</v>
      </c>
      <c r="Z13" t="s">
        <v>58</v>
      </c>
      <c r="AA13" s="3">
        <v>600</v>
      </c>
      <c r="AB13" s="3">
        <v>500</v>
      </c>
      <c r="AC13" s="5">
        <v>300000</v>
      </c>
      <c r="AD13" t="s">
        <v>59</v>
      </c>
      <c r="AE13" s="3"/>
      <c r="AF13" s="3"/>
      <c r="AG13" s="5"/>
      <c r="AI13" s="3"/>
      <c r="AJ13" s="3"/>
      <c r="AK13" s="5"/>
    </row>
    <row r="14" spans="1:38" ht="30" x14ac:dyDescent="0.25">
      <c r="A14" t="s">
        <v>60</v>
      </c>
      <c r="B14" t="s">
        <v>28</v>
      </c>
      <c r="C14" t="s">
        <v>61</v>
      </c>
      <c r="D14" t="s">
        <v>62</v>
      </c>
      <c r="E14">
        <v>500</v>
      </c>
      <c r="F14" t="s">
        <v>31</v>
      </c>
      <c r="G14" s="3">
        <v>650</v>
      </c>
      <c r="H14" s="3">
        <v>500</v>
      </c>
      <c r="I14" s="5">
        <v>325000</v>
      </c>
      <c r="J14" s="4" t="s">
        <v>63</v>
      </c>
      <c r="K14" s="3"/>
      <c r="L14" s="3"/>
      <c r="M14" s="5"/>
      <c r="O14" s="3">
        <v>629</v>
      </c>
      <c r="P14" s="3">
        <v>500</v>
      </c>
      <c r="Q14" s="5">
        <v>314500</v>
      </c>
      <c r="R14" t="s">
        <v>64</v>
      </c>
      <c r="S14" s="3">
        <v>650</v>
      </c>
      <c r="T14" s="3">
        <v>500</v>
      </c>
      <c r="U14" s="5">
        <v>325000</v>
      </c>
      <c r="V14" t="s">
        <v>65</v>
      </c>
      <c r="W14" s="3">
        <v>825</v>
      </c>
      <c r="X14" s="3">
        <v>500</v>
      </c>
      <c r="Y14" s="5">
        <v>412500</v>
      </c>
      <c r="Z14" t="s">
        <v>66</v>
      </c>
      <c r="AA14" s="3">
        <v>600</v>
      </c>
      <c r="AB14" s="3">
        <v>500</v>
      </c>
      <c r="AC14" s="5">
        <v>300000</v>
      </c>
      <c r="AD14" t="s">
        <v>67</v>
      </c>
      <c r="AE14" s="3"/>
      <c r="AF14" s="3"/>
      <c r="AG14" s="5"/>
      <c r="AI14" s="3"/>
      <c r="AJ14" s="3"/>
      <c r="AK14" s="5"/>
    </row>
    <row r="15" spans="1:38" ht="30" x14ac:dyDescent="0.25">
      <c r="A15" t="s">
        <v>68</v>
      </c>
      <c r="B15" t="s">
        <v>28</v>
      </c>
      <c r="C15" t="s">
        <v>69</v>
      </c>
      <c r="D15" s="4" t="s">
        <v>70</v>
      </c>
      <c r="E15">
        <v>700</v>
      </c>
      <c r="F15" t="s">
        <v>31</v>
      </c>
      <c r="G15" s="3"/>
      <c r="H15" s="3"/>
      <c r="I15" s="5"/>
      <c r="K15" s="3"/>
      <c r="L15" s="3"/>
      <c r="M15" s="5"/>
      <c r="O15" s="3">
        <v>2700</v>
      </c>
      <c r="P15" s="3">
        <v>700</v>
      </c>
      <c r="Q15" s="5">
        <v>1890000</v>
      </c>
      <c r="R15" t="s">
        <v>71</v>
      </c>
      <c r="S15" s="3">
        <v>2350</v>
      </c>
      <c r="T15" s="3">
        <v>700</v>
      </c>
      <c r="U15" s="5">
        <v>1645000</v>
      </c>
      <c r="V15" t="s">
        <v>72</v>
      </c>
      <c r="W15" s="3"/>
      <c r="X15" s="3"/>
      <c r="Y15" s="5"/>
      <c r="AA15" s="3"/>
      <c r="AB15" s="3"/>
      <c r="AC15" s="5"/>
      <c r="AE15" s="3">
        <v>3200</v>
      </c>
      <c r="AF15" s="3">
        <v>700</v>
      </c>
      <c r="AG15" s="5">
        <v>2240000</v>
      </c>
      <c r="AH15" t="s">
        <v>73</v>
      </c>
      <c r="AI15" s="3">
        <v>2500</v>
      </c>
      <c r="AJ15" s="3">
        <v>700</v>
      </c>
      <c r="AK15" s="5">
        <v>1750000</v>
      </c>
      <c r="AL15" s="4" t="s">
        <v>74</v>
      </c>
    </row>
    <row r="16" spans="1:38" ht="30" x14ac:dyDescent="0.25">
      <c r="A16" t="s">
        <v>75</v>
      </c>
      <c r="B16" t="s">
        <v>28</v>
      </c>
      <c r="C16" t="s">
        <v>76</v>
      </c>
      <c r="D16" s="4" t="s">
        <v>77</v>
      </c>
      <c r="E16">
        <v>1500</v>
      </c>
      <c r="F16" t="s">
        <v>31</v>
      </c>
      <c r="G16" s="3"/>
      <c r="H16" s="3"/>
      <c r="I16" s="5"/>
      <c r="K16" s="3"/>
      <c r="L16" s="3"/>
      <c r="M16" s="5"/>
      <c r="O16" s="3">
        <v>630</v>
      </c>
      <c r="P16" s="3">
        <v>1500</v>
      </c>
      <c r="Q16" s="5">
        <v>945000</v>
      </c>
      <c r="R16" t="s">
        <v>78</v>
      </c>
      <c r="S16" s="3">
        <v>480</v>
      </c>
      <c r="T16" s="3">
        <v>1500</v>
      </c>
      <c r="U16" s="5">
        <v>720000</v>
      </c>
      <c r="V16" t="s">
        <v>79</v>
      </c>
      <c r="W16" s="3"/>
      <c r="X16" s="3"/>
      <c r="Y16" s="5"/>
      <c r="AA16" s="3"/>
      <c r="AB16" s="3"/>
      <c r="AC16" s="5"/>
      <c r="AE16" s="3">
        <v>800</v>
      </c>
      <c r="AF16" s="3">
        <v>1500</v>
      </c>
      <c r="AG16" s="5">
        <v>1200000</v>
      </c>
      <c r="AH16" t="s">
        <v>80</v>
      </c>
      <c r="AI16" s="3">
        <v>455</v>
      </c>
      <c r="AJ16" s="3">
        <v>1500</v>
      </c>
      <c r="AK16" s="5">
        <v>682500</v>
      </c>
      <c r="AL16" s="4" t="s">
        <v>81</v>
      </c>
    </row>
    <row r="17" spans="1:38" ht="75" x14ac:dyDescent="0.25">
      <c r="A17" t="s">
        <v>82</v>
      </c>
      <c r="B17" t="s">
        <v>28</v>
      </c>
      <c r="C17" t="s">
        <v>83</v>
      </c>
      <c r="D17" s="4" t="s">
        <v>84</v>
      </c>
      <c r="E17">
        <v>450</v>
      </c>
      <c r="F17" t="s">
        <v>31</v>
      </c>
      <c r="G17" s="3"/>
      <c r="H17" s="3"/>
      <c r="I17" s="5"/>
      <c r="K17" s="3"/>
      <c r="L17" s="3"/>
      <c r="M17" s="5"/>
      <c r="O17" s="3">
        <v>2700</v>
      </c>
      <c r="P17" s="3">
        <v>450</v>
      </c>
      <c r="Q17" s="5">
        <v>1215000</v>
      </c>
      <c r="R17" t="s">
        <v>85</v>
      </c>
      <c r="S17" s="3">
        <v>3450</v>
      </c>
      <c r="T17" s="3">
        <v>450</v>
      </c>
      <c r="U17" s="5">
        <v>1552500</v>
      </c>
      <c r="V17" s="4" t="s">
        <v>86</v>
      </c>
      <c r="W17" s="3"/>
      <c r="X17" s="3"/>
      <c r="Y17" s="5"/>
      <c r="AA17" s="3"/>
      <c r="AB17" s="3"/>
      <c r="AC17" s="5"/>
      <c r="AE17" s="3">
        <v>3600</v>
      </c>
      <c r="AF17" s="3">
        <v>450</v>
      </c>
      <c r="AG17" s="5">
        <v>1620000</v>
      </c>
      <c r="AH17" t="s">
        <v>87</v>
      </c>
      <c r="AI17" s="3">
        <v>2600</v>
      </c>
      <c r="AJ17" s="3">
        <v>450</v>
      </c>
      <c r="AK17" s="5">
        <v>1170000</v>
      </c>
      <c r="AL17" s="4" t="s">
        <v>88</v>
      </c>
    </row>
    <row r="18" spans="1:38" ht="30" x14ac:dyDescent="0.25">
      <c r="A18" t="s">
        <v>89</v>
      </c>
      <c r="B18" t="s">
        <v>28</v>
      </c>
      <c r="C18" t="s">
        <v>90</v>
      </c>
      <c r="D18" s="4" t="s">
        <v>91</v>
      </c>
      <c r="E18">
        <v>20</v>
      </c>
      <c r="F18" t="s">
        <v>31</v>
      </c>
      <c r="G18" s="3"/>
      <c r="H18" s="3"/>
      <c r="I18" s="5"/>
      <c r="K18" s="3"/>
      <c r="L18" s="3"/>
      <c r="M18" s="5"/>
      <c r="O18" s="3"/>
      <c r="P18" s="3"/>
      <c r="Q18" s="5"/>
      <c r="S18" s="3">
        <v>350</v>
      </c>
      <c r="T18" s="3">
        <v>20</v>
      </c>
      <c r="U18" s="5">
        <v>7000</v>
      </c>
      <c r="V18" t="s">
        <v>92</v>
      </c>
      <c r="W18" s="3"/>
      <c r="X18" s="3"/>
      <c r="Y18" s="5"/>
      <c r="AA18" s="3"/>
      <c r="AB18" s="3"/>
      <c r="AC18" s="5"/>
      <c r="AE18" s="3">
        <v>500</v>
      </c>
      <c r="AF18" s="3">
        <v>20</v>
      </c>
      <c r="AG18" s="5">
        <v>10000</v>
      </c>
      <c r="AH18" t="s">
        <v>93</v>
      </c>
      <c r="AI18" s="3">
        <v>400</v>
      </c>
      <c r="AJ18" s="3">
        <v>20</v>
      </c>
      <c r="AK18" s="5">
        <v>8000</v>
      </c>
      <c r="AL18" s="4" t="s">
        <v>94</v>
      </c>
    </row>
    <row r="19" spans="1:38" ht="30" x14ac:dyDescent="0.25">
      <c r="A19" t="s">
        <v>95</v>
      </c>
      <c r="B19" t="s">
        <v>28</v>
      </c>
      <c r="C19" t="s">
        <v>96</v>
      </c>
      <c r="D19" s="4" t="s">
        <v>97</v>
      </c>
      <c r="E19">
        <v>300</v>
      </c>
      <c r="F19" t="s">
        <v>31</v>
      </c>
      <c r="G19" s="3"/>
      <c r="H19" s="3"/>
      <c r="I19" s="5"/>
      <c r="K19" s="3"/>
      <c r="L19" s="3"/>
      <c r="M19" s="5"/>
      <c r="O19" s="3">
        <v>1049</v>
      </c>
      <c r="P19" s="3">
        <v>300</v>
      </c>
      <c r="Q19" s="5">
        <v>314700</v>
      </c>
      <c r="R19" s="4" t="s">
        <v>97</v>
      </c>
      <c r="S19" s="3">
        <v>999</v>
      </c>
      <c r="T19" s="3">
        <v>300</v>
      </c>
      <c r="U19" s="5">
        <v>299700</v>
      </c>
      <c r="V19" s="4" t="s">
        <v>98</v>
      </c>
      <c r="W19" s="3"/>
      <c r="X19" s="3"/>
      <c r="Y19" s="5"/>
      <c r="AA19" s="3"/>
      <c r="AB19" s="3"/>
      <c r="AC19" s="5"/>
      <c r="AE19" s="3">
        <v>1200</v>
      </c>
      <c r="AF19" s="3">
        <v>300</v>
      </c>
      <c r="AG19" s="5">
        <v>360000</v>
      </c>
      <c r="AH19" t="s">
        <v>99</v>
      </c>
      <c r="AI19" s="3"/>
      <c r="AJ19" s="3"/>
      <c r="AK19" s="5"/>
    </row>
    <row r="20" spans="1:38" ht="30" x14ac:dyDescent="0.25">
      <c r="A20" t="s">
        <v>100</v>
      </c>
      <c r="B20" t="s">
        <v>28</v>
      </c>
      <c r="C20" t="s">
        <v>101</v>
      </c>
      <c r="D20" s="4" t="s">
        <v>102</v>
      </c>
      <c r="E20">
        <v>50</v>
      </c>
      <c r="F20" t="s">
        <v>31</v>
      </c>
      <c r="G20" s="3"/>
      <c r="H20" s="3"/>
      <c r="I20" s="5"/>
      <c r="K20" s="3"/>
      <c r="L20" s="3"/>
      <c r="M20" s="5"/>
      <c r="O20" s="3">
        <v>3600</v>
      </c>
      <c r="P20" s="3">
        <v>50</v>
      </c>
      <c r="Q20" s="5">
        <v>180000</v>
      </c>
      <c r="R20" t="s">
        <v>103</v>
      </c>
      <c r="S20" s="3">
        <v>6300</v>
      </c>
      <c r="T20" s="3">
        <v>50</v>
      </c>
      <c r="U20" s="5">
        <v>315000</v>
      </c>
      <c r="V20" t="s">
        <v>104</v>
      </c>
      <c r="W20" s="3"/>
      <c r="X20" s="3"/>
      <c r="Y20" s="5"/>
      <c r="AA20" s="3"/>
      <c r="AB20" s="3"/>
      <c r="AC20" s="5"/>
      <c r="AE20" s="3">
        <v>4400</v>
      </c>
      <c r="AF20" s="3">
        <v>50</v>
      </c>
      <c r="AG20" s="5">
        <v>220000</v>
      </c>
      <c r="AH20" t="s">
        <v>105</v>
      </c>
      <c r="AI20" s="3">
        <v>3325</v>
      </c>
      <c r="AJ20" s="3">
        <v>50</v>
      </c>
      <c r="AK20" s="5">
        <v>166250</v>
      </c>
      <c r="AL20" s="4" t="s">
        <v>106</v>
      </c>
    </row>
    <row r="21" spans="1:38" ht="30" x14ac:dyDescent="0.25">
      <c r="A21" t="s">
        <v>107</v>
      </c>
      <c r="B21" t="s">
        <v>28</v>
      </c>
      <c r="C21" t="s">
        <v>108</v>
      </c>
      <c r="D21" s="4" t="s">
        <v>109</v>
      </c>
      <c r="E21">
        <v>1400</v>
      </c>
      <c r="F21" t="s">
        <v>31</v>
      </c>
      <c r="G21" s="3"/>
      <c r="H21" s="3"/>
      <c r="I21" s="5"/>
      <c r="K21" s="3"/>
      <c r="L21" s="3"/>
      <c r="M21" s="5"/>
      <c r="O21" s="3">
        <v>720</v>
      </c>
      <c r="P21" s="3">
        <v>1400</v>
      </c>
      <c r="Q21" s="5">
        <v>1008000</v>
      </c>
      <c r="R21" s="4" t="s">
        <v>110</v>
      </c>
      <c r="S21" s="3">
        <v>350</v>
      </c>
      <c r="T21" s="3">
        <v>1400</v>
      </c>
      <c r="U21" s="5">
        <v>490000</v>
      </c>
      <c r="V21" t="s">
        <v>111</v>
      </c>
      <c r="W21" s="3"/>
      <c r="X21" s="3"/>
      <c r="Y21" s="5"/>
      <c r="AA21" s="3"/>
      <c r="AB21" s="3"/>
      <c r="AC21" s="5"/>
      <c r="AE21" s="3">
        <v>500</v>
      </c>
      <c r="AF21" s="3">
        <v>1400</v>
      </c>
      <c r="AG21" s="5">
        <v>700000</v>
      </c>
      <c r="AH21" t="s">
        <v>112</v>
      </c>
      <c r="AI21" s="3">
        <v>60</v>
      </c>
      <c r="AJ21" s="3">
        <v>1400</v>
      </c>
      <c r="AK21" s="5">
        <v>84000</v>
      </c>
      <c r="AL21" s="4" t="s">
        <v>113</v>
      </c>
    </row>
    <row r="22" spans="1:38" ht="30" x14ac:dyDescent="0.25">
      <c r="A22" t="s">
        <v>114</v>
      </c>
      <c r="B22" t="s">
        <v>28</v>
      </c>
      <c r="C22" t="s">
        <v>115</v>
      </c>
      <c r="D22" s="4" t="s">
        <v>116</v>
      </c>
      <c r="E22">
        <v>700</v>
      </c>
      <c r="F22" t="s">
        <v>31</v>
      </c>
      <c r="G22" s="3"/>
      <c r="H22" s="3"/>
      <c r="I22" s="5"/>
      <c r="K22" s="3"/>
      <c r="L22" s="3"/>
      <c r="M22" s="5"/>
      <c r="O22" s="3">
        <v>3420</v>
      </c>
      <c r="P22" s="3">
        <v>700</v>
      </c>
      <c r="Q22" s="5">
        <v>2394000</v>
      </c>
      <c r="R22" t="s">
        <v>117</v>
      </c>
      <c r="S22" s="3">
        <v>3250</v>
      </c>
      <c r="T22" s="3">
        <v>700</v>
      </c>
      <c r="U22" s="5">
        <v>2275000</v>
      </c>
      <c r="V22" t="s">
        <v>118</v>
      </c>
      <c r="W22" s="3"/>
      <c r="X22" s="3"/>
      <c r="Y22" s="5"/>
      <c r="AA22" s="3"/>
      <c r="AB22" s="3"/>
      <c r="AC22" s="5"/>
      <c r="AE22" s="3">
        <v>4600</v>
      </c>
      <c r="AF22" s="3">
        <v>700</v>
      </c>
      <c r="AG22" s="5">
        <v>3220000</v>
      </c>
      <c r="AH22" t="s">
        <v>119</v>
      </c>
      <c r="AI22" s="3">
        <v>3650</v>
      </c>
      <c r="AJ22" s="3">
        <v>700</v>
      </c>
      <c r="AK22" s="5">
        <v>2555000</v>
      </c>
      <c r="AL22" s="4" t="s">
        <v>120</v>
      </c>
    </row>
    <row r="23" spans="1:38" ht="45" x14ac:dyDescent="0.25">
      <c r="A23" t="s">
        <v>121</v>
      </c>
      <c r="B23" t="s">
        <v>28</v>
      </c>
      <c r="C23" t="s">
        <v>122</v>
      </c>
      <c r="D23" s="4" t="s">
        <v>123</v>
      </c>
      <c r="E23">
        <v>250</v>
      </c>
      <c r="F23" t="s">
        <v>31</v>
      </c>
      <c r="G23" s="3"/>
      <c r="H23" s="3"/>
      <c r="I23" s="5"/>
      <c r="K23" s="3"/>
      <c r="L23" s="3"/>
      <c r="M23" s="5"/>
      <c r="O23" s="3">
        <v>2160</v>
      </c>
      <c r="P23" s="3">
        <v>250</v>
      </c>
      <c r="Q23" s="5">
        <v>540000</v>
      </c>
      <c r="R23" t="s">
        <v>124</v>
      </c>
      <c r="S23" s="3">
        <v>2750</v>
      </c>
      <c r="T23" s="3">
        <v>250</v>
      </c>
      <c r="U23" s="5">
        <v>687500</v>
      </c>
      <c r="V23" s="4" t="s">
        <v>125</v>
      </c>
      <c r="W23" s="3"/>
      <c r="X23" s="3"/>
      <c r="Y23" s="5"/>
      <c r="AA23" s="3"/>
      <c r="AB23" s="3"/>
      <c r="AC23" s="5"/>
      <c r="AE23" s="3">
        <v>2400</v>
      </c>
      <c r="AF23" s="3">
        <v>250</v>
      </c>
      <c r="AG23" s="5">
        <v>600000</v>
      </c>
      <c r="AH23" t="s">
        <v>126</v>
      </c>
      <c r="AI23" s="3">
        <v>4000</v>
      </c>
      <c r="AJ23" s="3">
        <v>250</v>
      </c>
      <c r="AK23" s="5">
        <v>1000000</v>
      </c>
      <c r="AL23" s="4" t="s">
        <v>127</v>
      </c>
    </row>
    <row r="24" spans="1:38" ht="45" x14ac:dyDescent="0.25">
      <c r="A24" t="s">
        <v>128</v>
      </c>
      <c r="B24" t="s">
        <v>28</v>
      </c>
      <c r="C24" t="s">
        <v>129</v>
      </c>
      <c r="D24" s="4" t="s">
        <v>130</v>
      </c>
      <c r="E24">
        <v>350</v>
      </c>
      <c r="F24" t="s">
        <v>31</v>
      </c>
      <c r="G24" s="3"/>
      <c r="H24" s="3"/>
      <c r="I24" s="5"/>
      <c r="K24" s="3"/>
      <c r="L24" s="3"/>
      <c r="M24" s="5"/>
      <c r="O24" s="3">
        <v>1800</v>
      </c>
      <c r="P24" s="3">
        <v>350</v>
      </c>
      <c r="Q24" s="5">
        <v>630000</v>
      </c>
      <c r="R24" t="s">
        <v>131</v>
      </c>
      <c r="S24" s="3">
        <v>1850</v>
      </c>
      <c r="T24" s="3">
        <v>350</v>
      </c>
      <c r="U24" s="5">
        <v>647500</v>
      </c>
      <c r="V24" t="s">
        <v>132</v>
      </c>
      <c r="W24" s="3"/>
      <c r="X24" s="3"/>
      <c r="Y24" s="5"/>
      <c r="AA24" s="3"/>
      <c r="AB24" s="3"/>
      <c r="AC24" s="5"/>
      <c r="AE24" s="3">
        <v>1900</v>
      </c>
      <c r="AF24" s="3">
        <v>350</v>
      </c>
      <c r="AG24" s="5">
        <v>665000</v>
      </c>
      <c r="AH24" t="s">
        <v>133</v>
      </c>
      <c r="AI24" s="3">
        <v>1500</v>
      </c>
      <c r="AJ24" s="3">
        <v>350</v>
      </c>
      <c r="AK24" s="5">
        <v>525000</v>
      </c>
      <c r="AL24" s="4" t="s">
        <v>134</v>
      </c>
    </row>
    <row r="25" spans="1:38" ht="30" x14ac:dyDescent="0.25">
      <c r="A25" t="s">
        <v>135</v>
      </c>
      <c r="B25" t="s">
        <v>28</v>
      </c>
      <c r="C25" t="s">
        <v>136</v>
      </c>
      <c r="D25" s="4" t="s">
        <v>137</v>
      </c>
      <c r="E25">
        <v>75</v>
      </c>
      <c r="F25" t="s">
        <v>31</v>
      </c>
      <c r="G25" s="3"/>
      <c r="H25" s="3"/>
      <c r="I25" s="5"/>
      <c r="K25" s="3"/>
      <c r="L25" s="3"/>
      <c r="M25" s="5"/>
      <c r="O25" s="3">
        <v>3600</v>
      </c>
      <c r="P25" s="3">
        <v>75</v>
      </c>
      <c r="Q25" s="5">
        <v>270000</v>
      </c>
      <c r="R25" t="s">
        <v>138</v>
      </c>
      <c r="S25" s="3">
        <v>4150</v>
      </c>
      <c r="T25" s="3">
        <v>75</v>
      </c>
      <c r="U25" s="5">
        <v>311250</v>
      </c>
      <c r="V25" s="4" t="s">
        <v>139</v>
      </c>
      <c r="W25" s="3"/>
      <c r="X25" s="3"/>
      <c r="Y25" s="5"/>
      <c r="AA25" s="3"/>
      <c r="AB25" s="3"/>
      <c r="AC25" s="5"/>
      <c r="AE25" s="3">
        <v>4400</v>
      </c>
      <c r="AF25" s="3">
        <v>75</v>
      </c>
      <c r="AG25" s="5">
        <v>330000</v>
      </c>
      <c r="AH25" t="s">
        <v>140</v>
      </c>
      <c r="AI25" s="3">
        <v>3120</v>
      </c>
      <c r="AJ25" s="3">
        <v>75</v>
      </c>
      <c r="AK25" s="5">
        <v>234000</v>
      </c>
      <c r="AL25" s="4" t="s">
        <v>141</v>
      </c>
    </row>
    <row r="26" spans="1:38" ht="45" x14ac:dyDescent="0.25">
      <c r="A26" t="s">
        <v>142</v>
      </c>
      <c r="B26" t="s">
        <v>28</v>
      </c>
      <c r="C26" t="s">
        <v>143</v>
      </c>
      <c r="D26" s="4" t="s">
        <v>144</v>
      </c>
      <c r="E26">
        <v>20</v>
      </c>
      <c r="F26" t="s">
        <v>31</v>
      </c>
      <c r="G26" s="3"/>
      <c r="H26" s="3"/>
      <c r="I26" s="5"/>
      <c r="K26" s="3"/>
      <c r="L26" s="3"/>
      <c r="M26" s="5"/>
      <c r="O26" s="3">
        <v>2340</v>
      </c>
      <c r="P26" s="3">
        <v>20</v>
      </c>
      <c r="Q26" s="5">
        <v>46800</v>
      </c>
      <c r="R26" t="s">
        <v>145</v>
      </c>
      <c r="S26" s="3">
        <v>2150</v>
      </c>
      <c r="T26" s="3">
        <v>20</v>
      </c>
      <c r="U26" s="5">
        <v>43000</v>
      </c>
      <c r="V26" s="4" t="s">
        <v>146</v>
      </c>
      <c r="W26" s="3"/>
      <c r="X26" s="3"/>
      <c r="Y26" s="5"/>
      <c r="AA26" s="3"/>
      <c r="AB26" s="3"/>
      <c r="AC26" s="5"/>
      <c r="AE26" s="3">
        <v>2900</v>
      </c>
      <c r="AF26" s="3">
        <v>20</v>
      </c>
      <c r="AG26" s="5">
        <v>58000</v>
      </c>
      <c r="AH26" t="s">
        <v>147</v>
      </c>
      <c r="AI26" s="3">
        <v>3100</v>
      </c>
      <c r="AJ26" s="3">
        <v>20</v>
      </c>
      <c r="AK26" s="5">
        <v>62000</v>
      </c>
      <c r="AL26" s="4" t="s">
        <v>148</v>
      </c>
    </row>
    <row r="27" spans="1:38" ht="30" x14ac:dyDescent="0.25">
      <c r="A27" t="s">
        <v>149</v>
      </c>
      <c r="B27" t="s">
        <v>28</v>
      </c>
      <c r="C27" t="s">
        <v>150</v>
      </c>
      <c r="D27" s="4" t="s">
        <v>151</v>
      </c>
      <c r="E27">
        <v>230</v>
      </c>
      <c r="F27" t="s">
        <v>31</v>
      </c>
      <c r="G27" s="3"/>
      <c r="H27" s="3"/>
      <c r="I27" s="5"/>
      <c r="K27" s="3"/>
      <c r="L27" s="3"/>
      <c r="M27" s="5"/>
      <c r="O27" s="3"/>
      <c r="P27" s="3"/>
      <c r="Q27" s="5"/>
      <c r="S27" s="3">
        <v>2350</v>
      </c>
      <c r="T27" s="3">
        <v>230</v>
      </c>
      <c r="U27" s="5">
        <v>540500</v>
      </c>
      <c r="V27" s="4" t="s">
        <v>152</v>
      </c>
      <c r="W27" s="3"/>
      <c r="X27" s="3"/>
      <c r="Y27" s="5"/>
      <c r="AA27" s="3"/>
      <c r="AB27" s="3"/>
      <c r="AC27" s="5"/>
      <c r="AE27" s="3">
        <v>1900</v>
      </c>
      <c r="AF27" s="3">
        <v>230</v>
      </c>
      <c r="AG27" s="5">
        <v>437000</v>
      </c>
      <c r="AH27" t="s">
        <v>153</v>
      </c>
      <c r="AI27" s="3"/>
      <c r="AJ27" s="3"/>
      <c r="AK27" s="5"/>
    </row>
    <row r="28" spans="1:38" ht="30" x14ac:dyDescent="0.25">
      <c r="A28" t="s">
        <v>154</v>
      </c>
      <c r="B28" t="s">
        <v>28</v>
      </c>
      <c r="C28" t="s">
        <v>155</v>
      </c>
      <c r="D28" s="4" t="s">
        <v>156</v>
      </c>
      <c r="E28">
        <v>100</v>
      </c>
      <c r="F28" t="s">
        <v>31</v>
      </c>
      <c r="G28" s="3"/>
      <c r="H28" s="3"/>
      <c r="I28" s="5"/>
      <c r="K28" s="3"/>
      <c r="L28" s="3"/>
      <c r="M28" s="5"/>
      <c r="O28" s="3">
        <v>4680</v>
      </c>
      <c r="P28" s="3">
        <v>100</v>
      </c>
      <c r="Q28" s="5">
        <v>468000</v>
      </c>
      <c r="R28" t="s">
        <v>157</v>
      </c>
      <c r="S28" s="3">
        <v>5500</v>
      </c>
      <c r="T28" s="3">
        <v>100</v>
      </c>
      <c r="U28" s="5">
        <v>550000</v>
      </c>
      <c r="V28" s="4" t="s">
        <v>158</v>
      </c>
      <c r="W28" s="3"/>
      <c r="X28" s="3"/>
      <c r="Y28" s="5"/>
      <c r="AA28" s="3"/>
      <c r="AB28" s="3"/>
      <c r="AC28" s="5"/>
      <c r="AE28" s="3">
        <v>3170</v>
      </c>
      <c r="AF28" s="3">
        <v>100</v>
      </c>
      <c r="AG28" s="5">
        <v>317000</v>
      </c>
      <c r="AH28" t="s">
        <v>159</v>
      </c>
      <c r="AI28" s="3">
        <v>3900</v>
      </c>
      <c r="AJ28" s="3">
        <v>100</v>
      </c>
      <c r="AK28" s="5">
        <v>390000</v>
      </c>
      <c r="AL28" s="4" t="s">
        <v>160</v>
      </c>
    </row>
    <row r="29" spans="1:38" ht="45" x14ac:dyDescent="0.25">
      <c r="A29" t="s">
        <v>161</v>
      </c>
      <c r="B29" t="s">
        <v>28</v>
      </c>
      <c r="C29" t="s">
        <v>162</v>
      </c>
      <c r="D29" s="4" t="s">
        <v>163</v>
      </c>
      <c r="E29">
        <v>100</v>
      </c>
      <c r="F29" t="s">
        <v>31</v>
      </c>
      <c r="G29" s="3"/>
      <c r="H29" s="3"/>
      <c r="I29" s="5"/>
      <c r="K29" s="3"/>
      <c r="L29" s="3"/>
      <c r="M29" s="5"/>
      <c r="O29" s="3">
        <v>8280</v>
      </c>
      <c r="P29" s="3">
        <v>100</v>
      </c>
      <c r="Q29" s="5">
        <v>828000</v>
      </c>
      <c r="R29" t="s">
        <v>164</v>
      </c>
      <c r="S29" s="3">
        <v>7500</v>
      </c>
      <c r="T29" s="3">
        <v>100</v>
      </c>
      <c r="U29" s="5">
        <v>750000</v>
      </c>
      <c r="V29" s="4" t="s">
        <v>165</v>
      </c>
      <c r="W29" s="3"/>
      <c r="X29" s="3"/>
      <c r="Y29" s="5"/>
      <c r="AA29" s="3"/>
      <c r="AB29" s="3"/>
      <c r="AC29" s="5"/>
      <c r="AE29" s="3">
        <v>5600</v>
      </c>
      <c r="AF29" s="3">
        <v>100</v>
      </c>
      <c r="AG29" s="5">
        <v>560000</v>
      </c>
      <c r="AH29" t="s">
        <v>166</v>
      </c>
      <c r="AI29" s="3">
        <v>6500</v>
      </c>
      <c r="AJ29" s="3">
        <v>100</v>
      </c>
      <c r="AK29" s="5">
        <v>650000</v>
      </c>
      <c r="AL29" s="4" t="s">
        <v>167</v>
      </c>
    </row>
    <row r="30" spans="1:38" ht="30" x14ac:dyDescent="0.25">
      <c r="A30" t="s">
        <v>168</v>
      </c>
      <c r="B30" t="s">
        <v>28</v>
      </c>
      <c r="C30" t="s">
        <v>169</v>
      </c>
      <c r="D30" t="s">
        <v>170</v>
      </c>
      <c r="E30">
        <v>500</v>
      </c>
      <c r="F30" t="s">
        <v>31</v>
      </c>
      <c r="G30" s="3">
        <v>900</v>
      </c>
      <c r="H30" s="3">
        <v>500</v>
      </c>
      <c r="I30" s="5">
        <v>450000</v>
      </c>
      <c r="J30" s="4" t="s">
        <v>171</v>
      </c>
      <c r="K30" s="3"/>
      <c r="L30" s="3"/>
      <c r="M30" s="5"/>
      <c r="O30" s="3"/>
      <c r="P30" s="3"/>
      <c r="Q30" s="5"/>
      <c r="S30" s="3">
        <v>1500</v>
      </c>
      <c r="T30" s="3">
        <v>500</v>
      </c>
      <c r="U30" s="5">
        <v>750000</v>
      </c>
      <c r="V30" t="s">
        <v>172</v>
      </c>
      <c r="W30" s="3"/>
      <c r="X30" s="3"/>
      <c r="Y30" s="5"/>
      <c r="AA30" s="3"/>
      <c r="AB30" s="3"/>
      <c r="AC30" s="5"/>
      <c r="AE30" s="3"/>
      <c r="AF30" s="3"/>
      <c r="AG30" s="5"/>
      <c r="AI30" s="3"/>
      <c r="AJ30" s="3"/>
      <c r="AK30" s="5"/>
    </row>
    <row r="31" spans="1:38" ht="60" x14ac:dyDescent="0.25">
      <c r="A31" t="s">
        <v>173</v>
      </c>
      <c r="B31" t="s">
        <v>28</v>
      </c>
      <c r="C31" t="s">
        <v>174</v>
      </c>
      <c r="D31" s="4" t="s">
        <v>175</v>
      </c>
      <c r="E31">
        <v>300</v>
      </c>
      <c r="F31" t="s">
        <v>31</v>
      </c>
      <c r="G31" s="3">
        <v>250</v>
      </c>
      <c r="H31" s="3">
        <v>300</v>
      </c>
      <c r="I31" s="5">
        <v>75000</v>
      </c>
      <c r="J31" s="4" t="s">
        <v>176</v>
      </c>
      <c r="K31" s="3">
        <v>206.2</v>
      </c>
      <c r="L31" s="3">
        <v>300</v>
      </c>
      <c r="M31" s="5">
        <v>61860</v>
      </c>
      <c r="N31" s="4" t="s">
        <v>177</v>
      </c>
      <c r="O31" s="3">
        <v>326.39999999999998</v>
      </c>
      <c r="P31" s="3">
        <v>300</v>
      </c>
      <c r="Q31" s="5">
        <v>97920</v>
      </c>
      <c r="R31" s="4" t="s">
        <v>178</v>
      </c>
      <c r="S31" s="3">
        <v>245</v>
      </c>
      <c r="T31" s="3">
        <v>300</v>
      </c>
      <c r="U31" s="5">
        <v>73500</v>
      </c>
      <c r="V31" t="s">
        <v>179</v>
      </c>
      <c r="W31" s="3">
        <v>264</v>
      </c>
      <c r="X31" s="3">
        <v>300</v>
      </c>
      <c r="Y31" s="5">
        <v>79200</v>
      </c>
      <c r="Z31" t="s">
        <v>180</v>
      </c>
      <c r="AA31" s="3"/>
      <c r="AB31" s="3"/>
      <c r="AC31" s="5"/>
      <c r="AE31" s="3"/>
      <c r="AF31" s="3"/>
      <c r="AG31" s="5"/>
      <c r="AI31" s="3"/>
      <c r="AJ31" s="3"/>
      <c r="AK31" s="5"/>
    </row>
    <row r="32" spans="1:38" ht="45" x14ac:dyDescent="0.25">
      <c r="A32" t="s">
        <v>181</v>
      </c>
      <c r="B32" t="s">
        <v>28</v>
      </c>
      <c r="C32" t="s">
        <v>182</v>
      </c>
      <c r="D32" s="4" t="s">
        <v>183</v>
      </c>
      <c r="E32">
        <v>300</v>
      </c>
      <c r="F32" t="s">
        <v>31</v>
      </c>
      <c r="G32" s="3">
        <v>250</v>
      </c>
      <c r="H32" s="3">
        <v>300</v>
      </c>
      <c r="I32" s="5">
        <v>75000</v>
      </c>
      <c r="J32" s="4" t="s">
        <v>184</v>
      </c>
      <c r="K32" s="3">
        <v>206.2</v>
      </c>
      <c r="L32" s="3">
        <v>300</v>
      </c>
      <c r="M32" s="5">
        <v>61860</v>
      </c>
      <c r="N32" s="4" t="s">
        <v>185</v>
      </c>
      <c r="O32" s="3">
        <v>326.39999999999998</v>
      </c>
      <c r="P32" s="3">
        <v>300</v>
      </c>
      <c r="Q32" s="5">
        <v>97920</v>
      </c>
      <c r="R32" s="4" t="s">
        <v>186</v>
      </c>
      <c r="S32" s="3">
        <v>245</v>
      </c>
      <c r="T32" s="3">
        <v>300</v>
      </c>
      <c r="U32" s="5">
        <v>73500</v>
      </c>
      <c r="V32" t="s">
        <v>187</v>
      </c>
      <c r="W32" s="3">
        <v>264</v>
      </c>
      <c r="X32" s="3">
        <v>300</v>
      </c>
      <c r="Y32" s="5">
        <v>79200</v>
      </c>
      <c r="Z32" t="s">
        <v>180</v>
      </c>
      <c r="AA32" s="3"/>
      <c r="AB32" s="3"/>
      <c r="AC32" s="5"/>
      <c r="AE32" s="3"/>
      <c r="AF32" s="3"/>
      <c r="AG32" s="5"/>
      <c r="AI32" s="3"/>
      <c r="AJ32" s="3"/>
      <c r="AK32" s="5"/>
    </row>
    <row r="33" spans="1:38" ht="45" x14ac:dyDescent="0.25">
      <c r="A33" t="s">
        <v>188</v>
      </c>
      <c r="B33" t="s">
        <v>28</v>
      </c>
      <c r="C33" t="s">
        <v>189</v>
      </c>
      <c r="D33" s="4" t="s">
        <v>190</v>
      </c>
      <c r="E33">
        <v>800</v>
      </c>
      <c r="F33" t="s">
        <v>31</v>
      </c>
      <c r="G33" s="3"/>
      <c r="H33" s="3"/>
      <c r="I33" s="5"/>
      <c r="K33" s="3"/>
      <c r="L33" s="3"/>
      <c r="M33" s="5"/>
      <c r="O33" s="3">
        <v>315</v>
      </c>
      <c r="P33" s="3">
        <v>800</v>
      </c>
      <c r="Q33" s="5">
        <v>252000</v>
      </c>
      <c r="R33" t="s">
        <v>191</v>
      </c>
      <c r="S33" s="3">
        <v>390</v>
      </c>
      <c r="T33" s="3">
        <v>800</v>
      </c>
      <c r="U33" s="5">
        <v>312000</v>
      </c>
      <c r="V33" t="s">
        <v>192</v>
      </c>
      <c r="W33" s="3"/>
      <c r="X33" s="3"/>
      <c r="Y33" s="5"/>
      <c r="AA33" s="3"/>
      <c r="AB33" s="3"/>
      <c r="AC33" s="5"/>
      <c r="AE33" s="3">
        <v>280</v>
      </c>
      <c r="AF33" s="3">
        <v>800</v>
      </c>
      <c r="AG33" s="5">
        <v>224000</v>
      </c>
      <c r="AH33" t="s">
        <v>193</v>
      </c>
      <c r="AI33" s="3">
        <v>1900</v>
      </c>
      <c r="AJ33" s="3">
        <v>800</v>
      </c>
      <c r="AK33" s="5">
        <v>1520000</v>
      </c>
      <c r="AL33" s="4" t="s">
        <v>194</v>
      </c>
    </row>
    <row r="34" spans="1:38" x14ac:dyDescent="0.25">
      <c r="C34" t="s">
        <v>195</v>
      </c>
      <c r="D34" s="4"/>
      <c r="G34" s="3"/>
      <c r="H34" s="3"/>
      <c r="I34" s="5">
        <f>SUBTOTAL(109,Table2[Total por renglón])</f>
        <v>8560000</v>
      </c>
      <c r="K34" s="3"/>
      <c r="L34" s="3"/>
      <c r="M34" s="5">
        <f>SUBTOTAL(109,Table3[Total por renglón])</f>
        <v>1001004</v>
      </c>
      <c r="O34" s="3"/>
      <c r="P34" s="3"/>
      <c r="Q34" s="5">
        <f>SUBTOTAL(109,Table4[Total por renglón])</f>
        <v>20712292</v>
      </c>
      <c r="S34" s="3"/>
      <c r="T34" s="3"/>
      <c r="U34" s="5">
        <f>SUBTOTAL(109,Table5[Total por renglón])</f>
        <v>21138950</v>
      </c>
      <c r="W34" s="3"/>
      <c r="X34" s="3"/>
      <c r="Y34" s="5">
        <f>SUBTOTAL(109,Table6[Total por renglón])</f>
        <v>10217400</v>
      </c>
      <c r="AA34" s="3"/>
      <c r="AB34" s="3"/>
      <c r="AC34" s="5">
        <f>SUBTOTAL(109,Table7[Total por renglón])</f>
        <v>600000</v>
      </c>
      <c r="AE34" s="3"/>
      <c r="AF34" s="3"/>
      <c r="AG34" s="5">
        <f>SUBTOTAL(109,Table8[Total por renglón])</f>
        <v>12761000</v>
      </c>
      <c r="AI34" s="3"/>
      <c r="AJ34" s="3"/>
      <c r="AK34" s="5">
        <f>SUBTOTAL(109,Table9[Total por renglón])</f>
        <v>10796750</v>
      </c>
      <c r="AL34" s="4"/>
    </row>
  </sheetData>
  <mergeCells count="9">
    <mergeCell ref="AA8:AD8"/>
    <mergeCell ref="AE8:AH8"/>
    <mergeCell ref="AI8:AL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2022-11-25T13:30:44Z</dcterms:created>
  <dcterms:modified xsi:type="dcterms:W3CDTF">2022-11-25T13:31:11Z</dcterms:modified>
</cp:coreProperties>
</file>