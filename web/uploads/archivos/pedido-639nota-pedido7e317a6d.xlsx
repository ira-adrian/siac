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ara la POCHA con cariño\Adq.de Indumentaria de Trabajo\nuevo\"/>
    </mc:Choice>
  </mc:AlternateContent>
  <xr:revisionPtr revIDLastSave="0" documentId="13_ncr:1_{9C6192AD-51C5-4C8D-96E5-8A03AB7BF7A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Ind." sheetId="4" r:id="rId1"/>
  </sheets>
  <definedNames>
    <definedName name="_xlnm.Print_Area" localSheetId="0">'Necesidades Trimestrales Ind.'!$A$1:$I$28</definedName>
  </definedNames>
  <calcPr calcId="181029"/>
  <fileRecoveryPr autoRecover="0"/>
</workbook>
</file>

<file path=xl/calcChain.xml><?xml version="1.0" encoding="utf-8"?>
<calcChain xmlns="http://schemas.openxmlformats.org/spreadsheetml/2006/main">
  <c r="I12" i="4" l="1"/>
  <c r="I11" i="4"/>
  <c r="I10" i="4"/>
  <c r="I9" i="4"/>
  <c r="I13" i="4" s="1"/>
</calcChain>
</file>

<file path=xl/sharedStrings.xml><?xml version="1.0" encoding="utf-8"?>
<sst xmlns="http://schemas.openxmlformats.org/spreadsheetml/2006/main" count="51" uniqueCount="43">
  <si>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</si>
  <si>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</si>
  <si>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</si>
  <si>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</si>
  <si>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</si>
  <si>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</si>
  <si>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</si>
  <si>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</si>
  <si>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</si>
  <si>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</si>
  <si>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</si>
  <si>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</si>
  <si>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</si>
  <si>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</si>
  <si>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</si>
  <si>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</si>
  <si>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</si>
  <si>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</si>
  <si>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</si>
  <si>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 xml:space="preserve">  </t>
  </si>
  <si>
    <t>b) FORMA DE LA ENTREGA: Libre de flete, acarreo y embalaje, como así también, de todo riesgo de pérdida o destrucción total o parcial, por causas ajenas a la Institución.</t>
  </si>
  <si>
    <t>45 (cuarenta y cinco)  días habiles.-</t>
  </si>
  <si>
    <t>de corresponder se debera especificar</t>
  </si>
  <si>
    <t>65- MINISTERIO DE AGUA, ENERGÍA Y MEDIO AMBIENTE</t>
  </si>
  <si>
    <t>31- SECRETARÍA DE ADMINISTRACIÓN</t>
  </si>
  <si>
    <t>INDUMENTARIA TEXTIL Y CONFECCIONES</t>
  </si>
  <si>
    <t>2.2.2</t>
  </si>
  <si>
    <t>PANTALONES; TIPO:CARGO, TELA: GRAFA, SEXO: MASCULINO, CRITERIO SOCIAL: SIN, CRITERIO DE SEGURIDAD: SELLO DE SEGURIDAD.</t>
  </si>
  <si>
    <t>2.2.2-6731.27</t>
  </si>
  <si>
    <t>2.2.2-6738.186</t>
  </si>
  <si>
    <t>CAMISAS; TIPO DE TRABAJO, TELA: GRAFA, MANGA: LARGA, COSTURA: REFORZADA, BOLSILLO: 2</t>
  </si>
  <si>
    <t>2.2.2-838.483</t>
  </si>
  <si>
    <t>GUARDAPOLVOS; USO: LABORATORIO; MODELO: CLÁSICO; ABOTONADO: CON, TELA: ALGODÓN Y POLIESTER.</t>
  </si>
  <si>
    <t>2.2.2-6728.11</t>
  </si>
  <si>
    <t>CALZADO DE SEGURIDAD; SUELA: GOMA; MATERIAL: CUERO; TIPO: BOTÍN MODELO FRANCÉS; PUNTERA: CON.</t>
  </si>
  <si>
    <t>PAR</t>
  </si>
  <si>
    <t>PRIMERA CALIDAD - SE REQUIERE MUESTRA</t>
  </si>
  <si>
    <t xml:space="preserve">a) LUGAR DE ENTREGA: Dirección de Recursos Humanos y Control de Gestión del Ministerio de Agua, Energía y Medio Ambiente- Av. Belgrano S/N°- Pabellón N° 2- CAPE- 
</t>
  </si>
  <si>
    <t>COSTO TOTAL ESTIMADO: SETENTA Y OCHO MILLONES QUINIENTOS CINCUENTA Y OCHO MIL CON 00/100</t>
  </si>
  <si>
    <t>Especificidades para todos los ITEMS</t>
  </si>
  <si>
    <t>Descripción técnica:</t>
  </si>
  <si>
    <t xml:space="preserve">                               Según Anexo de especificaciones técnicas y talles</t>
  </si>
  <si>
    <t>c)  PLAZO DE ENTREGA: dentro de los 45 días hábiles de notificada la Orden de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</si>
</sst>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70" formatCode="&quot;$&quot;\ #,##0.00"/>
  </numFmts>
  <fonts count="1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6" fontId="5" fillId="0" borderId="0" applyBorder="0" applyProtection="0"/>
    <xf numFmtId="0" fontId="2" fillId="0" borderId="1" applyProtection="0"/>
    <xf numFmtId="0" fontId="4" fillId="2" borderId="0" applyBorder="0" applyProtection="0"/>
    <xf numFmtId="0" fontId="1" fillId="0" borderId="0"/>
  </cellStyleXfs>
  <cellXfs count="46">
    <xf numFmtId="0" fontId="0" fillId="0" borderId="0" xfId="0"/>
    <xf numFmtId="0" fontId="6" fillId="4" borderId="0" xfId="0" applyFont="1" applyFill="1"/>
    <xf numFmtId="0" fontId="8" fillId="4" borderId="0" xfId="0" applyFont="1" applyFill="1" applyAlignment="1">
      <alignment horizontal="left" wrapText="1"/>
    </xf>
    <xf numFmtId="0" fontId="8" fillId="4" borderId="0" xfId="0" applyFont="1" applyFill="1" applyAlignment="1">
      <alignment horizontal="center" wrapText="1"/>
    </xf>
    <xf numFmtId="0" fontId="9" fillId="4" borderId="0" xfId="0" applyFont="1" applyFill="1" applyAlignment="1">
      <alignment horizontal="left" wrapText="1"/>
    </xf>
    <xf numFmtId="0" fontId="6" fillId="5" borderId="0" xfId="0" applyFont="1" applyFill="1" applyBorder="1"/>
    <xf numFmtId="0" fontId="6" fillId="5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center" wrapText="1"/>
    </xf>
    <xf numFmtId="0" fontId="9" fillId="4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/>
    </xf>
    <xf numFmtId="0" fontId="6" fillId="5" borderId="4" xfId="0" applyFont="1" applyFill="1" applyBorder="1"/>
    <xf numFmtId="0" fontId="6" fillId="5" borderId="5" xfId="0" applyFont="1" applyFill="1" applyBorder="1"/>
    <xf numFmtId="0" fontId="10" fillId="5" borderId="6" xfId="0" applyFont="1" applyFill="1" applyBorder="1" applyAlignment="1">
      <alignment horizontal="left" vertical="center"/>
    </xf>
    <xf numFmtId="0" fontId="6" fillId="5" borderId="7" xfId="0" applyFont="1" applyFill="1" applyBorder="1"/>
    <xf numFmtId="0" fontId="6" fillId="5" borderId="6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3" fontId="13" fillId="0" borderId="2" xfId="0" applyNumberFormat="1" applyFont="1" applyFill="1" applyBorder="1" applyAlignment="1">
      <alignment horizontal="center" vertical="center"/>
    </xf>
    <xf numFmtId="164" fontId="13" fillId="6" borderId="2" xfId="1" applyNumberFormat="1" applyFont="1" applyFill="1" applyBorder="1" applyAlignment="1">
      <alignment horizontal="center" vertical="center"/>
    </xf>
    <xf numFmtId="167" fontId="13" fillId="5" borderId="2" xfId="1" applyNumberFormat="1" applyFont="1" applyFill="1" applyBorder="1" applyAlignment="1" applyProtection="1">
      <alignment horizontal="center" vertical="center" wrapText="1"/>
    </xf>
    <xf numFmtId="3" fontId="13" fillId="4" borderId="0" xfId="0" applyNumberFormat="1" applyFont="1" applyFill="1"/>
    <xf numFmtId="0" fontId="13" fillId="4" borderId="0" xfId="0" applyFont="1" applyFill="1"/>
    <xf numFmtId="0" fontId="13" fillId="5" borderId="0" xfId="0" applyFont="1" applyFill="1" applyBorder="1"/>
    <xf numFmtId="170" fontId="14" fillId="5" borderId="0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wrapText="1" indent="1"/>
    </xf>
    <xf numFmtId="170" fontId="14" fillId="0" borderId="2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left" wrapText="1" indent="1"/>
    </xf>
    <xf numFmtId="0" fontId="6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wrapText="1"/>
    </xf>
    <xf numFmtId="0" fontId="6" fillId="5" borderId="7" xfId="0" applyFont="1" applyFill="1" applyBorder="1" applyAlignment="1">
      <alignment horizontal="left" wrapText="1"/>
    </xf>
  </cellXfs>
  <cellStyles count="5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8"/>
  <sheetViews>
    <sheetView tabSelected="1" workbookViewId="0">
      <selection activeCell="C24" sqref="C24:I24"/>
    </sheetView>
  </sheetViews>
  <sheetFormatPr baseColWidth="10" defaultColWidth="11" defaultRowHeight="13.5" x14ac:dyDescent="0.25"/>
  <cols>
    <col min="1" max="1" width="4.5703125" style="1" customWidth="1"/>
    <col min="2" max="2" width="15.7109375" style="1" customWidth="1"/>
    <col min="3" max="3" width="20.7109375" style="1" customWidth="1"/>
    <col min="4" max="4" width="8.28515625" style="1" customWidth="1"/>
    <col min="5" max="5" width="75" style="1" customWidth="1"/>
    <col min="6" max="6" width="11.140625" style="1" customWidth="1"/>
    <col min="7" max="7" width="11.28515625" style="1" bestFit="1" customWidth="1"/>
    <col min="8" max="8" width="15.140625" style="1" customWidth="1"/>
    <col min="9" max="9" width="18.5703125" style="1" customWidth="1"/>
    <col min="10" max="16384" width="11" style="1"/>
  </cols>
  <sheetData>
    <row r="1" spans="1:10" ht="28.5" x14ac:dyDescent="0.4">
      <c r="B1" s="38" t="s">
        <v>0</v>
      </c>
      <c r="C1" s="38"/>
      <c r="D1" s="38"/>
      <c r="E1" s="38"/>
      <c r="F1" s="38"/>
      <c r="G1" s="38"/>
      <c r="H1" s="38"/>
    </row>
    <row r="3" spans="1:10" ht="15" customHeight="1" x14ac:dyDescent="0.25">
      <c r="A3" s="34" t="s">
        <v>1</v>
      </c>
      <c r="B3" s="34"/>
      <c r="C3" s="39" t="s">
        <v>23</v>
      </c>
      <c r="D3" s="39"/>
      <c r="E3" s="39"/>
      <c r="F3" s="2"/>
      <c r="G3" s="3"/>
      <c r="H3" s="2"/>
    </row>
    <row r="4" spans="1:10" ht="15" customHeight="1" x14ac:dyDescent="0.25">
      <c r="A4" s="34" t="s">
        <v>2</v>
      </c>
      <c r="B4" s="34"/>
      <c r="C4" s="39" t="s">
        <v>24</v>
      </c>
      <c r="D4" s="39"/>
      <c r="E4" s="39"/>
      <c r="F4" s="2"/>
      <c r="G4" s="3"/>
      <c r="H4" s="2"/>
    </row>
    <row r="5" spans="1:10" ht="15" customHeight="1" x14ac:dyDescent="0.25">
      <c r="A5" s="34" t="s">
        <v>3</v>
      </c>
      <c r="B5" s="34"/>
      <c r="C5" s="32">
        <v>2022</v>
      </c>
      <c r="D5" s="4"/>
      <c r="E5" s="4"/>
      <c r="F5" s="2"/>
      <c r="G5" s="3"/>
      <c r="H5" s="2"/>
    </row>
    <row r="6" spans="1:10" ht="15" customHeight="1" x14ac:dyDescent="0.25">
      <c r="A6" s="34" t="s">
        <v>4</v>
      </c>
      <c r="B6" s="34"/>
      <c r="C6" s="32">
        <v>4</v>
      </c>
      <c r="D6" s="4"/>
      <c r="E6" s="4"/>
      <c r="F6" s="2"/>
      <c r="G6" s="3"/>
      <c r="H6" s="2"/>
    </row>
    <row r="7" spans="1:10" x14ac:dyDescent="0.25">
      <c r="B7" s="2"/>
      <c r="C7" s="3"/>
      <c r="D7" s="2"/>
      <c r="E7" s="2"/>
      <c r="F7" s="2"/>
      <c r="G7" s="3"/>
      <c r="H7" s="2"/>
    </row>
    <row r="8" spans="1:10" ht="36" customHeight="1" x14ac:dyDescent="0.25">
      <c r="A8" s="9" t="s">
        <v>5</v>
      </c>
      <c r="B8" s="9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9" t="s">
        <v>12</v>
      </c>
      <c r="I8" s="9" t="s">
        <v>13</v>
      </c>
    </row>
    <row r="9" spans="1:10" s="29" customFormat="1" ht="30.75" customHeight="1" x14ac:dyDescent="0.3">
      <c r="A9" s="20">
        <v>1</v>
      </c>
      <c r="B9" s="20" t="s">
        <v>29</v>
      </c>
      <c r="C9" s="21" t="s">
        <v>25</v>
      </c>
      <c r="D9" s="22" t="s">
        <v>26</v>
      </c>
      <c r="E9" s="23" t="s">
        <v>27</v>
      </c>
      <c r="F9" s="24" t="s">
        <v>14</v>
      </c>
      <c r="G9" s="25">
        <v>2376</v>
      </c>
      <c r="H9" s="26">
        <v>7500</v>
      </c>
      <c r="I9" s="27">
        <f>G9*H9</f>
        <v>17820000</v>
      </c>
      <c r="J9" s="28"/>
    </row>
    <row r="10" spans="1:10" s="29" customFormat="1" ht="30.75" customHeight="1" x14ac:dyDescent="0.3">
      <c r="A10" s="20">
        <v>2</v>
      </c>
      <c r="B10" s="22" t="s">
        <v>28</v>
      </c>
      <c r="C10" s="21" t="s">
        <v>25</v>
      </c>
      <c r="D10" s="22" t="s">
        <v>26</v>
      </c>
      <c r="E10" s="23" t="s">
        <v>30</v>
      </c>
      <c r="F10" s="24" t="s">
        <v>14</v>
      </c>
      <c r="G10" s="25">
        <v>2376</v>
      </c>
      <c r="H10" s="26">
        <v>7500</v>
      </c>
      <c r="I10" s="27">
        <f t="shared" ref="I10:I12" si="0">G10*H10</f>
        <v>17820000</v>
      </c>
    </row>
    <row r="11" spans="1:10" s="29" customFormat="1" ht="30.75" customHeight="1" x14ac:dyDescent="0.3">
      <c r="A11" s="20">
        <v>3</v>
      </c>
      <c r="B11" s="22" t="s">
        <v>31</v>
      </c>
      <c r="C11" s="21" t="s">
        <v>25</v>
      </c>
      <c r="D11" s="22" t="s">
        <v>26</v>
      </c>
      <c r="E11" s="23" t="s">
        <v>32</v>
      </c>
      <c r="F11" s="24" t="s">
        <v>14</v>
      </c>
      <c r="G11" s="25">
        <v>10</v>
      </c>
      <c r="H11" s="26">
        <v>15000</v>
      </c>
      <c r="I11" s="27">
        <f t="shared" si="0"/>
        <v>150000</v>
      </c>
      <c r="J11" s="29" t="s">
        <v>19</v>
      </c>
    </row>
    <row r="12" spans="1:10" s="29" customFormat="1" ht="30.75" customHeight="1" x14ac:dyDescent="0.3">
      <c r="A12" s="20">
        <v>4</v>
      </c>
      <c r="B12" s="22" t="s">
        <v>33</v>
      </c>
      <c r="C12" s="21" t="s">
        <v>25</v>
      </c>
      <c r="D12" s="22" t="s">
        <v>26</v>
      </c>
      <c r="E12" s="23" t="s">
        <v>34</v>
      </c>
      <c r="F12" s="24" t="s">
        <v>35</v>
      </c>
      <c r="G12" s="25">
        <v>2376</v>
      </c>
      <c r="H12" s="26">
        <v>18000</v>
      </c>
      <c r="I12" s="27">
        <f t="shared" si="0"/>
        <v>42768000</v>
      </c>
    </row>
    <row r="13" spans="1:10" s="29" customFormat="1" ht="30.75" customHeight="1" x14ac:dyDescent="0.3">
      <c r="A13" s="30"/>
      <c r="B13" s="30"/>
      <c r="C13" s="30"/>
      <c r="D13" s="30"/>
      <c r="E13" s="35" t="s">
        <v>38</v>
      </c>
      <c r="F13" s="36"/>
      <c r="G13" s="36"/>
      <c r="H13" s="37"/>
      <c r="I13" s="33">
        <f>SUM(I9:I12)</f>
        <v>78558000</v>
      </c>
    </row>
    <row r="14" spans="1:10" s="29" customFormat="1" ht="30.75" customHeight="1" x14ac:dyDescent="0.3">
      <c r="A14" s="30"/>
      <c r="B14" s="30"/>
      <c r="C14" s="30"/>
      <c r="D14" s="30"/>
      <c r="E14" s="30"/>
      <c r="F14" s="30"/>
      <c r="G14" s="30"/>
      <c r="H14" s="30"/>
      <c r="I14" s="31"/>
    </row>
    <row r="15" spans="1:10" ht="14.25" x14ac:dyDescent="0.25">
      <c r="A15" s="5"/>
      <c r="B15" s="19" t="s">
        <v>39</v>
      </c>
      <c r="C15" s="10"/>
      <c r="D15" s="11"/>
      <c r="E15" s="11"/>
      <c r="F15" s="11"/>
      <c r="G15" s="11"/>
      <c r="H15" s="11"/>
      <c r="I15" s="12"/>
    </row>
    <row r="16" spans="1:10" ht="18" customHeight="1" x14ac:dyDescent="0.25">
      <c r="A16" s="5"/>
      <c r="B16" s="16" t="s">
        <v>40</v>
      </c>
      <c r="C16" s="6"/>
      <c r="D16" s="5"/>
      <c r="E16" s="5"/>
      <c r="F16" s="5"/>
      <c r="G16" s="5"/>
      <c r="H16" s="5"/>
      <c r="I16" s="14"/>
    </row>
    <row r="17" spans="1:9" ht="18" customHeight="1" x14ac:dyDescent="0.25">
      <c r="A17" s="5"/>
      <c r="B17" s="15" t="s">
        <v>41</v>
      </c>
      <c r="C17" s="6"/>
      <c r="D17" s="5"/>
      <c r="E17" s="5"/>
      <c r="F17" s="5"/>
      <c r="G17" s="5"/>
      <c r="H17" s="5"/>
      <c r="I17" s="14"/>
    </row>
    <row r="18" spans="1:9" ht="18" customHeight="1" x14ac:dyDescent="0.25">
      <c r="A18" s="5"/>
      <c r="B18" s="13"/>
      <c r="C18" s="6"/>
      <c r="D18" s="5"/>
      <c r="E18" s="5"/>
      <c r="F18" s="5"/>
      <c r="G18" s="5"/>
      <c r="H18" s="5"/>
      <c r="I18" s="14"/>
    </row>
    <row r="19" spans="1:9" ht="21.75" customHeight="1" x14ac:dyDescent="0.25">
      <c r="A19" s="5"/>
      <c r="B19" s="16" t="s">
        <v>15</v>
      </c>
      <c r="C19" s="6"/>
      <c r="D19" s="5"/>
      <c r="E19" s="7"/>
      <c r="F19" s="5"/>
      <c r="G19" s="5"/>
      <c r="H19" s="5"/>
      <c r="I19" s="14"/>
    </row>
    <row r="20" spans="1:9" ht="17.25" customHeight="1" x14ac:dyDescent="0.25">
      <c r="A20" s="5"/>
      <c r="B20" s="13"/>
      <c r="C20" s="42" t="s">
        <v>37</v>
      </c>
      <c r="D20" s="42"/>
      <c r="E20" s="42"/>
      <c r="F20" s="42"/>
      <c r="G20" s="42"/>
      <c r="H20" s="42"/>
      <c r="I20" s="43"/>
    </row>
    <row r="21" spans="1:9" ht="19.5" customHeight="1" x14ac:dyDescent="0.25">
      <c r="A21" s="5"/>
      <c r="B21" s="13"/>
      <c r="C21" s="42" t="s">
        <v>20</v>
      </c>
      <c r="D21" s="42"/>
      <c r="E21" s="42"/>
      <c r="F21" s="42"/>
      <c r="G21" s="42"/>
      <c r="H21" s="42"/>
      <c r="I21" s="43"/>
    </row>
    <row r="22" spans="1:9" ht="25.5" customHeight="1" x14ac:dyDescent="0.25">
      <c r="A22" s="5"/>
      <c r="B22" s="15"/>
      <c r="C22" s="42" t="s">
        <v>42</v>
      </c>
      <c r="D22" s="42"/>
      <c r="E22" s="42"/>
      <c r="F22" s="42"/>
      <c r="G22" s="42"/>
      <c r="H22" s="42"/>
      <c r="I22" s="43"/>
    </row>
    <row r="23" spans="1:9" x14ac:dyDescent="0.25">
      <c r="A23" s="5"/>
      <c r="B23" s="16" t="s">
        <v>16</v>
      </c>
      <c r="C23" s="6"/>
      <c r="D23" s="5"/>
      <c r="E23" s="7"/>
      <c r="F23" s="5"/>
      <c r="G23" s="5"/>
      <c r="H23" s="5"/>
      <c r="I23" s="14"/>
    </row>
    <row r="24" spans="1:9" ht="27.75" customHeight="1" x14ac:dyDescent="0.25">
      <c r="A24" s="5"/>
      <c r="B24" s="15"/>
      <c r="C24" s="42" t="s">
        <v>36</v>
      </c>
      <c r="D24" s="42"/>
      <c r="E24" s="42"/>
      <c r="F24" s="42"/>
      <c r="G24" s="42"/>
      <c r="H24" s="42"/>
      <c r="I24" s="43"/>
    </row>
    <row r="25" spans="1:9" x14ac:dyDescent="0.25">
      <c r="A25" s="5"/>
      <c r="B25" s="16" t="s">
        <v>17</v>
      </c>
      <c r="C25" s="18"/>
      <c r="D25" s="8"/>
      <c r="E25" s="8"/>
      <c r="F25" s="5"/>
      <c r="G25" s="5"/>
      <c r="H25" s="5"/>
      <c r="I25" s="14"/>
    </row>
    <row r="26" spans="1:9" x14ac:dyDescent="0.25">
      <c r="A26" s="5"/>
      <c r="B26" s="15"/>
      <c r="C26" s="44" t="s">
        <v>21</v>
      </c>
      <c r="D26" s="44"/>
      <c r="E26" s="44"/>
      <c r="F26" s="44"/>
      <c r="G26" s="44"/>
      <c r="H26" s="44"/>
      <c r="I26" s="45"/>
    </row>
    <row r="27" spans="1:9" x14ac:dyDescent="0.25">
      <c r="A27" s="5"/>
      <c r="B27" s="16" t="s">
        <v>18</v>
      </c>
      <c r="C27" s="6"/>
      <c r="D27" s="5"/>
      <c r="E27" s="5"/>
      <c r="F27" s="5"/>
      <c r="G27" s="5"/>
      <c r="H27" s="5"/>
      <c r="I27" s="14"/>
    </row>
    <row r="28" spans="1:9" x14ac:dyDescent="0.25">
      <c r="A28" s="5"/>
      <c r="B28" s="17"/>
      <c r="C28" s="40" t="s">
        <v>22</v>
      </c>
      <c r="D28" s="40"/>
      <c r="E28" s="40"/>
      <c r="F28" s="40"/>
      <c r="G28" s="40"/>
      <c r="H28" s="40"/>
      <c r="I28" s="41"/>
    </row>
  </sheetData>
  <mergeCells count="14">
    <mergeCell ref="C28:I28"/>
    <mergeCell ref="A6:B6"/>
    <mergeCell ref="C20:I20"/>
    <mergeCell ref="C21:I21"/>
    <mergeCell ref="C22:I22"/>
    <mergeCell ref="C24:I24"/>
    <mergeCell ref="C26:I26"/>
    <mergeCell ref="A5:B5"/>
    <mergeCell ref="E13:H13"/>
    <mergeCell ref="B1:H1"/>
    <mergeCell ref="A3:B3"/>
    <mergeCell ref="C3:E3"/>
    <mergeCell ref="A4:B4"/>
    <mergeCell ref="C4:E4"/>
  </mergeCells>
  <pageMargins left="0.7" right="0.7" top="0.75" bottom="0.75" header="0.3" footer="0.3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 Ind.</vt:lpstr>
      <vt:lpstr>'Necesidades Trimestrales Ind.'!Área_de_impresión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COMPRAS</cp:lastModifiedBy>
  <cp:revision>2</cp:revision>
  <cp:lastPrinted>2022-11-29T10:39:37Z</cp:lastPrinted>
  <dcterms:created xsi:type="dcterms:W3CDTF">2020-07-17T23:44:49Z</dcterms:created>
  <dcterms:modified xsi:type="dcterms:W3CDTF">2022-12-01T13:41:10Z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