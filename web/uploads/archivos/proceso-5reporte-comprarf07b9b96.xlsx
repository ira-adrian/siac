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codeName="ThisWorkbook"/>
  <mc:AlternateContent xmlns:mc="http://schemas.openxmlformats.org/markup-compatibility/2006">
    <mc:Choice Requires="x15">
      <x15ac:absPath xmlns:x15ac="http://schemas.microsoft.com/office/spreadsheetml/2010/11/ac" url="E:\SECRETARIA DE COMPRAS\COMPRAS\2022\Adquisicion de articulos de libreria y papeleria consolidado\apertura\"/>
    </mc:Choice>
  </mc:AlternateContent>
  <xr:revisionPtr revIDLastSave="0" documentId="13_ncr:1_{CC1E8717-D1A7-47C6-867F-B073702E09D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uadro comparativo" sheetId="2" r:id="rId1"/>
  </sheets>
  <definedNames>
    <definedName name="Datos">'Cuadro comparativo'!$E$1:$E$5</definedName>
    <definedName name="DatosTitulos">'Cuadro comparativo'!$D$1:$D$5</definedName>
    <definedName name="PROVEEDOR">'Cuadro comparativo'!$G$8:$J$8,'Cuadro comparativo'!$K$8:$N$8,'Cuadro comparativo'!$O$8:$R$8</definedName>
    <definedName name="Titles">'Cuadro comparativo'!$A$8:$F$8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70" i="2" l="1"/>
  <c r="M70" i="2"/>
  <c r="Q70" i="2"/>
</calcChain>
</file>

<file path=xl/sharedStrings.xml><?xml version="1.0" encoding="utf-8"?>
<sst xmlns="http://schemas.openxmlformats.org/spreadsheetml/2006/main" count="484" uniqueCount="339">
  <si>
    <t>Número expediente:</t>
  </si>
  <si>
    <t>EX-2022-00165858-   -CAT-SCA#MEC</t>
  </si>
  <si>
    <t>Número proceso de compra:</t>
  </si>
  <si>
    <t>100-0008-CDI22</t>
  </si>
  <si>
    <t>Nombre descriptivo proceso de compra:</t>
  </si>
  <si>
    <t>Adquisición de artículos de librería y papelería para el M.I.D.yS.P. y H.S.J.B.</t>
  </si>
  <si>
    <t>Unidad Operativa de Compras:</t>
  </si>
  <si>
    <t>Secretaria de Compras y Abastecimiento</t>
  </si>
  <si>
    <t>Fecha de Apertura:</t>
  </si>
  <si>
    <t>18/02/2022</t>
  </si>
  <si>
    <t>Renglón</t>
  </si>
  <si>
    <t>BRUNO RODOLFO LUCERO ALESSANDRO</t>
  </si>
  <si>
    <t>SUCESION DE LUIS JAIME KOTLER</t>
  </si>
  <si>
    <t>MIGUEL ANGEL MURO</t>
  </si>
  <si>
    <t>Alternativa</t>
  </si>
  <si>
    <t>Código</t>
  </si>
  <si>
    <t>Descripción</t>
  </si>
  <si>
    <t>Cantidad solicitada</t>
  </si>
  <si>
    <t>Unidad de medida</t>
  </si>
  <si>
    <t>Precio unitario</t>
  </si>
  <si>
    <t>Cantidad ofertada</t>
  </si>
  <si>
    <t>Total por renglón</t>
  </si>
  <si>
    <t>Especificacion técnica</t>
  </si>
  <si>
    <t xml:space="preserve">1 </t>
  </si>
  <si>
    <t xml:space="preserve">2.3.2-1571.14 </t>
  </si>
  <si>
    <t xml:space="preserve">PAPELES P/FOTOCOPIADORA; FOTOCOPIADORA: CLC, ANCHO: 21 CM, LARGO: 29,7 CM, 
TIPO DE PAPEL: A4, GRAMAJE: 80 GR., PRESENTACION: ENVASE X 
500 UN, CERTIFICADO FORESTAL (GFS): SIN </t>
  </si>
  <si>
    <t xml:space="preserve">UNIDAD </t>
  </si>
  <si>
    <t xml:space="preserve">Resma A4 X500 HOJAS 80GR BOREAL  </t>
  </si>
  <si>
    <t xml:space="preserve">PAPELES P/FOTOCOPIADORA; FOTOCOPIADORA: CLC, ANCHO: 21 CM, LARGO: 29,7 CM, 
TIPO DE PAPEL: A4, GRAMAJE: 80 GR., PRESENTACION: ENVASE X 
500 UN, CERTIFICADO FORESTAL (GFS): SIN MARCA AUTOR  </t>
  </si>
  <si>
    <t xml:space="preserve">Resma A4 X500 HOJAS 75GR AUTOR  </t>
  </si>
  <si>
    <t xml:space="preserve">2 </t>
  </si>
  <si>
    <t xml:space="preserve">2.9.2-4984.6 </t>
  </si>
  <si>
    <t xml:space="preserve">LAPICERAS ESTILOGRAFICAS; TIPO: TRAZO GRUESO, MATERIAL: PLASTICO Y METAL  
, RECARGABLE: NO </t>
  </si>
  <si>
    <t xml:space="preserve">LAPICERAS BIC OPACO 1.0MM AZUL  </t>
  </si>
  <si>
    <t xml:space="preserve">LAPICERAS ESTILOGRAFICAS; TIPO: TRAZO GRUESO, MATERIAL: PLASTICO Y METAL , 
RECARGABLE: NO  MARCA FILGO DRAWING  </t>
  </si>
  <si>
    <t xml:space="preserve">3 </t>
  </si>
  <si>
    <t xml:space="preserve">2.9.2-848.8 </t>
  </si>
  <si>
    <t xml:space="preserve">LAPIZ; COLOR: NEGRO, TIPO: COMUN NRO 1 </t>
  </si>
  <si>
    <t xml:space="preserve">LAPIZ GRADUACION MAPED HB2 N°1  </t>
  </si>
  <si>
    <t xml:space="preserve"> LAPIZ; COLOR: NEGRO, TIPO: COMUN NRO 1 MARCA GRAFITO 
 </t>
  </si>
  <si>
    <t xml:space="preserve">LAPIZ GRADUACION MAPED HB2   </t>
  </si>
  <si>
    <t xml:space="preserve">4 </t>
  </si>
  <si>
    <t xml:space="preserve">2.3.2-1571.15 </t>
  </si>
  <si>
    <t xml:space="preserve">PAPELES P/FOTOCOPIADORA; FOTOCOPIADORA: SIN VALOR, ANCHO: 21,6 CM, LARGO: 35,6 
CM, TIPO DE PAPEL: OFICIO, GRAMAJE: 80 GR., PRESENTACION: ENVASE 
X 500 UN, CERTIFICADO FORESTAL (GFS): SIN </t>
  </si>
  <si>
    <t xml:space="preserve">RESMA OFICIO X500HOJAS 80 GR BOREAL  </t>
  </si>
  <si>
    <t xml:space="preserve">PAPELES P/FOTOCOPIADORA; FOTOCOPIADORA: SIN VALOR, ANCHO: 21,6 CM, LARGO: 35,6 
CM, TIPO DE PAPEL: OFICIO, GRAMAJE: 80 GR., PRESENTACION: ENVASE 
X 500 UN, CERTIFICADO FORESTAL (GFS): SIN MARCA AUTOR  
</t>
  </si>
  <si>
    <t xml:space="preserve">RESMA OFICIO X500HOJAS 80 GR AUTOR  </t>
  </si>
  <si>
    <t xml:space="preserve">5 </t>
  </si>
  <si>
    <t xml:space="preserve">2.9.2-323.3 </t>
  </si>
  <si>
    <t xml:space="preserve">CORRECTORES DE ESCRITURA; ENVASE: LAPIZ (PUNTA METAL), PRESENTACION: LAPIZ (PUNTA 
METAL) X 10 mL, CAPACIDAD: 10 mL </t>
  </si>
  <si>
    <t xml:space="preserve">CORRECTOR EZCO X7ML PUNTA METAL.  </t>
  </si>
  <si>
    <t xml:space="preserve">CORRECTORES DE ESCRITURA; ENVASE: LAPIZ (PUNTA METAL), PRESENTACION: LAPIZ (PUNTA 
METAL) X 10 mL, CAPACIDAD: 10 mL MARCA EZCO  
</t>
  </si>
  <si>
    <t xml:space="preserve">CORRECTOR X7ML PIZZINI  </t>
  </si>
  <si>
    <t xml:space="preserve">6 </t>
  </si>
  <si>
    <t xml:space="preserve">2.9.2-261.6 </t>
  </si>
  <si>
    <t xml:space="preserve">ABROCHADORAS DE PAPEL; MATERIAL: METALICA, TIPO: DE ESCRITORIO, MEDIDA: 21/6, 
P/BROCHES: 21/6 </t>
  </si>
  <si>
    <t xml:space="preserve">ABROCHADORA DE PAPEL, METALICA 21/6 GRAP  </t>
  </si>
  <si>
    <t xml:space="preserve"> ABROCHADORAS DE PAPEL; MATERIAL: METALICA, TIPO: DE ESCRITORIO, MEDIDA: 
21/6, P/BROCHES: 21/6 MARCA MIT  </t>
  </si>
  <si>
    <t xml:space="preserve">ABROCHADORAS DE PAPEL; MATERIAL: METALICA, TIPO: DE ESCRITORIO, MEDIDA: 21/6, 
P/BROCHES: 21/6 MIT  </t>
  </si>
  <si>
    <t xml:space="preserve">7 </t>
  </si>
  <si>
    <t xml:space="preserve">2.9.2-1354.22 </t>
  </si>
  <si>
    <t xml:space="preserve">RESALTADORES; ACCESORIO SIN - TIPO PUNTA 5 (CHANFLEADA) mm </t>
  </si>
  <si>
    <t xml:space="preserve">RESALTADOR PTA. 5 (CHANFLEADA) TRABI AMARILLO   </t>
  </si>
  <si>
    <t xml:space="preserve"> RESALTADORES; ACCESORIO SIN - TIPO PUNTA 5 (CHANFLEADA) mm 
MARCA TRABI  </t>
  </si>
  <si>
    <t xml:space="preserve">RESALTADOR PTA CHANFLEADA FILGO AMARILLO   </t>
  </si>
  <si>
    <t xml:space="preserve">8 </t>
  </si>
  <si>
    <t xml:space="preserve">2.9.2-1611.1 </t>
  </si>
  <si>
    <t xml:space="preserve">FOLIOS TRANSPARENTES; MATERIAL: PLASTICO (POLIETILENO), TAMAÑO: OFICIO, PERFORACIONES: 5 UNIVERSALES 
</t>
  </si>
  <si>
    <t xml:space="preserve">FOLIOS TRANSPARENTES OFICIO  LIGGO  </t>
  </si>
  <si>
    <t xml:space="preserve">FOLIOS TRANSPARENTES; MATERIAL: PLASTICO (POLIETILENO), TAMAÑO: OFICIO, PERFORACIONES: 5 UNIVERSALES 
MARCA LUMA  </t>
  </si>
  <si>
    <t xml:space="preserve"> FOLIOS TRANSPARENTES; MATERIAL: PLASTICO (POLIETILENO), TAMAÑO: OFICIO, PERFORACIONES: 5 
UNIVERSALES AVIOS  </t>
  </si>
  <si>
    <t xml:space="preserve">9 </t>
  </si>
  <si>
    <t xml:space="preserve">2.9.2-1611.3 </t>
  </si>
  <si>
    <t xml:space="preserve">FOLIOS TRANSPARENTES; TAMAÑO: A-4, PERFORACIONES: 5 UNIVERSALES, MATERIAL: PLASTICO (POLIETILENO) 
</t>
  </si>
  <si>
    <t xml:space="preserve">FOLIOS TRANSPARENTES A4 LIGGO  </t>
  </si>
  <si>
    <t xml:space="preserve">FOLIOS TRANSPARENTES; TAMAÑO: A-4, PERFORACIONES: 5 UNIVERSALES, MATERIAL: PLASTICO (POLIETILENO) 
MARCA LUMA  </t>
  </si>
  <si>
    <t xml:space="preserve">FOLIOS TRANSPARENTES; TAMAÑO: A-4, PERFORACIONES: 5 UNIVERSALES, MATERIAL: PLASTICO (POLIETILENO) 
AVIOS </t>
  </si>
  <si>
    <t xml:space="preserve">10 </t>
  </si>
  <si>
    <t xml:space="preserve">2.9.2-850.1 </t>
  </si>
  <si>
    <t xml:space="preserve">CAJAS DE ARCHIVO; DIMENSION: 26.5 X 38 X 9 Cm, 
COLOR: AZUL, MATERIAL: PLASTICO </t>
  </si>
  <si>
    <t xml:space="preserve">CAJA DE ARCHIVO LIBREJET OFICIO PLASTICO AZUL   </t>
  </si>
  <si>
    <t xml:space="preserve">CAJAS DE ARCHIVO; DIMENSION: 26.5 X 38 X 9 Cm, 
COLOR: AZUL, MATERIAL: PLASTICO MARCA OF/ BINDER  </t>
  </si>
  <si>
    <t xml:space="preserve">CAJAS DE ARCHIVO; DIMENSION: 26.5 X 38 X 9 Cm, 
COLOR: AZUL, MATERIAL: PLASTICO ARIES COMERCIAL   </t>
  </si>
  <si>
    <t xml:space="preserve">11 </t>
  </si>
  <si>
    <t xml:space="preserve">2.9.2-1428.1 </t>
  </si>
  <si>
    <t xml:space="preserve">BANDAS ELASTICAS; PRESENTACION: CAJA DE 100 GR, ESPESOR: 2 mm, 
DIAMETRO: 5 Cm </t>
  </si>
  <si>
    <t xml:space="preserve">BANDA ELASTICAS EZCO 5CMX100GR BOLSA  </t>
  </si>
  <si>
    <t xml:space="preserve"> BANDAS ELASTICAS; PRESENTACION: CAJA DE 100 GR, ESPESOR: 2 
mm, DIAMETRO: 5 Cm MARCA FLEXIBANDS  </t>
  </si>
  <si>
    <t xml:space="preserve">BANDAS ELASTICAS; PRESENTACION: CAJA DE 100 GR, ESPESOR: 2 mm, 
DIAMETRO: 5 Cm FLEXIBAND </t>
  </si>
  <si>
    <t xml:space="preserve">12 </t>
  </si>
  <si>
    <t xml:space="preserve">2.9.2-1510.25 </t>
  </si>
  <si>
    <t xml:space="preserve">CARPETAS COLGANTES; TIPO: INTERIOR, MATERIAL: PLASTICO, TAMAÑO: A4, SUJECION: VAINA, 
VISOR: PVC, PRESENTACION: UNIDAD </t>
  </si>
  <si>
    <t xml:space="preserve">CARPETA COMERCIAL LAMA A4 C/VAINA  </t>
  </si>
  <si>
    <t xml:space="preserve">CARPETAS COLGANTES; TIPO: INTERIOR, MATERIAL: PLASTICO, TAMAÑO: A4, SUJECION: VAINA, 
VISOR: PVC, PRESENTACION: UNIDAD MARCA HASENAUER  </t>
  </si>
  <si>
    <t xml:space="preserve">CARPETAS COLGANTES; TIPO: INTERIOR, MATERIAL: PLASTICO, TAMAÑO: A4, SUJECION: VAINA, 
VISOR: PVC, PRESENTACION: UNIDAD ARIEZ COMERCIAL  </t>
  </si>
  <si>
    <t xml:space="preserve">13 </t>
  </si>
  <si>
    <t xml:space="preserve">2.9.2-1510.10 </t>
  </si>
  <si>
    <t xml:space="preserve">CARPETAS COLGANTES; TIPO: EXTERIOR, MATERIAL: PLASTICO, TAMAÑO: OFICIO, SUJECION: GANCHOS 
EN 4 PUNTAS, VISOR: PVC, PRESENTACION: UNIDAD, COLOR: AMARILLO </t>
  </si>
  <si>
    <t xml:space="preserve">CARPETA COLGANTE EXTERIOR NEPACO OFICIO AMARILLO  </t>
  </si>
  <si>
    <t xml:space="preserve">CARPETAS COLGANTES; TIPO: EXTERIOR, MATERIAL: PLASTICO, TAMAÑO: OFICIO, SUJECION: GANCHOS 
EN 4 PUNTAS, VISOR: PVC, PRESENTACION: UNIDAD, COLOR: AMARILLO ARIEZ 
COMERCIAL  </t>
  </si>
  <si>
    <t xml:space="preserve">14 </t>
  </si>
  <si>
    <t xml:space="preserve">2.9.2-661.1 </t>
  </si>
  <si>
    <t xml:space="preserve">GOMAS DE BORRAR; MATERIAL: CAUCHO, CANT. X CAJA: 30, USO: 
LAPIZ, DIMENSION: 4 X 1 X 1 Cm, PRESENTACION: CAJA 
X 30 </t>
  </si>
  <si>
    <t xml:space="preserve">GOMA DE BORRAR LAPIZ DOS BANDERAS X30UNIDADES  </t>
  </si>
  <si>
    <t xml:space="preserve">GOMAS DE BORRAR; MATERIAL: CAUCHO, CANT. X CAJA: 30, USO: 
LAPIZ, DIMENSION: 4 X 1 X 1 Cm, PRESENTACION: CAJA 
X 30 MARCA FABER CASTELL  </t>
  </si>
  <si>
    <t xml:space="preserve">GOMAS DE BORRAR; MATERIAL: CAUCHO, CANT. X CAJA: 30, USO: 
LAPIZ, DIMENSION: 4 X 1 X 1 Cm, PRESENTACION: CAJA 
X 30 MILAN </t>
  </si>
  <si>
    <t xml:space="preserve">15 </t>
  </si>
  <si>
    <t xml:space="preserve">2.9.2-1153.1 </t>
  </si>
  <si>
    <t xml:space="preserve">CINTAS ADHESIVAS; TIPO: TRANSPARENTE, ANCHO: 12 mm, LARGO ROLLO: 60 
M, MATERIAL: CELOFAN, ACCESORIO: SIN VALOR, LARGO: 60 M </t>
  </si>
  <si>
    <t xml:space="preserve">CINTA ADHESIVA TRANSPARENTE 12X60MTRS CONDOR   </t>
  </si>
  <si>
    <t xml:space="preserve">CINTAS ADHESIVAS; TIPO: TRANSPARENTE, ANCHO: 12 mm, LARGO ROLLO: 60 
M, MATERIAL: CELOFAN, ACCESORIO: SIN VALOR, LARGO: 60 M MARCA 
STIKO  </t>
  </si>
  <si>
    <t xml:space="preserve">CINTAS ADHESIVAS; TIPO: TRANSPARENTE, ANCHO: 12 mm, LARGO ROLLO: 60 
M, MATERIAL: CELOFAN, ACCESORIO: SIN VALOR, LARGO: 60 M RAPIFIX 
</t>
  </si>
  <si>
    <t xml:space="preserve">16 </t>
  </si>
  <si>
    <t xml:space="preserve">2.9.2-1153.6 </t>
  </si>
  <si>
    <t xml:space="preserve">CINTAS ADHESIVAS; ANCHO: 49 mm, ACCESORIO: SIN VALOR, LARGO ROLLO: 
SIN VALOR, MATERIAL: CELOFAN, TIPO: TRANSPARENTE, LARGO: SIN VALOR </t>
  </si>
  <si>
    <t xml:space="preserve">CINTA ADHESIVA TRANSPARENTE 49MMX40MTRS CONDOR  </t>
  </si>
  <si>
    <t xml:space="preserve">CINTAS ADHESIVAS; ANCHO: 49 mm, ACCESORIO: SIN VALOR, LARGO ROLLO: 
SIN VALOR, MATERIAL: CELOFAN, TIPO: TRANSPARENTE, LARGO: SIN VALOR RAPIFIX 
</t>
  </si>
  <si>
    <t xml:space="preserve">17 </t>
  </si>
  <si>
    <t xml:space="preserve">2.9.2-262.1 </t>
  </si>
  <si>
    <t xml:space="preserve">ADHESIVOS P/PAPEL; TIPO: COLA VINILICA, PRESENTACION: 30 GR </t>
  </si>
  <si>
    <t xml:space="preserve">ADHESIVO P/PAPEL COLA VINILICA 30GR PLAYCOLOR  </t>
  </si>
  <si>
    <t xml:space="preserve">ADHESIVOS P/PAPEL; TIPO: COLA VINILICA, PRESENTACION: 30 GR MARCA STA 
 </t>
  </si>
  <si>
    <t xml:space="preserve">ADHESIVOS P/PAPEL; TIPO: COLA VINILICA, PRESENTACION: 30 GR SEÑORITA </t>
  </si>
  <si>
    <t xml:space="preserve">18 </t>
  </si>
  <si>
    <t xml:space="preserve">2.9.2-274.11 </t>
  </si>
  <si>
    <t xml:space="preserve">BIBLIORATOS; LOMO: CARTON, COLOR: GRIS, ANCHO: 85 mm, ANILLO: 2 
Y PALANCA, TAMAÑO: OFICIO, TAPAS: CARTON, MATERIAL: CARTON </t>
  </si>
  <si>
    <t xml:space="preserve">BIBLIORATOS LOMO CARTON GRIS OFICIO LIBREJET  </t>
  </si>
  <si>
    <t xml:space="preserve"> BIBLIORATOS; LOMO: CARTON, COLOR: GRIS, ANCHO: 85 mm, ANILLO: 
2 Y PALANCA, TAMAÑO: OFICIO, TAPAS: CARTON, MATERIAL: CARTON MARCA 
AVIOS  </t>
  </si>
  <si>
    <t xml:space="preserve">BIBLIORATOS; LOMO: CARTON, COLOR: GRIS, ANCHO: 85 mm, ANILLO: 2 
Y PALANCA, TAMAÑO: OFICIO, TAPAS: CARTON, MATERIAL: CARTON BURONET </t>
  </si>
  <si>
    <t xml:space="preserve">19 </t>
  </si>
  <si>
    <t xml:space="preserve">2.9.2-274.24 </t>
  </si>
  <si>
    <t xml:space="preserve">BIBLIORATOS; ANILLO: 2 Y PALANCA, TAMAÑO: A4, TAPAS: CARTON, LOMO: 
CARTON, ANCHO: 85 mm, COLOR: GRIS NEGRO AZUL, MATERIAL: CARTON 
</t>
  </si>
  <si>
    <t xml:space="preserve">BIBLIORATOS A4 LOMO CARTON LIBREJET  </t>
  </si>
  <si>
    <t xml:space="preserve"> BIBLIORATOS; ANILLO: 2 Y PALANCA, TAMAÑO: A4, TAPAS: CARTON, 
LOMO: CARTON, ANCHO: 85 mm, COLOR: GRIS NEGRO AZUL, MATERIAL: 
CARTON MARCA AVIOS  </t>
  </si>
  <si>
    <t xml:space="preserve">BIBLIORATOS; ANILLO: 2 Y PALANCA, TAMAÑO: A4, TAPAS: CARTON, LOMO: 
CARTON, ANCHO: 85 mm, COLOR: GRIS NEGRO AZUL, MATERIAL: CARTON 
BURONET </t>
  </si>
  <si>
    <t xml:space="preserve">20 </t>
  </si>
  <si>
    <t xml:space="preserve">2.9.2-261.14 </t>
  </si>
  <si>
    <t xml:space="preserve">ABROCHADORAS DE PAPEL; TIPO: PINZA, P/BROCHES: 10/50, MATERIAL: METALICA, MEDIDA: 
10/50 </t>
  </si>
  <si>
    <t xml:space="preserve">ABROCHADORA DE PAPEL METALICA 10/50 GRAP  </t>
  </si>
  <si>
    <t xml:space="preserve"> ABROCHADORAS DE PAPEL; TIPO: PINZA, P/BROCHES: 10/50, MATERIAL: METALICA, 
MEDIDA: 10/50 MARCA MIT </t>
  </si>
  <si>
    <t xml:space="preserve">ABROCHADORAS DE PAPEL; TIPO: PINZA, P/BROCHES: 10/50, MATERIAL: METALICA, MEDIDA: 
10/50 MIT </t>
  </si>
  <si>
    <t xml:space="preserve">21 </t>
  </si>
  <si>
    <t xml:space="preserve">2.9.2-262.4 </t>
  </si>
  <si>
    <t xml:space="preserve">ADHESIVOS P/PAPEL; PRESENTACION: 250 GR, TIPO: COLA VINILICA </t>
  </si>
  <si>
    <t xml:space="preserve">ADHESIVO P/PAPEL 250GR, COLA VINILICA PLAYCOLOR  </t>
  </si>
  <si>
    <t xml:space="preserve">ADHESIVOS P/PAPEL; PRESENTACION: 250 GR, TIPO: COLA VINILICA MARCA STA 
 </t>
  </si>
  <si>
    <t xml:space="preserve">ADHESIVOS P/PAPEL; PRESENTACION: 250 GR, TIPO: COLA VINILICA SEÑORITA </t>
  </si>
  <si>
    <t xml:space="preserve">22 </t>
  </si>
  <si>
    <t xml:space="preserve">2.9.2-700.28 </t>
  </si>
  <si>
    <t xml:space="preserve">BROCHES P/ABROCHADORA; NUMERO: 10/50, PRESENTACION: CAJA X 1000 UNIDADES </t>
  </si>
  <si>
    <t xml:space="preserve">BROCHES P/ABROCHADORAS 10/50, CAJA X1000U, GRAP  </t>
  </si>
  <si>
    <t xml:space="preserve"> BROCHES P/ABROCHADORA; NUMERO: 10/50, PRESENTACION: CAJA X 1000 UNIDADES 
MARCA MIT  </t>
  </si>
  <si>
    <t xml:space="preserve">BROCHES P/ABROCHADORA; NUMERO: 10/50, PRESENTACION: CAJA X 1000 UNIDADES MIT 
</t>
  </si>
  <si>
    <t xml:space="preserve">23 </t>
  </si>
  <si>
    <t xml:space="preserve">2.9.2-1358.359 </t>
  </si>
  <si>
    <t xml:space="preserve">CARPETAS; MATERIAL: FIBRA, TAMAÑO: OFICIO </t>
  </si>
  <si>
    <t xml:space="preserve">CARPETAS FIBRA NEGRA OFICIO   </t>
  </si>
  <si>
    <t xml:space="preserve">CARPETAS; MATERIAL: FIBRA, TAMAÑO: OFICIO MARCA FIBRACAP  </t>
  </si>
  <si>
    <t xml:space="preserve">CARPETAS; MATERIAL: FIBRA, TAMAÑO: OFICIO AVIOS </t>
  </si>
  <si>
    <t xml:space="preserve">24 </t>
  </si>
  <si>
    <t xml:space="preserve">2.9.2-2766.9 </t>
  </si>
  <si>
    <t xml:space="preserve">CARPETAS P/ENCUADERNACION; TAMAÑO: A4, PEGAMENTO: SIN, MATERIAL LOMO: PLASTICO TRANPARENTE, 
ESPESOR: 9 mm, TAPA: TRANSPARENTE </t>
  </si>
  <si>
    <t xml:space="preserve">CARPETA P/ENCUADERNACION A4 TAPA TRANSPARENTE LAMA OFICCE  </t>
  </si>
  <si>
    <t xml:space="preserve">CARPETAS P/ENCUADERNACION; TAMAÑO: A4, PEGAMENTO: SIN, MATERIAL LOMO: PLASTICO TRANPARENTE, 
ESPESOR: 9 mm, TAPA: TRANSPARENTE MARCA BINDERPLUS  </t>
  </si>
  <si>
    <t xml:space="preserve">CARPETAS P/ENCUADERNACION; TAMAÑO: A4, PEGAMENTO: SIN, MATERIAL LOMO: PLASTICO TRANPARENTE, 
ESPESOR: 9 mm, TAPA: TRANSPARENTE FELLOWES </t>
  </si>
  <si>
    <t xml:space="preserve">25 </t>
  </si>
  <si>
    <t xml:space="preserve">2.9.2-2766.11 </t>
  </si>
  <si>
    <t xml:space="preserve">CARPETAS P/ENCUADERNACION; TAMAÑO: OFICIO, ESPESOR: 9 mm, MATERIAL LOMO: PLASTICO 
TRANPARENTE, PEGAMENTO: SIN, TAPA: TRANSPARENTE </t>
  </si>
  <si>
    <t xml:space="preserve">CARPETA P/ENCUADERNACION OF TAPA TRANSPARENTE VERDE PAGODA  </t>
  </si>
  <si>
    <t xml:space="preserve"> CARPETAS P/ENCUADERNACION; TAMAÑO: OFICIO, ESPESOR: 9 mm, MATERIAL LOMO: 
PLASTICO TRANPARENTE, PEGAMENTO: SIN, TAPA: TRANSPARENTE marca: binderplus  </t>
  </si>
  <si>
    <t xml:space="preserve">CARPETAS P/ENCUADERNACION; TAMAÑO: OFICIO, ESPESOR: 9 mm, MATERIAL LOMO: PLASTICO 
TRANPARENTE, PEGAMENTO: SIN, TAPA: TRANSPARENTE FELLOWES </t>
  </si>
  <si>
    <t xml:space="preserve">26 </t>
  </si>
  <si>
    <t xml:space="preserve">2.9.2-274.26 </t>
  </si>
  <si>
    <t xml:space="preserve">BIBLIORATOS; ANCHO: 80 mm, ANILLO: ANILLO Y PALANCA, TAMAÑO: OFICIO, 
LOMO: CARTON, TAPAS: CARTON FORRADO PLASTICO, COLOR: NEGRO AZUL, MATERIAL: 
CARTON </t>
  </si>
  <si>
    <t xml:space="preserve">BIBLIORATO LOMO CARTON OFICIO LIBREJET  </t>
  </si>
  <si>
    <t xml:space="preserve">BIBLIORATOS; ANCHO: 80 mm, ANILLO: ANILLO Y PALANCA, TAMAÑO: OFICIO, 
LOMO: CARTON, TAPAS: CARTON FORRADO PLASTICO, COLOR: NEGRO AZUL, MATERIAL: 
CARTON marca: meli </t>
  </si>
  <si>
    <t xml:space="preserve">BIBLIORATOS; ANCHO: 80 mm, ANILLO: ANILLO Y PALANCA, TAMAÑO: OFICIO, 
LOMO: CARTON, TAPAS: CARTON FORRADO PLASTICO, COLOR: NEGRO AZUL, MATERIAL: 
CARTON BURONET </t>
  </si>
  <si>
    <t xml:space="preserve">27 </t>
  </si>
  <si>
    <t xml:space="preserve">2.3.1-6563.814 </t>
  </si>
  <si>
    <t xml:space="preserve">PAPELES EN HOJA; TIPO DE PAPEL: CARTULINA, DIMENSION: 63 X 
44,5 Cm, GRAMAJE: 125, PRESENTACION: UNIDAD, CERTIFICADO FORESTAL (GFS): CON 
</t>
  </si>
  <si>
    <t xml:space="preserve">CARTULINA 48X63CM, 125GR AMARILLO   </t>
  </si>
  <si>
    <t xml:space="preserve"> PAPELES EN HOJA; TIPO DE PAPEL: CARTULINA, DIMENSION: 63 
X 44,5 Cm, GRAMAJE: 125, PRESENTACION: UNIDAD, CERTIFICADO FORESTAL (GFS): 
       MARCA LUMA  
</t>
  </si>
  <si>
    <t xml:space="preserve">28 </t>
  </si>
  <si>
    <t xml:space="preserve">2.9.2-1153.189 </t>
  </si>
  <si>
    <t xml:space="preserve">CINTAS ADHESIVAS; TIPO: EMBALAR, ANCHO: 50 mm, LARGO: 50 M, 
MATERIAL: POLIPROPILENO, ACCESORIO: SIN </t>
  </si>
  <si>
    <t xml:space="preserve">CINTA ADHESIVA P/EMBALAR TRANSPARENTE 50X50MTRS CONDOR  </t>
  </si>
  <si>
    <t xml:space="preserve"> CINTAS ADHESIVAS; TIPO: EMBALAR, ANCHO: 50 mm, LARGO: 50 
M, MATERIAL: POLIPROPILENO, ACCESORIO: SIN </t>
  </si>
  <si>
    <t xml:space="preserve">29 </t>
  </si>
  <si>
    <t xml:space="preserve">2.3.1-6587.298 </t>
  </si>
  <si>
    <t xml:space="preserve">PAPELES ENCUADERNADOS; CANT. DE HOJAS: 100, TAMAÑO: 21 X 16 
Cm, TIPO: CUADERNO, CERTIFICADO FORESTAL (GFS): CON, PORC. FIBRAS RECICLADAS: 
0 %, CERT. FIBRA ALTERNATIVA (FCA): SIN </t>
  </si>
  <si>
    <t xml:space="preserve">CUADERNO TAPA DURA 98HS, 21X16CM LAPRIDA  </t>
  </si>
  <si>
    <t xml:space="preserve">PAPELES ENCUADERNADOS; CANT. DE HOJAS: 100, TAMAÑO: 21 X 16 
Cm, TIPO: CUADERNO, CERTIFICADO FORESTAL (GFS): CON, PORC. FIBRAS RECICLADAS: 
0 %, CERT. FIBRA ALTERNATIVA (FCA): SIN MARCA AVON  
</t>
  </si>
  <si>
    <t xml:space="preserve">30 </t>
  </si>
  <si>
    <t xml:space="preserve">2.9.2-1611.11 </t>
  </si>
  <si>
    <t xml:space="preserve">FOLIOS TRANSPARENTES; TAMAÑO: OFICIO, PERFORACIONES: 5, MATERIAL: POLIPROPILENO </t>
  </si>
  <si>
    <t xml:space="preserve">FOLIOS TRANSPARENTES OFICIO LIGGO </t>
  </si>
  <si>
    <t xml:space="preserve">FOLIOS TRANSPARENTES; TAMAÑO: OFICIO, PERFORACIONES: 5, MATERIAL: POLIPROPILENO MARCA LUMA 
 </t>
  </si>
  <si>
    <t xml:space="preserve">31 </t>
  </si>
  <si>
    <t xml:space="preserve">2.9.2-1611.10 </t>
  </si>
  <si>
    <t xml:space="preserve">FOLIOS TRANSPARENTES; TAMAÑO: A-4, PERFORACIONES: 5, MATERIAL: POLIPROPILENO </t>
  </si>
  <si>
    <t xml:space="preserve">FOLIOS TRANSPARENTES A4 LIGGO </t>
  </si>
  <si>
    <t xml:space="preserve">FOLIOS TRANSPARENTES; TAMAÑO: A-4, PERFORACIONES: 5, MATERIAL: POLIPROPILENO MARCA LUMA 
 </t>
  </si>
  <si>
    <t xml:space="preserve">32 </t>
  </si>
  <si>
    <t xml:space="preserve">LAPICERAS TRAZO GRUESO NEGRA BIC ROUND STIC  </t>
  </si>
  <si>
    <t xml:space="preserve">LAPICERAS ESTILOGRAFICAS; TIPO: TRAZO GRUESO, MATERIAL: PLASTICO Y METAL , 
RECARGABLE: NO MARCA FABER TRILUX  </t>
  </si>
  <si>
    <t xml:space="preserve">LAPICERAS ESTILOGRAFICAS; TIPO: TRAZO GRUESO, MATERIAL: PLASTICO Y METAL , 
RECARGABLE: NO </t>
  </si>
  <si>
    <t xml:space="preserve">33 </t>
  </si>
  <si>
    <t xml:space="preserve">LAPICERAS TRAZO GRUESO AZUL BIC ROUND STIC  </t>
  </si>
  <si>
    <t xml:space="preserve">34 </t>
  </si>
  <si>
    <t xml:space="preserve">LAPICERAS TRAZO GRUESO ROJO BIC ROUNS STIC  </t>
  </si>
  <si>
    <t xml:space="preserve">35 </t>
  </si>
  <si>
    <t xml:space="preserve">2.9.2-323.4 </t>
  </si>
  <si>
    <t xml:space="preserve">CORRECTORES DE ESCRITURA; CAPACIDAD: 7 mL, ENVASE: LAPIZ (PUNTA METAL), 
PRESENTACION: LAPIZ (PUNTA METAL) X 7 mL </t>
  </si>
  <si>
    <t xml:space="preserve">CORRECTOR DE ESCRITURA 7ML EZCO  </t>
  </si>
  <si>
    <t xml:space="preserve">CORRECTORES DE ESCRITURA; CAPACIDAD: 7 mL, ENVASE: LAPIZ (PUNTA METAL), 
PRESENTACION: LAPIZ (PUNTA METAL) X 7 mL MARCA EZCO  
</t>
  </si>
  <si>
    <t xml:space="preserve">CORRECTORES DE ESCRITURA; CAPACIDAD: 7 mL, ENVASE: LAPIZ (PUNTA METAL), 
PRESENTACION: LAPIZ (PUNTA METAL) X 7 mL PIZZINI </t>
  </si>
  <si>
    <t xml:space="preserve">36 </t>
  </si>
  <si>
    <t xml:space="preserve">2.9.2-848.5 </t>
  </si>
  <si>
    <t xml:space="preserve">LAPIZ; TIPO: COMUN NRO 2, COLOR: NEGRO </t>
  </si>
  <si>
    <t xml:space="preserve">LAPIZ NEGRO EZCO MITO HB2 N°2  </t>
  </si>
  <si>
    <t xml:space="preserve">LAPIZ; TIPO: COMUN NRO 2, COLOR: NEGRO MARCA GRAFITO  
</t>
  </si>
  <si>
    <t xml:space="preserve">LAPIZ; TIPO: COMUN NRO 2, COLOR: NEGRO FILGO </t>
  </si>
  <si>
    <t xml:space="preserve">37 </t>
  </si>
  <si>
    <t xml:space="preserve">2.3.1-6587.324 </t>
  </si>
  <si>
    <t xml:space="preserve">PAPELES ENCUADERNADOS; CANT. DE HOJAS: 400, TAMAÑO: 21 X 33 
Cm, TIPO: LIBRO DE ACTAS, CERTIFICADO FORESTAL (GFS): SIN, PORC. 
FIBRAS RECICLADAS: 0 %, CERT. FIBRA ALTERNATIVA (FCA): SIN </t>
  </si>
  <si>
    <t xml:space="preserve">LIBRO DE ACTAS,400HS, 21X33CM, TN CORONA  </t>
  </si>
  <si>
    <t xml:space="preserve">PAPELES ENCUADERNADOS; CANT. DE HOJAS: 400, TAMAÑO: 21 X 33 
Cm, TIPO: LIBRO DE ACTAS, CERTIFICADO FORESTAL (GFS): SIN, PORC. 
FIBRAS RECICLADAS: 0 %, CERT. FIBRA ALTERNATIVA (FCA): SIN MARCA 
POTOSI/CORONA  </t>
  </si>
  <si>
    <t xml:space="preserve">38 </t>
  </si>
  <si>
    <t xml:space="preserve">2.9.2-1616.80 </t>
  </si>
  <si>
    <t xml:space="preserve">MARCADORES; TIPO AL AGUA - TRAZO GRUESO - PUNTA REDONDA 
- RECARGABLE NO </t>
  </si>
  <si>
    <t xml:space="preserve">MARCADOR AL AGUA, TRAZO GRUESO , PUNTA REDONDA, NEGRO TRABI 
420  </t>
  </si>
  <si>
    <t xml:space="preserve">39 </t>
  </si>
  <si>
    <t xml:space="preserve">2.9.2-1616.137 </t>
  </si>
  <si>
    <t xml:space="preserve">MARCADORES; TIPO: INDELEBLE, TRAZO: GRUESO, PUNTA: REDONDA, COLOR: NEGRO, RECARGABLE: 
NO </t>
  </si>
  <si>
    <t xml:space="preserve">MARCADOR INDELEBRE TRAZO GRUESO, NEGRO TRABI 411  </t>
  </si>
  <si>
    <t xml:space="preserve">40 </t>
  </si>
  <si>
    <t xml:space="preserve">2.3.1-6563.968 </t>
  </si>
  <si>
    <t xml:space="preserve">PAPELES EN HOJA; TIPO DE PAPEL: EXTRA BLANCO, DIMENSION: A4, 
GRAMAJE: 80 GR, PRESENTACION: RESMA X 500 HOJAS, CERTIFICADO FORESTAL 
(GFS): SIN, PORC. FIBRAS RECICLADAS: 0 %, CERT. FIBRA ALTERNATIVA 
(FCA): CON </t>
  </si>
  <si>
    <t xml:space="preserve"> PAPELES EN HOJA; TIPO DE PAPEL: EXTRA BLANCO, DIMENSION: 
A4, GRAMAJE: 80 GR, PRESENTACION: RESMA X 500 HOJAS, CERTIFICADO 
FORESTAL (GFS): SIN, PORC. FIBRAS RECICLADAS: 0 %, CERT. FIBRA 
ALTERNATIVA (FCA): CON MARCA AUTOR  </t>
  </si>
  <si>
    <t xml:space="preserve">PAPELES EN HOJA; TIPO DE PAPEL: EXTRA BLANCO, DIMENSION: A4, 
GRAMAJE: 80 GR, PRESENTACION: RESMA X 500 HOJAS, CERTIFICADO FORESTAL 
(GFS): SIN, PORC. FIBRAS RECICLADAS: 0 %, CERT. FIBRA ALTERNATIVA 
(FCA): CON AUTOR </t>
  </si>
  <si>
    <t xml:space="preserve">41 </t>
  </si>
  <si>
    <t xml:space="preserve">2.3.1-6563.1009 </t>
  </si>
  <si>
    <t xml:space="preserve">PAPELES EN HOJA; TIPO DE PAPEL: BLANCO, DIMENSION: OFICIO, GRAMAJE: 
80 GR, PRESENTACION: ENVASE X 500 HOJAS, CERTIFICADO FORESTAL (GFS): 
SIN, PORC. FIBRAS RECICLADAS: 0 %, CERT. FIBRA ALTERNATIVA (FCA): 
SIN </t>
  </si>
  <si>
    <t xml:space="preserve">PAPELES EN HOJA; TIPO DE PAPEL: BLANCO, DIMENSION: OFICIO, GRAMAJE: 
80 GR, PRESENTACION: ENVASE X 500 HOJAS, CERTIFICADO FORESTAL (GFS): 
SIN, PORC. FIBRAS RECICLADAS: 0 %, CERT. FIBRA ALTERNATIVA (FCA): 
SIN MARCA AUTOR  </t>
  </si>
  <si>
    <t xml:space="preserve">42 </t>
  </si>
  <si>
    <t xml:space="preserve">2.9.2-660.4 </t>
  </si>
  <si>
    <t xml:space="preserve">CLIPS P/PAPEL; MATERIAL: METAL, NUMERO: 4, CANT. X CAJA: 100, 
PRESENTACION: CAJA X 100 </t>
  </si>
  <si>
    <t xml:space="preserve">BROCHE CLIPS N° 4 , X100U SIFAP  </t>
  </si>
  <si>
    <t xml:space="preserve"> CLIPS P/PAPEL; MATERIAL: METAL, NUMERO: 4, CANT. X CAJA: 
100, PRESENTACION: CAJA X 100 MARCA SIFAP  </t>
  </si>
  <si>
    <t xml:space="preserve">CLIPS P/PAPEL; MATERIAL: METAL, NUMERO: 4, CANT. X CAJA: 100, 
PRESENTACION: CAJA X 100 mit </t>
  </si>
  <si>
    <t xml:space="preserve">43 </t>
  </si>
  <si>
    <t xml:space="preserve">2.9.2-858.16 </t>
  </si>
  <si>
    <t xml:space="preserve">PERFORADORAS; TAMAÑO: MEDIANA, N° PERFORACIONES: 2, DIST. ENTRE AGUJ.: SIN 
VALOR, GUIA POSICION PAPEL: SIN VALOR, MATERIAL ESTRUCTURA: MADERA, MATERIAL: 
MADERA </t>
  </si>
  <si>
    <t xml:space="preserve">PERFORADORA MEDIANA N° 2 GRAP PINTADO   </t>
  </si>
  <si>
    <t xml:space="preserve">PERFORADORAS; TAMAÑO: MEDIANA, N° PERFORACIONES: 2, DIST. ENTRE AGUJ.: SIN 
VALOR, GUIA POSICION PAPEL: SIN VALOR, MATERIAL ESTRUCTURA: MADERA, MATERIAL: 
MADERA MARCA MIT  </t>
  </si>
  <si>
    <t xml:space="preserve">PERFORADORAS; TAMAÑO: MEDIANA, N° PERFORACIONES: 2, DIST. ENTRE AGUJ.: SIN 
VALOR, GUIA POSICION PAPEL: SIN VALOR, MATERIAL ESTRUCTURA: MADERA, MATERIAL: 
MADERA ota </t>
  </si>
  <si>
    <t xml:space="preserve">44 </t>
  </si>
  <si>
    <t xml:space="preserve">2.3.1-6590.484 </t>
  </si>
  <si>
    <t xml:space="preserve">SOBRES DE PAPEL; TIPO: MANILA, TAMAÑO: 19 X 24 Cm, 
GRAMAJE: 80 GR/M2, PRESENTACION: UNIDAD UN, CERTIFICADO FORESTAL (GFS): SIN, 
PORC. FIBRAS RECICLADAS: SIN VALOR </t>
  </si>
  <si>
    <t xml:space="preserve">SOBRE DE PAPEL MANILA 19X24CM,80GR, X100U KRAFT MEDORO 2525  
</t>
  </si>
  <si>
    <t xml:space="preserve">SOBRES DE PAPEL; TIPO: MANILA, TAMAÑO: 19 X 24 Cm, 
GRAMAJE: 80 GR/M2, PRESENTACION: UNIDAD UN, CERTIFICADO FORESTAL (GFS): SIN, 
PORC. FIBRAS RECICLADAS: SIN VALOR MARCA ESCUELA  </t>
  </si>
  <si>
    <t xml:space="preserve">45 </t>
  </si>
  <si>
    <t xml:space="preserve">2.3.1-6590.541 </t>
  </si>
  <si>
    <t xml:space="preserve">SOBRES DE PAPEL; TIPO: BOLSA DE PAPEL MANILA, TAMAÑO: 24 
X 30 Cm, GRAMAJE: 80 GR/M2, PRESENTACION: ENVASE X 100 
UN, CERTIFICADO FORESTAL (GFS): SIN, PORC. FIBRAS RECICLADAS: 0 %, 
CERT. FIBRA ALTERNATIVA (FCA): SIN </t>
  </si>
  <si>
    <t xml:space="preserve">SOBRE DE PAPEL MANILA 24X30CM,80GR,X100U KRAFT MEDORO 2527  </t>
  </si>
  <si>
    <t xml:space="preserve"> SOBRES DE PAPEL; TIPO: BOLSA DE PAPEL MANILA, TAMAÑO: 
24 X 30 Cm, GRAMAJE: 80 GR/M2, PRESENTACION: ENVASE X 
100 UN, CERTIFICADO FORESTAL (GFS): SIN, PORC. FIBRAS RECICLADAS: 0 
%, CERT. FIBRA ALTERNATIVA (FCA): SIN MARCA ESCUELA  </t>
  </si>
  <si>
    <t xml:space="preserve">46 </t>
  </si>
  <si>
    <t xml:space="preserve">2.3.1-6590.465 </t>
  </si>
  <si>
    <t xml:space="preserve">SOBRES DE PAPEL; TIPO: BOLSA MANILA, TAMAÑO: 30 X 40 
Cm, GRAMAJE: 90 GR/M2, PRESENTACION: UNIDAD, CERTIFICADO FORESTAL (GFS): SIN, 
PORC. FIBRAS RECICLADAS: 0 % </t>
  </si>
  <si>
    <t xml:space="preserve">SOBRE DE PAPEL MANILA 30X40CM,90GR,KRAFT MEDORO 2530  </t>
  </si>
  <si>
    <t xml:space="preserve"> SOBRES DE PAPEL; TIPO: BOLSA MANILA, TAMAÑO: 30 X 
40 Cm, GRAMAJE: 90 GR/M2, PRESENTACION: UNIDAD, CERTIFICADO FORESTAL (GFS): 
SIN, PORC. FIBRAS RECICLADAS: 0 % MARCA ESCUELA  </t>
  </si>
  <si>
    <t xml:space="preserve">47 </t>
  </si>
  <si>
    <t xml:space="preserve">2.3.1-6590.531 </t>
  </si>
  <si>
    <t xml:space="preserve">SOBRES DE PAPEL; TIPO: MANILA, TAMAÑO: 37 X 45 Cm, 
GRAMAJE: 80 GR/M2, PRESENTACION: ENVASE X 100 UN, CERTIFICADO FORESTAL 
(GFS): SIN, PORC. FIBRAS RECICLADAS: 0 %, CERT. FIBRA ALTERNATIVA 
(FCA): SIN </t>
  </si>
  <si>
    <t xml:space="preserve">SOBRE DE PAPEL MANILA 37X45CM,80GR, X100U, KRAFT MEDORO 2531  
</t>
  </si>
  <si>
    <t xml:space="preserve">48 </t>
  </si>
  <si>
    <t xml:space="preserve">2.3.3-861.325 </t>
  </si>
  <si>
    <t xml:space="preserve">SOBRES C/MEMBRETE; IMPRESION: 1 COLOR, TAMAÑO: 16 X 22 Cm, 
TIPO DE PAPEL: BLANCO, GRAMAJE: 80 GR/M2, CERTIFICADO FORESTAL (GFS): 
SIN, PORC. FIBRAS RECICLADAS: SIN % </t>
  </si>
  <si>
    <t xml:space="preserve">SOBRE CON MEMBRETE, 1 COLOR, 12X23CM, 80GR KRAF MEDORO  
 </t>
  </si>
  <si>
    <t xml:space="preserve">49 </t>
  </si>
  <si>
    <t xml:space="preserve">2.9.2-1450.36 </t>
  </si>
  <si>
    <t xml:space="preserve">TINTAS P/SELLOS; TIPO DE SELLO: DE GOMA, PRESENTACION: ENVASE X 
28 CM3 </t>
  </si>
  <si>
    <t xml:space="preserve">TINTA PARA SELLOS X28CM3 GOMA NEGRA PAGODA  </t>
  </si>
  <si>
    <t xml:space="preserve">TINTAS P/SELLOS; TIPO DE SELLO: DE GOMA, PRESENTACION: ENVASE X 
28 CM3 PAGODA </t>
  </si>
  <si>
    <t xml:space="preserve">50 </t>
  </si>
  <si>
    <t xml:space="preserve">2.9.2-1354.28 </t>
  </si>
  <si>
    <t xml:space="preserve">RESALTADORES; PUNTA: FINA, ACCESORIO: SIN, COLOR: AMARILLO, TIPO PUNTA: FINA 
</t>
  </si>
  <si>
    <t xml:space="preserve">RESALTADOR PUNTA FINA BISELADA AMARILLO EZCO  </t>
  </si>
  <si>
    <t xml:space="preserve">RESALTADORES; PUNTA: FINA, ACCESORIO: SIN, COLOR: AMARILLO, TIPO PUNTA: FINA 
MARCA TRABI  </t>
  </si>
  <si>
    <t xml:space="preserve">51 </t>
  </si>
  <si>
    <t xml:space="preserve">2.9.2-1354.4 </t>
  </si>
  <si>
    <t xml:space="preserve">RESALTADORES; ACCESORIO: CON CLIPS, COLOR: ROJO, PUNTA: 5 (CHANFLEADA) mm, 
TIPO PUNTA: 5 (CHANFLEADA) mm </t>
  </si>
  <si>
    <t xml:space="preserve">RESALTADOR PTA CHANFLEADA  5MM, CON CLIP, ROJO, TRABI PHARAOH 
 </t>
  </si>
  <si>
    <t xml:space="preserve">52 </t>
  </si>
  <si>
    <t xml:space="preserve">2.9.2-661.25 </t>
  </si>
  <si>
    <t xml:space="preserve">GOMAS DE BORRAR; USO: LAPIZ Y TINTA, DIMENSION: 55 X 
17 mm, MATERIAL: CAUCHO, CANT. X CAJA: UNIDAD, PRESENTACION: UNIDAD 
</t>
  </si>
  <si>
    <t xml:space="preserve">GOMA DE BORRAR LAPIZ/TINTA N° 211 55X17MM DOS BANDERAS  
</t>
  </si>
  <si>
    <t xml:space="preserve"> GOMAS DE BORRAR; USO: LAPIZ Y TINTA, DIMENSION: 55 
X 17 mm, MATERIAL: CAUCHO, CANT. X CAJA: UNIDAD, PRESENTACION: 
UNIDAD MARCA FABER CASTELL  </t>
  </si>
  <si>
    <t xml:space="preserve">GOMAS DE BORRAR; USO: LAPIZ Y TINTA, DIMENSION: 55 X 
17 mm, MATERIAL: CAUCHO, CANT. X CAJA: UNIDAD, PRESENTACION: UNIDAD 
MILAN </t>
  </si>
  <si>
    <t xml:space="preserve">53 </t>
  </si>
  <si>
    <t xml:space="preserve">2.9.2-850.201 </t>
  </si>
  <si>
    <t xml:space="preserve">CAJAS DE ARCHIVO; MATERIAL: CARTON, DIMENSION: 45 X 35 X 
25 Cm </t>
  </si>
  <si>
    <t xml:space="preserve">CAJAS DE ARCHIVOS CARTON , 45X35X25CM, MD ALTA KRAFT  
</t>
  </si>
  <si>
    <t xml:space="preserve">54 </t>
  </si>
  <si>
    <t xml:space="preserve">2.9.2-1153.89 </t>
  </si>
  <si>
    <t xml:space="preserve">CINTAS ADHESIVAS; TIPO: TRANSPARENTE, ANCHO: 1,2 Cm, LARGO ROLLO: 50 
M, MATERIAL: POLIPROPILENO, ACCESORIO: SIN, LARGO: 50 M </t>
  </si>
  <si>
    <t xml:space="preserve">CINTA ADHESIVA TRANSPARENTE ,12X60M, CONDOR  </t>
  </si>
  <si>
    <t xml:space="preserve">CINTAS ADHESIVAS; TIPO: TRANSPARENTE, ANCHO: 1,2 Cm, LARGO ROLLO: 50 
M, MATERIAL: POLIPROPILENO, ACCESORIO: SIN, LARGO: 50 M MARCA STIKO 
</t>
  </si>
  <si>
    <t xml:space="preserve">55 </t>
  </si>
  <si>
    <t xml:space="preserve">2.9.2-291.18 </t>
  </si>
  <si>
    <t xml:space="preserve">ALMOHADILLAS P/SELLOS; MEDIDA: 11 X 8 Cm, MATERIAL: METAL </t>
  </si>
  <si>
    <t xml:space="preserve">ALMOHADILLA PARA SELLOS N°2 PAGODA METALICA  </t>
  </si>
  <si>
    <t xml:space="preserve">ALMOHADILLAS P/SELLOS; MEDIDA: 11 X 8 Cm, MATERIAL: METAL MARCA 
STA  </t>
  </si>
  <si>
    <t xml:space="preserve">ALMOHADILLAS P/SELLOS; MEDIDA: 11 X 8 Cm, MATERIAL: METAL PAGODA 
</t>
  </si>
  <si>
    <t xml:space="preserve">56 </t>
  </si>
  <si>
    <t xml:space="preserve">2.3.1-6587.292 </t>
  </si>
  <si>
    <t xml:space="preserve">PAPELES ENCUADERNADOS; CANT. DE HOJAS: 196, TAMAÑO: 21 X 16 
Cm, TIPO: CUADERNO, CERTIFICADO FORESTAL (GFS): SIN, PORC. FIBRAS RECICLADAS: 
0 %, CERT. FIBRA ALTERNATIVA (FCA): SIN </t>
  </si>
  <si>
    <t xml:space="preserve">CUADERNO TAPA DURA 196 HS, 21X16CM LAPRIDA  </t>
  </si>
  <si>
    <t xml:space="preserve">57 </t>
  </si>
  <si>
    <t xml:space="preserve">2.9.2-5042.31 </t>
  </si>
  <si>
    <t xml:space="preserve">TIJERA; USO: P/PAPEL, MATERIAL: ACERO INOXIDABLE, LONG.DE CUERPO: 22 Cm 
</t>
  </si>
  <si>
    <t xml:space="preserve">TIJERA 22CM PIZZINI   </t>
  </si>
  <si>
    <t xml:space="preserve">TIJERA; USO: P/PAPEL, MATERIAL: ACERO INOXIDABLE, LONG.DE CUERPO: 22 Cm 
MARCA MAPED  </t>
  </si>
  <si>
    <t xml:space="preserve">TIJERA; USO: P/PAPEL, MATERIAL: ACERO INOXIDABLE, LONG.DE CUERPO: 22 Cm 
EZCO </t>
  </si>
  <si>
    <t xml:space="preserve">58 </t>
  </si>
  <si>
    <t xml:space="preserve">2.9.2-8819.1 </t>
  </si>
  <si>
    <t xml:space="preserve">DISCO VERSATIL DIGITAL (DVD)  ; CAPACIDAD: 4,7 Gb, TIPO: 
GRABABLE </t>
  </si>
  <si>
    <t xml:space="preserve">DVD, 8X4,7GB, GRABABLE MEMOREX  </t>
  </si>
  <si>
    <t xml:space="preserve">DISCO VERSATIL DIGITAL (DVD) ; CAPACIDAD: 4,7 Gb, TIPO: GRABABLE 
MARCA SONY  </t>
  </si>
  <si>
    <t xml:space="preserve">59 </t>
  </si>
  <si>
    <t xml:space="preserve">2.9.2-1620.1 </t>
  </si>
  <si>
    <t xml:space="preserve">DISCO COMPACTO; TIPO: VIRGEN, CAPACIDAD: 700 MB </t>
  </si>
  <si>
    <t xml:space="preserve">CD VIRGEN 80M 700MB MEMOREX  </t>
  </si>
  <si>
    <t xml:space="preserve">60 </t>
  </si>
  <si>
    <t xml:space="preserve">2.3.1-6590.432 </t>
  </si>
  <si>
    <t xml:space="preserve">SOBRES DE PAPEL; TIPO: P/DISCO COMPACTO, TAMAÑO: 12,7 X 12,7 
Cm, GRAMAJE: 80 GR/M2, PRESENTACION: UNIDAD, CERTIFICADO FORESTAL (GFS): SIN 
</t>
  </si>
  <si>
    <t xml:space="preserve">SOBRE DE PAPEL PARA DISCOS , S/VENTANA, 13X13CM, 1105 OBRA 
 </t>
  </si>
  <si>
    <t xml:space="preserve"> SOBRES DE PAPEL; TIPO: P/DISCO COMPACTO, TAMAÑO: 12,7 X 
12,7 Cm, GRAMAJE: 80 GR/M2, PRESENTACION: UNIDAD, CERTIFICADO FORESTAL (GFS): 
SIN MARCA MEDORO  </t>
  </si>
  <si>
    <t xml:space="preserve">Total: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</si>
</sst>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 #,##0.00"/>
    <numFmt numFmtId="165" formatCode="\$\ #,##0.00"/>
  </numFmts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2ADD0"/>
        <bgColor rgb="FFA2ADD0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6">
    <xf numFmtId="0" fontId="0" fillId="0" borderId="0" xfId="0" applyNumberFormat="1" applyFill="1" applyAlignment="1" applyProtection="1"/>
    <xf numFmtId="0" fontId="1" fillId="2" borderId="0" xfId="0" applyNumberFormat="1" applyFont="1" applyFill="1" applyAlignment="1" applyProtection="1">
      <alignment horizontal="center"/>
    </xf>
    <xf numFmtId="0" fontId="1" fillId="2" borderId="0" xfId="0" applyNumberFormat="1" applyFont="1" applyFill="1" applyAlignment="1" applyProtection="1">
      <alignment horizontal="left"/>
    </xf>
    <xf numFmtId="164" fontId="0" fillId="0" borderId="0" xfId="0" applyNumberFormat="1" applyFill="1" applyAlignment="1" applyProtection="1"/>
    <xf numFmtId="0" fontId="0" fillId="0" borderId="0" xfId="0" applyNumberFormat="1" applyFill="1" applyAlignment="1" applyProtection="1">
      <alignment wrapText="1"/>
    </xf>
    <xf numFmtId="165" fontId="0" fillId="0" borderId="0" xfId="0" applyNumberFormat="1" applyFill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9:F70" totalsRowCount="1">
  <tableColumns count="6">
    <tableColumn id="1" xr3:uid="{00000000-0010-0000-0000-000001000000}" name="Renglón"/>
    <tableColumn id="2" xr3:uid="{00000000-0010-0000-0000-000002000000}" name="Alternativa"/>
    <tableColumn id="3" xr3:uid="{00000000-0010-0000-0000-000003000000}" name="Código" totalsRowLabel="Total: "/>
    <tableColumn id="4" xr3:uid="{00000000-0010-0000-0000-000004000000}" name="Descripción"/>
    <tableColumn id="5" xr3:uid="{00000000-0010-0000-0000-000005000000}" name="Cantidad solicitada"/>
    <tableColumn id="6" xr3:uid="{00000000-0010-0000-0000-000006000000}" name="Unidad de medida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G9:J70" totalsRowCount="1">
  <tableColumns count="4">
    <tableColumn id="1" xr3:uid="{00000000-0010-0000-0100-000001000000}" name="Precio unitario"/>
    <tableColumn id="2" xr3:uid="{00000000-0010-0000-0100-000002000000}" name="Cantidad ofertada"/>
    <tableColumn id="3" xr3:uid="{00000000-0010-0000-0100-000003000000}" name="Total por renglón" totalsRowFunction="sum"/>
    <tableColumn id="4" xr3:uid="{00000000-0010-0000-0100-000004000000}" name="Especificacion técnica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3" displayName="Table3" ref="K9:N70" totalsRowCount="1">
  <tableColumns count="4">
    <tableColumn id="1" xr3:uid="{00000000-0010-0000-0200-000001000000}" name="Precio unitario"/>
    <tableColumn id="2" xr3:uid="{00000000-0010-0000-0200-000002000000}" name="Cantidad ofertada"/>
    <tableColumn id="3" xr3:uid="{00000000-0010-0000-0200-000003000000}" name="Total por renglón" totalsRowFunction="sum"/>
    <tableColumn id="4" xr3:uid="{00000000-0010-0000-0200-000004000000}" name="Especificacion técnica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4" displayName="Table4" ref="O9:R70" totalsRowCount="1">
  <tableColumns count="4">
    <tableColumn id="1" xr3:uid="{00000000-0010-0000-0300-000001000000}" name="Precio unitario"/>
    <tableColumn id="2" xr3:uid="{00000000-0010-0000-0300-000002000000}" name="Cantidad ofertada"/>
    <tableColumn id="3" xr3:uid="{00000000-0010-0000-0300-000003000000}" name="Total por renglón" totalsRowFunction="sum"/>
    <tableColumn id="4" xr3:uid="{00000000-0010-0000-0300-000004000000}" name="Especificacion técnic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0"/>
  <sheetViews>
    <sheetView tabSelected="1" workbookViewId="0">
      <pane xSplit="3" ySplit="9" topLeftCell="D10" activePane="bottomRight" state="frozenSplit"/>
      <selection pane="topRight"/>
      <selection pane="bottomLeft"/>
      <selection pane="bottomRight" activeCell="D14" sqref="D14"/>
    </sheetView>
  </sheetViews>
  <sheetFormatPr baseColWidth="10" defaultColWidth="9.140625" defaultRowHeight="15" x14ac:dyDescent="0.25"/>
  <cols>
    <col min="1" max="1" width="8.85546875" customWidth="1"/>
    <col min="2" max="2" width="11.28515625" customWidth="1"/>
    <col min="3" max="3" width="15.7109375" customWidth="1"/>
    <col min="4" max="4" width="100.28515625" customWidth="1"/>
    <col min="5" max="5" width="67" customWidth="1"/>
    <col min="6" max="6" width="17.42578125" customWidth="1"/>
    <col min="7" max="7" width="14.28515625" customWidth="1"/>
    <col min="8" max="8" width="17.28515625" customWidth="1"/>
    <col min="9" max="9" width="16.5703125" customWidth="1"/>
    <col min="10" max="10" width="64.42578125" customWidth="1"/>
    <col min="11" max="11" width="14.28515625" customWidth="1"/>
    <col min="12" max="12" width="17.28515625" customWidth="1"/>
    <col min="13" max="13" width="16.5703125" customWidth="1"/>
    <col min="14" max="14" width="100.28515625" customWidth="1"/>
    <col min="15" max="15" width="14.28515625" customWidth="1"/>
    <col min="16" max="16" width="17.28515625" customWidth="1"/>
    <col min="17" max="17" width="16.5703125" customWidth="1"/>
    <col min="18" max="18" width="97.28515625" customWidth="1"/>
  </cols>
  <sheetData>
    <row r="1" spans="1:18" x14ac:dyDescent="0.25">
      <c r="D1" s="2" t="s">
        <v>0</v>
      </c>
      <c r="E1" s="2" t="s">
        <v>1</v>
      </c>
    </row>
    <row r="2" spans="1:18" x14ac:dyDescent="0.25">
      <c r="D2" s="2" t="s">
        <v>2</v>
      </c>
      <c r="E2" s="2" t="s">
        <v>3</v>
      </c>
    </row>
    <row r="3" spans="1:18" x14ac:dyDescent="0.25">
      <c r="D3" s="2" t="s">
        <v>4</v>
      </c>
      <c r="E3" s="2" t="s">
        <v>5</v>
      </c>
    </row>
    <row r="4" spans="1:18" x14ac:dyDescent="0.25">
      <c r="D4" s="2" t="s">
        <v>6</v>
      </c>
      <c r="E4" s="2" t="s">
        <v>7</v>
      </c>
    </row>
    <row r="5" spans="1:18" x14ac:dyDescent="0.25">
      <c r="D5" s="2" t="s">
        <v>8</v>
      </c>
      <c r="E5" s="2" t="s">
        <v>9</v>
      </c>
    </row>
    <row r="8" spans="1:18" x14ac:dyDescent="0.25">
      <c r="A8" s="1" t="s">
        <v>10</v>
      </c>
      <c r="B8" s="1"/>
      <c r="C8" s="1"/>
      <c r="D8" s="1"/>
      <c r="E8" s="1"/>
      <c r="F8" s="1"/>
      <c r="G8" s="1" t="s">
        <v>11</v>
      </c>
      <c r="H8" s="1"/>
      <c r="I8" s="1"/>
      <c r="J8" s="1"/>
      <c r="K8" s="1" t="s">
        <v>12</v>
      </c>
      <c r="L8" s="1"/>
      <c r="M8" s="1"/>
      <c r="N8" s="1"/>
      <c r="O8" s="1" t="s">
        <v>13</v>
      </c>
      <c r="P8" s="1"/>
      <c r="Q8" s="1"/>
      <c r="R8" s="1"/>
    </row>
    <row r="9" spans="1:18" x14ac:dyDescent="0.25">
      <c r="A9" t="s">
        <v>10</v>
      </c>
      <c r="B9" t="s">
        <v>14</v>
      </c>
      <c r="C9" t="s">
        <v>15</v>
      </c>
      <c r="D9" t="s">
        <v>16</v>
      </c>
      <c r="E9" t="s">
        <v>17</v>
      </c>
      <c r="F9" t="s">
        <v>18</v>
      </c>
      <c r="G9" s="3" t="s">
        <v>19</v>
      </c>
      <c r="H9" s="3" t="s">
        <v>20</v>
      </c>
      <c r="I9" t="s">
        <v>21</v>
      </c>
      <c r="J9" t="s">
        <v>22</v>
      </c>
      <c r="K9" s="3" t="s">
        <v>19</v>
      </c>
      <c r="L9" s="3" t="s">
        <v>20</v>
      </c>
      <c r="M9" t="s">
        <v>21</v>
      </c>
      <c r="N9" t="s">
        <v>22</v>
      </c>
      <c r="O9" s="3" t="s">
        <v>19</v>
      </c>
      <c r="P9" s="3" t="s">
        <v>20</v>
      </c>
      <c r="Q9" t="s">
        <v>21</v>
      </c>
      <c r="R9" t="s">
        <v>22</v>
      </c>
    </row>
    <row r="10" spans="1:18" ht="45" x14ac:dyDescent="0.25">
      <c r="A10" t="s">
        <v>23</v>
      </c>
      <c r="B10" t="s">
        <v>23</v>
      </c>
      <c r="C10" t="s">
        <v>24</v>
      </c>
      <c r="D10" s="4" t="s">
        <v>25</v>
      </c>
      <c r="E10">
        <v>100</v>
      </c>
      <c r="F10" t="s">
        <v>26</v>
      </c>
      <c r="G10" s="3">
        <v>1018</v>
      </c>
      <c r="H10" s="3">
        <v>100</v>
      </c>
      <c r="I10" s="5">
        <v>101800</v>
      </c>
      <c r="J10" t="s">
        <v>27</v>
      </c>
      <c r="K10" s="3">
        <v>860</v>
      </c>
      <c r="L10" s="3">
        <v>100</v>
      </c>
      <c r="M10" s="5">
        <v>86000</v>
      </c>
      <c r="N10" s="4" t="s">
        <v>28</v>
      </c>
      <c r="O10" s="3">
        <v>1400</v>
      </c>
      <c r="P10" s="3">
        <v>100</v>
      </c>
      <c r="Q10" s="5">
        <v>140000</v>
      </c>
      <c r="R10" t="s">
        <v>29</v>
      </c>
    </row>
    <row r="11" spans="1:18" ht="30" x14ac:dyDescent="0.25">
      <c r="A11" t="s">
        <v>30</v>
      </c>
      <c r="B11" t="s">
        <v>23</v>
      </c>
      <c r="C11" t="s">
        <v>31</v>
      </c>
      <c r="D11" s="4" t="s">
        <v>32</v>
      </c>
      <c r="E11">
        <v>500</v>
      </c>
      <c r="F11" t="s">
        <v>26</v>
      </c>
      <c r="G11" s="3">
        <v>34</v>
      </c>
      <c r="H11" s="3">
        <v>500</v>
      </c>
      <c r="I11" s="5">
        <v>17000</v>
      </c>
      <c r="J11" t="s">
        <v>33</v>
      </c>
      <c r="K11" s="3">
        <v>291.86</v>
      </c>
      <c r="L11" s="3">
        <v>500</v>
      </c>
      <c r="M11" s="5">
        <v>145930</v>
      </c>
      <c r="N11" s="4" t="s">
        <v>34</v>
      </c>
      <c r="O11" s="3">
        <v>50</v>
      </c>
      <c r="P11" s="3">
        <v>500</v>
      </c>
      <c r="Q11" s="5">
        <v>25000</v>
      </c>
      <c r="R11" t="s">
        <v>33</v>
      </c>
    </row>
    <row r="12" spans="1:18" ht="30" x14ac:dyDescent="0.25">
      <c r="A12" t="s">
        <v>35</v>
      </c>
      <c r="B12" t="s">
        <v>23</v>
      </c>
      <c r="C12" t="s">
        <v>36</v>
      </c>
      <c r="D12" t="s">
        <v>37</v>
      </c>
      <c r="E12">
        <v>300</v>
      </c>
      <c r="F12" t="s">
        <v>26</v>
      </c>
      <c r="G12" s="3">
        <v>18</v>
      </c>
      <c r="H12" s="3">
        <v>300</v>
      </c>
      <c r="I12" s="5">
        <v>5400</v>
      </c>
      <c r="J12" t="s">
        <v>38</v>
      </c>
      <c r="K12" s="3">
        <v>15</v>
      </c>
      <c r="L12" s="3">
        <v>300</v>
      </c>
      <c r="M12" s="5">
        <v>4500</v>
      </c>
      <c r="N12" s="4" t="s">
        <v>39</v>
      </c>
      <c r="O12" s="3">
        <v>30</v>
      </c>
      <c r="P12" s="3">
        <v>300</v>
      </c>
      <c r="Q12" s="5">
        <v>9000</v>
      </c>
      <c r="R12" t="s">
        <v>40</v>
      </c>
    </row>
    <row r="13" spans="1:18" ht="60" x14ac:dyDescent="0.25">
      <c r="A13" t="s">
        <v>41</v>
      </c>
      <c r="B13" t="s">
        <v>23</v>
      </c>
      <c r="C13" t="s">
        <v>42</v>
      </c>
      <c r="D13" s="4" t="s">
        <v>43</v>
      </c>
      <c r="E13">
        <v>100</v>
      </c>
      <c r="F13" t="s">
        <v>26</v>
      </c>
      <c r="G13" s="3">
        <v>1362.5</v>
      </c>
      <c r="H13" s="3">
        <v>100</v>
      </c>
      <c r="I13" s="5">
        <v>136250</v>
      </c>
      <c r="J13" t="s">
        <v>44</v>
      </c>
      <c r="K13" s="3">
        <v>999</v>
      </c>
      <c r="L13" s="3">
        <v>100</v>
      </c>
      <c r="M13" s="5">
        <v>99900</v>
      </c>
      <c r="N13" s="4" t="s">
        <v>45</v>
      </c>
      <c r="O13" s="3">
        <v>1600</v>
      </c>
      <c r="P13" s="3">
        <v>100</v>
      </c>
      <c r="Q13" s="5">
        <v>160000</v>
      </c>
      <c r="R13" t="s">
        <v>46</v>
      </c>
    </row>
    <row r="14" spans="1:18" ht="45" x14ac:dyDescent="0.25">
      <c r="A14" t="s">
        <v>47</v>
      </c>
      <c r="B14" t="s">
        <v>23</v>
      </c>
      <c r="C14" t="s">
        <v>48</v>
      </c>
      <c r="D14" s="4" t="s">
        <v>49</v>
      </c>
      <c r="E14">
        <v>200</v>
      </c>
      <c r="F14" t="s">
        <v>26</v>
      </c>
      <c r="G14" s="3">
        <v>113</v>
      </c>
      <c r="H14" s="3">
        <v>200</v>
      </c>
      <c r="I14" s="5">
        <v>22600</v>
      </c>
      <c r="J14" t="s">
        <v>50</v>
      </c>
      <c r="K14" s="3">
        <v>70.94</v>
      </c>
      <c r="L14" s="3">
        <v>200</v>
      </c>
      <c r="M14" s="5">
        <v>14188</v>
      </c>
      <c r="N14" s="4" t="s">
        <v>51</v>
      </c>
      <c r="O14" s="3">
        <v>130</v>
      </c>
      <c r="P14" s="3">
        <v>200</v>
      </c>
      <c r="Q14" s="5">
        <v>26000</v>
      </c>
      <c r="R14" t="s">
        <v>52</v>
      </c>
    </row>
    <row r="15" spans="1:18" ht="30" x14ac:dyDescent="0.25">
      <c r="A15" t="s">
        <v>53</v>
      </c>
      <c r="B15" t="s">
        <v>23</v>
      </c>
      <c r="C15" t="s">
        <v>54</v>
      </c>
      <c r="D15" s="4" t="s">
        <v>55</v>
      </c>
      <c r="E15">
        <v>20</v>
      </c>
      <c r="F15" t="s">
        <v>26</v>
      </c>
      <c r="G15" s="3">
        <v>3504</v>
      </c>
      <c r="H15" s="3">
        <v>20</v>
      </c>
      <c r="I15" s="5">
        <v>70080</v>
      </c>
      <c r="J15" t="s">
        <v>56</v>
      </c>
      <c r="K15" s="3">
        <v>3062.14</v>
      </c>
      <c r="L15" s="3">
        <v>20</v>
      </c>
      <c r="M15" s="5">
        <v>61242.8</v>
      </c>
      <c r="N15" s="4" t="s">
        <v>57</v>
      </c>
      <c r="O15" s="3">
        <v>4000</v>
      </c>
      <c r="P15" s="3">
        <v>20</v>
      </c>
      <c r="Q15" s="5">
        <v>80000</v>
      </c>
      <c r="R15" s="4" t="s">
        <v>58</v>
      </c>
    </row>
    <row r="16" spans="1:18" ht="30" x14ac:dyDescent="0.25">
      <c r="A16" t="s">
        <v>59</v>
      </c>
      <c r="B16" t="s">
        <v>23</v>
      </c>
      <c r="C16" t="s">
        <v>60</v>
      </c>
      <c r="D16" t="s">
        <v>61</v>
      </c>
      <c r="E16">
        <v>250</v>
      </c>
      <c r="F16" t="s">
        <v>26</v>
      </c>
      <c r="G16" s="3">
        <v>93</v>
      </c>
      <c r="H16" s="3">
        <v>250</v>
      </c>
      <c r="I16" s="5">
        <v>23250</v>
      </c>
      <c r="J16" t="s">
        <v>62</v>
      </c>
      <c r="K16" s="3">
        <v>69.5</v>
      </c>
      <c r="L16" s="3">
        <v>250</v>
      </c>
      <c r="M16" s="5">
        <v>17375</v>
      </c>
      <c r="N16" s="4" t="s">
        <v>63</v>
      </c>
      <c r="O16" s="3">
        <v>110</v>
      </c>
      <c r="P16" s="3">
        <v>250</v>
      </c>
      <c r="Q16" s="5">
        <v>27500</v>
      </c>
      <c r="R16" t="s">
        <v>64</v>
      </c>
    </row>
    <row r="17" spans="1:18" ht="45" x14ac:dyDescent="0.25">
      <c r="A17" t="s">
        <v>65</v>
      </c>
      <c r="B17" t="s">
        <v>23</v>
      </c>
      <c r="C17" t="s">
        <v>66</v>
      </c>
      <c r="D17" s="4" t="s">
        <v>67</v>
      </c>
      <c r="E17">
        <v>600</v>
      </c>
      <c r="F17" t="s">
        <v>26</v>
      </c>
      <c r="G17" s="3">
        <v>11.4</v>
      </c>
      <c r="H17" s="3">
        <v>600</v>
      </c>
      <c r="I17" s="5">
        <v>6840</v>
      </c>
      <c r="J17" t="s">
        <v>68</v>
      </c>
      <c r="K17" s="3">
        <v>8.14</v>
      </c>
      <c r="L17" s="3">
        <v>600</v>
      </c>
      <c r="M17" s="5">
        <v>4884</v>
      </c>
      <c r="N17" s="4" t="s">
        <v>69</v>
      </c>
      <c r="O17" s="3">
        <v>21</v>
      </c>
      <c r="P17" s="3">
        <v>600</v>
      </c>
      <c r="Q17" s="5">
        <v>12600</v>
      </c>
      <c r="R17" s="4" t="s">
        <v>70</v>
      </c>
    </row>
    <row r="18" spans="1:18" ht="45" x14ac:dyDescent="0.25">
      <c r="A18" t="s">
        <v>71</v>
      </c>
      <c r="B18" t="s">
        <v>23</v>
      </c>
      <c r="C18" t="s">
        <v>72</v>
      </c>
      <c r="D18" s="4" t="s">
        <v>73</v>
      </c>
      <c r="E18">
        <v>1200</v>
      </c>
      <c r="F18" t="s">
        <v>26</v>
      </c>
      <c r="G18" s="3">
        <v>10.199999999999999</v>
      </c>
      <c r="H18" s="3">
        <v>1200</v>
      </c>
      <c r="I18" s="5">
        <v>12240</v>
      </c>
      <c r="J18" t="s">
        <v>74</v>
      </c>
      <c r="K18" s="3">
        <v>6.8</v>
      </c>
      <c r="L18" s="3">
        <v>1200</v>
      </c>
      <c r="M18" s="5">
        <v>8160</v>
      </c>
      <c r="N18" s="4" t="s">
        <v>75</v>
      </c>
      <c r="O18" s="3">
        <v>18</v>
      </c>
      <c r="P18" s="3">
        <v>1200</v>
      </c>
      <c r="Q18" s="5">
        <v>21600</v>
      </c>
      <c r="R18" s="4" t="s">
        <v>76</v>
      </c>
    </row>
    <row r="19" spans="1:18" ht="30" x14ac:dyDescent="0.25">
      <c r="A19" t="s">
        <v>77</v>
      </c>
      <c r="B19" t="s">
        <v>23</v>
      </c>
      <c r="C19" t="s">
        <v>78</v>
      </c>
      <c r="D19" s="4" t="s">
        <v>79</v>
      </c>
      <c r="E19">
        <v>250</v>
      </c>
      <c r="F19" t="s">
        <v>26</v>
      </c>
      <c r="G19" s="3">
        <v>300</v>
      </c>
      <c r="H19" s="3">
        <v>250</v>
      </c>
      <c r="I19" s="5">
        <v>75000</v>
      </c>
      <c r="J19" t="s">
        <v>80</v>
      </c>
      <c r="K19" s="3">
        <v>288.98</v>
      </c>
      <c r="L19" s="3">
        <v>250</v>
      </c>
      <c r="M19" s="5">
        <v>72245</v>
      </c>
      <c r="N19" s="4" t="s">
        <v>81</v>
      </c>
      <c r="O19" s="3">
        <v>260</v>
      </c>
      <c r="P19" s="3">
        <v>250</v>
      </c>
      <c r="Q19" s="5">
        <v>65000</v>
      </c>
      <c r="R19" s="4" t="s">
        <v>82</v>
      </c>
    </row>
    <row r="20" spans="1:18" ht="30" x14ac:dyDescent="0.25">
      <c r="A20" t="s">
        <v>83</v>
      </c>
      <c r="B20" t="s">
        <v>23</v>
      </c>
      <c r="C20" t="s">
        <v>84</v>
      </c>
      <c r="D20" s="4" t="s">
        <v>85</v>
      </c>
      <c r="E20">
        <v>30</v>
      </c>
      <c r="F20" t="s">
        <v>26</v>
      </c>
      <c r="G20" s="3">
        <v>253</v>
      </c>
      <c r="H20" s="3">
        <v>30</v>
      </c>
      <c r="I20" s="5">
        <v>7590</v>
      </c>
      <c r="J20" t="s">
        <v>86</v>
      </c>
      <c r="K20" s="3">
        <v>132.6</v>
      </c>
      <c r="L20" s="3">
        <v>30</v>
      </c>
      <c r="M20" s="5">
        <v>3978</v>
      </c>
      <c r="N20" s="4" t="s">
        <v>87</v>
      </c>
      <c r="O20" s="3">
        <v>335</v>
      </c>
      <c r="P20" s="3">
        <v>30</v>
      </c>
      <c r="Q20" s="5">
        <v>10050</v>
      </c>
      <c r="R20" s="4" t="s">
        <v>88</v>
      </c>
    </row>
    <row r="21" spans="1:18" ht="30" x14ac:dyDescent="0.25">
      <c r="A21" t="s">
        <v>89</v>
      </c>
      <c r="B21" t="s">
        <v>23</v>
      </c>
      <c r="C21" t="s">
        <v>90</v>
      </c>
      <c r="D21" s="4" t="s">
        <v>91</v>
      </c>
      <c r="E21">
        <v>100</v>
      </c>
      <c r="F21" t="s">
        <v>26</v>
      </c>
      <c r="G21" s="3">
        <v>105</v>
      </c>
      <c r="H21" s="3">
        <v>100</v>
      </c>
      <c r="I21" s="5">
        <v>10500</v>
      </c>
      <c r="J21" t="s">
        <v>92</v>
      </c>
      <c r="K21" s="3">
        <v>90.22</v>
      </c>
      <c r="L21" s="3">
        <v>100</v>
      </c>
      <c r="M21" s="5">
        <v>9022</v>
      </c>
      <c r="N21" s="4" t="s">
        <v>93</v>
      </c>
      <c r="O21" s="3">
        <v>200</v>
      </c>
      <c r="P21" s="3">
        <v>100</v>
      </c>
      <c r="Q21" s="5">
        <v>20000</v>
      </c>
      <c r="R21" s="4" t="s">
        <v>94</v>
      </c>
    </row>
    <row r="22" spans="1:18" ht="45" x14ac:dyDescent="0.25">
      <c r="A22" t="s">
        <v>95</v>
      </c>
      <c r="B22" t="s">
        <v>23</v>
      </c>
      <c r="C22" t="s">
        <v>96</v>
      </c>
      <c r="D22" s="4" t="s">
        <v>97</v>
      </c>
      <c r="E22">
        <v>100</v>
      </c>
      <c r="F22" t="s">
        <v>26</v>
      </c>
      <c r="G22" s="3">
        <v>188</v>
      </c>
      <c r="H22" s="3">
        <v>100</v>
      </c>
      <c r="I22" s="5">
        <v>18800</v>
      </c>
      <c r="J22" t="s">
        <v>98</v>
      </c>
      <c r="K22" s="3"/>
      <c r="L22" s="3"/>
      <c r="M22" s="5"/>
      <c r="O22" s="3">
        <v>350</v>
      </c>
      <c r="P22" s="3">
        <v>100</v>
      </c>
      <c r="Q22" s="5">
        <v>35000</v>
      </c>
      <c r="R22" s="4" t="s">
        <v>99</v>
      </c>
    </row>
    <row r="23" spans="1:18" ht="45" x14ac:dyDescent="0.25">
      <c r="A23" t="s">
        <v>100</v>
      </c>
      <c r="B23" t="s">
        <v>23</v>
      </c>
      <c r="C23" t="s">
        <v>101</v>
      </c>
      <c r="D23" s="4" t="s">
        <v>102</v>
      </c>
      <c r="E23">
        <v>15</v>
      </c>
      <c r="F23" t="s">
        <v>26</v>
      </c>
      <c r="G23" s="3">
        <v>1440</v>
      </c>
      <c r="H23" s="3">
        <v>15</v>
      </c>
      <c r="I23" s="5">
        <v>21600</v>
      </c>
      <c r="J23" t="s">
        <v>103</v>
      </c>
      <c r="K23" s="3">
        <v>1938.51</v>
      </c>
      <c r="L23" s="3">
        <v>15</v>
      </c>
      <c r="M23" s="5">
        <v>29077.65</v>
      </c>
      <c r="N23" s="4" t="s">
        <v>104</v>
      </c>
      <c r="O23" s="3">
        <v>1900</v>
      </c>
      <c r="P23" s="3">
        <v>15</v>
      </c>
      <c r="Q23" s="5">
        <v>28500</v>
      </c>
      <c r="R23" s="4" t="s">
        <v>105</v>
      </c>
    </row>
    <row r="24" spans="1:18" ht="45" x14ac:dyDescent="0.25">
      <c r="A24" t="s">
        <v>106</v>
      </c>
      <c r="B24" t="s">
        <v>23</v>
      </c>
      <c r="C24" t="s">
        <v>107</v>
      </c>
      <c r="D24" s="4" t="s">
        <v>108</v>
      </c>
      <c r="E24">
        <v>100</v>
      </c>
      <c r="F24" t="s">
        <v>26</v>
      </c>
      <c r="G24" s="3">
        <v>150</v>
      </c>
      <c r="H24" s="3">
        <v>100</v>
      </c>
      <c r="I24" s="5">
        <v>15000</v>
      </c>
      <c r="J24" t="s">
        <v>109</v>
      </c>
      <c r="K24" s="3">
        <v>114.31</v>
      </c>
      <c r="L24" s="3">
        <v>100</v>
      </c>
      <c r="M24" s="5">
        <v>11431</v>
      </c>
      <c r="N24" s="4" t="s">
        <v>110</v>
      </c>
      <c r="O24" s="3">
        <v>350</v>
      </c>
      <c r="P24" s="3">
        <v>100</v>
      </c>
      <c r="Q24" s="5">
        <v>35000</v>
      </c>
      <c r="R24" s="4" t="s">
        <v>111</v>
      </c>
    </row>
    <row r="25" spans="1:18" ht="45" x14ac:dyDescent="0.25">
      <c r="A25" t="s">
        <v>112</v>
      </c>
      <c r="B25" t="s">
        <v>23</v>
      </c>
      <c r="C25" t="s">
        <v>113</v>
      </c>
      <c r="D25" s="4" t="s">
        <v>114</v>
      </c>
      <c r="E25">
        <v>100</v>
      </c>
      <c r="F25" t="s">
        <v>26</v>
      </c>
      <c r="G25" s="3">
        <v>217.5</v>
      </c>
      <c r="H25" s="3">
        <v>100</v>
      </c>
      <c r="I25" s="5">
        <v>21750</v>
      </c>
      <c r="J25" t="s">
        <v>115</v>
      </c>
      <c r="K25" s="3"/>
      <c r="L25" s="3"/>
      <c r="M25" s="5"/>
      <c r="O25" s="3">
        <v>580</v>
      </c>
      <c r="P25" s="3">
        <v>100</v>
      </c>
      <c r="Q25" s="5">
        <v>58000</v>
      </c>
      <c r="R25" s="4" t="s">
        <v>116</v>
      </c>
    </row>
    <row r="26" spans="1:18" ht="30" x14ac:dyDescent="0.25">
      <c r="A26" t="s">
        <v>117</v>
      </c>
      <c r="B26" t="s">
        <v>23</v>
      </c>
      <c r="C26" t="s">
        <v>118</v>
      </c>
      <c r="D26" t="s">
        <v>119</v>
      </c>
      <c r="E26">
        <v>150</v>
      </c>
      <c r="F26" t="s">
        <v>26</v>
      </c>
      <c r="G26" s="3">
        <v>47</v>
      </c>
      <c r="H26" s="3">
        <v>150</v>
      </c>
      <c r="I26" s="5">
        <v>7050</v>
      </c>
      <c r="J26" t="s">
        <v>120</v>
      </c>
      <c r="K26" s="3">
        <v>30.36</v>
      </c>
      <c r="L26" s="3">
        <v>150</v>
      </c>
      <c r="M26" s="5">
        <v>4554</v>
      </c>
      <c r="N26" s="4" t="s">
        <v>121</v>
      </c>
      <c r="O26" s="3">
        <v>120</v>
      </c>
      <c r="P26" s="3">
        <v>150</v>
      </c>
      <c r="Q26" s="5">
        <v>18000</v>
      </c>
      <c r="R26" t="s">
        <v>122</v>
      </c>
    </row>
    <row r="27" spans="1:18" ht="45" x14ac:dyDescent="0.25">
      <c r="A27" t="s">
        <v>123</v>
      </c>
      <c r="B27" t="s">
        <v>23</v>
      </c>
      <c r="C27" t="s">
        <v>124</v>
      </c>
      <c r="D27" s="4" t="s">
        <v>125</v>
      </c>
      <c r="E27">
        <v>100</v>
      </c>
      <c r="F27" t="s">
        <v>26</v>
      </c>
      <c r="G27" s="3">
        <v>473</v>
      </c>
      <c r="H27" s="3">
        <v>100</v>
      </c>
      <c r="I27" s="5">
        <v>47300</v>
      </c>
      <c r="J27" t="s">
        <v>126</v>
      </c>
      <c r="K27" s="3">
        <v>362.25</v>
      </c>
      <c r="L27" s="3">
        <v>100</v>
      </c>
      <c r="M27" s="5">
        <v>36225</v>
      </c>
      <c r="N27" s="4" t="s">
        <v>127</v>
      </c>
      <c r="O27" s="3">
        <v>800</v>
      </c>
      <c r="P27" s="3">
        <v>100</v>
      </c>
      <c r="Q27" s="5">
        <v>80000</v>
      </c>
      <c r="R27" s="4" t="s">
        <v>128</v>
      </c>
    </row>
    <row r="28" spans="1:18" ht="45" x14ac:dyDescent="0.25">
      <c r="A28" t="s">
        <v>129</v>
      </c>
      <c r="B28" t="s">
        <v>23</v>
      </c>
      <c r="C28" t="s">
        <v>130</v>
      </c>
      <c r="D28" s="4" t="s">
        <v>131</v>
      </c>
      <c r="E28">
        <v>100</v>
      </c>
      <c r="F28" t="s">
        <v>26</v>
      </c>
      <c r="G28" s="3">
        <v>473</v>
      </c>
      <c r="H28" s="3">
        <v>100</v>
      </c>
      <c r="I28" s="5">
        <v>47300</v>
      </c>
      <c r="J28" t="s">
        <v>132</v>
      </c>
      <c r="K28" s="3">
        <v>362.25</v>
      </c>
      <c r="L28" s="3">
        <v>100</v>
      </c>
      <c r="M28" s="5">
        <v>36225</v>
      </c>
      <c r="N28" s="4" t="s">
        <v>133</v>
      </c>
      <c r="O28" s="3">
        <v>850</v>
      </c>
      <c r="P28" s="3">
        <v>100</v>
      </c>
      <c r="Q28" s="5">
        <v>85000</v>
      </c>
      <c r="R28" s="4" t="s">
        <v>134</v>
      </c>
    </row>
    <row r="29" spans="1:18" ht="30" x14ac:dyDescent="0.25">
      <c r="A29" t="s">
        <v>135</v>
      </c>
      <c r="B29" t="s">
        <v>23</v>
      </c>
      <c r="C29" t="s">
        <v>136</v>
      </c>
      <c r="D29" s="4" t="s">
        <v>137</v>
      </c>
      <c r="E29">
        <v>15</v>
      </c>
      <c r="F29" t="s">
        <v>26</v>
      </c>
      <c r="G29" s="3">
        <v>2639.5</v>
      </c>
      <c r="H29" s="3">
        <v>15</v>
      </c>
      <c r="I29" s="5">
        <v>39592.5</v>
      </c>
      <c r="J29" t="s">
        <v>138</v>
      </c>
      <c r="K29" s="3">
        <v>2490.38</v>
      </c>
      <c r="L29" s="3">
        <v>15</v>
      </c>
      <c r="M29" s="5">
        <v>37355.699999999997</v>
      </c>
      <c r="N29" s="4" t="s">
        <v>139</v>
      </c>
      <c r="O29" s="3">
        <v>4000</v>
      </c>
      <c r="P29" s="3">
        <v>15</v>
      </c>
      <c r="Q29" s="5">
        <v>60000</v>
      </c>
      <c r="R29" s="4" t="s">
        <v>140</v>
      </c>
    </row>
    <row r="30" spans="1:18" ht="30" x14ac:dyDescent="0.25">
      <c r="A30" t="s">
        <v>141</v>
      </c>
      <c r="B30" t="s">
        <v>23</v>
      </c>
      <c r="C30" t="s">
        <v>142</v>
      </c>
      <c r="D30" t="s">
        <v>143</v>
      </c>
      <c r="E30">
        <v>50</v>
      </c>
      <c r="F30" t="s">
        <v>26</v>
      </c>
      <c r="G30" s="3">
        <v>292</v>
      </c>
      <c r="H30" s="3">
        <v>50</v>
      </c>
      <c r="I30" s="5">
        <v>14600</v>
      </c>
      <c r="J30" t="s">
        <v>144</v>
      </c>
      <c r="K30" s="3">
        <v>197.37</v>
      </c>
      <c r="L30" s="3">
        <v>50</v>
      </c>
      <c r="M30" s="5">
        <v>9868.5</v>
      </c>
      <c r="N30" s="4" t="s">
        <v>145</v>
      </c>
      <c r="O30" s="3">
        <v>400</v>
      </c>
      <c r="P30" s="3">
        <v>50</v>
      </c>
      <c r="Q30" s="5">
        <v>20000</v>
      </c>
      <c r="R30" t="s">
        <v>146</v>
      </c>
    </row>
    <row r="31" spans="1:18" ht="30" x14ac:dyDescent="0.25">
      <c r="A31" t="s">
        <v>147</v>
      </c>
      <c r="B31" t="s">
        <v>23</v>
      </c>
      <c r="C31" t="s">
        <v>148</v>
      </c>
      <c r="D31" t="s">
        <v>149</v>
      </c>
      <c r="E31">
        <v>300</v>
      </c>
      <c r="F31" t="s">
        <v>26</v>
      </c>
      <c r="G31" s="3">
        <v>136</v>
      </c>
      <c r="H31" s="3">
        <v>300</v>
      </c>
      <c r="I31" s="5">
        <v>40800</v>
      </c>
      <c r="J31" t="s">
        <v>150</v>
      </c>
      <c r="K31" s="3">
        <v>120.89</v>
      </c>
      <c r="L31" s="3">
        <v>300</v>
      </c>
      <c r="M31" s="5">
        <v>36267</v>
      </c>
      <c r="N31" s="4" t="s">
        <v>151</v>
      </c>
      <c r="O31" s="3">
        <v>300</v>
      </c>
      <c r="P31" s="3">
        <v>300</v>
      </c>
      <c r="Q31" s="5">
        <v>90000</v>
      </c>
      <c r="R31" s="4" t="s">
        <v>152</v>
      </c>
    </row>
    <row r="32" spans="1:18" x14ac:dyDescent="0.25">
      <c r="A32" t="s">
        <v>153</v>
      </c>
      <c r="B32" t="s">
        <v>23</v>
      </c>
      <c r="C32" t="s">
        <v>154</v>
      </c>
      <c r="D32" t="s">
        <v>155</v>
      </c>
      <c r="E32">
        <v>75</v>
      </c>
      <c r="F32" t="s">
        <v>26</v>
      </c>
      <c r="G32" s="3">
        <v>417.5</v>
      </c>
      <c r="H32" s="3">
        <v>75</v>
      </c>
      <c r="I32" s="5">
        <v>31312.5</v>
      </c>
      <c r="J32" t="s">
        <v>156</v>
      </c>
      <c r="K32" s="3">
        <v>249.15</v>
      </c>
      <c r="L32" s="3">
        <v>75</v>
      </c>
      <c r="M32" s="5">
        <v>18686.25</v>
      </c>
      <c r="N32" t="s">
        <v>157</v>
      </c>
      <c r="O32" s="3">
        <v>800</v>
      </c>
      <c r="P32" s="3">
        <v>75</v>
      </c>
      <c r="Q32" s="5">
        <v>60000</v>
      </c>
      <c r="R32" t="s">
        <v>158</v>
      </c>
    </row>
    <row r="33" spans="1:18" ht="45" x14ac:dyDescent="0.25">
      <c r="A33" t="s">
        <v>159</v>
      </c>
      <c r="B33" t="s">
        <v>23</v>
      </c>
      <c r="C33" t="s">
        <v>160</v>
      </c>
      <c r="D33" s="4" t="s">
        <v>161</v>
      </c>
      <c r="E33">
        <v>200</v>
      </c>
      <c r="F33" t="s">
        <v>26</v>
      </c>
      <c r="G33" s="3">
        <v>90</v>
      </c>
      <c r="H33" s="3">
        <v>200</v>
      </c>
      <c r="I33" s="5">
        <v>18000</v>
      </c>
      <c r="J33" t="s">
        <v>162</v>
      </c>
      <c r="K33" s="3">
        <v>24.36</v>
      </c>
      <c r="L33" s="3">
        <v>200</v>
      </c>
      <c r="M33" s="5">
        <v>4872</v>
      </c>
      <c r="N33" s="4" t="s">
        <v>163</v>
      </c>
      <c r="O33" s="3">
        <v>210</v>
      </c>
      <c r="P33" s="3">
        <v>200</v>
      </c>
      <c r="Q33" s="5">
        <v>42000</v>
      </c>
      <c r="R33" s="4" t="s">
        <v>164</v>
      </c>
    </row>
    <row r="34" spans="1:18" ht="30" x14ac:dyDescent="0.25">
      <c r="A34" t="s">
        <v>165</v>
      </c>
      <c r="B34" t="s">
        <v>23</v>
      </c>
      <c r="C34" t="s">
        <v>166</v>
      </c>
      <c r="D34" s="4" t="s">
        <v>167</v>
      </c>
      <c r="E34">
        <v>200</v>
      </c>
      <c r="F34" t="s">
        <v>26</v>
      </c>
      <c r="G34" s="3">
        <v>60</v>
      </c>
      <c r="H34" s="3">
        <v>200</v>
      </c>
      <c r="I34" s="5">
        <v>12000</v>
      </c>
      <c r="J34" t="s">
        <v>168</v>
      </c>
      <c r="K34" s="3">
        <v>30.16</v>
      </c>
      <c r="L34" s="3">
        <v>200</v>
      </c>
      <c r="M34" s="5">
        <v>6032</v>
      </c>
      <c r="N34" s="4" t="s">
        <v>169</v>
      </c>
      <c r="O34" s="3">
        <v>150</v>
      </c>
      <c r="P34" s="3">
        <v>200</v>
      </c>
      <c r="Q34" s="5">
        <v>30000</v>
      </c>
      <c r="R34" s="4" t="s">
        <v>170</v>
      </c>
    </row>
    <row r="35" spans="1:18" ht="45" x14ac:dyDescent="0.25">
      <c r="A35" t="s">
        <v>171</v>
      </c>
      <c r="B35" t="s">
        <v>23</v>
      </c>
      <c r="C35" t="s">
        <v>172</v>
      </c>
      <c r="D35" s="4" t="s">
        <v>173</v>
      </c>
      <c r="E35">
        <v>100</v>
      </c>
      <c r="F35" t="s">
        <v>26</v>
      </c>
      <c r="G35" s="3">
        <v>473</v>
      </c>
      <c r="H35" s="3">
        <v>100</v>
      </c>
      <c r="I35" s="5">
        <v>47300</v>
      </c>
      <c r="J35" t="s">
        <v>174</v>
      </c>
      <c r="K35" s="3">
        <v>541.09</v>
      </c>
      <c r="L35" s="3">
        <v>100</v>
      </c>
      <c r="M35" s="5">
        <v>54109</v>
      </c>
      <c r="N35" s="4" t="s">
        <v>175</v>
      </c>
      <c r="O35" s="3">
        <v>850</v>
      </c>
      <c r="P35" s="3">
        <v>100</v>
      </c>
      <c r="Q35" s="5">
        <v>85000</v>
      </c>
      <c r="R35" s="4" t="s">
        <v>176</v>
      </c>
    </row>
    <row r="36" spans="1:18" ht="135" x14ac:dyDescent="0.25">
      <c r="A36" t="s">
        <v>177</v>
      </c>
      <c r="B36" t="s">
        <v>23</v>
      </c>
      <c r="C36" t="s">
        <v>178</v>
      </c>
      <c r="D36" s="4" t="s">
        <v>179</v>
      </c>
      <c r="E36">
        <v>3000</v>
      </c>
      <c r="F36" t="s">
        <v>26</v>
      </c>
      <c r="G36" s="3">
        <v>50</v>
      </c>
      <c r="H36" s="3">
        <v>3000</v>
      </c>
      <c r="I36" s="5">
        <v>150000</v>
      </c>
      <c r="J36" t="s">
        <v>180</v>
      </c>
      <c r="K36" s="3">
        <v>33.83</v>
      </c>
      <c r="L36" s="3">
        <v>3000</v>
      </c>
      <c r="M36" s="5">
        <v>101490</v>
      </c>
      <c r="N36" s="4" t="s">
        <v>181</v>
      </c>
      <c r="O36" s="3">
        <v>70</v>
      </c>
      <c r="P36" s="3">
        <v>3000</v>
      </c>
      <c r="Q36" s="5">
        <v>210000</v>
      </c>
      <c r="R36" s="4" t="s">
        <v>179</v>
      </c>
    </row>
    <row r="37" spans="1:18" ht="30" x14ac:dyDescent="0.25">
      <c r="A37" t="s">
        <v>182</v>
      </c>
      <c r="B37" t="s">
        <v>23</v>
      </c>
      <c r="C37" t="s">
        <v>183</v>
      </c>
      <c r="D37" s="4" t="s">
        <v>184</v>
      </c>
      <c r="E37">
        <v>150</v>
      </c>
      <c r="F37" t="s">
        <v>26</v>
      </c>
      <c r="G37" s="3">
        <v>210.5</v>
      </c>
      <c r="H37" s="3">
        <v>150</v>
      </c>
      <c r="I37" s="5">
        <v>31575</v>
      </c>
      <c r="J37" t="s">
        <v>185</v>
      </c>
      <c r="K37" s="3">
        <v>216.38</v>
      </c>
      <c r="L37" s="3">
        <v>150</v>
      </c>
      <c r="M37" s="5">
        <v>32457</v>
      </c>
      <c r="N37" s="4" t="s">
        <v>186</v>
      </c>
      <c r="O37" s="3"/>
      <c r="P37" s="3"/>
      <c r="Q37" s="5"/>
    </row>
    <row r="38" spans="1:18" ht="60" x14ac:dyDescent="0.25">
      <c r="A38" t="s">
        <v>187</v>
      </c>
      <c r="B38" t="s">
        <v>23</v>
      </c>
      <c r="C38" t="s">
        <v>188</v>
      </c>
      <c r="D38" s="4" t="s">
        <v>189</v>
      </c>
      <c r="E38">
        <v>100</v>
      </c>
      <c r="F38" t="s">
        <v>26</v>
      </c>
      <c r="G38" s="3">
        <v>800</v>
      </c>
      <c r="H38" s="3">
        <v>100</v>
      </c>
      <c r="I38" s="5">
        <v>80000</v>
      </c>
      <c r="J38" t="s">
        <v>190</v>
      </c>
      <c r="K38" s="3">
        <v>234.96</v>
      </c>
      <c r="L38" s="3">
        <v>100</v>
      </c>
      <c r="M38" s="5">
        <v>23496</v>
      </c>
      <c r="N38" s="4" t="s">
        <v>191</v>
      </c>
      <c r="O38" s="3"/>
      <c r="P38" s="3"/>
      <c r="Q38" s="5"/>
    </row>
    <row r="39" spans="1:18" ht="30" x14ac:dyDescent="0.25">
      <c r="A39" t="s">
        <v>192</v>
      </c>
      <c r="B39" t="s">
        <v>23</v>
      </c>
      <c r="C39" t="s">
        <v>193</v>
      </c>
      <c r="D39" t="s">
        <v>194</v>
      </c>
      <c r="E39">
        <v>300</v>
      </c>
      <c r="F39" t="s">
        <v>26</v>
      </c>
      <c r="G39" s="3">
        <v>11.4</v>
      </c>
      <c r="H39" s="3">
        <v>300</v>
      </c>
      <c r="I39" s="5">
        <v>3420</v>
      </c>
      <c r="J39" t="s">
        <v>195</v>
      </c>
      <c r="K39" s="3">
        <v>8.33</v>
      </c>
      <c r="L39" s="3">
        <v>300</v>
      </c>
      <c r="M39" s="5">
        <v>2499</v>
      </c>
      <c r="N39" s="4" t="s">
        <v>196</v>
      </c>
      <c r="O39" s="3">
        <v>21</v>
      </c>
      <c r="P39" s="3">
        <v>300</v>
      </c>
      <c r="Q39" s="5">
        <v>6300</v>
      </c>
      <c r="R39" t="s">
        <v>194</v>
      </c>
    </row>
    <row r="40" spans="1:18" ht="30" x14ac:dyDescent="0.25">
      <c r="A40" t="s">
        <v>197</v>
      </c>
      <c r="B40" t="s">
        <v>23</v>
      </c>
      <c r="C40" t="s">
        <v>198</v>
      </c>
      <c r="D40" t="s">
        <v>199</v>
      </c>
      <c r="E40">
        <v>300</v>
      </c>
      <c r="F40" t="s">
        <v>26</v>
      </c>
      <c r="G40" s="3">
        <v>10.199999999999999</v>
      </c>
      <c r="H40" s="3">
        <v>300</v>
      </c>
      <c r="I40" s="5">
        <v>3060</v>
      </c>
      <c r="J40" t="s">
        <v>200</v>
      </c>
      <c r="K40" s="3">
        <v>6.8</v>
      </c>
      <c r="L40" s="3">
        <v>300</v>
      </c>
      <c r="M40" s="5">
        <v>2040</v>
      </c>
      <c r="N40" s="4" t="s">
        <v>201</v>
      </c>
      <c r="O40" s="3">
        <v>18</v>
      </c>
      <c r="P40" s="3">
        <v>300</v>
      </c>
      <c r="Q40" s="5">
        <v>5400</v>
      </c>
      <c r="R40" t="s">
        <v>199</v>
      </c>
    </row>
    <row r="41" spans="1:18" ht="30" x14ac:dyDescent="0.25">
      <c r="A41" t="s">
        <v>202</v>
      </c>
      <c r="B41" t="s">
        <v>23</v>
      </c>
      <c r="C41" t="s">
        <v>31</v>
      </c>
      <c r="D41" s="4" t="s">
        <v>32</v>
      </c>
      <c r="E41">
        <v>800</v>
      </c>
      <c r="F41" t="s">
        <v>26</v>
      </c>
      <c r="G41" s="3">
        <v>34</v>
      </c>
      <c r="H41" s="3">
        <v>800</v>
      </c>
      <c r="I41" s="5">
        <v>27200</v>
      </c>
      <c r="J41" t="s">
        <v>203</v>
      </c>
      <c r="K41" s="3">
        <v>42.33</v>
      </c>
      <c r="L41" s="3">
        <v>800</v>
      </c>
      <c r="M41" s="5">
        <v>33864</v>
      </c>
      <c r="N41" s="4" t="s">
        <v>204</v>
      </c>
      <c r="O41" s="3">
        <v>50</v>
      </c>
      <c r="P41" s="3">
        <v>800</v>
      </c>
      <c r="Q41" s="5">
        <v>40000</v>
      </c>
      <c r="R41" s="4" t="s">
        <v>205</v>
      </c>
    </row>
    <row r="42" spans="1:18" ht="30" x14ac:dyDescent="0.25">
      <c r="A42" t="s">
        <v>206</v>
      </c>
      <c r="B42" t="s">
        <v>23</v>
      </c>
      <c r="C42" t="s">
        <v>31</v>
      </c>
      <c r="D42" s="4" t="s">
        <v>32</v>
      </c>
      <c r="E42">
        <v>800</v>
      </c>
      <c r="F42" t="s">
        <v>26</v>
      </c>
      <c r="G42" s="3">
        <v>34</v>
      </c>
      <c r="H42" s="3">
        <v>800</v>
      </c>
      <c r="I42" s="5">
        <v>27200</v>
      </c>
      <c r="J42" t="s">
        <v>207</v>
      </c>
      <c r="K42" s="3">
        <v>42.33</v>
      </c>
      <c r="L42" s="3">
        <v>800</v>
      </c>
      <c r="M42" s="5">
        <v>33864</v>
      </c>
      <c r="N42" s="4" t="s">
        <v>204</v>
      </c>
      <c r="O42" s="3">
        <v>50</v>
      </c>
      <c r="P42" s="3">
        <v>800</v>
      </c>
      <c r="Q42" s="5">
        <v>40000</v>
      </c>
      <c r="R42" s="4" t="s">
        <v>205</v>
      </c>
    </row>
    <row r="43" spans="1:18" ht="30" x14ac:dyDescent="0.25">
      <c r="A43" t="s">
        <v>208</v>
      </c>
      <c r="B43" t="s">
        <v>23</v>
      </c>
      <c r="C43" t="s">
        <v>31</v>
      </c>
      <c r="D43" s="4" t="s">
        <v>32</v>
      </c>
      <c r="E43">
        <v>300</v>
      </c>
      <c r="F43" t="s">
        <v>26</v>
      </c>
      <c r="G43" s="3">
        <v>34</v>
      </c>
      <c r="H43" s="3">
        <v>300</v>
      </c>
      <c r="I43" s="5">
        <v>10200</v>
      </c>
      <c r="J43" t="s">
        <v>209</v>
      </c>
      <c r="K43" s="3">
        <v>42.33</v>
      </c>
      <c r="L43" s="3">
        <v>300</v>
      </c>
      <c r="M43" s="5">
        <v>12699</v>
      </c>
      <c r="N43" s="4" t="s">
        <v>204</v>
      </c>
      <c r="O43" s="3">
        <v>50</v>
      </c>
      <c r="P43" s="3">
        <v>300</v>
      </c>
      <c r="Q43" s="5">
        <v>15000</v>
      </c>
      <c r="R43" s="4" t="s">
        <v>205</v>
      </c>
    </row>
    <row r="44" spans="1:18" ht="45" x14ac:dyDescent="0.25">
      <c r="A44" t="s">
        <v>210</v>
      </c>
      <c r="B44" t="s">
        <v>23</v>
      </c>
      <c r="C44" t="s">
        <v>211</v>
      </c>
      <c r="D44" s="4" t="s">
        <v>212</v>
      </c>
      <c r="E44">
        <v>250</v>
      </c>
      <c r="F44" t="s">
        <v>26</v>
      </c>
      <c r="G44" s="3">
        <v>113</v>
      </c>
      <c r="H44" s="3">
        <v>250</v>
      </c>
      <c r="I44" s="5">
        <v>28250</v>
      </c>
      <c r="J44" t="s">
        <v>213</v>
      </c>
      <c r="K44" s="3">
        <v>70.94</v>
      </c>
      <c r="L44" s="3">
        <v>250</v>
      </c>
      <c r="M44" s="5">
        <v>17735</v>
      </c>
      <c r="N44" s="4" t="s">
        <v>214</v>
      </c>
      <c r="O44" s="3">
        <v>130</v>
      </c>
      <c r="P44" s="3">
        <v>250</v>
      </c>
      <c r="Q44" s="5">
        <v>32500</v>
      </c>
      <c r="R44" s="4" t="s">
        <v>215</v>
      </c>
    </row>
    <row r="45" spans="1:18" ht="30" x14ac:dyDescent="0.25">
      <c r="A45" t="s">
        <v>216</v>
      </c>
      <c r="B45" t="s">
        <v>23</v>
      </c>
      <c r="C45" t="s">
        <v>217</v>
      </c>
      <c r="D45" t="s">
        <v>218</v>
      </c>
      <c r="E45">
        <v>100</v>
      </c>
      <c r="F45" t="s">
        <v>26</v>
      </c>
      <c r="G45" s="3">
        <v>18</v>
      </c>
      <c r="H45" s="3">
        <v>100</v>
      </c>
      <c r="I45" s="5">
        <v>1800</v>
      </c>
      <c r="J45" t="s">
        <v>219</v>
      </c>
      <c r="K45" s="3">
        <v>177.11</v>
      </c>
      <c r="L45" s="3">
        <v>100</v>
      </c>
      <c r="M45" s="5">
        <v>17711</v>
      </c>
      <c r="N45" s="4" t="s">
        <v>220</v>
      </c>
      <c r="O45" s="3">
        <v>35</v>
      </c>
      <c r="P45" s="3">
        <v>100</v>
      </c>
      <c r="Q45" s="5">
        <v>3500</v>
      </c>
      <c r="R45" t="s">
        <v>221</v>
      </c>
    </row>
    <row r="46" spans="1:18" ht="60" x14ac:dyDescent="0.25">
      <c r="A46" t="s">
        <v>222</v>
      </c>
      <c r="B46" t="s">
        <v>23</v>
      </c>
      <c r="C46" t="s">
        <v>223</v>
      </c>
      <c r="D46" s="4" t="s">
        <v>224</v>
      </c>
      <c r="E46">
        <v>30</v>
      </c>
      <c r="F46" t="s">
        <v>26</v>
      </c>
      <c r="G46" s="3">
        <v>1889.5</v>
      </c>
      <c r="H46" s="3">
        <v>30</v>
      </c>
      <c r="I46" s="5">
        <v>56685</v>
      </c>
      <c r="J46" t="s">
        <v>225</v>
      </c>
      <c r="K46" s="3">
        <v>505.5</v>
      </c>
      <c r="L46" s="3">
        <v>30</v>
      </c>
      <c r="M46" s="5">
        <v>15165</v>
      </c>
      <c r="N46" s="4" t="s">
        <v>226</v>
      </c>
      <c r="O46" s="3"/>
      <c r="P46" s="3"/>
      <c r="Q46" s="5"/>
    </row>
    <row r="47" spans="1:18" ht="45" x14ac:dyDescent="0.25">
      <c r="A47" t="s">
        <v>227</v>
      </c>
      <c r="B47" t="s">
        <v>23</v>
      </c>
      <c r="C47" t="s">
        <v>228</v>
      </c>
      <c r="D47" s="4" t="s">
        <v>229</v>
      </c>
      <c r="E47">
        <v>150</v>
      </c>
      <c r="F47" t="s">
        <v>26</v>
      </c>
      <c r="G47" s="3">
        <v>124</v>
      </c>
      <c r="H47" s="3">
        <v>150</v>
      </c>
      <c r="I47" s="5">
        <v>18600</v>
      </c>
      <c r="J47" s="4" t="s">
        <v>230</v>
      </c>
      <c r="K47" s="3"/>
      <c r="L47" s="3"/>
      <c r="M47" s="5"/>
      <c r="O47" s="3"/>
      <c r="P47" s="3"/>
      <c r="Q47" s="5"/>
    </row>
    <row r="48" spans="1:18" ht="30" x14ac:dyDescent="0.25">
      <c r="A48" t="s">
        <v>231</v>
      </c>
      <c r="B48" t="s">
        <v>23</v>
      </c>
      <c r="C48" t="s">
        <v>232</v>
      </c>
      <c r="D48" s="4" t="s">
        <v>233</v>
      </c>
      <c r="E48">
        <v>250</v>
      </c>
      <c r="F48" t="s">
        <v>26</v>
      </c>
      <c r="G48" s="3">
        <v>149.5</v>
      </c>
      <c r="H48" s="3">
        <v>250</v>
      </c>
      <c r="I48" s="5">
        <v>37375</v>
      </c>
      <c r="J48" t="s">
        <v>234</v>
      </c>
      <c r="K48" s="3"/>
      <c r="L48" s="3"/>
      <c r="M48" s="5"/>
      <c r="O48" s="3"/>
      <c r="P48" s="3"/>
      <c r="Q48" s="5"/>
    </row>
    <row r="49" spans="1:18" ht="60" x14ac:dyDescent="0.25">
      <c r="A49" t="s">
        <v>235</v>
      </c>
      <c r="B49" t="s">
        <v>23</v>
      </c>
      <c r="C49" t="s">
        <v>236</v>
      </c>
      <c r="D49" s="4" t="s">
        <v>237</v>
      </c>
      <c r="E49">
        <v>450</v>
      </c>
      <c r="F49" t="s">
        <v>26</v>
      </c>
      <c r="G49" s="3">
        <v>1018</v>
      </c>
      <c r="H49" s="3">
        <v>450</v>
      </c>
      <c r="I49" s="5">
        <v>458100</v>
      </c>
      <c r="J49" t="s">
        <v>27</v>
      </c>
      <c r="K49" s="3">
        <v>860</v>
      </c>
      <c r="L49" s="3">
        <v>450</v>
      </c>
      <c r="M49" s="5">
        <v>387000</v>
      </c>
      <c r="N49" s="4" t="s">
        <v>238</v>
      </c>
      <c r="O49" s="3">
        <v>1400</v>
      </c>
      <c r="P49" s="3">
        <v>450</v>
      </c>
      <c r="Q49" s="5">
        <v>630000</v>
      </c>
      <c r="R49" s="4" t="s">
        <v>239</v>
      </c>
    </row>
    <row r="50" spans="1:18" ht="60" x14ac:dyDescent="0.25">
      <c r="A50" t="s">
        <v>240</v>
      </c>
      <c r="B50" t="s">
        <v>23</v>
      </c>
      <c r="C50" t="s">
        <v>241</v>
      </c>
      <c r="D50" s="4" t="s">
        <v>242</v>
      </c>
      <c r="E50">
        <v>500</v>
      </c>
      <c r="F50" t="s">
        <v>26</v>
      </c>
      <c r="G50" s="3">
        <v>1362.5</v>
      </c>
      <c r="H50" s="3">
        <v>500</v>
      </c>
      <c r="I50" s="5">
        <v>681250</v>
      </c>
      <c r="J50" t="s">
        <v>44</v>
      </c>
      <c r="K50" s="3">
        <v>999</v>
      </c>
      <c r="L50" s="3">
        <v>500</v>
      </c>
      <c r="M50" s="5">
        <v>499500</v>
      </c>
      <c r="N50" s="4" t="s">
        <v>243</v>
      </c>
      <c r="O50" s="3">
        <v>1600</v>
      </c>
      <c r="P50" s="3">
        <v>500</v>
      </c>
      <c r="Q50" s="5">
        <v>800000</v>
      </c>
      <c r="R50" s="4" t="s">
        <v>242</v>
      </c>
    </row>
    <row r="51" spans="1:18" ht="30" x14ac:dyDescent="0.25">
      <c r="A51" t="s">
        <v>244</v>
      </c>
      <c r="B51" t="s">
        <v>23</v>
      </c>
      <c r="C51" t="s">
        <v>245</v>
      </c>
      <c r="D51" s="4" t="s">
        <v>246</v>
      </c>
      <c r="E51">
        <v>30</v>
      </c>
      <c r="F51" t="s">
        <v>26</v>
      </c>
      <c r="G51" s="3">
        <v>90.5</v>
      </c>
      <c r="H51" s="3">
        <v>30</v>
      </c>
      <c r="I51" s="5">
        <v>2715</v>
      </c>
      <c r="J51" t="s">
        <v>247</v>
      </c>
      <c r="K51" s="3">
        <v>58.45</v>
      </c>
      <c r="L51" s="3">
        <v>30</v>
      </c>
      <c r="M51" s="5">
        <v>1753.5</v>
      </c>
      <c r="N51" s="4" t="s">
        <v>248</v>
      </c>
      <c r="O51" s="3">
        <v>150</v>
      </c>
      <c r="P51" s="3">
        <v>30</v>
      </c>
      <c r="Q51" s="5">
        <v>4500</v>
      </c>
      <c r="R51" s="4" t="s">
        <v>249</v>
      </c>
    </row>
    <row r="52" spans="1:18" ht="45" x14ac:dyDescent="0.25">
      <c r="A52" t="s">
        <v>250</v>
      </c>
      <c r="B52" t="s">
        <v>23</v>
      </c>
      <c r="C52" t="s">
        <v>251</v>
      </c>
      <c r="D52" s="4" t="s">
        <v>252</v>
      </c>
      <c r="E52">
        <v>10</v>
      </c>
      <c r="F52" t="s">
        <v>26</v>
      </c>
      <c r="G52" s="3">
        <v>1388</v>
      </c>
      <c r="H52" s="3">
        <v>10</v>
      </c>
      <c r="I52" s="5">
        <v>13880</v>
      </c>
      <c r="J52" t="s">
        <v>253</v>
      </c>
      <c r="K52" s="3">
        <v>2138.4299999999998</v>
      </c>
      <c r="L52" s="3">
        <v>10</v>
      </c>
      <c r="M52" s="5">
        <v>21384.3</v>
      </c>
      <c r="N52" s="4" t="s">
        <v>254</v>
      </c>
      <c r="O52" s="3">
        <v>2500</v>
      </c>
      <c r="P52" s="3">
        <v>10</v>
      </c>
      <c r="Q52" s="5">
        <v>25000</v>
      </c>
      <c r="R52" s="4" t="s">
        <v>255</v>
      </c>
    </row>
    <row r="53" spans="1:18" ht="45" x14ac:dyDescent="0.25">
      <c r="A53" t="s">
        <v>256</v>
      </c>
      <c r="B53" t="s">
        <v>23</v>
      </c>
      <c r="C53" t="s">
        <v>257</v>
      </c>
      <c r="D53" s="4" t="s">
        <v>258</v>
      </c>
      <c r="E53">
        <v>1500</v>
      </c>
      <c r="F53" t="s">
        <v>26</v>
      </c>
      <c r="G53" s="3">
        <v>11.7</v>
      </c>
      <c r="H53" s="3">
        <v>1500</v>
      </c>
      <c r="I53" s="5">
        <v>17550</v>
      </c>
      <c r="J53" s="4" t="s">
        <v>259</v>
      </c>
      <c r="K53" s="3">
        <v>10.199999999999999</v>
      </c>
      <c r="L53" s="3">
        <v>1500</v>
      </c>
      <c r="M53" s="5">
        <v>15300</v>
      </c>
      <c r="N53" s="4" t="s">
        <v>260</v>
      </c>
      <c r="O53" s="3"/>
      <c r="P53" s="3"/>
      <c r="Q53" s="5"/>
    </row>
    <row r="54" spans="1:18" ht="60" x14ac:dyDescent="0.25">
      <c r="A54" t="s">
        <v>261</v>
      </c>
      <c r="B54" t="s">
        <v>23</v>
      </c>
      <c r="C54" t="s">
        <v>262</v>
      </c>
      <c r="D54" s="4" t="s">
        <v>263</v>
      </c>
      <c r="E54">
        <v>18</v>
      </c>
      <c r="F54" t="s">
        <v>26</v>
      </c>
      <c r="G54" s="3">
        <v>1505</v>
      </c>
      <c r="H54" s="3">
        <v>18</v>
      </c>
      <c r="I54" s="5">
        <v>27090</v>
      </c>
      <c r="J54" t="s">
        <v>264</v>
      </c>
      <c r="K54" s="3">
        <v>1362.6</v>
      </c>
      <c r="L54" s="3">
        <v>18</v>
      </c>
      <c r="M54" s="5">
        <v>24526.799999999999</v>
      </c>
      <c r="N54" s="4" t="s">
        <v>265</v>
      </c>
      <c r="O54" s="3"/>
      <c r="P54" s="3"/>
      <c r="Q54" s="5"/>
    </row>
    <row r="55" spans="1:18" ht="45" x14ac:dyDescent="0.25">
      <c r="A55" t="s">
        <v>266</v>
      </c>
      <c r="B55" t="s">
        <v>23</v>
      </c>
      <c r="C55" t="s">
        <v>267</v>
      </c>
      <c r="D55" s="4" t="s">
        <v>268</v>
      </c>
      <c r="E55">
        <v>1700</v>
      </c>
      <c r="F55" t="s">
        <v>26</v>
      </c>
      <c r="G55" s="3">
        <v>24</v>
      </c>
      <c r="H55" s="3">
        <v>1700</v>
      </c>
      <c r="I55" s="5">
        <v>40800</v>
      </c>
      <c r="J55" t="s">
        <v>269</v>
      </c>
      <c r="K55" s="3">
        <v>21.08</v>
      </c>
      <c r="L55" s="3">
        <v>1700</v>
      </c>
      <c r="M55" s="5">
        <v>35836</v>
      </c>
      <c r="N55" s="4" t="s">
        <v>270</v>
      </c>
      <c r="O55" s="3"/>
      <c r="P55" s="3"/>
      <c r="Q55" s="5"/>
    </row>
    <row r="56" spans="1:18" ht="60" x14ac:dyDescent="0.25">
      <c r="A56" t="s">
        <v>271</v>
      </c>
      <c r="B56" t="s">
        <v>23</v>
      </c>
      <c r="C56" t="s">
        <v>272</v>
      </c>
      <c r="D56" s="4" t="s">
        <v>273</v>
      </c>
      <c r="E56">
        <v>10</v>
      </c>
      <c r="F56" t="s">
        <v>26</v>
      </c>
      <c r="G56" s="3">
        <v>3567.5</v>
      </c>
      <c r="H56" s="3">
        <v>10</v>
      </c>
      <c r="I56" s="5">
        <v>35675</v>
      </c>
      <c r="J56" s="4" t="s">
        <v>274</v>
      </c>
      <c r="K56" s="3"/>
      <c r="L56" s="3"/>
      <c r="M56" s="5"/>
      <c r="O56" s="3"/>
      <c r="P56" s="3"/>
      <c r="Q56" s="5"/>
    </row>
    <row r="57" spans="1:18" ht="45" x14ac:dyDescent="0.25">
      <c r="A57" t="s">
        <v>275</v>
      </c>
      <c r="B57" t="s">
        <v>23</v>
      </c>
      <c r="C57" t="s">
        <v>276</v>
      </c>
      <c r="D57" s="4" t="s">
        <v>277</v>
      </c>
      <c r="E57">
        <v>3000</v>
      </c>
      <c r="F57" t="s">
        <v>26</v>
      </c>
      <c r="G57" s="3">
        <v>10</v>
      </c>
      <c r="H57" s="3">
        <v>3000</v>
      </c>
      <c r="I57" s="5">
        <v>30000</v>
      </c>
      <c r="J57" s="4" t="s">
        <v>278</v>
      </c>
      <c r="K57" s="3"/>
      <c r="L57" s="3"/>
      <c r="M57" s="5"/>
      <c r="O57" s="3"/>
      <c r="P57" s="3"/>
      <c r="Q57" s="5"/>
    </row>
    <row r="58" spans="1:18" ht="30" x14ac:dyDescent="0.25">
      <c r="A58" t="s">
        <v>279</v>
      </c>
      <c r="B58" t="s">
        <v>23</v>
      </c>
      <c r="C58" t="s">
        <v>280</v>
      </c>
      <c r="D58" s="4" t="s">
        <v>281</v>
      </c>
      <c r="E58">
        <v>25</v>
      </c>
      <c r="F58" t="s">
        <v>26</v>
      </c>
      <c r="G58" s="3">
        <v>213</v>
      </c>
      <c r="H58" s="3">
        <v>25</v>
      </c>
      <c r="I58" s="5">
        <v>5325</v>
      </c>
      <c r="J58" t="s">
        <v>282</v>
      </c>
      <c r="K58" s="3"/>
      <c r="L58" s="3"/>
      <c r="M58" s="5"/>
      <c r="O58" s="3">
        <v>350</v>
      </c>
      <c r="P58" s="3">
        <v>25</v>
      </c>
      <c r="Q58" s="5">
        <v>8750</v>
      </c>
      <c r="R58" s="4" t="s">
        <v>283</v>
      </c>
    </row>
    <row r="59" spans="1:18" ht="30" x14ac:dyDescent="0.25">
      <c r="A59" t="s">
        <v>284</v>
      </c>
      <c r="B59" t="s">
        <v>23</v>
      </c>
      <c r="C59" t="s">
        <v>285</v>
      </c>
      <c r="D59" s="4" t="s">
        <v>286</v>
      </c>
      <c r="E59">
        <v>200</v>
      </c>
      <c r="F59" t="s">
        <v>26</v>
      </c>
      <c r="G59" s="3">
        <v>70</v>
      </c>
      <c r="H59" s="3">
        <v>200</v>
      </c>
      <c r="I59" s="5">
        <v>14000</v>
      </c>
      <c r="J59" t="s">
        <v>287</v>
      </c>
      <c r="K59" s="3">
        <v>69.5</v>
      </c>
      <c r="L59" s="3">
        <v>200</v>
      </c>
      <c r="M59" s="5">
        <v>13900</v>
      </c>
      <c r="N59" s="4" t="s">
        <v>288</v>
      </c>
      <c r="O59" s="3"/>
      <c r="P59" s="3"/>
      <c r="Q59" s="5"/>
    </row>
    <row r="60" spans="1:18" ht="45" x14ac:dyDescent="0.25">
      <c r="A60" t="s">
        <v>289</v>
      </c>
      <c r="B60" t="s">
        <v>23</v>
      </c>
      <c r="C60" t="s">
        <v>290</v>
      </c>
      <c r="D60" s="4" t="s">
        <v>291</v>
      </c>
      <c r="E60">
        <v>200</v>
      </c>
      <c r="F60" t="s">
        <v>26</v>
      </c>
      <c r="G60" s="3">
        <v>93</v>
      </c>
      <c r="H60" s="3">
        <v>200</v>
      </c>
      <c r="I60" s="5">
        <v>18600</v>
      </c>
      <c r="J60" s="4" t="s">
        <v>292</v>
      </c>
      <c r="K60" s="3"/>
      <c r="L60" s="3"/>
      <c r="M60" s="5"/>
      <c r="O60" s="3"/>
      <c r="P60" s="3"/>
      <c r="Q60" s="5"/>
    </row>
    <row r="61" spans="1:18" ht="45" x14ac:dyDescent="0.25">
      <c r="A61" t="s">
        <v>293</v>
      </c>
      <c r="B61" t="s">
        <v>23</v>
      </c>
      <c r="C61" t="s">
        <v>294</v>
      </c>
      <c r="D61" s="4" t="s">
        <v>295</v>
      </c>
      <c r="E61">
        <v>200</v>
      </c>
      <c r="F61" t="s">
        <v>26</v>
      </c>
      <c r="G61" s="3">
        <v>59</v>
      </c>
      <c r="H61" s="3">
        <v>200</v>
      </c>
      <c r="I61" s="5">
        <v>11800</v>
      </c>
      <c r="J61" s="4" t="s">
        <v>296</v>
      </c>
      <c r="K61" s="3">
        <v>64.69</v>
      </c>
      <c r="L61" s="3">
        <v>200</v>
      </c>
      <c r="M61" s="5">
        <v>12938</v>
      </c>
      <c r="N61" s="4" t="s">
        <v>297</v>
      </c>
      <c r="O61" s="3">
        <v>110</v>
      </c>
      <c r="P61" s="3">
        <v>200</v>
      </c>
      <c r="Q61" s="5">
        <v>22000</v>
      </c>
      <c r="R61" s="4" t="s">
        <v>298</v>
      </c>
    </row>
    <row r="62" spans="1:18" ht="30" x14ac:dyDescent="0.25">
      <c r="A62" t="s">
        <v>299</v>
      </c>
      <c r="B62" t="s">
        <v>23</v>
      </c>
      <c r="C62" t="s">
        <v>300</v>
      </c>
      <c r="D62" s="4" t="s">
        <v>301</v>
      </c>
      <c r="E62">
        <v>50</v>
      </c>
      <c r="F62" t="s">
        <v>26</v>
      </c>
      <c r="G62" s="3">
        <v>666</v>
      </c>
      <c r="H62" s="3">
        <v>50</v>
      </c>
      <c r="I62" s="5">
        <v>33300</v>
      </c>
      <c r="J62" s="4" t="s">
        <v>302</v>
      </c>
      <c r="K62" s="3"/>
      <c r="L62" s="3"/>
      <c r="M62" s="5"/>
      <c r="O62" s="3"/>
      <c r="P62" s="3"/>
      <c r="Q62" s="5"/>
    </row>
    <row r="63" spans="1:18" ht="45" x14ac:dyDescent="0.25">
      <c r="A63" t="s">
        <v>303</v>
      </c>
      <c r="B63" t="s">
        <v>23</v>
      </c>
      <c r="C63" t="s">
        <v>304</v>
      </c>
      <c r="D63" s="4" t="s">
        <v>305</v>
      </c>
      <c r="E63">
        <v>100</v>
      </c>
      <c r="F63" t="s">
        <v>26</v>
      </c>
      <c r="G63" s="3">
        <v>105</v>
      </c>
      <c r="H63" s="3">
        <v>100</v>
      </c>
      <c r="I63" s="5">
        <v>10500</v>
      </c>
      <c r="J63" t="s">
        <v>306</v>
      </c>
      <c r="K63" s="3">
        <v>114.31</v>
      </c>
      <c r="L63" s="3">
        <v>100</v>
      </c>
      <c r="M63" s="5">
        <v>11431</v>
      </c>
      <c r="N63" s="4" t="s">
        <v>307</v>
      </c>
      <c r="O63" s="3"/>
      <c r="P63" s="3"/>
      <c r="Q63" s="5"/>
    </row>
    <row r="64" spans="1:18" ht="30" x14ac:dyDescent="0.25">
      <c r="A64" t="s">
        <v>308</v>
      </c>
      <c r="B64" t="s">
        <v>23</v>
      </c>
      <c r="C64" t="s">
        <v>309</v>
      </c>
      <c r="D64" t="s">
        <v>310</v>
      </c>
      <c r="E64">
        <v>10</v>
      </c>
      <c r="F64" t="s">
        <v>26</v>
      </c>
      <c r="G64" s="3">
        <v>436</v>
      </c>
      <c r="H64" s="3">
        <v>10</v>
      </c>
      <c r="I64" s="5">
        <v>4360</v>
      </c>
      <c r="J64" t="s">
        <v>311</v>
      </c>
      <c r="K64" s="3">
        <v>305.49</v>
      </c>
      <c r="L64" s="3">
        <v>10</v>
      </c>
      <c r="M64" s="5">
        <v>3054.9</v>
      </c>
      <c r="N64" s="4" t="s">
        <v>312</v>
      </c>
      <c r="O64" s="3">
        <v>610</v>
      </c>
      <c r="P64" s="3">
        <v>10</v>
      </c>
      <c r="Q64" s="5">
        <v>6100</v>
      </c>
      <c r="R64" s="4" t="s">
        <v>313</v>
      </c>
    </row>
    <row r="65" spans="1:18" ht="45" x14ac:dyDescent="0.25">
      <c r="A65" t="s">
        <v>314</v>
      </c>
      <c r="B65" t="s">
        <v>23</v>
      </c>
      <c r="C65" t="s">
        <v>315</v>
      </c>
      <c r="D65" s="4" t="s">
        <v>316</v>
      </c>
      <c r="E65">
        <v>120</v>
      </c>
      <c r="F65" t="s">
        <v>26</v>
      </c>
      <c r="G65" s="3">
        <v>1314</v>
      </c>
      <c r="H65" s="3">
        <v>120</v>
      </c>
      <c r="I65" s="5">
        <v>157680</v>
      </c>
      <c r="J65" t="s">
        <v>317</v>
      </c>
      <c r="K65" s="3"/>
      <c r="L65" s="3"/>
      <c r="M65" s="5"/>
      <c r="O65" s="3"/>
      <c r="P65" s="3"/>
      <c r="Q65" s="5"/>
    </row>
    <row r="66" spans="1:18" ht="30" x14ac:dyDescent="0.25">
      <c r="A66" t="s">
        <v>318</v>
      </c>
      <c r="B66" t="s">
        <v>23</v>
      </c>
      <c r="C66" t="s">
        <v>319</v>
      </c>
      <c r="D66" s="4" t="s">
        <v>320</v>
      </c>
      <c r="E66">
        <v>30</v>
      </c>
      <c r="F66" t="s">
        <v>26</v>
      </c>
      <c r="G66" s="3">
        <v>597</v>
      </c>
      <c r="H66" s="3">
        <v>30</v>
      </c>
      <c r="I66" s="5">
        <v>17910</v>
      </c>
      <c r="J66" t="s">
        <v>321</v>
      </c>
      <c r="K66" s="3">
        <v>456.52</v>
      </c>
      <c r="L66" s="3">
        <v>30</v>
      </c>
      <c r="M66" s="5">
        <v>13695.6</v>
      </c>
      <c r="N66" s="4" t="s">
        <v>322</v>
      </c>
      <c r="O66" s="3">
        <v>800</v>
      </c>
      <c r="P66" s="3">
        <v>30</v>
      </c>
      <c r="Q66" s="5">
        <v>24000</v>
      </c>
      <c r="R66" s="4" t="s">
        <v>323</v>
      </c>
    </row>
    <row r="67" spans="1:18" ht="30" x14ac:dyDescent="0.25">
      <c r="A67" t="s">
        <v>324</v>
      </c>
      <c r="B67" t="s">
        <v>23</v>
      </c>
      <c r="C67" t="s">
        <v>325</v>
      </c>
      <c r="D67" s="4" t="s">
        <v>326</v>
      </c>
      <c r="E67">
        <v>300</v>
      </c>
      <c r="F67" t="s">
        <v>26</v>
      </c>
      <c r="G67" s="3">
        <v>63</v>
      </c>
      <c r="H67" s="3">
        <v>300</v>
      </c>
      <c r="I67" s="5">
        <v>18900</v>
      </c>
      <c r="J67" t="s">
        <v>327</v>
      </c>
      <c r="K67" s="3">
        <v>45.9</v>
      </c>
      <c r="L67" s="3">
        <v>300</v>
      </c>
      <c r="M67" s="5">
        <v>13770</v>
      </c>
      <c r="N67" s="4" t="s">
        <v>328</v>
      </c>
      <c r="O67" s="3"/>
      <c r="P67" s="3"/>
      <c r="Q67" s="5"/>
    </row>
    <row r="68" spans="1:18" x14ac:dyDescent="0.25">
      <c r="A68" t="s">
        <v>329</v>
      </c>
      <c r="B68" t="s">
        <v>23</v>
      </c>
      <c r="C68" t="s">
        <v>330</v>
      </c>
      <c r="D68" t="s">
        <v>331</v>
      </c>
      <c r="E68">
        <v>3100</v>
      </c>
      <c r="F68" t="s">
        <v>26</v>
      </c>
      <c r="G68" s="3">
        <v>53</v>
      </c>
      <c r="H68" s="3">
        <v>3100</v>
      </c>
      <c r="I68" s="5">
        <v>164300</v>
      </c>
      <c r="J68" t="s">
        <v>332</v>
      </c>
      <c r="K68" s="3"/>
      <c r="L68" s="3"/>
      <c r="M68" s="5"/>
      <c r="O68" s="3"/>
      <c r="P68" s="3"/>
      <c r="Q68" s="5"/>
    </row>
    <row r="69" spans="1:18" ht="45" x14ac:dyDescent="0.25">
      <c r="A69" t="s">
        <v>333</v>
      </c>
      <c r="B69" t="s">
        <v>23</v>
      </c>
      <c r="C69" t="s">
        <v>334</v>
      </c>
      <c r="D69" s="4" t="s">
        <v>335</v>
      </c>
      <c r="E69">
        <v>3100</v>
      </c>
      <c r="F69" t="s">
        <v>26</v>
      </c>
      <c r="G69" s="3">
        <v>12</v>
      </c>
      <c r="H69" s="3">
        <v>3100</v>
      </c>
      <c r="I69" s="5">
        <v>37200</v>
      </c>
      <c r="J69" s="4" t="s">
        <v>336</v>
      </c>
      <c r="K69" s="3">
        <v>7.3</v>
      </c>
      <c r="L69" s="3">
        <v>3100</v>
      </c>
      <c r="M69" s="5">
        <v>22630</v>
      </c>
      <c r="N69" s="4" t="s">
        <v>337</v>
      </c>
      <c r="O69" s="3"/>
      <c r="P69" s="3"/>
      <c r="Q69" s="5"/>
    </row>
    <row r="70" spans="1:18" x14ac:dyDescent="0.25">
      <c r="C70" t="s">
        <v>338</v>
      </c>
      <c r="D70" s="4"/>
      <c r="G70" s="3"/>
      <c r="H70" s="3"/>
      <c r="I70" s="5">
        <f>SUBTOTAL(109,Table2[Total por renglón])</f>
        <v>3147255</v>
      </c>
      <c r="J70" s="4"/>
      <c r="K70" s="3"/>
      <c r="L70" s="3"/>
      <c r="M70" s="5">
        <f>SUBTOTAL(109,Table3[Total por renglón])</f>
        <v>2181868</v>
      </c>
      <c r="N70" s="4"/>
      <c r="O70" s="3"/>
      <c r="P70" s="3"/>
      <c r="Q70" s="5">
        <f>SUBTOTAL(109,Table4[Total por renglón])</f>
        <v>3196300</v>
      </c>
    </row>
  </sheetData>
  <mergeCells count="4">
    <mergeCell ref="G8:J8"/>
    <mergeCell ref="K8:N8"/>
    <mergeCell ref="O8:R8"/>
    <mergeCell ref="A8:F8"/>
  </mergeCells>
  <pageMargins left="0.75" right="0.75" top="0.75" bottom="0.5" header="0.5" footer="0.75"/>
  <tableParts count="4">
    <tablePart r:id="rId1"/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4</vt:i4>
      </vt:variant>
    </vt:vector>
  </HeadingPairs>
  <TitlesOfParts>
    <vt:vector size="5" baseType="lpstr">
      <vt:lpstr>Cuadro comparativo</vt:lpstr>
      <vt:lpstr>Datos</vt:lpstr>
      <vt:lpstr>DatosTitulos</vt:lpstr>
      <vt:lpstr>PROVEEDOR</vt:lpstr>
      <vt:lpstr>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GABRIEL VISÑOVEZKY</cp:lastModifiedBy>
  <dcterms:created xsi:type="dcterms:W3CDTF">2022-02-18T12:39:37Z</dcterms:created>
  <dcterms:modified xsi:type="dcterms:W3CDTF">2022-03-03T12:20:38Z</dcterms:modified>
</cp:coreProperties>
</file>