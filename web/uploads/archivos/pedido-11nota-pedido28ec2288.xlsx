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788672-CAT-DPPR#MHP\"/>
    </mc:Choice>
  </mc:AlternateContent>
  <xr:revisionPtr revIDLastSave="0" documentId="8_{946261C1-CF2B-4EC8-9383-EE15F99CD6D6}" xr6:coauthVersionLast="46" xr6:coauthVersionMax="46" xr10:uidLastSave="{00000000-0000-0000-0000-000000000000}"/>
  <bookViews>
    <workbookView xWindow="-120" yWindow="-120" windowWidth="29040" windowHeight="15840" tabRatio="708" xr2:uid="{00000000-000D-0000-FFFF-FFFF00000000}"/>
  </bookViews>
  <sheets>
    <sheet name="Necesidades Trimestrales" sheetId="3" r:id="rId1"/>
  </sheets>
  <definedNames>
    <definedName name="_xlnm._FilterDatabase" localSheetId="0" hidden="1">'Necesidades Trimestrales'!$A$9:$AU$13</definedName>
  </definedNames>
  <calcPr calcId="181029"/>
</workbook>
</file>

<file path=xl/calcChain.xml><?xml version="1.0" encoding="utf-8"?>
<calcChain xmlns="http://schemas.openxmlformats.org/spreadsheetml/2006/main">
  <c r="AS11" i="3" l="1"/>
  <c r="AU11" i="3" s="1"/>
  <c r="AR11" i="3" l="1"/>
  <c r="H10" i="3" l="1"/>
  <c r="J10" i="3"/>
  <c r="Z10" i="3"/>
  <c r="AS10" i="3"/>
  <c r="AU10" i="3" s="1"/>
  <c r="P11" i="3" l="1"/>
  <c r="N11" i="3"/>
  <c r="H12" i="3" l="1"/>
  <c r="H11" i="3"/>
  <c r="AS12" i="3"/>
  <c r="AU12" i="3" s="1"/>
  <c r="AU13" i="3" s="1"/>
  <c r="AS13" i="3"/>
  <c r="J11" i="3"/>
  <c r="J12" i="3"/>
  <c r="X11" i="3" l="1"/>
  <c r="Z11" i="3"/>
  <c r="AB11" i="3"/>
  <c r="AD11" i="3"/>
  <c r="AF11" i="3"/>
  <c r="AH11" i="3"/>
  <c r="AL11" i="3"/>
  <c r="AN11" i="3"/>
  <c r="AP11" i="3"/>
  <c r="AP12" i="3"/>
  <c r="R11" i="3" l="1"/>
</calcChain>
</file>

<file path=xl/sharedStrings.xml><?xml version="1.0" encoding="utf-8"?>
<sst xmlns="http://schemas.openxmlformats.org/spreadsheetml/2006/main" count="82" uniqueCount="77">
  <si>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</si>
  <si>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</si>
  <si>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</si>
  <si>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</si>
  <si>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</si>
  <si>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</si>
  <si>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</si>
  <si>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</si>
  <si>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</si>
  <si>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</si>
  <si>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</si>
  <si>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</si>
  <si>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</si>
  <si>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COMBUSTIBLES Y LUBRICANTES</t>
  </si>
  <si>
    <t>40 - MINISTERIO DE SALUD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</si>
  <si>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</si>
  <si>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</si>
  <si>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</si>
  <si>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</si>
  <si>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</si>
  <si>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</si>
  <si>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</si>
  <si>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LITROS</t>
  </si>
  <si>
    <t xml:space="preserve">TOTAL DEL RUBRO COMBUSTIBLE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</si>
  <si>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</si>
  <si>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</si>
  <si>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</si>
  <si>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</si>
  <si>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</si>
  <si>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</si>
  <si>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</si>
  <si>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</si>
  <si>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</si>
  <si>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</si>
  <si>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</si>
  <si>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</si>
  <si>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</si>
  <si>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</si>
  <si>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2.5.6-798.7</t>
  </si>
  <si>
    <t xml:space="preserve">GAS EN GARRAFA, CAPACIDAD: 45 KG.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</si>
  <si>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</si>
  <si>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</si>
  <si>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</si>
  <si>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</si>
  <si>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</si>
  <si>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</si>
  <si>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</si>
  <si>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</si>
  <si>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</si>
  <si>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</si>
  <si>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</si>
  <si>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</si>
  <si>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</si>
  <si>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</si>
  <si>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2.5.6</t>
  </si>
  <si>
    <t>AREAS Y DPAS</t>
  </si>
  <si>
    <t>TOTAL DPAS</t>
  </si>
  <si>
    <t>2.5.6-793.31</t>
  </si>
  <si>
    <t>GAS OIL; PRESENTACION: POR LITRO, USO: MOTORES DIESEL,COMERCIALIZACION: GRADO 3, DESTINO: DPTO. S.F.V. DE CATAMARCA</t>
  </si>
  <si>
    <t>2.5.6-797.39</t>
  </si>
  <si>
    <t>NAFTA SUPER; TIPO: SUPER, OCTANO: 95, PRESENTACION: POR LITRO, DESTINO: DPTO. S.F.V. DE CATAMARCA</t>
  </si>
  <si>
    <t>SEC PREV</t>
  </si>
  <si>
    <t>TOTAL SEC PREVEN</t>
  </si>
  <si>
    <t>DIR DE ADM</t>
  </si>
  <si>
    <t>TOTAL DIR ADM</t>
  </si>
  <si>
    <t>11 - DIRECCION PROVINCIAL DE ADMINISTRACION - MINISTERIO DE SALUD</t>
  </si>
  <si>
    <t>TERCER TRIMESTRE</t>
  </si>
  <si>
    <t>Plazos de entrega</t>
  </si>
  <si>
    <t>Lugar de Entrega:</t>
  </si>
  <si>
    <t>Calidad Minima esperada</t>
  </si>
  <si>
    <t>Mantenimiento</t>
  </si>
  <si>
    <t>cuarenta y cinco (45) días</t>
  </si>
  <si>
    <t>Se Entregarán Fraccionado bajo la forma de vales de 30 Lts. cada uno y cuando la cantidad adjudicada no permita la confección de dicho vale, para completar se emitirá uno por una cantidad menor hasta completar la cantidad solicitada</t>
  </si>
  <si>
    <t>cinco (5) dias corridos</t>
  </si>
  <si>
    <t>DIR. PROV. DE ADMINISTRACION - MS - CHACABUCO N° 169 - en el horario de 8:00hs a 12:00hs de lunes a viernes</t>
  </si>
  <si>
    <t xml:space="preserve">SE ADJUNTA ANEXO CON LOS DOMINIOS Y MATRICULA DE LOS VEHICULOS PARA LO CUAL SE SOLICITA EL COMBUSTIBLE </t>
  </si>
  <si>
    <r>
      <rPr>
        <b/>
        <sz val="11"/>
        <rFont val="Times New Roman"/>
        <family val="1"/>
      </rPr>
      <t>ITEM 1 Y 2</t>
    </r>
    <r>
      <rPr>
        <sz val="11"/>
        <rFont val="Times New Roman"/>
        <family val="1"/>
      </rPr>
      <t xml:space="preserve">    DETALLE TECNICO Y ESPECIFICACIONES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</si>
</sst>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8" formatCode="[$$-2C0A]\ #,##0.00"/>
    <numFmt numFmtId="169" formatCode="&quot;$&quot;\ #,##0.00"/>
    <numFmt numFmtId="171" formatCode="_(\$* #,##0.00_);_(\$* \(#,##0.00\);_(\$* \-??_);_(@_)"/>
  </numFmts>
  <fonts count="2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26">
    <xf numFmtId="0" fontId="0" fillId="0" borderId="0"/>
    <xf numFmtId="165" fontId="7" fillId="0" borderId="0" applyBorder="0" applyProtection="0"/>
    <xf numFmtId="0" fontId="5" fillId="0" borderId="1" applyProtection="0"/>
    <xf numFmtId="0" fontId="6" fillId="2" borderId="0" applyBorder="0" applyProtection="0"/>
    <xf numFmtId="0" fontId="13" fillId="0" borderId="0"/>
    <xf numFmtId="164" fontId="13" fillId="0" borderId="0" applyBorder="0" applyAlignment="0" applyProtection="0"/>
    <xf numFmtId="0" fontId="13" fillId="0" borderId="0"/>
    <xf numFmtId="0" fontId="13" fillId="0" borderId="0"/>
    <xf numFmtId="0" fontId="13" fillId="0" borderId="0"/>
    <xf numFmtId="0" fontId="4" fillId="0" borderId="0"/>
    <xf numFmtId="0" fontId="7" fillId="0" borderId="0"/>
    <xf numFmtId="165" fontId="7" fillId="0" borderId="0" applyBorder="0" applyProtection="0"/>
    <xf numFmtId="0" fontId="5" fillId="0" borderId="1" applyProtection="0"/>
    <xf numFmtId="0" fontId="7" fillId="0" borderId="0"/>
    <xf numFmtId="164" fontId="7" fillId="0" borderId="0" applyBorder="0" applyAlignment="0" applyProtection="0"/>
    <xf numFmtId="0" fontId="7" fillId="0" borderId="0"/>
    <xf numFmtId="0" fontId="7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5" fontId="7" fillId="0" borderId="0" applyBorder="0" applyProtection="0"/>
    <xf numFmtId="0" fontId="3" fillId="0" borderId="0"/>
    <xf numFmtId="0" fontId="3" fillId="0" borderId="0"/>
    <xf numFmtId="0" fontId="2" fillId="0" borderId="0"/>
    <xf numFmtId="0" fontId="1" fillId="0" borderId="0"/>
  </cellStyleXfs>
  <cellXfs count="110">
    <xf numFmtId="0" fontId="0" fillId="0" borderId="0" xfId="0"/>
    <xf numFmtId="0" fontId="8" fillId="0" borderId="0" xfId="0" applyFont="1"/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right" vertical="center"/>
    </xf>
    <xf numFmtId="3" fontId="14" fillId="3" borderId="2" xfId="0" applyNumberFormat="1" applyFont="1" applyFill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wrapText="1"/>
    </xf>
    <xf numFmtId="1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 wrapText="1"/>
    </xf>
    <xf numFmtId="3" fontId="8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 wrapText="1"/>
    </xf>
    <xf numFmtId="3" fontId="8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vertical="center"/>
    </xf>
    <xf numFmtId="0" fontId="16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8" fontId="16" fillId="3" borderId="5" xfId="0" applyNumberFormat="1" applyFont="1" applyFill="1" applyBorder="1" applyAlignment="1">
      <alignment horizontal="center" vertical="center" wrapText="1"/>
    </xf>
    <xf numFmtId="168" fontId="8" fillId="0" borderId="0" xfId="0" applyNumberFormat="1" applyFont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168" fontId="16" fillId="0" borderId="5" xfId="4" applyNumberFormat="1" applyFont="1" applyBorder="1" applyAlignment="1">
      <alignment horizontal="center" vertical="center" wrapText="1"/>
    </xf>
    <xf numFmtId="3" fontId="16" fillId="0" borderId="5" xfId="4" applyNumberFormat="1" applyFont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3" fontId="16" fillId="0" borderId="5" xfId="9" applyNumberFormat="1" applyFont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5" xfId="9" applyFont="1" applyFill="1" applyBorder="1" applyAlignment="1">
      <alignment horizontal="center" vertical="center"/>
    </xf>
    <xf numFmtId="0" fontId="18" fillId="3" borderId="5" xfId="9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/>
    </xf>
    <xf numFmtId="169" fontId="16" fillId="3" borderId="5" xfId="0" applyNumberFormat="1" applyFont="1" applyFill="1" applyBorder="1" applyAlignment="1">
      <alignment horizontal="center" vertical="center" wrapText="1"/>
    </xf>
    <xf numFmtId="1" fontId="16" fillId="3" borderId="5" xfId="0" applyNumberFormat="1" applyFont="1" applyFill="1" applyBorder="1" applyAlignment="1">
      <alignment horizontal="center" vertical="center" wrapText="1"/>
    </xf>
    <xf numFmtId="3" fontId="16" fillId="3" borderId="5" xfId="0" applyNumberFormat="1" applyFont="1" applyFill="1" applyBorder="1" applyAlignment="1">
      <alignment horizontal="center" vertical="center" wrapText="1"/>
    </xf>
    <xf numFmtId="3" fontId="16" fillId="4" borderId="5" xfId="0" applyNumberFormat="1" applyFont="1" applyFill="1" applyBorder="1" applyAlignment="1">
      <alignment horizontal="center" vertical="center" wrapText="1"/>
    </xf>
    <xf numFmtId="169" fontId="17" fillId="3" borderId="5" xfId="0" applyNumberFormat="1" applyFont="1" applyFill="1" applyBorder="1" applyAlignment="1">
      <alignment horizontal="center" vertical="center"/>
    </xf>
    <xf numFmtId="168" fontId="10" fillId="0" borderId="0" xfId="0" applyNumberFormat="1" applyFont="1" applyAlignment="1">
      <alignment horizontal="center" wrapText="1"/>
    </xf>
    <xf numFmtId="0" fontId="16" fillId="0" borderId="0" xfId="0" applyFont="1"/>
    <xf numFmtId="0" fontId="16" fillId="3" borderId="0" xfId="0" applyFont="1" applyFill="1"/>
    <xf numFmtId="0" fontId="19" fillId="0" borderId="0" xfId="0" applyFont="1"/>
    <xf numFmtId="0" fontId="18" fillId="0" borderId="0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69" fontId="9" fillId="0" borderId="5" xfId="0" applyNumberFormat="1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168" fontId="9" fillId="0" borderId="5" xfId="0" applyNumberFormat="1" applyFont="1" applyBorder="1" applyAlignment="1">
      <alignment horizontal="center" vertical="center" wrapText="1"/>
    </xf>
    <xf numFmtId="3" fontId="9" fillId="4" borderId="5" xfId="0" applyNumberFormat="1" applyFont="1" applyFill="1" applyBorder="1" applyAlignment="1">
      <alignment horizontal="center" vertical="center" wrapText="1"/>
    </xf>
    <xf numFmtId="166" fontId="9" fillId="0" borderId="5" xfId="0" applyNumberFormat="1" applyFont="1" applyBorder="1" applyAlignment="1">
      <alignment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0" fontId="14" fillId="4" borderId="5" xfId="13" applyFont="1" applyFill="1" applyBorder="1" applyAlignment="1">
      <alignment horizontal="center" vertical="center" wrapText="1"/>
    </xf>
    <xf numFmtId="0" fontId="14" fillId="4" borderId="5" xfId="13" applyFont="1" applyFill="1" applyBorder="1" applyAlignment="1">
      <alignment horizontal="center" vertical="center" wrapText="1"/>
    </xf>
    <xf numFmtId="3" fontId="14" fillId="4" borderId="5" xfId="0" applyNumberFormat="1" applyFont="1" applyFill="1" applyBorder="1" applyAlignment="1">
      <alignment horizontal="center" vertical="center" wrapText="1"/>
    </xf>
    <xf numFmtId="3" fontId="14" fillId="4" borderId="5" xfId="13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166" fontId="14" fillId="0" borderId="0" xfId="1" applyNumberFormat="1" applyFont="1" applyAlignment="1">
      <alignment vertical="center"/>
    </xf>
    <xf numFmtId="166" fontId="19" fillId="0" borderId="5" xfId="1" applyNumberFormat="1" applyFont="1" applyBorder="1" applyAlignment="1">
      <alignment vertical="center" wrapText="1"/>
    </xf>
    <xf numFmtId="166" fontId="18" fillId="3" borderId="5" xfId="1" applyNumberFormat="1" applyFont="1" applyFill="1" applyBorder="1" applyAlignment="1">
      <alignment vertical="center" wrapText="1"/>
    </xf>
    <xf numFmtId="166" fontId="16" fillId="3" borderId="5" xfId="0" applyNumberFormat="1" applyFont="1" applyFill="1" applyBorder="1" applyAlignment="1">
      <alignment vertical="center" wrapText="1"/>
    </xf>
    <xf numFmtId="166" fontId="18" fillId="0" borderId="5" xfId="1" applyNumberFormat="1" applyFont="1" applyBorder="1" applyAlignment="1">
      <alignment vertical="center" wrapText="1"/>
    </xf>
    <xf numFmtId="0" fontId="16" fillId="0" borderId="6" xfId="13" applyFont="1" applyFill="1" applyBorder="1" applyAlignment="1">
      <alignment horizontal="center" vertical="center" wrapText="1"/>
    </xf>
    <xf numFmtId="0" fontId="16" fillId="0" borderId="9" xfId="13" applyFont="1" applyFill="1" applyBorder="1" applyAlignment="1">
      <alignment horizontal="center" wrapText="1"/>
    </xf>
    <xf numFmtId="0" fontId="8" fillId="0" borderId="0" xfId="13" applyFont="1" applyFill="1" applyBorder="1" applyAlignment="1">
      <alignment horizontal="left" vertical="center"/>
    </xf>
    <xf numFmtId="0" fontId="8" fillId="0" borderId="0" xfId="13" applyFont="1" applyFill="1" applyBorder="1" applyAlignment="1">
      <alignment horizontal="center"/>
    </xf>
    <xf numFmtId="0" fontId="8" fillId="0" borderId="0" xfId="13" applyFont="1" applyFill="1" applyBorder="1" applyAlignment="1">
      <alignment horizontal="center" vertical="center" wrapText="1"/>
    </xf>
    <xf numFmtId="0" fontId="8" fillId="0" borderId="4" xfId="13" applyFont="1" applyFill="1" applyBorder="1" applyAlignment="1">
      <alignment horizontal="center"/>
    </xf>
    <xf numFmtId="0" fontId="8" fillId="0" borderId="0" xfId="13" applyFont="1" applyFill="1" applyBorder="1" applyAlignment="1">
      <alignment horizontal="center" vertical="center"/>
    </xf>
    <xf numFmtId="0" fontId="16" fillId="0" borderId="9" xfId="13" applyFont="1" applyBorder="1" applyAlignment="1">
      <alignment horizontal="center" wrapText="1"/>
    </xf>
    <xf numFmtId="0" fontId="8" fillId="0" borderId="0" xfId="13" applyFont="1" applyBorder="1" applyAlignment="1">
      <alignment horizontal="center" vertical="center"/>
    </xf>
    <xf numFmtId="0" fontId="8" fillId="0" borderId="0" xfId="13" applyFont="1" applyBorder="1" applyAlignment="1">
      <alignment horizontal="center"/>
    </xf>
    <xf numFmtId="0" fontId="8" fillId="0" borderId="0" xfId="13" applyFont="1" applyBorder="1" applyAlignment="1">
      <alignment horizontal="center" vertical="center" wrapText="1"/>
    </xf>
    <xf numFmtId="0" fontId="8" fillId="0" borderId="4" xfId="13" applyFont="1" applyBorder="1" applyAlignment="1">
      <alignment horizontal="center"/>
    </xf>
    <xf numFmtId="0" fontId="16" fillId="0" borderId="10" xfId="13" applyFont="1" applyBorder="1" applyAlignment="1">
      <alignment horizontal="center" wrapText="1"/>
    </xf>
    <xf numFmtId="0" fontId="8" fillId="0" borderId="3" xfId="13" applyFont="1" applyBorder="1" applyAlignment="1">
      <alignment horizontal="left" vertical="center"/>
    </xf>
    <xf numFmtId="0" fontId="8" fillId="0" borderId="3" xfId="13" applyFont="1" applyBorder="1" applyAlignment="1">
      <alignment horizontal="center"/>
    </xf>
    <xf numFmtId="0" fontId="8" fillId="0" borderId="3" xfId="13" applyFont="1" applyBorder="1" applyAlignment="1">
      <alignment horizontal="center" vertical="center" wrapText="1"/>
    </xf>
    <xf numFmtId="0" fontId="8" fillId="0" borderId="11" xfId="13" applyFont="1" applyBorder="1" applyAlignment="1">
      <alignment horizontal="center"/>
    </xf>
    <xf numFmtId="0" fontId="16" fillId="0" borderId="9" xfId="13" applyFont="1" applyFill="1" applyBorder="1" applyAlignment="1">
      <alignment horizontal="center" vertical="center" wrapText="1"/>
    </xf>
    <xf numFmtId="0" fontId="8" fillId="0" borderId="0" xfId="13" applyFont="1" applyFill="1" applyBorder="1" applyAlignment="1">
      <alignment horizontal="left" vertical="center" wrapText="1"/>
    </xf>
    <xf numFmtId="0" fontId="8" fillId="0" borderId="4" xfId="13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/>
    </xf>
    <xf numFmtId="0" fontId="19" fillId="0" borderId="0" xfId="0" applyFont="1" applyBorder="1" applyAlignment="1">
      <alignment wrapText="1"/>
    </xf>
    <xf numFmtId="0" fontId="19" fillId="0" borderId="0" xfId="0" applyFont="1" applyBorder="1"/>
    <xf numFmtId="0" fontId="18" fillId="3" borderId="0" xfId="0" applyFont="1" applyFill="1" applyBorder="1" applyAlignment="1">
      <alignment horizontal="left"/>
    </xf>
    <xf numFmtId="0" fontId="8" fillId="0" borderId="7" xfId="13" applyFont="1" applyFill="1" applyBorder="1" applyAlignment="1">
      <alignment horizontal="left" vertical="center" wrapText="1"/>
    </xf>
    <xf numFmtId="0" fontId="8" fillId="0" borderId="8" xfId="13" applyFont="1" applyFill="1" applyBorder="1" applyAlignment="1">
      <alignment horizontal="left" vertical="center" wrapText="1"/>
    </xf>
    <xf numFmtId="0" fontId="8" fillId="0" borderId="0" xfId="13" applyFont="1" applyFill="1" applyBorder="1" applyAlignment="1">
      <alignment horizontal="left" vertical="center"/>
    </xf>
    <xf numFmtId="0" fontId="8" fillId="0" borderId="4" xfId="13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 wrapText="1"/>
    </xf>
    <xf numFmtId="0" fontId="16" fillId="0" borderId="9" xfId="13" applyFont="1" applyFill="1" applyBorder="1" applyAlignment="1">
      <alignment horizontal="center" vertical="center" wrapText="1"/>
    </xf>
    <xf numFmtId="0" fontId="16" fillId="0" borderId="0" xfId="13" applyFont="1" applyFill="1" applyBorder="1" applyAlignment="1">
      <alignment horizontal="center" vertical="center" wrapText="1"/>
    </xf>
    <xf numFmtId="0" fontId="16" fillId="0" borderId="4" xfId="13" applyFont="1" applyFill="1" applyBorder="1" applyAlignment="1">
      <alignment horizontal="center" vertical="center" wrapText="1"/>
    </xf>
    <xf numFmtId="0" fontId="19" fillId="3" borderId="5" xfId="9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169" fontId="16" fillId="3" borderId="5" xfId="0" applyNumberFormat="1" applyFont="1" applyFill="1" applyBorder="1" applyAlignment="1">
      <alignment horizontal="center" vertical="center"/>
    </xf>
    <xf numFmtId="1" fontId="16" fillId="3" borderId="5" xfId="0" applyNumberFormat="1" applyFont="1" applyFill="1" applyBorder="1" applyAlignment="1">
      <alignment horizontal="center" vertical="center"/>
    </xf>
    <xf numFmtId="3" fontId="16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3" fontId="14" fillId="4" borderId="5" xfId="13" applyNumberFormat="1" applyFont="1" applyFill="1" applyBorder="1" applyAlignment="1">
      <alignment horizontal="center" vertical="center"/>
    </xf>
    <xf numFmtId="3" fontId="16" fillId="4" borderId="5" xfId="0" applyNumberFormat="1" applyFont="1" applyFill="1" applyBorder="1" applyAlignment="1">
      <alignment horizontal="center" vertical="center"/>
    </xf>
    <xf numFmtId="166" fontId="16" fillId="0" borderId="5" xfId="1" applyNumberFormat="1" applyFont="1" applyBorder="1" applyAlignment="1">
      <alignment vertical="center"/>
    </xf>
    <xf numFmtId="166" fontId="19" fillId="3" borderId="5" xfId="0" applyNumberFormat="1" applyFont="1" applyFill="1" applyBorder="1" applyAlignment="1">
      <alignment vertical="center"/>
    </xf>
  </cellXfs>
  <cellStyles count="26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  <cellStyle name="Normal 8" xfId="25" xr:uid="{00000000-0005-0000-0000-00001A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"/>
  <sheetViews>
    <sheetView tabSelected="1" zoomScale="80" zoomScaleNormal="80" workbookViewId="0">
      <selection activeCell="AT16" sqref="AT16"/>
    </sheetView>
  </sheetViews>
  <sheetFormatPr baseColWidth="10" defaultRowHeight="15" x14ac:dyDescent="0.25"/>
  <cols>
    <col min="1" max="1" width="9.140625" style="16" customWidth="1"/>
    <col min="2" max="2" width="21.5703125" style="15" customWidth="1"/>
    <col min="3" max="3" width="37.7109375" style="16" customWidth="1"/>
    <col min="4" max="4" width="8.42578125" style="3" customWidth="1"/>
    <col min="5" max="5" width="43" style="19" customWidth="1"/>
    <col min="6" max="6" width="20.140625" style="3" customWidth="1"/>
    <col min="7" max="7" width="20.140625" style="3" hidden="1" customWidth="1"/>
    <col min="8" max="8" width="26.28515625" style="3" hidden="1" customWidth="1"/>
    <col min="9" max="9" width="29.7109375" style="3" hidden="1" customWidth="1"/>
    <col min="10" max="10" width="29" style="3" hidden="1" customWidth="1"/>
    <col min="11" max="11" width="23.5703125" style="3" hidden="1" customWidth="1"/>
    <col min="12" max="12" width="26.28515625" style="3" hidden="1" customWidth="1"/>
    <col min="13" max="13" width="23.42578125" style="7" hidden="1" customWidth="1"/>
    <col min="14" max="14" width="25.85546875" style="8" hidden="1" customWidth="1"/>
    <col min="15" max="15" width="34.7109375" style="10" hidden="1" customWidth="1"/>
    <col min="16" max="16" width="19.28515625" style="3" hidden="1" customWidth="1"/>
    <col min="17" max="17" width="21.42578125" style="7" hidden="1" customWidth="1"/>
    <col min="18" max="18" width="24.7109375" style="3" hidden="1" customWidth="1"/>
    <col min="19" max="19" width="19" style="10" hidden="1" customWidth="1"/>
    <col min="20" max="20" width="24" style="21" hidden="1" customWidth="1"/>
    <col min="21" max="21" width="29.7109375" style="7" hidden="1" customWidth="1"/>
    <col min="22" max="22" width="31.140625" style="3" hidden="1" customWidth="1"/>
    <col min="23" max="23" width="30.5703125" style="10" hidden="1" customWidth="1"/>
    <col min="24" max="24" width="19.7109375" style="3" hidden="1" customWidth="1"/>
    <col min="25" max="25" width="31.42578125" style="10" hidden="1" customWidth="1"/>
    <col min="26" max="26" width="30" style="3" hidden="1" customWidth="1"/>
    <col min="27" max="27" width="33" style="10" hidden="1" customWidth="1"/>
    <col min="28" max="28" width="25.7109375" style="3" hidden="1" customWidth="1"/>
    <col min="29" max="29" width="28.42578125" style="10" hidden="1" customWidth="1"/>
    <col min="30" max="30" width="27.28515625" style="3" hidden="1" customWidth="1"/>
    <col min="31" max="31" width="26.85546875" style="10" hidden="1" customWidth="1"/>
    <col min="32" max="32" width="25.42578125" style="3" hidden="1" customWidth="1"/>
    <col min="33" max="33" width="23.28515625" style="10" hidden="1" customWidth="1"/>
    <col min="34" max="34" width="24.28515625" style="3" hidden="1" customWidth="1"/>
    <col min="35" max="35" width="26.140625" style="10" hidden="1" customWidth="1"/>
    <col min="36" max="36" width="18.5703125" style="3" hidden="1" customWidth="1"/>
    <col min="37" max="37" width="30" style="10" hidden="1" customWidth="1"/>
    <col min="38" max="38" width="26.42578125" style="3" hidden="1" customWidth="1"/>
    <col min="39" max="39" width="24" style="10" hidden="1" customWidth="1"/>
    <col min="40" max="40" width="26.42578125" style="3" hidden="1" customWidth="1"/>
    <col min="41" max="41" width="41.5703125" style="10" hidden="1" customWidth="1"/>
    <col min="42" max="42" width="20.140625" style="3" hidden="1" customWidth="1"/>
    <col min="43" max="43" width="30" style="10" hidden="1" customWidth="1"/>
    <col min="44" max="44" width="27.5703125" style="3" hidden="1" customWidth="1"/>
    <col min="45" max="45" width="16.42578125" style="12" customWidth="1"/>
    <col min="46" max="46" width="16.5703125" style="58" bestFit="1" customWidth="1"/>
    <col min="47" max="47" width="22.5703125" style="14" customWidth="1"/>
    <col min="48" max="48" width="69.140625" style="4" customWidth="1"/>
    <col min="49" max="49" width="23.5703125" style="1" customWidth="1"/>
    <col min="50" max="16384" width="11.42578125" style="1"/>
  </cols>
  <sheetData>
    <row r="1" spans="1:53" x14ac:dyDescent="0.25">
      <c r="A1" s="5">
        <v>2021</v>
      </c>
    </row>
    <row r="2" spans="1:53" ht="25.5" x14ac:dyDescent="0.35">
      <c r="B2" s="93" t="s">
        <v>15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4"/>
      <c r="AT2" s="95"/>
    </row>
    <row r="4" spans="1:53" ht="18" customHeight="1" x14ac:dyDescent="0.2">
      <c r="A4" s="92" t="s">
        <v>0</v>
      </c>
      <c r="B4" s="92"/>
      <c r="C4" s="96" t="s">
        <v>14</v>
      </c>
      <c r="D4" s="96"/>
      <c r="E4" s="96"/>
      <c r="F4" s="2"/>
      <c r="G4" s="2"/>
      <c r="H4" s="2"/>
      <c r="I4" s="2"/>
      <c r="J4" s="2"/>
      <c r="K4" s="2"/>
      <c r="L4" s="2"/>
      <c r="M4" s="6"/>
      <c r="N4" s="9"/>
      <c r="O4" s="11"/>
      <c r="P4" s="2"/>
      <c r="Q4" s="6"/>
      <c r="R4" s="2"/>
      <c r="S4" s="11"/>
      <c r="T4" s="38"/>
      <c r="U4" s="6"/>
      <c r="V4" s="2"/>
      <c r="W4" s="11"/>
      <c r="X4" s="2"/>
      <c r="Y4" s="11"/>
      <c r="Z4" s="2"/>
      <c r="AA4" s="11"/>
      <c r="AB4" s="2"/>
      <c r="AC4" s="11"/>
      <c r="AD4" s="2"/>
      <c r="AE4" s="11"/>
      <c r="AF4" s="2"/>
      <c r="AG4" s="11"/>
      <c r="AH4" s="2"/>
      <c r="AI4" s="11"/>
      <c r="AJ4" s="2"/>
      <c r="AK4" s="11"/>
      <c r="AL4" s="2"/>
      <c r="AM4" s="11"/>
      <c r="AN4" s="2"/>
      <c r="AO4" s="11"/>
      <c r="AP4" s="2"/>
      <c r="AQ4" s="11"/>
      <c r="AR4" s="2"/>
      <c r="AS4" s="13"/>
    </row>
    <row r="5" spans="1:53" ht="18" customHeight="1" x14ac:dyDescent="0.2">
      <c r="A5" s="92" t="s">
        <v>1</v>
      </c>
      <c r="B5" s="92"/>
      <c r="C5" s="96" t="s">
        <v>65</v>
      </c>
      <c r="D5" s="96"/>
      <c r="E5" s="96"/>
      <c r="F5" s="2"/>
      <c r="G5" s="2"/>
      <c r="H5" s="2"/>
      <c r="I5" s="2"/>
      <c r="J5" s="2"/>
      <c r="K5" s="2"/>
      <c r="L5" s="2"/>
      <c r="M5" s="6"/>
      <c r="N5" s="9"/>
      <c r="O5" s="11"/>
      <c r="P5" s="2"/>
      <c r="Q5" s="6"/>
      <c r="R5" s="2"/>
      <c r="S5" s="11"/>
      <c r="T5" s="38"/>
      <c r="U5" s="6"/>
      <c r="V5" s="2"/>
      <c r="W5" s="11"/>
      <c r="X5" s="2"/>
      <c r="Y5" s="11"/>
      <c r="Z5" s="2"/>
      <c r="AA5" s="11"/>
      <c r="AB5" s="2"/>
      <c r="AC5" s="11"/>
      <c r="AD5" s="2"/>
      <c r="AE5" s="11"/>
      <c r="AF5" s="2"/>
      <c r="AG5" s="11"/>
      <c r="AH5" s="2"/>
      <c r="AI5" s="11"/>
      <c r="AJ5" s="2"/>
      <c r="AK5" s="11"/>
      <c r="AL5" s="2"/>
      <c r="AM5" s="11"/>
      <c r="AN5" s="2"/>
      <c r="AO5" s="11"/>
      <c r="AP5" s="2"/>
      <c r="AQ5" s="11"/>
      <c r="AR5" s="2"/>
      <c r="AS5" s="13"/>
    </row>
    <row r="6" spans="1:53" ht="16.5" customHeight="1" x14ac:dyDescent="0.2">
      <c r="A6" s="92" t="s">
        <v>2</v>
      </c>
      <c r="B6" s="92"/>
      <c r="C6" s="56">
        <v>2021</v>
      </c>
      <c r="D6" s="57"/>
      <c r="E6" s="57"/>
      <c r="F6" s="2"/>
      <c r="G6" s="2"/>
      <c r="H6" s="2"/>
      <c r="I6" s="2"/>
      <c r="J6" s="2"/>
      <c r="K6" s="2"/>
      <c r="L6" s="2"/>
      <c r="M6" s="6"/>
      <c r="N6" s="9"/>
      <c r="O6" s="11"/>
      <c r="P6" s="2"/>
      <c r="Q6" s="6"/>
      <c r="R6" s="2"/>
      <c r="S6" s="11"/>
      <c r="T6" s="38"/>
      <c r="U6" s="6"/>
      <c r="V6" s="2"/>
      <c r="W6" s="11"/>
      <c r="X6" s="2"/>
      <c r="Y6" s="11"/>
      <c r="Z6" s="2"/>
      <c r="AA6" s="11"/>
      <c r="AB6" s="2"/>
      <c r="AC6" s="11"/>
      <c r="AD6" s="2"/>
      <c r="AE6" s="11"/>
      <c r="AF6" s="2"/>
      <c r="AG6" s="11"/>
      <c r="AH6" s="2"/>
      <c r="AI6" s="11"/>
      <c r="AJ6" s="2"/>
      <c r="AK6" s="11"/>
      <c r="AL6" s="2"/>
      <c r="AM6" s="11"/>
      <c r="AN6" s="2"/>
      <c r="AO6" s="11"/>
      <c r="AP6" s="2"/>
      <c r="AQ6" s="11"/>
      <c r="AR6" s="2"/>
      <c r="AS6" s="13"/>
    </row>
    <row r="7" spans="1:53" ht="31.5" customHeight="1" x14ac:dyDescent="0.2">
      <c r="A7" s="92" t="s">
        <v>3</v>
      </c>
      <c r="B7" s="92"/>
      <c r="C7" s="56" t="s">
        <v>66</v>
      </c>
      <c r="D7" s="57"/>
      <c r="E7" s="57"/>
      <c r="F7" s="2"/>
      <c r="G7" s="2"/>
      <c r="H7" s="2"/>
      <c r="I7" s="2"/>
      <c r="J7" s="2"/>
      <c r="K7" s="2"/>
      <c r="L7" s="2"/>
      <c r="M7" s="6"/>
      <c r="N7" s="9"/>
      <c r="O7" s="11"/>
      <c r="P7" s="2"/>
      <c r="Q7" s="6"/>
      <c r="R7" s="2"/>
      <c r="S7" s="11"/>
      <c r="T7" s="38"/>
      <c r="U7" s="6"/>
      <c r="V7" s="2"/>
      <c r="W7" s="11"/>
      <c r="X7" s="2"/>
      <c r="Y7" s="11"/>
      <c r="Z7" s="2"/>
      <c r="AA7" s="11"/>
      <c r="AB7" s="2"/>
      <c r="AC7" s="11"/>
      <c r="AD7" s="2"/>
      <c r="AE7" s="11"/>
      <c r="AF7" s="2"/>
      <c r="AG7" s="11"/>
      <c r="AH7" s="2"/>
      <c r="AI7" s="11"/>
      <c r="AJ7" s="2"/>
      <c r="AK7" s="11"/>
      <c r="AL7" s="2"/>
      <c r="AM7" s="11"/>
      <c r="AN7" s="2"/>
      <c r="AO7" s="11"/>
      <c r="AP7" s="2"/>
      <c r="AQ7" s="11"/>
      <c r="AR7" s="2"/>
      <c r="AS7" s="13"/>
    </row>
    <row r="8" spans="1:53" ht="2.25" customHeight="1" x14ac:dyDescent="0.25">
      <c r="B8" s="17"/>
      <c r="C8" s="18"/>
      <c r="D8" s="2"/>
      <c r="E8" s="18"/>
      <c r="F8" s="2"/>
      <c r="G8" s="2"/>
      <c r="H8" s="2"/>
      <c r="I8" s="2"/>
      <c r="J8" s="2"/>
      <c r="K8" s="2"/>
      <c r="L8" s="2"/>
      <c r="M8" s="6"/>
      <c r="N8" s="9"/>
      <c r="O8" s="11"/>
      <c r="P8" s="2"/>
      <c r="Q8" s="6"/>
      <c r="R8" s="2"/>
      <c r="S8" s="11"/>
      <c r="T8" s="38"/>
      <c r="U8" s="6"/>
      <c r="V8" s="2"/>
      <c r="W8" s="11"/>
      <c r="X8" s="2"/>
      <c r="Y8" s="11"/>
      <c r="Z8" s="2"/>
      <c r="AA8" s="11"/>
      <c r="AB8" s="2"/>
      <c r="AC8" s="11"/>
      <c r="AD8" s="2"/>
      <c r="AE8" s="11"/>
      <c r="AF8" s="2"/>
      <c r="AG8" s="11"/>
      <c r="AH8" s="2"/>
      <c r="AI8" s="11"/>
      <c r="AJ8" s="2"/>
      <c r="AK8" s="11"/>
      <c r="AL8" s="2"/>
      <c r="AM8" s="11"/>
      <c r="AN8" s="2"/>
      <c r="AO8" s="11"/>
      <c r="AP8" s="2"/>
      <c r="AQ8" s="11"/>
      <c r="AR8" s="2"/>
      <c r="AS8" s="13"/>
    </row>
    <row r="9" spans="1:53" s="41" customFormat="1" ht="42.75" x14ac:dyDescent="0.2">
      <c r="A9" s="43" t="s">
        <v>4</v>
      </c>
      <c r="B9" s="43" t="s">
        <v>5</v>
      </c>
      <c r="C9" s="44" t="s">
        <v>6</v>
      </c>
      <c r="D9" s="43" t="s">
        <v>7</v>
      </c>
      <c r="E9" s="44" t="s">
        <v>8</v>
      </c>
      <c r="F9" s="44" t="s">
        <v>9</v>
      </c>
      <c r="G9" s="44" t="s">
        <v>63</v>
      </c>
      <c r="H9" s="44" t="s">
        <v>64</v>
      </c>
      <c r="I9" s="44" t="s">
        <v>61</v>
      </c>
      <c r="J9" s="44" t="s">
        <v>62</v>
      </c>
      <c r="K9" s="44" t="s">
        <v>17</v>
      </c>
      <c r="L9" s="44" t="s">
        <v>18</v>
      </c>
      <c r="M9" s="45" t="s">
        <v>19</v>
      </c>
      <c r="N9" s="46" t="s">
        <v>20</v>
      </c>
      <c r="O9" s="47" t="s">
        <v>24</v>
      </c>
      <c r="P9" s="44" t="s">
        <v>25</v>
      </c>
      <c r="Q9" s="45" t="s">
        <v>26</v>
      </c>
      <c r="R9" s="44" t="s">
        <v>27</v>
      </c>
      <c r="S9" s="47" t="s">
        <v>28</v>
      </c>
      <c r="T9" s="48" t="s">
        <v>29</v>
      </c>
      <c r="U9" s="45" t="s">
        <v>30</v>
      </c>
      <c r="V9" s="44" t="s">
        <v>31</v>
      </c>
      <c r="W9" s="47" t="s">
        <v>32</v>
      </c>
      <c r="X9" s="44" t="s">
        <v>33</v>
      </c>
      <c r="Y9" s="47" t="s">
        <v>34</v>
      </c>
      <c r="Z9" s="44" t="s">
        <v>35</v>
      </c>
      <c r="AA9" s="47" t="s">
        <v>36</v>
      </c>
      <c r="AB9" s="44" t="s">
        <v>37</v>
      </c>
      <c r="AC9" s="49" t="s">
        <v>40</v>
      </c>
      <c r="AD9" s="44" t="s">
        <v>41</v>
      </c>
      <c r="AE9" s="47" t="s">
        <v>42</v>
      </c>
      <c r="AF9" s="44" t="s">
        <v>43</v>
      </c>
      <c r="AG9" s="47" t="s">
        <v>44</v>
      </c>
      <c r="AH9" s="44" t="s">
        <v>45</v>
      </c>
      <c r="AI9" s="47" t="s">
        <v>46</v>
      </c>
      <c r="AJ9" s="44" t="s">
        <v>47</v>
      </c>
      <c r="AK9" s="47" t="s">
        <v>48</v>
      </c>
      <c r="AL9" s="44" t="s">
        <v>49</v>
      </c>
      <c r="AM9" s="49" t="s">
        <v>50</v>
      </c>
      <c r="AN9" s="44" t="s">
        <v>51</v>
      </c>
      <c r="AO9" s="47" t="s">
        <v>52</v>
      </c>
      <c r="AP9" s="44" t="s">
        <v>53</v>
      </c>
      <c r="AQ9" s="47" t="s">
        <v>55</v>
      </c>
      <c r="AR9" s="44" t="s">
        <v>56</v>
      </c>
      <c r="AS9" s="47" t="s">
        <v>16</v>
      </c>
      <c r="AT9" s="59" t="s">
        <v>10</v>
      </c>
      <c r="AU9" s="50" t="s">
        <v>11</v>
      </c>
      <c r="AV9" s="51" t="s">
        <v>21</v>
      </c>
      <c r="AW9" s="85"/>
      <c r="AX9" s="86"/>
      <c r="AY9" s="86"/>
      <c r="AZ9" s="86"/>
      <c r="BA9" s="86"/>
    </row>
    <row r="10" spans="1:53" s="40" customFormat="1" ht="33.75" hidden="1" customHeight="1" x14ac:dyDescent="0.25">
      <c r="A10" s="29">
        <v>1</v>
      </c>
      <c r="B10" s="30" t="s">
        <v>38</v>
      </c>
      <c r="C10" s="29" t="s">
        <v>13</v>
      </c>
      <c r="D10" s="23" t="s">
        <v>54</v>
      </c>
      <c r="E10" s="31" t="s">
        <v>39</v>
      </c>
      <c r="F10" s="32" t="s">
        <v>12</v>
      </c>
      <c r="G10" s="52"/>
      <c r="H10" s="24">
        <f>+G10*AR10</f>
        <v>0</v>
      </c>
      <c r="I10" s="53">
        <v>0</v>
      </c>
      <c r="J10" s="24">
        <f>+I10*AT10</f>
        <v>0</v>
      </c>
      <c r="K10" s="27"/>
      <c r="L10" s="33"/>
      <c r="M10" s="34"/>
      <c r="N10" s="33"/>
      <c r="O10" s="35"/>
      <c r="P10" s="33"/>
      <c r="Q10" s="34"/>
      <c r="R10" s="33"/>
      <c r="S10" s="35"/>
      <c r="T10" s="20"/>
      <c r="U10" s="34"/>
      <c r="V10" s="33"/>
      <c r="W10" s="28"/>
      <c r="X10" s="33"/>
      <c r="Y10" s="35">
        <v>400</v>
      </c>
      <c r="Z10" s="33">
        <f>+Y10*AT10</f>
        <v>2400000</v>
      </c>
      <c r="AA10" s="35"/>
      <c r="AB10" s="33"/>
      <c r="AC10" s="55"/>
      <c r="AD10" s="33"/>
      <c r="AE10" s="35"/>
      <c r="AF10" s="33"/>
      <c r="AG10" s="35"/>
      <c r="AH10" s="33"/>
      <c r="AI10" s="35"/>
      <c r="AJ10" s="33"/>
      <c r="AK10" s="35"/>
      <c r="AL10" s="33"/>
      <c r="AM10" s="54"/>
      <c r="AN10" s="33"/>
      <c r="AO10" s="36"/>
      <c r="AP10" s="33"/>
      <c r="AQ10" s="35"/>
      <c r="AR10" s="33"/>
      <c r="AS10" s="25">
        <f>+AQ10+AO10+AM10+AK10+AI10+AG10+AE10+AC10+AA10+Y10+W10+U10+S10+Q10+O10+M10+K10+I10</f>
        <v>400</v>
      </c>
      <c r="AT10" s="62">
        <v>6000</v>
      </c>
      <c r="AU10" s="61">
        <f>+AS10*AT10</f>
        <v>2400000</v>
      </c>
      <c r="AV10" s="33"/>
      <c r="AW10" s="87"/>
      <c r="AX10" s="87"/>
      <c r="AY10" s="87"/>
      <c r="AZ10" s="87"/>
      <c r="BA10" s="87"/>
    </row>
    <row r="11" spans="1:53" s="40" customFormat="1" ht="103.5" customHeight="1" x14ac:dyDescent="0.25">
      <c r="A11" s="29">
        <v>1</v>
      </c>
      <c r="B11" s="31" t="s">
        <v>57</v>
      </c>
      <c r="C11" s="29" t="s">
        <v>13</v>
      </c>
      <c r="D11" s="23" t="s">
        <v>54</v>
      </c>
      <c r="E11" s="31" t="s">
        <v>58</v>
      </c>
      <c r="F11" s="32" t="s">
        <v>22</v>
      </c>
      <c r="G11" s="53"/>
      <c r="H11" s="24">
        <f>+G11*AR11</f>
        <v>0</v>
      </c>
      <c r="I11" s="53">
        <v>2500</v>
      </c>
      <c r="J11" s="24">
        <f>+I11*AT11</f>
        <v>218225.00000000003</v>
      </c>
      <c r="K11" s="27"/>
      <c r="L11" s="33"/>
      <c r="M11" s="34">
        <v>200</v>
      </c>
      <c r="N11" s="33">
        <f>+M11*AT11</f>
        <v>17458</v>
      </c>
      <c r="O11" s="35">
        <v>1112</v>
      </c>
      <c r="P11" s="33">
        <f>+O11*AT11</f>
        <v>97066.48000000001</v>
      </c>
      <c r="Q11" s="34"/>
      <c r="R11" s="33">
        <f>+Q11*AT11</f>
        <v>0</v>
      </c>
      <c r="S11" s="35"/>
      <c r="T11" s="20"/>
      <c r="U11" s="34"/>
      <c r="V11" s="33"/>
      <c r="W11" s="35">
        <v>15837</v>
      </c>
      <c r="X11" s="33">
        <f>+W11*AT11</f>
        <v>1382411.7300000002</v>
      </c>
      <c r="Y11" s="35">
        <v>1000</v>
      </c>
      <c r="Z11" s="33">
        <f>+Y11*AT11</f>
        <v>87290</v>
      </c>
      <c r="AA11" s="35">
        <v>3650</v>
      </c>
      <c r="AB11" s="33">
        <f>+AA11*AT11</f>
        <v>318608.5</v>
      </c>
      <c r="AC11" s="55">
        <v>2200</v>
      </c>
      <c r="AD11" s="33">
        <f>+AC11*AT11</f>
        <v>192038</v>
      </c>
      <c r="AE11" s="35">
        <v>5275</v>
      </c>
      <c r="AF11" s="33">
        <f>+AE11*AT11</f>
        <v>460454.75000000006</v>
      </c>
      <c r="AG11" s="35">
        <v>2534</v>
      </c>
      <c r="AH11" s="33">
        <f>+AG11*AT11</f>
        <v>221192.86000000002</v>
      </c>
      <c r="AI11" s="35"/>
      <c r="AJ11" s="33"/>
      <c r="AK11" s="35">
        <v>2500</v>
      </c>
      <c r="AL11" s="33">
        <f>+AK11*AT11</f>
        <v>218225.00000000003</v>
      </c>
      <c r="AM11" s="54"/>
      <c r="AN11" s="33">
        <f>+AM11*AT11</f>
        <v>0</v>
      </c>
      <c r="AO11" s="36">
        <v>900</v>
      </c>
      <c r="AP11" s="33">
        <f>+AO11*AT11</f>
        <v>78561</v>
      </c>
      <c r="AQ11" s="35">
        <v>124962</v>
      </c>
      <c r="AR11" s="33">
        <f>+AQ11*AT11</f>
        <v>10907932.98</v>
      </c>
      <c r="AS11" s="25">
        <f>+AQ11+AO11+AM11+AK11+AI11+AG11+AE11+AC11+AA11+Y11+W11+U11+S11+Q11+O11+M11+K11+I11</f>
        <v>162670</v>
      </c>
      <c r="AT11" s="60">
        <v>87.29</v>
      </c>
      <c r="AU11" s="61">
        <f>+AS11*AT11</f>
        <v>14199464.300000001</v>
      </c>
      <c r="AV11" s="33"/>
      <c r="AW11" s="87"/>
      <c r="AX11" s="87"/>
      <c r="AY11" s="87"/>
      <c r="AZ11" s="87"/>
      <c r="BA11" s="87"/>
    </row>
    <row r="12" spans="1:53" s="39" customFormat="1" ht="72.75" customHeight="1" x14ac:dyDescent="0.25">
      <c r="A12" s="29">
        <v>2</v>
      </c>
      <c r="B12" s="22" t="s">
        <v>59</v>
      </c>
      <c r="C12" s="23" t="s">
        <v>13</v>
      </c>
      <c r="D12" s="23" t="s">
        <v>54</v>
      </c>
      <c r="E12" s="83" t="s">
        <v>60</v>
      </c>
      <c r="F12" s="32" t="s">
        <v>22</v>
      </c>
      <c r="G12" s="53"/>
      <c r="H12" s="24">
        <f>+G12*AR12</f>
        <v>0</v>
      </c>
      <c r="I12" s="53">
        <v>0</v>
      </c>
      <c r="J12" s="24">
        <f>+I12*AT12</f>
        <v>0</v>
      </c>
      <c r="K12" s="27"/>
      <c r="L12" s="33"/>
      <c r="M12" s="34"/>
      <c r="N12" s="33"/>
      <c r="O12" s="35"/>
      <c r="P12" s="33"/>
      <c r="Q12" s="34"/>
      <c r="R12" s="33"/>
      <c r="S12" s="35"/>
      <c r="T12" s="20"/>
      <c r="U12" s="34"/>
      <c r="V12" s="33"/>
      <c r="W12" s="35"/>
      <c r="X12" s="33"/>
      <c r="Y12" s="35"/>
      <c r="Z12" s="33"/>
      <c r="AA12" s="35"/>
      <c r="AB12" s="33"/>
      <c r="AC12" s="55"/>
      <c r="AD12" s="33"/>
      <c r="AE12" s="35"/>
      <c r="AF12" s="33"/>
      <c r="AG12" s="35"/>
      <c r="AH12" s="33"/>
      <c r="AI12" s="35"/>
      <c r="AJ12" s="33"/>
      <c r="AK12" s="35"/>
      <c r="AL12" s="33"/>
      <c r="AM12" s="54"/>
      <c r="AN12" s="33"/>
      <c r="AO12" s="36">
        <v>1000</v>
      </c>
      <c r="AP12" s="33">
        <f>+AO12*AT12</f>
        <v>84000</v>
      </c>
      <c r="AQ12" s="35"/>
      <c r="AR12" s="33"/>
      <c r="AS12" s="25">
        <f>+AQ12+AO12+AM12+AK12+AI12+AG12+AE12+AC12+AA12+Y12+W12+U12+S12+Q12+O12+M12+K12+I12</f>
        <v>1000</v>
      </c>
      <c r="AT12" s="60">
        <v>84</v>
      </c>
      <c r="AU12" s="61">
        <f>+AS12*AT12</f>
        <v>84000</v>
      </c>
      <c r="AV12" s="33"/>
      <c r="AW12" s="42"/>
      <c r="AX12" s="42"/>
      <c r="AY12" s="42"/>
      <c r="AZ12" s="42"/>
      <c r="BA12" s="42"/>
    </row>
    <row r="13" spans="1:53" s="39" customFormat="1" x14ac:dyDescent="0.25">
      <c r="A13" s="29"/>
      <c r="B13" s="30"/>
      <c r="C13" s="26"/>
      <c r="D13" s="32"/>
      <c r="E13" s="100" t="s">
        <v>23</v>
      </c>
      <c r="F13" s="101"/>
      <c r="G13" s="101"/>
      <c r="H13" s="101"/>
      <c r="I13" s="101"/>
      <c r="J13" s="101"/>
      <c r="K13" s="101"/>
      <c r="L13" s="102"/>
      <c r="M13" s="103"/>
      <c r="N13" s="102"/>
      <c r="O13" s="104"/>
      <c r="P13" s="102"/>
      <c r="Q13" s="103"/>
      <c r="R13" s="102"/>
      <c r="S13" s="104"/>
      <c r="T13" s="105"/>
      <c r="U13" s="103"/>
      <c r="V13" s="102"/>
      <c r="W13" s="104"/>
      <c r="X13" s="102"/>
      <c r="Y13" s="104"/>
      <c r="Z13" s="102"/>
      <c r="AA13" s="104"/>
      <c r="AB13" s="102"/>
      <c r="AC13" s="106"/>
      <c r="AD13" s="102"/>
      <c r="AE13" s="104"/>
      <c r="AF13" s="102"/>
      <c r="AG13" s="104"/>
      <c r="AH13" s="102"/>
      <c r="AI13" s="104"/>
      <c r="AJ13" s="102"/>
      <c r="AK13" s="104"/>
      <c r="AL13" s="102"/>
      <c r="AM13" s="104"/>
      <c r="AN13" s="102"/>
      <c r="AO13" s="107"/>
      <c r="AP13" s="102"/>
      <c r="AQ13" s="104"/>
      <c r="AR13" s="102"/>
      <c r="AS13" s="25">
        <f>+AQ13+AO13+AM13+AK13+AI13+AG13+AE13+AC13+AA13+Y13+W13+U13+S13+Q13+O13+M13+K13+I13</f>
        <v>0</v>
      </c>
      <c r="AT13" s="108"/>
      <c r="AU13" s="109">
        <f>+AU11+AU12</f>
        <v>14283464.300000001</v>
      </c>
      <c r="AV13" s="37"/>
      <c r="AW13" s="42"/>
      <c r="AX13" s="42"/>
      <c r="AY13" s="42"/>
      <c r="AZ13" s="42"/>
      <c r="BA13" s="84"/>
    </row>
    <row r="15" spans="1:53" ht="15.75" thickBot="1" x14ac:dyDescent="0.3"/>
    <row r="16" spans="1:53" ht="75" customHeight="1" x14ac:dyDescent="0.2">
      <c r="B16" s="63" t="s">
        <v>76</v>
      </c>
      <c r="C16" s="88" t="s">
        <v>72</v>
      </c>
      <c r="D16" s="88"/>
      <c r="E16" s="88"/>
      <c r="F16" s="89"/>
    </row>
    <row r="17" spans="2:6" ht="22.5" customHeight="1" x14ac:dyDescent="0.2">
      <c r="B17" s="97" t="s">
        <v>75</v>
      </c>
      <c r="C17" s="98"/>
      <c r="D17" s="98"/>
      <c r="E17" s="98"/>
      <c r="F17" s="99"/>
    </row>
    <row r="18" spans="2:6" ht="18.75" customHeight="1" x14ac:dyDescent="0.2">
      <c r="B18" s="80"/>
      <c r="C18" s="81"/>
      <c r="D18" s="81"/>
      <c r="E18" s="81"/>
      <c r="F18" s="82"/>
    </row>
    <row r="19" spans="2:6" ht="18.75" customHeight="1" x14ac:dyDescent="0.25">
      <c r="B19" s="64" t="s">
        <v>67</v>
      </c>
      <c r="C19" s="65" t="s">
        <v>73</v>
      </c>
      <c r="D19" s="66"/>
      <c r="E19" s="67"/>
      <c r="F19" s="68"/>
    </row>
    <row r="20" spans="2:6" ht="18.75" customHeight="1" x14ac:dyDescent="0.25">
      <c r="B20" s="64"/>
      <c r="C20" s="69"/>
      <c r="D20" s="66"/>
      <c r="E20" s="67"/>
      <c r="F20" s="68"/>
    </row>
    <row r="21" spans="2:6" ht="18.75" customHeight="1" x14ac:dyDescent="0.25">
      <c r="B21" s="64" t="s">
        <v>68</v>
      </c>
      <c r="C21" s="90" t="s">
        <v>74</v>
      </c>
      <c r="D21" s="90"/>
      <c r="E21" s="90"/>
      <c r="F21" s="91"/>
    </row>
    <row r="22" spans="2:6" ht="18.75" customHeight="1" x14ac:dyDescent="0.25">
      <c r="B22" s="64"/>
      <c r="C22" s="90"/>
      <c r="D22" s="90"/>
      <c r="E22" s="90"/>
      <c r="F22" s="91"/>
    </row>
    <row r="23" spans="2:6" ht="36" customHeight="1" x14ac:dyDescent="0.25">
      <c r="B23" s="70" t="s">
        <v>69</v>
      </c>
      <c r="C23" s="71"/>
      <c r="D23" s="72"/>
      <c r="E23" s="73"/>
      <c r="F23" s="74"/>
    </row>
    <row r="24" spans="2:6" ht="18.75" customHeight="1" x14ac:dyDescent="0.25">
      <c r="B24" s="70"/>
      <c r="C24" s="71"/>
      <c r="D24" s="72"/>
      <c r="E24" s="73"/>
      <c r="F24" s="74"/>
    </row>
    <row r="25" spans="2:6" ht="18.75" customHeight="1" thickBot="1" x14ac:dyDescent="0.3">
      <c r="B25" s="75" t="s">
        <v>70</v>
      </c>
      <c r="C25" s="76" t="s">
        <v>71</v>
      </c>
      <c r="D25" s="77"/>
      <c r="E25" s="78"/>
      <c r="F25" s="79"/>
    </row>
  </sheetData>
  <sortState xmlns:xlrd2="http://schemas.microsoft.com/office/spreadsheetml/2017/richdata2" ref="A10:AV13">
    <sortCondition ref="E10"/>
  </sortState>
  <mergeCells count="11">
    <mergeCell ref="C16:F16"/>
    <mergeCell ref="C21:F21"/>
    <mergeCell ref="C22:F22"/>
    <mergeCell ref="A6:B6"/>
    <mergeCell ref="B2:AT2"/>
    <mergeCell ref="A4:B4"/>
    <mergeCell ref="C4:E4"/>
    <mergeCell ref="A5:B5"/>
    <mergeCell ref="C5:E5"/>
    <mergeCell ref="A7:B7"/>
    <mergeCell ref="B17:F17"/>
  </mergeCells>
  <conditionalFormatting sqref="B10">
    <cfRule type="duplicateValues" dxfId="16" priority="108"/>
  </conditionalFormatting>
  <conditionalFormatting sqref="E10">
    <cfRule type="duplicateValues" dxfId="15" priority="107"/>
  </conditionalFormatting>
  <conditionalFormatting sqref="E10">
    <cfRule type="duplicateValues" dxfId="14" priority="109"/>
    <cfRule type="duplicateValues" dxfId="13" priority="110"/>
  </conditionalFormatting>
  <conditionalFormatting sqref="B10 E10">
    <cfRule type="duplicateValues" dxfId="12" priority="111"/>
  </conditionalFormatting>
  <conditionalFormatting sqref="B10">
    <cfRule type="duplicateValues" dxfId="11" priority="112"/>
  </conditionalFormatting>
  <conditionalFormatting sqref="B11">
    <cfRule type="duplicateValues" dxfId="10" priority="102"/>
  </conditionalFormatting>
  <conditionalFormatting sqref="E11">
    <cfRule type="duplicateValues" dxfId="9" priority="101"/>
  </conditionalFormatting>
  <conditionalFormatting sqref="E11">
    <cfRule type="duplicateValues" dxfId="8" priority="103"/>
    <cfRule type="duplicateValues" dxfId="7" priority="104"/>
  </conditionalFormatting>
  <conditionalFormatting sqref="B11 E11">
    <cfRule type="duplicateValues" dxfId="6" priority="105"/>
  </conditionalFormatting>
  <conditionalFormatting sqref="B11">
    <cfRule type="duplicateValues" dxfId="5" priority="106"/>
  </conditionalFormatting>
  <conditionalFormatting sqref="B1:B9 B12:B1048576">
    <cfRule type="duplicateValues" dxfId="4" priority="13047"/>
  </conditionalFormatting>
  <conditionalFormatting sqref="E1:E9 E12:E16 E18:E1048576">
    <cfRule type="duplicateValues" dxfId="3" priority="13051"/>
  </conditionalFormatting>
  <conditionalFormatting sqref="B1:B9 E1:E9 AV1:AV1048576 E12:E16 B12:B1048576 E18:E1048576">
    <cfRule type="duplicateValues" dxfId="2" priority="13055"/>
  </conditionalFormatting>
  <conditionalFormatting sqref="E1:E9 E12:E16 E18:E1048576">
    <cfRule type="duplicateValues" dxfId="1" priority="13088"/>
    <cfRule type="duplicateValues" dxfId="0" priority="13089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2021-08-04T11:50:30Z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