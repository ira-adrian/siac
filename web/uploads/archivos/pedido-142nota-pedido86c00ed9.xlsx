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1\3° trimestre 2021\Quimicos\"/>
    </mc:Choice>
  </mc:AlternateContent>
  <bookViews>
    <workbookView xWindow="0" yWindow="0" windowWidth="28800" windowHeight="12435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Trimestrales'!$A$9:$I$252</definedName>
    <definedName name="A">'Necesidades Trimestrales'!$C$72</definedName>
    <definedName name="_xlnm.Print_Area" localSheetId="1">' NotaPedido'!$A$1:$I$234</definedName>
    <definedName name="_xlnm.Print_Area" localSheetId="2">'Autor Gastar'!$A$1:$Q$23</definedName>
  </definedNames>
  <calcPr calcId="152511"/>
</workbook>
</file>

<file path=xl/calcChain.xml><?xml version="1.0" encoding="utf-8"?>
<calcChain xmlns="http://schemas.openxmlformats.org/spreadsheetml/2006/main">
  <c r="A254" i="2" l="1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I80" i="1"/>
  <c r="I86" i="1"/>
  <c r="I85" i="1"/>
  <c r="I84" i="1"/>
  <c r="I234" i="1"/>
  <c r="I186" i="1"/>
  <c r="I149" i="1"/>
  <c r="I239" i="1"/>
  <c r="I238" i="1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I254" i="2"/>
  <c r="H254" i="2"/>
  <c r="G254" i="2"/>
  <c r="I253" i="2"/>
  <c r="H253" i="2"/>
  <c r="G253" i="2"/>
  <c r="I252" i="2"/>
  <c r="H252" i="2"/>
  <c r="G252" i="2"/>
  <c r="I251" i="2"/>
  <c r="H251" i="2"/>
  <c r="G251" i="2"/>
  <c r="I250" i="2"/>
  <c r="H250" i="2"/>
  <c r="G250" i="2"/>
  <c r="I249" i="2"/>
  <c r="H249" i="2"/>
  <c r="G249" i="2"/>
  <c r="I248" i="2"/>
  <c r="H248" i="2"/>
  <c r="G248" i="2"/>
  <c r="I247" i="2"/>
  <c r="H247" i="2"/>
  <c r="G247" i="2"/>
  <c r="I246" i="2"/>
  <c r="H246" i="2"/>
  <c r="G246" i="2"/>
  <c r="I245" i="2"/>
  <c r="H245" i="2"/>
  <c r="G245" i="2"/>
  <c r="I244" i="2"/>
  <c r="H244" i="2"/>
  <c r="G244" i="2"/>
  <c r="I243" i="2"/>
  <c r="H243" i="2"/>
  <c r="G243" i="2"/>
  <c r="I242" i="2"/>
  <c r="H242" i="2"/>
  <c r="G242" i="2"/>
  <c r="I241" i="2"/>
  <c r="H241" i="2"/>
  <c r="G241" i="2"/>
  <c r="I229" i="1"/>
  <c r="I156" i="1" l="1"/>
  <c r="I184" i="1"/>
  <c r="I46" i="1"/>
  <c r="I220" i="1"/>
  <c r="I215" i="1"/>
  <c r="I214" i="1"/>
  <c r="I216" i="1"/>
  <c r="I235" i="2" l="1"/>
  <c r="I236" i="2"/>
  <c r="I237" i="2"/>
  <c r="I238" i="2"/>
  <c r="I239" i="2"/>
  <c r="I240" i="2"/>
  <c r="H235" i="2"/>
  <c r="H236" i="2"/>
  <c r="H237" i="2"/>
  <c r="H238" i="2"/>
  <c r="H239" i="2"/>
  <c r="H240" i="2"/>
  <c r="G235" i="2"/>
  <c r="G236" i="2"/>
  <c r="G237" i="2"/>
  <c r="G238" i="2"/>
  <c r="G239" i="2"/>
  <c r="G240" i="2"/>
  <c r="C239" i="2"/>
  <c r="C240" i="2"/>
  <c r="C237" i="2"/>
  <c r="C238" i="2"/>
  <c r="C236" i="2"/>
  <c r="C235" i="2"/>
  <c r="I76" i="1" l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7" i="1"/>
  <c r="I48" i="1"/>
  <c r="I49" i="1"/>
  <c r="I50" i="1"/>
  <c r="I52" i="1"/>
  <c r="I54" i="1"/>
  <c r="I55" i="1"/>
  <c r="I57" i="1"/>
  <c r="I58" i="1"/>
  <c r="I59" i="1"/>
  <c r="I60" i="1"/>
  <c r="I61" i="1"/>
  <c r="I63" i="1"/>
  <c r="I64" i="1"/>
  <c r="I65" i="1"/>
  <c r="I66" i="1"/>
  <c r="I67" i="1"/>
  <c r="I68" i="1"/>
  <c r="I69" i="1"/>
  <c r="I71" i="1"/>
  <c r="I72" i="1"/>
  <c r="I73" i="1"/>
  <c r="I74" i="1"/>
  <c r="I75" i="1"/>
  <c r="I77" i="1"/>
  <c r="I78" i="1"/>
  <c r="I79" i="1"/>
  <c r="I81" i="1"/>
  <c r="I82" i="1"/>
  <c r="I83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5" i="1"/>
  <c r="I139" i="1"/>
  <c r="I140" i="1"/>
  <c r="I141" i="1"/>
  <c r="I142" i="1"/>
  <c r="I143" i="1"/>
  <c r="I144" i="1"/>
  <c r="I145" i="1"/>
  <c r="I146" i="1"/>
  <c r="I147" i="1"/>
  <c r="I148" i="1"/>
  <c r="I150" i="1"/>
  <c r="I151" i="1"/>
  <c r="I152" i="1"/>
  <c r="I153" i="1"/>
  <c r="I154" i="1"/>
  <c r="I155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3" i="1"/>
  <c r="I185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7" i="1"/>
  <c r="I208" i="1"/>
  <c r="I211" i="1"/>
  <c r="I213" i="1"/>
  <c r="I217" i="1"/>
  <c r="I218" i="1"/>
  <c r="I221" i="1"/>
  <c r="I223" i="1"/>
  <c r="I224" i="1"/>
  <c r="I225" i="1"/>
  <c r="I226" i="1"/>
  <c r="I227" i="1"/>
  <c r="I228" i="1"/>
  <c r="I230" i="1"/>
  <c r="I231" i="1"/>
  <c r="I232" i="1"/>
  <c r="I233" i="1"/>
  <c r="I235" i="1"/>
  <c r="I236" i="1"/>
  <c r="I237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137" i="1"/>
  <c r="I136" i="1"/>
  <c r="I138" i="1"/>
  <c r="I15" i="1"/>
  <c r="I14" i="1"/>
  <c r="I13" i="1"/>
  <c r="I12" i="1"/>
  <c r="I134" i="1"/>
  <c r="I222" i="1"/>
  <c r="I53" i="1"/>
  <c r="I209" i="1"/>
  <c r="I56" i="1"/>
  <c r="I206" i="1"/>
  <c r="I10" i="1"/>
  <c r="I205" i="1"/>
  <c r="I11" i="1"/>
  <c r="I219" i="1"/>
  <c r="I62" i="1"/>
  <c r="I212" i="1"/>
  <c r="I51" i="1"/>
  <c r="I70" i="1"/>
  <c r="I210" i="1"/>
  <c r="I182" i="1"/>
  <c r="I16" i="1"/>
  <c r="I234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12" i="2"/>
  <c r="G224" i="2"/>
  <c r="G225" i="2"/>
  <c r="G226" i="2"/>
  <c r="G227" i="2"/>
  <c r="G228" i="2"/>
  <c r="G229" i="2"/>
  <c r="G230" i="2"/>
  <c r="G231" i="2"/>
  <c r="G232" i="2"/>
  <c r="G233" i="2"/>
  <c r="G234" i="2"/>
  <c r="G219" i="2"/>
  <c r="G220" i="2"/>
  <c r="G221" i="2"/>
  <c r="G222" i="2"/>
  <c r="G223" i="2"/>
  <c r="C231" i="2"/>
  <c r="C232" i="2"/>
  <c r="C233" i="2"/>
  <c r="C234" i="2"/>
  <c r="C228" i="2"/>
  <c r="C229" i="2"/>
  <c r="C230" i="2"/>
  <c r="C224" i="2"/>
  <c r="C225" i="2"/>
  <c r="C226" i="2"/>
  <c r="C227" i="2"/>
  <c r="C220" i="2"/>
  <c r="C221" i="2"/>
  <c r="C222" i="2"/>
  <c r="C223" i="2"/>
  <c r="C219" i="2"/>
  <c r="G211" i="2"/>
  <c r="G212" i="2"/>
  <c r="G213" i="2"/>
  <c r="G214" i="2"/>
  <c r="G215" i="2"/>
  <c r="G216" i="2"/>
  <c r="G217" i="2"/>
  <c r="G218" i="2"/>
  <c r="C211" i="2"/>
  <c r="C212" i="2"/>
  <c r="C213" i="2"/>
  <c r="C214" i="2"/>
  <c r="C215" i="2"/>
  <c r="C216" i="2"/>
  <c r="C217" i="2"/>
  <c r="C218" i="2"/>
  <c r="H255" i="2" l="1"/>
  <c r="A211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12" i="2"/>
  <c r="A212" i="2" l="1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12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12" i="2"/>
  <c r="A213" i="2" l="1"/>
  <c r="Q19" i="3"/>
  <c r="A214" i="2" l="1"/>
  <c r="A215" i="2" l="1"/>
  <c r="A216" i="2" l="1"/>
  <c r="A217" i="2" l="1"/>
  <c r="A218" i="2" l="1"/>
</calcChain>
</file>

<file path=xl/sharedStrings.xml><?xml version="1.0" encoding="utf-8"?>
<sst xmlns="http://schemas.openxmlformats.org/spreadsheetml/2006/main" count="1309" uniqueCount="342">
  <si>
    <t>JURISDICCION:</t>
  </si>
  <si>
    <t xml:space="preserve">SAF N°: </t>
  </si>
  <si>
    <t>EJERCICIO:</t>
  </si>
  <si>
    <t>TRIMESTRE:</t>
  </si>
  <si>
    <t>ID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</si>
  <si>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</si>
  <si>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</si>
  <si>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</si>
  <si>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</si>
  <si>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</si>
  <si>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</si>
  <si>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</si>
  <si>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</si>
  <si>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</si>
  <si>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</si>
  <si>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</si>
  <si>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</si>
  <si>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</si>
  <si>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</si>
  <si>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</si>
  <si>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</si>
  <si>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</si>
  <si>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</si>
  <si>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</si>
  <si>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</si>
  <si>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</si>
  <si>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</si>
  <si>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</si>
  <si>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</si>
  <si>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</si>
  <si>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</si>
  <si>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</si>
  <si>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</si>
  <si>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</si>
  <si>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</si>
  <si>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</si>
  <si>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</si>
  <si>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</si>
  <si>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</si>
  <si>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</si>
  <si>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</si>
  <si>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</si>
  <si>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</si>
  <si>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</si>
  <si>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</si>
  <si>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</si>
  <si>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</si>
  <si>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</si>
  <si>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</si>
  <si>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40 - Ministerio de Salud</t>
  </si>
  <si>
    <t>CAJA</t>
  </si>
  <si>
    <t>UNIDAD</t>
  </si>
  <si>
    <t>NO</t>
  </si>
  <si>
    <t>QUIMICOS</t>
  </si>
  <si>
    <t>ADQUISICION DE COMPUESTOS QUIMICOS</t>
  </si>
  <si>
    <t>40- Ministerio de Salud</t>
  </si>
  <si>
    <t>SI</t>
  </si>
  <si>
    <t>CASSETTE</t>
  </si>
  <si>
    <t xml:space="preserve">URINE STRIP  WIENER  X 100 TIRAS </t>
  </si>
  <si>
    <t>PRECI CONTROL AMH</t>
  </si>
  <si>
    <t>FRASCO</t>
  </si>
  <si>
    <t>AGAR LEVINE: X 500 GR</t>
  </si>
  <si>
    <t>PLACA CROMOGENICA P /EGB X 20 U</t>
  </si>
  <si>
    <t>HEMOCULTIVO AUTOMATIZADO P/ PEDIATRICO X 100 U</t>
  </si>
  <si>
    <t>PORTA OBJETOS X 50 UNID.</t>
  </si>
  <si>
    <t>CUBRE OBJETOS 20 X 20 X 100 UNID.</t>
  </si>
  <si>
    <t>CODIGO DE ITEMS</t>
  </si>
  <si>
    <t>I.P.P</t>
  </si>
  <si>
    <t>Descripción técnica</t>
  </si>
  <si>
    <t>Plazos de entrega</t>
  </si>
  <si>
    <t>Lugar de Entrega:</t>
  </si>
  <si>
    <t>Calidad Minima esperada</t>
  </si>
  <si>
    <t>Mantenimiento</t>
  </si>
  <si>
    <t>Garantia</t>
  </si>
  <si>
    <t>SERVICIO DE LABORATORIO -MATERNIDAD PROVINCIAL 25 DE MAYO - HERNANDO DE PEDRAZA 1650</t>
  </si>
  <si>
    <t>2.5.1</t>
  </si>
  <si>
    <t>2.9.5</t>
  </si>
  <si>
    <t>2.3.4</t>
  </si>
  <si>
    <t xml:space="preserve">Pedido de Necesidades Trimestrales
</t>
  </si>
  <si>
    <t>Compuestos Químicos</t>
  </si>
  <si>
    <t>ACEITE DE INMERSIÓN : X 100 ML</t>
  </si>
  <si>
    <t>ACIDO LACTICO COBAS C-311 ROCHE  X  100 DET</t>
  </si>
  <si>
    <t>ACIDO URICO COBAS C-311 ROCHE  X 400 DET</t>
  </si>
  <si>
    <t>AGAR BASE SANGRE :  X 500 GR</t>
  </si>
  <si>
    <t>AGAR BILIS ESCULINA, ESTADO: SOLIDO, PRESENTACION: ENVASE X 100 GR</t>
  </si>
  <si>
    <t>AGAR C.L.D.E:  X 500 GR</t>
  </si>
  <si>
    <t>AGAR CITRATO DE SIMMONS, ESTADO: SOLIDO, PRESENTACION: ENVASE X 100 GR</t>
  </si>
  <si>
    <t>AGAR DNASA:  X 100 GR</t>
  </si>
  <si>
    <t>AGAR HIERRO TRIPLE AZUCAR, ESTADO: SOLIDO, PRESENTACION: ENVASE X 100 GR</t>
  </si>
  <si>
    <t>AGAR LISINA HIERRO, ESTADO: SOLIDO, PRESENTACION: ENVASE X 100 GR</t>
  </si>
  <si>
    <t>AGAR MANITOL SALADO, ESTADO: SOLIDO, PRESENTACION: ENVASE X 100 GR</t>
  </si>
  <si>
    <t>AGAR MULLER HILTON, ESTADO: SOLIDO, PRESENTACION: ENVASE X 500 GR</t>
  </si>
  <si>
    <t>AGAR SALMONELLA- SHIGELLA, ESTADO: SOLIDO, PRESENTACION: ENVASE X 100 GR</t>
  </si>
  <si>
    <t>AGAR SIM, ESTADO: SOLIDO, PRESENTACION: ENVASE X 100 GR</t>
  </si>
  <si>
    <t>ALBUMINA COBAS C-311 ROCHE  X 300 DET</t>
  </si>
  <si>
    <t>ALBUMINA P/MICROALBUMINURIA  COBAS C-311 ROCHE X 100 DET</t>
  </si>
  <si>
    <t>AMILASA TOTAL COBAS C-311 ROCHE  X 300 DET</t>
  </si>
  <si>
    <t xml:space="preserve">AUTOCHECK NIVEL 2 ( AMARILLO) </t>
  </si>
  <si>
    <t>AZITROMICINA 15 µGR DISCO 50 UN</t>
  </si>
  <si>
    <t>BILIRRUBINA DIRECTA COBAS C-311 ROCHE  X 350  DET</t>
  </si>
  <si>
    <t>BILIRRUBINA TOTAL GEN 3 COBAS C-311 ROCHE  X 250 DET</t>
  </si>
  <si>
    <t>CALCIO COBAS C-311 ROCHE  X 300 DET</t>
  </si>
  <si>
    <t xml:space="preserve">CALIBRADOR  AMH X 10 CAL  COBAS E-411  ROCHE </t>
  </si>
  <si>
    <t xml:space="preserve">CALIBRADOR  PROLACTINA X  10 CAL  COBAS E-411 ROCHE </t>
  </si>
  <si>
    <t xml:space="preserve">CALIBRADOR  S-HBG  X  10 CAL  COBAS E-411 ROCHE </t>
  </si>
  <si>
    <t>CALIBRADOR ( CALSET) ANTI TPO X 10 CAL COBAS E-411 ROCHE</t>
  </si>
  <si>
    <t>CALIBRADOR ( CALSET) CORTISOL X 10 CAL COBAS E-411 ROCHE</t>
  </si>
  <si>
    <t>CALIBRADOR (CALSET) ESTRADIOL X 10 CAL COBAS E-411 ROCHE</t>
  </si>
  <si>
    <t>CALIBRADOR (CALSET) FSH  X 10 CAL COBAS E-411 ROCHE</t>
  </si>
  <si>
    <t>CALIBRADOR B-HCG X 10 CAL COBAS E-411 ROCHE</t>
  </si>
  <si>
    <t xml:space="preserve">CALIBRADOR FT4 X 10 CAL COBAS E-411 ROCHE </t>
  </si>
  <si>
    <t>CALIBRADOR PARA INSULINA X 10 CAL COBAS E-411 ROCHE</t>
  </si>
  <si>
    <t>CALIBRADOR PARA LH  X 10  CAL COBAS E-411 ROCHE</t>
  </si>
  <si>
    <t>CALIBRADOR PARA T3 LIBRE COBAS E-411 ROCHE  X 100 DET</t>
  </si>
  <si>
    <t>CALIBRADOR T3 TOTAL X 10 CAL  COBAS E-411 ROCHE</t>
  </si>
  <si>
    <t>CALIBRADOR TSH  X 10 CAL COBAS E-411  ROCHE</t>
  </si>
  <si>
    <t>CALIIBRADOR (CALSET) DHEA-S  X 10 CAL COBAS E-411 ROCHE</t>
  </si>
  <si>
    <t>CHAGAS ELISA LISADO WIENER X 96  DET</t>
  </si>
  <si>
    <t xml:space="preserve">CHAGAS HAI  WIENER  X 96 DET </t>
  </si>
  <si>
    <t>CIM PARA VANCOMICINA X 30 TIRAS</t>
  </si>
  <si>
    <t xml:space="preserve">CK-MB  COBAS  C-311 ROCHE  X 100 DET </t>
  </si>
  <si>
    <t>CLEAN CELL COBAS E411</t>
  </si>
  <si>
    <t>CLEANING SOLUTION  X 175 ML   PARA ABL 800</t>
  </si>
  <si>
    <t>COLESTEROL TOTAL COBAS C-311 ROCHE  X 400 DET</t>
  </si>
  <si>
    <t>CREATIN QUINASA COBAS C-311 ROCHE  X 200 DET</t>
  </si>
  <si>
    <t>CREATININA JAFFE COBAS C-311 ROCHE  X 700 DET</t>
  </si>
  <si>
    <t>CUBETAS PARA COAGULOMETRO SIEMENS BFT II X 100 UNIDADES X 5 PLANCHAS</t>
  </si>
  <si>
    <t>CUBETAS REACTION CELL FOR COBAS C-311 ROCHE</t>
  </si>
  <si>
    <t>DECOLORANTE PARA GRAM, ESTADO: LÍQUIDO, PRESENTACIÓN: ENVASE POR 100 ML</t>
  </si>
  <si>
    <t>DETERGENTE P/CONTADOR MINDRAY BC3000 PLUS X 5 L</t>
  </si>
  <si>
    <t>DILUYENTE PARA CONTADOR HEMATOLOGICO MINDRAY BC-3000 PLUS  X 20 LITROS</t>
  </si>
  <si>
    <t xml:space="preserve">DIMERO D  COBAS C-311 ROCHE  X 100 DET </t>
  </si>
  <si>
    <t>DIMERO D  GEN 2 CALIBRADOR SET 6X0,5 ML  COBAS C-311 ROCHE</t>
  </si>
  <si>
    <t>DIMERO D GEN 2 CONTROL I  / II  NIVEL 1 : 2 X 1 ML  NIVEL 2 : 2 X 1 ML  COBAS C-311 ROCHE</t>
  </si>
  <si>
    <t>DISCO AMICACINA 30 µGR, ESTADO:  CALIDAD: PRO ANALISIS, PRESENTACION: ENVASE X 50 UN</t>
  </si>
  <si>
    <t>DISCO AMOXICILINA+CLAVULANICO, ESTADO:  CALIDAD: PRO ANALISIS, PRESENTACION: ENVASE X 50 UN</t>
  </si>
  <si>
    <t>DISCO AMPICILINA + SULBACTAM 10/10 µGR DISCO X 50 UN</t>
  </si>
  <si>
    <t>DISCO AMPICILINA 10 µGR, ESTADO:  CALIDAD: PRO ANALISIS, PRESENTACION: ENVASE X 50 UN</t>
  </si>
  <si>
    <t>DISCO AZTREONAM 30 µGR DISCO 50 UN</t>
  </si>
  <si>
    <t>DISCO CEFAZOLINA, ESTADO: DISCO, CALIDAD: PRO ANALISIS, PRESENTACION: 50 X ENVASE X 30 µGR</t>
  </si>
  <si>
    <t>DISCO CEFEPIME 30 µGR, ESTADO: DISCO, CALIDAD: PRO ANALISIS, PRESENTACION: ENVASE X 50 UN</t>
  </si>
  <si>
    <t>DISCO CEFOTAXIMA 30 µGR DISCO X 50 UN</t>
  </si>
  <si>
    <t>DISCO CEFTAZIDIMA 30 µGR, ESTADO: DISCO, CALIDAD: PRO ANALISIS, PRESENTACION: ENVASE X 50 UN</t>
  </si>
  <si>
    <t>DISCO CEFTAZIDIMA AC.CLAVULAN.30/10 µGR DISCO X 50 UN</t>
  </si>
  <si>
    <t>DISCO CEFUROXIMA 30 µGR DISCO X 50 UN</t>
  </si>
  <si>
    <t>DISCO COLISTINA 10 µGR, ESTADO: DISCO, CALIDAD: PRO ANALISIS, PRESENTACION: ENVASE X 50 UN</t>
  </si>
  <si>
    <t>DISCO ERITROMICINA 15 µGR DISCO X 50 UN</t>
  </si>
  <si>
    <t>DISCO ESTREPTOMICINA 300 µGR, ESTADO: DISCO, CALIDAD: PRO ANALISIS, PRESENTACION: ENVASE X 50 UN</t>
  </si>
  <si>
    <t>DISCO FOSFOMICINA TROMETAMOL 200 UGX 50 UN</t>
  </si>
  <si>
    <t>DISCO IMIPENEM 10 µGR, ESTADO: DISCO, CALIDAD: PRO ANALISIS, PRESENTACION: ENVASE X 50 UN</t>
  </si>
  <si>
    <t>DISCO LEVOFLOXACINA 5 µGR DISCO X 50 UN</t>
  </si>
  <si>
    <t>DISCO MEROPENEM 10 µGR, ESTADO: DISCO, CALIDAD: PRO ANALISIS, PRESENTACION: ENVASE X 50 UN</t>
  </si>
  <si>
    <t>DISCO NITROFURANTOINA 300 µGR, ESTADO: DISCO, CALIDAD: PRO ANALISIS, PRESENTACION: ENVASE X 50 UN</t>
  </si>
  <si>
    <t>DISCO OXACILINA 1 µGR, ESTADO: DISCO, CALIDAD: PRO ANALISIS, PRESENTACION: ENVASE X 50 UN</t>
  </si>
  <si>
    <t>DISCO OXIDASA DISCOS X  25 U</t>
  </si>
  <si>
    <t>DISCO PIPERACILINA TAZOBACTAM 100/10 µGR, ESTADO: DISCO, CALIDAD: PRO ANALISIS, PRESENTACION: ENVASE X 50 UN</t>
  </si>
  <si>
    <t>DISCO TEICOPLANINA 30 µGR, ESTADO: DISCO, CALIDAD: PRO ANALISIS, PRESENTACION: ENVASE X 50 UN</t>
  </si>
  <si>
    <t>DISCO TIGECICLINA 50 µGR, ESTADO: DISCO, CALIDAD: PRO ANALISIS, PRESENTACION: ENVASE X 50 UN</t>
  </si>
  <si>
    <t>DISCOS CEFOTAXIMA/CLAVULÀNICO 30/10X 50T/BRITANIA Y/OLIOFILCHEM</t>
  </si>
  <si>
    <t>DISCOS DE CEFOXITINA 30 UG. X 50 T/LIOFILCHEM Y/O BRITANIA</t>
  </si>
  <si>
    <t>DISCOS DE CIPROFLOXACINA X 5 UG X 50 T/BRITANIA Y/O LIOFILCHEM</t>
  </si>
  <si>
    <t>DISCOS DE CLINDAMICINA 2 UG.  X 50 T/BRITANIA Y/O LIOFILCHEM</t>
  </si>
  <si>
    <t>DISCOS DE ERTAPENEM 10 UG X 50 T/BRITANIA Y/O LIOFILCHEM</t>
  </si>
  <si>
    <t>DISCOS DE GENTAMICINA 120 UG X 50 U</t>
  </si>
  <si>
    <t>DISCOS DE GENTAMICINA X 10 UG. X 50 T/BRITANIA</t>
  </si>
  <si>
    <t>DISCOS DE MINOCICLINA X 50 U - BRITANIA</t>
  </si>
  <si>
    <t>DISCOS DE RIFAMPICINA X 5UG. X 50  T/LIOFILCHEM Y/O BRITANIA</t>
  </si>
  <si>
    <t>ECOTERGENT  X 60 ML COBAS C-311 ROCHE</t>
  </si>
  <si>
    <t>EDTA DISCO X 50 UN</t>
  </si>
  <si>
    <t>ELECSYS DILUYENTE UNIVERSAL COBAS E-411 ROCHE  X 2 X 18 ML</t>
  </si>
  <si>
    <t>ELECSYS SYSWASH COBAS E-411 ROCHE  X  500 ML</t>
  </si>
  <si>
    <t>FOSFATASA ALCALINA ALP2 (IFCC) COBAS C-311 ROCHE  X 400 DET</t>
  </si>
  <si>
    <t>FOSFORO COBAS C-311 ROCHE  X 250 DET</t>
  </si>
  <si>
    <t>GAS 1 PARA ABL 800</t>
  </si>
  <si>
    <t>GAS 2 PARA ABL 800</t>
  </si>
  <si>
    <t>GGT COBAS C-311 ROCHE X 400 DET</t>
  </si>
  <si>
    <t>GLUCOCURVE 75  X 10 SOBRES 82,5 G C/U</t>
  </si>
  <si>
    <t>GLUCOSA HK GEN COBAS C-311 ROCHE X 800 DET</t>
  </si>
  <si>
    <t>GOT/AST  (IFCC) COBAS C-311 ROCHE  X 500 DET</t>
  </si>
  <si>
    <t>GPT/ALT (IFCC) COBAS C-311 ROCHE  X 500 DET</t>
  </si>
  <si>
    <t>HBSAG ELISA WIENER  X 96 DET</t>
  </si>
  <si>
    <t>HEMOCULTIVO AUTOMATIZADO P/BACTALERT ADULTO X 100 U</t>
  </si>
  <si>
    <t>HIERRO COBAS C-311 ROCHE  X 200 DET</t>
  </si>
  <si>
    <t xml:space="preserve">HYPOCHLORITE SOLUTION  X 100 ML  PARA ABL 800 </t>
  </si>
  <si>
    <t>INLET PARA ABL 800</t>
  </si>
  <si>
    <t>KIT CALIBRADORES PARA ACIDOS BILIARES RANDOX COBAS C-311 ROCHE</t>
  </si>
  <si>
    <t>KIT CONTROLES BAJO Y ALTO PARA ACIDOS BILIARES RANDOX COBAS C-311 ROCHE</t>
  </si>
  <si>
    <t>KIT PARA RETICULOCITOS (AZUL DE CRESIL BRILLANTE) X 50 TUBOS DELTALAB</t>
  </si>
  <si>
    <t xml:space="preserve">KIT REACTIVO PARA ACIDOS BILIARES RANDOX COBAS C-311 ROCHE </t>
  </si>
  <si>
    <t>KIT TOXOPLASMOSIS IG G COBAS E-411 ROCHE X 100 DET</t>
  </si>
  <si>
    <t>KIT TOXOPLASMOSIS IG M COBAS E-411 ROCHE X 100 DET</t>
  </si>
  <si>
    <t xml:space="preserve">LAMPARA HALOGENA COBAS C-311 ROCHE </t>
  </si>
  <si>
    <t>LDH OPTIMIZADA COBAS C-311 ROCHE X 300 DET</t>
  </si>
  <si>
    <t>LEUCINAMINOPEPTIDASA ( LAP)X 25 U</t>
  </si>
  <si>
    <t>LIPASA COBAS C-311 ROCHE  X 200 DET</t>
  </si>
  <si>
    <t>LUGOL CONCENTRADO: X 500 ML</t>
  </si>
  <si>
    <t>M-52 DIFF  LYSE  PARA MINDRAY BC-5150 X 500 ML</t>
  </si>
  <si>
    <t>M-52 LH LYSE  PARA MINDRAY BC-5150 X 100 ML</t>
  </si>
  <si>
    <t>M-52D - DILUENT PARA MINDRAY BC-5150 X 20 LITROS</t>
  </si>
  <si>
    <t>MAGNESIO COBAS C-311 ROCHE  X 175 DET</t>
  </si>
  <si>
    <t>MEDIO MIO:X 100 GR</t>
  </si>
  <si>
    <t>MEMBRANA DE CALCIO PARA ABL 800</t>
  </si>
  <si>
    <t>MEMBRANA DE CLORO PARA ABL 800</t>
  </si>
  <si>
    <t>MEMBRANA DE GLUCOSA  PARA ABL 800</t>
  </si>
  <si>
    <t xml:space="preserve">MEMBRANA DE PCO2   PARA ABL 800 </t>
  </si>
  <si>
    <t xml:space="preserve">MEMBRANA DE PO2 PARA ABL 800 </t>
  </si>
  <si>
    <t>MEMBRANA DE POTASIO PARA ABL 800</t>
  </si>
  <si>
    <t xml:space="preserve">MEMBRANA DE REFERENCIA PARA ABL 800 </t>
  </si>
  <si>
    <t>MEMBRANA DE SODIO PARA ABL 800</t>
  </si>
  <si>
    <t>NAOH - D CASSETTE P/COBAS C311</t>
  </si>
  <si>
    <t>PENICILINA 10 µGR, ESTADO: DISCO X 50 UN</t>
  </si>
  <si>
    <t>PRECI CONTROL CLINCHEM  MULTI 1  QCS COBAS C-311 ROCHE  20 X 5 ML</t>
  </si>
  <si>
    <t>PRECI CONTROL CLINCHEM  MULTI 2  QCS COBAS C-311 ROCHE  20 X 5 ML</t>
  </si>
  <si>
    <t>PRECICONTROL  TOXO IGG  COBAS E-411 ROCHE</t>
  </si>
  <si>
    <t>PRECICONTROL  TOXO IGM  COBAS E-411 ROCHE</t>
  </si>
  <si>
    <t>PRECINORM PUC COBAS C-311 ROCHE  4 X 3 ML</t>
  </si>
  <si>
    <t>PRECIPATH PUC COBAS C-311 ROCHE  4 X 3 ML</t>
  </si>
  <si>
    <t>PRO CELL COBAS E-411N ROCHE X 2 L</t>
  </si>
  <si>
    <t xml:space="preserve">PROTEINA C REACTIVA  CRP COBAS C-311 ROCHE  X 250 DET </t>
  </si>
  <si>
    <t>PROTEINAS TOTALES COBAS C-311 ROCHE  X 300 DET</t>
  </si>
  <si>
    <t>PYR-A ENTEROCOSC/REVELADOR DISCO  X 25 U</t>
  </si>
  <si>
    <t>REACTIVO  CORTISOL COBAS E-411 ROCHE  X 100 DET</t>
  </si>
  <si>
    <t>REACTIVO  DHEA-S COBAS E-411 ROCHE X 100 DET</t>
  </si>
  <si>
    <t xml:space="preserve">REACTIVO ACCESORIO X 2750 DETERMINACIONES COBAS C-311 ROCHE </t>
  </si>
  <si>
    <t>REACTIVO AMH (HORMONA ANTI MULLERIANA) COBAS E -411 ROCHE  X 100 DET</t>
  </si>
  <si>
    <t>REACTIVO ANTI TPO COBAS E-411 ROCHE X 100 DET</t>
  </si>
  <si>
    <t>REACTIVO B-HCG COBAS E-411 ROCHE  X 100 DET</t>
  </si>
  <si>
    <t>REACTIVO ESTRADIOL COBAS E-411 ROCHE  X 100 DET</t>
  </si>
  <si>
    <t>REACTIVO FSH COBAS E-411 ROCHE X 100 DET</t>
  </si>
  <si>
    <t>REACTIVO INSULINA COBAS E-411 ROCHE  X 100 DET</t>
  </si>
  <si>
    <t>REACTIVO LH COBAS E-411 ROCHE  X 100 DET</t>
  </si>
  <si>
    <t>REACTIVO PROGESTERONA COBAS E-411 ROCHE  X 100 DET</t>
  </si>
  <si>
    <t>REACTIVO PROLACTINA COBAS E-411 ROCHE X 100 DET</t>
  </si>
  <si>
    <t>REACTIVO S-HBG COBAS E-411 ROCHE  X 100 DET</t>
  </si>
  <si>
    <t>REACTIVO T3  TOTAL COBAS E-411 ROCHE  X 100 DET</t>
  </si>
  <si>
    <t>REACTIVO T3 LBRE COBAS E-411 ROCHE  X 100 DET</t>
  </si>
  <si>
    <t>REACTIVO T4 LIBRE  (FT4)   COBAS E-411 ROCHE X 200 DET</t>
  </si>
  <si>
    <t>REACTIVO TSH  V2 COBAS E-411 ROCHE  X  200 DET</t>
  </si>
  <si>
    <t>RINSE SOLUTION  X 600 ML PARA ABL 800</t>
  </si>
  <si>
    <t>ROLLO DE PAPEL PARA MINDRAY BC-3000 PLUS PAQUETE X 6 UNIDADES</t>
  </si>
  <si>
    <t>ROLLO DE PAPEL PARA MINDRAY BC-5150 PAQUETE X 6 UNIDADES</t>
  </si>
  <si>
    <t>SERODIA  TPPA  ( 4  X 55 )</t>
  </si>
  <si>
    <t xml:space="preserve">TRIGLICERIDOS COBAS C-311 ROCHE  X 250 DET </t>
  </si>
  <si>
    <t>U/CSF PROTEINA URINARIA COBAS C-311 ROCHE X 150 DET</t>
  </si>
  <si>
    <t>UREA  COBAS C-311 ROCHE X 500 DET</t>
  </si>
  <si>
    <t xml:space="preserve">VDRL TEST  1 X 5,5 ML WIENER </t>
  </si>
  <si>
    <t>VIOLETA DE GENCIANA CONCENTRADO: X 500 ML</t>
  </si>
  <si>
    <t>W19  CONTROL AA 3 NIVELES 3 X 3 ML  (BAJO - NORMAL - ALTO ) WIENER</t>
  </si>
  <si>
    <t>28- Maternidad Provincial 25 de Mayo</t>
  </si>
  <si>
    <t>28 - MATERNIDAD PROVINCIAL 25 DE MAYO</t>
  </si>
  <si>
    <t>Año 2021</t>
  </si>
  <si>
    <t>Productos de Papel y Cartón</t>
  </si>
  <si>
    <t>Utiles Menores Médico, Quirúrgico y de Laboratorio</t>
  </si>
  <si>
    <t xml:space="preserve">ELECSYS FREE B-hCg x 100 DET - ROCHE </t>
  </si>
  <si>
    <t>ELECSYS FREE B-hCg CALSET X 10 CAL - ROCHE</t>
  </si>
  <si>
    <t>ELECSYS PAPP-A ( pregnancy-associated plasma protein A) X 100 DET - ROCHE</t>
  </si>
  <si>
    <t xml:space="preserve"> ELECSYS PARP-A CALSET X 10 CAL - ROCHE</t>
  </si>
  <si>
    <t xml:space="preserve"> ELECSYS  sFlt-1 x 100 DET - ROCHE</t>
  </si>
  <si>
    <t xml:space="preserve"> ELECSYS  PIGF ( Placental Growth Factor) x 100 DET - ROCHE</t>
  </si>
  <si>
    <t xml:space="preserve"> ELECSYS  sFlt-1 CALSET X 10 CAL - ROCHE</t>
  </si>
  <si>
    <t>ELECSYS  PIGF CALSET X 10 CAL - ROCHE</t>
  </si>
  <si>
    <t>REACTIVO FERRITINA COBAS E-311 x 100 DETERMINACIONES</t>
  </si>
  <si>
    <t>3 ° Trimestre -Año 2021</t>
  </si>
  <si>
    <t>CALIBRADOR  FERRITINA  COBAS E-311  x 10 CALIBRADORES</t>
  </si>
  <si>
    <t>REACTIVO  CA 125 G2 x 100 DETERMINACIONES  COBAS E-411 ROCHE</t>
  </si>
  <si>
    <t xml:space="preserve">  CALIBRADOR CA 125 G2 x 10 CALIBRADORES  COBAS E-411 ROCHE</t>
  </si>
  <si>
    <t>REACTIVO   CEA  x 100 DETERMINACIONES COBAS E-411 ROCHE</t>
  </si>
  <si>
    <t xml:space="preserve">  CALIBRADOR CEA x 10 CALIBRADORES  COBAS E-411 ROCHE</t>
  </si>
  <si>
    <t>REACTIVO CA 15-3  x 100 DETERMINACIONES COBAS E-411 ROCHE</t>
  </si>
  <si>
    <t>CALIBRADOR CA 15-3 x 10 CALIBRADORES  COBAS E-411 ROCHE</t>
  </si>
  <si>
    <t>REACTIVO ALFAFETO PROTEINA (AFP) x 100 DETERMINACIONES COBAS E-411 ROCHE</t>
  </si>
  <si>
    <t>CALIBRADOR  ALFAFETOPROTEINA (AFP)  x 10 CALIBRADORES COBAS E-411 ROCHE</t>
  </si>
  <si>
    <t>CALIBRADOR VITAMINA D TOTAL  x 10 CALIBRADORES COBAS-411 ROCHE</t>
  </si>
  <si>
    <t>REACTIVO  VITAMINA D TOTAL x 100 det COBAS E-411 ROCHE</t>
  </si>
  <si>
    <t>REACTIVO  TROPONINA T - HS COBAS E-411 x 100 DETERMINACIONES</t>
  </si>
  <si>
    <t>CALIBRADOR  TROPONINA T - HS  COBAS E-411 ROCHE x 10 CALIBRADORES</t>
  </si>
  <si>
    <t>MYCOFAST REVOLUTION x 25 det  ELITECH</t>
  </si>
  <si>
    <t>CHLAMYDIA CHECK TEST x 20 det  VEDA LAB</t>
  </si>
  <si>
    <t>REACTIVO DE COOMBS POLIESPECIFICO X 10 ML- WINER</t>
  </si>
  <si>
    <t xml:space="preserve">CAJAS TARJETAS LISS/COOMBS PARA TECNICA EN GEL POR 48 UNIDADES DIAMED-BIORAD </t>
  </si>
  <si>
    <t>PANEL CELULAR I y II EN CAJA DE 2 VIALES X 10 ML DIAMED-BIORAD</t>
  </si>
  <si>
    <t>REACTIVO SOLUCION DE BAJA FUERZA IONICA (LISS ADITIVO) X 10 ML- WIENER</t>
  </si>
  <si>
    <t xml:space="preserve">UNIDAD </t>
  </si>
  <si>
    <t>CAJAS</t>
  </si>
  <si>
    <t>Servicio de Laboratorio-(Bacteriología)-(Hemoterapia)</t>
  </si>
  <si>
    <t>Para la adquisición de Compuestos Químicos, para ser destinados al Servicio de Laboratorio-Sector Bacteriología y Sector Hemoterapia de la Maternidad Provincial 25 de Mayo.-</t>
  </si>
  <si>
    <t xml:space="preserve">169-Direccion Asistencial </t>
  </si>
  <si>
    <t xml:space="preserve">20 dias corridos desde la firma del documento contractual </t>
  </si>
  <si>
    <t xml:space="preserve">30 DIAS </t>
  </si>
  <si>
    <t>Horario de 07:00 a 12:00</t>
  </si>
  <si>
    <t>S1  RINSE SOLUTION</t>
  </si>
  <si>
    <t>UNUDAD</t>
  </si>
  <si>
    <t>S2 FLUID PACK</t>
  </si>
  <si>
    <t>HB CALIBRATOR 5X1ML</t>
  </si>
  <si>
    <t>PCO 2 MICRO ELECTRODE</t>
  </si>
  <si>
    <t>REFERENCE MICROELECTRODE</t>
  </si>
  <si>
    <t>COMBITROL PLUS NIVEL 1</t>
  </si>
  <si>
    <t>COMBITROL PLUS NIVEL 2</t>
  </si>
  <si>
    <t>COMBITROL PLUS NIVEL 3</t>
  </si>
  <si>
    <t>CLEANING KIT FOR CI ELECTRODE</t>
  </si>
  <si>
    <t>JERINGAS HEPARINIZADA BOLSA POR 100 UNIDADES</t>
  </si>
  <si>
    <t>105/2021</t>
  </si>
  <si>
    <t>Autorizo la realización de los  trámites correspondientes, a fin de proveer a  este Organismo los bienes y/o servicios que se detallan en Nota  de Pedido N° 105/2021 ,  afectando la erogación resultante a los créditos presupuestarios aprobados a favor de esta Unidad Ejecutora, conforme al siguiente detalle:"</t>
  </si>
  <si>
    <t>3° TRIMESTRE</t>
  </si>
  <si>
    <t>2010 ASSAY CUP- 10 CALIBRADORES</t>
  </si>
  <si>
    <t>2010 ASSAY TIP- 10 CALIBRADORES</t>
  </si>
  <si>
    <t>Especificidades Item N° 1 a 244:</t>
  </si>
  <si>
    <t>CALIBRADOR PARA PROGESTERONA COBAS E-411 ROCHE - X 10</t>
  </si>
  <si>
    <t>2.9.3</t>
  </si>
  <si>
    <t>Utiles y Materiales Electricos</t>
  </si>
  <si>
    <t>AC. BORONICO 300 UG PRESENTACION : FRASCO X 50 DISCO</t>
  </si>
  <si>
    <t xml:space="preserve">ACIDO FUSIDICO 10 µGR DISCO  PRESENTACION: FRASCO X 50 DISCO </t>
  </si>
  <si>
    <t>ALERE DETERMINE HIV  PRESENTACION: SOBRE X 20 DET</t>
  </si>
  <si>
    <t>ALERE DETERMINE SYPHILIS TP PRESENTACION: SOBREX 20 DETERMINACIONES</t>
  </si>
  <si>
    <t>BAM CON UREA MEDIO PRESENTACION: POTE POR 100 GR</t>
  </si>
  <si>
    <t>C.F.A.S. PUC COBAS C-311 ROCHE  5 UNIDADES X 1 ML</t>
  </si>
  <si>
    <t>CALDO TODD HEWITT C / CONA PRESENTACION: 10 ML</t>
  </si>
  <si>
    <t xml:space="preserve">CALIBRACION SOLUTION 1 PARA ABL 800  PRESENTACION: POR DE 200 ML  </t>
  </si>
  <si>
    <t xml:space="preserve">CALIBRACION SOLUTION 2. PARA ABL 800 PRESENTACION: POR DE 200 ML   </t>
  </si>
  <si>
    <t xml:space="preserve">CAJA </t>
  </si>
  <si>
    <t>CEPILLOS PARA TUBOS DE 1,5 CM X 25 CM</t>
  </si>
  <si>
    <t xml:space="preserve">CELL WASH SOLUTION NAOH-D PRESENTACION: CAJA DE 2 BOTELLAS X 1,8 LITROS CADA UNA </t>
  </si>
  <si>
    <t>CLEANSER EZ PROBE PARA BC 3000 PLUS  PRTESENTACION: BOTELLA X 20 ML</t>
  </si>
  <si>
    <t>DETERGENTE NO IONICO BOTELLA X 1 LITRO WIENER</t>
  </si>
  <si>
    <t>LINEZOLID 30 µGR DISCO PRESENTACION: FRASCO X 50 UN</t>
  </si>
  <si>
    <t xml:space="preserve">FRASCO </t>
  </si>
  <si>
    <t>PAPEL TERMOSENSIBLE PREENTACION: PAQUETE DE 4 ROLLOS PARA ABL 800</t>
  </si>
  <si>
    <t>PAQUETE</t>
  </si>
  <si>
    <t>PLACA DE AGAR MUELLER HINTON SANGRE OVINA  X 10 UNIDADES</t>
  </si>
  <si>
    <t>PLACAS DE PETRI ESTERILES 90 MM X 14 MM</t>
  </si>
  <si>
    <t>PLASMA CONTROL NORMAL  6 UNIDADES  X 1  ML  WIENER</t>
  </si>
  <si>
    <t>PLASMA CONTROL PATOLOGICO  6 UNIDADES  X 1  ML  WIENER</t>
  </si>
  <si>
    <t>REACTIVO ANTI A PARA GRUPO SANGUINEO PRESENTACION :10 ML- WIENER</t>
  </si>
  <si>
    <t>REACTIVO ANTI B PARA GRUPO SANGUINEO PRESENTACION : 10 ML- WINER</t>
  </si>
  <si>
    <t>REACTIVO ANTI D PARA GRUPO SANGUINEO PRESENTACION : 10 ML- WIENER</t>
  </si>
  <si>
    <t>TETRACICLINA 30 µGR DISCO PRESENTACION: FRASCO X 50 UN</t>
  </si>
  <si>
    <t>TRIMETOPRIMA + SULFAMETOXAZOL 25 UGR PRESENTACION FRASCO DISCOX 50 UN</t>
  </si>
  <si>
    <t>TUBOS DE HEMOLISIS DE VIDRIO 12 MM X 100 MM</t>
  </si>
  <si>
    <t>TUBOS DE KHAN DE VIDRIO 12 MM X 75 MM</t>
  </si>
  <si>
    <t>VANCOMICINA 30 µGR DISCO PRESENTACION: FRASCO X 50 UN</t>
  </si>
  <si>
    <t>COSTO TOTAL : NUEVE MILLONES SETECIENTOS CIENCUENTA Y CUATRO MIL VEINTISIETE CON 00/100</t>
  </si>
  <si>
    <r>
      <rPr>
        <b/>
        <u/>
        <sz val="9"/>
        <rFont val="Arial"/>
        <family val="2"/>
      </rPr>
      <t>TOTAL DE PESOS:</t>
    </r>
    <r>
      <rPr>
        <b/>
        <sz val="9"/>
        <rFont val="Arial"/>
        <family val="2"/>
      </rPr>
      <t xml:space="preserve"> NUEVE MILLONES SETECIENTOS CIENCUENTA Y CUATRO MIL VEINTISIETE CON 00/100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</si>
</sst>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\ * #,##0.00_-;\-&quot;$&quot;\ * #,##0.00_-;_-&quot;$&quot;\ * &quot;-&quot;??_-;_-@_-"/>
    <numFmt numFmtId="164" formatCode="dd\-mm\-yy;@"/>
    <numFmt numFmtId="165" formatCode="&quot;$&quot;\ #,##0.00"/>
    <numFmt numFmtId="166" formatCode="_-* #,##0.00&quot; €&quot;_-;\-* #,##0.00&quot; €&quot;_-;_-* \-??&quot; €&quot;_-;_-@_-"/>
  </numFmts>
  <fonts count="3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1"/>
      <color rgb="FF006100"/>
      <name val="Calibri"/>
      <family val="2"/>
      <scheme val="minor"/>
    </font>
    <font>
      <sz val="9"/>
      <color theme="1"/>
      <name val="Arial"/>
      <family val="2"/>
    </font>
    <font>
      <u/>
      <sz val="10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b/>
      <sz val="10"/>
      <name val="Times New Roman"/>
      <family val="1"/>
    </font>
    <font>
      <b/>
      <u/>
      <sz val="11"/>
      <name val="Arial"/>
      <family val="2"/>
      <charset val="1"/>
    </font>
    <font>
      <b/>
      <u/>
      <sz val="11"/>
      <color rgb="FF000000"/>
      <name val="Times New Roman"/>
      <family val="1"/>
    </font>
    <font>
      <sz val="11"/>
      <name val="Calibri"/>
      <family val="2"/>
      <scheme val="minor"/>
    </font>
    <font>
      <b/>
      <u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5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3" fillId="0" borderId="1" applyProtection="0"/>
    <xf numFmtId="0" fontId="5" fillId="2" borderId="0" applyBorder="0" applyProtection="0"/>
    <xf numFmtId="0" fontId="16" fillId="0" borderId="0"/>
    <xf numFmtId="44" fontId="24" fillId="0" borderId="0" applyFont="0" applyFill="0" applyBorder="0" applyAlignment="0" applyProtection="0"/>
    <xf numFmtId="0" fontId="16" fillId="0" borderId="0"/>
    <xf numFmtId="0" fontId="16" fillId="0" borderId="0"/>
    <xf numFmtId="0" fontId="27" fillId="5" borderId="0" applyNumberFormat="0" applyBorder="0" applyAlignment="0" applyProtection="0"/>
    <xf numFmtId="0" fontId="1" fillId="6" borderId="0" applyNumberFormat="0" applyBorder="0" applyAlignment="0" applyProtection="0"/>
    <xf numFmtId="166" fontId="16" fillId="0" borderId="0" applyBorder="0" applyProtection="0"/>
  </cellStyleXfs>
  <cellXfs count="221">
    <xf numFmtId="0" fontId="0" fillId="0" borderId="0" xfId="0"/>
    <xf numFmtId="0" fontId="0" fillId="0" borderId="0" xfId="0" applyBorder="1"/>
    <xf numFmtId="0" fontId="4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4" fontId="0" fillId="0" borderId="0" xfId="0" applyNumberFormat="1" applyAlignment="1">
      <alignment horizontal="left"/>
    </xf>
    <xf numFmtId="0" fontId="4" fillId="0" borderId="0" xfId="0" applyFont="1"/>
    <xf numFmtId="0" fontId="17" fillId="0" borderId="0" xfId="0" applyFont="1"/>
    <xf numFmtId="0" fontId="0" fillId="0" borderId="0" xfId="0" applyFill="1" applyBorder="1"/>
    <xf numFmtId="0" fontId="0" fillId="0" borderId="5" xfId="0" applyFill="1" applyBorder="1"/>
    <xf numFmtId="0" fontId="0" fillId="0" borderId="18" xfId="0" applyFill="1" applyBorder="1"/>
    <xf numFmtId="0" fontId="0" fillId="0" borderId="7" xfId="0" applyFill="1" applyBorder="1"/>
    <xf numFmtId="0" fontId="0" fillId="0" borderId="7" xfId="0" applyFill="1" applyBorder="1" applyAlignment="1">
      <alignment horizontal="left"/>
    </xf>
    <xf numFmtId="0" fontId="0" fillId="0" borderId="19" xfId="0" applyFill="1" applyBorder="1"/>
    <xf numFmtId="0" fontId="15" fillId="0" borderId="20" xfId="0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left" vertical="center"/>
    </xf>
    <xf numFmtId="0" fontId="15" fillId="0" borderId="22" xfId="0" applyFont="1" applyFill="1" applyBorder="1" applyAlignment="1">
      <alignment horizontal="center" vertical="center"/>
    </xf>
    <xf numFmtId="44" fontId="16" fillId="0" borderId="0" xfId="0" applyNumberFormat="1" applyFont="1" applyAlignment="1"/>
    <xf numFmtId="0" fontId="7" fillId="4" borderId="5" xfId="0" applyFont="1" applyFill="1" applyBorder="1" applyAlignment="1">
      <alignment horizontal="right" vertical="center"/>
    </xf>
    <xf numFmtId="0" fontId="7" fillId="4" borderId="7" xfId="0" applyFont="1" applyFill="1" applyBorder="1" applyAlignment="1">
      <alignment vertical="center"/>
    </xf>
    <xf numFmtId="0" fontId="7" fillId="4" borderId="0" xfId="0" applyFont="1" applyFill="1" applyBorder="1" applyAlignment="1">
      <alignment vertical="center"/>
    </xf>
    <xf numFmtId="0" fontId="9" fillId="4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 wrapText="1" indent="1"/>
    </xf>
    <xf numFmtId="0" fontId="4" fillId="4" borderId="0" xfId="0" applyFont="1" applyFill="1" applyBorder="1" applyAlignment="1">
      <alignment vertical="center"/>
    </xf>
    <xf numFmtId="0" fontId="17" fillId="4" borderId="0" xfId="0" applyFont="1" applyFill="1"/>
    <xf numFmtId="165" fontId="0" fillId="0" borderId="0" xfId="0" applyNumberFormat="1"/>
    <xf numFmtId="0" fontId="17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3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17" fillId="0" borderId="0" xfId="0" applyFont="1" applyFill="1" applyAlignment="1">
      <alignment horizontal="center"/>
    </xf>
    <xf numFmtId="0" fontId="23" fillId="0" borderId="0" xfId="0" applyFont="1" applyFill="1" applyAlignment="1">
      <alignment horizontal="left" wrapText="1"/>
    </xf>
    <xf numFmtId="0" fontId="17" fillId="0" borderId="29" xfId="0" applyFont="1" applyBorder="1"/>
    <xf numFmtId="0" fontId="29" fillId="0" borderId="34" xfId="0" applyFont="1" applyBorder="1"/>
    <xf numFmtId="0" fontId="29" fillId="0" borderId="35" xfId="0" applyFont="1" applyBorder="1"/>
    <xf numFmtId="0" fontId="29" fillId="0" borderId="35" xfId="0" applyFont="1" applyBorder="1" applyAlignment="1">
      <alignment horizontal="left" indent="3"/>
    </xf>
    <xf numFmtId="0" fontId="17" fillId="0" borderId="35" xfId="0" applyFont="1" applyBorder="1" applyAlignment="1">
      <alignment horizontal="left" indent="3"/>
    </xf>
    <xf numFmtId="0" fontId="17" fillId="0" borderId="36" xfId="0" applyFont="1" applyBorder="1" applyAlignment="1">
      <alignment horizontal="left" indent="3"/>
    </xf>
    <xf numFmtId="0" fontId="17" fillId="0" borderId="30" xfId="0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0" fontId="20" fillId="0" borderId="9" xfId="0" applyFont="1" applyFill="1" applyBorder="1" applyAlignment="1">
      <alignment horizontal="center" vertical="center" wrapText="1"/>
    </xf>
    <xf numFmtId="0" fontId="31" fillId="4" borderId="9" xfId="0" applyFont="1" applyFill="1" applyBorder="1" applyAlignment="1">
      <alignment horizontal="center" vertical="center"/>
    </xf>
    <xf numFmtId="0" fontId="31" fillId="4" borderId="9" xfId="0" applyFont="1" applyFill="1" applyBorder="1" applyAlignment="1">
      <alignment horizontal="center" vertical="center" wrapText="1"/>
    </xf>
    <xf numFmtId="0" fontId="25" fillId="4" borderId="9" xfId="0" applyFont="1" applyFill="1" applyBorder="1" applyAlignment="1">
      <alignment horizontal="center" vertical="center" wrapText="1"/>
    </xf>
    <xf numFmtId="44" fontId="25" fillId="4" borderId="9" xfId="4" applyFont="1" applyFill="1" applyBorder="1" applyAlignment="1">
      <alignment vertical="center"/>
    </xf>
    <xf numFmtId="0" fontId="25" fillId="4" borderId="9" xfId="0" applyFont="1" applyFill="1" applyBorder="1" applyAlignment="1">
      <alignment horizontal="center" vertical="center"/>
    </xf>
    <xf numFmtId="0" fontId="28" fillId="4" borderId="9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 wrapText="1"/>
    </xf>
    <xf numFmtId="1" fontId="22" fillId="0" borderId="9" xfId="0" applyNumberFormat="1" applyFont="1" applyFill="1" applyBorder="1" applyAlignment="1">
      <alignment horizontal="center" vertical="center" wrapText="1"/>
    </xf>
    <xf numFmtId="0" fontId="26" fillId="0" borderId="9" xfId="0" applyFont="1" applyFill="1" applyBorder="1" applyAlignment="1">
      <alignment horizontal="left" vertical="center" wrapText="1"/>
    </xf>
    <xf numFmtId="0" fontId="26" fillId="0" borderId="9" xfId="0" applyFont="1" applyFill="1" applyBorder="1" applyAlignment="1">
      <alignment horizontal="center" vertical="center" wrapText="1"/>
    </xf>
    <xf numFmtId="44" fontId="25" fillId="0" borderId="9" xfId="4" applyFont="1" applyFill="1" applyBorder="1" applyAlignment="1">
      <alignment vertical="center" wrapText="1"/>
    </xf>
    <xf numFmtId="0" fontId="2" fillId="0" borderId="9" xfId="7" applyFont="1" applyFill="1" applyBorder="1" applyAlignment="1">
      <alignment horizontal="center"/>
    </xf>
    <xf numFmtId="0" fontId="28" fillId="0" borderId="9" xfId="7" applyFont="1" applyFill="1" applyBorder="1" applyAlignment="1">
      <alignment horizontal="left" vertical="center" wrapText="1"/>
    </xf>
    <xf numFmtId="0" fontId="28" fillId="0" borderId="9" xfId="7" applyFont="1" applyFill="1" applyBorder="1" applyAlignment="1">
      <alignment horizontal="center" vertical="center"/>
    </xf>
    <xf numFmtId="44" fontId="28" fillId="0" borderId="9" xfId="4" applyFont="1" applyFill="1" applyBorder="1" applyAlignment="1">
      <alignment vertical="center" wrapText="1"/>
    </xf>
    <xf numFmtId="0" fontId="17" fillId="0" borderId="9" xfId="0" applyFont="1" applyFill="1" applyBorder="1" applyAlignment="1">
      <alignment horizontal="center"/>
    </xf>
    <xf numFmtId="0" fontId="22" fillId="0" borderId="9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left" vertical="center" wrapText="1"/>
    </xf>
    <xf numFmtId="0" fontId="26" fillId="0" borderId="9" xfId="0" applyFont="1" applyBorder="1" applyAlignment="1">
      <alignment horizontal="center" vertical="center" wrapText="1"/>
    </xf>
    <xf numFmtId="44" fontId="25" fillId="0" borderId="9" xfId="4" applyFont="1" applyFill="1" applyBorder="1" applyAlignment="1">
      <alignment horizontal="right" vertical="center" wrapText="1"/>
    </xf>
    <xf numFmtId="0" fontId="28" fillId="4" borderId="9" xfId="8" applyFont="1" applyFill="1" applyBorder="1" applyAlignment="1">
      <alignment horizontal="left" vertical="center" wrapText="1"/>
    </xf>
    <xf numFmtId="0" fontId="28" fillId="4" borderId="9" xfId="8" applyFont="1" applyFill="1" applyBorder="1" applyAlignment="1">
      <alignment horizontal="center" vertical="center"/>
    </xf>
    <xf numFmtId="1" fontId="25" fillId="4" borderId="9" xfId="7" applyNumberFormat="1" applyFont="1" applyFill="1" applyBorder="1" applyAlignment="1">
      <alignment horizontal="center" vertical="center"/>
    </xf>
    <xf numFmtId="44" fontId="25" fillId="0" borderId="9" xfId="0" applyNumberFormat="1" applyFont="1" applyBorder="1" applyAlignment="1">
      <alignment horizontal="right" vertical="center"/>
    </xf>
    <xf numFmtId="0" fontId="29" fillId="0" borderId="36" xfId="0" applyFont="1" applyBorder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16" fillId="0" borderId="42" xfId="0" applyFont="1" applyFill="1" applyBorder="1" applyAlignment="1">
      <alignment horizontal="center" vertical="center"/>
    </xf>
    <xf numFmtId="0" fontId="16" fillId="0" borderId="37" xfId="0" applyFont="1" applyFill="1" applyBorder="1" applyAlignment="1">
      <alignment horizontal="center" vertical="center"/>
    </xf>
    <xf numFmtId="0" fontId="16" fillId="0" borderId="28" xfId="0" applyFont="1" applyFill="1" applyBorder="1" applyAlignment="1">
      <alignment horizontal="center" vertical="center"/>
    </xf>
    <xf numFmtId="0" fontId="16" fillId="0" borderId="43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44" fontId="15" fillId="0" borderId="9" xfId="0" applyNumberFormat="1" applyFont="1" applyFill="1" applyBorder="1" applyAlignment="1">
      <alignment horizontal="center" vertical="center"/>
    </xf>
    <xf numFmtId="44" fontId="16" fillId="0" borderId="38" xfId="0" applyNumberFormat="1" applyFont="1" applyBorder="1" applyAlignment="1">
      <alignment horizontal="center" vertical="center"/>
    </xf>
    <xf numFmtId="44" fontId="16" fillId="0" borderId="54" xfId="0" applyNumberFormat="1" applyFont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44" fontId="32" fillId="0" borderId="0" xfId="0" applyNumberFormat="1" applyFont="1" applyFill="1" applyBorder="1" applyAlignment="1">
      <alignment horizontal="center" vertical="center"/>
    </xf>
    <xf numFmtId="0" fontId="17" fillId="0" borderId="0" xfId="0" applyFont="1" applyBorder="1"/>
    <xf numFmtId="0" fontId="17" fillId="4" borderId="0" xfId="0" applyFont="1" applyFill="1" applyBorder="1"/>
    <xf numFmtId="0" fontId="17" fillId="0" borderId="35" xfId="0" applyFont="1" applyBorder="1"/>
    <xf numFmtId="0" fontId="17" fillId="0" borderId="32" xfId="0" applyFont="1" applyBorder="1"/>
    <xf numFmtId="0" fontId="21" fillId="4" borderId="55" xfId="0" applyFont="1" applyFill="1" applyBorder="1" applyAlignment="1">
      <alignment horizontal="center" vertical="center"/>
    </xf>
    <xf numFmtId="0" fontId="22" fillId="0" borderId="55" xfId="0" applyFont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/>
    </xf>
    <xf numFmtId="0" fontId="26" fillId="4" borderId="9" xfId="0" applyFont="1" applyFill="1" applyBorder="1" applyAlignment="1">
      <alignment vertical="center" wrapText="1"/>
    </xf>
    <xf numFmtId="0" fontId="26" fillId="4" borderId="9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21" fillId="4" borderId="56" xfId="0" applyFont="1" applyFill="1" applyBorder="1" applyAlignment="1">
      <alignment horizontal="center" vertical="center"/>
    </xf>
    <xf numFmtId="1" fontId="22" fillId="0" borderId="55" xfId="0" applyNumberFormat="1" applyFont="1" applyFill="1" applyBorder="1" applyAlignment="1">
      <alignment horizontal="center" vertical="center" wrapText="1"/>
    </xf>
    <xf numFmtId="1" fontId="22" fillId="0" borderId="9" xfId="0" applyNumberFormat="1" applyFont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26" fillId="4" borderId="9" xfId="0" applyFont="1" applyFill="1" applyBorder="1" applyAlignment="1">
      <alignment horizontal="left" vertical="center" wrapText="1"/>
    </xf>
    <xf numFmtId="1" fontId="22" fillId="0" borderId="55" xfId="0" applyNumberFormat="1" applyFont="1" applyBorder="1" applyAlignment="1">
      <alignment horizontal="center" vertical="center" wrapText="1"/>
    </xf>
    <xf numFmtId="0" fontId="26" fillId="0" borderId="13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26" fillId="4" borderId="4" xfId="0" applyFont="1" applyFill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/>
    </xf>
    <xf numFmtId="0" fontId="25" fillId="4" borderId="56" xfId="0" applyFont="1" applyFill="1" applyBorder="1" applyAlignment="1">
      <alignment horizontal="center" vertical="center"/>
    </xf>
    <xf numFmtId="44" fontId="25" fillId="0" borderId="55" xfId="4" applyFont="1" applyFill="1" applyBorder="1" applyAlignment="1">
      <alignment horizontal="right" vertical="center" wrapText="1"/>
    </xf>
    <xf numFmtId="44" fontId="35" fillId="4" borderId="9" xfId="7" applyNumberFormat="1" applyFont="1" applyFill="1" applyBorder="1" applyAlignment="1">
      <alignment horizontal="right" vertical="center"/>
    </xf>
    <xf numFmtId="44" fontId="25" fillId="4" borderId="4" xfId="4" applyFont="1" applyFill="1" applyBorder="1" applyAlignment="1">
      <alignment vertical="center"/>
    </xf>
    <xf numFmtId="44" fontId="25" fillId="0" borderId="4" xfId="4" applyFont="1" applyFill="1" applyBorder="1" applyAlignment="1">
      <alignment horizontal="right" vertical="center" wrapText="1"/>
    </xf>
    <xf numFmtId="44" fontId="25" fillId="4" borderId="56" xfId="4" applyFont="1" applyFill="1" applyBorder="1" applyAlignment="1">
      <alignment vertical="center"/>
    </xf>
    <xf numFmtId="0" fontId="8" fillId="0" borderId="6" xfId="0" applyFont="1" applyFill="1" applyBorder="1" applyAlignment="1">
      <alignment horizontal="center" vertical="center"/>
    </xf>
    <xf numFmtId="0" fontId="26" fillId="4" borderId="9" xfId="0" applyFont="1" applyFill="1" applyBorder="1" applyAlignment="1">
      <alignment horizontal="left" vertical="center" wrapText="1"/>
    </xf>
    <xf numFmtId="0" fontId="22" fillId="4" borderId="9" xfId="0" applyFont="1" applyFill="1" applyBorder="1" applyAlignment="1">
      <alignment horizontal="center" vertical="center" wrapText="1"/>
    </xf>
    <xf numFmtId="1" fontId="22" fillId="4" borderId="9" xfId="0" applyNumberFormat="1" applyFont="1" applyFill="1" applyBorder="1" applyAlignment="1">
      <alignment horizontal="center" vertical="center" wrapText="1"/>
    </xf>
    <xf numFmtId="0" fontId="26" fillId="4" borderId="9" xfId="0" applyFont="1" applyFill="1" applyBorder="1" applyAlignment="1">
      <alignment horizontal="center" vertical="center" wrapText="1"/>
    </xf>
    <xf numFmtId="44" fontId="25" fillId="4" borderId="9" xfId="4" applyFont="1" applyFill="1" applyBorder="1" applyAlignment="1">
      <alignment horizontal="right" vertical="center" wrapText="1"/>
    </xf>
    <xf numFmtId="44" fontId="25" fillId="4" borderId="9" xfId="4" applyFont="1" applyFill="1" applyBorder="1" applyAlignment="1">
      <alignment vertical="center" wrapText="1"/>
    </xf>
    <xf numFmtId="0" fontId="0" fillId="0" borderId="58" xfId="0" applyFont="1" applyFill="1" applyBorder="1" applyAlignment="1">
      <alignment horizontal="center" vertical="center"/>
    </xf>
    <xf numFmtId="0" fontId="0" fillId="0" borderId="56" xfId="0" applyFont="1" applyFill="1" applyBorder="1" applyAlignment="1">
      <alignment horizontal="center" vertical="center"/>
    </xf>
    <xf numFmtId="0" fontId="16" fillId="0" borderId="56" xfId="0" applyFont="1" applyFill="1" applyBorder="1" applyAlignment="1">
      <alignment horizontal="center" vertical="center"/>
    </xf>
    <xf numFmtId="0" fontId="16" fillId="0" borderId="59" xfId="0" applyFont="1" applyFill="1" applyBorder="1" applyAlignment="1">
      <alignment horizontal="center" vertical="center"/>
    </xf>
    <xf numFmtId="44" fontId="16" fillId="0" borderId="60" xfId="0" applyNumberFormat="1" applyFont="1" applyBorder="1" applyAlignment="1">
      <alignment horizontal="center" vertical="center"/>
    </xf>
    <xf numFmtId="44" fontId="16" fillId="0" borderId="62" xfId="0" applyNumberFormat="1" applyFont="1" applyBorder="1" applyAlignment="1">
      <alignment horizontal="center" vertical="center"/>
    </xf>
    <xf numFmtId="0" fontId="23" fillId="4" borderId="0" xfId="0" applyFont="1" applyFill="1" applyBorder="1" applyAlignment="1">
      <alignment horizontal="left" wrapText="1"/>
    </xf>
    <xf numFmtId="0" fontId="28" fillId="0" borderId="9" xfId="8" applyFont="1" applyFill="1" applyBorder="1" applyAlignment="1">
      <alignment horizontal="center" vertical="center"/>
    </xf>
    <xf numFmtId="0" fontId="25" fillId="0" borderId="9" xfId="0" applyFont="1" applyFill="1" applyBorder="1" applyAlignment="1">
      <alignment horizontal="center" vertical="center" wrapText="1"/>
    </xf>
    <xf numFmtId="0" fontId="26" fillId="0" borderId="55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left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6" fillId="0" borderId="56" xfId="0" applyFont="1" applyFill="1" applyBorder="1" applyAlignment="1">
      <alignment vertical="center" wrapText="1"/>
    </xf>
    <xf numFmtId="0" fontId="25" fillId="0" borderId="56" xfId="0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wrapText="1"/>
    </xf>
    <xf numFmtId="0" fontId="17" fillId="0" borderId="31" xfId="0" applyFont="1" applyBorder="1" applyAlignment="1">
      <alignment horizontal="center" wrapText="1"/>
    </xf>
    <xf numFmtId="0" fontId="18" fillId="0" borderId="0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34" fillId="4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wrapText="1" indent="1"/>
    </xf>
    <xf numFmtId="0" fontId="26" fillId="4" borderId="9" xfId="0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left" vertical="center" wrapText="1" indent="1"/>
    </xf>
    <xf numFmtId="0" fontId="9" fillId="4" borderId="11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 wrapText="1" indent="1"/>
    </xf>
    <xf numFmtId="0" fontId="13" fillId="0" borderId="8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8" xfId="0" applyFont="1" applyBorder="1" applyAlignment="1">
      <alignment horizontal="left"/>
    </xf>
    <xf numFmtId="0" fontId="13" fillId="0" borderId="24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0" fontId="10" fillId="4" borderId="9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left" vertical="center" wrapText="1"/>
    </xf>
    <xf numFmtId="0" fontId="26" fillId="4" borderId="57" xfId="0" applyFont="1" applyFill="1" applyBorder="1" applyAlignment="1">
      <alignment horizontal="left" vertical="center" wrapText="1"/>
    </xf>
    <xf numFmtId="0" fontId="26" fillId="4" borderId="14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/>
    </xf>
    <xf numFmtId="0" fontId="4" fillId="4" borderId="57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center"/>
    </xf>
    <xf numFmtId="44" fontId="4" fillId="4" borderId="57" xfId="0" applyNumberFormat="1" applyFont="1" applyFill="1" applyBorder="1" applyAlignment="1">
      <alignment horizontal="center" vertical="center"/>
    </xf>
    <xf numFmtId="44" fontId="4" fillId="4" borderId="14" xfId="0" applyNumberFormat="1" applyFont="1" applyFill="1" applyBorder="1" applyAlignment="1">
      <alignment horizontal="center" vertical="center"/>
    </xf>
    <xf numFmtId="0" fontId="33" fillId="0" borderId="34" xfId="0" applyFont="1" applyFill="1" applyBorder="1" applyAlignment="1">
      <alignment vertical="center" wrapText="1"/>
    </xf>
    <xf numFmtId="0" fontId="33" fillId="0" borderId="29" xfId="0" applyFont="1" applyFill="1" applyBorder="1" applyAlignment="1">
      <alignment vertical="center" wrapText="1"/>
    </xf>
    <xf numFmtId="0" fontId="13" fillId="0" borderId="48" xfId="0" applyFont="1" applyFill="1" applyBorder="1" applyAlignment="1">
      <alignment vertical="center" wrapText="1"/>
    </xf>
    <xf numFmtId="0" fontId="13" fillId="0" borderId="30" xfId="0" applyFont="1" applyFill="1" applyBorder="1" applyAlignment="1">
      <alignment vertical="center" wrapText="1"/>
    </xf>
    <xf numFmtId="0" fontId="13" fillId="0" borderId="49" xfId="0" applyFont="1" applyFill="1" applyBorder="1" applyAlignment="1">
      <alignment horizontal="left" vertical="center" wrapText="1" indent="1"/>
    </xf>
    <xf numFmtId="0" fontId="13" fillId="0" borderId="23" xfId="0" applyFont="1" applyFill="1" applyBorder="1" applyAlignment="1">
      <alignment horizontal="left" vertical="center" wrapText="1" indent="1"/>
    </xf>
    <xf numFmtId="0" fontId="13" fillId="0" borderId="50" xfId="0" applyFont="1" applyFill="1" applyBorder="1" applyAlignment="1">
      <alignment horizontal="left" vertical="center" wrapText="1" indent="1"/>
    </xf>
    <xf numFmtId="0" fontId="13" fillId="0" borderId="51" xfId="0" applyFont="1" applyFill="1" applyBorder="1" applyAlignment="1">
      <alignment horizontal="left" vertical="center" wrapText="1" indent="1"/>
    </xf>
    <xf numFmtId="0" fontId="13" fillId="0" borderId="52" xfId="0" applyFont="1" applyFill="1" applyBorder="1" applyAlignment="1">
      <alignment horizontal="left" vertical="center" wrapText="1" indent="1"/>
    </xf>
    <xf numFmtId="0" fontId="13" fillId="0" borderId="53" xfId="0" applyFont="1" applyFill="1" applyBorder="1" applyAlignment="1">
      <alignment horizontal="left" vertical="center" wrapText="1" indent="1"/>
    </xf>
    <xf numFmtId="0" fontId="25" fillId="0" borderId="36" xfId="0" applyFont="1" applyFill="1" applyBorder="1" applyAlignment="1">
      <alignment horizontal="left" vertical="center" wrapText="1"/>
    </xf>
    <xf numFmtId="0" fontId="25" fillId="0" borderId="33" xfId="0" applyFont="1" applyFill="1" applyBorder="1" applyAlignment="1">
      <alignment horizontal="left" vertical="center" wrapText="1"/>
    </xf>
    <xf numFmtId="0" fontId="31" fillId="0" borderId="23" xfId="0" applyFont="1" applyFill="1" applyBorder="1" applyAlignment="1">
      <alignment horizontal="left" vertical="center" wrapText="1"/>
    </xf>
    <xf numFmtId="0" fontId="31" fillId="0" borderId="18" xfId="0" applyFont="1" applyFill="1" applyBorder="1" applyAlignment="1">
      <alignment horizontal="left" vertical="center" wrapText="1"/>
    </xf>
    <xf numFmtId="0" fontId="0" fillId="0" borderId="15" xfId="0" applyFill="1" applyBorder="1"/>
    <xf numFmtId="0" fontId="0" fillId="0" borderId="17" xfId="0" applyFill="1" applyBorder="1"/>
    <xf numFmtId="0" fontId="13" fillId="0" borderId="17" xfId="0" applyFont="1" applyFill="1" applyBorder="1" applyAlignment="1">
      <alignment horizontal="left" vertical="center" wrapText="1" indent="1"/>
    </xf>
    <xf numFmtId="0" fontId="15" fillId="0" borderId="15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26" xfId="0" applyFont="1" applyFill="1" applyBorder="1" applyAlignment="1">
      <alignment horizontal="center" vertical="center" wrapText="1"/>
    </xf>
    <xf numFmtId="0" fontId="15" fillId="0" borderId="27" xfId="0" applyFont="1" applyFill="1" applyBorder="1" applyAlignment="1">
      <alignment horizontal="center" vertical="center" wrapText="1"/>
    </xf>
    <xf numFmtId="0" fontId="15" fillId="0" borderId="45" xfId="0" applyFont="1" applyFill="1" applyBorder="1" applyAlignment="1">
      <alignment horizontal="center" vertical="center" wrapText="1"/>
    </xf>
    <xf numFmtId="0" fontId="15" fillId="0" borderId="46" xfId="0" applyFont="1" applyFill="1" applyBorder="1" applyAlignment="1">
      <alignment horizontal="center" vertical="center" wrapText="1"/>
    </xf>
    <xf numFmtId="0" fontId="15" fillId="0" borderId="30" xfId="0" applyFont="1" applyFill="1" applyBorder="1" applyAlignment="1">
      <alignment horizontal="center" vertical="center"/>
    </xf>
    <xf numFmtId="0" fontId="15" fillId="0" borderId="47" xfId="0" applyFont="1" applyFill="1" applyBorder="1" applyAlignment="1">
      <alignment horizontal="center" vertical="center"/>
    </xf>
    <xf numFmtId="0" fontId="25" fillId="0" borderId="28" xfId="0" applyFont="1" applyFill="1" applyBorder="1" applyAlignment="1">
      <alignment horizontal="left" vertical="center" wrapText="1"/>
    </xf>
    <xf numFmtId="0" fontId="25" fillId="0" borderId="61" xfId="0" applyFont="1" applyFill="1" applyBorder="1" applyAlignment="1">
      <alignment horizontal="left" vertical="center" wrapText="1"/>
    </xf>
    <xf numFmtId="0" fontId="0" fillId="0" borderId="13" xfId="0" applyFont="1" applyBorder="1" applyAlignment="1">
      <alignment horizontal="center"/>
    </xf>
    <xf numFmtId="1" fontId="11" fillId="0" borderId="14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/>
    <xf numFmtId="0" fontId="13" fillId="0" borderId="6" xfId="0" applyFont="1" applyBorder="1" applyAlignment="1">
      <alignment horizontal="left" indent="1"/>
    </xf>
    <xf numFmtId="0" fontId="6" fillId="0" borderId="8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left" vertical="center" wrapText="1"/>
    </xf>
    <xf numFmtId="0" fontId="6" fillId="0" borderId="25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indent="1"/>
    </xf>
    <xf numFmtId="0" fontId="14" fillId="0" borderId="6" xfId="0" applyFont="1" applyFill="1" applyBorder="1" applyAlignment="1">
      <alignment horizontal="left"/>
    </xf>
    <xf numFmtId="0" fontId="13" fillId="0" borderId="8" xfId="0" applyFont="1" applyFill="1" applyBorder="1" applyAlignment="1">
      <alignment horizontal="left" vertical="center" wrapText="1" indent="1"/>
    </xf>
    <xf numFmtId="0" fontId="13" fillId="0" borderId="24" xfId="0" applyFont="1" applyFill="1" applyBorder="1" applyAlignment="1">
      <alignment horizontal="left" vertical="center" wrapText="1" indent="1"/>
    </xf>
    <xf numFmtId="0" fontId="13" fillId="0" borderId="25" xfId="0" applyFont="1" applyFill="1" applyBorder="1" applyAlignment="1">
      <alignment horizontal="left" vertical="center" wrapText="1" indent="1"/>
    </xf>
    <xf numFmtId="0" fontId="25" fillId="0" borderId="4" xfId="0" applyFont="1" applyFill="1" applyBorder="1" applyAlignment="1">
      <alignment horizontal="left" vertical="center" wrapText="1"/>
    </xf>
    <xf numFmtId="0" fontId="25" fillId="0" borderId="39" xfId="0" applyFont="1" applyFill="1" applyBorder="1" applyAlignment="1">
      <alignment horizontal="left" vertical="center" wrapText="1"/>
    </xf>
    <xf numFmtId="0" fontId="25" fillId="0" borderId="44" xfId="0" applyFont="1" applyFill="1" applyBorder="1" applyAlignment="1">
      <alignment horizontal="left" vertical="center" wrapText="1"/>
    </xf>
    <xf numFmtId="0" fontId="13" fillId="0" borderId="16" xfId="0" applyFont="1" applyFill="1" applyBorder="1"/>
  </cellXfs>
  <cellStyles count="10">
    <cellStyle name="20% - Énfasis5" xfId="8" builtinId="46"/>
    <cellStyle name="Buena" xfId="7" builtinId="26"/>
    <cellStyle name="Encabezado 1" xfId="1"/>
    <cellStyle name="Moneda" xfId="4" builtinId="4"/>
    <cellStyle name="Moneda 2" xfId="9"/>
    <cellStyle name="Neutral 1" xfId="2"/>
    <cellStyle name="Normal" xfId="0" builtinId="0"/>
    <cellStyle name="Normal 2" xfId="3"/>
    <cellStyle name="Normal 3" xfId="5"/>
    <cellStyle name="Normal 4" xfId="6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271"/>
  <sheetViews>
    <sheetView tabSelected="1" topLeftCell="A250" zoomScale="90" zoomScaleNormal="90" workbookViewId="0">
      <selection activeCell="A257" sqref="A257"/>
    </sheetView>
  </sheetViews>
  <sheetFormatPr baseColWidth="10" defaultRowHeight="12.75" x14ac:dyDescent="0.2"/>
  <cols>
    <col min="1" max="1" width="4.5703125" style="25" customWidth="1"/>
    <col min="2" max="2" width="13.140625" style="25" customWidth="1"/>
    <col min="3" max="3" width="23.140625" style="32" customWidth="1"/>
    <col min="4" max="4" width="8.42578125" style="27" customWidth="1"/>
    <col min="5" max="5" width="76.5703125" style="27" customWidth="1"/>
    <col min="6" max="6" width="11" style="32"/>
    <col min="7" max="7" width="12.7109375" style="32" customWidth="1"/>
    <col min="8" max="8" width="15.42578125" style="27" customWidth="1"/>
    <col min="9" max="9" width="18.5703125" style="27" customWidth="1"/>
    <col min="10" max="16384" width="11.42578125" style="7"/>
  </cols>
  <sheetData>
    <row r="2" spans="1:9" ht="27.6" customHeight="1" x14ac:dyDescent="0.2">
      <c r="C2" s="148" t="s">
        <v>78</v>
      </c>
      <c r="D2" s="148"/>
      <c r="E2" s="148"/>
      <c r="F2" s="148"/>
      <c r="G2" s="148"/>
      <c r="H2" s="86"/>
    </row>
    <row r="4" spans="1:9" ht="18" customHeight="1" x14ac:dyDescent="0.25">
      <c r="A4" s="151" t="s">
        <v>0</v>
      </c>
      <c r="B4" s="151"/>
      <c r="C4" s="152" t="s">
        <v>49</v>
      </c>
      <c r="D4" s="152"/>
      <c r="E4" s="152"/>
      <c r="F4" s="29"/>
      <c r="G4" s="29"/>
      <c r="H4" s="28"/>
    </row>
    <row r="5" spans="1:9" ht="18" customHeight="1" x14ac:dyDescent="0.25">
      <c r="A5" s="151" t="s">
        <v>1</v>
      </c>
      <c r="B5" s="151"/>
      <c r="C5" s="152" t="s">
        <v>249</v>
      </c>
      <c r="D5" s="152"/>
      <c r="E5" s="152"/>
      <c r="F5" s="29"/>
      <c r="G5" s="29"/>
      <c r="H5" s="28"/>
    </row>
    <row r="6" spans="1:9" ht="16.5" customHeight="1" x14ac:dyDescent="0.25">
      <c r="A6" s="151" t="s">
        <v>2</v>
      </c>
      <c r="B6" s="151"/>
      <c r="C6" s="33" t="s">
        <v>250</v>
      </c>
      <c r="D6" s="30"/>
      <c r="E6" s="31"/>
      <c r="F6" s="29"/>
      <c r="G6" s="29"/>
      <c r="H6" s="28"/>
    </row>
    <row r="7" spans="1:9" ht="16.5" customHeight="1" x14ac:dyDescent="0.25">
      <c r="A7" s="151" t="s">
        <v>3</v>
      </c>
      <c r="B7" s="151"/>
      <c r="C7" s="132" t="s">
        <v>303</v>
      </c>
      <c r="D7" s="30"/>
      <c r="E7" s="31"/>
      <c r="F7" s="29"/>
      <c r="G7" s="29"/>
      <c r="H7" s="28"/>
    </row>
    <row r="8" spans="1:9" ht="13.5" thickBot="1" x14ac:dyDescent="0.25">
      <c r="C8" s="29"/>
      <c r="D8" s="29"/>
      <c r="E8" s="28"/>
      <c r="F8" s="29"/>
      <c r="G8" s="29"/>
      <c r="H8" s="28"/>
    </row>
    <row r="9" spans="1:9" ht="39" thickBot="1" x14ac:dyDescent="0.25">
      <c r="A9" s="49" t="s">
        <v>4</v>
      </c>
      <c r="B9" s="49" t="s">
        <v>66</v>
      </c>
      <c r="C9" s="42" t="s">
        <v>5</v>
      </c>
      <c r="D9" s="42" t="s">
        <v>67</v>
      </c>
      <c r="E9" s="42" t="s">
        <v>6</v>
      </c>
      <c r="F9" s="42" t="s">
        <v>7</v>
      </c>
      <c r="G9" s="42" t="s">
        <v>8</v>
      </c>
      <c r="H9" s="42" t="s">
        <v>9</v>
      </c>
      <c r="I9" s="42" t="s">
        <v>10</v>
      </c>
    </row>
    <row r="10" spans="1:9" ht="25.5" customHeight="1" thickBot="1" x14ac:dyDescent="0.25">
      <c r="A10" s="50">
        <v>1</v>
      </c>
      <c r="B10" s="50"/>
      <c r="C10" s="61" t="s">
        <v>53</v>
      </c>
      <c r="D10" s="52" t="s">
        <v>75</v>
      </c>
      <c r="E10" s="103" t="s">
        <v>265</v>
      </c>
      <c r="F10" s="45" t="s">
        <v>50</v>
      </c>
      <c r="G10" s="47">
        <v>1</v>
      </c>
      <c r="H10" s="46">
        <v>12963</v>
      </c>
      <c r="I10" s="55">
        <f t="shared" ref="I10:I72" si="0">H10*G10</f>
        <v>12963</v>
      </c>
    </row>
    <row r="11" spans="1:9" ht="25.5" customHeight="1" thickBot="1" x14ac:dyDescent="0.25">
      <c r="A11" s="50">
        <v>2</v>
      </c>
      <c r="B11" s="50"/>
      <c r="C11" s="61" t="s">
        <v>53</v>
      </c>
      <c r="D11" s="52" t="s">
        <v>75</v>
      </c>
      <c r="E11" s="103" t="s">
        <v>267</v>
      </c>
      <c r="F11" s="45" t="s">
        <v>50</v>
      </c>
      <c r="G11" s="47">
        <v>1</v>
      </c>
      <c r="H11" s="46">
        <v>10863</v>
      </c>
      <c r="I11" s="55">
        <f t="shared" si="0"/>
        <v>10863</v>
      </c>
    </row>
    <row r="12" spans="1:9" ht="25.5" customHeight="1" thickBot="1" x14ac:dyDescent="0.25">
      <c r="A12" s="50">
        <v>3</v>
      </c>
      <c r="B12" s="50"/>
      <c r="C12" s="61" t="s">
        <v>53</v>
      </c>
      <c r="D12" s="52" t="s">
        <v>75</v>
      </c>
      <c r="E12" s="65" t="s">
        <v>258</v>
      </c>
      <c r="F12" s="66" t="s">
        <v>50</v>
      </c>
      <c r="G12" s="67">
        <v>1</v>
      </c>
      <c r="H12" s="115">
        <v>313900</v>
      </c>
      <c r="I12" s="55">
        <f t="shared" si="0"/>
        <v>313900</v>
      </c>
    </row>
    <row r="13" spans="1:9" ht="25.5" customHeight="1" thickBot="1" x14ac:dyDescent="0.25">
      <c r="A13" s="50">
        <v>4</v>
      </c>
      <c r="B13" s="50"/>
      <c r="C13" s="61" t="s">
        <v>53</v>
      </c>
      <c r="D13" s="52" t="s">
        <v>75</v>
      </c>
      <c r="E13" s="65" t="s">
        <v>259</v>
      </c>
      <c r="F13" s="66" t="s">
        <v>50</v>
      </c>
      <c r="G13" s="67">
        <v>1</v>
      </c>
      <c r="H13" s="115">
        <v>42010</v>
      </c>
      <c r="I13" s="55">
        <f t="shared" si="0"/>
        <v>42010</v>
      </c>
    </row>
    <row r="14" spans="1:9" ht="25.5" customHeight="1" thickBot="1" x14ac:dyDescent="0.25">
      <c r="A14" s="50">
        <v>5</v>
      </c>
      <c r="B14" s="50"/>
      <c r="C14" s="61" t="s">
        <v>53</v>
      </c>
      <c r="D14" s="52" t="s">
        <v>75</v>
      </c>
      <c r="E14" s="65" t="s">
        <v>257</v>
      </c>
      <c r="F14" s="66" t="s">
        <v>50</v>
      </c>
      <c r="G14" s="67">
        <v>1</v>
      </c>
      <c r="H14" s="115">
        <v>313900</v>
      </c>
      <c r="I14" s="55">
        <f t="shared" si="0"/>
        <v>313900</v>
      </c>
    </row>
    <row r="15" spans="1:9" ht="25.5" customHeight="1" thickBot="1" x14ac:dyDescent="0.25">
      <c r="A15" s="50">
        <v>6</v>
      </c>
      <c r="B15" s="50"/>
      <c r="C15" s="61" t="s">
        <v>53</v>
      </c>
      <c r="D15" s="52" t="s">
        <v>75</v>
      </c>
      <c r="E15" s="65" t="s">
        <v>256</v>
      </c>
      <c r="F15" s="66" t="s">
        <v>50</v>
      </c>
      <c r="G15" s="67">
        <v>1</v>
      </c>
      <c r="H15" s="115">
        <v>38383</v>
      </c>
      <c r="I15" s="55">
        <f t="shared" si="0"/>
        <v>38383</v>
      </c>
    </row>
    <row r="16" spans="1:9" s="25" customFormat="1" ht="25.5" customHeight="1" thickBot="1" x14ac:dyDescent="0.25">
      <c r="A16" s="50">
        <v>7</v>
      </c>
      <c r="B16" s="50"/>
      <c r="C16" s="121" t="s">
        <v>53</v>
      </c>
      <c r="D16" s="122" t="s">
        <v>75</v>
      </c>
      <c r="E16" s="120" t="s">
        <v>304</v>
      </c>
      <c r="F16" s="123" t="s">
        <v>50</v>
      </c>
      <c r="G16" s="123">
        <v>3</v>
      </c>
      <c r="H16" s="125">
        <v>25309</v>
      </c>
      <c r="I16" s="125">
        <f t="shared" si="0"/>
        <v>75927</v>
      </c>
    </row>
    <row r="17" spans="1:9" s="25" customFormat="1" ht="25.5" customHeight="1" thickBot="1" x14ac:dyDescent="0.25">
      <c r="A17" s="50">
        <v>8</v>
      </c>
      <c r="B17" s="50"/>
      <c r="C17" s="121" t="s">
        <v>53</v>
      </c>
      <c r="D17" s="122" t="s">
        <v>75</v>
      </c>
      <c r="E17" s="120" t="s">
        <v>305</v>
      </c>
      <c r="F17" s="123" t="s">
        <v>50</v>
      </c>
      <c r="G17" s="123">
        <v>3</v>
      </c>
      <c r="H17" s="125">
        <v>19318</v>
      </c>
      <c r="I17" s="125">
        <f t="shared" si="0"/>
        <v>57954</v>
      </c>
    </row>
    <row r="18" spans="1:9" ht="25.5" customHeight="1" thickBot="1" x14ac:dyDescent="0.25">
      <c r="A18" s="50">
        <v>9</v>
      </c>
      <c r="B18" s="50"/>
      <c r="C18" s="51" t="s">
        <v>53</v>
      </c>
      <c r="D18" s="52" t="s">
        <v>75</v>
      </c>
      <c r="E18" s="53" t="s">
        <v>310</v>
      </c>
      <c r="F18" s="54" t="s">
        <v>60</v>
      </c>
      <c r="G18" s="54">
        <v>1</v>
      </c>
      <c r="H18" s="55">
        <v>3100</v>
      </c>
      <c r="I18" s="55">
        <f t="shared" si="0"/>
        <v>3100</v>
      </c>
    </row>
    <row r="19" spans="1:9" ht="25.5" customHeight="1" thickBot="1" x14ac:dyDescent="0.25">
      <c r="A19" s="50">
        <v>10</v>
      </c>
      <c r="B19" s="50"/>
      <c r="C19" s="51" t="s">
        <v>53</v>
      </c>
      <c r="D19" s="52" t="s">
        <v>75</v>
      </c>
      <c r="E19" s="53" t="s">
        <v>80</v>
      </c>
      <c r="F19" s="54" t="s">
        <v>60</v>
      </c>
      <c r="G19" s="54">
        <v>1</v>
      </c>
      <c r="H19" s="55">
        <v>1500</v>
      </c>
      <c r="I19" s="55">
        <f t="shared" si="0"/>
        <v>1500</v>
      </c>
    </row>
    <row r="20" spans="1:9" ht="25.5" customHeight="1" thickBot="1" x14ac:dyDescent="0.25">
      <c r="A20" s="50">
        <v>11</v>
      </c>
      <c r="B20" s="50"/>
      <c r="C20" s="51" t="s">
        <v>53</v>
      </c>
      <c r="D20" s="52" t="s">
        <v>75</v>
      </c>
      <c r="E20" s="53" t="s">
        <v>311</v>
      </c>
      <c r="F20" s="54" t="s">
        <v>60</v>
      </c>
      <c r="G20" s="54">
        <v>5</v>
      </c>
      <c r="H20" s="55">
        <v>850</v>
      </c>
      <c r="I20" s="55">
        <f t="shared" si="0"/>
        <v>4250</v>
      </c>
    </row>
    <row r="21" spans="1:9" ht="25.5" customHeight="1" thickBot="1" x14ac:dyDescent="0.25">
      <c r="A21" s="50">
        <v>12</v>
      </c>
      <c r="B21" s="50"/>
      <c r="C21" s="51" t="s">
        <v>53</v>
      </c>
      <c r="D21" s="52" t="s">
        <v>75</v>
      </c>
      <c r="E21" s="53" t="s">
        <v>81</v>
      </c>
      <c r="F21" s="54" t="s">
        <v>57</v>
      </c>
      <c r="G21" s="54">
        <v>1</v>
      </c>
      <c r="H21" s="55">
        <v>6007</v>
      </c>
      <c r="I21" s="55">
        <f t="shared" si="0"/>
        <v>6007</v>
      </c>
    </row>
    <row r="22" spans="1:9" ht="25.5" customHeight="1" thickBot="1" x14ac:dyDescent="0.25">
      <c r="A22" s="50">
        <v>13</v>
      </c>
      <c r="B22" s="50"/>
      <c r="C22" s="51" t="s">
        <v>53</v>
      </c>
      <c r="D22" s="52" t="s">
        <v>75</v>
      </c>
      <c r="E22" s="53" t="s">
        <v>82</v>
      </c>
      <c r="F22" s="54" t="s">
        <v>57</v>
      </c>
      <c r="G22" s="54">
        <v>4</v>
      </c>
      <c r="H22" s="55">
        <v>4661</v>
      </c>
      <c r="I22" s="55">
        <f t="shared" si="0"/>
        <v>18644</v>
      </c>
    </row>
    <row r="23" spans="1:9" ht="25.5" customHeight="1" thickBot="1" x14ac:dyDescent="0.25">
      <c r="A23" s="50">
        <v>14</v>
      </c>
      <c r="B23" s="50"/>
      <c r="C23" s="51" t="s">
        <v>53</v>
      </c>
      <c r="D23" s="52" t="s">
        <v>75</v>
      </c>
      <c r="E23" s="53" t="s">
        <v>83</v>
      </c>
      <c r="F23" s="54" t="s">
        <v>60</v>
      </c>
      <c r="G23" s="54">
        <v>1</v>
      </c>
      <c r="H23" s="55">
        <v>11900</v>
      </c>
      <c r="I23" s="55">
        <f t="shared" si="0"/>
        <v>11900</v>
      </c>
    </row>
    <row r="24" spans="1:9" ht="25.5" customHeight="1" thickBot="1" x14ac:dyDescent="0.25">
      <c r="A24" s="50">
        <v>15</v>
      </c>
      <c r="B24" s="50"/>
      <c r="C24" s="51" t="s">
        <v>53</v>
      </c>
      <c r="D24" s="52" t="s">
        <v>75</v>
      </c>
      <c r="E24" s="53" t="s">
        <v>84</v>
      </c>
      <c r="F24" s="54" t="s">
        <v>60</v>
      </c>
      <c r="G24" s="54">
        <v>1</v>
      </c>
      <c r="H24" s="55">
        <v>14300</v>
      </c>
      <c r="I24" s="55">
        <f t="shared" si="0"/>
        <v>14300</v>
      </c>
    </row>
    <row r="25" spans="1:9" ht="25.5" customHeight="1" thickBot="1" x14ac:dyDescent="0.25">
      <c r="A25" s="50">
        <v>16</v>
      </c>
      <c r="B25" s="50"/>
      <c r="C25" s="51" t="s">
        <v>53</v>
      </c>
      <c r="D25" s="52" t="s">
        <v>75</v>
      </c>
      <c r="E25" s="53" t="s">
        <v>85</v>
      </c>
      <c r="F25" s="54" t="s">
        <v>60</v>
      </c>
      <c r="G25" s="54">
        <v>1</v>
      </c>
      <c r="H25" s="55">
        <v>10150</v>
      </c>
      <c r="I25" s="55">
        <f t="shared" si="0"/>
        <v>10150</v>
      </c>
    </row>
    <row r="26" spans="1:9" ht="25.5" customHeight="1" thickBot="1" x14ac:dyDescent="0.25">
      <c r="A26" s="50">
        <v>17</v>
      </c>
      <c r="B26" s="50"/>
      <c r="C26" s="51" t="s">
        <v>53</v>
      </c>
      <c r="D26" s="52" t="s">
        <v>75</v>
      </c>
      <c r="E26" s="53" t="s">
        <v>86</v>
      </c>
      <c r="F26" s="54" t="s">
        <v>60</v>
      </c>
      <c r="G26" s="54">
        <v>1</v>
      </c>
      <c r="H26" s="55">
        <v>4160</v>
      </c>
      <c r="I26" s="55">
        <f t="shared" si="0"/>
        <v>4160</v>
      </c>
    </row>
    <row r="27" spans="1:9" ht="25.5" customHeight="1" thickBot="1" x14ac:dyDescent="0.25">
      <c r="A27" s="50">
        <v>18</v>
      </c>
      <c r="B27" s="50"/>
      <c r="C27" s="51" t="s">
        <v>53</v>
      </c>
      <c r="D27" s="52" t="s">
        <v>75</v>
      </c>
      <c r="E27" s="53" t="s">
        <v>87</v>
      </c>
      <c r="F27" s="54" t="s">
        <v>60</v>
      </c>
      <c r="G27" s="54">
        <v>1</v>
      </c>
      <c r="H27" s="55">
        <v>9800</v>
      </c>
      <c r="I27" s="55">
        <f t="shared" si="0"/>
        <v>9800</v>
      </c>
    </row>
    <row r="28" spans="1:9" ht="25.5" customHeight="1" thickBot="1" x14ac:dyDescent="0.25">
      <c r="A28" s="50">
        <v>19</v>
      </c>
      <c r="B28" s="50"/>
      <c r="C28" s="51" t="s">
        <v>53</v>
      </c>
      <c r="D28" s="52" t="s">
        <v>75</v>
      </c>
      <c r="E28" s="53" t="s">
        <v>88</v>
      </c>
      <c r="F28" s="54" t="s">
        <v>60</v>
      </c>
      <c r="G28" s="54">
        <v>1</v>
      </c>
      <c r="H28" s="55">
        <v>3200</v>
      </c>
      <c r="I28" s="55">
        <f t="shared" si="0"/>
        <v>3200</v>
      </c>
    </row>
    <row r="29" spans="1:9" ht="25.5" customHeight="1" thickBot="1" x14ac:dyDescent="0.25">
      <c r="A29" s="50">
        <v>20</v>
      </c>
      <c r="B29" s="50"/>
      <c r="C29" s="51" t="s">
        <v>53</v>
      </c>
      <c r="D29" s="52" t="s">
        <v>75</v>
      </c>
      <c r="E29" s="53" t="s">
        <v>61</v>
      </c>
      <c r="F29" s="54" t="s">
        <v>60</v>
      </c>
      <c r="G29" s="54">
        <v>1</v>
      </c>
      <c r="H29" s="55">
        <v>10300</v>
      </c>
      <c r="I29" s="55">
        <f t="shared" si="0"/>
        <v>10300</v>
      </c>
    </row>
    <row r="30" spans="1:9" ht="25.5" customHeight="1" thickBot="1" x14ac:dyDescent="0.25">
      <c r="A30" s="50">
        <v>21</v>
      </c>
      <c r="B30" s="50"/>
      <c r="C30" s="51" t="s">
        <v>53</v>
      </c>
      <c r="D30" s="52" t="s">
        <v>75</v>
      </c>
      <c r="E30" s="53" t="s">
        <v>89</v>
      </c>
      <c r="F30" s="54" t="s">
        <v>60</v>
      </c>
      <c r="G30" s="54">
        <v>1</v>
      </c>
      <c r="H30" s="55">
        <v>5900</v>
      </c>
      <c r="I30" s="55">
        <f t="shared" si="0"/>
        <v>5900</v>
      </c>
    </row>
    <row r="31" spans="1:9" ht="25.5" customHeight="1" thickBot="1" x14ac:dyDescent="0.25">
      <c r="A31" s="50">
        <v>22</v>
      </c>
      <c r="B31" s="50"/>
      <c r="C31" s="51" t="s">
        <v>53</v>
      </c>
      <c r="D31" s="52" t="s">
        <v>75</v>
      </c>
      <c r="E31" s="53" t="s">
        <v>90</v>
      </c>
      <c r="F31" s="54" t="s">
        <v>60</v>
      </c>
      <c r="G31" s="54">
        <v>1</v>
      </c>
      <c r="H31" s="55">
        <v>2100</v>
      </c>
      <c r="I31" s="55">
        <f t="shared" si="0"/>
        <v>2100</v>
      </c>
    </row>
    <row r="32" spans="1:9" ht="25.5" customHeight="1" thickBot="1" x14ac:dyDescent="0.25">
      <c r="A32" s="50">
        <v>23</v>
      </c>
      <c r="B32" s="50"/>
      <c r="C32" s="51" t="s">
        <v>53</v>
      </c>
      <c r="D32" s="52" t="s">
        <v>75</v>
      </c>
      <c r="E32" s="53" t="s">
        <v>91</v>
      </c>
      <c r="F32" s="54" t="s">
        <v>60</v>
      </c>
      <c r="G32" s="54">
        <v>1</v>
      </c>
      <c r="H32" s="55">
        <v>13500</v>
      </c>
      <c r="I32" s="55">
        <f t="shared" si="0"/>
        <v>13500</v>
      </c>
    </row>
    <row r="33" spans="1:9" ht="25.5" customHeight="1" thickBot="1" x14ac:dyDescent="0.25">
      <c r="A33" s="50">
        <v>24</v>
      </c>
      <c r="B33" s="50"/>
      <c r="C33" s="51" t="s">
        <v>53</v>
      </c>
      <c r="D33" s="52" t="s">
        <v>75</v>
      </c>
      <c r="E33" s="53" t="s">
        <v>92</v>
      </c>
      <c r="F33" s="54" t="s">
        <v>60</v>
      </c>
      <c r="G33" s="54">
        <v>1</v>
      </c>
      <c r="H33" s="55">
        <v>4000</v>
      </c>
      <c r="I33" s="55">
        <f t="shared" si="0"/>
        <v>4000</v>
      </c>
    </row>
    <row r="34" spans="1:9" ht="25.5" customHeight="1" thickBot="1" x14ac:dyDescent="0.25">
      <c r="A34" s="50">
        <v>25</v>
      </c>
      <c r="B34" s="50"/>
      <c r="C34" s="51" t="s">
        <v>53</v>
      </c>
      <c r="D34" s="52" t="s">
        <v>75</v>
      </c>
      <c r="E34" s="53" t="s">
        <v>93</v>
      </c>
      <c r="F34" s="54" t="s">
        <v>60</v>
      </c>
      <c r="G34" s="54">
        <v>1</v>
      </c>
      <c r="H34" s="55">
        <v>6300</v>
      </c>
      <c r="I34" s="55">
        <f t="shared" si="0"/>
        <v>6300</v>
      </c>
    </row>
    <row r="35" spans="1:9" ht="25.5" customHeight="1" thickBot="1" x14ac:dyDescent="0.25">
      <c r="A35" s="50">
        <v>26</v>
      </c>
      <c r="B35" s="50"/>
      <c r="C35" s="51" t="s">
        <v>53</v>
      </c>
      <c r="D35" s="52" t="s">
        <v>75</v>
      </c>
      <c r="E35" s="53" t="s">
        <v>94</v>
      </c>
      <c r="F35" s="54" t="s">
        <v>57</v>
      </c>
      <c r="G35" s="54">
        <v>3</v>
      </c>
      <c r="H35" s="55">
        <v>1706</v>
      </c>
      <c r="I35" s="55">
        <f t="shared" si="0"/>
        <v>5118</v>
      </c>
    </row>
    <row r="36" spans="1:9" ht="25.5" customHeight="1" thickBot="1" x14ac:dyDescent="0.25">
      <c r="A36" s="50">
        <v>27</v>
      </c>
      <c r="B36" s="50"/>
      <c r="C36" s="51" t="s">
        <v>53</v>
      </c>
      <c r="D36" s="52" t="s">
        <v>75</v>
      </c>
      <c r="E36" s="53" t="s">
        <v>95</v>
      </c>
      <c r="F36" s="54" t="s">
        <v>57</v>
      </c>
      <c r="G36" s="54">
        <v>1</v>
      </c>
      <c r="H36" s="55">
        <v>7050</v>
      </c>
      <c r="I36" s="55">
        <f t="shared" si="0"/>
        <v>7050</v>
      </c>
    </row>
    <row r="37" spans="1:9" ht="25.5" customHeight="1" thickBot="1" x14ac:dyDescent="0.25">
      <c r="A37" s="50">
        <v>28</v>
      </c>
      <c r="B37" s="50"/>
      <c r="C37" s="51" t="s">
        <v>53</v>
      </c>
      <c r="D37" s="52" t="s">
        <v>75</v>
      </c>
      <c r="E37" s="53" t="s">
        <v>312</v>
      </c>
      <c r="F37" s="54" t="s">
        <v>51</v>
      </c>
      <c r="G37" s="54">
        <v>10</v>
      </c>
      <c r="H37" s="55">
        <v>10600</v>
      </c>
      <c r="I37" s="55">
        <f t="shared" si="0"/>
        <v>106000</v>
      </c>
    </row>
    <row r="38" spans="1:9" ht="25.5" customHeight="1" thickBot="1" x14ac:dyDescent="0.25">
      <c r="A38" s="50">
        <v>29</v>
      </c>
      <c r="B38" s="50"/>
      <c r="C38" s="51" t="s">
        <v>53</v>
      </c>
      <c r="D38" s="52" t="s">
        <v>75</v>
      </c>
      <c r="E38" s="53" t="s">
        <v>313</v>
      </c>
      <c r="F38" s="54" t="s">
        <v>51</v>
      </c>
      <c r="G38" s="54">
        <v>10</v>
      </c>
      <c r="H38" s="55">
        <v>10500</v>
      </c>
      <c r="I38" s="55">
        <f t="shared" si="0"/>
        <v>105000</v>
      </c>
    </row>
    <row r="39" spans="1:9" ht="25.5" customHeight="1" thickBot="1" x14ac:dyDescent="0.25">
      <c r="A39" s="50">
        <v>30</v>
      </c>
      <c r="B39" s="50"/>
      <c r="C39" s="51" t="s">
        <v>53</v>
      </c>
      <c r="D39" s="52" t="s">
        <v>75</v>
      </c>
      <c r="E39" s="53" t="s">
        <v>96</v>
      </c>
      <c r="F39" s="54" t="s">
        <v>57</v>
      </c>
      <c r="G39" s="54">
        <v>1</v>
      </c>
      <c r="H39" s="55">
        <v>9117</v>
      </c>
      <c r="I39" s="55">
        <f t="shared" si="0"/>
        <v>9117</v>
      </c>
    </row>
    <row r="40" spans="1:9" ht="25.5" customHeight="1" thickBot="1" x14ac:dyDescent="0.25">
      <c r="A40" s="50">
        <v>31</v>
      </c>
      <c r="B40" s="50"/>
      <c r="C40" s="51" t="s">
        <v>53</v>
      </c>
      <c r="D40" s="52" t="s">
        <v>75</v>
      </c>
      <c r="E40" s="53" t="s">
        <v>97</v>
      </c>
      <c r="F40" s="54" t="s">
        <v>51</v>
      </c>
      <c r="G40" s="54">
        <v>2</v>
      </c>
      <c r="H40" s="55">
        <v>58000</v>
      </c>
      <c r="I40" s="55">
        <f t="shared" si="0"/>
        <v>116000</v>
      </c>
    </row>
    <row r="41" spans="1:9" ht="25.5" customHeight="1" thickBot="1" x14ac:dyDescent="0.25">
      <c r="A41" s="50">
        <v>32</v>
      </c>
      <c r="B41" s="50"/>
      <c r="C41" s="51" t="s">
        <v>53</v>
      </c>
      <c r="D41" s="52" t="s">
        <v>75</v>
      </c>
      <c r="E41" s="53" t="s">
        <v>98</v>
      </c>
      <c r="F41" s="54" t="s">
        <v>50</v>
      </c>
      <c r="G41" s="54">
        <v>1</v>
      </c>
      <c r="H41" s="55">
        <v>850</v>
      </c>
      <c r="I41" s="55">
        <f t="shared" si="0"/>
        <v>850</v>
      </c>
    </row>
    <row r="42" spans="1:9" ht="25.5" customHeight="1" thickBot="1" x14ac:dyDescent="0.25">
      <c r="A42" s="50">
        <v>33</v>
      </c>
      <c r="B42" s="50"/>
      <c r="C42" s="51" t="s">
        <v>53</v>
      </c>
      <c r="D42" s="52" t="s">
        <v>75</v>
      </c>
      <c r="E42" s="53" t="s">
        <v>314</v>
      </c>
      <c r="F42" s="54" t="s">
        <v>51</v>
      </c>
      <c r="G42" s="54">
        <v>1</v>
      </c>
      <c r="H42" s="55">
        <v>5400</v>
      </c>
      <c r="I42" s="55">
        <f t="shared" si="0"/>
        <v>5400</v>
      </c>
    </row>
    <row r="43" spans="1:9" ht="25.5" customHeight="1" thickBot="1" x14ac:dyDescent="0.25">
      <c r="A43" s="50">
        <v>34</v>
      </c>
      <c r="B43" s="50"/>
      <c r="C43" s="51" t="s">
        <v>53</v>
      </c>
      <c r="D43" s="52" t="s">
        <v>75</v>
      </c>
      <c r="E43" s="53" t="s">
        <v>99</v>
      </c>
      <c r="F43" s="54" t="s">
        <v>57</v>
      </c>
      <c r="G43" s="54">
        <v>4</v>
      </c>
      <c r="H43" s="55">
        <v>3623</v>
      </c>
      <c r="I43" s="55">
        <f t="shared" si="0"/>
        <v>14492</v>
      </c>
    </row>
    <row r="44" spans="1:9" ht="25.5" customHeight="1" thickBot="1" x14ac:dyDescent="0.25">
      <c r="A44" s="50">
        <v>35</v>
      </c>
      <c r="B44" s="50"/>
      <c r="C44" s="51" t="s">
        <v>53</v>
      </c>
      <c r="D44" s="52" t="s">
        <v>75</v>
      </c>
      <c r="E44" s="53" t="s">
        <v>100</v>
      </c>
      <c r="F44" s="54" t="s">
        <v>57</v>
      </c>
      <c r="G44" s="54">
        <v>2</v>
      </c>
      <c r="H44" s="55">
        <v>3714</v>
      </c>
      <c r="I44" s="55">
        <f t="shared" si="0"/>
        <v>7428</v>
      </c>
    </row>
    <row r="45" spans="1:9" ht="25.5" customHeight="1" thickBot="1" x14ac:dyDescent="0.25">
      <c r="A45" s="50">
        <v>36</v>
      </c>
      <c r="B45" s="50"/>
      <c r="C45" s="51" t="s">
        <v>53</v>
      </c>
      <c r="D45" s="52" t="s">
        <v>75</v>
      </c>
      <c r="E45" s="53" t="s">
        <v>315</v>
      </c>
      <c r="F45" s="54" t="s">
        <v>50</v>
      </c>
      <c r="G45" s="54">
        <v>2</v>
      </c>
      <c r="H45" s="55">
        <v>21560</v>
      </c>
      <c r="I45" s="55">
        <f t="shared" si="0"/>
        <v>43120</v>
      </c>
    </row>
    <row r="46" spans="1:9" ht="25.5" customHeight="1" thickBot="1" x14ac:dyDescent="0.25">
      <c r="A46" s="50">
        <v>37</v>
      </c>
      <c r="B46" s="50"/>
      <c r="C46" s="61" t="s">
        <v>53</v>
      </c>
      <c r="D46" s="101" t="s">
        <v>75</v>
      </c>
      <c r="E46" s="95" t="s">
        <v>279</v>
      </c>
      <c r="F46" s="45" t="s">
        <v>283</v>
      </c>
      <c r="G46" s="47">
        <v>3</v>
      </c>
      <c r="H46" s="46">
        <v>13680</v>
      </c>
      <c r="I46" s="55">
        <f t="shared" si="0"/>
        <v>41040</v>
      </c>
    </row>
    <row r="47" spans="1:9" ht="25.5" customHeight="1" thickBot="1" x14ac:dyDescent="0.25">
      <c r="A47" s="50">
        <v>38</v>
      </c>
      <c r="B47" s="50"/>
      <c r="C47" s="51" t="s">
        <v>53</v>
      </c>
      <c r="D47" s="52" t="s">
        <v>75</v>
      </c>
      <c r="E47" s="53" t="s">
        <v>101</v>
      </c>
      <c r="F47" s="54" t="s">
        <v>57</v>
      </c>
      <c r="G47" s="54">
        <v>2</v>
      </c>
      <c r="H47" s="55">
        <v>3514</v>
      </c>
      <c r="I47" s="55">
        <f t="shared" si="0"/>
        <v>7028</v>
      </c>
    </row>
    <row r="48" spans="1:9" ht="25.5" customHeight="1" thickBot="1" x14ac:dyDescent="0.25">
      <c r="A48" s="50">
        <v>39</v>
      </c>
      <c r="B48" s="50"/>
      <c r="C48" s="51" t="s">
        <v>53</v>
      </c>
      <c r="D48" s="52" t="s">
        <v>75</v>
      </c>
      <c r="E48" s="53" t="s">
        <v>316</v>
      </c>
      <c r="F48" s="54" t="s">
        <v>51</v>
      </c>
      <c r="G48" s="54">
        <v>50</v>
      </c>
      <c r="H48" s="55">
        <v>270</v>
      </c>
      <c r="I48" s="55">
        <f t="shared" si="0"/>
        <v>13500</v>
      </c>
    </row>
    <row r="49" spans="1:9" ht="25.5" customHeight="1" thickBot="1" x14ac:dyDescent="0.25">
      <c r="A49" s="50">
        <v>40</v>
      </c>
      <c r="B49" s="50"/>
      <c r="C49" s="51" t="s">
        <v>53</v>
      </c>
      <c r="D49" s="52" t="s">
        <v>75</v>
      </c>
      <c r="E49" s="53" t="s">
        <v>317</v>
      </c>
      <c r="F49" s="54" t="s">
        <v>51</v>
      </c>
      <c r="G49" s="54">
        <v>7</v>
      </c>
      <c r="H49" s="55">
        <v>28400</v>
      </c>
      <c r="I49" s="55">
        <f t="shared" si="0"/>
        <v>198800</v>
      </c>
    </row>
    <row r="50" spans="1:9" ht="25.5" customHeight="1" thickBot="1" x14ac:dyDescent="0.25">
      <c r="A50" s="50">
        <v>41</v>
      </c>
      <c r="B50" s="50"/>
      <c r="C50" s="51" t="s">
        <v>53</v>
      </c>
      <c r="D50" s="52" t="s">
        <v>75</v>
      </c>
      <c r="E50" s="53" t="s">
        <v>318</v>
      </c>
      <c r="F50" s="54" t="s">
        <v>51</v>
      </c>
      <c r="G50" s="54">
        <v>5</v>
      </c>
      <c r="H50" s="55">
        <v>28400</v>
      </c>
      <c r="I50" s="55">
        <f t="shared" si="0"/>
        <v>142000</v>
      </c>
    </row>
    <row r="51" spans="1:9" ht="25.5" customHeight="1" thickBot="1" x14ac:dyDescent="0.25">
      <c r="A51" s="50">
        <v>42</v>
      </c>
      <c r="B51" s="50"/>
      <c r="C51" s="61" t="s">
        <v>53</v>
      </c>
      <c r="D51" s="52" t="s">
        <v>75</v>
      </c>
      <c r="E51" s="103" t="s">
        <v>271</v>
      </c>
      <c r="F51" s="45" t="s">
        <v>50</v>
      </c>
      <c r="G51" s="47">
        <v>1</v>
      </c>
      <c r="H51" s="46">
        <v>10863</v>
      </c>
      <c r="I51" s="55">
        <f t="shared" si="0"/>
        <v>10863</v>
      </c>
    </row>
    <row r="52" spans="1:9" ht="25.5" customHeight="1" thickBot="1" x14ac:dyDescent="0.25">
      <c r="A52" s="50">
        <v>43</v>
      </c>
      <c r="B52" s="50"/>
      <c r="C52" s="51" t="s">
        <v>53</v>
      </c>
      <c r="D52" s="52" t="s">
        <v>75</v>
      </c>
      <c r="E52" s="53" t="s">
        <v>102</v>
      </c>
      <c r="F52" s="54" t="s">
        <v>319</v>
      </c>
      <c r="G52" s="54">
        <v>1</v>
      </c>
      <c r="H52" s="55">
        <v>48000</v>
      </c>
      <c r="I52" s="55">
        <f t="shared" si="0"/>
        <v>48000</v>
      </c>
    </row>
    <row r="53" spans="1:9" ht="25.5" customHeight="1" thickBot="1" x14ac:dyDescent="0.25">
      <c r="A53" s="50">
        <v>44</v>
      </c>
      <c r="B53" s="50"/>
      <c r="C53" s="61" t="s">
        <v>53</v>
      </c>
      <c r="D53" s="52" t="s">
        <v>75</v>
      </c>
      <c r="E53" s="95" t="s">
        <v>263</v>
      </c>
      <c r="F53" s="45" t="s">
        <v>50</v>
      </c>
      <c r="G53" s="47">
        <v>1</v>
      </c>
      <c r="H53" s="46">
        <v>12500</v>
      </c>
      <c r="I53" s="55">
        <f t="shared" si="0"/>
        <v>12500</v>
      </c>
    </row>
    <row r="54" spans="1:9" ht="25.5" customHeight="1" thickBot="1" x14ac:dyDescent="0.25">
      <c r="A54" s="50">
        <v>45</v>
      </c>
      <c r="B54" s="50"/>
      <c r="C54" s="51" t="s">
        <v>53</v>
      </c>
      <c r="D54" s="52" t="s">
        <v>75</v>
      </c>
      <c r="E54" s="53" t="s">
        <v>103</v>
      </c>
      <c r="F54" s="54" t="s">
        <v>50</v>
      </c>
      <c r="G54" s="54">
        <v>1</v>
      </c>
      <c r="H54" s="55">
        <v>12863</v>
      </c>
      <c r="I54" s="55">
        <f t="shared" si="0"/>
        <v>12863</v>
      </c>
    </row>
    <row r="55" spans="1:9" ht="25.5" customHeight="1" thickBot="1" x14ac:dyDescent="0.25">
      <c r="A55" s="50">
        <v>46</v>
      </c>
      <c r="B55" s="50"/>
      <c r="C55" s="51" t="s">
        <v>53</v>
      </c>
      <c r="D55" s="52" t="s">
        <v>75</v>
      </c>
      <c r="E55" s="53" t="s">
        <v>104</v>
      </c>
      <c r="F55" s="54" t="s">
        <v>50</v>
      </c>
      <c r="G55" s="54">
        <v>1</v>
      </c>
      <c r="H55" s="55">
        <v>13400</v>
      </c>
      <c r="I55" s="55">
        <f t="shared" si="0"/>
        <v>13400</v>
      </c>
    </row>
    <row r="56" spans="1:9" ht="25.5" customHeight="1" thickBot="1" x14ac:dyDescent="0.25">
      <c r="A56" s="50">
        <v>47</v>
      </c>
      <c r="B56" s="50"/>
      <c r="C56" s="61" t="s">
        <v>53</v>
      </c>
      <c r="D56" s="52" t="s">
        <v>75</v>
      </c>
      <c r="E56" s="103" t="s">
        <v>275</v>
      </c>
      <c r="F56" s="45" t="s">
        <v>50</v>
      </c>
      <c r="G56" s="47">
        <v>1</v>
      </c>
      <c r="H56" s="46">
        <v>14200</v>
      </c>
      <c r="I56" s="55">
        <f t="shared" si="0"/>
        <v>14200</v>
      </c>
    </row>
    <row r="57" spans="1:9" ht="25.5" customHeight="1" thickBot="1" x14ac:dyDescent="0.25">
      <c r="A57" s="50">
        <v>48</v>
      </c>
      <c r="B57" s="50"/>
      <c r="C57" s="51" t="s">
        <v>53</v>
      </c>
      <c r="D57" s="52" t="s">
        <v>75</v>
      </c>
      <c r="E57" s="53" t="s">
        <v>105</v>
      </c>
      <c r="F57" s="54" t="s">
        <v>50</v>
      </c>
      <c r="G57" s="54">
        <v>1</v>
      </c>
      <c r="H57" s="55">
        <v>12963</v>
      </c>
      <c r="I57" s="55">
        <f t="shared" si="0"/>
        <v>12963</v>
      </c>
    </row>
    <row r="58" spans="1:9" ht="25.5" customHeight="1" thickBot="1" x14ac:dyDescent="0.25">
      <c r="A58" s="50">
        <v>49</v>
      </c>
      <c r="B58" s="50"/>
      <c r="C58" s="51" t="s">
        <v>53</v>
      </c>
      <c r="D58" s="52" t="s">
        <v>75</v>
      </c>
      <c r="E58" s="53" t="s">
        <v>106</v>
      </c>
      <c r="F58" s="54" t="s">
        <v>50</v>
      </c>
      <c r="G58" s="54">
        <v>1</v>
      </c>
      <c r="H58" s="55">
        <v>14963</v>
      </c>
      <c r="I58" s="55">
        <f t="shared" si="0"/>
        <v>14963</v>
      </c>
    </row>
    <row r="59" spans="1:9" ht="25.5" customHeight="1" thickBot="1" x14ac:dyDescent="0.25">
      <c r="A59" s="50">
        <v>50</v>
      </c>
      <c r="B59" s="50"/>
      <c r="C59" s="51" t="s">
        <v>53</v>
      </c>
      <c r="D59" s="52" t="s">
        <v>75</v>
      </c>
      <c r="E59" s="53" t="s">
        <v>107</v>
      </c>
      <c r="F59" s="54" t="s">
        <v>50</v>
      </c>
      <c r="G59" s="54">
        <v>1</v>
      </c>
      <c r="H59" s="55">
        <v>16114</v>
      </c>
      <c r="I59" s="55">
        <f t="shared" si="0"/>
        <v>16114</v>
      </c>
    </row>
    <row r="60" spans="1:9" ht="25.5" customHeight="1" thickBot="1" x14ac:dyDescent="0.25">
      <c r="A60" s="50">
        <v>51</v>
      </c>
      <c r="B60" s="50"/>
      <c r="C60" s="51" t="s">
        <v>53</v>
      </c>
      <c r="D60" s="52" t="s">
        <v>75</v>
      </c>
      <c r="E60" s="53" t="s">
        <v>108</v>
      </c>
      <c r="F60" s="54" t="s">
        <v>50</v>
      </c>
      <c r="G60" s="54">
        <v>1</v>
      </c>
      <c r="H60" s="55">
        <v>12863</v>
      </c>
      <c r="I60" s="55">
        <f t="shared" si="0"/>
        <v>12863</v>
      </c>
    </row>
    <row r="61" spans="1:9" ht="25.5" customHeight="1" thickBot="1" x14ac:dyDescent="0.25">
      <c r="A61" s="50">
        <v>52</v>
      </c>
      <c r="B61" s="50"/>
      <c r="C61" s="51" t="s">
        <v>53</v>
      </c>
      <c r="D61" s="52" t="s">
        <v>75</v>
      </c>
      <c r="E61" s="53" t="s">
        <v>109</v>
      </c>
      <c r="F61" s="54" t="s">
        <v>50</v>
      </c>
      <c r="G61" s="54">
        <v>1</v>
      </c>
      <c r="H61" s="55">
        <v>12863</v>
      </c>
      <c r="I61" s="55">
        <f t="shared" si="0"/>
        <v>12863</v>
      </c>
    </row>
    <row r="62" spans="1:9" ht="25.5" customHeight="1" thickBot="1" x14ac:dyDescent="0.25">
      <c r="A62" s="50">
        <v>53</v>
      </c>
      <c r="B62" s="50"/>
      <c r="C62" s="61" t="s">
        <v>53</v>
      </c>
      <c r="D62" s="52" t="s">
        <v>75</v>
      </c>
      <c r="E62" s="103" t="s">
        <v>269</v>
      </c>
      <c r="F62" s="45" t="s">
        <v>50</v>
      </c>
      <c r="G62" s="47">
        <v>1</v>
      </c>
      <c r="H62" s="46">
        <v>16890</v>
      </c>
      <c r="I62" s="55">
        <f t="shared" si="0"/>
        <v>16890</v>
      </c>
    </row>
    <row r="63" spans="1:9" ht="25.5" customHeight="1" thickBot="1" x14ac:dyDescent="0.25">
      <c r="A63" s="50">
        <v>54</v>
      </c>
      <c r="B63" s="50"/>
      <c r="C63" s="51" t="s">
        <v>53</v>
      </c>
      <c r="D63" s="52" t="s">
        <v>75</v>
      </c>
      <c r="E63" s="53" t="s">
        <v>110</v>
      </c>
      <c r="F63" s="54" t="s">
        <v>50</v>
      </c>
      <c r="G63" s="54">
        <v>10</v>
      </c>
      <c r="H63" s="55">
        <v>12435</v>
      </c>
      <c r="I63" s="55">
        <f t="shared" si="0"/>
        <v>124350</v>
      </c>
    </row>
    <row r="64" spans="1:9" ht="25.5" customHeight="1" thickBot="1" x14ac:dyDescent="0.25">
      <c r="A64" s="50">
        <v>55</v>
      </c>
      <c r="B64" s="50"/>
      <c r="C64" s="51" t="s">
        <v>53</v>
      </c>
      <c r="D64" s="52" t="s">
        <v>75</v>
      </c>
      <c r="E64" s="53" t="s">
        <v>111</v>
      </c>
      <c r="F64" s="54" t="s">
        <v>50</v>
      </c>
      <c r="G64" s="54">
        <v>1</v>
      </c>
      <c r="H64" s="55">
        <v>11986</v>
      </c>
      <c r="I64" s="55">
        <f t="shared" si="0"/>
        <v>11986</v>
      </c>
    </row>
    <row r="65" spans="1:9" ht="25.5" customHeight="1" thickBot="1" x14ac:dyDescent="0.25">
      <c r="A65" s="50">
        <v>56</v>
      </c>
      <c r="B65" s="50"/>
      <c r="C65" s="51" t="s">
        <v>53</v>
      </c>
      <c r="D65" s="52" t="s">
        <v>75</v>
      </c>
      <c r="E65" s="53" t="s">
        <v>112</v>
      </c>
      <c r="F65" s="54" t="s">
        <v>50</v>
      </c>
      <c r="G65" s="54">
        <v>1</v>
      </c>
      <c r="H65" s="55">
        <v>12863</v>
      </c>
      <c r="I65" s="55">
        <f t="shared" si="0"/>
        <v>12863</v>
      </c>
    </row>
    <row r="66" spans="1:9" s="25" customFormat="1" ht="25.5" customHeight="1" thickBot="1" x14ac:dyDescent="0.25">
      <c r="A66" s="50">
        <v>57</v>
      </c>
      <c r="B66" s="50"/>
      <c r="C66" s="121" t="s">
        <v>53</v>
      </c>
      <c r="D66" s="122" t="s">
        <v>75</v>
      </c>
      <c r="E66" s="120" t="s">
        <v>307</v>
      </c>
      <c r="F66" s="123" t="s">
        <v>50</v>
      </c>
      <c r="G66" s="123">
        <v>1</v>
      </c>
      <c r="H66" s="125">
        <v>12863</v>
      </c>
      <c r="I66" s="125">
        <f t="shared" si="0"/>
        <v>12863</v>
      </c>
    </row>
    <row r="67" spans="1:9" ht="25.5" customHeight="1" thickBot="1" x14ac:dyDescent="0.25">
      <c r="A67" s="50">
        <v>58</v>
      </c>
      <c r="B67" s="50"/>
      <c r="C67" s="51" t="s">
        <v>53</v>
      </c>
      <c r="D67" s="52" t="s">
        <v>75</v>
      </c>
      <c r="E67" s="53" t="s">
        <v>113</v>
      </c>
      <c r="F67" s="54" t="s">
        <v>50</v>
      </c>
      <c r="G67" s="54">
        <v>1</v>
      </c>
      <c r="H67" s="55">
        <v>12435</v>
      </c>
      <c r="I67" s="55">
        <f t="shared" si="0"/>
        <v>12435</v>
      </c>
    </row>
    <row r="68" spans="1:9" ht="25.5" customHeight="1" thickBot="1" x14ac:dyDescent="0.25">
      <c r="A68" s="50">
        <v>59</v>
      </c>
      <c r="B68" s="50"/>
      <c r="C68" s="51" t="s">
        <v>53</v>
      </c>
      <c r="D68" s="52" t="s">
        <v>75</v>
      </c>
      <c r="E68" s="53" t="s">
        <v>114</v>
      </c>
      <c r="F68" s="54" t="s">
        <v>50</v>
      </c>
      <c r="G68" s="54">
        <v>1</v>
      </c>
      <c r="H68" s="55">
        <v>12435</v>
      </c>
      <c r="I68" s="55">
        <f t="shared" si="0"/>
        <v>12435</v>
      </c>
    </row>
    <row r="69" spans="1:9" ht="25.5" customHeight="1" thickBot="1" x14ac:dyDescent="0.25">
      <c r="A69" s="50">
        <v>60</v>
      </c>
      <c r="B69" s="50"/>
      <c r="C69" s="51" t="s">
        <v>53</v>
      </c>
      <c r="D69" s="52" t="s">
        <v>75</v>
      </c>
      <c r="E69" s="53" t="s">
        <v>115</v>
      </c>
      <c r="F69" s="54" t="s">
        <v>50</v>
      </c>
      <c r="G69" s="54">
        <v>1</v>
      </c>
      <c r="H69" s="55">
        <v>11028</v>
      </c>
      <c r="I69" s="55">
        <f t="shared" si="0"/>
        <v>11028</v>
      </c>
    </row>
    <row r="70" spans="1:9" ht="25.5" customHeight="1" thickBot="1" x14ac:dyDescent="0.25">
      <c r="A70" s="50">
        <v>61</v>
      </c>
      <c r="B70" s="50"/>
      <c r="C70" s="61" t="s">
        <v>53</v>
      </c>
      <c r="D70" s="52" t="s">
        <v>75</v>
      </c>
      <c r="E70" s="103" t="s">
        <v>272</v>
      </c>
      <c r="F70" s="45" t="s">
        <v>50</v>
      </c>
      <c r="G70" s="47">
        <v>1</v>
      </c>
      <c r="H70" s="46">
        <v>14500</v>
      </c>
      <c r="I70" s="55">
        <f t="shared" si="0"/>
        <v>14500</v>
      </c>
    </row>
    <row r="71" spans="1:9" ht="25.5" customHeight="1" thickBot="1" x14ac:dyDescent="0.25">
      <c r="A71" s="50">
        <v>62</v>
      </c>
      <c r="B71" s="50"/>
      <c r="C71" s="51" t="s">
        <v>53</v>
      </c>
      <c r="D71" s="52" t="s">
        <v>75</v>
      </c>
      <c r="E71" s="53" t="s">
        <v>116</v>
      </c>
      <c r="F71" s="54" t="s">
        <v>50</v>
      </c>
      <c r="G71" s="54">
        <v>1</v>
      </c>
      <c r="H71" s="55">
        <v>16114</v>
      </c>
      <c r="I71" s="55">
        <f t="shared" si="0"/>
        <v>16114</v>
      </c>
    </row>
    <row r="72" spans="1:9" ht="25.5" customHeight="1" thickBot="1" x14ac:dyDescent="0.25">
      <c r="A72" s="50">
        <v>63</v>
      </c>
      <c r="B72" s="50"/>
      <c r="C72" s="51" t="s">
        <v>53</v>
      </c>
      <c r="D72" s="52" t="s">
        <v>75</v>
      </c>
      <c r="E72" s="53" t="s">
        <v>321</v>
      </c>
      <c r="F72" s="54" t="s">
        <v>319</v>
      </c>
      <c r="G72" s="54">
        <v>20</v>
      </c>
      <c r="H72" s="55">
        <v>4976</v>
      </c>
      <c r="I72" s="55">
        <f t="shared" si="0"/>
        <v>99520</v>
      </c>
    </row>
    <row r="73" spans="1:9" ht="25.5" customHeight="1" thickBot="1" x14ac:dyDescent="0.25">
      <c r="A73" s="50">
        <v>64</v>
      </c>
      <c r="B73" s="50"/>
      <c r="C73" s="61" t="s">
        <v>53</v>
      </c>
      <c r="D73" s="52" t="s">
        <v>76</v>
      </c>
      <c r="E73" s="53" t="s">
        <v>320</v>
      </c>
      <c r="F73" s="54" t="s">
        <v>51</v>
      </c>
      <c r="G73" s="54">
        <v>10</v>
      </c>
      <c r="H73" s="55">
        <v>240</v>
      </c>
      <c r="I73" s="55">
        <f t="shared" ref="I73:I135" si="1">H73*G73</f>
        <v>2400</v>
      </c>
    </row>
    <row r="74" spans="1:9" ht="25.5" customHeight="1" thickBot="1" x14ac:dyDescent="0.25">
      <c r="A74" s="50">
        <v>65</v>
      </c>
      <c r="B74" s="50"/>
      <c r="C74" s="51" t="s">
        <v>53</v>
      </c>
      <c r="D74" s="52" t="s">
        <v>75</v>
      </c>
      <c r="E74" s="53" t="s">
        <v>117</v>
      </c>
      <c r="F74" s="54" t="s">
        <v>319</v>
      </c>
      <c r="G74" s="54">
        <v>18</v>
      </c>
      <c r="H74" s="55">
        <v>11091</v>
      </c>
      <c r="I74" s="55">
        <f t="shared" si="1"/>
        <v>199638</v>
      </c>
    </row>
    <row r="75" spans="1:9" ht="25.5" customHeight="1" thickBot="1" x14ac:dyDescent="0.25">
      <c r="A75" s="50">
        <v>66</v>
      </c>
      <c r="B75" s="50"/>
      <c r="C75" s="51" t="s">
        <v>53</v>
      </c>
      <c r="D75" s="52" t="s">
        <v>75</v>
      </c>
      <c r="E75" s="53" t="s">
        <v>118</v>
      </c>
      <c r="F75" s="54" t="s">
        <v>319</v>
      </c>
      <c r="G75" s="54">
        <v>12</v>
      </c>
      <c r="H75" s="55">
        <v>10500</v>
      </c>
      <c r="I75" s="55">
        <f t="shared" si="1"/>
        <v>126000</v>
      </c>
    </row>
    <row r="76" spans="1:9" ht="25.5" customHeight="1" thickBot="1" x14ac:dyDescent="0.25">
      <c r="A76" s="50">
        <v>67</v>
      </c>
      <c r="B76" s="50"/>
      <c r="C76" s="61" t="s">
        <v>53</v>
      </c>
      <c r="D76" s="52" t="s">
        <v>75</v>
      </c>
      <c r="E76" s="103" t="s">
        <v>277</v>
      </c>
      <c r="F76" s="45" t="s">
        <v>50</v>
      </c>
      <c r="G76" s="47">
        <v>1</v>
      </c>
      <c r="H76" s="46">
        <v>5285</v>
      </c>
      <c r="I76" s="55">
        <f t="shared" si="1"/>
        <v>5285</v>
      </c>
    </row>
    <row r="77" spans="1:9" ht="25.5" customHeight="1" thickBot="1" x14ac:dyDescent="0.25">
      <c r="A77" s="50">
        <v>68</v>
      </c>
      <c r="B77" s="50"/>
      <c r="C77" s="51" t="s">
        <v>53</v>
      </c>
      <c r="D77" s="52" t="s">
        <v>75</v>
      </c>
      <c r="E77" s="53" t="s">
        <v>119</v>
      </c>
      <c r="F77" s="54" t="s">
        <v>50</v>
      </c>
      <c r="G77" s="54">
        <v>1</v>
      </c>
      <c r="H77" s="55">
        <v>24471</v>
      </c>
      <c r="I77" s="55">
        <f t="shared" si="1"/>
        <v>24471</v>
      </c>
    </row>
    <row r="78" spans="1:9" ht="25.5" customHeight="1" thickBot="1" x14ac:dyDescent="0.25">
      <c r="A78" s="50">
        <v>69</v>
      </c>
      <c r="B78" s="50"/>
      <c r="C78" s="51" t="s">
        <v>53</v>
      </c>
      <c r="D78" s="52" t="s">
        <v>75</v>
      </c>
      <c r="E78" s="53" t="s">
        <v>120</v>
      </c>
      <c r="F78" s="54" t="s">
        <v>57</v>
      </c>
      <c r="G78" s="54">
        <v>1</v>
      </c>
      <c r="H78" s="55">
        <v>4424</v>
      </c>
      <c r="I78" s="55">
        <f t="shared" si="1"/>
        <v>4424</v>
      </c>
    </row>
    <row r="79" spans="1:9" ht="25.5" customHeight="1" thickBot="1" x14ac:dyDescent="0.25">
      <c r="A79" s="50">
        <v>70</v>
      </c>
      <c r="B79" s="50"/>
      <c r="C79" s="51" t="s">
        <v>53</v>
      </c>
      <c r="D79" s="52" t="s">
        <v>75</v>
      </c>
      <c r="E79" s="53" t="s">
        <v>121</v>
      </c>
      <c r="F79" s="54" t="s">
        <v>50</v>
      </c>
      <c r="G79" s="54">
        <v>8</v>
      </c>
      <c r="H79" s="55">
        <v>8696</v>
      </c>
      <c r="I79" s="55">
        <f t="shared" si="1"/>
        <v>69568</v>
      </c>
    </row>
    <row r="80" spans="1:9" ht="25.5" customHeight="1" thickBot="1" x14ac:dyDescent="0.25">
      <c r="A80" s="50">
        <v>71</v>
      </c>
      <c r="B80" s="50"/>
      <c r="C80" s="61" t="s">
        <v>53</v>
      </c>
      <c r="D80" s="101" t="s">
        <v>75</v>
      </c>
      <c r="E80" s="95" t="s">
        <v>299</v>
      </c>
      <c r="F80" s="45" t="s">
        <v>51</v>
      </c>
      <c r="G80" s="47">
        <v>1</v>
      </c>
      <c r="H80" s="46">
        <v>2300</v>
      </c>
      <c r="I80" s="55">
        <f t="shared" si="1"/>
        <v>2300</v>
      </c>
    </row>
    <row r="81" spans="1:9" ht="25.5" customHeight="1" thickBot="1" x14ac:dyDescent="0.25">
      <c r="A81" s="50">
        <v>72</v>
      </c>
      <c r="B81" s="50"/>
      <c r="C81" s="51" t="s">
        <v>53</v>
      </c>
      <c r="D81" s="52" t="s">
        <v>75</v>
      </c>
      <c r="E81" s="53" t="s">
        <v>122</v>
      </c>
      <c r="F81" s="54" t="s">
        <v>51</v>
      </c>
      <c r="G81" s="54">
        <v>7</v>
      </c>
      <c r="H81" s="55">
        <v>27900</v>
      </c>
      <c r="I81" s="55">
        <f t="shared" si="1"/>
        <v>195300</v>
      </c>
    </row>
    <row r="82" spans="1:9" ht="25.5" customHeight="1" thickBot="1" x14ac:dyDescent="0.25">
      <c r="A82" s="50">
        <v>73</v>
      </c>
      <c r="B82" s="50"/>
      <c r="C82" s="51" t="s">
        <v>53</v>
      </c>
      <c r="D82" s="52" t="s">
        <v>75</v>
      </c>
      <c r="E82" s="53" t="s">
        <v>322</v>
      </c>
      <c r="F82" s="54" t="s">
        <v>51</v>
      </c>
      <c r="G82" s="54">
        <v>6</v>
      </c>
      <c r="H82" s="55">
        <v>5600</v>
      </c>
      <c r="I82" s="55">
        <f t="shared" si="1"/>
        <v>33600</v>
      </c>
    </row>
    <row r="83" spans="1:9" ht="25.5" customHeight="1" thickBot="1" x14ac:dyDescent="0.25">
      <c r="A83" s="50">
        <v>74</v>
      </c>
      <c r="B83" s="50"/>
      <c r="C83" s="51" t="s">
        <v>53</v>
      </c>
      <c r="D83" s="52" t="s">
        <v>75</v>
      </c>
      <c r="E83" s="53" t="s">
        <v>123</v>
      </c>
      <c r="F83" s="54" t="s">
        <v>57</v>
      </c>
      <c r="G83" s="54">
        <v>1</v>
      </c>
      <c r="H83" s="55">
        <v>3095</v>
      </c>
      <c r="I83" s="55">
        <f t="shared" si="1"/>
        <v>3095</v>
      </c>
    </row>
    <row r="84" spans="1:9" ht="25.5" customHeight="1" thickBot="1" x14ac:dyDescent="0.25">
      <c r="A84" s="50">
        <v>75</v>
      </c>
      <c r="B84" s="50"/>
      <c r="C84" s="61" t="s">
        <v>53</v>
      </c>
      <c r="D84" s="101" t="s">
        <v>75</v>
      </c>
      <c r="E84" s="95" t="s">
        <v>296</v>
      </c>
      <c r="F84" s="45" t="s">
        <v>51</v>
      </c>
      <c r="G84" s="47">
        <v>2</v>
      </c>
      <c r="H84" s="46">
        <v>16500</v>
      </c>
      <c r="I84" s="55">
        <f t="shared" si="1"/>
        <v>33000</v>
      </c>
    </row>
    <row r="85" spans="1:9" ht="25.5" customHeight="1" thickBot="1" x14ac:dyDescent="0.25">
      <c r="A85" s="50">
        <v>76</v>
      </c>
      <c r="B85" s="50"/>
      <c r="C85" s="61" t="s">
        <v>53</v>
      </c>
      <c r="D85" s="101" t="s">
        <v>75</v>
      </c>
      <c r="E85" s="95" t="s">
        <v>297</v>
      </c>
      <c r="F85" s="45" t="s">
        <v>51</v>
      </c>
      <c r="G85" s="47">
        <v>2</v>
      </c>
      <c r="H85" s="46">
        <v>16500</v>
      </c>
      <c r="I85" s="55">
        <f t="shared" si="1"/>
        <v>33000</v>
      </c>
    </row>
    <row r="86" spans="1:9" ht="25.5" customHeight="1" thickBot="1" x14ac:dyDescent="0.25">
      <c r="A86" s="50">
        <v>77</v>
      </c>
      <c r="B86" s="50"/>
      <c r="C86" s="61" t="s">
        <v>53</v>
      </c>
      <c r="D86" s="101" t="s">
        <v>75</v>
      </c>
      <c r="E86" s="95" t="s">
        <v>298</v>
      </c>
      <c r="F86" s="45" t="s">
        <v>51</v>
      </c>
      <c r="G86" s="47">
        <v>2</v>
      </c>
      <c r="H86" s="46">
        <v>16500</v>
      </c>
      <c r="I86" s="55">
        <f t="shared" si="1"/>
        <v>33000</v>
      </c>
    </row>
    <row r="87" spans="1:9" ht="25.5" customHeight="1" thickBot="1" x14ac:dyDescent="0.25">
      <c r="A87" s="50">
        <v>78</v>
      </c>
      <c r="B87" s="50"/>
      <c r="C87" s="51" t="s">
        <v>53</v>
      </c>
      <c r="D87" s="52" t="s">
        <v>75</v>
      </c>
      <c r="E87" s="53" t="s">
        <v>124</v>
      </c>
      <c r="F87" s="54" t="s">
        <v>57</v>
      </c>
      <c r="G87" s="54">
        <v>1</v>
      </c>
      <c r="H87" s="55">
        <v>3025</v>
      </c>
      <c r="I87" s="55">
        <f t="shared" si="1"/>
        <v>3025</v>
      </c>
    </row>
    <row r="88" spans="1:9" ht="25.5" customHeight="1" thickBot="1" x14ac:dyDescent="0.25">
      <c r="A88" s="50">
        <v>79</v>
      </c>
      <c r="B88" s="50"/>
      <c r="C88" s="51" t="s">
        <v>53</v>
      </c>
      <c r="D88" s="52" t="s">
        <v>75</v>
      </c>
      <c r="E88" s="53" t="s">
        <v>125</v>
      </c>
      <c r="F88" s="54" t="s">
        <v>57</v>
      </c>
      <c r="G88" s="54">
        <v>6</v>
      </c>
      <c r="H88" s="55">
        <v>3854</v>
      </c>
      <c r="I88" s="55">
        <f t="shared" si="1"/>
        <v>23124</v>
      </c>
    </row>
    <row r="89" spans="1:9" ht="25.5" customHeight="1" thickBot="1" x14ac:dyDescent="0.25">
      <c r="A89" s="50">
        <v>80</v>
      </c>
      <c r="B89" s="50"/>
      <c r="C89" s="51" t="s">
        <v>53</v>
      </c>
      <c r="D89" s="52" t="s">
        <v>75</v>
      </c>
      <c r="E89" s="53" t="s">
        <v>126</v>
      </c>
      <c r="F89" s="54" t="s">
        <v>50</v>
      </c>
      <c r="G89" s="54">
        <v>1</v>
      </c>
      <c r="H89" s="55">
        <v>21500</v>
      </c>
      <c r="I89" s="55">
        <f t="shared" si="1"/>
        <v>21500</v>
      </c>
    </row>
    <row r="90" spans="1:9" ht="25.5" customHeight="1" thickBot="1" x14ac:dyDescent="0.25">
      <c r="A90" s="50">
        <v>81</v>
      </c>
      <c r="B90" s="50"/>
      <c r="C90" s="51" t="s">
        <v>53</v>
      </c>
      <c r="D90" s="52" t="s">
        <v>75</v>
      </c>
      <c r="E90" s="53" t="s">
        <v>127</v>
      </c>
      <c r="F90" s="54" t="s">
        <v>51</v>
      </c>
      <c r="G90" s="54">
        <v>1</v>
      </c>
      <c r="H90" s="55">
        <v>22400</v>
      </c>
      <c r="I90" s="55">
        <f t="shared" si="1"/>
        <v>22400</v>
      </c>
    </row>
    <row r="91" spans="1:9" ht="25.5" customHeight="1" thickBot="1" x14ac:dyDescent="0.25">
      <c r="A91" s="50">
        <v>82</v>
      </c>
      <c r="B91" s="50"/>
      <c r="C91" s="61" t="s">
        <v>53</v>
      </c>
      <c r="D91" s="52" t="s">
        <v>76</v>
      </c>
      <c r="E91" s="53" t="s">
        <v>65</v>
      </c>
      <c r="F91" s="54" t="s">
        <v>50</v>
      </c>
      <c r="G91" s="54">
        <v>10</v>
      </c>
      <c r="H91" s="55">
        <v>220</v>
      </c>
      <c r="I91" s="55">
        <f t="shared" si="1"/>
        <v>2200</v>
      </c>
    </row>
    <row r="92" spans="1:9" ht="25.5" customHeight="1" thickBot="1" x14ac:dyDescent="0.25">
      <c r="A92" s="50">
        <v>83</v>
      </c>
      <c r="B92" s="50"/>
      <c r="C92" s="51" t="s">
        <v>53</v>
      </c>
      <c r="D92" s="52" t="s">
        <v>75</v>
      </c>
      <c r="E92" s="53" t="s">
        <v>128</v>
      </c>
      <c r="F92" s="54" t="s">
        <v>60</v>
      </c>
      <c r="G92" s="54">
        <v>5</v>
      </c>
      <c r="H92" s="55">
        <v>2600</v>
      </c>
      <c r="I92" s="55">
        <f t="shared" si="1"/>
        <v>13000</v>
      </c>
    </row>
    <row r="93" spans="1:9" ht="25.5" customHeight="1" thickBot="1" x14ac:dyDescent="0.25">
      <c r="A93" s="50">
        <v>84</v>
      </c>
      <c r="B93" s="50"/>
      <c r="C93" s="51" t="s">
        <v>53</v>
      </c>
      <c r="D93" s="52" t="s">
        <v>75</v>
      </c>
      <c r="E93" s="53" t="s">
        <v>323</v>
      </c>
      <c r="F93" s="54" t="s">
        <v>51</v>
      </c>
      <c r="G93" s="54">
        <v>1</v>
      </c>
      <c r="H93" s="55">
        <v>460</v>
      </c>
      <c r="I93" s="55">
        <f t="shared" si="1"/>
        <v>460</v>
      </c>
    </row>
    <row r="94" spans="1:9" ht="25.5" customHeight="1" thickBot="1" x14ac:dyDescent="0.25">
      <c r="A94" s="50">
        <v>85</v>
      </c>
      <c r="B94" s="50"/>
      <c r="C94" s="51" t="s">
        <v>53</v>
      </c>
      <c r="D94" s="52" t="s">
        <v>75</v>
      </c>
      <c r="E94" s="53" t="s">
        <v>129</v>
      </c>
      <c r="F94" s="54" t="s">
        <v>50</v>
      </c>
      <c r="G94" s="54">
        <v>10</v>
      </c>
      <c r="H94" s="55">
        <v>4500</v>
      </c>
      <c r="I94" s="55">
        <f t="shared" si="1"/>
        <v>45000</v>
      </c>
    </row>
    <row r="95" spans="1:9" ht="25.5" customHeight="1" thickBot="1" x14ac:dyDescent="0.25">
      <c r="A95" s="50">
        <v>86</v>
      </c>
      <c r="B95" s="50"/>
      <c r="C95" s="51" t="s">
        <v>53</v>
      </c>
      <c r="D95" s="52" t="s">
        <v>75</v>
      </c>
      <c r="E95" s="53" t="s">
        <v>130</v>
      </c>
      <c r="F95" s="54" t="s">
        <v>50</v>
      </c>
      <c r="G95" s="54">
        <v>10</v>
      </c>
      <c r="H95" s="55">
        <v>6500</v>
      </c>
      <c r="I95" s="55">
        <f t="shared" si="1"/>
        <v>65000</v>
      </c>
    </row>
    <row r="96" spans="1:9" ht="25.5" customHeight="1" thickBot="1" x14ac:dyDescent="0.25">
      <c r="A96" s="50">
        <v>87</v>
      </c>
      <c r="B96" s="50"/>
      <c r="C96" s="51" t="s">
        <v>53</v>
      </c>
      <c r="D96" s="52" t="s">
        <v>75</v>
      </c>
      <c r="E96" s="53" t="s">
        <v>131</v>
      </c>
      <c r="F96" s="54" t="s">
        <v>57</v>
      </c>
      <c r="G96" s="54">
        <v>1</v>
      </c>
      <c r="H96" s="55">
        <v>63867</v>
      </c>
      <c r="I96" s="55">
        <f t="shared" si="1"/>
        <v>63867</v>
      </c>
    </row>
    <row r="97" spans="1:9" ht="25.5" customHeight="1" thickBot="1" x14ac:dyDescent="0.25">
      <c r="A97" s="50">
        <v>88</v>
      </c>
      <c r="B97" s="50"/>
      <c r="C97" s="51" t="s">
        <v>53</v>
      </c>
      <c r="D97" s="52" t="s">
        <v>75</v>
      </c>
      <c r="E97" s="53" t="s">
        <v>132</v>
      </c>
      <c r="F97" s="54" t="s">
        <v>50</v>
      </c>
      <c r="G97" s="54">
        <v>1</v>
      </c>
      <c r="H97" s="55">
        <v>15214</v>
      </c>
      <c r="I97" s="55">
        <f t="shared" si="1"/>
        <v>15214</v>
      </c>
    </row>
    <row r="98" spans="1:9" ht="25.5" customHeight="1" thickBot="1" x14ac:dyDescent="0.25">
      <c r="A98" s="50">
        <v>89</v>
      </c>
      <c r="B98" s="50"/>
      <c r="C98" s="51" t="s">
        <v>53</v>
      </c>
      <c r="D98" s="52" t="s">
        <v>75</v>
      </c>
      <c r="E98" s="53" t="s">
        <v>133</v>
      </c>
      <c r="F98" s="54" t="s">
        <v>51</v>
      </c>
      <c r="G98" s="54">
        <v>1</v>
      </c>
      <c r="H98" s="55">
        <v>20266</v>
      </c>
      <c r="I98" s="55">
        <f t="shared" si="1"/>
        <v>20266</v>
      </c>
    </row>
    <row r="99" spans="1:9" ht="25.5" customHeight="1" thickBot="1" x14ac:dyDescent="0.25">
      <c r="A99" s="50">
        <v>90</v>
      </c>
      <c r="B99" s="50"/>
      <c r="C99" s="51" t="s">
        <v>53</v>
      </c>
      <c r="D99" s="52" t="s">
        <v>75</v>
      </c>
      <c r="E99" s="53" t="s">
        <v>134</v>
      </c>
      <c r="F99" s="54" t="s">
        <v>60</v>
      </c>
      <c r="G99" s="54">
        <v>5</v>
      </c>
      <c r="H99" s="55">
        <v>850</v>
      </c>
      <c r="I99" s="55">
        <f t="shared" si="1"/>
        <v>4250</v>
      </c>
    </row>
    <row r="100" spans="1:9" ht="25.5" customHeight="1" thickBot="1" x14ac:dyDescent="0.25">
      <c r="A100" s="50">
        <v>91</v>
      </c>
      <c r="B100" s="50"/>
      <c r="C100" s="51" t="s">
        <v>53</v>
      </c>
      <c r="D100" s="52" t="s">
        <v>75</v>
      </c>
      <c r="E100" s="53" t="s">
        <v>135</v>
      </c>
      <c r="F100" s="54" t="s">
        <v>60</v>
      </c>
      <c r="G100" s="54">
        <v>5</v>
      </c>
      <c r="H100" s="55">
        <v>850</v>
      </c>
      <c r="I100" s="55">
        <f t="shared" si="1"/>
        <v>4250</v>
      </c>
    </row>
    <row r="101" spans="1:9" ht="25.5" customHeight="1" thickBot="1" x14ac:dyDescent="0.25">
      <c r="A101" s="50">
        <v>92</v>
      </c>
      <c r="B101" s="50"/>
      <c r="C101" s="51" t="s">
        <v>53</v>
      </c>
      <c r="D101" s="52" t="s">
        <v>75</v>
      </c>
      <c r="E101" s="53" t="s">
        <v>136</v>
      </c>
      <c r="F101" s="54" t="s">
        <v>60</v>
      </c>
      <c r="G101" s="54">
        <v>5</v>
      </c>
      <c r="H101" s="55">
        <v>850</v>
      </c>
      <c r="I101" s="55">
        <f t="shared" si="1"/>
        <v>4250</v>
      </c>
    </row>
    <row r="102" spans="1:9" ht="25.5" customHeight="1" thickBot="1" x14ac:dyDescent="0.25">
      <c r="A102" s="50">
        <v>93</v>
      </c>
      <c r="B102" s="50"/>
      <c r="C102" s="51" t="s">
        <v>53</v>
      </c>
      <c r="D102" s="52" t="s">
        <v>75</v>
      </c>
      <c r="E102" s="53" t="s">
        <v>137</v>
      </c>
      <c r="F102" s="54" t="s">
        <v>60</v>
      </c>
      <c r="G102" s="54">
        <v>5</v>
      </c>
      <c r="H102" s="55">
        <v>850</v>
      </c>
      <c r="I102" s="55">
        <f t="shared" si="1"/>
        <v>4250</v>
      </c>
    </row>
    <row r="103" spans="1:9" ht="25.5" customHeight="1" thickBot="1" x14ac:dyDescent="0.25">
      <c r="A103" s="50">
        <v>94</v>
      </c>
      <c r="B103" s="50"/>
      <c r="C103" s="51" t="s">
        <v>53</v>
      </c>
      <c r="D103" s="52" t="s">
        <v>75</v>
      </c>
      <c r="E103" s="53" t="s">
        <v>138</v>
      </c>
      <c r="F103" s="54" t="s">
        <v>60</v>
      </c>
      <c r="G103" s="54">
        <v>1</v>
      </c>
      <c r="H103" s="55">
        <v>850</v>
      </c>
      <c r="I103" s="55">
        <f t="shared" si="1"/>
        <v>850</v>
      </c>
    </row>
    <row r="104" spans="1:9" ht="25.5" customHeight="1" thickBot="1" x14ac:dyDescent="0.25">
      <c r="A104" s="50">
        <v>95</v>
      </c>
      <c r="B104" s="50"/>
      <c r="C104" s="51" t="s">
        <v>53</v>
      </c>
      <c r="D104" s="52" t="s">
        <v>75</v>
      </c>
      <c r="E104" s="53" t="s">
        <v>139</v>
      </c>
      <c r="F104" s="54" t="s">
        <v>60</v>
      </c>
      <c r="G104" s="54">
        <v>5</v>
      </c>
      <c r="H104" s="55">
        <v>850</v>
      </c>
      <c r="I104" s="55">
        <f t="shared" si="1"/>
        <v>4250</v>
      </c>
    </row>
    <row r="105" spans="1:9" ht="25.5" customHeight="1" thickBot="1" x14ac:dyDescent="0.25">
      <c r="A105" s="50">
        <v>96</v>
      </c>
      <c r="B105" s="50"/>
      <c r="C105" s="51" t="s">
        <v>53</v>
      </c>
      <c r="D105" s="52" t="s">
        <v>75</v>
      </c>
      <c r="E105" s="53" t="s">
        <v>140</v>
      </c>
      <c r="F105" s="54" t="s">
        <v>60</v>
      </c>
      <c r="G105" s="54">
        <v>2</v>
      </c>
      <c r="H105" s="55">
        <v>850</v>
      </c>
      <c r="I105" s="55">
        <f t="shared" si="1"/>
        <v>1700</v>
      </c>
    </row>
    <row r="106" spans="1:9" ht="25.5" customHeight="1" thickBot="1" x14ac:dyDescent="0.25">
      <c r="A106" s="50">
        <v>97</v>
      </c>
      <c r="B106" s="50"/>
      <c r="C106" s="51" t="s">
        <v>53</v>
      </c>
      <c r="D106" s="52" t="s">
        <v>75</v>
      </c>
      <c r="E106" s="53" t="s">
        <v>141</v>
      </c>
      <c r="F106" s="54" t="s">
        <v>60</v>
      </c>
      <c r="G106" s="54">
        <v>5</v>
      </c>
      <c r="H106" s="55">
        <v>850</v>
      </c>
      <c r="I106" s="55">
        <f t="shared" si="1"/>
        <v>4250</v>
      </c>
    </row>
    <row r="107" spans="1:9" ht="25.5" customHeight="1" thickBot="1" x14ac:dyDescent="0.25">
      <c r="A107" s="50">
        <v>98</v>
      </c>
      <c r="B107" s="50"/>
      <c r="C107" s="51" t="s">
        <v>53</v>
      </c>
      <c r="D107" s="52" t="s">
        <v>75</v>
      </c>
      <c r="E107" s="53" t="s">
        <v>142</v>
      </c>
      <c r="F107" s="54" t="s">
        <v>60</v>
      </c>
      <c r="G107" s="54">
        <v>5</v>
      </c>
      <c r="H107" s="55">
        <v>850</v>
      </c>
      <c r="I107" s="55">
        <f t="shared" si="1"/>
        <v>4250</v>
      </c>
    </row>
    <row r="108" spans="1:9" ht="25.5" customHeight="1" thickBot="1" x14ac:dyDescent="0.25">
      <c r="A108" s="50">
        <v>99</v>
      </c>
      <c r="B108" s="50"/>
      <c r="C108" s="51" t="s">
        <v>53</v>
      </c>
      <c r="D108" s="52" t="s">
        <v>75</v>
      </c>
      <c r="E108" s="53" t="s">
        <v>143</v>
      </c>
      <c r="F108" s="54" t="s">
        <v>60</v>
      </c>
      <c r="G108" s="54">
        <v>1</v>
      </c>
      <c r="H108" s="55">
        <v>850</v>
      </c>
      <c r="I108" s="55">
        <f t="shared" si="1"/>
        <v>850</v>
      </c>
    </row>
    <row r="109" spans="1:9" ht="25.5" customHeight="1" thickBot="1" x14ac:dyDescent="0.25">
      <c r="A109" s="50">
        <v>100</v>
      </c>
      <c r="B109" s="50"/>
      <c r="C109" s="51" t="s">
        <v>53</v>
      </c>
      <c r="D109" s="52" t="s">
        <v>75</v>
      </c>
      <c r="E109" s="53" t="s">
        <v>144</v>
      </c>
      <c r="F109" s="54" t="s">
        <v>60</v>
      </c>
      <c r="G109" s="54">
        <v>5</v>
      </c>
      <c r="H109" s="55">
        <v>850</v>
      </c>
      <c r="I109" s="55">
        <f t="shared" si="1"/>
        <v>4250</v>
      </c>
    </row>
    <row r="110" spans="1:9" ht="25.5" customHeight="1" thickBot="1" x14ac:dyDescent="0.25">
      <c r="A110" s="50">
        <v>101</v>
      </c>
      <c r="B110" s="50"/>
      <c r="C110" s="51" t="s">
        <v>53</v>
      </c>
      <c r="D110" s="52" t="s">
        <v>75</v>
      </c>
      <c r="E110" s="53" t="s">
        <v>145</v>
      </c>
      <c r="F110" s="54" t="s">
        <v>60</v>
      </c>
      <c r="G110" s="54">
        <v>2</v>
      </c>
      <c r="H110" s="55">
        <v>850</v>
      </c>
      <c r="I110" s="55">
        <f t="shared" si="1"/>
        <v>1700</v>
      </c>
    </row>
    <row r="111" spans="1:9" ht="25.5" customHeight="1" thickBot="1" x14ac:dyDescent="0.25">
      <c r="A111" s="50">
        <v>102</v>
      </c>
      <c r="B111" s="50"/>
      <c r="C111" s="51" t="s">
        <v>53</v>
      </c>
      <c r="D111" s="52" t="s">
        <v>75</v>
      </c>
      <c r="E111" s="53" t="s">
        <v>146</v>
      </c>
      <c r="F111" s="54" t="s">
        <v>60</v>
      </c>
      <c r="G111" s="54">
        <v>5</v>
      </c>
      <c r="H111" s="55">
        <v>850</v>
      </c>
      <c r="I111" s="55">
        <f t="shared" si="1"/>
        <v>4250</v>
      </c>
    </row>
    <row r="112" spans="1:9" ht="25.5" customHeight="1" thickBot="1" x14ac:dyDescent="0.25">
      <c r="A112" s="50">
        <v>103</v>
      </c>
      <c r="B112" s="50"/>
      <c r="C112" s="51" t="s">
        <v>53</v>
      </c>
      <c r="D112" s="52" t="s">
        <v>75</v>
      </c>
      <c r="E112" s="53" t="s">
        <v>147</v>
      </c>
      <c r="F112" s="54" t="s">
        <v>60</v>
      </c>
      <c r="G112" s="54">
        <v>1</v>
      </c>
      <c r="H112" s="55">
        <v>850</v>
      </c>
      <c r="I112" s="55">
        <f t="shared" si="1"/>
        <v>850</v>
      </c>
    </row>
    <row r="113" spans="1:9" ht="25.5" customHeight="1" thickBot="1" x14ac:dyDescent="0.25">
      <c r="A113" s="50">
        <v>104</v>
      </c>
      <c r="B113" s="50"/>
      <c r="C113" s="51" t="s">
        <v>53</v>
      </c>
      <c r="D113" s="52" t="s">
        <v>75</v>
      </c>
      <c r="E113" s="53" t="s">
        <v>148</v>
      </c>
      <c r="F113" s="54" t="s">
        <v>60</v>
      </c>
      <c r="G113" s="54">
        <v>1</v>
      </c>
      <c r="H113" s="55">
        <v>850</v>
      </c>
      <c r="I113" s="55">
        <f t="shared" si="1"/>
        <v>850</v>
      </c>
    </row>
    <row r="114" spans="1:9" ht="25.5" customHeight="1" thickBot="1" x14ac:dyDescent="0.25">
      <c r="A114" s="50">
        <v>105</v>
      </c>
      <c r="B114" s="50"/>
      <c r="C114" s="51" t="s">
        <v>53</v>
      </c>
      <c r="D114" s="52" t="s">
        <v>75</v>
      </c>
      <c r="E114" s="53" t="s">
        <v>149</v>
      </c>
      <c r="F114" s="54" t="s">
        <v>60</v>
      </c>
      <c r="G114" s="54">
        <v>5</v>
      </c>
      <c r="H114" s="55">
        <v>850</v>
      </c>
      <c r="I114" s="55">
        <f t="shared" si="1"/>
        <v>4250</v>
      </c>
    </row>
    <row r="115" spans="1:9" ht="25.5" customHeight="1" thickBot="1" x14ac:dyDescent="0.25">
      <c r="A115" s="50">
        <v>106</v>
      </c>
      <c r="B115" s="50"/>
      <c r="C115" s="51" t="s">
        <v>53</v>
      </c>
      <c r="D115" s="52" t="s">
        <v>75</v>
      </c>
      <c r="E115" s="53" t="s">
        <v>150</v>
      </c>
      <c r="F115" s="54" t="s">
        <v>60</v>
      </c>
      <c r="G115" s="54">
        <v>1</v>
      </c>
      <c r="H115" s="55">
        <v>850</v>
      </c>
      <c r="I115" s="55">
        <f t="shared" si="1"/>
        <v>850</v>
      </c>
    </row>
    <row r="116" spans="1:9" ht="25.5" customHeight="1" thickBot="1" x14ac:dyDescent="0.25">
      <c r="A116" s="50">
        <v>107</v>
      </c>
      <c r="B116" s="50"/>
      <c r="C116" s="51" t="s">
        <v>53</v>
      </c>
      <c r="D116" s="52" t="s">
        <v>75</v>
      </c>
      <c r="E116" s="53" t="s">
        <v>151</v>
      </c>
      <c r="F116" s="54" t="s">
        <v>60</v>
      </c>
      <c r="G116" s="54">
        <v>5</v>
      </c>
      <c r="H116" s="55">
        <v>850</v>
      </c>
      <c r="I116" s="55">
        <f t="shared" si="1"/>
        <v>4250</v>
      </c>
    </row>
    <row r="117" spans="1:9" ht="25.5" customHeight="1" thickBot="1" x14ac:dyDescent="0.25">
      <c r="A117" s="50">
        <v>108</v>
      </c>
      <c r="B117" s="50"/>
      <c r="C117" s="51" t="s">
        <v>53</v>
      </c>
      <c r="D117" s="52" t="s">
        <v>75</v>
      </c>
      <c r="E117" s="53" t="s">
        <v>152</v>
      </c>
      <c r="F117" s="54" t="s">
        <v>60</v>
      </c>
      <c r="G117" s="54">
        <v>5</v>
      </c>
      <c r="H117" s="55">
        <v>850</v>
      </c>
      <c r="I117" s="55">
        <f t="shared" si="1"/>
        <v>4250</v>
      </c>
    </row>
    <row r="118" spans="1:9" ht="25.5" customHeight="1" thickBot="1" x14ac:dyDescent="0.25">
      <c r="A118" s="50">
        <v>109</v>
      </c>
      <c r="B118" s="50"/>
      <c r="C118" s="51" t="s">
        <v>53</v>
      </c>
      <c r="D118" s="52" t="s">
        <v>75</v>
      </c>
      <c r="E118" s="53" t="s">
        <v>153</v>
      </c>
      <c r="F118" s="54" t="s">
        <v>60</v>
      </c>
      <c r="G118" s="54">
        <v>10</v>
      </c>
      <c r="H118" s="55">
        <v>850</v>
      </c>
      <c r="I118" s="55">
        <f t="shared" si="1"/>
        <v>8500</v>
      </c>
    </row>
    <row r="119" spans="1:9" ht="25.5" customHeight="1" thickBot="1" x14ac:dyDescent="0.25">
      <c r="A119" s="50">
        <v>110</v>
      </c>
      <c r="B119" s="50"/>
      <c r="C119" s="51" t="s">
        <v>53</v>
      </c>
      <c r="D119" s="52" t="s">
        <v>75</v>
      </c>
      <c r="E119" s="53" t="s">
        <v>154</v>
      </c>
      <c r="F119" s="54" t="s">
        <v>60</v>
      </c>
      <c r="G119" s="54">
        <v>1</v>
      </c>
      <c r="H119" s="55">
        <v>1350</v>
      </c>
      <c r="I119" s="55">
        <f t="shared" si="1"/>
        <v>1350</v>
      </c>
    </row>
    <row r="120" spans="1:9" ht="25.5" customHeight="1" thickBot="1" x14ac:dyDescent="0.25">
      <c r="A120" s="50">
        <v>111</v>
      </c>
      <c r="B120" s="50"/>
      <c r="C120" s="51" t="s">
        <v>53</v>
      </c>
      <c r="D120" s="52" t="s">
        <v>75</v>
      </c>
      <c r="E120" s="53" t="s">
        <v>155</v>
      </c>
      <c r="F120" s="54" t="s">
        <v>60</v>
      </c>
      <c r="G120" s="54">
        <v>5</v>
      </c>
      <c r="H120" s="55">
        <v>850</v>
      </c>
      <c r="I120" s="55">
        <f t="shared" si="1"/>
        <v>4250</v>
      </c>
    </row>
    <row r="121" spans="1:9" ht="25.5" customHeight="1" thickBot="1" x14ac:dyDescent="0.25">
      <c r="A121" s="50">
        <v>112</v>
      </c>
      <c r="B121" s="50"/>
      <c r="C121" s="51" t="s">
        <v>53</v>
      </c>
      <c r="D121" s="52" t="s">
        <v>75</v>
      </c>
      <c r="E121" s="53" t="s">
        <v>156</v>
      </c>
      <c r="F121" s="54" t="s">
        <v>60</v>
      </c>
      <c r="G121" s="54">
        <v>2</v>
      </c>
      <c r="H121" s="55">
        <v>850</v>
      </c>
      <c r="I121" s="55">
        <f t="shared" si="1"/>
        <v>1700</v>
      </c>
    </row>
    <row r="122" spans="1:9" ht="25.5" customHeight="1" thickBot="1" x14ac:dyDescent="0.25">
      <c r="A122" s="50">
        <v>113</v>
      </c>
      <c r="B122" s="50"/>
      <c r="C122" s="51" t="s">
        <v>53</v>
      </c>
      <c r="D122" s="52" t="s">
        <v>75</v>
      </c>
      <c r="E122" s="53" t="s">
        <v>157</v>
      </c>
      <c r="F122" s="54" t="s">
        <v>60</v>
      </c>
      <c r="G122" s="54">
        <v>1</v>
      </c>
      <c r="H122" s="55">
        <v>850</v>
      </c>
      <c r="I122" s="55">
        <f t="shared" si="1"/>
        <v>850</v>
      </c>
    </row>
    <row r="123" spans="1:9" ht="25.5" customHeight="1" thickBot="1" x14ac:dyDescent="0.25">
      <c r="A123" s="50">
        <v>114</v>
      </c>
      <c r="B123" s="50"/>
      <c r="C123" s="51" t="s">
        <v>53</v>
      </c>
      <c r="D123" s="52" t="s">
        <v>75</v>
      </c>
      <c r="E123" s="53" t="s">
        <v>158</v>
      </c>
      <c r="F123" s="54" t="s">
        <v>60</v>
      </c>
      <c r="G123" s="54">
        <v>1</v>
      </c>
      <c r="H123" s="55">
        <v>850</v>
      </c>
      <c r="I123" s="55">
        <f t="shared" si="1"/>
        <v>850</v>
      </c>
    </row>
    <row r="124" spans="1:9" ht="25.5" customHeight="1" thickBot="1" x14ac:dyDescent="0.25">
      <c r="A124" s="50">
        <v>115</v>
      </c>
      <c r="B124" s="50"/>
      <c r="C124" s="51" t="s">
        <v>53</v>
      </c>
      <c r="D124" s="52" t="s">
        <v>75</v>
      </c>
      <c r="E124" s="53" t="s">
        <v>159</v>
      </c>
      <c r="F124" s="54" t="s">
        <v>60</v>
      </c>
      <c r="G124" s="54">
        <v>5</v>
      </c>
      <c r="H124" s="55">
        <v>850</v>
      </c>
      <c r="I124" s="55">
        <f t="shared" si="1"/>
        <v>4250</v>
      </c>
    </row>
    <row r="125" spans="1:9" ht="25.5" customHeight="1" thickBot="1" x14ac:dyDescent="0.25">
      <c r="A125" s="50">
        <v>116</v>
      </c>
      <c r="B125" s="50"/>
      <c r="C125" s="51" t="s">
        <v>53</v>
      </c>
      <c r="D125" s="52" t="s">
        <v>75</v>
      </c>
      <c r="E125" s="53" t="s">
        <v>160</v>
      </c>
      <c r="F125" s="54" t="s">
        <v>60</v>
      </c>
      <c r="G125" s="54">
        <v>1</v>
      </c>
      <c r="H125" s="55">
        <v>850</v>
      </c>
      <c r="I125" s="55">
        <f t="shared" si="1"/>
        <v>850</v>
      </c>
    </row>
    <row r="126" spans="1:9" ht="25.5" customHeight="1" thickBot="1" x14ac:dyDescent="0.25">
      <c r="A126" s="50">
        <v>117</v>
      </c>
      <c r="B126" s="50"/>
      <c r="C126" s="51" t="s">
        <v>53</v>
      </c>
      <c r="D126" s="52" t="s">
        <v>75</v>
      </c>
      <c r="E126" s="53" t="s">
        <v>161</v>
      </c>
      <c r="F126" s="54" t="s">
        <v>60</v>
      </c>
      <c r="G126" s="54">
        <v>5</v>
      </c>
      <c r="H126" s="55">
        <v>850</v>
      </c>
      <c r="I126" s="55">
        <f t="shared" si="1"/>
        <v>4250</v>
      </c>
    </row>
    <row r="127" spans="1:9" ht="25.5" customHeight="1" thickBot="1" x14ac:dyDescent="0.25">
      <c r="A127" s="50">
        <v>118</v>
      </c>
      <c r="B127" s="50"/>
      <c r="C127" s="51" t="s">
        <v>53</v>
      </c>
      <c r="D127" s="52" t="s">
        <v>75</v>
      </c>
      <c r="E127" s="53" t="s">
        <v>162</v>
      </c>
      <c r="F127" s="54" t="s">
        <v>60</v>
      </c>
      <c r="G127" s="54">
        <v>2</v>
      </c>
      <c r="H127" s="55">
        <v>850</v>
      </c>
      <c r="I127" s="55">
        <f t="shared" si="1"/>
        <v>1700</v>
      </c>
    </row>
    <row r="128" spans="1:9" ht="25.5" customHeight="1" thickBot="1" x14ac:dyDescent="0.25">
      <c r="A128" s="50">
        <v>119</v>
      </c>
      <c r="B128" s="50"/>
      <c r="C128" s="51" t="s">
        <v>53</v>
      </c>
      <c r="D128" s="52" t="s">
        <v>75</v>
      </c>
      <c r="E128" s="53" t="s">
        <v>163</v>
      </c>
      <c r="F128" s="54" t="s">
        <v>60</v>
      </c>
      <c r="G128" s="54">
        <v>1</v>
      </c>
      <c r="H128" s="55">
        <v>850</v>
      </c>
      <c r="I128" s="55">
        <f t="shared" si="1"/>
        <v>850</v>
      </c>
    </row>
    <row r="129" spans="1:9" ht="25.5" customHeight="1" thickBot="1" x14ac:dyDescent="0.25">
      <c r="A129" s="50">
        <v>120</v>
      </c>
      <c r="B129" s="50"/>
      <c r="C129" s="51" t="s">
        <v>53</v>
      </c>
      <c r="D129" s="52" t="s">
        <v>75</v>
      </c>
      <c r="E129" s="53" t="s">
        <v>164</v>
      </c>
      <c r="F129" s="54" t="s">
        <v>60</v>
      </c>
      <c r="G129" s="54">
        <v>5</v>
      </c>
      <c r="H129" s="55">
        <v>850</v>
      </c>
      <c r="I129" s="55">
        <f t="shared" si="1"/>
        <v>4250</v>
      </c>
    </row>
    <row r="130" spans="1:9" ht="25.5" customHeight="1" thickBot="1" x14ac:dyDescent="0.25">
      <c r="A130" s="50">
        <v>121</v>
      </c>
      <c r="B130" s="50"/>
      <c r="C130" s="51" t="s">
        <v>53</v>
      </c>
      <c r="D130" s="52" t="s">
        <v>75</v>
      </c>
      <c r="E130" s="53" t="s">
        <v>165</v>
      </c>
      <c r="F130" s="54" t="s">
        <v>60</v>
      </c>
      <c r="G130" s="54">
        <v>5</v>
      </c>
      <c r="H130" s="55">
        <v>850</v>
      </c>
      <c r="I130" s="55">
        <f t="shared" si="1"/>
        <v>4250</v>
      </c>
    </row>
    <row r="131" spans="1:9" ht="25.5" customHeight="1" thickBot="1" x14ac:dyDescent="0.25">
      <c r="A131" s="50">
        <v>122</v>
      </c>
      <c r="B131" s="50"/>
      <c r="C131" s="51" t="s">
        <v>53</v>
      </c>
      <c r="D131" s="52" t="s">
        <v>75</v>
      </c>
      <c r="E131" s="53" t="s">
        <v>166</v>
      </c>
      <c r="F131" s="54" t="s">
        <v>60</v>
      </c>
      <c r="G131" s="54">
        <v>5</v>
      </c>
      <c r="H131" s="55">
        <v>850</v>
      </c>
      <c r="I131" s="55">
        <f t="shared" si="1"/>
        <v>4250</v>
      </c>
    </row>
    <row r="132" spans="1:9" ht="25.5" customHeight="1" thickBot="1" x14ac:dyDescent="0.25">
      <c r="A132" s="50">
        <v>123</v>
      </c>
      <c r="B132" s="50"/>
      <c r="C132" s="51" t="s">
        <v>53</v>
      </c>
      <c r="D132" s="52" t="s">
        <v>75</v>
      </c>
      <c r="E132" s="53" t="s">
        <v>167</v>
      </c>
      <c r="F132" s="54" t="s">
        <v>57</v>
      </c>
      <c r="G132" s="54">
        <v>20</v>
      </c>
      <c r="H132" s="55">
        <v>4909</v>
      </c>
      <c r="I132" s="55">
        <f t="shared" si="1"/>
        <v>98180</v>
      </c>
    </row>
    <row r="133" spans="1:9" ht="25.5" customHeight="1" thickBot="1" x14ac:dyDescent="0.25">
      <c r="A133" s="50">
        <v>124</v>
      </c>
      <c r="B133" s="50"/>
      <c r="C133" s="51" t="s">
        <v>53</v>
      </c>
      <c r="D133" s="52" t="s">
        <v>75</v>
      </c>
      <c r="E133" s="53" t="s">
        <v>168</v>
      </c>
      <c r="F133" s="54" t="s">
        <v>50</v>
      </c>
      <c r="G133" s="54">
        <v>2</v>
      </c>
      <c r="H133" s="55">
        <v>2500</v>
      </c>
      <c r="I133" s="55">
        <f t="shared" si="1"/>
        <v>5000</v>
      </c>
    </row>
    <row r="134" spans="1:9" ht="25.5" customHeight="1" thickBot="1" x14ac:dyDescent="0.25">
      <c r="A134" s="50">
        <v>125</v>
      </c>
      <c r="B134" s="50"/>
      <c r="C134" s="61" t="s">
        <v>53</v>
      </c>
      <c r="D134" s="52" t="s">
        <v>75</v>
      </c>
      <c r="E134" s="65" t="s">
        <v>260</v>
      </c>
      <c r="F134" s="133" t="s">
        <v>50</v>
      </c>
      <c r="G134" s="67">
        <v>1</v>
      </c>
      <c r="H134" s="115">
        <v>39998</v>
      </c>
      <c r="I134" s="55">
        <f t="shared" si="1"/>
        <v>39998</v>
      </c>
    </row>
    <row r="135" spans="1:9" ht="25.5" customHeight="1" thickBot="1" x14ac:dyDescent="0.25">
      <c r="A135" s="50">
        <v>126</v>
      </c>
      <c r="B135" s="50"/>
      <c r="C135" s="51" t="s">
        <v>53</v>
      </c>
      <c r="D135" s="52" t="s">
        <v>75</v>
      </c>
      <c r="E135" s="53" t="s">
        <v>169</v>
      </c>
      <c r="F135" s="54" t="s">
        <v>50</v>
      </c>
      <c r="G135" s="54">
        <v>1</v>
      </c>
      <c r="H135" s="55">
        <v>8358</v>
      </c>
      <c r="I135" s="55">
        <f t="shared" si="1"/>
        <v>8358</v>
      </c>
    </row>
    <row r="136" spans="1:9" ht="26.25" customHeight="1" thickBot="1" x14ac:dyDescent="0.25">
      <c r="A136" s="50">
        <v>127</v>
      </c>
      <c r="B136" s="50"/>
      <c r="C136" s="61" t="s">
        <v>53</v>
      </c>
      <c r="D136" s="52" t="s">
        <v>75</v>
      </c>
      <c r="E136" s="65" t="s">
        <v>254</v>
      </c>
      <c r="F136" s="133" t="s">
        <v>50</v>
      </c>
      <c r="G136" s="67">
        <v>1</v>
      </c>
      <c r="H136" s="115">
        <v>38383</v>
      </c>
      <c r="I136" s="55">
        <f t="shared" ref="I136:I199" si="2">H136*G136</f>
        <v>38383</v>
      </c>
    </row>
    <row r="137" spans="1:9" ht="26.25" customHeight="1" thickBot="1" x14ac:dyDescent="0.25">
      <c r="A137" s="50">
        <v>128</v>
      </c>
      <c r="B137" s="50"/>
      <c r="C137" s="61" t="s">
        <v>53</v>
      </c>
      <c r="D137" s="52" t="s">
        <v>75</v>
      </c>
      <c r="E137" s="65" t="s">
        <v>253</v>
      </c>
      <c r="F137" s="133" t="s">
        <v>50</v>
      </c>
      <c r="G137" s="67">
        <v>1</v>
      </c>
      <c r="H137" s="115">
        <v>81502</v>
      </c>
      <c r="I137" s="55">
        <f t="shared" si="2"/>
        <v>81502</v>
      </c>
    </row>
    <row r="138" spans="1:9" ht="26.25" customHeight="1" thickBot="1" x14ac:dyDescent="0.25">
      <c r="A138" s="50">
        <v>129</v>
      </c>
      <c r="B138" s="50"/>
      <c r="C138" s="61" t="s">
        <v>53</v>
      </c>
      <c r="D138" s="52" t="s">
        <v>75</v>
      </c>
      <c r="E138" s="65" t="s">
        <v>255</v>
      </c>
      <c r="F138" s="133" t="s">
        <v>50</v>
      </c>
      <c r="G138" s="67">
        <v>1</v>
      </c>
      <c r="H138" s="115">
        <v>81502</v>
      </c>
      <c r="I138" s="55">
        <f t="shared" si="2"/>
        <v>81502</v>
      </c>
    </row>
    <row r="139" spans="1:9" ht="26.25" customHeight="1" thickBot="1" x14ac:dyDescent="0.25">
      <c r="A139" s="50">
        <v>130</v>
      </c>
      <c r="B139" s="50"/>
      <c r="C139" s="51" t="s">
        <v>53</v>
      </c>
      <c r="D139" s="52" t="s">
        <v>75</v>
      </c>
      <c r="E139" s="53" t="s">
        <v>170</v>
      </c>
      <c r="F139" s="54" t="s">
        <v>50</v>
      </c>
      <c r="G139" s="54">
        <v>8</v>
      </c>
      <c r="H139" s="55">
        <v>3240</v>
      </c>
      <c r="I139" s="55">
        <f t="shared" si="2"/>
        <v>25920</v>
      </c>
    </row>
    <row r="140" spans="1:9" ht="26.25" customHeight="1" thickBot="1" x14ac:dyDescent="0.25">
      <c r="A140" s="50">
        <v>131</v>
      </c>
      <c r="B140" s="50"/>
      <c r="C140" s="51" t="s">
        <v>53</v>
      </c>
      <c r="D140" s="52" t="s">
        <v>75</v>
      </c>
      <c r="E140" s="53" t="s">
        <v>171</v>
      </c>
      <c r="F140" s="54" t="s">
        <v>57</v>
      </c>
      <c r="G140" s="54">
        <v>6</v>
      </c>
      <c r="H140" s="55">
        <v>7391</v>
      </c>
      <c r="I140" s="55">
        <f t="shared" si="2"/>
        <v>44346</v>
      </c>
    </row>
    <row r="141" spans="1:9" ht="26.25" customHeight="1" thickBot="1" x14ac:dyDescent="0.3">
      <c r="A141" s="50">
        <v>132</v>
      </c>
      <c r="B141" s="50"/>
      <c r="C141" s="56" t="s">
        <v>53</v>
      </c>
      <c r="D141" s="52" t="s">
        <v>75</v>
      </c>
      <c r="E141" s="57" t="s">
        <v>172</v>
      </c>
      <c r="F141" s="58" t="s">
        <v>57</v>
      </c>
      <c r="G141" s="58">
        <v>1</v>
      </c>
      <c r="H141" s="59">
        <v>3700</v>
      </c>
      <c r="I141" s="55">
        <f t="shared" si="2"/>
        <v>3700</v>
      </c>
    </row>
    <row r="142" spans="1:9" ht="26.25" customHeight="1" thickBot="1" x14ac:dyDescent="0.3">
      <c r="A142" s="50">
        <v>133</v>
      </c>
      <c r="B142" s="50"/>
      <c r="C142" s="56" t="s">
        <v>53</v>
      </c>
      <c r="D142" s="52" t="s">
        <v>75</v>
      </c>
      <c r="E142" s="57" t="s">
        <v>173</v>
      </c>
      <c r="F142" s="58" t="s">
        <v>51</v>
      </c>
      <c r="G142" s="58">
        <v>1</v>
      </c>
      <c r="H142" s="59">
        <v>62000</v>
      </c>
      <c r="I142" s="55">
        <f t="shared" si="2"/>
        <v>62000</v>
      </c>
    </row>
    <row r="143" spans="1:9" ht="26.25" customHeight="1" thickBot="1" x14ac:dyDescent="0.3">
      <c r="A143" s="50">
        <v>134</v>
      </c>
      <c r="B143" s="50"/>
      <c r="C143" s="56" t="s">
        <v>53</v>
      </c>
      <c r="D143" s="52" t="s">
        <v>75</v>
      </c>
      <c r="E143" s="57" t="s">
        <v>174</v>
      </c>
      <c r="F143" s="58" t="s">
        <v>51</v>
      </c>
      <c r="G143" s="58">
        <v>1</v>
      </c>
      <c r="H143" s="59">
        <v>62000</v>
      </c>
      <c r="I143" s="55">
        <f t="shared" si="2"/>
        <v>62000</v>
      </c>
    </row>
    <row r="144" spans="1:9" ht="26.25" customHeight="1" thickBot="1" x14ac:dyDescent="0.3">
      <c r="A144" s="50">
        <v>135</v>
      </c>
      <c r="B144" s="50"/>
      <c r="C144" s="56" t="s">
        <v>53</v>
      </c>
      <c r="D144" s="52" t="s">
        <v>75</v>
      </c>
      <c r="E144" s="57" t="s">
        <v>175</v>
      </c>
      <c r="F144" s="58" t="s">
        <v>57</v>
      </c>
      <c r="G144" s="58">
        <v>1</v>
      </c>
      <c r="H144" s="59">
        <v>7737</v>
      </c>
      <c r="I144" s="55">
        <f t="shared" si="2"/>
        <v>7737</v>
      </c>
    </row>
    <row r="145" spans="1:9" ht="26.25" customHeight="1" thickBot="1" x14ac:dyDescent="0.3">
      <c r="A145" s="50">
        <v>136</v>
      </c>
      <c r="B145" s="50"/>
      <c r="C145" s="56" t="s">
        <v>53</v>
      </c>
      <c r="D145" s="52" t="s">
        <v>75</v>
      </c>
      <c r="E145" s="57" t="s">
        <v>176</v>
      </c>
      <c r="F145" s="58" t="s">
        <v>50</v>
      </c>
      <c r="G145" s="58">
        <v>35</v>
      </c>
      <c r="H145" s="59">
        <v>750</v>
      </c>
      <c r="I145" s="55">
        <f t="shared" si="2"/>
        <v>26250</v>
      </c>
    </row>
    <row r="146" spans="1:9" ht="26.25" customHeight="1" thickBot="1" x14ac:dyDescent="0.3">
      <c r="A146" s="50">
        <v>137</v>
      </c>
      <c r="B146" s="50"/>
      <c r="C146" s="56" t="s">
        <v>53</v>
      </c>
      <c r="D146" s="52" t="s">
        <v>75</v>
      </c>
      <c r="E146" s="57" t="s">
        <v>177</v>
      </c>
      <c r="F146" s="58" t="s">
        <v>57</v>
      </c>
      <c r="G146" s="58">
        <v>4</v>
      </c>
      <c r="H146" s="59">
        <v>7701</v>
      </c>
      <c r="I146" s="55">
        <f t="shared" si="2"/>
        <v>30804</v>
      </c>
    </row>
    <row r="147" spans="1:9" ht="26.25" customHeight="1" thickBot="1" x14ac:dyDescent="0.3">
      <c r="A147" s="50">
        <v>138</v>
      </c>
      <c r="B147" s="50"/>
      <c r="C147" s="56" t="s">
        <v>53</v>
      </c>
      <c r="D147" s="52" t="s">
        <v>75</v>
      </c>
      <c r="E147" s="57" t="s">
        <v>178</v>
      </c>
      <c r="F147" s="58" t="s">
        <v>57</v>
      </c>
      <c r="G147" s="58">
        <v>4</v>
      </c>
      <c r="H147" s="59">
        <v>7391</v>
      </c>
      <c r="I147" s="55">
        <f t="shared" si="2"/>
        <v>29564</v>
      </c>
    </row>
    <row r="148" spans="1:9" ht="26.25" customHeight="1" thickBot="1" x14ac:dyDescent="0.3">
      <c r="A148" s="50">
        <v>139</v>
      </c>
      <c r="B148" s="50"/>
      <c r="C148" s="56" t="s">
        <v>53</v>
      </c>
      <c r="D148" s="52" t="s">
        <v>75</v>
      </c>
      <c r="E148" s="57" t="s">
        <v>179</v>
      </c>
      <c r="F148" s="58" t="s">
        <v>57</v>
      </c>
      <c r="G148" s="58">
        <v>4</v>
      </c>
      <c r="H148" s="59">
        <v>7391</v>
      </c>
      <c r="I148" s="55">
        <f t="shared" si="2"/>
        <v>29564</v>
      </c>
    </row>
    <row r="149" spans="1:9" ht="26.25" customHeight="1" thickBot="1" x14ac:dyDescent="0.25">
      <c r="A149" s="50">
        <v>140</v>
      </c>
      <c r="B149" s="50"/>
      <c r="C149" s="61" t="s">
        <v>53</v>
      </c>
      <c r="D149" s="101" t="s">
        <v>75</v>
      </c>
      <c r="E149" s="95" t="s">
        <v>293</v>
      </c>
      <c r="F149" s="45" t="s">
        <v>51</v>
      </c>
      <c r="G149" s="47">
        <v>1</v>
      </c>
      <c r="H149" s="46">
        <v>6500</v>
      </c>
      <c r="I149" s="55">
        <f t="shared" si="2"/>
        <v>6500</v>
      </c>
    </row>
    <row r="150" spans="1:9" ht="26.25" customHeight="1" thickBot="1" x14ac:dyDescent="0.3">
      <c r="A150" s="50">
        <v>141</v>
      </c>
      <c r="B150" s="50"/>
      <c r="C150" s="56" t="s">
        <v>53</v>
      </c>
      <c r="D150" s="52" t="s">
        <v>75</v>
      </c>
      <c r="E150" s="57" t="s">
        <v>180</v>
      </c>
      <c r="F150" s="58" t="s">
        <v>51</v>
      </c>
      <c r="G150" s="58">
        <v>20</v>
      </c>
      <c r="H150" s="59">
        <v>12836</v>
      </c>
      <c r="I150" s="55">
        <f t="shared" si="2"/>
        <v>256720</v>
      </c>
    </row>
    <row r="151" spans="1:9" ht="26.25" customHeight="1" thickBot="1" x14ac:dyDescent="0.3">
      <c r="A151" s="50">
        <v>142</v>
      </c>
      <c r="B151" s="50"/>
      <c r="C151" s="56" t="s">
        <v>53</v>
      </c>
      <c r="D151" s="52" t="s">
        <v>75</v>
      </c>
      <c r="E151" s="57" t="s">
        <v>63</v>
      </c>
      <c r="F151" s="58" t="s">
        <v>50</v>
      </c>
      <c r="G151" s="58">
        <v>200</v>
      </c>
      <c r="H151" s="59">
        <v>900</v>
      </c>
      <c r="I151" s="55">
        <f t="shared" si="2"/>
        <v>180000</v>
      </c>
    </row>
    <row r="152" spans="1:9" ht="26.25" customHeight="1" thickBot="1" x14ac:dyDescent="0.3">
      <c r="A152" s="50">
        <v>143</v>
      </c>
      <c r="B152" s="50"/>
      <c r="C152" s="56" t="s">
        <v>53</v>
      </c>
      <c r="D152" s="52" t="s">
        <v>75</v>
      </c>
      <c r="E152" s="57" t="s">
        <v>181</v>
      </c>
      <c r="F152" s="58" t="s">
        <v>50</v>
      </c>
      <c r="G152" s="58">
        <v>25</v>
      </c>
      <c r="H152" s="59">
        <v>900</v>
      </c>
      <c r="I152" s="55">
        <f t="shared" si="2"/>
        <v>22500</v>
      </c>
    </row>
    <row r="153" spans="1:9" ht="26.25" customHeight="1" thickBot="1" x14ac:dyDescent="0.3">
      <c r="A153" s="50">
        <v>144</v>
      </c>
      <c r="B153" s="50"/>
      <c r="C153" s="56" t="s">
        <v>53</v>
      </c>
      <c r="D153" s="52" t="s">
        <v>75</v>
      </c>
      <c r="E153" s="57" t="s">
        <v>182</v>
      </c>
      <c r="F153" s="58" t="s">
        <v>57</v>
      </c>
      <c r="G153" s="58">
        <v>1</v>
      </c>
      <c r="H153" s="59">
        <v>12970</v>
      </c>
      <c r="I153" s="55">
        <f t="shared" si="2"/>
        <v>12970</v>
      </c>
    </row>
    <row r="154" spans="1:9" ht="26.25" customHeight="1" thickBot="1" x14ac:dyDescent="0.3">
      <c r="A154" s="50">
        <v>145</v>
      </c>
      <c r="B154" s="50"/>
      <c r="C154" s="56" t="s">
        <v>53</v>
      </c>
      <c r="D154" s="52" t="s">
        <v>75</v>
      </c>
      <c r="E154" s="57" t="s">
        <v>183</v>
      </c>
      <c r="F154" s="58" t="s">
        <v>51</v>
      </c>
      <c r="G154" s="58">
        <v>2</v>
      </c>
      <c r="H154" s="59">
        <v>13600</v>
      </c>
      <c r="I154" s="55">
        <f t="shared" si="2"/>
        <v>27200</v>
      </c>
    </row>
    <row r="155" spans="1:9" ht="26.25" customHeight="1" thickBot="1" x14ac:dyDescent="0.3">
      <c r="A155" s="50">
        <v>146</v>
      </c>
      <c r="B155" s="50"/>
      <c r="C155" s="56" t="s">
        <v>53</v>
      </c>
      <c r="D155" s="52" t="s">
        <v>75</v>
      </c>
      <c r="E155" s="57" t="s">
        <v>184</v>
      </c>
      <c r="F155" s="58" t="s">
        <v>51</v>
      </c>
      <c r="G155" s="58">
        <v>3</v>
      </c>
      <c r="H155" s="59">
        <v>21900</v>
      </c>
      <c r="I155" s="55">
        <f t="shared" si="2"/>
        <v>65700</v>
      </c>
    </row>
    <row r="156" spans="1:9" ht="26.25" customHeight="1" thickBot="1" x14ac:dyDescent="0.25">
      <c r="A156" s="50">
        <v>147</v>
      </c>
      <c r="B156" s="50"/>
      <c r="C156" s="61" t="s">
        <v>53</v>
      </c>
      <c r="D156" s="101" t="s">
        <v>76</v>
      </c>
      <c r="E156" s="95" t="s">
        <v>300</v>
      </c>
      <c r="F156" s="134" t="s">
        <v>50</v>
      </c>
      <c r="G156" s="47">
        <v>6</v>
      </c>
      <c r="H156" s="46">
        <v>8500</v>
      </c>
      <c r="I156" s="55">
        <f t="shared" si="2"/>
        <v>51000</v>
      </c>
    </row>
    <row r="157" spans="1:9" ht="26.25" customHeight="1" thickBot="1" x14ac:dyDescent="0.25">
      <c r="A157" s="50">
        <v>148</v>
      </c>
      <c r="B157" s="50"/>
      <c r="C157" s="60" t="s">
        <v>53</v>
      </c>
      <c r="D157" s="52" t="s">
        <v>75</v>
      </c>
      <c r="E157" s="57" t="s">
        <v>185</v>
      </c>
      <c r="F157" s="58" t="s">
        <v>50</v>
      </c>
      <c r="G157" s="58">
        <v>1</v>
      </c>
      <c r="H157" s="59">
        <v>28000</v>
      </c>
      <c r="I157" s="55">
        <f t="shared" si="2"/>
        <v>28000</v>
      </c>
    </row>
    <row r="158" spans="1:9" ht="26.25" customHeight="1" thickBot="1" x14ac:dyDescent="0.25">
      <c r="A158" s="50">
        <v>149</v>
      </c>
      <c r="B158" s="50"/>
      <c r="C158" s="60" t="s">
        <v>53</v>
      </c>
      <c r="D158" s="52" t="s">
        <v>75</v>
      </c>
      <c r="E158" s="57" t="s">
        <v>186</v>
      </c>
      <c r="F158" s="58" t="s">
        <v>50</v>
      </c>
      <c r="G158" s="58">
        <v>1</v>
      </c>
      <c r="H158" s="59">
        <v>36000</v>
      </c>
      <c r="I158" s="55">
        <f t="shared" si="2"/>
        <v>36000</v>
      </c>
    </row>
    <row r="159" spans="1:9" ht="26.25" customHeight="1" thickBot="1" x14ac:dyDescent="0.25">
      <c r="A159" s="50">
        <v>150</v>
      </c>
      <c r="B159" s="50"/>
      <c r="C159" s="60" t="s">
        <v>53</v>
      </c>
      <c r="D159" s="52" t="s">
        <v>75</v>
      </c>
      <c r="E159" s="57" t="s">
        <v>187</v>
      </c>
      <c r="F159" s="58" t="s">
        <v>50</v>
      </c>
      <c r="G159" s="58">
        <v>1</v>
      </c>
      <c r="H159" s="59">
        <v>8500</v>
      </c>
      <c r="I159" s="55">
        <f t="shared" si="2"/>
        <v>8500</v>
      </c>
    </row>
    <row r="160" spans="1:9" ht="26.25" customHeight="1" thickBot="1" x14ac:dyDescent="0.25">
      <c r="A160" s="50">
        <v>151</v>
      </c>
      <c r="B160" s="50"/>
      <c r="C160" s="60" t="s">
        <v>53</v>
      </c>
      <c r="D160" s="52" t="s">
        <v>75</v>
      </c>
      <c r="E160" s="57" t="s">
        <v>188</v>
      </c>
      <c r="F160" s="58" t="s">
        <v>319</v>
      </c>
      <c r="G160" s="58">
        <v>1</v>
      </c>
      <c r="H160" s="59">
        <v>140000</v>
      </c>
      <c r="I160" s="55">
        <f t="shared" si="2"/>
        <v>140000</v>
      </c>
    </row>
    <row r="161" spans="1:9" ht="26.25" customHeight="1" thickBot="1" x14ac:dyDescent="0.25">
      <c r="A161" s="50">
        <v>152</v>
      </c>
      <c r="B161" s="50"/>
      <c r="C161" s="61" t="s">
        <v>53</v>
      </c>
      <c r="D161" s="52" t="s">
        <v>75</v>
      </c>
      <c r="E161" s="62" t="s">
        <v>189</v>
      </c>
      <c r="F161" s="54" t="s">
        <v>50</v>
      </c>
      <c r="G161" s="63">
        <v>8</v>
      </c>
      <c r="H161" s="64">
        <v>32422</v>
      </c>
      <c r="I161" s="55">
        <f t="shared" si="2"/>
        <v>259376</v>
      </c>
    </row>
    <row r="162" spans="1:9" ht="26.25" customHeight="1" thickBot="1" x14ac:dyDescent="0.25">
      <c r="A162" s="50">
        <v>153</v>
      </c>
      <c r="B162" s="50"/>
      <c r="C162" s="61" t="s">
        <v>53</v>
      </c>
      <c r="D162" s="52" t="s">
        <v>75</v>
      </c>
      <c r="E162" s="62" t="s">
        <v>190</v>
      </c>
      <c r="F162" s="54" t="s">
        <v>50</v>
      </c>
      <c r="G162" s="63">
        <v>1</v>
      </c>
      <c r="H162" s="64">
        <v>37053</v>
      </c>
      <c r="I162" s="55">
        <f t="shared" si="2"/>
        <v>37053</v>
      </c>
    </row>
    <row r="163" spans="1:9" s="25" customFormat="1" ht="26.25" customHeight="1" thickBot="1" x14ac:dyDescent="0.25">
      <c r="A163" s="50">
        <v>154</v>
      </c>
      <c r="B163" s="50"/>
      <c r="C163" s="121" t="s">
        <v>53</v>
      </c>
      <c r="D163" s="122" t="s">
        <v>308</v>
      </c>
      <c r="E163" s="120" t="s">
        <v>191</v>
      </c>
      <c r="F163" s="123" t="s">
        <v>51</v>
      </c>
      <c r="G163" s="123">
        <v>4</v>
      </c>
      <c r="H163" s="124">
        <v>54607</v>
      </c>
      <c r="I163" s="125">
        <f t="shared" si="2"/>
        <v>218428</v>
      </c>
    </row>
    <row r="164" spans="1:9" ht="26.25" customHeight="1" thickBot="1" x14ac:dyDescent="0.25">
      <c r="A164" s="50">
        <v>155</v>
      </c>
      <c r="B164" s="50"/>
      <c r="C164" s="61" t="s">
        <v>53</v>
      </c>
      <c r="D164" s="52" t="s">
        <v>75</v>
      </c>
      <c r="E164" s="62" t="s">
        <v>192</v>
      </c>
      <c r="F164" s="63" t="s">
        <v>57</v>
      </c>
      <c r="G164" s="63">
        <v>6</v>
      </c>
      <c r="H164" s="64">
        <v>2925</v>
      </c>
      <c r="I164" s="55">
        <f t="shared" si="2"/>
        <v>17550</v>
      </c>
    </row>
    <row r="165" spans="1:9" ht="26.25" customHeight="1" thickBot="1" x14ac:dyDescent="0.25">
      <c r="A165" s="50">
        <v>156</v>
      </c>
      <c r="B165" s="50"/>
      <c r="C165" s="61" t="s">
        <v>53</v>
      </c>
      <c r="D165" s="52" t="s">
        <v>75</v>
      </c>
      <c r="E165" s="62" t="s">
        <v>193</v>
      </c>
      <c r="F165" s="63" t="s">
        <v>51</v>
      </c>
      <c r="G165" s="63">
        <v>1</v>
      </c>
      <c r="H165" s="64">
        <v>1300</v>
      </c>
      <c r="I165" s="55">
        <f t="shared" si="2"/>
        <v>1300</v>
      </c>
    </row>
    <row r="166" spans="1:9" ht="26.25" customHeight="1" thickBot="1" x14ac:dyDescent="0.25">
      <c r="A166" s="50">
        <v>157</v>
      </c>
      <c r="B166" s="50"/>
      <c r="C166" s="61" t="s">
        <v>53</v>
      </c>
      <c r="D166" s="52" t="s">
        <v>75</v>
      </c>
      <c r="E166" s="62" t="s">
        <v>324</v>
      </c>
      <c r="F166" s="54" t="s">
        <v>60</v>
      </c>
      <c r="G166" s="63">
        <v>1</v>
      </c>
      <c r="H166" s="64">
        <v>850</v>
      </c>
      <c r="I166" s="55">
        <f t="shared" si="2"/>
        <v>850</v>
      </c>
    </row>
    <row r="167" spans="1:9" ht="26.25" customHeight="1" thickBot="1" x14ac:dyDescent="0.25">
      <c r="A167" s="50">
        <v>158</v>
      </c>
      <c r="B167" s="50"/>
      <c r="C167" s="61" t="s">
        <v>53</v>
      </c>
      <c r="D167" s="52" t="s">
        <v>75</v>
      </c>
      <c r="E167" s="62" t="s">
        <v>194</v>
      </c>
      <c r="F167" s="63" t="s">
        <v>57</v>
      </c>
      <c r="G167" s="63">
        <v>1</v>
      </c>
      <c r="H167" s="64">
        <v>8817</v>
      </c>
      <c r="I167" s="55">
        <f t="shared" si="2"/>
        <v>8817</v>
      </c>
    </row>
    <row r="168" spans="1:9" ht="26.25" customHeight="1" thickBot="1" x14ac:dyDescent="0.25">
      <c r="A168" s="50">
        <v>159</v>
      </c>
      <c r="B168" s="50"/>
      <c r="C168" s="61" t="s">
        <v>53</v>
      </c>
      <c r="D168" s="52" t="s">
        <v>75</v>
      </c>
      <c r="E168" s="62" t="s">
        <v>195</v>
      </c>
      <c r="F168" s="63" t="s">
        <v>51</v>
      </c>
      <c r="G168" s="63">
        <v>2</v>
      </c>
      <c r="H168" s="64">
        <v>18100</v>
      </c>
      <c r="I168" s="55">
        <f t="shared" si="2"/>
        <v>36200</v>
      </c>
    </row>
    <row r="169" spans="1:9" ht="26.25" customHeight="1" thickBot="1" x14ac:dyDescent="0.25">
      <c r="A169" s="50">
        <v>160</v>
      </c>
      <c r="B169" s="50"/>
      <c r="C169" s="61" t="s">
        <v>53</v>
      </c>
      <c r="D169" s="52" t="s">
        <v>75</v>
      </c>
      <c r="E169" s="62" t="s">
        <v>196</v>
      </c>
      <c r="F169" s="63" t="s">
        <v>51</v>
      </c>
      <c r="G169" s="63">
        <v>15</v>
      </c>
      <c r="H169" s="64">
        <v>13000</v>
      </c>
      <c r="I169" s="55">
        <f t="shared" si="2"/>
        <v>195000</v>
      </c>
    </row>
    <row r="170" spans="1:9" ht="26.25" customHeight="1" thickBot="1" x14ac:dyDescent="0.25">
      <c r="A170" s="50">
        <v>161</v>
      </c>
      <c r="B170" s="50"/>
      <c r="C170" s="61" t="s">
        <v>53</v>
      </c>
      <c r="D170" s="52" t="s">
        <v>75</v>
      </c>
      <c r="E170" s="62" t="s">
        <v>197</v>
      </c>
      <c r="F170" s="63" t="s">
        <v>51</v>
      </c>
      <c r="G170" s="63">
        <v>15</v>
      </c>
      <c r="H170" s="64">
        <v>8500</v>
      </c>
      <c r="I170" s="55">
        <f t="shared" si="2"/>
        <v>127500</v>
      </c>
    </row>
    <row r="171" spans="1:9" ht="26.25" customHeight="1" thickBot="1" x14ac:dyDescent="0.25">
      <c r="A171" s="50">
        <v>162</v>
      </c>
      <c r="B171" s="50"/>
      <c r="C171" s="61" t="s">
        <v>53</v>
      </c>
      <c r="D171" s="52" t="s">
        <v>75</v>
      </c>
      <c r="E171" s="62" t="s">
        <v>198</v>
      </c>
      <c r="F171" s="63" t="s">
        <v>51</v>
      </c>
      <c r="G171" s="63">
        <v>15</v>
      </c>
      <c r="H171" s="64">
        <v>6300</v>
      </c>
      <c r="I171" s="55">
        <f t="shared" si="2"/>
        <v>94500</v>
      </c>
    </row>
    <row r="172" spans="1:9" ht="26.25" customHeight="1" thickBot="1" x14ac:dyDescent="0.25">
      <c r="A172" s="50">
        <v>163</v>
      </c>
      <c r="B172" s="50"/>
      <c r="C172" s="61" t="s">
        <v>53</v>
      </c>
      <c r="D172" s="52" t="s">
        <v>75</v>
      </c>
      <c r="E172" s="62" t="s">
        <v>199</v>
      </c>
      <c r="F172" s="63" t="s">
        <v>57</v>
      </c>
      <c r="G172" s="63">
        <v>1</v>
      </c>
      <c r="H172" s="64">
        <v>3854</v>
      </c>
      <c r="I172" s="55">
        <f t="shared" si="2"/>
        <v>3854</v>
      </c>
    </row>
    <row r="173" spans="1:9" ht="26.25" customHeight="1" thickBot="1" x14ac:dyDescent="0.25">
      <c r="A173" s="50">
        <v>164</v>
      </c>
      <c r="B173" s="50"/>
      <c r="C173" s="61" t="s">
        <v>53</v>
      </c>
      <c r="D173" s="52" t="s">
        <v>75</v>
      </c>
      <c r="E173" s="62" t="s">
        <v>200</v>
      </c>
      <c r="F173" s="63" t="s">
        <v>51</v>
      </c>
      <c r="G173" s="63">
        <v>1</v>
      </c>
      <c r="H173" s="64">
        <v>9400</v>
      </c>
      <c r="I173" s="55">
        <f t="shared" si="2"/>
        <v>9400</v>
      </c>
    </row>
    <row r="174" spans="1:9" ht="26.25" customHeight="1" thickBot="1" x14ac:dyDescent="0.25">
      <c r="A174" s="50">
        <v>165</v>
      </c>
      <c r="B174" s="50"/>
      <c r="C174" s="61" t="s">
        <v>53</v>
      </c>
      <c r="D174" s="52" t="s">
        <v>75</v>
      </c>
      <c r="E174" s="62" t="s">
        <v>201</v>
      </c>
      <c r="F174" s="63" t="s">
        <v>51</v>
      </c>
      <c r="G174" s="63">
        <v>2</v>
      </c>
      <c r="H174" s="64">
        <v>49500</v>
      </c>
      <c r="I174" s="55">
        <f t="shared" si="2"/>
        <v>99000</v>
      </c>
    </row>
    <row r="175" spans="1:9" ht="26.25" customHeight="1" thickBot="1" x14ac:dyDescent="0.25">
      <c r="A175" s="50">
        <v>166</v>
      </c>
      <c r="B175" s="50"/>
      <c r="C175" s="61" t="s">
        <v>53</v>
      </c>
      <c r="D175" s="52" t="s">
        <v>75</v>
      </c>
      <c r="E175" s="62" t="s">
        <v>202</v>
      </c>
      <c r="F175" s="63" t="s">
        <v>51</v>
      </c>
      <c r="G175" s="63">
        <v>2</v>
      </c>
      <c r="H175" s="64">
        <v>49500</v>
      </c>
      <c r="I175" s="55">
        <f t="shared" si="2"/>
        <v>99000</v>
      </c>
    </row>
    <row r="176" spans="1:9" ht="26.25" customHeight="1" thickBot="1" x14ac:dyDescent="0.25">
      <c r="A176" s="50">
        <v>167</v>
      </c>
      <c r="B176" s="50"/>
      <c r="C176" s="61" t="s">
        <v>53</v>
      </c>
      <c r="D176" s="52" t="s">
        <v>75</v>
      </c>
      <c r="E176" s="62" t="s">
        <v>203</v>
      </c>
      <c r="F176" s="63" t="s">
        <v>51</v>
      </c>
      <c r="G176" s="63">
        <v>2</v>
      </c>
      <c r="H176" s="64">
        <v>17000</v>
      </c>
      <c r="I176" s="55">
        <f t="shared" si="2"/>
        <v>34000</v>
      </c>
    </row>
    <row r="177" spans="1:9" ht="26.25" customHeight="1" thickBot="1" x14ac:dyDescent="0.25">
      <c r="A177" s="50">
        <v>168</v>
      </c>
      <c r="B177" s="50"/>
      <c r="C177" s="61" t="s">
        <v>53</v>
      </c>
      <c r="D177" s="52" t="s">
        <v>75</v>
      </c>
      <c r="E177" s="62" t="s">
        <v>204</v>
      </c>
      <c r="F177" s="63" t="s">
        <v>51</v>
      </c>
      <c r="G177" s="63">
        <v>2</v>
      </c>
      <c r="H177" s="64">
        <v>30200</v>
      </c>
      <c r="I177" s="55">
        <f t="shared" si="2"/>
        <v>60400</v>
      </c>
    </row>
    <row r="178" spans="1:9" ht="26.25" customHeight="1" thickBot="1" x14ac:dyDescent="0.25">
      <c r="A178" s="50">
        <v>169</v>
      </c>
      <c r="B178" s="50"/>
      <c r="C178" s="61" t="s">
        <v>53</v>
      </c>
      <c r="D178" s="52" t="s">
        <v>75</v>
      </c>
      <c r="E178" s="62" t="s">
        <v>205</v>
      </c>
      <c r="F178" s="63" t="s">
        <v>51</v>
      </c>
      <c r="G178" s="63">
        <v>2</v>
      </c>
      <c r="H178" s="64">
        <v>30200</v>
      </c>
      <c r="I178" s="55">
        <f t="shared" si="2"/>
        <v>60400</v>
      </c>
    </row>
    <row r="179" spans="1:9" ht="26.25" customHeight="1" thickBot="1" x14ac:dyDescent="0.25">
      <c r="A179" s="50">
        <v>170</v>
      </c>
      <c r="B179" s="50"/>
      <c r="C179" s="61" t="s">
        <v>53</v>
      </c>
      <c r="D179" s="52" t="s">
        <v>75</v>
      </c>
      <c r="E179" s="62" t="s">
        <v>206</v>
      </c>
      <c r="F179" s="63" t="s">
        <v>51</v>
      </c>
      <c r="G179" s="63">
        <v>2</v>
      </c>
      <c r="H179" s="64">
        <v>49500</v>
      </c>
      <c r="I179" s="55">
        <f t="shared" si="2"/>
        <v>99000</v>
      </c>
    </row>
    <row r="180" spans="1:9" ht="26.25" customHeight="1" thickBot="1" x14ac:dyDescent="0.25">
      <c r="A180" s="50">
        <v>171</v>
      </c>
      <c r="B180" s="50"/>
      <c r="C180" s="61" t="s">
        <v>53</v>
      </c>
      <c r="D180" s="52" t="s">
        <v>75</v>
      </c>
      <c r="E180" s="62" t="s">
        <v>207</v>
      </c>
      <c r="F180" s="63" t="s">
        <v>51</v>
      </c>
      <c r="G180" s="63">
        <v>3</v>
      </c>
      <c r="H180" s="64">
        <v>6900</v>
      </c>
      <c r="I180" s="55">
        <f t="shared" si="2"/>
        <v>20700</v>
      </c>
    </row>
    <row r="181" spans="1:9" ht="26.25" customHeight="1" thickBot="1" x14ac:dyDescent="0.25">
      <c r="A181" s="50">
        <v>172</v>
      </c>
      <c r="B181" s="50"/>
      <c r="C181" s="61" t="s">
        <v>53</v>
      </c>
      <c r="D181" s="52" t="s">
        <v>75</v>
      </c>
      <c r="E181" s="62" t="s">
        <v>208</v>
      </c>
      <c r="F181" s="63" t="s">
        <v>51</v>
      </c>
      <c r="G181" s="63">
        <v>2</v>
      </c>
      <c r="H181" s="64">
        <v>49500</v>
      </c>
      <c r="I181" s="55">
        <f t="shared" si="2"/>
        <v>99000</v>
      </c>
    </row>
    <row r="182" spans="1:9" ht="26.25" customHeight="1" thickBot="1" x14ac:dyDescent="0.25">
      <c r="A182" s="50">
        <v>173</v>
      </c>
      <c r="B182" s="50"/>
      <c r="C182" s="61" t="s">
        <v>53</v>
      </c>
      <c r="D182" s="52" t="s">
        <v>75</v>
      </c>
      <c r="E182" s="103" t="s">
        <v>276</v>
      </c>
      <c r="F182" s="45" t="s">
        <v>50</v>
      </c>
      <c r="G182" s="47">
        <v>1</v>
      </c>
      <c r="H182" s="46">
        <v>39515</v>
      </c>
      <c r="I182" s="55">
        <f t="shared" si="2"/>
        <v>39515</v>
      </c>
    </row>
    <row r="183" spans="1:9" s="25" customFormat="1" ht="26.25" customHeight="1" thickBot="1" x14ac:dyDescent="0.25">
      <c r="A183" s="50">
        <v>174</v>
      </c>
      <c r="B183" s="50"/>
      <c r="C183" s="121" t="s">
        <v>53</v>
      </c>
      <c r="D183" s="122" t="s">
        <v>75</v>
      </c>
      <c r="E183" s="120" t="s">
        <v>209</v>
      </c>
      <c r="F183" s="123" t="s">
        <v>57</v>
      </c>
      <c r="G183" s="123">
        <v>20</v>
      </c>
      <c r="H183" s="124">
        <v>923</v>
      </c>
      <c r="I183" s="125">
        <f t="shared" si="2"/>
        <v>18460</v>
      </c>
    </row>
    <row r="184" spans="1:9" ht="26.25" customHeight="1" thickBot="1" x14ac:dyDescent="0.25">
      <c r="A184" s="50">
        <v>175</v>
      </c>
      <c r="B184" s="50"/>
      <c r="C184" s="61" t="s">
        <v>53</v>
      </c>
      <c r="D184" s="101" t="s">
        <v>75</v>
      </c>
      <c r="E184" s="95" t="s">
        <v>280</v>
      </c>
      <c r="F184" s="45" t="s">
        <v>283</v>
      </c>
      <c r="G184" s="47">
        <v>3</v>
      </c>
      <c r="H184" s="46">
        <v>4598</v>
      </c>
      <c r="I184" s="55">
        <f t="shared" si="2"/>
        <v>13794</v>
      </c>
    </row>
    <row r="185" spans="1:9" ht="26.25" customHeight="1" thickBot="1" x14ac:dyDescent="0.25">
      <c r="A185" s="50">
        <v>176</v>
      </c>
      <c r="B185" s="50"/>
      <c r="C185" s="61" t="s">
        <v>53</v>
      </c>
      <c r="D185" s="52" t="s">
        <v>77</v>
      </c>
      <c r="E185" s="53" t="s">
        <v>326</v>
      </c>
      <c r="F185" s="54" t="s">
        <v>327</v>
      </c>
      <c r="G185" s="63">
        <v>10</v>
      </c>
      <c r="H185" s="64">
        <v>4050</v>
      </c>
      <c r="I185" s="55">
        <f t="shared" si="2"/>
        <v>40500</v>
      </c>
    </row>
    <row r="186" spans="1:9" ht="26.25" customHeight="1" thickBot="1" x14ac:dyDescent="0.25">
      <c r="A186" s="50">
        <v>177</v>
      </c>
      <c r="B186" s="50"/>
      <c r="C186" s="61" t="s">
        <v>53</v>
      </c>
      <c r="D186" s="101" t="s">
        <v>75</v>
      </c>
      <c r="E186" s="95" t="s">
        <v>294</v>
      </c>
      <c r="F186" s="45" t="s">
        <v>51</v>
      </c>
      <c r="G186" s="47">
        <v>1</v>
      </c>
      <c r="H186" s="46">
        <v>40000</v>
      </c>
      <c r="I186" s="55">
        <f t="shared" si="2"/>
        <v>40000</v>
      </c>
    </row>
    <row r="187" spans="1:9" ht="26.25" customHeight="1" thickBot="1" x14ac:dyDescent="0.25">
      <c r="A187" s="50">
        <v>178</v>
      </c>
      <c r="B187" s="50"/>
      <c r="C187" s="61" t="s">
        <v>53</v>
      </c>
      <c r="D187" s="52" t="s">
        <v>75</v>
      </c>
      <c r="E187" s="53" t="s">
        <v>210</v>
      </c>
      <c r="F187" s="54" t="s">
        <v>325</v>
      </c>
      <c r="G187" s="63">
        <v>5</v>
      </c>
      <c r="H187" s="64">
        <v>850</v>
      </c>
      <c r="I187" s="55">
        <f t="shared" si="2"/>
        <v>4250</v>
      </c>
    </row>
    <row r="188" spans="1:9" ht="26.25" customHeight="1" thickBot="1" x14ac:dyDescent="0.25">
      <c r="A188" s="50">
        <v>179</v>
      </c>
      <c r="B188" s="50"/>
      <c r="C188" s="61" t="s">
        <v>53</v>
      </c>
      <c r="D188" s="52" t="s">
        <v>75</v>
      </c>
      <c r="E188" s="53" t="s">
        <v>62</v>
      </c>
      <c r="F188" s="54" t="s">
        <v>50</v>
      </c>
      <c r="G188" s="63">
        <v>5</v>
      </c>
      <c r="H188" s="64">
        <v>5300</v>
      </c>
      <c r="I188" s="55">
        <f t="shared" si="2"/>
        <v>26500</v>
      </c>
    </row>
    <row r="189" spans="1:9" ht="26.25" customHeight="1" thickBot="1" x14ac:dyDescent="0.25">
      <c r="A189" s="50">
        <v>180</v>
      </c>
      <c r="B189" s="50"/>
      <c r="C189" s="61" t="s">
        <v>53</v>
      </c>
      <c r="D189" s="52" t="s">
        <v>75</v>
      </c>
      <c r="E189" s="53" t="s">
        <v>328</v>
      </c>
      <c r="F189" s="54" t="s">
        <v>50</v>
      </c>
      <c r="G189" s="63">
        <v>10</v>
      </c>
      <c r="H189" s="64">
        <v>2050</v>
      </c>
      <c r="I189" s="55">
        <f t="shared" si="2"/>
        <v>20500</v>
      </c>
    </row>
    <row r="190" spans="1:9" ht="26.25" customHeight="1" thickBot="1" x14ac:dyDescent="0.25">
      <c r="A190" s="50">
        <v>181</v>
      </c>
      <c r="B190" s="50"/>
      <c r="C190" s="61" t="s">
        <v>53</v>
      </c>
      <c r="D190" s="52" t="s">
        <v>75</v>
      </c>
      <c r="E190" s="53" t="s">
        <v>329</v>
      </c>
      <c r="F190" s="54" t="s">
        <v>51</v>
      </c>
      <c r="G190" s="63">
        <v>3000</v>
      </c>
      <c r="H190" s="64">
        <v>28</v>
      </c>
      <c r="I190" s="55">
        <f t="shared" si="2"/>
        <v>84000</v>
      </c>
    </row>
    <row r="191" spans="1:9" ht="26.25" customHeight="1" thickBot="1" x14ac:dyDescent="0.25">
      <c r="A191" s="50">
        <v>182</v>
      </c>
      <c r="B191" s="50"/>
      <c r="C191" s="61" t="s">
        <v>53</v>
      </c>
      <c r="D191" s="52" t="s">
        <v>75</v>
      </c>
      <c r="E191" s="53" t="s">
        <v>330</v>
      </c>
      <c r="F191" s="54" t="s">
        <v>319</v>
      </c>
      <c r="G191" s="63">
        <v>1</v>
      </c>
      <c r="H191" s="64">
        <v>2600</v>
      </c>
      <c r="I191" s="55">
        <f t="shared" si="2"/>
        <v>2600</v>
      </c>
    </row>
    <row r="192" spans="1:9" ht="26.25" customHeight="1" thickBot="1" x14ac:dyDescent="0.25">
      <c r="A192" s="50">
        <v>183</v>
      </c>
      <c r="B192" s="50"/>
      <c r="C192" s="61" t="s">
        <v>53</v>
      </c>
      <c r="D192" s="52" t="s">
        <v>75</v>
      </c>
      <c r="E192" s="53" t="s">
        <v>331</v>
      </c>
      <c r="F192" s="54" t="s">
        <v>50</v>
      </c>
      <c r="G192" s="63">
        <v>1</v>
      </c>
      <c r="H192" s="64">
        <v>2600</v>
      </c>
      <c r="I192" s="55">
        <f t="shared" si="2"/>
        <v>2600</v>
      </c>
    </row>
    <row r="193" spans="1:9" ht="26.25" customHeight="1" thickBot="1" x14ac:dyDescent="0.25">
      <c r="A193" s="50">
        <v>184</v>
      </c>
      <c r="B193" s="50"/>
      <c r="C193" s="61" t="s">
        <v>53</v>
      </c>
      <c r="D193" s="52" t="s">
        <v>76</v>
      </c>
      <c r="E193" s="62" t="s">
        <v>64</v>
      </c>
      <c r="F193" s="63" t="s">
        <v>50</v>
      </c>
      <c r="G193" s="63">
        <v>5</v>
      </c>
      <c r="H193" s="64">
        <v>160</v>
      </c>
      <c r="I193" s="55">
        <f t="shared" si="2"/>
        <v>800</v>
      </c>
    </row>
    <row r="194" spans="1:9" ht="26.25" customHeight="1" thickBot="1" x14ac:dyDescent="0.25">
      <c r="A194" s="50">
        <v>185</v>
      </c>
      <c r="B194" s="50"/>
      <c r="C194" s="61" t="s">
        <v>53</v>
      </c>
      <c r="D194" s="52" t="s">
        <v>75</v>
      </c>
      <c r="E194" s="62" t="s">
        <v>59</v>
      </c>
      <c r="F194" s="63" t="s">
        <v>51</v>
      </c>
      <c r="G194" s="63">
        <v>1</v>
      </c>
      <c r="H194" s="64">
        <v>60773</v>
      </c>
      <c r="I194" s="55">
        <f t="shared" si="2"/>
        <v>60773</v>
      </c>
    </row>
    <row r="195" spans="1:9" ht="26.25" customHeight="1" thickBot="1" x14ac:dyDescent="0.25">
      <c r="A195" s="50">
        <v>186</v>
      </c>
      <c r="B195" s="50"/>
      <c r="C195" s="61" t="s">
        <v>53</v>
      </c>
      <c r="D195" s="52" t="s">
        <v>75</v>
      </c>
      <c r="E195" s="62" t="s">
        <v>211</v>
      </c>
      <c r="F195" s="63" t="s">
        <v>50</v>
      </c>
      <c r="G195" s="63">
        <v>2</v>
      </c>
      <c r="H195" s="64">
        <v>59291</v>
      </c>
      <c r="I195" s="55">
        <f t="shared" si="2"/>
        <v>118582</v>
      </c>
    </row>
    <row r="196" spans="1:9" ht="26.25" customHeight="1" thickBot="1" x14ac:dyDescent="0.25">
      <c r="A196" s="50">
        <v>187</v>
      </c>
      <c r="B196" s="50"/>
      <c r="C196" s="61" t="s">
        <v>53</v>
      </c>
      <c r="D196" s="52" t="s">
        <v>75</v>
      </c>
      <c r="E196" s="62" t="s">
        <v>212</v>
      </c>
      <c r="F196" s="63" t="s">
        <v>50</v>
      </c>
      <c r="G196" s="63">
        <v>2</v>
      </c>
      <c r="H196" s="64">
        <v>59291</v>
      </c>
      <c r="I196" s="55">
        <f t="shared" si="2"/>
        <v>118582</v>
      </c>
    </row>
    <row r="197" spans="1:9" s="25" customFormat="1" ht="26.25" customHeight="1" thickBot="1" x14ac:dyDescent="0.25">
      <c r="A197" s="50">
        <v>188</v>
      </c>
      <c r="B197" s="50"/>
      <c r="C197" s="121" t="s">
        <v>53</v>
      </c>
      <c r="D197" s="122" t="s">
        <v>75</v>
      </c>
      <c r="E197" s="120" t="s">
        <v>213</v>
      </c>
      <c r="F197" s="123" t="s">
        <v>50</v>
      </c>
      <c r="G197" s="123">
        <v>1</v>
      </c>
      <c r="H197" s="124">
        <v>25600</v>
      </c>
      <c r="I197" s="125">
        <f t="shared" si="2"/>
        <v>25600</v>
      </c>
    </row>
    <row r="198" spans="1:9" s="25" customFormat="1" ht="26.25" customHeight="1" thickBot="1" x14ac:dyDescent="0.25">
      <c r="A198" s="50">
        <v>189</v>
      </c>
      <c r="B198" s="50"/>
      <c r="C198" s="121" t="s">
        <v>53</v>
      </c>
      <c r="D198" s="122" t="s">
        <v>75</v>
      </c>
      <c r="E198" s="120" t="s">
        <v>214</v>
      </c>
      <c r="F198" s="123" t="s">
        <v>50</v>
      </c>
      <c r="G198" s="123">
        <v>1</v>
      </c>
      <c r="H198" s="124">
        <v>25600</v>
      </c>
      <c r="I198" s="125">
        <f t="shared" si="2"/>
        <v>25600</v>
      </c>
    </row>
    <row r="199" spans="1:9" ht="26.25" customHeight="1" thickBot="1" x14ac:dyDescent="0.25">
      <c r="A199" s="50">
        <v>190</v>
      </c>
      <c r="B199" s="50"/>
      <c r="C199" s="61" t="s">
        <v>53</v>
      </c>
      <c r="D199" s="52" t="s">
        <v>75</v>
      </c>
      <c r="E199" s="62" t="s">
        <v>215</v>
      </c>
      <c r="F199" s="63" t="s">
        <v>50</v>
      </c>
      <c r="G199" s="63">
        <v>2</v>
      </c>
      <c r="H199" s="64">
        <v>31433</v>
      </c>
      <c r="I199" s="55">
        <f t="shared" si="2"/>
        <v>62866</v>
      </c>
    </row>
    <row r="200" spans="1:9" ht="26.25" customHeight="1" thickBot="1" x14ac:dyDescent="0.25">
      <c r="A200" s="50">
        <v>191</v>
      </c>
      <c r="B200" s="50"/>
      <c r="C200" s="61" t="s">
        <v>53</v>
      </c>
      <c r="D200" s="52" t="s">
        <v>75</v>
      </c>
      <c r="E200" s="62" t="s">
        <v>216</v>
      </c>
      <c r="F200" s="63" t="s">
        <v>50</v>
      </c>
      <c r="G200" s="63">
        <v>2</v>
      </c>
      <c r="H200" s="64">
        <v>31433</v>
      </c>
      <c r="I200" s="55">
        <f t="shared" ref="I200:I252" si="3">H200*G200</f>
        <v>62866</v>
      </c>
    </row>
    <row r="201" spans="1:9" ht="26.25" customHeight="1" thickBot="1" x14ac:dyDescent="0.25">
      <c r="A201" s="50">
        <v>192</v>
      </c>
      <c r="B201" s="50"/>
      <c r="C201" s="61" t="s">
        <v>53</v>
      </c>
      <c r="D201" s="52" t="s">
        <v>75</v>
      </c>
      <c r="E201" s="62" t="s">
        <v>217</v>
      </c>
      <c r="F201" s="63" t="s">
        <v>50</v>
      </c>
      <c r="G201" s="63">
        <v>8</v>
      </c>
      <c r="H201" s="64">
        <v>9723</v>
      </c>
      <c r="I201" s="55">
        <f t="shared" si="3"/>
        <v>77784</v>
      </c>
    </row>
    <row r="202" spans="1:9" ht="26.25" customHeight="1" thickBot="1" x14ac:dyDescent="0.25">
      <c r="A202" s="50">
        <v>193</v>
      </c>
      <c r="B202" s="50"/>
      <c r="C202" s="61" t="s">
        <v>53</v>
      </c>
      <c r="D202" s="52" t="s">
        <v>75</v>
      </c>
      <c r="E202" s="62" t="s">
        <v>218</v>
      </c>
      <c r="F202" s="63" t="s">
        <v>57</v>
      </c>
      <c r="G202" s="63">
        <v>8</v>
      </c>
      <c r="H202" s="64">
        <v>31767</v>
      </c>
      <c r="I202" s="55">
        <f t="shared" si="3"/>
        <v>254136</v>
      </c>
    </row>
    <row r="203" spans="1:9" ht="26.25" customHeight="1" thickBot="1" x14ac:dyDescent="0.25">
      <c r="A203" s="50">
        <v>194</v>
      </c>
      <c r="B203" s="50"/>
      <c r="C203" s="61" t="s">
        <v>53</v>
      </c>
      <c r="D203" s="52" t="s">
        <v>75</v>
      </c>
      <c r="E203" s="62" t="s">
        <v>219</v>
      </c>
      <c r="F203" s="63" t="s">
        <v>57</v>
      </c>
      <c r="G203" s="63">
        <v>4</v>
      </c>
      <c r="H203" s="64">
        <v>1475</v>
      </c>
      <c r="I203" s="55">
        <f t="shared" si="3"/>
        <v>5900</v>
      </c>
    </row>
    <row r="204" spans="1:9" ht="26.25" customHeight="1" thickBot="1" x14ac:dyDescent="0.25">
      <c r="A204" s="50">
        <v>195</v>
      </c>
      <c r="B204" s="50"/>
      <c r="C204" s="61" t="s">
        <v>53</v>
      </c>
      <c r="D204" s="52" t="s">
        <v>75</v>
      </c>
      <c r="E204" s="62" t="s">
        <v>220</v>
      </c>
      <c r="F204" s="63" t="s">
        <v>51</v>
      </c>
      <c r="G204" s="63">
        <v>1</v>
      </c>
      <c r="H204" s="64">
        <v>1300</v>
      </c>
      <c r="I204" s="55">
        <f t="shared" si="3"/>
        <v>1300</v>
      </c>
    </row>
    <row r="205" spans="1:9" ht="26.25" customHeight="1" thickBot="1" x14ac:dyDescent="0.25">
      <c r="A205" s="50">
        <v>196</v>
      </c>
      <c r="B205" s="50"/>
      <c r="C205" s="61" t="s">
        <v>53</v>
      </c>
      <c r="D205" s="52" t="s">
        <v>75</v>
      </c>
      <c r="E205" s="103" t="s">
        <v>266</v>
      </c>
      <c r="F205" s="45" t="s">
        <v>57</v>
      </c>
      <c r="G205" s="47">
        <v>1</v>
      </c>
      <c r="H205" s="46">
        <v>19838</v>
      </c>
      <c r="I205" s="55">
        <f t="shared" si="3"/>
        <v>19838</v>
      </c>
    </row>
    <row r="206" spans="1:9" ht="26.25" customHeight="1" thickBot="1" x14ac:dyDescent="0.25">
      <c r="A206" s="50">
        <v>197</v>
      </c>
      <c r="B206" s="50"/>
      <c r="C206" s="61" t="s">
        <v>53</v>
      </c>
      <c r="D206" s="52" t="s">
        <v>75</v>
      </c>
      <c r="E206" s="103" t="s">
        <v>264</v>
      </c>
      <c r="F206" s="45" t="s">
        <v>57</v>
      </c>
      <c r="G206" s="47">
        <v>1</v>
      </c>
      <c r="H206" s="46">
        <v>29390</v>
      </c>
      <c r="I206" s="55">
        <f t="shared" si="3"/>
        <v>29390</v>
      </c>
    </row>
    <row r="207" spans="1:9" ht="26.25" customHeight="1" thickBot="1" x14ac:dyDescent="0.25">
      <c r="A207" s="50">
        <v>198</v>
      </c>
      <c r="B207" s="50"/>
      <c r="C207" s="61" t="s">
        <v>53</v>
      </c>
      <c r="D207" s="52" t="s">
        <v>75</v>
      </c>
      <c r="E207" s="62" t="s">
        <v>221</v>
      </c>
      <c r="F207" s="54" t="s">
        <v>50</v>
      </c>
      <c r="G207" s="63">
        <v>1</v>
      </c>
      <c r="H207" s="64">
        <v>16500</v>
      </c>
      <c r="I207" s="55">
        <f t="shared" si="3"/>
        <v>16500</v>
      </c>
    </row>
    <row r="208" spans="1:9" ht="26.25" customHeight="1" thickBot="1" x14ac:dyDescent="0.25">
      <c r="A208" s="50">
        <v>199</v>
      </c>
      <c r="B208" s="92"/>
      <c r="C208" s="93" t="s">
        <v>53</v>
      </c>
      <c r="D208" s="52" t="s">
        <v>75</v>
      </c>
      <c r="E208" s="106" t="s">
        <v>222</v>
      </c>
      <c r="F208" s="135" t="s">
        <v>50</v>
      </c>
      <c r="G208" s="109">
        <v>1</v>
      </c>
      <c r="H208" s="114">
        <v>24196</v>
      </c>
      <c r="I208" s="55">
        <f t="shared" si="3"/>
        <v>24196</v>
      </c>
    </row>
    <row r="209" spans="1:9" ht="26.25" customHeight="1" thickBot="1" x14ac:dyDescent="0.25">
      <c r="A209" s="50">
        <v>200</v>
      </c>
      <c r="B209" s="94"/>
      <c r="C209" s="93" t="s">
        <v>53</v>
      </c>
      <c r="D209" s="52" t="s">
        <v>75</v>
      </c>
      <c r="E209" s="107" t="s">
        <v>274</v>
      </c>
      <c r="F209" s="110" t="s">
        <v>57</v>
      </c>
      <c r="G209" s="112">
        <v>1</v>
      </c>
      <c r="H209" s="116">
        <v>48000</v>
      </c>
      <c r="I209" s="55">
        <f t="shared" si="3"/>
        <v>48000</v>
      </c>
    </row>
    <row r="210" spans="1:9" ht="26.25" customHeight="1" thickBot="1" x14ac:dyDescent="0.25">
      <c r="A210" s="50">
        <v>201</v>
      </c>
      <c r="B210" s="94"/>
      <c r="C210" s="93" t="s">
        <v>53</v>
      </c>
      <c r="D210" s="52" t="s">
        <v>75</v>
      </c>
      <c r="E210" s="107" t="s">
        <v>273</v>
      </c>
      <c r="F210" s="110" t="s">
        <v>57</v>
      </c>
      <c r="G210" s="112">
        <v>2</v>
      </c>
      <c r="H210" s="116">
        <v>35000</v>
      </c>
      <c r="I210" s="55">
        <f t="shared" si="3"/>
        <v>70000</v>
      </c>
    </row>
    <row r="211" spans="1:9" ht="26.25" customHeight="1" thickBot="1" x14ac:dyDescent="0.25">
      <c r="A211" s="50">
        <v>202</v>
      </c>
      <c r="B211" s="94"/>
      <c r="C211" s="93" t="s">
        <v>53</v>
      </c>
      <c r="D211" s="52" t="s">
        <v>75</v>
      </c>
      <c r="E211" s="108" t="s">
        <v>223</v>
      </c>
      <c r="F211" s="111" t="s">
        <v>51</v>
      </c>
      <c r="G211" s="111">
        <v>1</v>
      </c>
      <c r="H211" s="117">
        <v>5600</v>
      </c>
      <c r="I211" s="55">
        <f t="shared" si="3"/>
        <v>5600</v>
      </c>
    </row>
    <row r="212" spans="1:9" ht="26.25" customHeight="1" thickBot="1" x14ac:dyDescent="0.25">
      <c r="A212" s="50">
        <v>203</v>
      </c>
      <c r="B212" s="94"/>
      <c r="C212" s="93" t="s">
        <v>53</v>
      </c>
      <c r="D212" s="52" t="s">
        <v>75</v>
      </c>
      <c r="E212" s="107" t="s">
        <v>270</v>
      </c>
      <c r="F212" s="110" t="s">
        <v>57</v>
      </c>
      <c r="G212" s="112">
        <v>1</v>
      </c>
      <c r="H212" s="116">
        <v>18803</v>
      </c>
      <c r="I212" s="55">
        <f t="shared" si="3"/>
        <v>18803</v>
      </c>
    </row>
    <row r="213" spans="1:9" ht="26.25" customHeight="1" thickBot="1" x14ac:dyDescent="0.25">
      <c r="A213" s="50">
        <v>204</v>
      </c>
      <c r="B213" s="94"/>
      <c r="C213" s="93" t="s">
        <v>53</v>
      </c>
      <c r="D213" s="52" t="s">
        <v>75</v>
      </c>
      <c r="E213" s="136" t="s">
        <v>224</v>
      </c>
      <c r="F213" s="137" t="s">
        <v>50</v>
      </c>
      <c r="G213" s="111">
        <v>1</v>
      </c>
      <c r="H213" s="117">
        <v>292185</v>
      </c>
      <c r="I213" s="55">
        <f t="shared" si="3"/>
        <v>292185</v>
      </c>
    </row>
    <row r="214" spans="1:9" ht="26.25" customHeight="1" thickBot="1" x14ac:dyDescent="0.25">
      <c r="A214" s="50">
        <v>205</v>
      </c>
      <c r="B214" s="94"/>
      <c r="C214" s="93" t="s">
        <v>53</v>
      </c>
      <c r="D214" s="101" t="s">
        <v>75</v>
      </c>
      <c r="E214" s="138" t="s">
        <v>332</v>
      </c>
      <c r="F214" s="139" t="s">
        <v>51</v>
      </c>
      <c r="G214" s="112">
        <v>12</v>
      </c>
      <c r="H214" s="116">
        <v>1200</v>
      </c>
      <c r="I214" s="55">
        <f t="shared" si="3"/>
        <v>14400</v>
      </c>
    </row>
    <row r="215" spans="1:9" ht="26.25" customHeight="1" thickBot="1" x14ac:dyDescent="0.25">
      <c r="A215" s="50">
        <v>206</v>
      </c>
      <c r="B215" s="94"/>
      <c r="C215" s="93" t="s">
        <v>53</v>
      </c>
      <c r="D215" s="101" t="s">
        <v>75</v>
      </c>
      <c r="E215" s="138" t="s">
        <v>333</v>
      </c>
      <c r="F215" s="139" t="s">
        <v>51</v>
      </c>
      <c r="G215" s="112">
        <v>12</v>
      </c>
      <c r="H215" s="116">
        <v>1200</v>
      </c>
      <c r="I215" s="55">
        <f t="shared" si="3"/>
        <v>14400</v>
      </c>
    </row>
    <row r="216" spans="1:9" ht="26.25" customHeight="1" thickBot="1" x14ac:dyDescent="0.25">
      <c r="A216" s="50">
        <v>207</v>
      </c>
      <c r="B216" s="99"/>
      <c r="C216" s="93" t="s">
        <v>53</v>
      </c>
      <c r="D216" s="104" t="s">
        <v>75</v>
      </c>
      <c r="E216" s="140" t="s">
        <v>334</v>
      </c>
      <c r="F216" s="141" t="s">
        <v>282</v>
      </c>
      <c r="G216" s="113">
        <v>12</v>
      </c>
      <c r="H216" s="118">
        <v>1654</v>
      </c>
      <c r="I216" s="55">
        <f t="shared" si="3"/>
        <v>19848</v>
      </c>
    </row>
    <row r="217" spans="1:9" ht="26.25" customHeight="1" thickBot="1" x14ac:dyDescent="0.25">
      <c r="A217" s="50">
        <v>208</v>
      </c>
      <c r="B217" s="94"/>
      <c r="C217" s="93" t="s">
        <v>53</v>
      </c>
      <c r="D217" s="100" t="s">
        <v>75</v>
      </c>
      <c r="E217" s="105" t="s">
        <v>225</v>
      </c>
      <c r="F217" s="63" t="s">
        <v>50</v>
      </c>
      <c r="G217" s="63">
        <v>3</v>
      </c>
      <c r="H217" s="64">
        <v>19396</v>
      </c>
      <c r="I217" s="55">
        <f t="shared" si="3"/>
        <v>58188</v>
      </c>
    </row>
    <row r="218" spans="1:9" ht="26.25" customHeight="1" thickBot="1" x14ac:dyDescent="0.25">
      <c r="A218" s="50">
        <v>209</v>
      </c>
      <c r="B218" s="94"/>
      <c r="C218" s="93" t="s">
        <v>53</v>
      </c>
      <c r="D218" s="100" t="s">
        <v>75</v>
      </c>
      <c r="E218" s="62" t="s">
        <v>226</v>
      </c>
      <c r="F218" s="63" t="s">
        <v>57</v>
      </c>
      <c r="G218" s="63">
        <v>2</v>
      </c>
      <c r="H218" s="64">
        <v>15456</v>
      </c>
      <c r="I218" s="55">
        <f t="shared" si="3"/>
        <v>30912</v>
      </c>
    </row>
    <row r="219" spans="1:9" ht="26.25" customHeight="1" thickBot="1" x14ac:dyDescent="0.25">
      <c r="A219" s="50">
        <v>210</v>
      </c>
      <c r="B219" s="94"/>
      <c r="C219" s="93" t="s">
        <v>53</v>
      </c>
      <c r="D219" s="100" t="s">
        <v>75</v>
      </c>
      <c r="E219" s="96" t="s">
        <v>268</v>
      </c>
      <c r="F219" s="45" t="s">
        <v>57</v>
      </c>
      <c r="G219" s="47">
        <v>1</v>
      </c>
      <c r="H219" s="46">
        <v>36449</v>
      </c>
      <c r="I219" s="55">
        <f t="shared" si="3"/>
        <v>36449</v>
      </c>
    </row>
    <row r="220" spans="1:9" ht="26.25" customHeight="1" thickBot="1" x14ac:dyDescent="0.25">
      <c r="A220" s="50">
        <v>211</v>
      </c>
      <c r="B220" s="94"/>
      <c r="C220" s="93" t="s">
        <v>53</v>
      </c>
      <c r="D220" s="104" t="s">
        <v>75</v>
      </c>
      <c r="E220" s="95" t="s">
        <v>278</v>
      </c>
      <c r="F220" s="45" t="s">
        <v>51</v>
      </c>
      <c r="G220" s="47">
        <v>5</v>
      </c>
      <c r="H220" s="46">
        <v>1700</v>
      </c>
      <c r="I220" s="55">
        <f t="shared" si="3"/>
        <v>8500</v>
      </c>
    </row>
    <row r="221" spans="1:9" ht="26.25" customHeight="1" thickBot="1" x14ac:dyDescent="0.25">
      <c r="A221" s="50">
        <v>212</v>
      </c>
      <c r="B221" s="94"/>
      <c r="C221" s="93" t="s">
        <v>53</v>
      </c>
      <c r="D221" s="100" t="s">
        <v>75</v>
      </c>
      <c r="E221" s="62" t="s">
        <v>227</v>
      </c>
      <c r="F221" s="63" t="s">
        <v>57</v>
      </c>
      <c r="G221" s="63">
        <v>1</v>
      </c>
      <c r="H221" s="64">
        <v>17152</v>
      </c>
      <c r="I221" s="55">
        <f t="shared" si="3"/>
        <v>17152</v>
      </c>
    </row>
    <row r="222" spans="1:9" ht="26.25" customHeight="1" thickBot="1" x14ac:dyDescent="0.25">
      <c r="A222" s="50">
        <v>213</v>
      </c>
      <c r="B222" s="94"/>
      <c r="C222" s="93" t="s">
        <v>53</v>
      </c>
      <c r="D222" s="100" t="s">
        <v>75</v>
      </c>
      <c r="E222" s="95" t="s">
        <v>261</v>
      </c>
      <c r="F222" s="45" t="s">
        <v>57</v>
      </c>
      <c r="G222" s="47">
        <v>1</v>
      </c>
      <c r="H222" s="46">
        <v>45377</v>
      </c>
      <c r="I222" s="55">
        <f t="shared" si="3"/>
        <v>45377</v>
      </c>
    </row>
    <row r="223" spans="1:9" ht="26.25" customHeight="1" thickBot="1" x14ac:dyDescent="0.25">
      <c r="A223" s="50">
        <v>214</v>
      </c>
      <c r="B223" s="94"/>
      <c r="C223" s="93" t="s">
        <v>53</v>
      </c>
      <c r="D223" s="100" t="s">
        <v>75</v>
      </c>
      <c r="E223" s="62" t="s">
        <v>228</v>
      </c>
      <c r="F223" s="63" t="s">
        <v>57</v>
      </c>
      <c r="G223" s="63">
        <v>1</v>
      </c>
      <c r="H223" s="64">
        <v>15456</v>
      </c>
      <c r="I223" s="55">
        <f t="shared" si="3"/>
        <v>15456</v>
      </c>
    </row>
    <row r="224" spans="1:9" ht="26.25" customHeight="1" thickBot="1" x14ac:dyDescent="0.25">
      <c r="A224" s="50">
        <v>215</v>
      </c>
      <c r="B224" s="94"/>
      <c r="C224" s="93" t="s">
        <v>53</v>
      </c>
      <c r="D224" s="100" t="s">
        <v>75</v>
      </c>
      <c r="E224" s="62" t="s">
        <v>229</v>
      </c>
      <c r="F224" s="63" t="s">
        <v>57</v>
      </c>
      <c r="G224" s="63">
        <v>1</v>
      </c>
      <c r="H224" s="64">
        <v>17152</v>
      </c>
      <c r="I224" s="55">
        <f t="shared" si="3"/>
        <v>17152</v>
      </c>
    </row>
    <row r="225" spans="1:9" ht="26.25" customHeight="1" thickBot="1" x14ac:dyDescent="0.25">
      <c r="A225" s="50">
        <v>216</v>
      </c>
      <c r="B225" s="94"/>
      <c r="C225" s="93" t="s">
        <v>53</v>
      </c>
      <c r="D225" s="100" t="s">
        <v>75</v>
      </c>
      <c r="E225" s="62" t="s">
        <v>230</v>
      </c>
      <c r="F225" s="63" t="s">
        <v>57</v>
      </c>
      <c r="G225" s="63">
        <v>1</v>
      </c>
      <c r="H225" s="64">
        <v>15456</v>
      </c>
      <c r="I225" s="55">
        <f t="shared" si="3"/>
        <v>15456</v>
      </c>
    </row>
    <row r="226" spans="1:9" ht="26.25" customHeight="1" thickBot="1" x14ac:dyDescent="0.25">
      <c r="A226" s="50">
        <v>217</v>
      </c>
      <c r="B226" s="94"/>
      <c r="C226" s="93" t="s">
        <v>53</v>
      </c>
      <c r="D226" s="100" t="s">
        <v>75</v>
      </c>
      <c r="E226" s="62" t="s">
        <v>231</v>
      </c>
      <c r="F226" s="63" t="s">
        <v>57</v>
      </c>
      <c r="G226" s="63">
        <v>1</v>
      </c>
      <c r="H226" s="64">
        <v>15600</v>
      </c>
      <c r="I226" s="55">
        <f t="shared" si="3"/>
        <v>15600</v>
      </c>
    </row>
    <row r="227" spans="1:9" ht="26.25" customHeight="1" thickBot="1" x14ac:dyDescent="0.25">
      <c r="A227" s="50">
        <v>218</v>
      </c>
      <c r="B227" s="94"/>
      <c r="C227" s="93" t="s">
        <v>53</v>
      </c>
      <c r="D227" s="100" t="s">
        <v>75</v>
      </c>
      <c r="E227" s="62" t="s">
        <v>232</v>
      </c>
      <c r="F227" s="63" t="s">
        <v>57</v>
      </c>
      <c r="G227" s="63">
        <v>1</v>
      </c>
      <c r="H227" s="64">
        <v>15456</v>
      </c>
      <c r="I227" s="55">
        <f t="shared" si="3"/>
        <v>15456</v>
      </c>
    </row>
    <row r="228" spans="1:9" ht="26.25" customHeight="1" thickBot="1" x14ac:dyDescent="0.25">
      <c r="A228" s="50">
        <v>219</v>
      </c>
      <c r="B228" s="94"/>
      <c r="C228" s="93" t="s">
        <v>53</v>
      </c>
      <c r="D228" s="100" t="s">
        <v>75</v>
      </c>
      <c r="E228" s="62" t="s">
        <v>233</v>
      </c>
      <c r="F228" s="63" t="s">
        <v>57</v>
      </c>
      <c r="G228" s="63">
        <v>1</v>
      </c>
      <c r="H228" s="64">
        <v>22115</v>
      </c>
      <c r="I228" s="55">
        <f t="shared" si="3"/>
        <v>22115</v>
      </c>
    </row>
    <row r="229" spans="1:9" ht="26.25" customHeight="1" thickBot="1" x14ac:dyDescent="0.25">
      <c r="A229" s="50">
        <v>220</v>
      </c>
      <c r="B229" s="94"/>
      <c r="C229" s="93" t="s">
        <v>53</v>
      </c>
      <c r="D229" s="104" t="s">
        <v>75</v>
      </c>
      <c r="E229" s="95" t="s">
        <v>281</v>
      </c>
      <c r="F229" s="45" t="s">
        <v>283</v>
      </c>
      <c r="G229" s="47">
        <v>6</v>
      </c>
      <c r="H229" s="46">
        <v>1500</v>
      </c>
      <c r="I229" s="55">
        <f t="shared" si="3"/>
        <v>9000</v>
      </c>
    </row>
    <row r="230" spans="1:9" ht="26.25" customHeight="1" thickBot="1" x14ac:dyDescent="0.25">
      <c r="A230" s="50">
        <v>221</v>
      </c>
      <c r="B230" s="94"/>
      <c r="C230" s="93" t="s">
        <v>53</v>
      </c>
      <c r="D230" s="100" t="s">
        <v>75</v>
      </c>
      <c r="E230" s="62" t="s">
        <v>234</v>
      </c>
      <c r="F230" s="63" t="s">
        <v>57</v>
      </c>
      <c r="G230" s="63">
        <v>1</v>
      </c>
      <c r="H230" s="64">
        <v>12435</v>
      </c>
      <c r="I230" s="55">
        <f t="shared" si="3"/>
        <v>12435</v>
      </c>
    </row>
    <row r="231" spans="1:9" ht="26.25" customHeight="1" thickBot="1" x14ac:dyDescent="0.25">
      <c r="A231" s="50">
        <v>222</v>
      </c>
      <c r="B231" s="94"/>
      <c r="C231" s="93" t="s">
        <v>53</v>
      </c>
      <c r="D231" s="100" t="s">
        <v>75</v>
      </c>
      <c r="E231" s="62" t="s">
        <v>235</v>
      </c>
      <c r="F231" s="63" t="s">
        <v>57</v>
      </c>
      <c r="G231" s="63">
        <v>1</v>
      </c>
      <c r="H231" s="64">
        <v>14901</v>
      </c>
      <c r="I231" s="55">
        <f t="shared" si="3"/>
        <v>14901</v>
      </c>
    </row>
    <row r="232" spans="1:9" ht="26.25" customHeight="1" thickBot="1" x14ac:dyDescent="0.25">
      <c r="A232" s="50">
        <v>223</v>
      </c>
      <c r="B232" s="94"/>
      <c r="C232" s="93" t="s">
        <v>53</v>
      </c>
      <c r="D232" s="100" t="s">
        <v>75</v>
      </c>
      <c r="E232" s="62" t="s">
        <v>236</v>
      </c>
      <c r="F232" s="63" t="s">
        <v>57</v>
      </c>
      <c r="G232" s="63">
        <v>3</v>
      </c>
      <c r="H232" s="64">
        <v>21731</v>
      </c>
      <c r="I232" s="55">
        <f t="shared" si="3"/>
        <v>65193</v>
      </c>
    </row>
    <row r="233" spans="1:9" ht="26.25" customHeight="1" thickBot="1" x14ac:dyDescent="0.25">
      <c r="A233" s="50">
        <v>224</v>
      </c>
      <c r="B233" s="94"/>
      <c r="C233" s="93" t="s">
        <v>53</v>
      </c>
      <c r="D233" s="52" t="s">
        <v>75</v>
      </c>
      <c r="E233" s="62" t="s">
        <v>237</v>
      </c>
      <c r="F233" s="63" t="s">
        <v>57</v>
      </c>
      <c r="G233" s="63">
        <v>3</v>
      </c>
      <c r="H233" s="64">
        <v>11028</v>
      </c>
      <c r="I233" s="55">
        <f t="shared" si="3"/>
        <v>33084</v>
      </c>
    </row>
    <row r="234" spans="1:9" ht="26.25" customHeight="1" thickBot="1" x14ac:dyDescent="0.25">
      <c r="A234" s="50">
        <v>225</v>
      </c>
      <c r="B234" s="94"/>
      <c r="C234" s="93" t="s">
        <v>53</v>
      </c>
      <c r="D234" s="101" t="s">
        <v>76</v>
      </c>
      <c r="E234" s="95" t="s">
        <v>295</v>
      </c>
      <c r="F234" s="45" t="s">
        <v>51</v>
      </c>
      <c r="G234" s="47">
        <v>1</v>
      </c>
      <c r="H234" s="46">
        <v>18300</v>
      </c>
      <c r="I234" s="55">
        <f t="shared" si="3"/>
        <v>18300</v>
      </c>
    </row>
    <row r="235" spans="1:9" ht="26.25" customHeight="1" thickBot="1" x14ac:dyDescent="0.25">
      <c r="A235" s="50">
        <v>226</v>
      </c>
      <c r="B235" s="94"/>
      <c r="C235" s="93" t="s">
        <v>53</v>
      </c>
      <c r="D235" s="52" t="s">
        <v>75</v>
      </c>
      <c r="E235" s="62" t="s">
        <v>238</v>
      </c>
      <c r="F235" s="63" t="s">
        <v>51</v>
      </c>
      <c r="G235" s="63">
        <v>15</v>
      </c>
      <c r="H235" s="64">
        <v>22500</v>
      </c>
      <c r="I235" s="55">
        <f t="shared" si="3"/>
        <v>337500</v>
      </c>
    </row>
    <row r="236" spans="1:9" ht="26.25" customHeight="1" thickBot="1" x14ac:dyDescent="0.25">
      <c r="A236" s="50">
        <v>227</v>
      </c>
      <c r="B236" s="94"/>
      <c r="C236" s="93" t="s">
        <v>53</v>
      </c>
      <c r="D236" s="52" t="s">
        <v>77</v>
      </c>
      <c r="E236" s="62" t="s">
        <v>239</v>
      </c>
      <c r="F236" s="54" t="s">
        <v>327</v>
      </c>
      <c r="G236" s="63">
        <v>8</v>
      </c>
      <c r="H236" s="64">
        <v>2500</v>
      </c>
      <c r="I236" s="55">
        <f t="shared" si="3"/>
        <v>20000</v>
      </c>
    </row>
    <row r="237" spans="1:9" ht="26.25" customHeight="1" thickBot="1" x14ac:dyDescent="0.25">
      <c r="A237" s="50">
        <v>228</v>
      </c>
      <c r="B237" s="94"/>
      <c r="C237" s="93" t="s">
        <v>53</v>
      </c>
      <c r="D237" s="52" t="s">
        <v>77</v>
      </c>
      <c r="E237" s="62" t="s">
        <v>240</v>
      </c>
      <c r="F237" s="54" t="s">
        <v>327</v>
      </c>
      <c r="G237" s="63">
        <v>10</v>
      </c>
      <c r="H237" s="64">
        <v>2500</v>
      </c>
      <c r="I237" s="55">
        <f t="shared" si="3"/>
        <v>25000</v>
      </c>
    </row>
    <row r="238" spans="1:9" ht="26.25" customHeight="1" thickBot="1" x14ac:dyDescent="0.25">
      <c r="A238" s="50">
        <v>229</v>
      </c>
      <c r="B238" s="94"/>
      <c r="C238" s="93" t="s">
        <v>53</v>
      </c>
      <c r="D238" s="101" t="s">
        <v>75</v>
      </c>
      <c r="E238" s="95" t="s">
        <v>290</v>
      </c>
      <c r="F238" s="45" t="s">
        <v>291</v>
      </c>
      <c r="G238" s="47">
        <v>4</v>
      </c>
      <c r="H238" s="46">
        <v>23600</v>
      </c>
      <c r="I238" s="55">
        <f t="shared" si="3"/>
        <v>94400</v>
      </c>
    </row>
    <row r="239" spans="1:9" ht="26.25" customHeight="1" thickBot="1" x14ac:dyDescent="0.25">
      <c r="A239" s="50">
        <v>230</v>
      </c>
      <c r="B239" s="94"/>
      <c r="C239" s="61" t="s">
        <v>53</v>
      </c>
      <c r="D239" s="101" t="s">
        <v>75</v>
      </c>
      <c r="E239" s="95" t="s">
        <v>292</v>
      </c>
      <c r="F239" s="45" t="s">
        <v>51</v>
      </c>
      <c r="G239" s="47">
        <v>9</v>
      </c>
      <c r="H239" s="46">
        <v>38600</v>
      </c>
      <c r="I239" s="55">
        <f t="shared" si="3"/>
        <v>347400</v>
      </c>
    </row>
    <row r="240" spans="1:9" ht="26.25" customHeight="1" thickBot="1" x14ac:dyDescent="0.25">
      <c r="A240" s="50">
        <v>231</v>
      </c>
      <c r="B240" s="94"/>
      <c r="C240" s="61" t="s">
        <v>53</v>
      </c>
      <c r="D240" s="52" t="s">
        <v>75</v>
      </c>
      <c r="E240" s="62" t="s">
        <v>241</v>
      </c>
      <c r="F240" s="63" t="s">
        <v>51</v>
      </c>
      <c r="G240" s="63">
        <v>2</v>
      </c>
      <c r="H240" s="64">
        <v>24000</v>
      </c>
      <c r="I240" s="55">
        <f t="shared" si="3"/>
        <v>48000</v>
      </c>
    </row>
    <row r="241" spans="1:9" ht="26.25" customHeight="1" thickBot="1" x14ac:dyDescent="0.25">
      <c r="A241" s="50">
        <v>232</v>
      </c>
      <c r="B241" s="94"/>
      <c r="C241" s="61" t="s">
        <v>53</v>
      </c>
      <c r="D241" s="52" t="s">
        <v>75</v>
      </c>
      <c r="E241" s="62" t="s">
        <v>335</v>
      </c>
      <c r="F241" s="54" t="s">
        <v>60</v>
      </c>
      <c r="G241" s="63">
        <v>1</v>
      </c>
      <c r="H241" s="64">
        <v>850</v>
      </c>
      <c r="I241" s="55">
        <f t="shared" si="3"/>
        <v>850</v>
      </c>
    </row>
    <row r="242" spans="1:9" ht="26.25" customHeight="1" thickBot="1" x14ac:dyDescent="0.25">
      <c r="A242" s="50">
        <v>233</v>
      </c>
      <c r="B242" s="94"/>
      <c r="C242" s="61" t="s">
        <v>53</v>
      </c>
      <c r="D242" s="52" t="s">
        <v>75</v>
      </c>
      <c r="E242" s="62" t="s">
        <v>242</v>
      </c>
      <c r="F242" s="63" t="s">
        <v>57</v>
      </c>
      <c r="G242" s="63">
        <v>2</v>
      </c>
      <c r="H242" s="64">
        <v>3095</v>
      </c>
      <c r="I242" s="55">
        <f t="shared" si="3"/>
        <v>6190</v>
      </c>
    </row>
    <row r="243" spans="1:9" ht="26.25" customHeight="1" thickBot="1" x14ac:dyDescent="0.25">
      <c r="A243" s="50">
        <v>234</v>
      </c>
      <c r="B243" s="94"/>
      <c r="C243" s="61" t="s">
        <v>53</v>
      </c>
      <c r="D243" s="52" t="s">
        <v>75</v>
      </c>
      <c r="E243" s="62" t="s">
        <v>336</v>
      </c>
      <c r="F243" s="63" t="s">
        <v>51</v>
      </c>
      <c r="G243" s="63">
        <v>5</v>
      </c>
      <c r="H243" s="64">
        <v>850</v>
      </c>
      <c r="I243" s="55">
        <f t="shared" si="3"/>
        <v>4250</v>
      </c>
    </row>
    <row r="244" spans="1:9" ht="26.25" customHeight="1" thickBot="1" x14ac:dyDescent="0.25">
      <c r="A244" s="50">
        <v>235</v>
      </c>
      <c r="B244" s="94"/>
      <c r="C244" s="61" t="s">
        <v>53</v>
      </c>
      <c r="D244" s="52" t="s">
        <v>76</v>
      </c>
      <c r="E244" s="53" t="s">
        <v>337</v>
      </c>
      <c r="F244" s="54" t="s">
        <v>51</v>
      </c>
      <c r="G244" s="63">
        <v>200</v>
      </c>
      <c r="H244" s="64">
        <v>24</v>
      </c>
      <c r="I244" s="55">
        <f t="shared" si="3"/>
        <v>4800</v>
      </c>
    </row>
    <row r="245" spans="1:9" ht="26.25" customHeight="1" thickBot="1" x14ac:dyDescent="0.25">
      <c r="A245" s="50">
        <v>236</v>
      </c>
      <c r="B245" s="94"/>
      <c r="C245" s="61" t="s">
        <v>53</v>
      </c>
      <c r="D245" s="52" t="s">
        <v>76</v>
      </c>
      <c r="E245" s="53" t="s">
        <v>338</v>
      </c>
      <c r="F245" s="54" t="s">
        <v>51</v>
      </c>
      <c r="G245" s="63">
        <v>200</v>
      </c>
      <c r="H245" s="64">
        <v>20</v>
      </c>
      <c r="I245" s="55">
        <f t="shared" si="3"/>
        <v>4000</v>
      </c>
    </row>
    <row r="246" spans="1:9" ht="26.25" customHeight="1" thickBot="1" x14ac:dyDescent="0.25">
      <c r="A246" s="50">
        <v>237</v>
      </c>
      <c r="B246" s="94"/>
      <c r="C246" s="61" t="s">
        <v>53</v>
      </c>
      <c r="D246" s="52" t="s">
        <v>75</v>
      </c>
      <c r="E246" s="62" t="s">
        <v>243</v>
      </c>
      <c r="F246" s="63" t="s">
        <v>57</v>
      </c>
      <c r="G246" s="63">
        <v>3</v>
      </c>
      <c r="H246" s="64">
        <v>5025</v>
      </c>
      <c r="I246" s="55">
        <f t="shared" si="3"/>
        <v>15075</v>
      </c>
    </row>
    <row r="247" spans="1:9" ht="26.25" customHeight="1" thickBot="1" x14ac:dyDescent="0.25">
      <c r="A247" s="50">
        <v>238</v>
      </c>
      <c r="B247" s="94"/>
      <c r="C247" s="61" t="s">
        <v>53</v>
      </c>
      <c r="D247" s="52" t="s">
        <v>75</v>
      </c>
      <c r="E247" s="65" t="s">
        <v>244</v>
      </c>
      <c r="F247" s="66" t="s">
        <v>57</v>
      </c>
      <c r="G247" s="67">
        <v>5</v>
      </c>
      <c r="H247" s="68">
        <v>5249</v>
      </c>
      <c r="I247" s="55">
        <f t="shared" si="3"/>
        <v>26245</v>
      </c>
    </row>
    <row r="248" spans="1:9" ht="26.25" customHeight="1" thickBot="1" x14ac:dyDescent="0.25">
      <c r="A248" s="50">
        <v>239</v>
      </c>
      <c r="B248" s="94"/>
      <c r="C248" s="61" t="s">
        <v>53</v>
      </c>
      <c r="D248" s="52" t="s">
        <v>75</v>
      </c>
      <c r="E248" s="65" t="s">
        <v>58</v>
      </c>
      <c r="F248" s="133" t="s">
        <v>50</v>
      </c>
      <c r="G248" s="67">
        <v>15</v>
      </c>
      <c r="H248" s="68">
        <v>1200</v>
      </c>
      <c r="I248" s="55">
        <f t="shared" si="3"/>
        <v>18000</v>
      </c>
    </row>
    <row r="249" spans="1:9" ht="26.25" customHeight="1" thickBot="1" x14ac:dyDescent="0.25">
      <c r="A249" s="50">
        <v>240</v>
      </c>
      <c r="B249" s="94"/>
      <c r="C249" s="61" t="s">
        <v>53</v>
      </c>
      <c r="D249" s="52" t="s">
        <v>75</v>
      </c>
      <c r="E249" s="65" t="s">
        <v>339</v>
      </c>
      <c r="F249" s="133" t="s">
        <v>60</v>
      </c>
      <c r="G249" s="67">
        <v>1</v>
      </c>
      <c r="H249" s="68">
        <v>850</v>
      </c>
      <c r="I249" s="55">
        <f t="shared" si="3"/>
        <v>850</v>
      </c>
    </row>
    <row r="250" spans="1:9" ht="26.25" customHeight="1" thickBot="1" x14ac:dyDescent="0.25">
      <c r="A250" s="50">
        <v>241</v>
      </c>
      <c r="B250" s="94"/>
      <c r="C250" s="61" t="s">
        <v>53</v>
      </c>
      <c r="D250" s="52" t="s">
        <v>75</v>
      </c>
      <c r="E250" s="65" t="s">
        <v>245</v>
      </c>
      <c r="F250" s="66" t="s">
        <v>50</v>
      </c>
      <c r="G250" s="67">
        <v>20</v>
      </c>
      <c r="H250" s="68">
        <v>1513</v>
      </c>
      <c r="I250" s="55">
        <f t="shared" si="3"/>
        <v>30260</v>
      </c>
    </row>
    <row r="251" spans="1:9" ht="26.25" customHeight="1" thickBot="1" x14ac:dyDescent="0.25">
      <c r="A251" s="50">
        <v>242</v>
      </c>
      <c r="B251" s="94"/>
      <c r="C251" s="61" t="s">
        <v>53</v>
      </c>
      <c r="D251" s="52" t="s">
        <v>75</v>
      </c>
      <c r="E251" s="65" t="s">
        <v>246</v>
      </c>
      <c r="F251" s="66" t="s">
        <v>51</v>
      </c>
      <c r="G251" s="67">
        <v>2</v>
      </c>
      <c r="H251" s="68">
        <v>18100</v>
      </c>
      <c r="I251" s="55">
        <f t="shared" si="3"/>
        <v>36200</v>
      </c>
    </row>
    <row r="252" spans="1:9" ht="26.25" customHeight="1" thickBot="1" x14ac:dyDescent="0.25">
      <c r="A252" s="50">
        <v>243</v>
      </c>
      <c r="B252" s="94"/>
      <c r="C252" s="61" t="s">
        <v>53</v>
      </c>
      <c r="D252" s="52" t="s">
        <v>75</v>
      </c>
      <c r="E252" s="65" t="s">
        <v>247</v>
      </c>
      <c r="F252" s="66" t="s">
        <v>51</v>
      </c>
      <c r="G252" s="67">
        <v>1</v>
      </c>
      <c r="H252" s="68">
        <v>7920</v>
      </c>
      <c r="I252" s="55">
        <f t="shared" si="3"/>
        <v>7920</v>
      </c>
    </row>
    <row r="253" spans="1:9" ht="18.95" customHeight="1" thickBot="1" x14ac:dyDescent="0.25">
      <c r="G253" s="102"/>
      <c r="I253" s="87"/>
    </row>
    <row r="254" spans="1:9" ht="18.95" customHeight="1" x14ac:dyDescent="0.2">
      <c r="C254" s="35" t="s">
        <v>306</v>
      </c>
      <c r="D254" s="34"/>
      <c r="E254" s="34"/>
      <c r="F254" s="40"/>
      <c r="G254" s="102"/>
      <c r="I254" s="87"/>
    </row>
    <row r="255" spans="1:9" ht="18.95" customHeight="1" x14ac:dyDescent="0.2">
      <c r="C255" s="90"/>
      <c r="D255" s="88"/>
      <c r="E255" s="88"/>
      <c r="F255" s="98"/>
      <c r="G255" s="102"/>
      <c r="I255" s="87"/>
    </row>
    <row r="256" spans="1:9" ht="38.25" customHeight="1" thickBot="1" x14ac:dyDescent="0.25">
      <c r="C256" s="69" t="s">
        <v>68</v>
      </c>
      <c r="D256" s="142"/>
      <c r="E256" s="142"/>
      <c r="F256" s="143"/>
      <c r="G256" s="102"/>
      <c r="I256" s="87"/>
    </row>
    <row r="257" spans="3:9" ht="18.95" customHeight="1" x14ac:dyDescent="0.2">
      <c r="C257" s="37"/>
      <c r="D257" s="144"/>
      <c r="E257" s="144"/>
      <c r="F257" s="145"/>
      <c r="G257" s="102"/>
      <c r="I257" s="87"/>
    </row>
    <row r="258" spans="3:9" ht="18.95" customHeight="1" x14ac:dyDescent="0.2">
      <c r="C258" s="36" t="s">
        <v>69</v>
      </c>
      <c r="D258" s="149" t="s">
        <v>287</v>
      </c>
      <c r="E258" s="149"/>
      <c r="F258" s="150"/>
      <c r="G258" s="102"/>
      <c r="I258" s="87"/>
    </row>
    <row r="259" spans="3:9" ht="18.95" customHeight="1" x14ac:dyDescent="0.2">
      <c r="C259" s="37"/>
      <c r="D259" s="88"/>
      <c r="E259" s="97"/>
      <c r="F259" s="98"/>
      <c r="G259" s="102"/>
      <c r="I259" s="87"/>
    </row>
    <row r="260" spans="3:9" ht="18.95" customHeight="1" x14ac:dyDescent="0.2">
      <c r="C260" s="36" t="s">
        <v>70</v>
      </c>
      <c r="D260" s="149" t="s">
        <v>74</v>
      </c>
      <c r="E260" s="149"/>
      <c r="F260" s="150"/>
      <c r="G260" s="102"/>
      <c r="I260" s="87"/>
    </row>
    <row r="261" spans="3:9" ht="18.95" customHeight="1" x14ac:dyDescent="0.2">
      <c r="C261" s="38"/>
      <c r="D261" s="149" t="s">
        <v>289</v>
      </c>
      <c r="E261" s="149"/>
      <c r="F261" s="150"/>
      <c r="G261" s="102"/>
      <c r="I261" s="87"/>
    </row>
    <row r="262" spans="3:9" ht="18.95" customHeight="1" x14ac:dyDescent="0.2">
      <c r="C262" s="38"/>
      <c r="D262" s="97"/>
      <c r="E262" s="97"/>
      <c r="F262" s="98"/>
      <c r="I262" s="87"/>
    </row>
    <row r="263" spans="3:9" ht="18.95" customHeight="1" x14ac:dyDescent="0.2">
      <c r="C263" s="36" t="s">
        <v>71</v>
      </c>
      <c r="D263" s="88"/>
      <c r="E263" s="88"/>
      <c r="F263" s="98"/>
      <c r="I263" s="87"/>
    </row>
    <row r="264" spans="3:9" ht="18.95" customHeight="1" x14ac:dyDescent="0.2">
      <c r="C264" s="90"/>
      <c r="D264" s="146"/>
      <c r="E264" s="146"/>
      <c r="F264" s="147"/>
      <c r="I264" s="87"/>
    </row>
    <row r="265" spans="3:9" ht="18.95" customHeight="1" x14ac:dyDescent="0.2">
      <c r="C265" s="36" t="s">
        <v>72</v>
      </c>
      <c r="D265" s="146" t="s">
        <v>288</v>
      </c>
      <c r="E265" s="146"/>
      <c r="F265" s="147"/>
      <c r="I265" s="87"/>
    </row>
    <row r="266" spans="3:9" ht="18.95" customHeight="1" x14ac:dyDescent="0.2">
      <c r="C266" s="90"/>
      <c r="D266" s="146"/>
      <c r="E266" s="146"/>
      <c r="F266" s="147"/>
      <c r="I266" s="87"/>
    </row>
    <row r="267" spans="3:9" ht="18.95" customHeight="1" x14ac:dyDescent="0.2">
      <c r="C267" s="36" t="s">
        <v>73</v>
      </c>
      <c r="D267" s="88"/>
      <c r="E267" s="88"/>
      <c r="F267" s="98"/>
      <c r="I267" s="87"/>
    </row>
    <row r="268" spans="3:9" ht="18.95" customHeight="1" x14ac:dyDescent="0.2">
      <c r="C268" s="37"/>
      <c r="D268" s="149"/>
      <c r="E268" s="149"/>
      <c r="F268" s="150"/>
      <c r="I268" s="87"/>
    </row>
    <row r="269" spans="3:9" ht="18.95" customHeight="1" thickBot="1" x14ac:dyDescent="0.25">
      <c r="C269" s="39"/>
      <c r="D269" s="91"/>
      <c r="E269" s="91"/>
      <c r="F269" s="41"/>
      <c r="I269" s="87"/>
    </row>
    <row r="270" spans="3:9" ht="18.95" customHeight="1" x14ac:dyDescent="0.2">
      <c r="C270" s="88"/>
      <c r="D270" s="89"/>
      <c r="E270" s="88"/>
      <c r="F270" s="88"/>
      <c r="I270" s="87"/>
    </row>
    <row r="271" spans="3:9" ht="18.95" customHeight="1" x14ac:dyDescent="0.2">
      <c r="C271" s="88"/>
      <c r="D271" s="88"/>
      <c r="E271" s="88"/>
      <c r="F271" s="88"/>
      <c r="I271" s="87"/>
    </row>
  </sheetData>
  <autoFilter ref="A9:I252">
    <sortState ref="A10:I256">
      <sortCondition ref="E9:E256"/>
    </sortState>
  </autoFilter>
  <mergeCells count="16">
    <mergeCell ref="D268:F268"/>
    <mergeCell ref="A6:B6"/>
    <mergeCell ref="A7:B7"/>
    <mergeCell ref="A4:B4"/>
    <mergeCell ref="C4:E4"/>
    <mergeCell ref="A5:B5"/>
    <mergeCell ref="C5:E5"/>
    <mergeCell ref="D256:F256"/>
    <mergeCell ref="D257:F257"/>
    <mergeCell ref="D266:F266"/>
    <mergeCell ref="C2:G2"/>
    <mergeCell ref="D258:F258"/>
    <mergeCell ref="D260:F260"/>
    <mergeCell ref="D261:F261"/>
    <mergeCell ref="D264:F264"/>
    <mergeCell ref="D265:F265"/>
  </mergeCells>
  <phoneticPr fontId="30" type="noConversion"/>
  <conditionalFormatting sqref="E205 E203">
    <cfRule type="duplicateValues" dxfId="5" priority="4"/>
    <cfRule type="duplicateValues" dxfId="4" priority="5"/>
    <cfRule type="cellIs" dxfId="3" priority="6" operator="equal">
      <formula>"calibra"</formula>
    </cfRule>
  </conditionalFormatting>
  <conditionalFormatting sqref="E207">
    <cfRule type="duplicateValues" dxfId="2" priority="1"/>
    <cfRule type="duplicateValues" dxfId="1" priority="2"/>
    <cfRule type="cellIs" dxfId="0" priority="3" operator="equal">
      <formula>"calibra"</formula>
    </cfRule>
  </conditionalFormatting>
  <pageMargins left="0.7" right="0.7" top="0.75" bottom="0.75" header="0.51180555555555496" footer="0.51180555555555496"/>
  <pageSetup paperSize="5" scale="80" firstPageNumber="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K255"/>
  <sheetViews>
    <sheetView topLeftCell="A241" zoomScale="90" zoomScaleNormal="90" workbookViewId="0">
      <selection activeCell="A255" sqref="A255:G255"/>
    </sheetView>
  </sheetViews>
  <sheetFormatPr baseColWidth="10" defaultColWidth="9.140625" defaultRowHeight="12.75" x14ac:dyDescent="0.2"/>
  <cols>
    <col min="1" max="1" width="5" style="24" customWidth="1"/>
    <col min="2" max="2" width="17.140625" style="24" customWidth="1"/>
    <col min="3" max="3" width="14.140625" style="24" hidden="1" customWidth="1"/>
    <col min="4" max="4" width="77.28515625" style="24" customWidth="1"/>
    <col min="5" max="5" width="0.28515625" style="24" customWidth="1"/>
    <col min="6" max="6" width="12.42578125" style="24" customWidth="1"/>
    <col min="7" max="7" width="15.5703125" style="24" customWidth="1"/>
    <col min="8" max="8" width="14.7109375" style="24" customWidth="1"/>
    <col min="9" max="9" width="18.28515625" style="24" customWidth="1"/>
    <col min="10" max="999" width="9.140625" style="2"/>
  </cols>
  <sheetData>
    <row r="1" spans="1:9" ht="18" customHeight="1" thickBot="1" x14ac:dyDescent="0.25">
      <c r="A1" s="155" t="s">
        <v>11</v>
      </c>
      <c r="B1" s="155"/>
      <c r="C1" s="155"/>
      <c r="D1" s="155"/>
      <c r="E1" s="155"/>
      <c r="F1" s="155"/>
      <c r="G1" s="155"/>
      <c r="H1" s="19" t="s">
        <v>12</v>
      </c>
      <c r="I1" s="119" t="s">
        <v>301</v>
      </c>
    </row>
    <row r="2" spans="1:9" ht="18.75" customHeight="1" thickBot="1" x14ac:dyDescent="0.25">
      <c r="A2" s="20"/>
      <c r="B2" s="20"/>
      <c r="C2" s="20"/>
      <c r="D2" s="21"/>
      <c r="E2" s="21"/>
      <c r="F2" s="21"/>
      <c r="G2" s="21"/>
      <c r="H2" s="21"/>
      <c r="I2" s="21"/>
    </row>
    <row r="3" spans="1:9" ht="18.75" customHeight="1" thickBot="1" x14ac:dyDescent="0.25">
      <c r="A3" s="156" t="s">
        <v>45</v>
      </c>
      <c r="B3" s="156"/>
      <c r="C3" s="156"/>
      <c r="D3" s="164" t="s">
        <v>55</v>
      </c>
      <c r="E3" s="165"/>
      <c r="F3" s="165"/>
      <c r="G3" s="165"/>
      <c r="H3" s="165"/>
      <c r="I3" s="166"/>
    </row>
    <row r="4" spans="1:9" ht="18.75" customHeight="1" thickBot="1" x14ac:dyDescent="0.25">
      <c r="A4" s="157" t="s">
        <v>46</v>
      </c>
      <c r="B4" s="157"/>
      <c r="C4" s="157"/>
      <c r="D4" s="164" t="s">
        <v>248</v>
      </c>
      <c r="E4" s="165"/>
      <c r="F4" s="165"/>
      <c r="G4" s="165"/>
      <c r="H4" s="165"/>
      <c r="I4" s="166"/>
    </row>
    <row r="5" spans="1:9" ht="33.75" customHeight="1" thickBot="1" x14ac:dyDescent="0.25">
      <c r="A5" s="157" t="s">
        <v>24</v>
      </c>
      <c r="B5" s="157"/>
      <c r="C5" s="157"/>
      <c r="D5" s="161" t="s">
        <v>286</v>
      </c>
      <c r="E5" s="162"/>
      <c r="F5" s="162"/>
      <c r="G5" s="162"/>
      <c r="H5" s="162"/>
      <c r="I5" s="163"/>
    </row>
    <row r="6" spans="1:9" ht="16.5" customHeight="1" thickBot="1" x14ac:dyDescent="0.25">
      <c r="A6" s="156" t="s">
        <v>47</v>
      </c>
      <c r="B6" s="156"/>
      <c r="C6" s="156"/>
      <c r="D6" s="161" t="s">
        <v>284</v>
      </c>
      <c r="E6" s="162"/>
      <c r="F6" s="162"/>
      <c r="G6" s="162"/>
      <c r="H6" s="162"/>
      <c r="I6" s="163"/>
    </row>
    <row r="7" spans="1:9" ht="16.5" customHeight="1" thickBot="1" x14ac:dyDescent="0.25">
      <c r="A7" s="157" t="s">
        <v>13</v>
      </c>
      <c r="B7" s="157"/>
      <c r="C7" s="157"/>
      <c r="D7" s="158" t="s">
        <v>262</v>
      </c>
      <c r="E7" s="158"/>
      <c r="F7" s="158"/>
      <c r="G7" s="158"/>
      <c r="H7" s="158"/>
      <c r="I7" s="158"/>
    </row>
    <row r="8" spans="1:9" ht="16.5" customHeight="1" thickBot="1" x14ac:dyDescent="0.25">
      <c r="A8" s="159" t="s">
        <v>14</v>
      </c>
      <c r="B8" s="159"/>
      <c r="C8" s="159"/>
      <c r="D8" s="160" t="s">
        <v>54</v>
      </c>
      <c r="E8" s="160"/>
      <c r="F8" s="160"/>
      <c r="G8" s="160"/>
      <c r="H8" s="160"/>
      <c r="I8" s="160"/>
    </row>
    <row r="9" spans="1:9" ht="16.5" thickBot="1" x14ac:dyDescent="0.25">
      <c r="A9" s="22"/>
      <c r="B9" s="22"/>
      <c r="C9" s="22"/>
      <c r="D9" s="23"/>
      <c r="E9" s="23"/>
      <c r="F9" s="23"/>
      <c r="G9" s="23"/>
      <c r="H9" s="23"/>
      <c r="I9" s="23"/>
    </row>
    <row r="10" spans="1:9" ht="18.75" customHeight="1" thickBot="1" x14ac:dyDescent="0.25">
      <c r="A10" s="167" t="s">
        <v>15</v>
      </c>
      <c r="B10" s="154" t="s">
        <v>16</v>
      </c>
      <c r="C10" s="154" t="s">
        <v>17</v>
      </c>
      <c r="D10" s="154"/>
      <c r="E10" s="154"/>
      <c r="F10" s="154" t="s">
        <v>18</v>
      </c>
      <c r="G10" s="154" t="s">
        <v>19</v>
      </c>
      <c r="H10" s="154" t="s">
        <v>20</v>
      </c>
      <c r="I10" s="154" t="s">
        <v>21</v>
      </c>
    </row>
    <row r="11" spans="1:9" ht="24" customHeight="1" thickBot="1" x14ac:dyDescent="0.25">
      <c r="A11" s="167"/>
      <c r="B11" s="154"/>
      <c r="C11" s="154"/>
      <c r="D11" s="154"/>
      <c r="E11" s="154"/>
      <c r="F11" s="154"/>
      <c r="G11" s="154"/>
      <c r="H11" s="154"/>
      <c r="I11" s="154"/>
    </row>
    <row r="12" spans="1:9" ht="43.5" customHeight="1" thickBot="1" x14ac:dyDescent="0.25">
      <c r="A12" s="43">
        <f>'Necesidades Trimestrales'!A10</f>
        <v>1</v>
      </c>
      <c r="B12" s="44">
        <v>0</v>
      </c>
      <c r="C12" s="153" t="str">
        <f>'Necesidades Trimestrales'!E10</f>
        <v xml:space="preserve">  CALIBRADOR CA 125 G2 x 10 CALIBRADORES  COBAS E-411 ROCHE</v>
      </c>
      <c r="D12" s="153"/>
      <c r="E12" s="153"/>
      <c r="F12" s="45" t="s">
        <v>52</v>
      </c>
      <c r="G12" s="45" t="str">
        <f>'Necesidades Trimestrales'!F10</f>
        <v>CAJA</v>
      </c>
      <c r="H12" s="46">
        <f>'Necesidades Trimestrales'!H10</f>
        <v>12963</v>
      </c>
      <c r="I12" s="47">
        <f>'Necesidades Trimestrales'!G10</f>
        <v>1</v>
      </c>
    </row>
    <row r="13" spans="1:9" ht="45" customHeight="1" thickBot="1" x14ac:dyDescent="0.25">
      <c r="A13" s="43">
        <f>'Necesidades Trimestrales'!A11</f>
        <v>2</v>
      </c>
      <c r="B13" s="44">
        <v>0</v>
      </c>
      <c r="C13" s="153" t="str">
        <f>'Necesidades Trimestrales'!E11</f>
        <v xml:space="preserve">  CALIBRADOR CEA x 10 CALIBRADORES  COBAS E-411 ROCHE</v>
      </c>
      <c r="D13" s="153"/>
      <c r="E13" s="153"/>
      <c r="F13" s="45" t="s">
        <v>52</v>
      </c>
      <c r="G13" s="45" t="str">
        <f>'Necesidades Trimestrales'!F11</f>
        <v>CAJA</v>
      </c>
      <c r="H13" s="46">
        <f>'Necesidades Trimestrales'!H11</f>
        <v>10863</v>
      </c>
      <c r="I13" s="47">
        <f>'Necesidades Trimestrales'!G11</f>
        <v>1</v>
      </c>
    </row>
    <row r="14" spans="1:9" ht="45" customHeight="1" thickBot="1" x14ac:dyDescent="0.25">
      <c r="A14" s="43">
        <f>'Necesidades Trimestrales'!A12</f>
        <v>3</v>
      </c>
      <c r="B14" s="44">
        <v>0</v>
      </c>
      <c r="C14" s="153" t="str">
        <f>'Necesidades Trimestrales'!E12</f>
        <v xml:space="preserve"> ELECSYS  PIGF ( Placental Growth Factor) x 100 DET - ROCHE</v>
      </c>
      <c r="D14" s="153"/>
      <c r="E14" s="153"/>
      <c r="F14" s="45" t="s">
        <v>52</v>
      </c>
      <c r="G14" s="45" t="str">
        <f>'Necesidades Trimestrales'!F12</f>
        <v>CAJA</v>
      </c>
      <c r="H14" s="46">
        <f>'Necesidades Trimestrales'!H12</f>
        <v>313900</v>
      </c>
      <c r="I14" s="47">
        <f>'Necesidades Trimestrales'!G12</f>
        <v>1</v>
      </c>
    </row>
    <row r="15" spans="1:9" ht="37.5" customHeight="1" thickBot="1" x14ac:dyDescent="0.25">
      <c r="A15" s="43">
        <f>'Necesidades Trimestrales'!A13</f>
        <v>4</v>
      </c>
      <c r="B15" s="44">
        <v>0</v>
      </c>
      <c r="C15" s="153" t="str">
        <f>'Necesidades Trimestrales'!E13</f>
        <v xml:space="preserve"> ELECSYS  sFlt-1 CALSET X 10 CAL - ROCHE</v>
      </c>
      <c r="D15" s="153"/>
      <c r="E15" s="153"/>
      <c r="F15" s="45" t="s">
        <v>52</v>
      </c>
      <c r="G15" s="45" t="str">
        <f>'Necesidades Trimestrales'!F13</f>
        <v>CAJA</v>
      </c>
      <c r="H15" s="46">
        <f>'Necesidades Trimestrales'!H13</f>
        <v>42010</v>
      </c>
      <c r="I15" s="47">
        <f>'Necesidades Trimestrales'!G13</f>
        <v>1</v>
      </c>
    </row>
    <row r="16" spans="1:9" ht="41.25" customHeight="1" thickBot="1" x14ac:dyDescent="0.25">
      <c r="A16" s="43">
        <f>'Necesidades Trimestrales'!A14</f>
        <v>5</v>
      </c>
      <c r="B16" s="44">
        <v>0</v>
      </c>
      <c r="C16" s="153" t="str">
        <f>'Necesidades Trimestrales'!E14</f>
        <v xml:space="preserve"> ELECSYS  sFlt-1 x 100 DET - ROCHE</v>
      </c>
      <c r="D16" s="153"/>
      <c r="E16" s="153"/>
      <c r="F16" s="45" t="s">
        <v>52</v>
      </c>
      <c r="G16" s="45" t="str">
        <f>'Necesidades Trimestrales'!F14</f>
        <v>CAJA</v>
      </c>
      <c r="H16" s="46">
        <f>'Necesidades Trimestrales'!H14</f>
        <v>313900</v>
      </c>
      <c r="I16" s="47">
        <f>'Necesidades Trimestrales'!G14</f>
        <v>1</v>
      </c>
    </row>
    <row r="17" spans="1:9" ht="48.75" customHeight="1" thickBot="1" x14ac:dyDescent="0.25">
      <c r="A17" s="43">
        <f>'Necesidades Trimestrales'!A15</f>
        <v>6</v>
      </c>
      <c r="B17" s="44">
        <v>0</v>
      </c>
      <c r="C17" s="153" t="str">
        <f>'Necesidades Trimestrales'!E15</f>
        <v xml:space="preserve"> ELECSYS PARP-A CALSET X 10 CAL - ROCHE</v>
      </c>
      <c r="D17" s="153"/>
      <c r="E17" s="153"/>
      <c r="F17" s="45" t="s">
        <v>52</v>
      </c>
      <c r="G17" s="45" t="str">
        <f>'Necesidades Trimestrales'!F15</f>
        <v>CAJA</v>
      </c>
      <c r="H17" s="46">
        <f>'Necesidades Trimestrales'!H15</f>
        <v>38383</v>
      </c>
      <c r="I17" s="47">
        <f>'Necesidades Trimestrales'!G15</f>
        <v>1</v>
      </c>
    </row>
    <row r="18" spans="1:9" ht="48.75" customHeight="1" thickBot="1" x14ac:dyDescent="0.25">
      <c r="A18" s="43">
        <f>'Necesidades Trimestrales'!A16</f>
        <v>7</v>
      </c>
      <c r="B18" s="44">
        <v>0</v>
      </c>
      <c r="C18" s="153" t="str">
        <f>'Necesidades Trimestrales'!E16</f>
        <v>2010 ASSAY CUP- 10 CALIBRADORES</v>
      </c>
      <c r="D18" s="153"/>
      <c r="E18" s="153"/>
      <c r="F18" s="45" t="s">
        <v>52</v>
      </c>
      <c r="G18" s="45" t="str">
        <f>'Necesidades Trimestrales'!F16</f>
        <v>CAJA</v>
      </c>
      <c r="H18" s="46">
        <f>'Necesidades Trimestrales'!H16</f>
        <v>25309</v>
      </c>
      <c r="I18" s="47">
        <f>'Necesidades Trimestrales'!G16</f>
        <v>3</v>
      </c>
    </row>
    <row r="19" spans="1:9" ht="37.5" customHeight="1" thickBot="1" x14ac:dyDescent="0.25">
      <c r="A19" s="43">
        <f>'Necesidades Trimestrales'!A17</f>
        <v>8</v>
      </c>
      <c r="B19" s="44">
        <v>0</v>
      </c>
      <c r="C19" s="153" t="str">
        <f>'Necesidades Trimestrales'!E17</f>
        <v>2010 ASSAY TIP- 10 CALIBRADORES</v>
      </c>
      <c r="D19" s="153"/>
      <c r="E19" s="153"/>
      <c r="F19" s="45" t="s">
        <v>52</v>
      </c>
      <c r="G19" s="45" t="str">
        <f>'Necesidades Trimestrales'!F17</f>
        <v>CAJA</v>
      </c>
      <c r="H19" s="46">
        <f>'Necesidades Trimestrales'!H17</f>
        <v>19318</v>
      </c>
      <c r="I19" s="47">
        <f>'Necesidades Trimestrales'!G17</f>
        <v>3</v>
      </c>
    </row>
    <row r="20" spans="1:9" ht="39.75" customHeight="1" thickBot="1" x14ac:dyDescent="0.25">
      <c r="A20" s="43">
        <f>'Necesidades Trimestrales'!A18</f>
        <v>9</v>
      </c>
      <c r="B20" s="44">
        <v>0</v>
      </c>
      <c r="C20" s="153" t="str">
        <f>'Necesidades Trimestrales'!E18</f>
        <v>AC. BORONICO 300 UG PRESENTACION : FRASCO X 50 DISCO</v>
      </c>
      <c r="D20" s="153"/>
      <c r="E20" s="153"/>
      <c r="F20" s="45" t="s">
        <v>52</v>
      </c>
      <c r="G20" s="45" t="str">
        <f>'Necesidades Trimestrales'!F18</f>
        <v>FRASCO</v>
      </c>
      <c r="H20" s="46">
        <f>'Necesidades Trimestrales'!H18</f>
        <v>3100</v>
      </c>
      <c r="I20" s="47">
        <f>'Necesidades Trimestrales'!G18</f>
        <v>1</v>
      </c>
    </row>
    <row r="21" spans="1:9" ht="39.75" customHeight="1" thickBot="1" x14ac:dyDescent="0.25">
      <c r="A21" s="43">
        <f>'Necesidades Trimestrales'!A19</f>
        <v>10</v>
      </c>
      <c r="B21" s="44">
        <v>0</v>
      </c>
      <c r="C21" s="153" t="str">
        <f>'Necesidades Trimestrales'!E19</f>
        <v>ACEITE DE INMERSIÓN : X 100 ML</v>
      </c>
      <c r="D21" s="153"/>
      <c r="E21" s="153"/>
      <c r="F21" s="45" t="s">
        <v>52</v>
      </c>
      <c r="G21" s="45" t="str">
        <f>'Necesidades Trimestrales'!F19</f>
        <v>FRASCO</v>
      </c>
      <c r="H21" s="46">
        <f>'Necesidades Trimestrales'!H19</f>
        <v>1500</v>
      </c>
      <c r="I21" s="47">
        <f>'Necesidades Trimestrales'!G19</f>
        <v>1</v>
      </c>
    </row>
    <row r="22" spans="1:9" ht="39" customHeight="1" thickBot="1" x14ac:dyDescent="0.25">
      <c r="A22" s="43">
        <f>'Necesidades Trimestrales'!A20</f>
        <v>11</v>
      </c>
      <c r="B22" s="44">
        <v>0</v>
      </c>
      <c r="C22" s="153" t="str">
        <f>'Necesidades Trimestrales'!E20</f>
        <v xml:space="preserve">ACIDO FUSIDICO 10 µGR DISCO  PRESENTACION: FRASCO X 50 DISCO </v>
      </c>
      <c r="D22" s="153"/>
      <c r="E22" s="153"/>
      <c r="F22" s="45" t="s">
        <v>52</v>
      </c>
      <c r="G22" s="45" t="str">
        <f>'Necesidades Trimestrales'!F20</f>
        <v>FRASCO</v>
      </c>
      <c r="H22" s="46">
        <f>'Necesidades Trimestrales'!H20</f>
        <v>850</v>
      </c>
      <c r="I22" s="47">
        <f>'Necesidades Trimestrales'!G20</f>
        <v>5</v>
      </c>
    </row>
    <row r="23" spans="1:9" ht="39" customHeight="1" thickBot="1" x14ac:dyDescent="0.25">
      <c r="A23" s="43">
        <f>'Necesidades Trimestrales'!A21</f>
        <v>12</v>
      </c>
      <c r="B23" s="44">
        <v>0</v>
      </c>
      <c r="C23" s="153" t="str">
        <f>'Necesidades Trimestrales'!E21</f>
        <v>ACIDO LACTICO COBAS C-311 ROCHE  X  100 DET</v>
      </c>
      <c r="D23" s="153"/>
      <c r="E23" s="153"/>
      <c r="F23" s="45" t="s">
        <v>52</v>
      </c>
      <c r="G23" s="45" t="str">
        <f>'Necesidades Trimestrales'!F21</f>
        <v>CASSETTE</v>
      </c>
      <c r="H23" s="46">
        <f>'Necesidades Trimestrales'!H21</f>
        <v>6007</v>
      </c>
      <c r="I23" s="47">
        <f>'Necesidades Trimestrales'!G21</f>
        <v>1</v>
      </c>
    </row>
    <row r="24" spans="1:9" ht="36" customHeight="1" thickBot="1" x14ac:dyDescent="0.25">
      <c r="A24" s="43">
        <f>'Necesidades Trimestrales'!A22</f>
        <v>13</v>
      </c>
      <c r="B24" s="44">
        <v>0</v>
      </c>
      <c r="C24" s="153" t="str">
        <f>'Necesidades Trimestrales'!E22</f>
        <v>ACIDO URICO COBAS C-311 ROCHE  X 400 DET</v>
      </c>
      <c r="D24" s="153"/>
      <c r="E24" s="153"/>
      <c r="F24" s="45" t="s">
        <v>52</v>
      </c>
      <c r="G24" s="45" t="str">
        <f>'Necesidades Trimestrales'!F22</f>
        <v>CASSETTE</v>
      </c>
      <c r="H24" s="46">
        <f>'Necesidades Trimestrales'!H22</f>
        <v>4661</v>
      </c>
      <c r="I24" s="47">
        <f>'Necesidades Trimestrales'!G22</f>
        <v>4</v>
      </c>
    </row>
    <row r="25" spans="1:9" ht="35.25" customHeight="1" thickBot="1" x14ac:dyDescent="0.25">
      <c r="A25" s="43">
        <f>'Necesidades Trimestrales'!A23</f>
        <v>14</v>
      </c>
      <c r="B25" s="44">
        <v>0</v>
      </c>
      <c r="C25" s="153" t="str">
        <f>'Necesidades Trimestrales'!E23</f>
        <v>AGAR BASE SANGRE :  X 500 GR</v>
      </c>
      <c r="D25" s="153"/>
      <c r="E25" s="153"/>
      <c r="F25" s="45" t="s">
        <v>52</v>
      </c>
      <c r="G25" s="45" t="str">
        <f>'Necesidades Trimestrales'!F23</f>
        <v>FRASCO</v>
      </c>
      <c r="H25" s="46">
        <f>'Necesidades Trimestrales'!H23</f>
        <v>11900</v>
      </c>
      <c r="I25" s="47">
        <f>'Necesidades Trimestrales'!G23</f>
        <v>1</v>
      </c>
    </row>
    <row r="26" spans="1:9" ht="40.5" customHeight="1" thickBot="1" x14ac:dyDescent="0.25">
      <c r="A26" s="43">
        <f>'Necesidades Trimestrales'!A24</f>
        <v>15</v>
      </c>
      <c r="B26" s="44">
        <v>0</v>
      </c>
      <c r="C26" s="153" t="str">
        <f>'Necesidades Trimestrales'!E24</f>
        <v>AGAR BILIS ESCULINA, ESTADO: SOLIDO, PRESENTACION: ENVASE X 100 GR</v>
      </c>
      <c r="D26" s="153"/>
      <c r="E26" s="153"/>
      <c r="F26" s="45" t="s">
        <v>52</v>
      </c>
      <c r="G26" s="45" t="str">
        <f>'Necesidades Trimestrales'!F24</f>
        <v>FRASCO</v>
      </c>
      <c r="H26" s="46">
        <f>'Necesidades Trimestrales'!H24</f>
        <v>14300</v>
      </c>
      <c r="I26" s="47">
        <f>'Necesidades Trimestrales'!G24</f>
        <v>1</v>
      </c>
    </row>
    <row r="27" spans="1:9" ht="47.25" customHeight="1" thickBot="1" x14ac:dyDescent="0.25">
      <c r="A27" s="43">
        <f>'Necesidades Trimestrales'!A25</f>
        <v>16</v>
      </c>
      <c r="B27" s="44">
        <v>0</v>
      </c>
      <c r="C27" s="153" t="str">
        <f>'Necesidades Trimestrales'!E25</f>
        <v>AGAR C.L.D.E:  X 500 GR</v>
      </c>
      <c r="D27" s="153"/>
      <c r="E27" s="153"/>
      <c r="F27" s="45" t="s">
        <v>52</v>
      </c>
      <c r="G27" s="45" t="str">
        <f>'Necesidades Trimestrales'!F25</f>
        <v>FRASCO</v>
      </c>
      <c r="H27" s="46">
        <f>'Necesidades Trimestrales'!H25</f>
        <v>10150</v>
      </c>
      <c r="I27" s="47">
        <f>'Necesidades Trimestrales'!G25</f>
        <v>1</v>
      </c>
    </row>
    <row r="28" spans="1:9" ht="48" customHeight="1" thickBot="1" x14ac:dyDescent="0.25">
      <c r="A28" s="43">
        <f>'Necesidades Trimestrales'!A26</f>
        <v>17</v>
      </c>
      <c r="B28" s="44">
        <v>0</v>
      </c>
      <c r="C28" s="153" t="str">
        <f>'Necesidades Trimestrales'!E26</f>
        <v>AGAR CITRATO DE SIMMONS, ESTADO: SOLIDO, PRESENTACION: ENVASE X 100 GR</v>
      </c>
      <c r="D28" s="153"/>
      <c r="E28" s="153"/>
      <c r="F28" s="45" t="s">
        <v>52</v>
      </c>
      <c r="G28" s="45" t="str">
        <f>'Necesidades Trimestrales'!F26</f>
        <v>FRASCO</v>
      </c>
      <c r="H28" s="46">
        <f>'Necesidades Trimestrales'!H26</f>
        <v>4160</v>
      </c>
      <c r="I28" s="47">
        <f>'Necesidades Trimestrales'!G26</f>
        <v>1</v>
      </c>
    </row>
    <row r="29" spans="1:9" ht="39" customHeight="1" thickBot="1" x14ac:dyDescent="0.25">
      <c r="A29" s="43">
        <f>'Necesidades Trimestrales'!A27</f>
        <v>18</v>
      </c>
      <c r="B29" s="44">
        <v>0</v>
      </c>
      <c r="C29" s="153" t="str">
        <f>'Necesidades Trimestrales'!E27</f>
        <v>AGAR DNASA:  X 100 GR</v>
      </c>
      <c r="D29" s="153"/>
      <c r="E29" s="153"/>
      <c r="F29" s="45" t="s">
        <v>52</v>
      </c>
      <c r="G29" s="45" t="str">
        <f>'Necesidades Trimestrales'!F27</f>
        <v>FRASCO</v>
      </c>
      <c r="H29" s="46">
        <f>'Necesidades Trimestrales'!H27</f>
        <v>9800</v>
      </c>
      <c r="I29" s="47">
        <f>'Necesidades Trimestrales'!G27</f>
        <v>1</v>
      </c>
    </row>
    <row r="30" spans="1:9" ht="39" customHeight="1" thickBot="1" x14ac:dyDescent="0.25">
      <c r="A30" s="43">
        <f>'Necesidades Trimestrales'!A28</f>
        <v>19</v>
      </c>
      <c r="B30" s="44">
        <v>0</v>
      </c>
      <c r="C30" s="153" t="str">
        <f>'Necesidades Trimestrales'!E28</f>
        <v>AGAR HIERRO TRIPLE AZUCAR, ESTADO: SOLIDO, PRESENTACION: ENVASE X 100 GR</v>
      </c>
      <c r="D30" s="153"/>
      <c r="E30" s="153"/>
      <c r="F30" s="45" t="s">
        <v>52</v>
      </c>
      <c r="G30" s="45" t="str">
        <f>'Necesidades Trimestrales'!F28</f>
        <v>FRASCO</v>
      </c>
      <c r="H30" s="46">
        <f>'Necesidades Trimestrales'!H28</f>
        <v>3200</v>
      </c>
      <c r="I30" s="47">
        <f>'Necesidades Trimestrales'!G28</f>
        <v>1</v>
      </c>
    </row>
    <row r="31" spans="1:9" ht="47.25" customHeight="1" thickBot="1" x14ac:dyDescent="0.25">
      <c r="A31" s="43">
        <f>'Necesidades Trimestrales'!A29</f>
        <v>20</v>
      </c>
      <c r="B31" s="44">
        <v>0</v>
      </c>
      <c r="C31" s="153" t="str">
        <f>'Necesidades Trimestrales'!E29</f>
        <v>AGAR LEVINE: X 500 GR</v>
      </c>
      <c r="D31" s="153"/>
      <c r="E31" s="153"/>
      <c r="F31" s="45" t="s">
        <v>52</v>
      </c>
      <c r="G31" s="45" t="str">
        <f>'Necesidades Trimestrales'!F29</f>
        <v>FRASCO</v>
      </c>
      <c r="H31" s="46">
        <f>'Necesidades Trimestrales'!H29</f>
        <v>10300</v>
      </c>
      <c r="I31" s="47">
        <f>'Necesidades Trimestrales'!G29</f>
        <v>1</v>
      </c>
    </row>
    <row r="32" spans="1:9" ht="42.75" customHeight="1" thickBot="1" x14ac:dyDescent="0.25">
      <c r="A32" s="43">
        <f>'Necesidades Trimestrales'!A30</f>
        <v>21</v>
      </c>
      <c r="B32" s="44">
        <v>0</v>
      </c>
      <c r="C32" s="153" t="str">
        <f>'Necesidades Trimestrales'!E30</f>
        <v>AGAR LISINA HIERRO, ESTADO: SOLIDO, PRESENTACION: ENVASE X 100 GR</v>
      </c>
      <c r="D32" s="153"/>
      <c r="E32" s="153"/>
      <c r="F32" s="45" t="s">
        <v>52</v>
      </c>
      <c r="G32" s="45" t="str">
        <f>'Necesidades Trimestrales'!F30</f>
        <v>FRASCO</v>
      </c>
      <c r="H32" s="46">
        <f>'Necesidades Trimestrales'!H30</f>
        <v>5900</v>
      </c>
      <c r="I32" s="47">
        <f>'Necesidades Trimestrales'!G30</f>
        <v>1</v>
      </c>
    </row>
    <row r="33" spans="1:9" ht="45.75" customHeight="1" thickBot="1" x14ac:dyDescent="0.25">
      <c r="A33" s="43">
        <f>'Necesidades Trimestrales'!A31</f>
        <v>22</v>
      </c>
      <c r="B33" s="44">
        <v>0</v>
      </c>
      <c r="C33" s="153" t="str">
        <f>'Necesidades Trimestrales'!E31</f>
        <v>AGAR MANITOL SALADO, ESTADO: SOLIDO, PRESENTACION: ENVASE X 100 GR</v>
      </c>
      <c r="D33" s="153"/>
      <c r="E33" s="153"/>
      <c r="F33" s="45" t="s">
        <v>52</v>
      </c>
      <c r="G33" s="45" t="str">
        <f>'Necesidades Trimestrales'!F31</f>
        <v>FRASCO</v>
      </c>
      <c r="H33" s="46">
        <f>'Necesidades Trimestrales'!H31</f>
        <v>2100</v>
      </c>
      <c r="I33" s="47">
        <f>'Necesidades Trimestrales'!G31</f>
        <v>1</v>
      </c>
    </row>
    <row r="34" spans="1:9" ht="42" customHeight="1" thickBot="1" x14ac:dyDescent="0.25">
      <c r="A34" s="43">
        <f>'Necesidades Trimestrales'!A32</f>
        <v>23</v>
      </c>
      <c r="B34" s="44">
        <v>0</v>
      </c>
      <c r="C34" s="153" t="str">
        <f>'Necesidades Trimestrales'!E32</f>
        <v>AGAR MULLER HILTON, ESTADO: SOLIDO, PRESENTACION: ENVASE X 500 GR</v>
      </c>
      <c r="D34" s="153"/>
      <c r="E34" s="153"/>
      <c r="F34" s="45" t="s">
        <v>52</v>
      </c>
      <c r="G34" s="45" t="str">
        <f>'Necesidades Trimestrales'!F32</f>
        <v>FRASCO</v>
      </c>
      <c r="H34" s="46">
        <f>'Necesidades Trimestrales'!H32</f>
        <v>13500</v>
      </c>
      <c r="I34" s="47">
        <f>'Necesidades Trimestrales'!G32</f>
        <v>1</v>
      </c>
    </row>
    <row r="35" spans="1:9" ht="41.25" customHeight="1" thickBot="1" x14ac:dyDescent="0.25">
      <c r="A35" s="43">
        <f>'Necesidades Trimestrales'!A33</f>
        <v>24</v>
      </c>
      <c r="B35" s="44">
        <v>0</v>
      </c>
      <c r="C35" s="153" t="str">
        <f>'Necesidades Trimestrales'!E33</f>
        <v>AGAR SALMONELLA- SHIGELLA, ESTADO: SOLIDO, PRESENTACION: ENVASE X 100 GR</v>
      </c>
      <c r="D35" s="153"/>
      <c r="E35" s="153"/>
      <c r="F35" s="45" t="s">
        <v>52</v>
      </c>
      <c r="G35" s="45" t="str">
        <f>'Necesidades Trimestrales'!F33</f>
        <v>FRASCO</v>
      </c>
      <c r="H35" s="46">
        <f>'Necesidades Trimestrales'!H33</f>
        <v>4000</v>
      </c>
      <c r="I35" s="47">
        <f>'Necesidades Trimestrales'!G33</f>
        <v>1</v>
      </c>
    </row>
    <row r="36" spans="1:9" ht="45.75" customHeight="1" thickBot="1" x14ac:dyDescent="0.25">
      <c r="A36" s="43">
        <f>'Necesidades Trimestrales'!A34</f>
        <v>25</v>
      </c>
      <c r="B36" s="44">
        <v>0</v>
      </c>
      <c r="C36" s="153" t="str">
        <f>'Necesidades Trimestrales'!E34</f>
        <v>AGAR SIM, ESTADO: SOLIDO, PRESENTACION: ENVASE X 100 GR</v>
      </c>
      <c r="D36" s="153"/>
      <c r="E36" s="153"/>
      <c r="F36" s="45" t="s">
        <v>52</v>
      </c>
      <c r="G36" s="45" t="str">
        <f>'Necesidades Trimestrales'!F34</f>
        <v>FRASCO</v>
      </c>
      <c r="H36" s="46">
        <f>'Necesidades Trimestrales'!H34</f>
        <v>6300</v>
      </c>
      <c r="I36" s="47">
        <f>'Necesidades Trimestrales'!G34</f>
        <v>1</v>
      </c>
    </row>
    <row r="37" spans="1:9" ht="27" customHeight="1" thickBot="1" x14ac:dyDescent="0.25">
      <c r="A37" s="43">
        <f>'Necesidades Trimestrales'!A35</f>
        <v>26</v>
      </c>
      <c r="B37" s="44">
        <v>0</v>
      </c>
      <c r="C37" s="153" t="str">
        <f>'Necesidades Trimestrales'!E35</f>
        <v>ALBUMINA COBAS C-311 ROCHE  X 300 DET</v>
      </c>
      <c r="D37" s="153"/>
      <c r="E37" s="153"/>
      <c r="F37" s="45" t="s">
        <v>52</v>
      </c>
      <c r="G37" s="45" t="str">
        <f>'Necesidades Trimestrales'!F35</f>
        <v>CASSETTE</v>
      </c>
      <c r="H37" s="46">
        <f>'Necesidades Trimestrales'!H35</f>
        <v>1706</v>
      </c>
      <c r="I37" s="47">
        <f>'Necesidades Trimestrales'!G35</f>
        <v>3</v>
      </c>
    </row>
    <row r="38" spans="1:9" ht="30" customHeight="1" thickBot="1" x14ac:dyDescent="0.25">
      <c r="A38" s="43">
        <f>'Necesidades Trimestrales'!A36</f>
        <v>27</v>
      </c>
      <c r="B38" s="44">
        <v>0</v>
      </c>
      <c r="C38" s="153" t="str">
        <f>'Necesidades Trimestrales'!E36</f>
        <v>ALBUMINA P/MICROALBUMINURIA  COBAS C-311 ROCHE X 100 DET</v>
      </c>
      <c r="D38" s="153"/>
      <c r="E38" s="153"/>
      <c r="F38" s="45" t="s">
        <v>52</v>
      </c>
      <c r="G38" s="45" t="str">
        <f>'Necesidades Trimestrales'!F36</f>
        <v>CASSETTE</v>
      </c>
      <c r="H38" s="46">
        <f>'Necesidades Trimestrales'!H36</f>
        <v>7050</v>
      </c>
      <c r="I38" s="47">
        <f>'Necesidades Trimestrales'!G36</f>
        <v>1</v>
      </c>
    </row>
    <row r="39" spans="1:9" ht="36.75" customHeight="1" thickBot="1" x14ac:dyDescent="0.25">
      <c r="A39" s="43">
        <f>'Necesidades Trimestrales'!A37</f>
        <v>28</v>
      </c>
      <c r="B39" s="44">
        <v>0</v>
      </c>
      <c r="C39" s="153" t="str">
        <f>'Necesidades Trimestrales'!E37</f>
        <v>ALERE DETERMINE HIV  PRESENTACION: SOBRE X 20 DET</v>
      </c>
      <c r="D39" s="153"/>
      <c r="E39" s="153"/>
      <c r="F39" s="45" t="s">
        <v>52</v>
      </c>
      <c r="G39" s="45" t="str">
        <f>'Necesidades Trimestrales'!F37</f>
        <v>UNIDAD</v>
      </c>
      <c r="H39" s="46">
        <f>'Necesidades Trimestrales'!H37</f>
        <v>10600</v>
      </c>
      <c r="I39" s="47">
        <f>'Necesidades Trimestrales'!G37</f>
        <v>10</v>
      </c>
    </row>
    <row r="40" spans="1:9" ht="33.75" customHeight="1" thickBot="1" x14ac:dyDescent="0.25">
      <c r="A40" s="43">
        <f>'Necesidades Trimestrales'!A38</f>
        <v>29</v>
      </c>
      <c r="B40" s="44">
        <v>0</v>
      </c>
      <c r="C40" s="153" t="str">
        <f>'Necesidades Trimestrales'!E38</f>
        <v>ALERE DETERMINE SYPHILIS TP PRESENTACION: SOBREX 20 DETERMINACIONES</v>
      </c>
      <c r="D40" s="153"/>
      <c r="E40" s="153"/>
      <c r="F40" s="45" t="s">
        <v>52</v>
      </c>
      <c r="G40" s="45" t="str">
        <f>'Necesidades Trimestrales'!F38</f>
        <v>UNIDAD</v>
      </c>
      <c r="H40" s="46">
        <f>'Necesidades Trimestrales'!H38</f>
        <v>10500</v>
      </c>
      <c r="I40" s="47">
        <f>'Necesidades Trimestrales'!G38</f>
        <v>10</v>
      </c>
    </row>
    <row r="41" spans="1:9" ht="40.5" customHeight="1" thickBot="1" x14ac:dyDescent="0.25">
      <c r="A41" s="43">
        <f>'Necesidades Trimestrales'!A39</f>
        <v>30</v>
      </c>
      <c r="B41" s="44">
        <v>0</v>
      </c>
      <c r="C41" s="153" t="str">
        <f>'Necesidades Trimestrales'!E39</f>
        <v>AMILASA TOTAL COBAS C-311 ROCHE  X 300 DET</v>
      </c>
      <c r="D41" s="153"/>
      <c r="E41" s="153"/>
      <c r="F41" s="45" t="s">
        <v>52</v>
      </c>
      <c r="G41" s="45" t="str">
        <f>'Necesidades Trimestrales'!F39</f>
        <v>CASSETTE</v>
      </c>
      <c r="H41" s="46">
        <f>'Necesidades Trimestrales'!H39</f>
        <v>9117</v>
      </c>
      <c r="I41" s="47">
        <f>'Necesidades Trimestrales'!G39</f>
        <v>1</v>
      </c>
    </row>
    <row r="42" spans="1:9" ht="40.5" customHeight="1" thickBot="1" x14ac:dyDescent="0.25">
      <c r="A42" s="43">
        <f>'Necesidades Trimestrales'!A40</f>
        <v>31</v>
      </c>
      <c r="B42" s="44">
        <v>0</v>
      </c>
      <c r="C42" s="153" t="str">
        <f>'Necesidades Trimestrales'!E40</f>
        <v xml:space="preserve">AUTOCHECK NIVEL 2 ( AMARILLO) </v>
      </c>
      <c r="D42" s="153"/>
      <c r="E42" s="153"/>
      <c r="F42" s="45" t="s">
        <v>52</v>
      </c>
      <c r="G42" s="45" t="str">
        <f>'Necesidades Trimestrales'!F40</f>
        <v>UNIDAD</v>
      </c>
      <c r="H42" s="46">
        <f>'Necesidades Trimestrales'!H40</f>
        <v>58000</v>
      </c>
      <c r="I42" s="47">
        <f>'Necesidades Trimestrales'!G40</f>
        <v>2</v>
      </c>
    </row>
    <row r="43" spans="1:9" ht="40.5" customHeight="1" thickBot="1" x14ac:dyDescent="0.25">
      <c r="A43" s="43">
        <f>'Necesidades Trimestrales'!A41</f>
        <v>32</v>
      </c>
      <c r="B43" s="44">
        <v>0</v>
      </c>
      <c r="C43" s="153" t="str">
        <f>'Necesidades Trimestrales'!E41</f>
        <v>AZITROMICINA 15 µGR DISCO 50 UN</v>
      </c>
      <c r="D43" s="153"/>
      <c r="E43" s="153"/>
      <c r="F43" s="45" t="s">
        <v>52</v>
      </c>
      <c r="G43" s="45" t="str">
        <f>'Necesidades Trimestrales'!F41</f>
        <v>CAJA</v>
      </c>
      <c r="H43" s="46">
        <f>'Necesidades Trimestrales'!H41</f>
        <v>850</v>
      </c>
      <c r="I43" s="47">
        <f>'Necesidades Trimestrales'!G41</f>
        <v>1</v>
      </c>
    </row>
    <row r="44" spans="1:9" ht="40.5" customHeight="1" thickBot="1" x14ac:dyDescent="0.25">
      <c r="A44" s="43">
        <f>'Necesidades Trimestrales'!A42</f>
        <v>33</v>
      </c>
      <c r="B44" s="44">
        <v>0</v>
      </c>
      <c r="C44" s="153" t="str">
        <f>'Necesidades Trimestrales'!E42</f>
        <v>BAM CON UREA MEDIO PRESENTACION: POTE POR 100 GR</v>
      </c>
      <c r="D44" s="153"/>
      <c r="E44" s="153"/>
      <c r="F44" s="45" t="s">
        <v>52</v>
      </c>
      <c r="G44" s="45" t="str">
        <f>'Necesidades Trimestrales'!F42</f>
        <v>UNIDAD</v>
      </c>
      <c r="H44" s="46">
        <f>'Necesidades Trimestrales'!H42</f>
        <v>5400</v>
      </c>
      <c r="I44" s="47">
        <f>'Necesidades Trimestrales'!G42</f>
        <v>1</v>
      </c>
    </row>
    <row r="45" spans="1:9" ht="48" customHeight="1" thickBot="1" x14ac:dyDescent="0.25">
      <c r="A45" s="43">
        <f>'Necesidades Trimestrales'!A43</f>
        <v>34</v>
      </c>
      <c r="B45" s="44">
        <v>0</v>
      </c>
      <c r="C45" s="153" t="str">
        <f>'Necesidades Trimestrales'!E43</f>
        <v>BILIRRUBINA DIRECTA COBAS C-311 ROCHE  X 350  DET</v>
      </c>
      <c r="D45" s="153"/>
      <c r="E45" s="153"/>
      <c r="F45" s="45" t="s">
        <v>52</v>
      </c>
      <c r="G45" s="45" t="str">
        <f>'Necesidades Trimestrales'!F43</f>
        <v>CASSETTE</v>
      </c>
      <c r="H45" s="46">
        <f>'Necesidades Trimestrales'!H43</f>
        <v>3623</v>
      </c>
      <c r="I45" s="47">
        <f>'Necesidades Trimestrales'!G43</f>
        <v>4</v>
      </c>
    </row>
    <row r="46" spans="1:9" ht="42" customHeight="1" thickBot="1" x14ac:dyDescent="0.25">
      <c r="A46" s="43">
        <f>'Necesidades Trimestrales'!A44</f>
        <v>35</v>
      </c>
      <c r="B46" s="44">
        <v>0</v>
      </c>
      <c r="C46" s="153" t="str">
        <f>'Necesidades Trimestrales'!E44</f>
        <v>BILIRRUBINA TOTAL GEN 3 COBAS C-311 ROCHE  X 250 DET</v>
      </c>
      <c r="D46" s="153"/>
      <c r="E46" s="153"/>
      <c r="F46" s="45" t="s">
        <v>52</v>
      </c>
      <c r="G46" s="45" t="str">
        <f>'Necesidades Trimestrales'!F44</f>
        <v>CASSETTE</v>
      </c>
      <c r="H46" s="46">
        <f>'Necesidades Trimestrales'!H44</f>
        <v>3714</v>
      </c>
      <c r="I46" s="47">
        <f>'Necesidades Trimestrales'!G44</f>
        <v>2</v>
      </c>
    </row>
    <row r="47" spans="1:9" ht="39" customHeight="1" thickBot="1" x14ac:dyDescent="0.25">
      <c r="A47" s="43">
        <f>'Necesidades Trimestrales'!A45</f>
        <v>36</v>
      </c>
      <c r="B47" s="44">
        <v>0</v>
      </c>
      <c r="C47" s="153" t="str">
        <f>'Necesidades Trimestrales'!E45</f>
        <v>C.F.A.S. PUC COBAS C-311 ROCHE  5 UNIDADES X 1 ML</v>
      </c>
      <c r="D47" s="153"/>
      <c r="E47" s="153"/>
      <c r="F47" s="45" t="s">
        <v>52</v>
      </c>
      <c r="G47" s="45" t="str">
        <f>'Necesidades Trimestrales'!F45</f>
        <v>CAJA</v>
      </c>
      <c r="H47" s="46">
        <f>'Necesidades Trimestrales'!H45</f>
        <v>21560</v>
      </c>
      <c r="I47" s="47">
        <f>'Necesidades Trimestrales'!G45</f>
        <v>2</v>
      </c>
    </row>
    <row r="48" spans="1:9" ht="49.5" customHeight="1" thickBot="1" x14ac:dyDescent="0.25">
      <c r="A48" s="43">
        <f>'Necesidades Trimestrales'!A46</f>
        <v>37</v>
      </c>
      <c r="B48" s="44">
        <v>0</v>
      </c>
      <c r="C48" s="153" t="str">
        <f>'Necesidades Trimestrales'!E46</f>
        <v xml:space="preserve">CAJAS TARJETAS LISS/COOMBS PARA TECNICA EN GEL POR 48 UNIDADES DIAMED-BIORAD </v>
      </c>
      <c r="D48" s="153"/>
      <c r="E48" s="153"/>
      <c r="F48" s="45" t="s">
        <v>52</v>
      </c>
      <c r="G48" s="45" t="str">
        <f>'Necesidades Trimestrales'!F46</f>
        <v>CAJAS</v>
      </c>
      <c r="H48" s="46">
        <f>'Necesidades Trimestrales'!H46</f>
        <v>13680</v>
      </c>
      <c r="I48" s="47">
        <f>'Necesidades Trimestrales'!G46</f>
        <v>3</v>
      </c>
    </row>
    <row r="49" spans="1:9" ht="48" customHeight="1" thickBot="1" x14ac:dyDescent="0.25">
      <c r="A49" s="43">
        <f>'Necesidades Trimestrales'!A47</f>
        <v>38</v>
      </c>
      <c r="B49" s="44">
        <v>0</v>
      </c>
      <c r="C49" s="153" t="str">
        <f>'Necesidades Trimestrales'!E47</f>
        <v>CALCIO COBAS C-311 ROCHE  X 300 DET</v>
      </c>
      <c r="D49" s="153"/>
      <c r="E49" s="153"/>
      <c r="F49" s="45" t="s">
        <v>52</v>
      </c>
      <c r="G49" s="45" t="str">
        <f>'Necesidades Trimestrales'!F47</f>
        <v>CASSETTE</v>
      </c>
      <c r="H49" s="46">
        <f>'Necesidades Trimestrales'!H47</f>
        <v>3514</v>
      </c>
      <c r="I49" s="47">
        <f>'Necesidades Trimestrales'!G47</f>
        <v>2</v>
      </c>
    </row>
    <row r="50" spans="1:9" ht="46.5" customHeight="1" thickBot="1" x14ac:dyDescent="0.25">
      <c r="A50" s="43">
        <f>'Necesidades Trimestrales'!A48</f>
        <v>39</v>
      </c>
      <c r="B50" s="44">
        <v>0</v>
      </c>
      <c r="C50" s="153" t="str">
        <f>'Necesidades Trimestrales'!E48</f>
        <v>CALDO TODD HEWITT C / CONA PRESENTACION: 10 ML</v>
      </c>
      <c r="D50" s="153"/>
      <c r="E50" s="153"/>
      <c r="F50" s="45" t="s">
        <v>52</v>
      </c>
      <c r="G50" s="45" t="str">
        <f>'Necesidades Trimestrales'!F48</f>
        <v>UNIDAD</v>
      </c>
      <c r="H50" s="46">
        <f>'Necesidades Trimestrales'!H48</f>
        <v>270</v>
      </c>
      <c r="I50" s="47">
        <f>'Necesidades Trimestrales'!G48</f>
        <v>50</v>
      </c>
    </row>
    <row r="51" spans="1:9" ht="45" customHeight="1" thickBot="1" x14ac:dyDescent="0.25">
      <c r="A51" s="43">
        <f>'Necesidades Trimestrales'!A49</f>
        <v>40</v>
      </c>
      <c r="B51" s="44">
        <v>0</v>
      </c>
      <c r="C51" s="153" t="str">
        <f>'Necesidades Trimestrales'!E49</f>
        <v xml:space="preserve">CALIBRACION SOLUTION 1 PARA ABL 800  PRESENTACION: POR DE 200 ML  </v>
      </c>
      <c r="D51" s="153"/>
      <c r="E51" s="153"/>
      <c r="F51" s="45" t="s">
        <v>52</v>
      </c>
      <c r="G51" s="45" t="str">
        <f>'Necesidades Trimestrales'!F49</f>
        <v>UNIDAD</v>
      </c>
      <c r="H51" s="46">
        <f>'Necesidades Trimestrales'!H49</f>
        <v>28400</v>
      </c>
      <c r="I51" s="47">
        <f>'Necesidades Trimestrales'!G49</f>
        <v>7</v>
      </c>
    </row>
    <row r="52" spans="1:9" ht="39.75" customHeight="1" thickBot="1" x14ac:dyDescent="0.25">
      <c r="A52" s="43">
        <f>'Necesidades Trimestrales'!A50</f>
        <v>41</v>
      </c>
      <c r="B52" s="44">
        <v>0</v>
      </c>
      <c r="C52" s="153" t="str">
        <f>'Necesidades Trimestrales'!E50</f>
        <v xml:space="preserve">CALIBRACION SOLUTION 2. PARA ABL 800 PRESENTACION: POR DE 200 ML   </v>
      </c>
      <c r="D52" s="153"/>
      <c r="E52" s="153"/>
      <c r="F52" s="45" t="s">
        <v>52</v>
      </c>
      <c r="G52" s="45" t="str">
        <f>'Necesidades Trimestrales'!F50</f>
        <v>UNIDAD</v>
      </c>
      <c r="H52" s="46">
        <f>'Necesidades Trimestrales'!H50</f>
        <v>28400</v>
      </c>
      <c r="I52" s="47">
        <f>'Necesidades Trimestrales'!G50</f>
        <v>5</v>
      </c>
    </row>
    <row r="53" spans="1:9" ht="42" customHeight="1" thickBot="1" x14ac:dyDescent="0.25">
      <c r="A53" s="43">
        <f>'Necesidades Trimestrales'!A51</f>
        <v>42</v>
      </c>
      <c r="B53" s="44">
        <v>0</v>
      </c>
      <c r="C53" s="153" t="str">
        <f>'Necesidades Trimestrales'!E51</f>
        <v>CALIBRADOR  ALFAFETOPROTEINA (AFP)  x 10 CALIBRADORES COBAS E-411 ROCHE</v>
      </c>
      <c r="D53" s="153"/>
      <c r="E53" s="153"/>
      <c r="F53" s="45" t="s">
        <v>52</v>
      </c>
      <c r="G53" s="45" t="str">
        <f>'Necesidades Trimestrales'!F51</f>
        <v>CAJA</v>
      </c>
      <c r="H53" s="46">
        <f>'Necesidades Trimestrales'!H51</f>
        <v>10863</v>
      </c>
      <c r="I53" s="47">
        <f>'Necesidades Trimestrales'!G51</f>
        <v>1</v>
      </c>
    </row>
    <row r="54" spans="1:9" ht="41.25" customHeight="1" thickBot="1" x14ac:dyDescent="0.25">
      <c r="A54" s="43">
        <f>'Necesidades Trimestrales'!A52</f>
        <v>43</v>
      </c>
      <c r="B54" s="44">
        <v>0</v>
      </c>
      <c r="C54" s="153" t="str">
        <f>'Necesidades Trimestrales'!E52</f>
        <v xml:space="preserve">CALIBRADOR  AMH X 10 CAL  COBAS E-411  ROCHE </v>
      </c>
      <c r="D54" s="153"/>
      <c r="E54" s="153"/>
      <c r="F54" s="45" t="s">
        <v>52</v>
      </c>
      <c r="G54" s="45" t="str">
        <f>'Necesidades Trimestrales'!F52</f>
        <v xml:space="preserve">CAJA </v>
      </c>
      <c r="H54" s="46">
        <f>'Necesidades Trimestrales'!H52</f>
        <v>48000</v>
      </c>
      <c r="I54" s="47">
        <f>'Necesidades Trimestrales'!G52</f>
        <v>1</v>
      </c>
    </row>
    <row r="55" spans="1:9" ht="38.25" customHeight="1" thickBot="1" x14ac:dyDescent="0.25">
      <c r="A55" s="43">
        <f>'Necesidades Trimestrales'!A53</f>
        <v>44</v>
      </c>
      <c r="B55" s="44">
        <v>0</v>
      </c>
      <c r="C55" s="153" t="str">
        <f>'Necesidades Trimestrales'!E53</f>
        <v>CALIBRADOR  FERRITINA  COBAS E-311  x 10 CALIBRADORES</v>
      </c>
      <c r="D55" s="153"/>
      <c r="E55" s="153"/>
      <c r="F55" s="45" t="s">
        <v>52</v>
      </c>
      <c r="G55" s="45" t="str">
        <f>'Necesidades Trimestrales'!F53</f>
        <v>CAJA</v>
      </c>
      <c r="H55" s="46">
        <f>'Necesidades Trimestrales'!H53</f>
        <v>12500</v>
      </c>
      <c r="I55" s="47">
        <f>'Necesidades Trimestrales'!G53</f>
        <v>1</v>
      </c>
    </row>
    <row r="56" spans="1:9" ht="37.5" customHeight="1" thickBot="1" x14ac:dyDescent="0.25">
      <c r="A56" s="43">
        <f>'Necesidades Trimestrales'!A54</f>
        <v>45</v>
      </c>
      <c r="B56" s="44">
        <v>0</v>
      </c>
      <c r="C56" s="153" t="str">
        <f>'Necesidades Trimestrales'!E54</f>
        <v xml:space="preserve">CALIBRADOR  PROLACTINA X  10 CAL  COBAS E-411 ROCHE </v>
      </c>
      <c r="D56" s="153"/>
      <c r="E56" s="153"/>
      <c r="F56" s="45" t="s">
        <v>52</v>
      </c>
      <c r="G56" s="45" t="str">
        <f>'Necesidades Trimestrales'!F54</f>
        <v>CAJA</v>
      </c>
      <c r="H56" s="46">
        <f>'Necesidades Trimestrales'!H54</f>
        <v>12863</v>
      </c>
      <c r="I56" s="47">
        <f>'Necesidades Trimestrales'!G54</f>
        <v>1</v>
      </c>
    </row>
    <row r="57" spans="1:9" ht="40.5" customHeight="1" thickBot="1" x14ac:dyDescent="0.25">
      <c r="A57" s="43">
        <f>'Necesidades Trimestrales'!A55</f>
        <v>46</v>
      </c>
      <c r="B57" s="44">
        <v>0</v>
      </c>
      <c r="C57" s="153" t="str">
        <f>'Necesidades Trimestrales'!E55</f>
        <v xml:space="preserve">CALIBRADOR  S-HBG  X  10 CAL  COBAS E-411 ROCHE </v>
      </c>
      <c r="D57" s="153"/>
      <c r="E57" s="153"/>
      <c r="F57" s="45" t="s">
        <v>52</v>
      </c>
      <c r="G57" s="45" t="str">
        <f>'Necesidades Trimestrales'!F55</f>
        <v>CAJA</v>
      </c>
      <c r="H57" s="46">
        <f>'Necesidades Trimestrales'!H55</f>
        <v>13400</v>
      </c>
      <c r="I57" s="47">
        <f>'Necesidades Trimestrales'!G55</f>
        <v>1</v>
      </c>
    </row>
    <row r="58" spans="1:9" ht="30.75" customHeight="1" thickBot="1" x14ac:dyDescent="0.25">
      <c r="A58" s="43">
        <f>'Necesidades Trimestrales'!A56</f>
        <v>47</v>
      </c>
      <c r="B58" s="44">
        <v>0</v>
      </c>
      <c r="C58" s="153" t="str">
        <f>'Necesidades Trimestrales'!E56</f>
        <v>CALIBRADOR  TROPONINA T - HS  COBAS E-411 ROCHE x 10 CALIBRADORES</v>
      </c>
      <c r="D58" s="153"/>
      <c r="E58" s="153"/>
      <c r="F58" s="45" t="s">
        <v>52</v>
      </c>
      <c r="G58" s="45" t="str">
        <f>'Necesidades Trimestrales'!F56</f>
        <v>CAJA</v>
      </c>
      <c r="H58" s="46">
        <f>'Necesidades Trimestrales'!H56</f>
        <v>14200</v>
      </c>
      <c r="I58" s="47">
        <f>'Necesidades Trimestrales'!G56</f>
        <v>1</v>
      </c>
    </row>
    <row r="59" spans="1:9" ht="42.75" customHeight="1" thickBot="1" x14ac:dyDescent="0.25">
      <c r="A59" s="43">
        <f>'Necesidades Trimestrales'!A57</f>
        <v>48</v>
      </c>
      <c r="B59" s="44">
        <v>0</v>
      </c>
      <c r="C59" s="153" t="str">
        <f>'Necesidades Trimestrales'!E57</f>
        <v>CALIBRADOR ( CALSET) ANTI TPO X 10 CAL COBAS E-411 ROCHE</v>
      </c>
      <c r="D59" s="153"/>
      <c r="E59" s="153"/>
      <c r="F59" s="45" t="s">
        <v>52</v>
      </c>
      <c r="G59" s="45" t="str">
        <f>'Necesidades Trimestrales'!F57</f>
        <v>CAJA</v>
      </c>
      <c r="H59" s="46">
        <f>'Necesidades Trimestrales'!H57</f>
        <v>12963</v>
      </c>
      <c r="I59" s="47">
        <f>'Necesidades Trimestrales'!G57</f>
        <v>1</v>
      </c>
    </row>
    <row r="60" spans="1:9" ht="35.25" customHeight="1" thickBot="1" x14ac:dyDescent="0.25">
      <c r="A60" s="43">
        <f>'Necesidades Trimestrales'!A58</f>
        <v>49</v>
      </c>
      <c r="B60" s="44">
        <v>0</v>
      </c>
      <c r="C60" s="153" t="str">
        <f>'Necesidades Trimestrales'!E58</f>
        <v>CALIBRADOR ( CALSET) CORTISOL X 10 CAL COBAS E-411 ROCHE</v>
      </c>
      <c r="D60" s="153"/>
      <c r="E60" s="153"/>
      <c r="F60" s="45" t="s">
        <v>52</v>
      </c>
      <c r="G60" s="45" t="str">
        <f>'Necesidades Trimestrales'!F58</f>
        <v>CAJA</v>
      </c>
      <c r="H60" s="46">
        <f>'Necesidades Trimestrales'!H58</f>
        <v>14963</v>
      </c>
      <c r="I60" s="47">
        <f>'Necesidades Trimestrales'!G58</f>
        <v>1</v>
      </c>
    </row>
    <row r="61" spans="1:9" ht="34.5" customHeight="1" thickBot="1" x14ac:dyDescent="0.25">
      <c r="A61" s="43">
        <f>'Necesidades Trimestrales'!A59</f>
        <v>50</v>
      </c>
      <c r="B61" s="44">
        <v>0</v>
      </c>
      <c r="C61" s="153" t="str">
        <f>'Necesidades Trimestrales'!E59</f>
        <v>CALIBRADOR (CALSET) ESTRADIOL X 10 CAL COBAS E-411 ROCHE</v>
      </c>
      <c r="D61" s="153"/>
      <c r="E61" s="153"/>
      <c r="F61" s="45" t="s">
        <v>52</v>
      </c>
      <c r="G61" s="45" t="str">
        <f>'Necesidades Trimestrales'!F59</f>
        <v>CAJA</v>
      </c>
      <c r="H61" s="46">
        <f>'Necesidades Trimestrales'!H59</f>
        <v>16114</v>
      </c>
      <c r="I61" s="47">
        <f>'Necesidades Trimestrales'!G59</f>
        <v>1</v>
      </c>
    </row>
    <row r="62" spans="1:9" ht="38.25" customHeight="1" thickBot="1" x14ac:dyDescent="0.25">
      <c r="A62" s="43">
        <f>'Necesidades Trimestrales'!A60</f>
        <v>51</v>
      </c>
      <c r="B62" s="44">
        <v>0</v>
      </c>
      <c r="C62" s="153" t="str">
        <f>'Necesidades Trimestrales'!E60</f>
        <v>CALIBRADOR (CALSET) FSH  X 10 CAL COBAS E-411 ROCHE</v>
      </c>
      <c r="D62" s="153"/>
      <c r="E62" s="153"/>
      <c r="F62" s="45" t="s">
        <v>52</v>
      </c>
      <c r="G62" s="45" t="str">
        <f>'Necesidades Trimestrales'!F60</f>
        <v>CAJA</v>
      </c>
      <c r="H62" s="46">
        <f>'Necesidades Trimestrales'!H60</f>
        <v>12863</v>
      </c>
      <c r="I62" s="47">
        <f>'Necesidades Trimestrales'!G60</f>
        <v>1</v>
      </c>
    </row>
    <row r="63" spans="1:9" ht="33" customHeight="1" thickBot="1" x14ac:dyDescent="0.25">
      <c r="A63" s="43">
        <f>'Necesidades Trimestrales'!A61</f>
        <v>52</v>
      </c>
      <c r="B63" s="44">
        <v>0</v>
      </c>
      <c r="C63" s="153" t="str">
        <f>'Necesidades Trimestrales'!E61</f>
        <v>CALIBRADOR B-HCG X 10 CAL COBAS E-411 ROCHE</v>
      </c>
      <c r="D63" s="153"/>
      <c r="E63" s="153"/>
      <c r="F63" s="45" t="s">
        <v>52</v>
      </c>
      <c r="G63" s="45" t="str">
        <f>'Necesidades Trimestrales'!F61</f>
        <v>CAJA</v>
      </c>
      <c r="H63" s="46">
        <f>'Necesidades Trimestrales'!H61</f>
        <v>12863</v>
      </c>
      <c r="I63" s="47">
        <f>'Necesidades Trimestrales'!G61</f>
        <v>1</v>
      </c>
    </row>
    <row r="64" spans="1:9" ht="37.5" customHeight="1" thickBot="1" x14ac:dyDescent="0.25">
      <c r="A64" s="43">
        <f>'Necesidades Trimestrales'!A62</f>
        <v>53</v>
      </c>
      <c r="B64" s="44">
        <v>0</v>
      </c>
      <c r="C64" s="153" t="str">
        <f>'Necesidades Trimestrales'!E62</f>
        <v>CALIBRADOR CA 15-3 x 10 CALIBRADORES  COBAS E-411 ROCHE</v>
      </c>
      <c r="D64" s="153"/>
      <c r="E64" s="153"/>
      <c r="F64" s="45" t="s">
        <v>52</v>
      </c>
      <c r="G64" s="45" t="str">
        <f>'Necesidades Trimestrales'!F62</f>
        <v>CAJA</v>
      </c>
      <c r="H64" s="46">
        <f>'Necesidades Trimestrales'!H62</f>
        <v>16890</v>
      </c>
      <c r="I64" s="47">
        <f>'Necesidades Trimestrales'!G62</f>
        <v>1</v>
      </c>
    </row>
    <row r="65" spans="1:9" ht="32.25" customHeight="1" thickBot="1" x14ac:dyDescent="0.25">
      <c r="A65" s="43">
        <f>'Necesidades Trimestrales'!A63</f>
        <v>54</v>
      </c>
      <c r="B65" s="44">
        <v>0</v>
      </c>
      <c r="C65" s="153" t="str">
        <f>'Necesidades Trimestrales'!E63</f>
        <v xml:space="preserve">CALIBRADOR FT4 X 10 CAL COBAS E-411 ROCHE </v>
      </c>
      <c r="D65" s="153"/>
      <c r="E65" s="153"/>
      <c r="F65" s="45" t="s">
        <v>52</v>
      </c>
      <c r="G65" s="45" t="str">
        <f>'Necesidades Trimestrales'!F63</f>
        <v>CAJA</v>
      </c>
      <c r="H65" s="46">
        <f>'Necesidades Trimestrales'!H63</f>
        <v>12435</v>
      </c>
      <c r="I65" s="47">
        <f>'Necesidades Trimestrales'!G63</f>
        <v>10</v>
      </c>
    </row>
    <row r="66" spans="1:9" ht="27.75" customHeight="1" thickBot="1" x14ac:dyDescent="0.25">
      <c r="A66" s="43">
        <f>'Necesidades Trimestrales'!A64</f>
        <v>55</v>
      </c>
      <c r="B66" s="44">
        <v>0</v>
      </c>
      <c r="C66" s="153" t="str">
        <f>'Necesidades Trimestrales'!E64</f>
        <v>CALIBRADOR PARA INSULINA X 10 CAL COBAS E-411 ROCHE</v>
      </c>
      <c r="D66" s="153"/>
      <c r="E66" s="153"/>
      <c r="F66" s="45" t="s">
        <v>52</v>
      </c>
      <c r="G66" s="45" t="str">
        <f>'Necesidades Trimestrales'!F64</f>
        <v>CAJA</v>
      </c>
      <c r="H66" s="46">
        <f>'Necesidades Trimestrales'!H64</f>
        <v>11986</v>
      </c>
      <c r="I66" s="47">
        <f>'Necesidades Trimestrales'!G64</f>
        <v>1</v>
      </c>
    </row>
    <row r="67" spans="1:9" ht="39.75" customHeight="1" thickBot="1" x14ac:dyDescent="0.25">
      <c r="A67" s="43">
        <f>'Necesidades Trimestrales'!A65</f>
        <v>56</v>
      </c>
      <c r="B67" s="44">
        <v>0</v>
      </c>
      <c r="C67" s="153" t="str">
        <f>'Necesidades Trimestrales'!E65</f>
        <v>CALIBRADOR PARA LH  X 10  CAL COBAS E-411 ROCHE</v>
      </c>
      <c r="D67" s="153"/>
      <c r="E67" s="153"/>
      <c r="F67" s="45" t="s">
        <v>52</v>
      </c>
      <c r="G67" s="45" t="str">
        <f>'Necesidades Trimestrales'!F65</f>
        <v>CAJA</v>
      </c>
      <c r="H67" s="46">
        <f>'Necesidades Trimestrales'!H65</f>
        <v>12863</v>
      </c>
      <c r="I67" s="47">
        <f>'Necesidades Trimestrales'!G65</f>
        <v>1</v>
      </c>
    </row>
    <row r="68" spans="1:9" ht="30" customHeight="1" thickBot="1" x14ac:dyDescent="0.25">
      <c r="A68" s="43">
        <f>'Necesidades Trimestrales'!A66</f>
        <v>57</v>
      </c>
      <c r="B68" s="44">
        <v>0</v>
      </c>
      <c r="C68" s="153" t="str">
        <f>'Necesidades Trimestrales'!E66</f>
        <v>CALIBRADOR PARA PROGESTERONA COBAS E-411 ROCHE - X 10</v>
      </c>
      <c r="D68" s="153"/>
      <c r="E68" s="153"/>
      <c r="F68" s="45" t="s">
        <v>56</v>
      </c>
      <c r="G68" s="45" t="str">
        <f>'Necesidades Trimestrales'!F66</f>
        <v>CAJA</v>
      </c>
      <c r="H68" s="46">
        <f>'Necesidades Trimestrales'!H66</f>
        <v>12863</v>
      </c>
      <c r="I68" s="47">
        <f>'Necesidades Trimestrales'!G66</f>
        <v>1</v>
      </c>
    </row>
    <row r="69" spans="1:9" ht="30" customHeight="1" thickBot="1" x14ac:dyDescent="0.25">
      <c r="A69" s="43">
        <f>'Necesidades Trimestrales'!A67</f>
        <v>58</v>
      </c>
      <c r="B69" s="44">
        <v>0</v>
      </c>
      <c r="C69" s="153" t="str">
        <f>'Necesidades Trimestrales'!E67</f>
        <v>CALIBRADOR PARA T3 LIBRE COBAS E-411 ROCHE  X 100 DET</v>
      </c>
      <c r="D69" s="153"/>
      <c r="E69" s="153"/>
      <c r="F69" s="45" t="s">
        <v>52</v>
      </c>
      <c r="G69" s="45" t="str">
        <f>'Necesidades Trimestrales'!F67</f>
        <v>CAJA</v>
      </c>
      <c r="H69" s="46">
        <f>'Necesidades Trimestrales'!H67</f>
        <v>12435</v>
      </c>
      <c r="I69" s="47">
        <f>'Necesidades Trimestrales'!G67</f>
        <v>1</v>
      </c>
    </row>
    <row r="70" spans="1:9" ht="33.75" customHeight="1" thickBot="1" x14ac:dyDescent="0.25">
      <c r="A70" s="43">
        <f>'Necesidades Trimestrales'!A68</f>
        <v>59</v>
      </c>
      <c r="B70" s="44">
        <v>0</v>
      </c>
      <c r="C70" s="153" t="str">
        <f>'Necesidades Trimestrales'!E68</f>
        <v>CALIBRADOR T3 TOTAL X 10 CAL  COBAS E-411 ROCHE</v>
      </c>
      <c r="D70" s="153"/>
      <c r="E70" s="153"/>
      <c r="F70" s="45" t="s">
        <v>52</v>
      </c>
      <c r="G70" s="45" t="str">
        <f>'Necesidades Trimestrales'!F68</f>
        <v>CAJA</v>
      </c>
      <c r="H70" s="46">
        <f>'Necesidades Trimestrales'!H68</f>
        <v>12435</v>
      </c>
      <c r="I70" s="47">
        <f>'Necesidades Trimestrales'!G68</f>
        <v>1</v>
      </c>
    </row>
    <row r="71" spans="1:9" ht="47.25" customHeight="1" thickBot="1" x14ac:dyDescent="0.25">
      <c r="A71" s="43">
        <f>'Necesidades Trimestrales'!A69</f>
        <v>60</v>
      </c>
      <c r="B71" s="44">
        <v>0</v>
      </c>
      <c r="C71" s="153" t="str">
        <f>'Necesidades Trimestrales'!E69</f>
        <v>CALIBRADOR TSH  X 10 CAL COBAS E-411  ROCHE</v>
      </c>
      <c r="D71" s="153"/>
      <c r="E71" s="153"/>
      <c r="F71" s="45" t="s">
        <v>52</v>
      </c>
      <c r="G71" s="45" t="str">
        <f>'Necesidades Trimestrales'!F69</f>
        <v>CAJA</v>
      </c>
      <c r="H71" s="46">
        <f>'Necesidades Trimestrales'!H69</f>
        <v>11028</v>
      </c>
      <c r="I71" s="47">
        <f>'Necesidades Trimestrales'!G69</f>
        <v>1</v>
      </c>
    </row>
    <row r="72" spans="1:9" ht="33" customHeight="1" thickBot="1" x14ac:dyDescent="0.25">
      <c r="A72" s="43">
        <f>'Necesidades Trimestrales'!A70</f>
        <v>61</v>
      </c>
      <c r="B72" s="44">
        <v>0</v>
      </c>
      <c r="C72" s="153" t="str">
        <f>'Necesidades Trimestrales'!E70</f>
        <v>CALIBRADOR VITAMINA D TOTAL  x 10 CALIBRADORES COBAS-411 ROCHE</v>
      </c>
      <c r="D72" s="153"/>
      <c r="E72" s="153"/>
      <c r="F72" s="45" t="s">
        <v>52</v>
      </c>
      <c r="G72" s="45" t="str">
        <f>'Necesidades Trimestrales'!F70</f>
        <v>CAJA</v>
      </c>
      <c r="H72" s="46">
        <f>'Necesidades Trimestrales'!H70</f>
        <v>14500</v>
      </c>
      <c r="I72" s="47">
        <f>'Necesidades Trimestrales'!G70</f>
        <v>1</v>
      </c>
    </row>
    <row r="73" spans="1:9" ht="38.25" customHeight="1" thickBot="1" x14ac:dyDescent="0.25">
      <c r="A73" s="43">
        <f>'Necesidades Trimestrales'!A71</f>
        <v>62</v>
      </c>
      <c r="B73" s="44">
        <v>0</v>
      </c>
      <c r="C73" s="153" t="str">
        <f>'Necesidades Trimestrales'!E71</f>
        <v>CALIIBRADOR (CALSET) DHEA-S  X 10 CAL COBAS E-411 ROCHE</v>
      </c>
      <c r="D73" s="153"/>
      <c r="E73" s="153"/>
      <c r="F73" s="45" t="s">
        <v>52</v>
      </c>
      <c r="G73" s="45" t="str">
        <f>'Necesidades Trimestrales'!F71</f>
        <v>CAJA</v>
      </c>
      <c r="H73" s="46">
        <f>'Necesidades Trimestrales'!H71</f>
        <v>16114</v>
      </c>
      <c r="I73" s="47">
        <f>'Necesidades Trimestrales'!G71</f>
        <v>1</v>
      </c>
    </row>
    <row r="74" spans="1:9" ht="34.5" customHeight="1" thickBot="1" x14ac:dyDescent="0.25">
      <c r="A74" s="43">
        <f>'Necesidades Trimestrales'!A72</f>
        <v>63</v>
      </c>
      <c r="B74" s="44">
        <v>0</v>
      </c>
      <c r="C74" s="153" t="str">
        <f>'Necesidades Trimestrales'!E72</f>
        <v xml:space="preserve">CELL WASH SOLUTION NAOH-D PRESENTACION: CAJA DE 2 BOTELLAS X 1,8 LITROS CADA UNA </v>
      </c>
      <c r="D74" s="153"/>
      <c r="E74" s="153"/>
      <c r="F74" s="45" t="s">
        <v>52</v>
      </c>
      <c r="G74" s="45" t="str">
        <f>'Necesidades Trimestrales'!F72</f>
        <v xml:space="preserve">CAJA </v>
      </c>
      <c r="H74" s="46">
        <f>'Necesidades Trimestrales'!H72</f>
        <v>4976</v>
      </c>
      <c r="I74" s="47">
        <f>'Necesidades Trimestrales'!G72</f>
        <v>20</v>
      </c>
    </row>
    <row r="75" spans="1:9" ht="33" customHeight="1" thickBot="1" x14ac:dyDescent="0.25">
      <c r="A75" s="43">
        <f>'Necesidades Trimestrales'!A73</f>
        <v>64</v>
      </c>
      <c r="B75" s="44">
        <v>0</v>
      </c>
      <c r="C75" s="153" t="str">
        <f>'Necesidades Trimestrales'!E73</f>
        <v>CEPILLOS PARA TUBOS DE 1,5 CM X 25 CM</v>
      </c>
      <c r="D75" s="153"/>
      <c r="E75" s="153"/>
      <c r="F75" s="45" t="s">
        <v>52</v>
      </c>
      <c r="G75" s="45" t="str">
        <f>'Necesidades Trimestrales'!F73</f>
        <v>UNIDAD</v>
      </c>
      <c r="H75" s="46">
        <f>'Necesidades Trimestrales'!H73</f>
        <v>240</v>
      </c>
      <c r="I75" s="47">
        <f>'Necesidades Trimestrales'!G73</f>
        <v>10</v>
      </c>
    </row>
    <row r="76" spans="1:9" ht="32.25" customHeight="1" thickBot="1" x14ac:dyDescent="0.25">
      <c r="A76" s="43">
        <f>'Necesidades Trimestrales'!A74</f>
        <v>65</v>
      </c>
      <c r="B76" s="44">
        <v>0</v>
      </c>
      <c r="C76" s="153" t="str">
        <f>'Necesidades Trimestrales'!E74</f>
        <v>CHAGAS ELISA LISADO WIENER X 96  DET</v>
      </c>
      <c r="D76" s="153"/>
      <c r="E76" s="153"/>
      <c r="F76" s="45" t="s">
        <v>52</v>
      </c>
      <c r="G76" s="45" t="str">
        <f>'Necesidades Trimestrales'!F74</f>
        <v xml:space="preserve">CAJA </v>
      </c>
      <c r="H76" s="46">
        <f>'Necesidades Trimestrales'!H74</f>
        <v>11091</v>
      </c>
      <c r="I76" s="47">
        <f>'Necesidades Trimestrales'!G74</f>
        <v>18</v>
      </c>
    </row>
    <row r="77" spans="1:9" ht="33" customHeight="1" thickBot="1" x14ac:dyDescent="0.25">
      <c r="A77" s="43">
        <f>'Necesidades Trimestrales'!A75</f>
        <v>66</v>
      </c>
      <c r="B77" s="44">
        <v>0</v>
      </c>
      <c r="C77" s="153" t="str">
        <f>'Necesidades Trimestrales'!E75</f>
        <v xml:space="preserve">CHAGAS HAI  WIENER  X 96 DET </v>
      </c>
      <c r="D77" s="153"/>
      <c r="E77" s="153"/>
      <c r="F77" s="45" t="s">
        <v>52</v>
      </c>
      <c r="G77" s="45" t="str">
        <f>'Necesidades Trimestrales'!F75</f>
        <v xml:space="preserve">CAJA </v>
      </c>
      <c r="H77" s="46">
        <f>'Necesidades Trimestrales'!H75</f>
        <v>10500</v>
      </c>
      <c r="I77" s="47">
        <f>'Necesidades Trimestrales'!G75</f>
        <v>12</v>
      </c>
    </row>
    <row r="78" spans="1:9" ht="36" customHeight="1" thickBot="1" x14ac:dyDescent="0.25">
      <c r="A78" s="43">
        <f>'Necesidades Trimestrales'!A76</f>
        <v>67</v>
      </c>
      <c r="B78" s="44">
        <v>0</v>
      </c>
      <c r="C78" s="153" t="str">
        <f>'Necesidades Trimestrales'!E76</f>
        <v>CHLAMYDIA CHECK TEST x 20 det  VEDA LAB</v>
      </c>
      <c r="D78" s="153"/>
      <c r="E78" s="153"/>
      <c r="F78" s="45" t="s">
        <v>52</v>
      </c>
      <c r="G78" s="45" t="str">
        <f>'Necesidades Trimestrales'!F76</f>
        <v>CAJA</v>
      </c>
      <c r="H78" s="46">
        <f>'Necesidades Trimestrales'!H76</f>
        <v>5285</v>
      </c>
      <c r="I78" s="47">
        <f>'Necesidades Trimestrales'!G76</f>
        <v>1</v>
      </c>
    </row>
    <row r="79" spans="1:9" ht="36" customHeight="1" thickBot="1" x14ac:dyDescent="0.25">
      <c r="A79" s="43">
        <f>'Necesidades Trimestrales'!A77</f>
        <v>68</v>
      </c>
      <c r="B79" s="44">
        <v>0</v>
      </c>
      <c r="C79" s="153" t="str">
        <f>'Necesidades Trimestrales'!E77</f>
        <v>CIM PARA VANCOMICINA X 30 TIRAS</v>
      </c>
      <c r="D79" s="153"/>
      <c r="E79" s="153"/>
      <c r="F79" s="45" t="s">
        <v>52</v>
      </c>
      <c r="G79" s="45" t="str">
        <f>'Necesidades Trimestrales'!F77</f>
        <v>CAJA</v>
      </c>
      <c r="H79" s="46">
        <f>'Necesidades Trimestrales'!H77</f>
        <v>24471</v>
      </c>
      <c r="I79" s="47">
        <f>'Necesidades Trimestrales'!G77</f>
        <v>1</v>
      </c>
    </row>
    <row r="80" spans="1:9" ht="34.5" customHeight="1" thickBot="1" x14ac:dyDescent="0.25">
      <c r="A80" s="43">
        <f>'Necesidades Trimestrales'!A78</f>
        <v>69</v>
      </c>
      <c r="B80" s="44">
        <v>0</v>
      </c>
      <c r="C80" s="153" t="str">
        <f>'Necesidades Trimestrales'!E78</f>
        <v xml:space="preserve">CK-MB  COBAS  C-311 ROCHE  X 100 DET </v>
      </c>
      <c r="D80" s="153"/>
      <c r="E80" s="153"/>
      <c r="F80" s="45" t="s">
        <v>52</v>
      </c>
      <c r="G80" s="45" t="str">
        <f>'Necesidades Trimestrales'!F78</f>
        <v>CASSETTE</v>
      </c>
      <c r="H80" s="46">
        <f>'Necesidades Trimestrales'!H78</f>
        <v>4424</v>
      </c>
      <c r="I80" s="47">
        <f>'Necesidades Trimestrales'!G78</f>
        <v>1</v>
      </c>
    </row>
    <row r="81" spans="1:9" ht="36.75" customHeight="1" thickBot="1" x14ac:dyDescent="0.25">
      <c r="A81" s="43">
        <f>'Necesidades Trimestrales'!A79</f>
        <v>70</v>
      </c>
      <c r="B81" s="44">
        <v>0</v>
      </c>
      <c r="C81" s="153" t="str">
        <f>'Necesidades Trimestrales'!E79</f>
        <v>CLEAN CELL COBAS E411</v>
      </c>
      <c r="D81" s="153"/>
      <c r="E81" s="153"/>
      <c r="F81" s="45" t="s">
        <v>52</v>
      </c>
      <c r="G81" s="45" t="str">
        <f>'Necesidades Trimestrales'!F79</f>
        <v>CAJA</v>
      </c>
      <c r="H81" s="46">
        <f>'Necesidades Trimestrales'!H79</f>
        <v>8696</v>
      </c>
      <c r="I81" s="47">
        <f>'Necesidades Trimestrales'!G79</f>
        <v>8</v>
      </c>
    </row>
    <row r="82" spans="1:9" ht="36.75" customHeight="1" thickBot="1" x14ac:dyDescent="0.25">
      <c r="A82" s="43">
        <f>'Necesidades Trimestrales'!A80</f>
        <v>71</v>
      </c>
      <c r="B82" s="44">
        <v>0</v>
      </c>
      <c r="C82" s="153" t="str">
        <f>'Necesidades Trimestrales'!E80</f>
        <v>CLEANING KIT FOR CI ELECTRODE</v>
      </c>
      <c r="D82" s="153"/>
      <c r="E82" s="153"/>
      <c r="F82" s="45" t="s">
        <v>52</v>
      </c>
      <c r="G82" s="45" t="str">
        <f>'Necesidades Trimestrales'!F80</f>
        <v>UNIDAD</v>
      </c>
      <c r="H82" s="46">
        <f>'Necesidades Trimestrales'!H80</f>
        <v>2300</v>
      </c>
      <c r="I82" s="47">
        <f>'Necesidades Trimestrales'!G80</f>
        <v>1</v>
      </c>
    </row>
    <row r="83" spans="1:9" ht="37.5" customHeight="1" thickBot="1" x14ac:dyDescent="0.25">
      <c r="A83" s="43">
        <f>'Necesidades Trimestrales'!A81</f>
        <v>72</v>
      </c>
      <c r="B83" s="44">
        <v>0</v>
      </c>
      <c r="C83" s="153" t="str">
        <f>'Necesidades Trimestrales'!E81</f>
        <v>CLEANING SOLUTION  X 175 ML   PARA ABL 800</v>
      </c>
      <c r="D83" s="153"/>
      <c r="E83" s="153"/>
      <c r="F83" s="45" t="s">
        <v>52</v>
      </c>
      <c r="G83" s="45" t="str">
        <f>'Necesidades Trimestrales'!F81</f>
        <v>UNIDAD</v>
      </c>
      <c r="H83" s="46">
        <f>'Necesidades Trimestrales'!H81</f>
        <v>27900</v>
      </c>
      <c r="I83" s="47">
        <f>'Necesidades Trimestrales'!G81</f>
        <v>7</v>
      </c>
    </row>
    <row r="84" spans="1:9" ht="38.25" customHeight="1" thickBot="1" x14ac:dyDescent="0.25">
      <c r="A84" s="43">
        <f>'Necesidades Trimestrales'!A82</f>
        <v>73</v>
      </c>
      <c r="B84" s="44">
        <v>0</v>
      </c>
      <c r="C84" s="153" t="str">
        <f>'Necesidades Trimestrales'!E82</f>
        <v>CLEANSER EZ PROBE PARA BC 3000 PLUS  PRTESENTACION: BOTELLA X 20 ML</v>
      </c>
      <c r="D84" s="153"/>
      <c r="E84" s="153"/>
      <c r="F84" s="45" t="s">
        <v>52</v>
      </c>
      <c r="G84" s="45" t="str">
        <f>'Necesidades Trimestrales'!F82</f>
        <v>UNIDAD</v>
      </c>
      <c r="H84" s="46">
        <f>'Necesidades Trimestrales'!H82</f>
        <v>5600</v>
      </c>
      <c r="I84" s="47">
        <f>'Necesidades Trimestrales'!G82</f>
        <v>6</v>
      </c>
    </row>
    <row r="85" spans="1:9" ht="36" customHeight="1" thickBot="1" x14ac:dyDescent="0.25">
      <c r="A85" s="43">
        <f>'Necesidades Trimestrales'!A83</f>
        <v>74</v>
      </c>
      <c r="B85" s="44">
        <v>0</v>
      </c>
      <c r="C85" s="153" t="str">
        <f>'Necesidades Trimestrales'!E83</f>
        <v>COLESTEROL TOTAL COBAS C-311 ROCHE  X 400 DET</v>
      </c>
      <c r="D85" s="153"/>
      <c r="E85" s="153"/>
      <c r="F85" s="45" t="s">
        <v>52</v>
      </c>
      <c r="G85" s="45" t="str">
        <f>'Necesidades Trimestrales'!F83</f>
        <v>CASSETTE</v>
      </c>
      <c r="H85" s="46">
        <f>'Necesidades Trimestrales'!H83</f>
        <v>3095</v>
      </c>
      <c r="I85" s="47">
        <f>'Necesidades Trimestrales'!G83</f>
        <v>1</v>
      </c>
    </row>
    <row r="86" spans="1:9" ht="36" customHeight="1" thickBot="1" x14ac:dyDescent="0.25">
      <c r="A86" s="43">
        <f>'Necesidades Trimestrales'!A84</f>
        <v>75</v>
      </c>
      <c r="B86" s="44">
        <v>0</v>
      </c>
      <c r="C86" s="153" t="str">
        <f>'Necesidades Trimestrales'!E84</f>
        <v>COMBITROL PLUS NIVEL 1</v>
      </c>
      <c r="D86" s="153"/>
      <c r="E86" s="153"/>
      <c r="F86" s="47" t="s">
        <v>52</v>
      </c>
      <c r="G86" s="45" t="str">
        <f>'Necesidades Trimestrales'!F84</f>
        <v>UNIDAD</v>
      </c>
      <c r="H86" s="46">
        <f>'Necesidades Trimestrales'!H84</f>
        <v>16500</v>
      </c>
      <c r="I86" s="47">
        <f>'Necesidades Trimestrales'!G84</f>
        <v>2</v>
      </c>
    </row>
    <row r="87" spans="1:9" ht="38.25" customHeight="1" thickBot="1" x14ac:dyDescent="0.25">
      <c r="A87" s="43">
        <f>'Necesidades Trimestrales'!A85</f>
        <v>76</v>
      </c>
      <c r="B87" s="44">
        <v>0</v>
      </c>
      <c r="C87" s="153" t="str">
        <f>'Necesidades Trimestrales'!E85</f>
        <v>COMBITROL PLUS NIVEL 2</v>
      </c>
      <c r="D87" s="153"/>
      <c r="E87" s="153"/>
      <c r="F87" s="47" t="s">
        <v>52</v>
      </c>
      <c r="G87" s="45" t="str">
        <f>'Necesidades Trimestrales'!F85</f>
        <v>UNIDAD</v>
      </c>
      <c r="H87" s="46">
        <f>'Necesidades Trimestrales'!H85</f>
        <v>16500</v>
      </c>
      <c r="I87" s="47">
        <f>'Necesidades Trimestrales'!G85</f>
        <v>2</v>
      </c>
    </row>
    <row r="88" spans="1:9" ht="42.75" customHeight="1" thickBot="1" x14ac:dyDescent="0.25">
      <c r="A88" s="43">
        <f>'Necesidades Trimestrales'!A86</f>
        <v>77</v>
      </c>
      <c r="B88" s="44">
        <v>0</v>
      </c>
      <c r="C88" s="153" t="str">
        <f>'Necesidades Trimestrales'!E86</f>
        <v>COMBITROL PLUS NIVEL 3</v>
      </c>
      <c r="D88" s="153"/>
      <c r="E88" s="153"/>
      <c r="F88" s="47" t="s">
        <v>52</v>
      </c>
      <c r="G88" s="45" t="str">
        <f>'Necesidades Trimestrales'!F86</f>
        <v>UNIDAD</v>
      </c>
      <c r="H88" s="46">
        <f>'Necesidades Trimestrales'!H86</f>
        <v>16500</v>
      </c>
      <c r="I88" s="47">
        <f>'Necesidades Trimestrales'!G86</f>
        <v>2</v>
      </c>
    </row>
    <row r="89" spans="1:9" ht="36" customHeight="1" thickBot="1" x14ac:dyDescent="0.25">
      <c r="A89" s="43">
        <f>'Necesidades Trimestrales'!A87</f>
        <v>78</v>
      </c>
      <c r="B89" s="44">
        <v>0</v>
      </c>
      <c r="C89" s="153" t="str">
        <f>'Necesidades Trimestrales'!E87</f>
        <v>CREATIN QUINASA COBAS C-311 ROCHE  X 200 DET</v>
      </c>
      <c r="D89" s="153"/>
      <c r="E89" s="153"/>
      <c r="F89" s="47" t="s">
        <v>52</v>
      </c>
      <c r="G89" s="45" t="str">
        <f>'Necesidades Trimestrales'!F87</f>
        <v>CASSETTE</v>
      </c>
      <c r="H89" s="46">
        <f>'Necesidades Trimestrales'!H87</f>
        <v>3025</v>
      </c>
      <c r="I89" s="47">
        <f>'Necesidades Trimestrales'!G87</f>
        <v>1</v>
      </c>
    </row>
    <row r="90" spans="1:9" ht="37.5" customHeight="1" thickBot="1" x14ac:dyDescent="0.25">
      <c r="A90" s="43">
        <f>'Necesidades Trimestrales'!A88</f>
        <v>79</v>
      </c>
      <c r="B90" s="44">
        <v>0</v>
      </c>
      <c r="C90" s="153" t="str">
        <f>'Necesidades Trimestrales'!E88</f>
        <v>CREATININA JAFFE COBAS C-311 ROCHE  X 700 DET</v>
      </c>
      <c r="D90" s="153"/>
      <c r="E90" s="153"/>
      <c r="F90" s="47" t="s">
        <v>52</v>
      </c>
      <c r="G90" s="45" t="str">
        <f>'Necesidades Trimestrales'!F88</f>
        <v>CASSETTE</v>
      </c>
      <c r="H90" s="46">
        <f>'Necesidades Trimestrales'!H88</f>
        <v>3854</v>
      </c>
      <c r="I90" s="47">
        <f>'Necesidades Trimestrales'!G88</f>
        <v>6</v>
      </c>
    </row>
    <row r="91" spans="1:9" ht="50.25" customHeight="1" thickBot="1" x14ac:dyDescent="0.25">
      <c r="A91" s="43">
        <f>'Necesidades Trimestrales'!A89</f>
        <v>80</v>
      </c>
      <c r="B91" s="44">
        <v>0</v>
      </c>
      <c r="C91" s="153" t="str">
        <f>'Necesidades Trimestrales'!E89</f>
        <v>CUBETAS PARA COAGULOMETRO SIEMENS BFT II X 100 UNIDADES X 5 PLANCHAS</v>
      </c>
      <c r="D91" s="153"/>
      <c r="E91" s="153"/>
      <c r="F91" s="47" t="s">
        <v>52</v>
      </c>
      <c r="G91" s="45" t="str">
        <f>'Necesidades Trimestrales'!F89</f>
        <v>CAJA</v>
      </c>
      <c r="H91" s="46">
        <f>'Necesidades Trimestrales'!H89</f>
        <v>21500</v>
      </c>
      <c r="I91" s="47">
        <f>'Necesidades Trimestrales'!G89</f>
        <v>1</v>
      </c>
    </row>
    <row r="92" spans="1:9" ht="40.5" customHeight="1" thickBot="1" x14ac:dyDescent="0.25">
      <c r="A92" s="43">
        <f>'Necesidades Trimestrales'!A90</f>
        <v>81</v>
      </c>
      <c r="B92" s="44">
        <v>0</v>
      </c>
      <c r="C92" s="153" t="str">
        <f>'Necesidades Trimestrales'!E90</f>
        <v>CUBETAS REACTION CELL FOR COBAS C-311 ROCHE</v>
      </c>
      <c r="D92" s="153"/>
      <c r="E92" s="153"/>
      <c r="F92" s="47" t="s">
        <v>52</v>
      </c>
      <c r="G92" s="45" t="str">
        <f>'Necesidades Trimestrales'!F90</f>
        <v>UNIDAD</v>
      </c>
      <c r="H92" s="46">
        <f>'Necesidades Trimestrales'!H90</f>
        <v>22400</v>
      </c>
      <c r="I92" s="47">
        <f>'Necesidades Trimestrales'!G90</f>
        <v>1</v>
      </c>
    </row>
    <row r="93" spans="1:9" ht="30.75" customHeight="1" thickBot="1" x14ac:dyDescent="0.25">
      <c r="A93" s="43">
        <f>'Necesidades Trimestrales'!A91</f>
        <v>82</v>
      </c>
      <c r="B93" s="44">
        <v>0</v>
      </c>
      <c r="C93" s="153" t="str">
        <f>'Necesidades Trimestrales'!E91</f>
        <v>CUBRE OBJETOS 20 X 20 X 100 UNID.</v>
      </c>
      <c r="D93" s="153"/>
      <c r="E93" s="153"/>
      <c r="F93" s="47" t="s">
        <v>52</v>
      </c>
      <c r="G93" s="45" t="str">
        <f>'Necesidades Trimestrales'!F91</f>
        <v>CAJA</v>
      </c>
      <c r="H93" s="46">
        <f>'Necesidades Trimestrales'!H91</f>
        <v>220</v>
      </c>
      <c r="I93" s="47">
        <f>'Necesidades Trimestrales'!G91</f>
        <v>10</v>
      </c>
    </row>
    <row r="94" spans="1:9" ht="36.75" customHeight="1" thickBot="1" x14ac:dyDescent="0.25">
      <c r="A94" s="43">
        <f>'Necesidades Trimestrales'!A92</f>
        <v>83</v>
      </c>
      <c r="B94" s="44">
        <v>0</v>
      </c>
      <c r="C94" s="153" t="str">
        <f>'Necesidades Trimestrales'!E92</f>
        <v>DECOLORANTE PARA GRAM, ESTADO: LÍQUIDO, PRESENTACIÓN: ENVASE POR 100 ML</v>
      </c>
      <c r="D94" s="153"/>
      <c r="E94" s="153"/>
      <c r="F94" s="47" t="s">
        <v>52</v>
      </c>
      <c r="G94" s="45" t="str">
        <f>'Necesidades Trimestrales'!F92</f>
        <v>FRASCO</v>
      </c>
      <c r="H94" s="46">
        <f>'Necesidades Trimestrales'!H92</f>
        <v>2600</v>
      </c>
      <c r="I94" s="47">
        <f>'Necesidades Trimestrales'!G92</f>
        <v>5</v>
      </c>
    </row>
    <row r="95" spans="1:9" ht="27.75" customHeight="1" thickBot="1" x14ac:dyDescent="0.25">
      <c r="A95" s="43">
        <f>'Necesidades Trimestrales'!A93</f>
        <v>84</v>
      </c>
      <c r="B95" s="44">
        <v>0</v>
      </c>
      <c r="C95" s="153" t="str">
        <f>'Necesidades Trimestrales'!E93</f>
        <v>DETERGENTE NO IONICO BOTELLA X 1 LITRO WIENER</v>
      </c>
      <c r="D95" s="153"/>
      <c r="E95" s="153"/>
      <c r="F95" s="47" t="s">
        <v>52</v>
      </c>
      <c r="G95" s="45" t="str">
        <f>'Necesidades Trimestrales'!F93</f>
        <v>UNIDAD</v>
      </c>
      <c r="H95" s="46">
        <f>'Necesidades Trimestrales'!H93</f>
        <v>460</v>
      </c>
      <c r="I95" s="47">
        <f>'Necesidades Trimestrales'!G93</f>
        <v>1</v>
      </c>
    </row>
    <row r="96" spans="1:9" ht="40.5" customHeight="1" thickBot="1" x14ac:dyDescent="0.25">
      <c r="A96" s="43">
        <f>'Necesidades Trimestrales'!A94</f>
        <v>85</v>
      </c>
      <c r="B96" s="44">
        <v>0</v>
      </c>
      <c r="C96" s="153" t="str">
        <f>'Necesidades Trimestrales'!E94</f>
        <v>DETERGENTE P/CONTADOR MINDRAY BC3000 PLUS X 5 L</v>
      </c>
      <c r="D96" s="153"/>
      <c r="E96" s="153"/>
      <c r="F96" s="47" t="s">
        <v>52</v>
      </c>
      <c r="G96" s="45" t="str">
        <f>'Necesidades Trimestrales'!F94</f>
        <v>CAJA</v>
      </c>
      <c r="H96" s="46">
        <f>'Necesidades Trimestrales'!H94</f>
        <v>4500</v>
      </c>
      <c r="I96" s="47">
        <f>'Necesidades Trimestrales'!G94</f>
        <v>10</v>
      </c>
    </row>
    <row r="97" spans="1:9" ht="33" customHeight="1" thickBot="1" x14ac:dyDescent="0.25">
      <c r="A97" s="43">
        <f>'Necesidades Trimestrales'!A95</f>
        <v>86</v>
      </c>
      <c r="B97" s="44">
        <v>0</v>
      </c>
      <c r="C97" s="153" t="str">
        <f>'Necesidades Trimestrales'!E95</f>
        <v>DILUYENTE PARA CONTADOR HEMATOLOGICO MINDRAY BC-3000 PLUS  X 20 LITROS</v>
      </c>
      <c r="D97" s="153"/>
      <c r="E97" s="153"/>
      <c r="F97" s="47" t="s">
        <v>52</v>
      </c>
      <c r="G97" s="45" t="str">
        <f>'Necesidades Trimestrales'!F95</f>
        <v>CAJA</v>
      </c>
      <c r="H97" s="46">
        <f>'Necesidades Trimestrales'!H95</f>
        <v>6500</v>
      </c>
      <c r="I97" s="47">
        <f>'Necesidades Trimestrales'!G95</f>
        <v>10</v>
      </c>
    </row>
    <row r="98" spans="1:9" ht="48.75" customHeight="1" thickBot="1" x14ac:dyDescent="0.25">
      <c r="A98" s="43">
        <f>'Necesidades Trimestrales'!A96</f>
        <v>87</v>
      </c>
      <c r="B98" s="44">
        <v>0</v>
      </c>
      <c r="C98" s="153" t="str">
        <f>'Necesidades Trimestrales'!E96</f>
        <v xml:space="preserve">DIMERO D  COBAS C-311 ROCHE  X 100 DET </v>
      </c>
      <c r="D98" s="153"/>
      <c r="E98" s="153"/>
      <c r="F98" s="47" t="s">
        <v>52</v>
      </c>
      <c r="G98" s="45" t="str">
        <f>'Necesidades Trimestrales'!F96</f>
        <v>CASSETTE</v>
      </c>
      <c r="H98" s="46">
        <f>'Necesidades Trimestrales'!H96</f>
        <v>63867</v>
      </c>
      <c r="I98" s="47">
        <f>'Necesidades Trimestrales'!G96</f>
        <v>1</v>
      </c>
    </row>
    <row r="99" spans="1:9" ht="36.75" customHeight="1" thickBot="1" x14ac:dyDescent="0.25">
      <c r="A99" s="43">
        <f>'Necesidades Trimestrales'!A97</f>
        <v>88</v>
      </c>
      <c r="B99" s="44">
        <v>0</v>
      </c>
      <c r="C99" s="153" t="str">
        <f>'Necesidades Trimestrales'!E97</f>
        <v>DIMERO D  GEN 2 CALIBRADOR SET 6X0,5 ML  COBAS C-311 ROCHE</v>
      </c>
      <c r="D99" s="153"/>
      <c r="E99" s="153"/>
      <c r="F99" s="48" t="s">
        <v>52</v>
      </c>
      <c r="G99" s="45" t="str">
        <f>'Necesidades Trimestrales'!F97</f>
        <v>CAJA</v>
      </c>
      <c r="H99" s="46">
        <f>'Necesidades Trimestrales'!H97</f>
        <v>15214</v>
      </c>
      <c r="I99" s="47">
        <f>'Necesidades Trimestrales'!G97</f>
        <v>1</v>
      </c>
    </row>
    <row r="100" spans="1:9" ht="35.25" customHeight="1" thickBot="1" x14ac:dyDescent="0.25">
      <c r="A100" s="43">
        <f>'Necesidades Trimestrales'!A98</f>
        <v>89</v>
      </c>
      <c r="B100" s="44">
        <v>0</v>
      </c>
      <c r="C100" s="153" t="str">
        <f>'Necesidades Trimestrales'!E98</f>
        <v>DIMERO D GEN 2 CONTROL I  / II  NIVEL 1 : 2 X 1 ML  NIVEL 2 : 2 X 1 ML  COBAS C-311 ROCHE</v>
      </c>
      <c r="D100" s="153"/>
      <c r="E100" s="153"/>
      <c r="F100" s="48" t="s">
        <v>52</v>
      </c>
      <c r="G100" s="45" t="str">
        <f>'Necesidades Trimestrales'!F98</f>
        <v>UNIDAD</v>
      </c>
      <c r="H100" s="46">
        <f>'Necesidades Trimestrales'!H98</f>
        <v>20266</v>
      </c>
      <c r="I100" s="47">
        <f>'Necesidades Trimestrales'!G98</f>
        <v>1</v>
      </c>
    </row>
    <row r="101" spans="1:9" ht="31.5" customHeight="1" thickBot="1" x14ac:dyDescent="0.25">
      <c r="A101" s="43">
        <f>'Necesidades Trimestrales'!A99</f>
        <v>90</v>
      </c>
      <c r="B101" s="44">
        <v>0</v>
      </c>
      <c r="C101" s="153" t="str">
        <f>'Necesidades Trimestrales'!E99</f>
        <v>DISCO AMICACINA 30 µGR, ESTADO:  CALIDAD: PRO ANALISIS, PRESENTACION: ENVASE X 50 UN</v>
      </c>
      <c r="D101" s="153"/>
      <c r="E101" s="153"/>
      <c r="F101" s="48" t="s">
        <v>52</v>
      </c>
      <c r="G101" s="45" t="str">
        <f>'Necesidades Trimestrales'!F99</f>
        <v>FRASCO</v>
      </c>
      <c r="H101" s="46">
        <f>'Necesidades Trimestrales'!H99</f>
        <v>850</v>
      </c>
      <c r="I101" s="47">
        <f>'Necesidades Trimestrales'!G99</f>
        <v>5</v>
      </c>
    </row>
    <row r="102" spans="1:9" ht="35.25" customHeight="1" thickBot="1" x14ac:dyDescent="0.25">
      <c r="A102" s="43">
        <f>'Necesidades Trimestrales'!A100</f>
        <v>91</v>
      </c>
      <c r="B102" s="44">
        <v>0</v>
      </c>
      <c r="C102" s="153" t="str">
        <f>'Necesidades Trimestrales'!E100</f>
        <v>DISCO AMOXICILINA+CLAVULANICO, ESTADO:  CALIDAD: PRO ANALISIS, PRESENTACION: ENVASE X 50 UN</v>
      </c>
      <c r="D102" s="153"/>
      <c r="E102" s="153"/>
      <c r="F102" s="48" t="s">
        <v>52</v>
      </c>
      <c r="G102" s="45" t="str">
        <f>'Necesidades Trimestrales'!F100</f>
        <v>FRASCO</v>
      </c>
      <c r="H102" s="46">
        <f>'Necesidades Trimestrales'!H100</f>
        <v>850</v>
      </c>
      <c r="I102" s="47">
        <f>'Necesidades Trimestrales'!G100</f>
        <v>5</v>
      </c>
    </row>
    <row r="103" spans="1:9" ht="25.5" customHeight="1" thickBot="1" x14ac:dyDescent="0.25">
      <c r="A103" s="43">
        <f>'Necesidades Trimestrales'!A101</f>
        <v>92</v>
      </c>
      <c r="B103" s="44">
        <v>0</v>
      </c>
      <c r="C103" s="153" t="str">
        <f>'Necesidades Trimestrales'!E101</f>
        <v>DISCO AMPICILINA + SULBACTAM 10/10 µGR DISCO X 50 UN</v>
      </c>
      <c r="D103" s="153"/>
      <c r="E103" s="153"/>
      <c r="F103" s="48" t="s">
        <v>52</v>
      </c>
      <c r="G103" s="45" t="str">
        <f>'Necesidades Trimestrales'!F101</f>
        <v>FRASCO</v>
      </c>
      <c r="H103" s="46">
        <f>'Necesidades Trimestrales'!H101</f>
        <v>850</v>
      </c>
      <c r="I103" s="47">
        <f>'Necesidades Trimestrales'!G101</f>
        <v>5</v>
      </c>
    </row>
    <row r="104" spans="1:9" ht="31.5" customHeight="1" thickBot="1" x14ac:dyDescent="0.25">
      <c r="A104" s="43">
        <f>'Necesidades Trimestrales'!A102</f>
        <v>93</v>
      </c>
      <c r="B104" s="44">
        <v>0</v>
      </c>
      <c r="C104" s="153" t="str">
        <f>'Necesidades Trimestrales'!E102</f>
        <v>DISCO AMPICILINA 10 µGR, ESTADO:  CALIDAD: PRO ANALISIS, PRESENTACION: ENVASE X 50 UN</v>
      </c>
      <c r="D104" s="153"/>
      <c r="E104" s="153"/>
      <c r="F104" s="48" t="s">
        <v>52</v>
      </c>
      <c r="G104" s="45" t="str">
        <f>'Necesidades Trimestrales'!F102</f>
        <v>FRASCO</v>
      </c>
      <c r="H104" s="46">
        <f>'Necesidades Trimestrales'!H102</f>
        <v>850</v>
      </c>
      <c r="I104" s="47">
        <f>'Necesidades Trimestrales'!G102</f>
        <v>5</v>
      </c>
    </row>
    <row r="105" spans="1:9" ht="32.25" customHeight="1" thickBot="1" x14ac:dyDescent="0.25">
      <c r="A105" s="43">
        <f>'Necesidades Trimestrales'!A103</f>
        <v>94</v>
      </c>
      <c r="B105" s="44">
        <v>0</v>
      </c>
      <c r="C105" s="153" t="str">
        <f>'Necesidades Trimestrales'!E103</f>
        <v>DISCO AZTREONAM 30 µGR DISCO 50 UN</v>
      </c>
      <c r="D105" s="153"/>
      <c r="E105" s="153"/>
      <c r="F105" s="48" t="s">
        <v>52</v>
      </c>
      <c r="G105" s="45" t="str">
        <f>'Necesidades Trimestrales'!F103</f>
        <v>FRASCO</v>
      </c>
      <c r="H105" s="46">
        <f>'Necesidades Trimestrales'!H103</f>
        <v>850</v>
      </c>
      <c r="I105" s="47">
        <f>'Necesidades Trimestrales'!G103</f>
        <v>1</v>
      </c>
    </row>
    <row r="106" spans="1:9" ht="33" customHeight="1" thickBot="1" x14ac:dyDescent="0.25">
      <c r="A106" s="43">
        <f>'Necesidades Trimestrales'!A104</f>
        <v>95</v>
      </c>
      <c r="B106" s="44">
        <v>0</v>
      </c>
      <c r="C106" s="153" t="str">
        <f>'Necesidades Trimestrales'!E104</f>
        <v>DISCO CEFAZOLINA, ESTADO: DISCO, CALIDAD: PRO ANALISIS, PRESENTACION: 50 X ENVASE X 30 µGR</v>
      </c>
      <c r="D106" s="153"/>
      <c r="E106" s="153"/>
      <c r="F106" s="48" t="s">
        <v>52</v>
      </c>
      <c r="G106" s="45" t="str">
        <f>'Necesidades Trimestrales'!F104</f>
        <v>FRASCO</v>
      </c>
      <c r="H106" s="46">
        <f>'Necesidades Trimestrales'!H104</f>
        <v>850</v>
      </c>
      <c r="I106" s="47">
        <f>'Necesidades Trimestrales'!G104</f>
        <v>5</v>
      </c>
    </row>
    <row r="107" spans="1:9" ht="36.75" customHeight="1" thickBot="1" x14ac:dyDescent="0.25">
      <c r="A107" s="43">
        <f>'Necesidades Trimestrales'!A105</f>
        <v>96</v>
      </c>
      <c r="B107" s="44">
        <v>0</v>
      </c>
      <c r="C107" s="153" t="str">
        <f>'Necesidades Trimestrales'!E105</f>
        <v>DISCO CEFEPIME 30 µGR, ESTADO: DISCO, CALIDAD: PRO ANALISIS, PRESENTACION: ENVASE X 50 UN</v>
      </c>
      <c r="D107" s="153"/>
      <c r="E107" s="153"/>
      <c r="F107" s="48" t="s">
        <v>52</v>
      </c>
      <c r="G107" s="45" t="str">
        <f>'Necesidades Trimestrales'!F105</f>
        <v>FRASCO</v>
      </c>
      <c r="H107" s="46">
        <f>'Necesidades Trimestrales'!H105</f>
        <v>850</v>
      </c>
      <c r="I107" s="47">
        <f>'Necesidades Trimestrales'!G105</f>
        <v>2</v>
      </c>
    </row>
    <row r="108" spans="1:9" ht="31.5" customHeight="1" thickBot="1" x14ac:dyDescent="0.25">
      <c r="A108" s="43">
        <f>'Necesidades Trimestrales'!A106</f>
        <v>97</v>
      </c>
      <c r="B108" s="44">
        <v>0</v>
      </c>
      <c r="C108" s="153" t="str">
        <f>'Necesidades Trimestrales'!E106</f>
        <v>DISCO CEFOTAXIMA 30 µGR DISCO X 50 UN</v>
      </c>
      <c r="D108" s="153"/>
      <c r="E108" s="153"/>
      <c r="F108" s="48" t="s">
        <v>52</v>
      </c>
      <c r="G108" s="45" t="str">
        <f>'Necesidades Trimestrales'!F106</f>
        <v>FRASCO</v>
      </c>
      <c r="H108" s="46">
        <f>'Necesidades Trimestrales'!H106</f>
        <v>850</v>
      </c>
      <c r="I108" s="47">
        <f>'Necesidades Trimestrales'!G106</f>
        <v>5</v>
      </c>
    </row>
    <row r="109" spans="1:9" ht="36" customHeight="1" thickBot="1" x14ac:dyDescent="0.25">
      <c r="A109" s="43">
        <f>'Necesidades Trimestrales'!A107</f>
        <v>98</v>
      </c>
      <c r="B109" s="44">
        <v>0</v>
      </c>
      <c r="C109" s="153" t="str">
        <f>'Necesidades Trimestrales'!E107</f>
        <v>DISCO CEFTAZIDIMA 30 µGR, ESTADO: DISCO, CALIDAD: PRO ANALISIS, PRESENTACION: ENVASE X 50 UN</v>
      </c>
      <c r="D109" s="153"/>
      <c r="E109" s="153"/>
      <c r="F109" s="48" t="s">
        <v>52</v>
      </c>
      <c r="G109" s="45" t="str">
        <f>'Necesidades Trimestrales'!F107</f>
        <v>FRASCO</v>
      </c>
      <c r="H109" s="46">
        <f>'Necesidades Trimestrales'!H107</f>
        <v>850</v>
      </c>
      <c r="I109" s="47">
        <f>'Necesidades Trimestrales'!G107</f>
        <v>5</v>
      </c>
    </row>
    <row r="110" spans="1:9" ht="34.5" customHeight="1" thickBot="1" x14ac:dyDescent="0.25">
      <c r="A110" s="43">
        <f>'Necesidades Trimestrales'!A108</f>
        <v>99</v>
      </c>
      <c r="B110" s="44">
        <v>0</v>
      </c>
      <c r="C110" s="153" t="str">
        <f>'Necesidades Trimestrales'!E108</f>
        <v>DISCO CEFTAZIDIMA AC.CLAVULAN.30/10 µGR DISCO X 50 UN</v>
      </c>
      <c r="D110" s="153"/>
      <c r="E110" s="153"/>
      <c r="F110" s="48" t="s">
        <v>52</v>
      </c>
      <c r="G110" s="45" t="str">
        <f>'Necesidades Trimestrales'!F108</f>
        <v>FRASCO</v>
      </c>
      <c r="H110" s="46">
        <f>'Necesidades Trimestrales'!H108</f>
        <v>850</v>
      </c>
      <c r="I110" s="47">
        <f>'Necesidades Trimestrales'!G108</f>
        <v>1</v>
      </c>
    </row>
    <row r="111" spans="1:9" ht="44.25" customHeight="1" thickBot="1" x14ac:dyDescent="0.25">
      <c r="A111" s="43">
        <f>'Necesidades Trimestrales'!A109</f>
        <v>100</v>
      </c>
      <c r="B111" s="44">
        <v>0</v>
      </c>
      <c r="C111" s="153" t="str">
        <f>'Necesidades Trimestrales'!E109</f>
        <v>DISCO CEFUROXIMA 30 µGR DISCO X 50 UN</v>
      </c>
      <c r="D111" s="153"/>
      <c r="E111" s="153"/>
      <c r="F111" s="48" t="s">
        <v>52</v>
      </c>
      <c r="G111" s="45" t="str">
        <f>'Necesidades Trimestrales'!F109</f>
        <v>FRASCO</v>
      </c>
      <c r="H111" s="46">
        <f>'Necesidades Trimestrales'!H109</f>
        <v>850</v>
      </c>
      <c r="I111" s="47">
        <f>'Necesidades Trimestrales'!G109</f>
        <v>5</v>
      </c>
    </row>
    <row r="112" spans="1:9" ht="39" customHeight="1" thickBot="1" x14ac:dyDescent="0.25">
      <c r="A112" s="43">
        <f>'Necesidades Trimestrales'!A110</f>
        <v>101</v>
      </c>
      <c r="B112" s="44">
        <v>0</v>
      </c>
      <c r="C112" s="153" t="str">
        <f>'Necesidades Trimestrales'!E110</f>
        <v>DISCO COLISTINA 10 µGR, ESTADO: DISCO, CALIDAD: PRO ANALISIS, PRESENTACION: ENVASE X 50 UN</v>
      </c>
      <c r="D112" s="153"/>
      <c r="E112" s="153"/>
      <c r="F112" s="48" t="s">
        <v>52</v>
      </c>
      <c r="G112" s="45" t="str">
        <f>'Necesidades Trimestrales'!F110</f>
        <v>FRASCO</v>
      </c>
      <c r="H112" s="46">
        <f>'Necesidades Trimestrales'!H110</f>
        <v>850</v>
      </c>
      <c r="I112" s="47">
        <f>'Necesidades Trimestrales'!G110</f>
        <v>2</v>
      </c>
    </row>
    <row r="113" spans="1:9" ht="33.75" customHeight="1" thickBot="1" x14ac:dyDescent="0.25">
      <c r="A113" s="43">
        <f>'Necesidades Trimestrales'!A111</f>
        <v>102</v>
      </c>
      <c r="B113" s="44">
        <v>0</v>
      </c>
      <c r="C113" s="153" t="str">
        <f>'Necesidades Trimestrales'!E111</f>
        <v>DISCO ERITROMICINA 15 µGR DISCO X 50 UN</v>
      </c>
      <c r="D113" s="153"/>
      <c r="E113" s="153"/>
      <c r="F113" s="48" t="s">
        <v>52</v>
      </c>
      <c r="G113" s="45" t="str">
        <f>'Necesidades Trimestrales'!F111</f>
        <v>FRASCO</v>
      </c>
      <c r="H113" s="46">
        <f>'Necesidades Trimestrales'!H111</f>
        <v>850</v>
      </c>
      <c r="I113" s="47">
        <f>'Necesidades Trimestrales'!G111</f>
        <v>5</v>
      </c>
    </row>
    <row r="114" spans="1:9" ht="38.25" customHeight="1" thickBot="1" x14ac:dyDescent="0.25">
      <c r="A114" s="43">
        <f>'Necesidades Trimestrales'!A112</f>
        <v>103</v>
      </c>
      <c r="B114" s="44">
        <v>0</v>
      </c>
      <c r="C114" s="153" t="str">
        <f>'Necesidades Trimestrales'!E112</f>
        <v>DISCO ESTREPTOMICINA 300 µGR, ESTADO: DISCO, CALIDAD: PRO ANALISIS, PRESENTACION: ENVASE X 50 UN</v>
      </c>
      <c r="D114" s="153"/>
      <c r="E114" s="153"/>
      <c r="F114" s="48" t="s">
        <v>52</v>
      </c>
      <c r="G114" s="45" t="str">
        <f>'Necesidades Trimestrales'!F112</f>
        <v>FRASCO</v>
      </c>
      <c r="H114" s="46">
        <f>'Necesidades Trimestrales'!H112</f>
        <v>850</v>
      </c>
      <c r="I114" s="47">
        <f>'Necesidades Trimestrales'!G112</f>
        <v>1</v>
      </c>
    </row>
    <row r="115" spans="1:9" ht="33.75" customHeight="1" thickBot="1" x14ac:dyDescent="0.25">
      <c r="A115" s="43">
        <f>'Necesidades Trimestrales'!A113</f>
        <v>104</v>
      </c>
      <c r="B115" s="44">
        <v>0</v>
      </c>
      <c r="C115" s="153" t="str">
        <f>'Necesidades Trimestrales'!E113</f>
        <v>DISCO FOSFOMICINA TROMETAMOL 200 UGX 50 UN</v>
      </c>
      <c r="D115" s="153"/>
      <c r="E115" s="153"/>
      <c r="F115" s="48" t="s">
        <v>52</v>
      </c>
      <c r="G115" s="45" t="str">
        <f>'Necesidades Trimestrales'!F113</f>
        <v>FRASCO</v>
      </c>
      <c r="H115" s="46">
        <f>'Necesidades Trimestrales'!H113</f>
        <v>850</v>
      </c>
      <c r="I115" s="47">
        <f>'Necesidades Trimestrales'!G113</f>
        <v>1</v>
      </c>
    </row>
    <row r="116" spans="1:9" ht="41.25" customHeight="1" thickBot="1" x14ac:dyDescent="0.25">
      <c r="A116" s="43">
        <f>'Necesidades Trimestrales'!A114</f>
        <v>105</v>
      </c>
      <c r="B116" s="44">
        <v>0</v>
      </c>
      <c r="C116" s="153" t="str">
        <f>'Necesidades Trimestrales'!E114</f>
        <v>DISCO IMIPENEM 10 µGR, ESTADO: DISCO, CALIDAD: PRO ANALISIS, PRESENTACION: ENVASE X 50 UN</v>
      </c>
      <c r="D116" s="153"/>
      <c r="E116" s="153"/>
      <c r="F116" s="48" t="s">
        <v>52</v>
      </c>
      <c r="G116" s="45" t="str">
        <f>'Necesidades Trimestrales'!F114</f>
        <v>FRASCO</v>
      </c>
      <c r="H116" s="46">
        <f>'Necesidades Trimestrales'!H114</f>
        <v>850</v>
      </c>
      <c r="I116" s="47">
        <f>'Necesidades Trimestrales'!G114</f>
        <v>5</v>
      </c>
    </row>
    <row r="117" spans="1:9" ht="33" customHeight="1" thickBot="1" x14ac:dyDescent="0.25">
      <c r="A117" s="43">
        <f>'Necesidades Trimestrales'!A115</f>
        <v>106</v>
      </c>
      <c r="B117" s="44">
        <v>0</v>
      </c>
      <c r="C117" s="153" t="str">
        <f>'Necesidades Trimestrales'!E115</f>
        <v>DISCO LEVOFLOXACINA 5 µGR DISCO X 50 UN</v>
      </c>
      <c r="D117" s="153"/>
      <c r="E117" s="153"/>
      <c r="F117" s="48" t="s">
        <v>52</v>
      </c>
      <c r="G117" s="45" t="str">
        <f>'Necesidades Trimestrales'!F115</f>
        <v>FRASCO</v>
      </c>
      <c r="H117" s="46">
        <f>'Necesidades Trimestrales'!H115</f>
        <v>850</v>
      </c>
      <c r="I117" s="47">
        <f>'Necesidades Trimestrales'!G115</f>
        <v>1</v>
      </c>
    </row>
    <row r="118" spans="1:9" ht="27.75" customHeight="1" thickBot="1" x14ac:dyDescent="0.25">
      <c r="A118" s="43">
        <f>'Necesidades Trimestrales'!A116</f>
        <v>107</v>
      </c>
      <c r="B118" s="44">
        <v>0</v>
      </c>
      <c r="C118" s="153" t="str">
        <f>'Necesidades Trimestrales'!E116</f>
        <v>DISCO MEROPENEM 10 µGR, ESTADO: DISCO, CALIDAD: PRO ANALISIS, PRESENTACION: ENVASE X 50 UN</v>
      </c>
      <c r="D118" s="153"/>
      <c r="E118" s="153"/>
      <c r="F118" s="48" t="s">
        <v>52</v>
      </c>
      <c r="G118" s="45" t="str">
        <f>'Necesidades Trimestrales'!F116</f>
        <v>FRASCO</v>
      </c>
      <c r="H118" s="46">
        <f>'Necesidades Trimestrales'!H116</f>
        <v>850</v>
      </c>
      <c r="I118" s="47">
        <f>'Necesidades Trimestrales'!G116</f>
        <v>5</v>
      </c>
    </row>
    <row r="119" spans="1:9" ht="33" customHeight="1" thickBot="1" x14ac:dyDescent="0.25">
      <c r="A119" s="43">
        <f>'Necesidades Trimestrales'!A117</f>
        <v>108</v>
      </c>
      <c r="B119" s="44">
        <v>0</v>
      </c>
      <c r="C119" s="153" t="str">
        <f>'Necesidades Trimestrales'!E117</f>
        <v>DISCO NITROFURANTOINA 300 µGR, ESTADO: DISCO, CALIDAD: PRO ANALISIS, PRESENTACION: ENVASE X 50 UN</v>
      </c>
      <c r="D119" s="153"/>
      <c r="E119" s="153"/>
      <c r="F119" s="48" t="s">
        <v>52</v>
      </c>
      <c r="G119" s="45" t="str">
        <f>'Necesidades Trimestrales'!F117</f>
        <v>FRASCO</v>
      </c>
      <c r="H119" s="46">
        <f>'Necesidades Trimestrales'!H117</f>
        <v>850</v>
      </c>
      <c r="I119" s="47">
        <f>'Necesidades Trimestrales'!G117</f>
        <v>5</v>
      </c>
    </row>
    <row r="120" spans="1:9" ht="27.75" customHeight="1" thickBot="1" x14ac:dyDescent="0.25">
      <c r="A120" s="43">
        <f>'Necesidades Trimestrales'!A118</f>
        <v>109</v>
      </c>
      <c r="B120" s="44">
        <v>0</v>
      </c>
      <c r="C120" s="153" t="str">
        <f>'Necesidades Trimestrales'!E118</f>
        <v>DISCO OXACILINA 1 µGR, ESTADO: DISCO, CALIDAD: PRO ANALISIS, PRESENTACION: ENVASE X 50 UN</v>
      </c>
      <c r="D120" s="153"/>
      <c r="E120" s="153"/>
      <c r="F120" s="48" t="s">
        <v>52</v>
      </c>
      <c r="G120" s="45" t="str">
        <f>'Necesidades Trimestrales'!F118</f>
        <v>FRASCO</v>
      </c>
      <c r="H120" s="46">
        <f>'Necesidades Trimestrales'!H118</f>
        <v>850</v>
      </c>
      <c r="I120" s="47">
        <f>'Necesidades Trimestrales'!G118</f>
        <v>10</v>
      </c>
    </row>
    <row r="121" spans="1:9" ht="36.75" customHeight="1" thickBot="1" x14ac:dyDescent="0.25">
      <c r="A121" s="43">
        <f>'Necesidades Trimestrales'!A119</f>
        <v>110</v>
      </c>
      <c r="B121" s="44">
        <v>0</v>
      </c>
      <c r="C121" s="153" t="str">
        <f>'Necesidades Trimestrales'!E119</f>
        <v>DISCO OXIDASA DISCOS X  25 U</v>
      </c>
      <c r="D121" s="153"/>
      <c r="E121" s="153"/>
      <c r="F121" s="48" t="s">
        <v>52</v>
      </c>
      <c r="G121" s="45" t="str">
        <f>'Necesidades Trimestrales'!F119</f>
        <v>FRASCO</v>
      </c>
      <c r="H121" s="46">
        <f>'Necesidades Trimestrales'!H119</f>
        <v>1350</v>
      </c>
      <c r="I121" s="47">
        <f>'Necesidades Trimestrales'!G119</f>
        <v>1</v>
      </c>
    </row>
    <row r="122" spans="1:9" ht="33.75" customHeight="1" thickBot="1" x14ac:dyDescent="0.25">
      <c r="A122" s="43">
        <f>'Necesidades Trimestrales'!A120</f>
        <v>111</v>
      </c>
      <c r="B122" s="44">
        <v>0</v>
      </c>
      <c r="C122" s="153" t="str">
        <f>'Necesidades Trimestrales'!E120</f>
        <v>DISCO PIPERACILINA TAZOBACTAM 100/10 µGR, ESTADO: DISCO, CALIDAD: PRO ANALISIS, PRESENTACION: ENVASE X 50 UN</v>
      </c>
      <c r="D122" s="153"/>
      <c r="E122" s="153"/>
      <c r="F122" s="48" t="s">
        <v>52</v>
      </c>
      <c r="G122" s="45" t="str">
        <f>'Necesidades Trimestrales'!F120</f>
        <v>FRASCO</v>
      </c>
      <c r="H122" s="46">
        <f>'Necesidades Trimestrales'!H120</f>
        <v>850</v>
      </c>
      <c r="I122" s="47">
        <f>'Necesidades Trimestrales'!G120</f>
        <v>5</v>
      </c>
    </row>
    <row r="123" spans="1:9" ht="33" customHeight="1" thickBot="1" x14ac:dyDescent="0.25">
      <c r="A123" s="43">
        <f>'Necesidades Trimestrales'!A121</f>
        <v>112</v>
      </c>
      <c r="B123" s="44">
        <v>0</v>
      </c>
      <c r="C123" s="153" t="str">
        <f>'Necesidades Trimestrales'!E121</f>
        <v>DISCO TEICOPLANINA 30 µGR, ESTADO: DISCO, CALIDAD: PRO ANALISIS, PRESENTACION: ENVASE X 50 UN</v>
      </c>
      <c r="D123" s="153"/>
      <c r="E123" s="153"/>
      <c r="F123" s="48" t="s">
        <v>52</v>
      </c>
      <c r="G123" s="45" t="str">
        <f>'Necesidades Trimestrales'!F121</f>
        <v>FRASCO</v>
      </c>
      <c r="H123" s="46">
        <f>'Necesidades Trimestrales'!H121</f>
        <v>850</v>
      </c>
      <c r="I123" s="47">
        <f>'Necesidades Trimestrales'!G121</f>
        <v>2</v>
      </c>
    </row>
    <row r="124" spans="1:9" ht="33" customHeight="1" thickBot="1" x14ac:dyDescent="0.25">
      <c r="A124" s="43">
        <f>'Necesidades Trimestrales'!A122</f>
        <v>113</v>
      </c>
      <c r="B124" s="44">
        <v>0</v>
      </c>
      <c r="C124" s="153" t="str">
        <f>'Necesidades Trimestrales'!E122</f>
        <v>DISCO TIGECICLINA 50 µGR, ESTADO: DISCO, CALIDAD: PRO ANALISIS, PRESENTACION: ENVASE X 50 UN</v>
      </c>
      <c r="D124" s="153"/>
      <c r="E124" s="153"/>
      <c r="F124" s="48" t="s">
        <v>52</v>
      </c>
      <c r="G124" s="45" t="str">
        <f>'Necesidades Trimestrales'!F122</f>
        <v>FRASCO</v>
      </c>
      <c r="H124" s="46">
        <f>'Necesidades Trimestrales'!H122</f>
        <v>850</v>
      </c>
      <c r="I124" s="47">
        <f>'Necesidades Trimestrales'!G122</f>
        <v>1</v>
      </c>
    </row>
    <row r="125" spans="1:9" ht="32.25" customHeight="1" thickBot="1" x14ac:dyDescent="0.25">
      <c r="A125" s="43">
        <f>'Necesidades Trimestrales'!A123</f>
        <v>114</v>
      </c>
      <c r="B125" s="44">
        <v>0</v>
      </c>
      <c r="C125" s="153" t="str">
        <f>'Necesidades Trimestrales'!E123</f>
        <v>DISCOS CEFOTAXIMA/CLAVULÀNICO 30/10X 50T/BRITANIA Y/OLIOFILCHEM</v>
      </c>
      <c r="D125" s="153"/>
      <c r="E125" s="153"/>
      <c r="F125" s="48" t="s">
        <v>52</v>
      </c>
      <c r="G125" s="45" t="str">
        <f>'Necesidades Trimestrales'!F123</f>
        <v>FRASCO</v>
      </c>
      <c r="H125" s="46">
        <f>'Necesidades Trimestrales'!H123</f>
        <v>850</v>
      </c>
      <c r="I125" s="47">
        <f>'Necesidades Trimestrales'!G123</f>
        <v>1</v>
      </c>
    </row>
    <row r="126" spans="1:9" ht="39" customHeight="1" thickBot="1" x14ac:dyDescent="0.25">
      <c r="A126" s="43">
        <f>'Necesidades Trimestrales'!A124</f>
        <v>115</v>
      </c>
      <c r="B126" s="44">
        <v>0</v>
      </c>
      <c r="C126" s="153" t="str">
        <f>'Necesidades Trimestrales'!E124</f>
        <v>DISCOS DE CEFOXITINA 30 UG. X 50 T/LIOFILCHEM Y/O BRITANIA</v>
      </c>
      <c r="D126" s="153"/>
      <c r="E126" s="153"/>
      <c r="F126" s="48" t="s">
        <v>52</v>
      </c>
      <c r="G126" s="45" t="str">
        <f>'Necesidades Trimestrales'!F124</f>
        <v>FRASCO</v>
      </c>
      <c r="H126" s="46">
        <f>'Necesidades Trimestrales'!H124</f>
        <v>850</v>
      </c>
      <c r="I126" s="47">
        <f>'Necesidades Trimestrales'!G124</f>
        <v>5</v>
      </c>
    </row>
    <row r="127" spans="1:9" ht="37.5" customHeight="1" thickBot="1" x14ac:dyDescent="0.25">
      <c r="A127" s="43">
        <f>'Necesidades Trimestrales'!A125</f>
        <v>116</v>
      </c>
      <c r="B127" s="44">
        <v>0</v>
      </c>
      <c r="C127" s="153" t="str">
        <f>'Necesidades Trimestrales'!E125</f>
        <v>DISCOS DE CIPROFLOXACINA X 5 UG X 50 T/BRITANIA Y/O LIOFILCHEM</v>
      </c>
      <c r="D127" s="153"/>
      <c r="E127" s="153"/>
      <c r="F127" s="48" t="s">
        <v>52</v>
      </c>
      <c r="G127" s="45" t="str">
        <f>'Necesidades Trimestrales'!F125</f>
        <v>FRASCO</v>
      </c>
      <c r="H127" s="46">
        <f>'Necesidades Trimestrales'!H125</f>
        <v>850</v>
      </c>
      <c r="I127" s="47">
        <f>'Necesidades Trimestrales'!G125</f>
        <v>1</v>
      </c>
    </row>
    <row r="128" spans="1:9" ht="35.25" customHeight="1" thickBot="1" x14ac:dyDescent="0.25">
      <c r="A128" s="43">
        <f>'Necesidades Trimestrales'!A126</f>
        <v>117</v>
      </c>
      <c r="B128" s="44">
        <v>0</v>
      </c>
      <c r="C128" s="153" t="str">
        <f>'Necesidades Trimestrales'!E126</f>
        <v>DISCOS DE CLINDAMICINA 2 UG.  X 50 T/BRITANIA Y/O LIOFILCHEM</v>
      </c>
      <c r="D128" s="153"/>
      <c r="E128" s="153"/>
      <c r="F128" s="48" t="s">
        <v>52</v>
      </c>
      <c r="G128" s="45" t="str">
        <f>'Necesidades Trimestrales'!F126</f>
        <v>FRASCO</v>
      </c>
      <c r="H128" s="46">
        <f>'Necesidades Trimestrales'!H126</f>
        <v>850</v>
      </c>
      <c r="I128" s="47">
        <f>'Necesidades Trimestrales'!G126</f>
        <v>5</v>
      </c>
    </row>
    <row r="129" spans="1:9" ht="45.75" customHeight="1" thickBot="1" x14ac:dyDescent="0.25">
      <c r="A129" s="43">
        <f>'Necesidades Trimestrales'!A127</f>
        <v>118</v>
      </c>
      <c r="B129" s="44">
        <v>0</v>
      </c>
      <c r="C129" s="153" t="str">
        <f>'Necesidades Trimestrales'!E127</f>
        <v>DISCOS DE ERTAPENEM 10 UG X 50 T/BRITANIA Y/O LIOFILCHEM</v>
      </c>
      <c r="D129" s="153"/>
      <c r="E129" s="153"/>
      <c r="F129" s="48" t="s">
        <v>52</v>
      </c>
      <c r="G129" s="45" t="str">
        <f>'Necesidades Trimestrales'!F127</f>
        <v>FRASCO</v>
      </c>
      <c r="H129" s="46">
        <f>'Necesidades Trimestrales'!H127</f>
        <v>850</v>
      </c>
      <c r="I129" s="47">
        <f>'Necesidades Trimestrales'!G127</f>
        <v>2</v>
      </c>
    </row>
    <row r="130" spans="1:9" ht="42.75" customHeight="1" thickBot="1" x14ac:dyDescent="0.25">
      <c r="A130" s="43">
        <f>'Necesidades Trimestrales'!A128</f>
        <v>119</v>
      </c>
      <c r="B130" s="44">
        <v>0</v>
      </c>
      <c r="C130" s="153" t="str">
        <f>'Necesidades Trimestrales'!E128</f>
        <v>DISCOS DE GENTAMICINA 120 UG X 50 U</v>
      </c>
      <c r="D130" s="153"/>
      <c r="E130" s="153"/>
      <c r="F130" s="48" t="s">
        <v>52</v>
      </c>
      <c r="G130" s="45" t="str">
        <f>'Necesidades Trimestrales'!F128</f>
        <v>FRASCO</v>
      </c>
      <c r="H130" s="46">
        <f>'Necesidades Trimestrales'!H128</f>
        <v>850</v>
      </c>
      <c r="I130" s="47">
        <f>'Necesidades Trimestrales'!G128</f>
        <v>1</v>
      </c>
    </row>
    <row r="131" spans="1:9" ht="47.25" customHeight="1" thickBot="1" x14ac:dyDescent="0.25">
      <c r="A131" s="43">
        <f>'Necesidades Trimestrales'!A129</f>
        <v>120</v>
      </c>
      <c r="B131" s="44">
        <v>0</v>
      </c>
      <c r="C131" s="153" t="str">
        <f>'Necesidades Trimestrales'!E129</f>
        <v>DISCOS DE GENTAMICINA X 10 UG. X 50 T/BRITANIA</v>
      </c>
      <c r="D131" s="153"/>
      <c r="E131" s="153"/>
      <c r="F131" s="48" t="s">
        <v>52</v>
      </c>
      <c r="G131" s="45" t="str">
        <f>'Necesidades Trimestrales'!F129</f>
        <v>FRASCO</v>
      </c>
      <c r="H131" s="46">
        <f>'Necesidades Trimestrales'!H129</f>
        <v>850</v>
      </c>
      <c r="I131" s="47">
        <f>'Necesidades Trimestrales'!G129</f>
        <v>5</v>
      </c>
    </row>
    <row r="132" spans="1:9" ht="47.25" customHeight="1" thickBot="1" x14ac:dyDescent="0.25">
      <c r="A132" s="43">
        <f>'Necesidades Trimestrales'!A130</f>
        <v>121</v>
      </c>
      <c r="B132" s="44">
        <v>0</v>
      </c>
      <c r="C132" s="153" t="str">
        <f>'Necesidades Trimestrales'!E130</f>
        <v>DISCOS DE MINOCICLINA X 50 U - BRITANIA</v>
      </c>
      <c r="D132" s="153"/>
      <c r="E132" s="153"/>
      <c r="F132" s="48" t="s">
        <v>52</v>
      </c>
      <c r="G132" s="45" t="str">
        <f>'Necesidades Trimestrales'!F130</f>
        <v>FRASCO</v>
      </c>
      <c r="H132" s="46">
        <f>'Necesidades Trimestrales'!H130</f>
        <v>850</v>
      </c>
      <c r="I132" s="47">
        <f>'Necesidades Trimestrales'!G130</f>
        <v>5</v>
      </c>
    </row>
    <row r="133" spans="1:9" ht="35.25" customHeight="1" thickBot="1" x14ac:dyDescent="0.25">
      <c r="A133" s="43">
        <f>'Necesidades Trimestrales'!A131</f>
        <v>122</v>
      </c>
      <c r="B133" s="44">
        <v>0</v>
      </c>
      <c r="C133" s="153" t="str">
        <f>'Necesidades Trimestrales'!E131</f>
        <v>DISCOS DE RIFAMPICINA X 5UG. X 50  T/LIOFILCHEM Y/O BRITANIA</v>
      </c>
      <c r="D133" s="153"/>
      <c r="E133" s="153"/>
      <c r="F133" s="48" t="s">
        <v>52</v>
      </c>
      <c r="G133" s="45" t="str">
        <f>'Necesidades Trimestrales'!F131</f>
        <v>FRASCO</v>
      </c>
      <c r="H133" s="46">
        <f>'Necesidades Trimestrales'!H131</f>
        <v>850</v>
      </c>
      <c r="I133" s="47">
        <f>'Necesidades Trimestrales'!G131</f>
        <v>5</v>
      </c>
    </row>
    <row r="134" spans="1:9" ht="35.25" customHeight="1" thickBot="1" x14ac:dyDescent="0.25">
      <c r="A134" s="43">
        <f>'Necesidades Trimestrales'!A132</f>
        <v>123</v>
      </c>
      <c r="B134" s="44">
        <v>0</v>
      </c>
      <c r="C134" s="153" t="str">
        <f>'Necesidades Trimestrales'!E132</f>
        <v>ECOTERGENT  X 60 ML COBAS C-311 ROCHE</v>
      </c>
      <c r="D134" s="153"/>
      <c r="E134" s="153"/>
      <c r="F134" s="48" t="s">
        <v>52</v>
      </c>
      <c r="G134" s="45" t="str">
        <f>'Necesidades Trimestrales'!F132</f>
        <v>CASSETTE</v>
      </c>
      <c r="H134" s="46">
        <f>'Necesidades Trimestrales'!H132</f>
        <v>4909</v>
      </c>
      <c r="I134" s="47">
        <f>'Necesidades Trimestrales'!G132</f>
        <v>20</v>
      </c>
    </row>
    <row r="135" spans="1:9" ht="35.25" customHeight="1" thickBot="1" x14ac:dyDescent="0.25">
      <c r="A135" s="43">
        <f>'Necesidades Trimestrales'!A133</f>
        <v>124</v>
      </c>
      <c r="B135" s="44">
        <v>0</v>
      </c>
      <c r="C135" s="153" t="str">
        <f>'Necesidades Trimestrales'!E133</f>
        <v>EDTA DISCO X 50 UN</v>
      </c>
      <c r="D135" s="153"/>
      <c r="E135" s="153"/>
      <c r="F135" s="48" t="s">
        <v>52</v>
      </c>
      <c r="G135" s="45" t="str">
        <f>'Necesidades Trimestrales'!F133</f>
        <v>CAJA</v>
      </c>
      <c r="H135" s="46">
        <f>'Necesidades Trimestrales'!H133</f>
        <v>2500</v>
      </c>
      <c r="I135" s="47">
        <f>'Necesidades Trimestrales'!G133</f>
        <v>2</v>
      </c>
    </row>
    <row r="136" spans="1:9" ht="35.25" customHeight="1" thickBot="1" x14ac:dyDescent="0.25">
      <c r="A136" s="43">
        <f>'Necesidades Trimestrales'!A134</f>
        <v>125</v>
      </c>
      <c r="B136" s="44">
        <v>0</v>
      </c>
      <c r="C136" s="153" t="str">
        <f>'Necesidades Trimestrales'!E134</f>
        <v>ELECSYS  PIGF CALSET X 10 CAL - ROCHE</v>
      </c>
      <c r="D136" s="153"/>
      <c r="E136" s="153"/>
      <c r="F136" s="48" t="s">
        <v>52</v>
      </c>
      <c r="G136" s="45" t="str">
        <f>'Necesidades Trimestrales'!F134</f>
        <v>CAJA</v>
      </c>
      <c r="H136" s="46">
        <f>'Necesidades Trimestrales'!H134</f>
        <v>39998</v>
      </c>
      <c r="I136" s="47">
        <f>'Necesidades Trimestrales'!G134</f>
        <v>1</v>
      </c>
    </row>
    <row r="137" spans="1:9" ht="35.25" customHeight="1" thickBot="1" x14ac:dyDescent="0.25">
      <c r="A137" s="43">
        <f>'Necesidades Trimestrales'!A135</f>
        <v>126</v>
      </c>
      <c r="B137" s="44">
        <v>0</v>
      </c>
      <c r="C137" s="153" t="str">
        <f>'Necesidades Trimestrales'!E135</f>
        <v>ELECSYS DILUYENTE UNIVERSAL COBAS E-411 ROCHE  X 2 X 18 ML</v>
      </c>
      <c r="D137" s="153"/>
      <c r="E137" s="153"/>
      <c r="F137" s="48" t="s">
        <v>52</v>
      </c>
      <c r="G137" s="45" t="str">
        <f>'Necesidades Trimestrales'!F135</f>
        <v>CAJA</v>
      </c>
      <c r="H137" s="46">
        <f>'Necesidades Trimestrales'!H135</f>
        <v>8358</v>
      </c>
      <c r="I137" s="47">
        <f>'Necesidades Trimestrales'!G135</f>
        <v>1</v>
      </c>
    </row>
    <row r="138" spans="1:9" ht="35.25" customHeight="1" thickBot="1" x14ac:dyDescent="0.25">
      <c r="A138" s="43">
        <f>'Necesidades Trimestrales'!A136</f>
        <v>127</v>
      </c>
      <c r="B138" s="44">
        <v>0</v>
      </c>
      <c r="C138" s="153" t="str">
        <f>'Necesidades Trimestrales'!E136</f>
        <v>ELECSYS FREE B-hCg CALSET X 10 CAL - ROCHE</v>
      </c>
      <c r="D138" s="153"/>
      <c r="E138" s="153"/>
      <c r="F138" s="48" t="s">
        <v>52</v>
      </c>
      <c r="G138" s="45" t="str">
        <f>'Necesidades Trimestrales'!F136</f>
        <v>CAJA</v>
      </c>
      <c r="H138" s="46">
        <f>'Necesidades Trimestrales'!H136</f>
        <v>38383</v>
      </c>
      <c r="I138" s="47">
        <f>'Necesidades Trimestrales'!G136</f>
        <v>1</v>
      </c>
    </row>
    <row r="139" spans="1:9" ht="35.25" customHeight="1" thickBot="1" x14ac:dyDescent="0.25">
      <c r="A139" s="43">
        <f>'Necesidades Trimestrales'!A137</f>
        <v>128</v>
      </c>
      <c r="B139" s="44">
        <v>0</v>
      </c>
      <c r="C139" s="153" t="str">
        <f>'Necesidades Trimestrales'!E137</f>
        <v xml:space="preserve">ELECSYS FREE B-hCg x 100 DET - ROCHE </v>
      </c>
      <c r="D139" s="153"/>
      <c r="E139" s="153"/>
      <c r="F139" s="48" t="s">
        <v>52</v>
      </c>
      <c r="G139" s="45" t="str">
        <f>'Necesidades Trimestrales'!F137</f>
        <v>CAJA</v>
      </c>
      <c r="H139" s="46">
        <f>'Necesidades Trimestrales'!H137</f>
        <v>81502</v>
      </c>
      <c r="I139" s="47">
        <f>'Necesidades Trimestrales'!G137</f>
        <v>1</v>
      </c>
    </row>
    <row r="140" spans="1:9" ht="35.25" customHeight="1" thickBot="1" x14ac:dyDescent="0.25">
      <c r="A140" s="43">
        <f>'Necesidades Trimestrales'!A138</f>
        <v>129</v>
      </c>
      <c r="B140" s="44">
        <v>0</v>
      </c>
      <c r="C140" s="153" t="str">
        <f>'Necesidades Trimestrales'!E138</f>
        <v>ELECSYS PAPP-A ( pregnancy-associated plasma protein A) X 100 DET - ROCHE</v>
      </c>
      <c r="D140" s="153"/>
      <c r="E140" s="153"/>
      <c r="F140" s="48" t="s">
        <v>52</v>
      </c>
      <c r="G140" s="45" t="str">
        <f>'Necesidades Trimestrales'!F138</f>
        <v>CAJA</v>
      </c>
      <c r="H140" s="46">
        <f>'Necesidades Trimestrales'!H138</f>
        <v>81502</v>
      </c>
      <c r="I140" s="47">
        <f>'Necesidades Trimestrales'!G138</f>
        <v>1</v>
      </c>
    </row>
    <row r="141" spans="1:9" ht="35.25" customHeight="1" thickBot="1" x14ac:dyDescent="0.25">
      <c r="A141" s="43">
        <f>'Necesidades Trimestrales'!A139</f>
        <v>130</v>
      </c>
      <c r="B141" s="44">
        <v>0</v>
      </c>
      <c r="C141" s="153" t="str">
        <f>'Necesidades Trimestrales'!E139</f>
        <v>ELECSYS SYSWASH COBAS E-411 ROCHE  X  500 ML</v>
      </c>
      <c r="D141" s="153"/>
      <c r="E141" s="153"/>
      <c r="F141" s="48" t="s">
        <v>52</v>
      </c>
      <c r="G141" s="45" t="str">
        <f>'Necesidades Trimestrales'!F139</f>
        <v>CAJA</v>
      </c>
      <c r="H141" s="46">
        <f>'Necesidades Trimestrales'!H139</f>
        <v>3240</v>
      </c>
      <c r="I141" s="47">
        <f>'Necesidades Trimestrales'!G139</f>
        <v>8</v>
      </c>
    </row>
    <row r="142" spans="1:9" ht="35.25" customHeight="1" thickBot="1" x14ac:dyDescent="0.25">
      <c r="A142" s="43">
        <f>'Necesidades Trimestrales'!A140</f>
        <v>131</v>
      </c>
      <c r="B142" s="44">
        <v>0</v>
      </c>
      <c r="C142" s="153" t="str">
        <f>'Necesidades Trimestrales'!E140</f>
        <v>FOSFATASA ALCALINA ALP2 (IFCC) COBAS C-311 ROCHE  X 400 DET</v>
      </c>
      <c r="D142" s="153"/>
      <c r="E142" s="153"/>
      <c r="F142" s="48" t="s">
        <v>52</v>
      </c>
      <c r="G142" s="45" t="str">
        <f>'Necesidades Trimestrales'!F140</f>
        <v>CASSETTE</v>
      </c>
      <c r="H142" s="46">
        <f>'Necesidades Trimestrales'!H140</f>
        <v>7391</v>
      </c>
      <c r="I142" s="47">
        <f>'Necesidades Trimestrales'!G140</f>
        <v>6</v>
      </c>
    </row>
    <row r="143" spans="1:9" ht="35.25" customHeight="1" thickBot="1" x14ac:dyDescent="0.25">
      <c r="A143" s="43">
        <f>'Necesidades Trimestrales'!A141</f>
        <v>132</v>
      </c>
      <c r="B143" s="44">
        <v>0</v>
      </c>
      <c r="C143" s="153" t="str">
        <f>'Necesidades Trimestrales'!E141</f>
        <v>FOSFORO COBAS C-311 ROCHE  X 250 DET</v>
      </c>
      <c r="D143" s="153"/>
      <c r="E143" s="153"/>
      <c r="F143" s="48" t="s">
        <v>52</v>
      </c>
      <c r="G143" s="45" t="str">
        <f>'Necesidades Trimestrales'!F141</f>
        <v>CASSETTE</v>
      </c>
      <c r="H143" s="46">
        <f>'Necesidades Trimestrales'!H141</f>
        <v>3700</v>
      </c>
      <c r="I143" s="47">
        <f>'Necesidades Trimestrales'!G141</f>
        <v>1</v>
      </c>
    </row>
    <row r="144" spans="1:9" ht="35.25" customHeight="1" thickBot="1" x14ac:dyDescent="0.25">
      <c r="A144" s="43">
        <f>'Necesidades Trimestrales'!A142</f>
        <v>133</v>
      </c>
      <c r="B144" s="44">
        <v>0</v>
      </c>
      <c r="C144" s="153" t="str">
        <f>'Necesidades Trimestrales'!E142</f>
        <v>GAS 1 PARA ABL 800</v>
      </c>
      <c r="D144" s="153"/>
      <c r="E144" s="153"/>
      <c r="F144" s="48" t="s">
        <v>52</v>
      </c>
      <c r="G144" s="45" t="str">
        <f>'Necesidades Trimestrales'!F142</f>
        <v>UNIDAD</v>
      </c>
      <c r="H144" s="46">
        <f>'Necesidades Trimestrales'!H142</f>
        <v>62000</v>
      </c>
      <c r="I144" s="47">
        <f>'Necesidades Trimestrales'!G142</f>
        <v>1</v>
      </c>
    </row>
    <row r="145" spans="1:9" ht="35.25" customHeight="1" thickBot="1" x14ac:dyDescent="0.25">
      <c r="A145" s="43">
        <f>'Necesidades Trimestrales'!A143</f>
        <v>134</v>
      </c>
      <c r="B145" s="44">
        <v>0</v>
      </c>
      <c r="C145" s="153" t="str">
        <f>'Necesidades Trimestrales'!E143</f>
        <v>GAS 2 PARA ABL 800</v>
      </c>
      <c r="D145" s="153"/>
      <c r="E145" s="153"/>
      <c r="F145" s="48" t="s">
        <v>52</v>
      </c>
      <c r="G145" s="45" t="str">
        <f>'Necesidades Trimestrales'!F143</f>
        <v>UNIDAD</v>
      </c>
      <c r="H145" s="46">
        <f>'Necesidades Trimestrales'!H143</f>
        <v>62000</v>
      </c>
      <c r="I145" s="47">
        <f>'Necesidades Trimestrales'!G143</f>
        <v>1</v>
      </c>
    </row>
    <row r="146" spans="1:9" ht="35.25" customHeight="1" thickBot="1" x14ac:dyDescent="0.25">
      <c r="A146" s="43">
        <f>'Necesidades Trimestrales'!A144</f>
        <v>135</v>
      </c>
      <c r="B146" s="44">
        <v>0</v>
      </c>
      <c r="C146" s="153" t="str">
        <f>'Necesidades Trimestrales'!E144</f>
        <v>GGT COBAS C-311 ROCHE X 400 DET</v>
      </c>
      <c r="D146" s="153"/>
      <c r="E146" s="153"/>
      <c r="F146" s="48" t="s">
        <v>52</v>
      </c>
      <c r="G146" s="45" t="str">
        <f>'Necesidades Trimestrales'!F144</f>
        <v>CASSETTE</v>
      </c>
      <c r="H146" s="46">
        <f>'Necesidades Trimestrales'!H144</f>
        <v>7737</v>
      </c>
      <c r="I146" s="47">
        <f>'Necesidades Trimestrales'!G144</f>
        <v>1</v>
      </c>
    </row>
    <row r="147" spans="1:9" ht="35.25" customHeight="1" thickBot="1" x14ac:dyDescent="0.25">
      <c r="A147" s="43">
        <f>'Necesidades Trimestrales'!A145</f>
        <v>136</v>
      </c>
      <c r="B147" s="44">
        <v>0</v>
      </c>
      <c r="C147" s="153" t="str">
        <f>'Necesidades Trimestrales'!E145</f>
        <v>GLUCOCURVE 75  X 10 SOBRES 82,5 G C/U</v>
      </c>
      <c r="D147" s="153"/>
      <c r="E147" s="153"/>
      <c r="F147" s="48" t="s">
        <v>52</v>
      </c>
      <c r="G147" s="45" t="str">
        <f>'Necesidades Trimestrales'!F145</f>
        <v>CAJA</v>
      </c>
      <c r="H147" s="46">
        <f>'Necesidades Trimestrales'!H145</f>
        <v>750</v>
      </c>
      <c r="I147" s="47">
        <f>'Necesidades Trimestrales'!G145</f>
        <v>35</v>
      </c>
    </row>
    <row r="148" spans="1:9" ht="35.25" customHeight="1" thickBot="1" x14ac:dyDescent="0.25">
      <c r="A148" s="43">
        <f>'Necesidades Trimestrales'!A146</f>
        <v>137</v>
      </c>
      <c r="B148" s="44">
        <v>0</v>
      </c>
      <c r="C148" s="153" t="str">
        <f>'Necesidades Trimestrales'!E146</f>
        <v>GLUCOSA HK GEN COBAS C-311 ROCHE X 800 DET</v>
      </c>
      <c r="D148" s="153"/>
      <c r="E148" s="153"/>
      <c r="F148" s="48" t="s">
        <v>52</v>
      </c>
      <c r="G148" s="45" t="str">
        <f>'Necesidades Trimestrales'!F146</f>
        <v>CASSETTE</v>
      </c>
      <c r="H148" s="46">
        <f>'Necesidades Trimestrales'!H146</f>
        <v>7701</v>
      </c>
      <c r="I148" s="47">
        <f>'Necesidades Trimestrales'!G146</f>
        <v>4</v>
      </c>
    </row>
    <row r="149" spans="1:9" ht="35.25" customHeight="1" thickBot="1" x14ac:dyDescent="0.25">
      <c r="A149" s="43">
        <f>'Necesidades Trimestrales'!A147</f>
        <v>138</v>
      </c>
      <c r="B149" s="44">
        <v>0</v>
      </c>
      <c r="C149" s="153" t="str">
        <f>'Necesidades Trimestrales'!E147</f>
        <v>GOT/AST  (IFCC) COBAS C-311 ROCHE  X 500 DET</v>
      </c>
      <c r="D149" s="153"/>
      <c r="E149" s="153"/>
      <c r="F149" s="48" t="s">
        <v>52</v>
      </c>
      <c r="G149" s="45" t="str">
        <f>'Necesidades Trimestrales'!F147</f>
        <v>CASSETTE</v>
      </c>
      <c r="H149" s="46">
        <f>'Necesidades Trimestrales'!H147</f>
        <v>7391</v>
      </c>
      <c r="I149" s="47">
        <f>'Necesidades Trimestrales'!G147</f>
        <v>4</v>
      </c>
    </row>
    <row r="150" spans="1:9" ht="35.25" customHeight="1" thickBot="1" x14ac:dyDescent="0.25">
      <c r="A150" s="43">
        <f>'Necesidades Trimestrales'!A148</f>
        <v>139</v>
      </c>
      <c r="B150" s="44">
        <v>0</v>
      </c>
      <c r="C150" s="153" t="str">
        <f>'Necesidades Trimestrales'!E148</f>
        <v>GPT/ALT (IFCC) COBAS C-311 ROCHE  X 500 DET</v>
      </c>
      <c r="D150" s="153"/>
      <c r="E150" s="153"/>
      <c r="F150" s="48" t="s">
        <v>52</v>
      </c>
      <c r="G150" s="45" t="str">
        <f>'Necesidades Trimestrales'!F148</f>
        <v>CASSETTE</v>
      </c>
      <c r="H150" s="46">
        <f>'Necesidades Trimestrales'!H148</f>
        <v>7391</v>
      </c>
      <c r="I150" s="47">
        <f>'Necesidades Trimestrales'!G148</f>
        <v>4</v>
      </c>
    </row>
    <row r="151" spans="1:9" ht="35.25" customHeight="1" thickBot="1" x14ac:dyDescent="0.25">
      <c r="A151" s="43">
        <f>'Necesidades Trimestrales'!A149</f>
        <v>140</v>
      </c>
      <c r="B151" s="44">
        <v>0</v>
      </c>
      <c r="C151" s="153" t="str">
        <f>'Necesidades Trimestrales'!E149</f>
        <v>HB CALIBRATOR 5X1ML</v>
      </c>
      <c r="D151" s="153"/>
      <c r="E151" s="153"/>
      <c r="F151" s="48" t="s">
        <v>52</v>
      </c>
      <c r="G151" s="45" t="str">
        <f>'Necesidades Trimestrales'!F149</f>
        <v>UNIDAD</v>
      </c>
      <c r="H151" s="46">
        <f>'Necesidades Trimestrales'!H149</f>
        <v>6500</v>
      </c>
      <c r="I151" s="47">
        <f>'Necesidades Trimestrales'!G149</f>
        <v>1</v>
      </c>
    </row>
    <row r="152" spans="1:9" ht="35.25" customHeight="1" thickBot="1" x14ac:dyDescent="0.25">
      <c r="A152" s="43">
        <f>'Necesidades Trimestrales'!A150</f>
        <v>141</v>
      </c>
      <c r="B152" s="44">
        <v>0</v>
      </c>
      <c r="C152" s="153" t="str">
        <f>'Necesidades Trimestrales'!E150</f>
        <v>HBSAG ELISA WIENER  X 96 DET</v>
      </c>
      <c r="D152" s="153"/>
      <c r="E152" s="153"/>
      <c r="F152" s="48" t="s">
        <v>52</v>
      </c>
      <c r="G152" s="45" t="str">
        <f>'Necesidades Trimestrales'!F150</f>
        <v>UNIDAD</v>
      </c>
      <c r="H152" s="46">
        <f>'Necesidades Trimestrales'!H150</f>
        <v>12836</v>
      </c>
      <c r="I152" s="47">
        <f>'Necesidades Trimestrales'!G150</f>
        <v>20</v>
      </c>
    </row>
    <row r="153" spans="1:9" ht="35.25" customHeight="1" thickBot="1" x14ac:dyDescent="0.25">
      <c r="A153" s="43">
        <f>'Necesidades Trimestrales'!A151</f>
        <v>142</v>
      </c>
      <c r="B153" s="44">
        <v>0</v>
      </c>
      <c r="C153" s="153" t="str">
        <f>'Necesidades Trimestrales'!E151</f>
        <v>HEMOCULTIVO AUTOMATIZADO P/ PEDIATRICO X 100 U</v>
      </c>
      <c r="D153" s="153"/>
      <c r="E153" s="153"/>
      <c r="F153" s="48" t="s">
        <v>52</v>
      </c>
      <c r="G153" s="45" t="str">
        <f>'Necesidades Trimestrales'!F151</f>
        <v>CAJA</v>
      </c>
      <c r="H153" s="46">
        <f>'Necesidades Trimestrales'!H151</f>
        <v>900</v>
      </c>
      <c r="I153" s="47">
        <f>'Necesidades Trimestrales'!G151</f>
        <v>200</v>
      </c>
    </row>
    <row r="154" spans="1:9" ht="35.25" customHeight="1" thickBot="1" x14ac:dyDescent="0.25">
      <c r="A154" s="43">
        <f>'Necesidades Trimestrales'!A152</f>
        <v>143</v>
      </c>
      <c r="B154" s="44">
        <v>0</v>
      </c>
      <c r="C154" s="153" t="str">
        <f>'Necesidades Trimestrales'!E152</f>
        <v>HEMOCULTIVO AUTOMATIZADO P/BACTALERT ADULTO X 100 U</v>
      </c>
      <c r="D154" s="153"/>
      <c r="E154" s="153"/>
      <c r="F154" s="48" t="s">
        <v>52</v>
      </c>
      <c r="G154" s="45" t="str">
        <f>'Necesidades Trimestrales'!F152</f>
        <v>CAJA</v>
      </c>
      <c r="H154" s="46">
        <f>'Necesidades Trimestrales'!H152</f>
        <v>900</v>
      </c>
      <c r="I154" s="47">
        <f>'Necesidades Trimestrales'!G152</f>
        <v>25</v>
      </c>
    </row>
    <row r="155" spans="1:9" ht="35.25" customHeight="1" thickBot="1" x14ac:dyDescent="0.25">
      <c r="A155" s="43">
        <f>'Necesidades Trimestrales'!A153</f>
        <v>144</v>
      </c>
      <c r="B155" s="44">
        <v>0</v>
      </c>
      <c r="C155" s="153" t="str">
        <f>'Necesidades Trimestrales'!E153</f>
        <v>HIERRO COBAS C-311 ROCHE  X 200 DET</v>
      </c>
      <c r="D155" s="153"/>
      <c r="E155" s="153"/>
      <c r="F155" s="48" t="s">
        <v>52</v>
      </c>
      <c r="G155" s="45" t="str">
        <f>'Necesidades Trimestrales'!F153</f>
        <v>CASSETTE</v>
      </c>
      <c r="H155" s="46">
        <f>'Necesidades Trimestrales'!H153</f>
        <v>12970</v>
      </c>
      <c r="I155" s="47">
        <f>'Necesidades Trimestrales'!G153</f>
        <v>1</v>
      </c>
    </row>
    <row r="156" spans="1:9" ht="35.25" customHeight="1" thickBot="1" x14ac:dyDescent="0.25">
      <c r="A156" s="43">
        <f>'Necesidades Trimestrales'!A154</f>
        <v>145</v>
      </c>
      <c r="B156" s="44">
        <v>0</v>
      </c>
      <c r="C156" s="153" t="str">
        <f>'Necesidades Trimestrales'!E154</f>
        <v xml:space="preserve">HYPOCHLORITE SOLUTION  X 100 ML  PARA ABL 800 </v>
      </c>
      <c r="D156" s="153"/>
      <c r="E156" s="153"/>
      <c r="F156" s="48" t="s">
        <v>52</v>
      </c>
      <c r="G156" s="45" t="str">
        <f>'Necesidades Trimestrales'!F154</f>
        <v>UNIDAD</v>
      </c>
      <c r="H156" s="46">
        <f>'Necesidades Trimestrales'!H154</f>
        <v>13600</v>
      </c>
      <c r="I156" s="47">
        <f>'Necesidades Trimestrales'!G154</f>
        <v>2</v>
      </c>
    </row>
    <row r="157" spans="1:9" ht="35.25" customHeight="1" thickBot="1" x14ac:dyDescent="0.25">
      <c r="A157" s="43">
        <f>'Necesidades Trimestrales'!A155</f>
        <v>146</v>
      </c>
      <c r="B157" s="44">
        <v>0</v>
      </c>
      <c r="C157" s="153" t="str">
        <f>'Necesidades Trimestrales'!E155</f>
        <v>INLET PARA ABL 800</v>
      </c>
      <c r="D157" s="153"/>
      <c r="E157" s="153"/>
      <c r="F157" s="48" t="s">
        <v>52</v>
      </c>
      <c r="G157" s="45" t="str">
        <f>'Necesidades Trimestrales'!F155</f>
        <v>UNIDAD</v>
      </c>
      <c r="H157" s="46">
        <f>'Necesidades Trimestrales'!H155</f>
        <v>21900</v>
      </c>
      <c r="I157" s="47">
        <f>'Necesidades Trimestrales'!G155</f>
        <v>3</v>
      </c>
    </row>
    <row r="158" spans="1:9" ht="35.25" customHeight="1" thickBot="1" x14ac:dyDescent="0.25">
      <c r="A158" s="43">
        <f>'Necesidades Trimestrales'!A156</f>
        <v>147</v>
      </c>
      <c r="B158" s="44">
        <v>0</v>
      </c>
      <c r="C158" s="153" t="str">
        <f>'Necesidades Trimestrales'!E156</f>
        <v>JERINGAS HEPARINIZADA BOLSA POR 100 UNIDADES</v>
      </c>
      <c r="D158" s="153"/>
      <c r="E158" s="153"/>
      <c r="F158" s="48" t="s">
        <v>52</v>
      </c>
      <c r="G158" s="45" t="str">
        <f>'Necesidades Trimestrales'!F156</f>
        <v>CAJA</v>
      </c>
      <c r="H158" s="46">
        <f>'Necesidades Trimestrales'!H156</f>
        <v>8500</v>
      </c>
      <c r="I158" s="47">
        <f>'Necesidades Trimestrales'!G156</f>
        <v>6</v>
      </c>
    </row>
    <row r="159" spans="1:9" ht="35.25" customHeight="1" thickBot="1" x14ac:dyDescent="0.25">
      <c r="A159" s="43">
        <f>'Necesidades Trimestrales'!A157</f>
        <v>148</v>
      </c>
      <c r="B159" s="44">
        <v>0</v>
      </c>
      <c r="C159" s="153" t="str">
        <f>'Necesidades Trimestrales'!E157</f>
        <v>KIT CALIBRADORES PARA ACIDOS BILIARES RANDOX COBAS C-311 ROCHE</v>
      </c>
      <c r="D159" s="153"/>
      <c r="E159" s="153"/>
      <c r="F159" s="48" t="s">
        <v>52</v>
      </c>
      <c r="G159" s="45" t="str">
        <f>'Necesidades Trimestrales'!F157</f>
        <v>CAJA</v>
      </c>
      <c r="H159" s="46">
        <f>'Necesidades Trimestrales'!H157</f>
        <v>28000</v>
      </c>
      <c r="I159" s="47">
        <f>'Necesidades Trimestrales'!G157</f>
        <v>1</v>
      </c>
    </row>
    <row r="160" spans="1:9" ht="35.25" customHeight="1" thickBot="1" x14ac:dyDescent="0.25">
      <c r="A160" s="43">
        <f>'Necesidades Trimestrales'!A158</f>
        <v>149</v>
      </c>
      <c r="B160" s="44">
        <v>0</v>
      </c>
      <c r="C160" s="153" t="str">
        <f>'Necesidades Trimestrales'!E158</f>
        <v>KIT CONTROLES BAJO Y ALTO PARA ACIDOS BILIARES RANDOX COBAS C-311 ROCHE</v>
      </c>
      <c r="D160" s="153"/>
      <c r="E160" s="153"/>
      <c r="F160" s="48" t="s">
        <v>52</v>
      </c>
      <c r="G160" s="45" t="str">
        <f>'Necesidades Trimestrales'!F158</f>
        <v>CAJA</v>
      </c>
      <c r="H160" s="46">
        <f>'Necesidades Trimestrales'!H158</f>
        <v>36000</v>
      </c>
      <c r="I160" s="47">
        <f>'Necesidades Trimestrales'!G158</f>
        <v>1</v>
      </c>
    </row>
    <row r="161" spans="1:9" ht="35.25" customHeight="1" thickBot="1" x14ac:dyDescent="0.25">
      <c r="A161" s="43">
        <f>'Necesidades Trimestrales'!A159</f>
        <v>150</v>
      </c>
      <c r="B161" s="44">
        <v>0</v>
      </c>
      <c r="C161" s="153" t="str">
        <f>'Necesidades Trimestrales'!E159</f>
        <v>KIT PARA RETICULOCITOS (AZUL DE CRESIL BRILLANTE) X 50 TUBOS DELTALAB</v>
      </c>
      <c r="D161" s="153"/>
      <c r="E161" s="153"/>
      <c r="F161" s="48" t="s">
        <v>52</v>
      </c>
      <c r="G161" s="45" t="str">
        <f>'Necesidades Trimestrales'!F159</f>
        <v>CAJA</v>
      </c>
      <c r="H161" s="46">
        <f>'Necesidades Trimestrales'!H159</f>
        <v>8500</v>
      </c>
      <c r="I161" s="47">
        <f>'Necesidades Trimestrales'!G159</f>
        <v>1</v>
      </c>
    </row>
    <row r="162" spans="1:9" ht="35.25" customHeight="1" thickBot="1" x14ac:dyDescent="0.25">
      <c r="A162" s="43">
        <f>'Necesidades Trimestrales'!A160</f>
        <v>151</v>
      </c>
      <c r="B162" s="44">
        <v>0</v>
      </c>
      <c r="C162" s="153" t="str">
        <f>'Necesidades Trimestrales'!E160</f>
        <v xml:space="preserve">KIT REACTIVO PARA ACIDOS BILIARES RANDOX COBAS C-311 ROCHE </v>
      </c>
      <c r="D162" s="153"/>
      <c r="E162" s="153"/>
      <c r="F162" s="48" t="s">
        <v>52</v>
      </c>
      <c r="G162" s="45" t="str">
        <f>'Necesidades Trimestrales'!F160</f>
        <v xml:space="preserve">CAJA </v>
      </c>
      <c r="H162" s="46">
        <f>'Necesidades Trimestrales'!H160</f>
        <v>140000</v>
      </c>
      <c r="I162" s="47">
        <f>'Necesidades Trimestrales'!G160</f>
        <v>1</v>
      </c>
    </row>
    <row r="163" spans="1:9" ht="35.25" customHeight="1" thickBot="1" x14ac:dyDescent="0.25">
      <c r="A163" s="43">
        <f>'Necesidades Trimestrales'!A161</f>
        <v>152</v>
      </c>
      <c r="B163" s="44">
        <v>0</v>
      </c>
      <c r="C163" s="153" t="str">
        <f>'Necesidades Trimestrales'!E161</f>
        <v>KIT TOXOPLASMOSIS IG G COBAS E-411 ROCHE X 100 DET</v>
      </c>
      <c r="D163" s="153"/>
      <c r="E163" s="153"/>
      <c r="F163" s="48" t="s">
        <v>52</v>
      </c>
      <c r="G163" s="45" t="str">
        <f>'Necesidades Trimestrales'!F161</f>
        <v>CAJA</v>
      </c>
      <c r="H163" s="46">
        <f>'Necesidades Trimestrales'!H161</f>
        <v>32422</v>
      </c>
      <c r="I163" s="47">
        <f>'Necesidades Trimestrales'!G161</f>
        <v>8</v>
      </c>
    </row>
    <row r="164" spans="1:9" ht="35.25" customHeight="1" thickBot="1" x14ac:dyDescent="0.25">
      <c r="A164" s="43">
        <f>'Necesidades Trimestrales'!A162</f>
        <v>153</v>
      </c>
      <c r="B164" s="44">
        <v>0</v>
      </c>
      <c r="C164" s="153" t="str">
        <f>'Necesidades Trimestrales'!E162</f>
        <v>KIT TOXOPLASMOSIS IG M COBAS E-411 ROCHE X 100 DET</v>
      </c>
      <c r="D164" s="153"/>
      <c r="E164" s="153"/>
      <c r="F164" s="48" t="s">
        <v>52</v>
      </c>
      <c r="G164" s="45" t="str">
        <f>'Necesidades Trimestrales'!F162</f>
        <v>CAJA</v>
      </c>
      <c r="H164" s="46">
        <f>'Necesidades Trimestrales'!H162</f>
        <v>37053</v>
      </c>
      <c r="I164" s="47">
        <f>'Necesidades Trimestrales'!G162</f>
        <v>1</v>
      </c>
    </row>
    <row r="165" spans="1:9" ht="35.25" customHeight="1" thickBot="1" x14ac:dyDescent="0.25">
      <c r="A165" s="43">
        <f>'Necesidades Trimestrales'!A163</f>
        <v>154</v>
      </c>
      <c r="B165" s="44">
        <v>0</v>
      </c>
      <c r="C165" s="153" t="str">
        <f>'Necesidades Trimestrales'!E163</f>
        <v xml:space="preserve">LAMPARA HALOGENA COBAS C-311 ROCHE </v>
      </c>
      <c r="D165" s="153"/>
      <c r="E165" s="153"/>
      <c r="F165" s="48" t="s">
        <v>52</v>
      </c>
      <c r="G165" s="45" t="str">
        <f>'Necesidades Trimestrales'!F163</f>
        <v>UNIDAD</v>
      </c>
      <c r="H165" s="46">
        <f>'Necesidades Trimestrales'!H163</f>
        <v>54607</v>
      </c>
      <c r="I165" s="47">
        <f>'Necesidades Trimestrales'!G163</f>
        <v>4</v>
      </c>
    </row>
    <row r="166" spans="1:9" ht="35.25" customHeight="1" thickBot="1" x14ac:dyDescent="0.25">
      <c r="A166" s="43">
        <f>'Necesidades Trimestrales'!A164</f>
        <v>155</v>
      </c>
      <c r="B166" s="44">
        <v>0</v>
      </c>
      <c r="C166" s="153" t="str">
        <f>'Necesidades Trimestrales'!E164</f>
        <v>LDH OPTIMIZADA COBAS C-311 ROCHE X 300 DET</v>
      </c>
      <c r="D166" s="153"/>
      <c r="E166" s="153"/>
      <c r="F166" s="48" t="s">
        <v>52</v>
      </c>
      <c r="G166" s="45" t="str">
        <f>'Necesidades Trimestrales'!F164</f>
        <v>CASSETTE</v>
      </c>
      <c r="H166" s="46">
        <f>'Necesidades Trimestrales'!H164</f>
        <v>2925</v>
      </c>
      <c r="I166" s="47">
        <f>'Necesidades Trimestrales'!G164</f>
        <v>6</v>
      </c>
    </row>
    <row r="167" spans="1:9" ht="35.25" customHeight="1" thickBot="1" x14ac:dyDescent="0.25">
      <c r="A167" s="43">
        <f>'Necesidades Trimestrales'!A165</f>
        <v>156</v>
      </c>
      <c r="B167" s="44">
        <v>0</v>
      </c>
      <c r="C167" s="153" t="str">
        <f>'Necesidades Trimestrales'!E165</f>
        <v>LEUCINAMINOPEPTIDASA ( LAP)X 25 U</v>
      </c>
      <c r="D167" s="153"/>
      <c r="E167" s="153"/>
      <c r="F167" s="48" t="s">
        <v>52</v>
      </c>
      <c r="G167" s="45" t="str">
        <f>'Necesidades Trimestrales'!F165</f>
        <v>UNIDAD</v>
      </c>
      <c r="H167" s="46">
        <f>'Necesidades Trimestrales'!H165</f>
        <v>1300</v>
      </c>
      <c r="I167" s="47">
        <f>'Necesidades Trimestrales'!G165</f>
        <v>1</v>
      </c>
    </row>
    <row r="168" spans="1:9" ht="35.25" customHeight="1" thickBot="1" x14ac:dyDescent="0.25">
      <c r="A168" s="43">
        <f>'Necesidades Trimestrales'!A166</f>
        <v>157</v>
      </c>
      <c r="B168" s="44">
        <v>0</v>
      </c>
      <c r="C168" s="153" t="str">
        <f>'Necesidades Trimestrales'!E166</f>
        <v>LINEZOLID 30 µGR DISCO PRESENTACION: FRASCO X 50 UN</v>
      </c>
      <c r="D168" s="153"/>
      <c r="E168" s="153"/>
      <c r="F168" s="48" t="s">
        <v>52</v>
      </c>
      <c r="G168" s="45" t="str">
        <f>'Necesidades Trimestrales'!F166</f>
        <v>FRASCO</v>
      </c>
      <c r="H168" s="46">
        <f>'Necesidades Trimestrales'!H166</f>
        <v>850</v>
      </c>
      <c r="I168" s="47">
        <f>'Necesidades Trimestrales'!G166</f>
        <v>1</v>
      </c>
    </row>
    <row r="169" spans="1:9" ht="35.25" customHeight="1" thickBot="1" x14ac:dyDescent="0.25">
      <c r="A169" s="43">
        <f>'Necesidades Trimestrales'!A167</f>
        <v>158</v>
      </c>
      <c r="B169" s="44">
        <v>0</v>
      </c>
      <c r="C169" s="153" t="str">
        <f>'Necesidades Trimestrales'!E167</f>
        <v>LIPASA COBAS C-311 ROCHE  X 200 DET</v>
      </c>
      <c r="D169" s="153"/>
      <c r="E169" s="153"/>
      <c r="F169" s="48" t="s">
        <v>52</v>
      </c>
      <c r="G169" s="45" t="str">
        <f>'Necesidades Trimestrales'!F167</f>
        <v>CASSETTE</v>
      </c>
      <c r="H169" s="46">
        <f>'Necesidades Trimestrales'!H167</f>
        <v>8817</v>
      </c>
      <c r="I169" s="47">
        <f>'Necesidades Trimestrales'!G167</f>
        <v>1</v>
      </c>
    </row>
    <row r="170" spans="1:9" ht="35.25" customHeight="1" thickBot="1" x14ac:dyDescent="0.25">
      <c r="A170" s="43">
        <f>'Necesidades Trimestrales'!A168</f>
        <v>159</v>
      </c>
      <c r="B170" s="44">
        <v>0</v>
      </c>
      <c r="C170" s="153" t="str">
        <f>'Necesidades Trimestrales'!E168</f>
        <v>LUGOL CONCENTRADO: X 500 ML</v>
      </c>
      <c r="D170" s="153"/>
      <c r="E170" s="153"/>
      <c r="F170" s="48" t="s">
        <v>52</v>
      </c>
      <c r="G170" s="45" t="str">
        <f>'Necesidades Trimestrales'!F168</f>
        <v>UNIDAD</v>
      </c>
      <c r="H170" s="46">
        <f>'Necesidades Trimestrales'!H168</f>
        <v>18100</v>
      </c>
      <c r="I170" s="47">
        <f>'Necesidades Trimestrales'!G168</f>
        <v>2</v>
      </c>
    </row>
    <row r="171" spans="1:9" ht="35.25" customHeight="1" thickBot="1" x14ac:dyDescent="0.25">
      <c r="A171" s="43">
        <f>'Necesidades Trimestrales'!A169</f>
        <v>160</v>
      </c>
      <c r="B171" s="44">
        <v>0</v>
      </c>
      <c r="C171" s="153" t="str">
        <f>'Necesidades Trimestrales'!E169</f>
        <v>M-52 DIFF  LYSE  PARA MINDRAY BC-5150 X 500 ML</v>
      </c>
      <c r="D171" s="153"/>
      <c r="E171" s="153"/>
      <c r="F171" s="48" t="s">
        <v>52</v>
      </c>
      <c r="G171" s="45" t="str">
        <f>'Necesidades Trimestrales'!F169</f>
        <v>UNIDAD</v>
      </c>
      <c r="H171" s="46">
        <f>'Necesidades Trimestrales'!H169</f>
        <v>13000</v>
      </c>
      <c r="I171" s="47">
        <f>'Necesidades Trimestrales'!G169</f>
        <v>15</v>
      </c>
    </row>
    <row r="172" spans="1:9" ht="35.25" customHeight="1" thickBot="1" x14ac:dyDescent="0.25">
      <c r="A172" s="43">
        <f>'Necesidades Trimestrales'!A170</f>
        <v>161</v>
      </c>
      <c r="B172" s="44">
        <v>0</v>
      </c>
      <c r="C172" s="153" t="str">
        <f>'Necesidades Trimestrales'!E170</f>
        <v>M-52 LH LYSE  PARA MINDRAY BC-5150 X 100 ML</v>
      </c>
      <c r="D172" s="153"/>
      <c r="E172" s="153"/>
      <c r="F172" s="48" t="s">
        <v>52</v>
      </c>
      <c r="G172" s="45" t="str">
        <f>'Necesidades Trimestrales'!F170</f>
        <v>UNIDAD</v>
      </c>
      <c r="H172" s="46">
        <f>'Necesidades Trimestrales'!H170</f>
        <v>8500</v>
      </c>
      <c r="I172" s="47">
        <f>'Necesidades Trimestrales'!G170</f>
        <v>15</v>
      </c>
    </row>
    <row r="173" spans="1:9" ht="35.25" customHeight="1" thickBot="1" x14ac:dyDescent="0.25">
      <c r="A173" s="43">
        <f>'Necesidades Trimestrales'!A171</f>
        <v>162</v>
      </c>
      <c r="B173" s="44">
        <v>0</v>
      </c>
      <c r="C173" s="153" t="str">
        <f>'Necesidades Trimestrales'!E171</f>
        <v>M-52D - DILUENT PARA MINDRAY BC-5150 X 20 LITROS</v>
      </c>
      <c r="D173" s="153"/>
      <c r="E173" s="153"/>
      <c r="F173" s="48" t="s">
        <v>52</v>
      </c>
      <c r="G173" s="45" t="str">
        <f>'Necesidades Trimestrales'!F171</f>
        <v>UNIDAD</v>
      </c>
      <c r="H173" s="46">
        <f>'Necesidades Trimestrales'!H171</f>
        <v>6300</v>
      </c>
      <c r="I173" s="47">
        <f>'Necesidades Trimestrales'!G171</f>
        <v>15</v>
      </c>
    </row>
    <row r="174" spans="1:9" ht="35.25" customHeight="1" thickBot="1" x14ac:dyDescent="0.25">
      <c r="A174" s="43">
        <f>'Necesidades Trimestrales'!A172</f>
        <v>163</v>
      </c>
      <c r="B174" s="44">
        <v>0</v>
      </c>
      <c r="C174" s="153" t="str">
        <f>'Necesidades Trimestrales'!E172</f>
        <v>MAGNESIO COBAS C-311 ROCHE  X 175 DET</v>
      </c>
      <c r="D174" s="153"/>
      <c r="E174" s="153"/>
      <c r="F174" s="48" t="s">
        <v>52</v>
      </c>
      <c r="G174" s="45" t="str">
        <f>'Necesidades Trimestrales'!F172</f>
        <v>CASSETTE</v>
      </c>
      <c r="H174" s="46">
        <f>'Necesidades Trimestrales'!H172</f>
        <v>3854</v>
      </c>
      <c r="I174" s="47">
        <f>'Necesidades Trimestrales'!G172</f>
        <v>1</v>
      </c>
    </row>
    <row r="175" spans="1:9" ht="35.25" customHeight="1" thickBot="1" x14ac:dyDescent="0.25">
      <c r="A175" s="43">
        <f>'Necesidades Trimestrales'!A173</f>
        <v>164</v>
      </c>
      <c r="B175" s="44">
        <v>0</v>
      </c>
      <c r="C175" s="153" t="str">
        <f>'Necesidades Trimestrales'!E173</f>
        <v>MEDIO MIO:X 100 GR</v>
      </c>
      <c r="D175" s="153"/>
      <c r="E175" s="153"/>
      <c r="F175" s="48" t="s">
        <v>52</v>
      </c>
      <c r="G175" s="45" t="str">
        <f>'Necesidades Trimestrales'!F173</f>
        <v>UNIDAD</v>
      </c>
      <c r="H175" s="46">
        <f>'Necesidades Trimestrales'!H173</f>
        <v>9400</v>
      </c>
      <c r="I175" s="47">
        <f>'Necesidades Trimestrales'!G173</f>
        <v>1</v>
      </c>
    </row>
    <row r="176" spans="1:9" ht="35.25" customHeight="1" thickBot="1" x14ac:dyDescent="0.25">
      <c r="A176" s="43">
        <f>'Necesidades Trimestrales'!A174</f>
        <v>165</v>
      </c>
      <c r="B176" s="44">
        <v>0</v>
      </c>
      <c r="C176" s="153" t="str">
        <f>'Necesidades Trimestrales'!E174</f>
        <v>MEMBRANA DE CALCIO PARA ABL 800</v>
      </c>
      <c r="D176" s="153"/>
      <c r="E176" s="153"/>
      <c r="F176" s="48" t="s">
        <v>52</v>
      </c>
      <c r="G176" s="45" t="str">
        <f>'Necesidades Trimestrales'!F174</f>
        <v>UNIDAD</v>
      </c>
      <c r="H176" s="46">
        <f>'Necesidades Trimestrales'!H174</f>
        <v>49500</v>
      </c>
      <c r="I176" s="47">
        <f>'Necesidades Trimestrales'!G174</f>
        <v>2</v>
      </c>
    </row>
    <row r="177" spans="1:9" ht="35.25" customHeight="1" thickBot="1" x14ac:dyDescent="0.25">
      <c r="A177" s="43">
        <f>'Necesidades Trimestrales'!A175</f>
        <v>166</v>
      </c>
      <c r="B177" s="44">
        <v>0</v>
      </c>
      <c r="C177" s="153" t="str">
        <f>'Necesidades Trimestrales'!E175</f>
        <v>MEMBRANA DE CLORO PARA ABL 800</v>
      </c>
      <c r="D177" s="153"/>
      <c r="E177" s="153"/>
      <c r="F177" s="48" t="s">
        <v>52</v>
      </c>
      <c r="G177" s="45" t="str">
        <f>'Necesidades Trimestrales'!F175</f>
        <v>UNIDAD</v>
      </c>
      <c r="H177" s="46">
        <f>'Necesidades Trimestrales'!H175</f>
        <v>49500</v>
      </c>
      <c r="I177" s="47">
        <f>'Necesidades Trimestrales'!G175</f>
        <v>2</v>
      </c>
    </row>
    <row r="178" spans="1:9" ht="35.25" customHeight="1" thickBot="1" x14ac:dyDescent="0.25">
      <c r="A178" s="43">
        <f>'Necesidades Trimestrales'!A176</f>
        <v>167</v>
      </c>
      <c r="B178" s="44">
        <v>0</v>
      </c>
      <c r="C178" s="153" t="str">
        <f>'Necesidades Trimestrales'!E176</f>
        <v>MEMBRANA DE GLUCOSA  PARA ABL 800</v>
      </c>
      <c r="D178" s="153"/>
      <c r="E178" s="153"/>
      <c r="F178" s="48" t="s">
        <v>52</v>
      </c>
      <c r="G178" s="45" t="str">
        <f>'Necesidades Trimestrales'!F176</f>
        <v>UNIDAD</v>
      </c>
      <c r="H178" s="46">
        <f>'Necesidades Trimestrales'!H176</f>
        <v>17000</v>
      </c>
      <c r="I178" s="47">
        <f>'Necesidades Trimestrales'!G176</f>
        <v>2</v>
      </c>
    </row>
    <row r="179" spans="1:9" ht="35.25" customHeight="1" thickBot="1" x14ac:dyDescent="0.25">
      <c r="A179" s="43">
        <f>'Necesidades Trimestrales'!A177</f>
        <v>168</v>
      </c>
      <c r="B179" s="44">
        <v>0</v>
      </c>
      <c r="C179" s="153" t="str">
        <f>'Necesidades Trimestrales'!E177</f>
        <v xml:space="preserve">MEMBRANA DE PCO2   PARA ABL 800 </v>
      </c>
      <c r="D179" s="153"/>
      <c r="E179" s="153"/>
      <c r="F179" s="48" t="s">
        <v>52</v>
      </c>
      <c r="G179" s="45" t="str">
        <f>'Necesidades Trimestrales'!F177</f>
        <v>UNIDAD</v>
      </c>
      <c r="H179" s="46">
        <f>'Necesidades Trimestrales'!H177</f>
        <v>30200</v>
      </c>
      <c r="I179" s="47">
        <f>'Necesidades Trimestrales'!G177</f>
        <v>2</v>
      </c>
    </row>
    <row r="180" spans="1:9" ht="35.25" customHeight="1" thickBot="1" x14ac:dyDescent="0.25">
      <c r="A180" s="43">
        <f>'Necesidades Trimestrales'!A178</f>
        <v>169</v>
      </c>
      <c r="B180" s="44">
        <v>0</v>
      </c>
      <c r="C180" s="153" t="str">
        <f>'Necesidades Trimestrales'!E178</f>
        <v xml:space="preserve">MEMBRANA DE PO2 PARA ABL 800 </v>
      </c>
      <c r="D180" s="153"/>
      <c r="E180" s="153"/>
      <c r="F180" s="48" t="s">
        <v>52</v>
      </c>
      <c r="G180" s="45" t="str">
        <f>'Necesidades Trimestrales'!F178</f>
        <v>UNIDAD</v>
      </c>
      <c r="H180" s="46">
        <f>'Necesidades Trimestrales'!H178</f>
        <v>30200</v>
      </c>
      <c r="I180" s="47">
        <f>'Necesidades Trimestrales'!G178</f>
        <v>2</v>
      </c>
    </row>
    <row r="181" spans="1:9" ht="35.25" customHeight="1" thickBot="1" x14ac:dyDescent="0.25">
      <c r="A181" s="43">
        <f>'Necesidades Trimestrales'!A179</f>
        <v>170</v>
      </c>
      <c r="B181" s="44">
        <v>0</v>
      </c>
      <c r="C181" s="153" t="str">
        <f>'Necesidades Trimestrales'!E179</f>
        <v>MEMBRANA DE POTASIO PARA ABL 800</v>
      </c>
      <c r="D181" s="153"/>
      <c r="E181" s="153"/>
      <c r="F181" s="48" t="s">
        <v>52</v>
      </c>
      <c r="G181" s="45" t="str">
        <f>'Necesidades Trimestrales'!F179</f>
        <v>UNIDAD</v>
      </c>
      <c r="H181" s="46">
        <f>'Necesidades Trimestrales'!H179</f>
        <v>49500</v>
      </c>
      <c r="I181" s="47">
        <f>'Necesidades Trimestrales'!G179</f>
        <v>2</v>
      </c>
    </row>
    <row r="182" spans="1:9" ht="35.25" customHeight="1" thickBot="1" x14ac:dyDescent="0.25">
      <c r="A182" s="43">
        <f>'Necesidades Trimestrales'!A180</f>
        <v>171</v>
      </c>
      <c r="B182" s="44">
        <v>0</v>
      </c>
      <c r="C182" s="153" t="str">
        <f>'Necesidades Trimestrales'!E180</f>
        <v xml:space="preserve">MEMBRANA DE REFERENCIA PARA ABL 800 </v>
      </c>
      <c r="D182" s="153"/>
      <c r="E182" s="153"/>
      <c r="F182" s="48" t="s">
        <v>52</v>
      </c>
      <c r="G182" s="45" t="str">
        <f>'Necesidades Trimestrales'!F180</f>
        <v>UNIDAD</v>
      </c>
      <c r="H182" s="46">
        <f>'Necesidades Trimestrales'!H180</f>
        <v>6900</v>
      </c>
      <c r="I182" s="47">
        <f>'Necesidades Trimestrales'!G180</f>
        <v>3</v>
      </c>
    </row>
    <row r="183" spans="1:9" ht="35.25" customHeight="1" thickBot="1" x14ac:dyDescent="0.25">
      <c r="A183" s="43">
        <f>'Necesidades Trimestrales'!A181</f>
        <v>172</v>
      </c>
      <c r="B183" s="44">
        <v>0</v>
      </c>
      <c r="C183" s="153" t="str">
        <f>'Necesidades Trimestrales'!E181</f>
        <v>MEMBRANA DE SODIO PARA ABL 800</v>
      </c>
      <c r="D183" s="153"/>
      <c r="E183" s="153"/>
      <c r="F183" s="48" t="s">
        <v>52</v>
      </c>
      <c r="G183" s="45" t="str">
        <f>'Necesidades Trimestrales'!F181</f>
        <v>UNIDAD</v>
      </c>
      <c r="H183" s="46">
        <f>'Necesidades Trimestrales'!H181</f>
        <v>49500</v>
      </c>
      <c r="I183" s="47">
        <f>'Necesidades Trimestrales'!G181</f>
        <v>2</v>
      </c>
    </row>
    <row r="184" spans="1:9" ht="35.25" customHeight="1" thickBot="1" x14ac:dyDescent="0.25">
      <c r="A184" s="43">
        <f>'Necesidades Trimestrales'!A182</f>
        <v>173</v>
      </c>
      <c r="B184" s="44">
        <v>0</v>
      </c>
      <c r="C184" s="153" t="str">
        <f>'Necesidades Trimestrales'!E182</f>
        <v>MYCOFAST REVOLUTION x 25 det  ELITECH</v>
      </c>
      <c r="D184" s="153"/>
      <c r="E184" s="153"/>
      <c r="F184" s="48" t="s">
        <v>52</v>
      </c>
      <c r="G184" s="45" t="str">
        <f>'Necesidades Trimestrales'!F182</f>
        <v>CAJA</v>
      </c>
      <c r="H184" s="46">
        <f>'Necesidades Trimestrales'!H182</f>
        <v>39515</v>
      </c>
      <c r="I184" s="47">
        <f>'Necesidades Trimestrales'!G182</f>
        <v>1</v>
      </c>
    </row>
    <row r="185" spans="1:9" ht="35.25" customHeight="1" thickBot="1" x14ac:dyDescent="0.25">
      <c r="A185" s="43">
        <f>'Necesidades Trimestrales'!A183</f>
        <v>174</v>
      </c>
      <c r="B185" s="44">
        <v>0</v>
      </c>
      <c r="C185" s="153" t="str">
        <f>'Necesidades Trimestrales'!E183</f>
        <v>NAOH - D CASSETTE P/COBAS C311</v>
      </c>
      <c r="D185" s="153"/>
      <c r="E185" s="153"/>
      <c r="F185" s="48" t="s">
        <v>52</v>
      </c>
      <c r="G185" s="45" t="str">
        <f>'Necesidades Trimestrales'!F183</f>
        <v>CASSETTE</v>
      </c>
      <c r="H185" s="46">
        <f>'Necesidades Trimestrales'!H183</f>
        <v>923</v>
      </c>
      <c r="I185" s="47">
        <f>'Necesidades Trimestrales'!G183</f>
        <v>20</v>
      </c>
    </row>
    <row r="186" spans="1:9" ht="35.25" customHeight="1" thickBot="1" x14ac:dyDescent="0.25">
      <c r="A186" s="43">
        <f>'Necesidades Trimestrales'!A184</f>
        <v>175</v>
      </c>
      <c r="B186" s="44">
        <v>0</v>
      </c>
      <c r="C186" s="153" t="str">
        <f>'Necesidades Trimestrales'!E184</f>
        <v>PANEL CELULAR I y II EN CAJA DE 2 VIALES X 10 ML DIAMED-BIORAD</v>
      </c>
      <c r="D186" s="153"/>
      <c r="E186" s="153"/>
      <c r="F186" s="48" t="s">
        <v>52</v>
      </c>
      <c r="G186" s="45" t="str">
        <f>'Necesidades Trimestrales'!F184</f>
        <v>CAJAS</v>
      </c>
      <c r="H186" s="46">
        <f>'Necesidades Trimestrales'!H184</f>
        <v>4598</v>
      </c>
      <c r="I186" s="47">
        <f>'Necesidades Trimestrales'!G184</f>
        <v>3</v>
      </c>
    </row>
    <row r="187" spans="1:9" ht="35.25" customHeight="1" thickBot="1" x14ac:dyDescent="0.25">
      <c r="A187" s="43">
        <f>'Necesidades Trimestrales'!A185</f>
        <v>176</v>
      </c>
      <c r="B187" s="44">
        <v>0</v>
      </c>
      <c r="C187" s="153" t="str">
        <f>'Necesidades Trimestrales'!E185</f>
        <v>PAPEL TERMOSENSIBLE PREENTACION: PAQUETE DE 4 ROLLOS PARA ABL 800</v>
      </c>
      <c r="D187" s="153"/>
      <c r="E187" s="153"/>
      <c r="F187" s="48" t="s">
        <v>52</v>
      </c>
      <c r="G187" s="45" t="str">
        <f>'Necesidades Trimestrales'!F185</f>
        <v>PAQUETE</v>
      </c>
      <c r="H187" s="46">
        <f>'Necesidades Trimestrales'!H185</f>
        <v>4050</v>
      </c>
      <c r="I187" s="47">
        <f>'Necesidades Trimestrales'!G185</f>
        <v>10</v>
      </c>
    </row>
    <row r="188" spans="1:9" ht="35.25" customHeight="1" thickBot="1" x14ac:dyDescent="0.25">
      <c r="A188" s="43">
        <f>'Necesidades Trimestrales'!A186</f>
        <v>177</v>
      </c>
      <c r="B188" s="44">
        <v>0</v>
      </c>
      <c r="C188" s="153" t="str">
        <f>'Necesidades Trimestrales'!E186</f>
        <v>PCO 2 MICRO ELECTRODE</v>
      </c>
      <c r="D188" s="153"/>
      <c r="E188" s="153"/>
      <c r="F188" s="48" t="s">
        <v>52</v>
      </c>
      <c r="G188" s="45" t="str">
        <f>'Necesidades Trimestrales'!F186</f>
        <v>UNIDAD</v>
      </c>
      <c r="H188" s="46">
        <f>'Necesidades Trimestrales'!H186</f>
        <v>40000</v>
      </c>
      <c r="I188" s="47">
        <f>'Necesidades Trimestrales'!G186</f>
        <v>1</v>
      </c>
    </row>
    <row r="189" spans="1:9" ht="35.25" customHeight="1" thickBot="1" x14ac:dyDescent="0.25">
      <c r="A189" s="43">
        <f>'Necesidades Trimestrales'!A187</f>
        <v>178</v>
      </c>
      <c r="B189" s="44">
        <v>0</v>
      </c>
      <c r="C189" s="153" t="str">
        <f>'Necesidades Trimestrales'!E187</f>
        <v>PENICILINA 10 µGR, ESTADO: DISCO X 50 UN</v>
      </c>
      <c r="D189" s="153"/>
      <c r="E189" s="153"/>
      <c r="F189" s="48" t="s">
        <v>52</v>
      </c>
      <c r="G189" s="45" t="str">
        <f>'Necesidades Trimestrales'!F187</f>
        <v xml:space="preserve">FRASCO </v>
      </c>
      <c r="H189" s="46">
        <f>'Necesidades Trimestrales'!H187</f>
        <v>850</v>
      </c>
      <c r="I189" s="47">
        <f>'Necesidades Trimestrales'!G187</f>
        <v>5</v>
      </c>
    </row>
    <row r="190" spans="1:9" ht="35.25" customHeight="1" thickBot="1" x14ac:dyDescent="0.25">
      <c r="A190" s="43">
        <f>'Necesidades Trimestrales'!A188</f>
        <v>179</v>
      </c>
      <c r="B190" s="44">
        <v>0</v>
      </c>
      <c r="C190" s="153" t="str">
        <f>'Necesidades Trimestrales'!E188</f>
        <v>PLACA CROMOGENICA P /EGB X 20 U</v>
      </c>
      <c r="D190" s="153"/>
      <c r="E190" s="153"/>
      <c r="F190" s="48" t="s">
        <v>52</v>
      </c>
      <c r="G190" s="45" t="str">
        <f>'Necesidades Trimestrales'!F188</f>
        <v>CAJA</v>
      </c>
      <c r="H190" s="46">
        <f>'Necesidades Trimestrales'!H188</f>
        <v>5300</v>
      </c>
      <c r="I190" s="47">
        <f>'Necesidades Trimestrales'!G188</f>
        <v>5</v>
      </c>
    </row>
    <row r="191" spans="1:9" ht="35.25" customHeight="1" thickBot="1" x14ac:dyDescent="0.25">
      <c r="A191" s="43">
        <f>'Necesidades Trimestrales'!A189</f>
        <v>180</v>
      </c>
      <c r="B191" s="44">
        <v>0</v>
      </c>
      <c r="C191" s="153" t="str">
        <f>'Necesidades Trimestrales'!E189</f>
        <v>PLACA DE AGAR MUELLER HINTON SANGRE OVINA  X 10 UNIDADES</v>
      </c>
      <c r="D191" s="153"/>
      <c r="E191" s="153"/>
      <c r="F191" s="48" t="s">
        <v>52</v>
      </c>
      <c r="G191" s="45" t="str">
        <f>'Necesidades Trimestrales'!F189</f>
        <v>CAJA</v>
      </c>
      <c r="H191" s="46">
        <f>'Necesidades Trimestrales'!H189</f>
        <v>2050</v>
      </c>
      <c r="I191" s="47">
        <f>'Necesidades Trimestrales'!G189</f>
        <v>10</v>
      </c>
    </row>
    <row r="192" spans="1:9" ht="35.25" customHeight="1" thickBot="1" x14ac:dyDescent="0.25">
      <c r="A192" s="43">
        <f>'Necesidades Trimestrales'!A190</f>
        <v>181</v>
      </c>
      <c r="B192" s="44">
        <v>0</v>
      </c>
      <c r="C192" s="153" t="str">
        <f>'Necesidades Trimestrales'!E190</f>
        <v>PLACAS DE PETRI ESTERILES 90 MM X 14 MM</v>
      </c>
      <c r="D192" s="153"/>
      <c r="E192" s="153"/>
      <c r="F192" s="48" t="s">
        <v>52</v>
      </c>
      <c r="G192" s="45" t="str">
        <f>'Necesidades Trimestrales'!F190</f>
        <v>UNIDAD</v>
      </c>
      <c r="H192" s="46">
        <f>'Necesidades Trimestrales'!H190</f>
        <v>28</v>
      </c>
      <c r="I192" s="47">
        <f>'Necesidades Trimestrales'!G190</f>
        <v>3000</v>
      </c>
    </row>
    <row r="193" spans="1:9" ht="35.25" customHeight="1" thickBot="1" x14ac:dyDescent="0.25">
      <c r="A193" s="43">
        <f>'Necesidades Trimestrales'!A191</f>
        <v>182</v>
      </c>
      <c r="B193" s="44">
        <v>0</v>
      </c>
      <c r="C193" s="153" t="str">
        <f>'Necesidades Trimestrales'!E191</f>
        <v>PLASMA CONTROL NORMAL  6 UNIDADES  X 1  ML  WIENER</v>
      </c>
      <c r="D193" s="153"/>
      <c r="E193" s="153"/>
      <c r="F193" s="48" t="s">
        <v>52</v>
      </c>
      <c r="G193" s="45" t="str">
        <f>'Necesidades Trimestrales'!F191</f>
        <v xml:space="preserve">CAJA </v>
      </c>
      <c r="H193" s="46">
        <f>'Necesidades Trimestrales'!H191</f>
        <v>2600</v>
      </c>
      <c r="I193" s="47">
        <f>'Necesidades Trimestrales'!G191</f>
        <v>1</v>
      </c>
    </row>
    <row r="194" spans="1:9" ht="35.25" customHeight="1" thickBot="1" x14ac:dyDescent="0.25">
      <c r="A194" s="43">
        <f>'Necesidades Trimestrales'!A192</f>
        <v>183</v>
      </c>
      <c r="B194" s="44">
        <v>0</v>
      </c>
      <c r="C194" s="153" t="str">
        <f>'Necesidades Trimestrales'!E192</f>
        <v>PLASMA CONTROL PATOLOGICO  6 UNIDADES  X 1  ML  WIENER</v>
      </c>
      <c r="D194" s="153"/>
      <c r="E194" s="153"/>
      <c r="F194" s="48" t="s">
        <v>52</v>
      </c>
      <c r="G194" s="45" t="str">
        <f>'Necesidades Trimestrales'!F192</f>
        <v>CAJA</v>
      </c>
      <c r="H194" s="46">
        <f>'Necesidades Trimestrales'!H192</f>
        <v>2600</v>
      </c>
      <c r="I194" s="47">
        <f>'Necesidades Trimestrales'!G192</f>
        <v>1</v>
      </c>
    </row>
    <row r="195" spans="1:9" ht="35.25" customHeight="1" thickBot="1" x14ac:dyDescent="0.25">
      <c r="A195" s="43">
        <f>'Necesidades Trimestrales'!A193</f>
        <v>184</v>
      </c>
      <c r="B195" s="44">
        <v>0</v>
      </c>
      <c r="C195" s="153" t="str">
        <f>'Necesidades Trimestrales'!E193</f>
        <v>PORTA OBJETOS X 50 UNID.</v>
      </c>
      <c r="D195" s="153"/>
      <c r="E195" s="153"/>
      <c r="F195" s="48" t="s">
        <v>52</v>
      </c>
      <c r="G195" s="45" t="str">
        <f>'Necesidades Trimestrales'!F193</f>
        <v>CAJA</v>
      </c>
      <c r="H195" s="46">
        <f>'Necesidades Trimestrales'!H193</f>
        <v>160</v>
      </c>
      <c r="I195" s="47">
        <f>'Necesidades Trimestrales'!G193</f>
        <v>5</v>
      </c>
    </row>
    <row r="196" spans="1:9" ht="35.25" customHeight="1" thickBot="1" x14ac:dyDescent="0.25">
      <c r="A196" s="43">
        <f>'Necesidades Trimestrales'!A194</f>
        <v>185</v>
      </c>
      <c r="B196" s="44">
        <v>0</v>
      </c>
      <c r="C196" s="153" t="str">
        <f>'Necesidades Trimestrales'!E194</f>
        <v>PRECI CONTROL AMH</v>
      </c>
      <c r="D196" s="153"/>
      <c r="E196" s="153"/>
      <c r="F196" s="48" t="s">
        <v>52</v>
      </c>
      <c r="G196" s="45" t="str">
        <f>'Necesidades Trimestrales'!F194</f>
        <v>UNIDAD</v>
      </c>
      <c r="H196" s="46">
        <f>'Necesidades Trimestrales'!H194</f>
        <v>60773</v>
      </c>
      <c r="I196" s="47">
        <f>'Necesidades Trimestrales'!G194</f>
        <v>1</v>
      </c>
    </row>
    <row r="197" spans="1:9" ht="35.25" customHeight="1" thickBot="1" x14ac:dyDescent="0.25">
      <c r="A197" s="43">
        <f>'Necesidades Trimestrales'!A195</f>
        <v>186</v>
      </c>
      <c r="B197" s="44">
        <v>0</v>
      </c>
      <c r="C197" s="153" t="str">
        <f>'Necesidades Trimestrales'!E195</f>
        <v>PRECI CONTROL CLINCHEM  MULTI 1  QCS COBAS C-311 ROCHE  20 X 5 ML</v>
      </c>
      <c r="D197" s="153"/>
      <c r="E197" s="153"/>
      <c r="F197" s="48" t="s">
        <v>52</v>
      </c>
      <c r="G197" s="45" t="str">
        <f>'Necesidades Trimestrales'!F195</f>
        <v>CAJA</v>
      </c>
      <c r="H197" s="46">
        <f>'Necesidades Trimestrales'!H195</f>
        <v>59291</v>
      </c>
      <c r="I197" s="47">
        <f>'Necesidades Trimestrales'!G195</f>
        <v>2</v>
      </c>
    </row>
    <row r="198" spans="1:9" ht="35.25" customHeight="1" thickBot="1" x14ac:dyDescent="0.25">
      <c r="A198" s="43">
        <f>'Necesidades Trimestrales'!A196</f>
        <v>187</v>
      </c>
      <c r="B198" s="44">
        <v>0</v>
      </c>
      <c r="C198" s="153" t="str">
        <f>'Necesidades Trimestrales'!E196</f>
        <v>PRECI CONTROL CLINCHEM  MULTI 2  QCS COBAS C-311 ROCHE  20 X 5 ML</v>
      </c>
      <c r="D198" s="153"/>
      <c r="E198" s="153"/>
      <c r="F198" s="48" t="s">
        <v>52</v>
      </c>
      <c r="G198" s="45" t="str">
        <f>'Necesidades Trimestrales'!F196</f>
        <v>CAJA</v>
      </c>
      <c r="H198" s="46">
        <f>'Necesidades Trimestrales'!H196</f>
        <v>59291</v>
      </c>
      <c r="I198" s="47">
        <f>'Necesidades Trimestrales'!G196</f>
        <v>2</v>
      </c>
    </row>
    <row r="199" spans="1:9" ht="35.25" customHeight="1" thickBot="1" x14ac:dyDescent="0.25">
      <c r="A199" s="43">
        <f>'Necesidades Trimestrales'!A197</f>
        <v>188</v>
      </c>
      <c r="B199" s="44">
        <v>0</v>
      </c>
      <c r="C199" s="153" t="str">
        <f>'Necesidades Trimestrales'!E197</f>
        <v>PRECICONTROL  TOXO IGG  COBAS E-411 ROCHE</v>
      </c>
      <c r="D199" s="153"/>
      <c r="E199" s="153"/>
      <c r="F199" s="48" t="s">
        <v>52</v>
      </c>
      <c r="G199" s="45" t="str">
        <f>'Necesidades Trimestrales'!F197</f>
        <v>CAJA</v>
      </c>
      <c r="H199" s="46">
        <f>'Necesidades Trimestrales'!H197</f>
        <v>25600</v>
      </c>
      <c r="I199" s="47">
        <f>'Necesidades Trimestrales'!G197</f>
        <v>1</v>
      </c>
    </row>
    <row r="200" spans="1:9" ht="35.25" customHeight="1" thickBot="1" x14ac:dyDescent="0.25">
      <c r="A200" s="43">
        <f>'Necesidades Trimestrales'!A198</f>
        <v>189</v>
      </c>
      <c r="B200" s="44">
        <v>0</v>
      </c>
      <c r="C200" s="153" t="str">
        <f>'Necesidades Trimestrales'!E198</f>
        <v>PRECICONTROL  TOXO IGM  COBAS E-411 ROCHE</v>
      </c>
      <c r="D200" s="153"/>
      <c r="E200" s="153"/>
      <c r="F200" s="48" t="s">
        <v>52</v>
      </c>
      <c r="G200" s="45" t="str">
        <f>'Necesidades Trimestrales'!F198</f>
        <v>CAJA</v>
      </c>
      <c r="H200" s="46">
        <f>'Necesidades Trimestrales'!H198</f>
        <v>25600</v>
      </c>
      <c r="I200" s="47">
        <f>'Necesidades Trimestrales'!G198</f>
        <v>1</v>
      </c>
    </row>
    <row r="201" spans="1:9" ht="35.25" customHeight="1" thickBot="1" x14ac:dyDescent="0.25">
      <c r="A201" s="43">
        <f>'Necesidades Trimestrales'!A199</f>
        <v>190</v>
      </c>
      <c r="B201" s="44">
        <v>0</v>
      </c>
      <c r="C201" s="153" t="str">
        <f>'Necesidades Trimestrales'!E199</f>
        <v>PRECINORM PUC COBAS C-311 ROCHE  4 X 3 ML</v>
      </c>
      <c r="D201" s="153"/>
      <c r="E201" s="153"/>
      <c r="F201" s="48" t="s">
        <v>52</v>
      </c>
      <c r="G201" s="45" t="str">
        <f>'Necesidades Trimestrales'!F199</f>
        <v>CAJA</v>
      </c>
      <c r="H201" s="46">
        <f>'Necesidades Trimestrales'!H199</f>
        <v>31433</v>
      </c>
      <c r="I201" s="47">
        <f>'Necesidades Trimestrales'!G199</f>
        <v>2</v>
      </c>
    </row>
    <row r="202" spans="1:9" ht="35.25" customHeight="1" thickBot="1" x14ac:dyDescent="0.25">
      <c r="A202" s="43">
        <f>'Necesidades Trimestrales'!A200</f>
        <v>191</v>
      </c>
      <c r="B202" s="44">
        <v>0</v>
      </c>
      <c r="C202" s="153" t="str">
        <f>'Necesidades Trimestrales'!E200</f>
        <v>PRECIPATH PUC COBAS C-311 ROCHE  4 X 3 ML</v>
      </c>
      <c r="D202" s="153"/>
      <c r="E202" s="153"/>
      <c r="F202" s="48" t="s">
        <v>52</v>
      </c>
      <c r="G202" s="45" t="str">
        <f>'Necesidades Trimestrales'!F200</f>
        <v>CAJA</v>
      </c>
      <c r="H202" s="46">
        <f>'Necesidades Trimestrales'!H200</f>
        <v>31433</v>
      </c>
      <c r="I202" s="47">
        <f>'Necesidades Trimestrales'!G200</f>
        <v>2</v>
      </c>
    </row>
    <row r="203" spans="1:9" ht="35.25" customHeight="1" thickBot="1" x14ac:dyDescent="0.25">
      <c r="A203" s="43">
        <f>'Necesidades Trimestrales'!A201</f>
        <v>192</v>
      </c>
      <c r="B203" s="44">
        <v>0</v>
      </c>
      <c r="C203" s="153" t="str">
        <f>'Necesidades Trimestrales'!E201</f>
        <v>PRO CELL COBAS E-411N ROCHE X 2 L</v>
      </c>
      <c r="D203" s="153"/>
      <c r="E203" s="153"/>
      <c r="F203" s="48" t="s">
        <v>56</v>
      </c>
      <c r="G203" s="45" t="str">
        <f>'Necesidades Trimestrales'!F201</f>
        <v>CAJA</v>
      </c>
      <c r="H203" s="46">
        <f>'Necesidades Trimestrales'!H201</f>
        <v>9723</v>
      </c>
      <c r="I203" s="47">
        <f>'Necesidades Trimestrales'!G201</f>
        <v>8</v>
      </c>
    </row>
    <row r="204" spans="1:9" ht="35.25" customHeight="1" thickBot="1" x14ac:dyDescent="0.25">
      <c r="A204" s="43">
        <f>'Necesidades Trimestrales'!A202</f>
        <v>193</v>
      </c>
      <c r="B204" s="44">
        <v>0</v>
      </c>
      <c r="C204" s="153" t="str">
        <f>'Necesidades Trimestrales'!E202</f>
        <v xml:space="preserve">PROTEINA C REACTIVA  CRP COBAS C-311 ROCHE  X 250 DET </v>
      </c>
      <c r="D204" s="153"/>
      <c r="E204" s="153"/>
      <c r="F204" s="48" t="s">
        <v>56</v>
      </c>
      <c r="G204" s="45" t="str">
        <f>'Necesidades Trimestrales'!F202</f>
        <v>CASSETTE</v>
      </c>
      <c r="H204" s="46">
        <f>'Necesidades Trimestrales'!H202</f>
        <v>31767</v>
      </c>
      <c r="I204" s="47">
        <f>'Necesidades Trimestrales'!G202</f>
        <v>8</v>
      </c>
    </row>
    <row r="205" spans="1:9" ht="35.25" customHeight="1" thickBot="1" x14ac:dyDescent="0.25">
      <c r="A205" s="43">
        <f>'Necesidades Trimestrales'!A203</f>
        <v>194</v>
      </c>
      <c r="B205" s="44">
        <v>0</v>
      </c>
      <c r="C205" s="153" t="str">
        <f>'Necesidades Trimestrales'!E203</f>
        <v>PROTEINAS TOTALES COBAS C-311 ROCHE  X 300 DET</v>
      </c>
      <c r="D205" s="153"/>
      <c r="E205" s="153"/>
      <c r="F205" s="48" t="s">
        <v>52</v>
      </c>
      <c r="G205" s="45" t="str">
        <f>'Necesidades Trimestrales'!F203</f>
        <v>CASSETTE</v>
      </c>
      <c r="H205" s="46">
        <f>'Necesidades Trimestrales'!H203</f>
        <v>1475</v>
      </c>
      <c r="I205" s="47">
        <f>'Necesidades Trimestrales'!G203</f>
        <v>4</v>
      </c>
    </row>
    <row r="206" spans="1:9" ht="35.25" customHeight="1" thickBot="1" x14ac:dyDescent="0.25">
      <c r="A206" s="43">
        <f>'Necesidades Trimestrales'!A204</f>
        <v>195</v>
      </c>
      <c r="B206" s="44">
        <v>0</v>
      </c>
      <c r="C206" s="153" t="str">
        <f>'Necesidades Trimestrales'!E204</f>
        <v>PYR-A ENTEROCOSC/REVELADOR DISCO  X 25 U</v>
      </c>
      <c r="D206" s="153"/>
      <c r="E206" s="153"/>
      <c r="F206" s="48" t="s">
        <v>52</v>
      </c>
      <c r="G206" s="45" t="str">
        <f>'Necesidades Trimestrales'!F204</f>
        <v>UNIDAD</v>
      </c>
      <c r="H206" s="46">
        <f>'Necesidades Trimestrales'!H204</f>
        <v>1300</v>
      </c>
      <c r="I206" s="47">
        <f>'Necesidades Trimestrales'!G204</f>
        <v>1</v>
      </c>
    </row>
    <row r="207" spans="1:9" ht="35.25" customHeight="1" thickBot="1" x14ac:dyDescent="0.25">
      <c r="A207" s="43">
        <f>'Necesidades Trimestrales'!A205</f>
        <v>196</v>
      </c>
      <c r="B207" s="44">
        <v>0</v>
      </c>
      <c r="C207" s="153" t="str">
        <f>'Necesidades Trimestrales'!E205</f>
        <v>REACTIVO   CEA  x 100 DETERMINACIONES COBAS E-411 ROCHE</v>
      </c>
      <c r="D207" s="153"/>
      <c r="E207" s="153"/>
      <c r="F207" s="48" t="s">
        <v>52</v>
      </c>
      <c r="G207" s="45" t="str">
        <f>'Necesidades Trimestrales'!F205</f>
        <v>CASSETTE</v>
      </c>
      <c r="H207" s="46">
        <f>'Necesidades Trimestrales'!H205</f>
        <v>19838</v>
      </c>
      <c r="I207" s="47">
        <f>'Necesidades Trimestrales'!G205</f>
        <v>1</v>
      </c>
    </row>
    <row r="208" spans="1:9" ht="35.25" customHeight="1" thickBot="1" x14ac:dyDescent="0.25">
      <c r="A208" s="43">
        <f>'Necesidades Trimestrales'!A206</f>
        <v>197</v>
      </c>
      <c r="B208" s="44">
        <v>0</v>
      </c>
      <c r="C208" s="153" t="str">
        <f>'Necesidades Trimestrales'!E206</f>
        <v>REACTIVO  CA 125 G2 x 100 DETERMINACIONES  COBAS E-411 ROCHE</v>
      </c>
      <c r="D208" s="153"/>
      <c r="E208" s="153"/>
      <c r="F208" s="48" t="s">
        <v>52</v>
      </c>
      <c r="G208" s="45" t="str">
        <f>'Necesidades Trimestrales'!F206</f>
        <v>CASSETTE</v>
      </c>
      <c r="H208" s="46">
        <f>'Necesidades Trimestrales'!H206</f>
        <v>29390</v>
      </c>
      <c r="I208" s="47">
        <f>'Necesidades Trimestrales'!G206</f>
        <v>1</v>
      </c>
    </row>
    <row r="209" spans="1:9" ht="35.25" customHeight="1" thickBot="1" x14ac:dyDescent="0.25">
      <c r="A209" s="43">
        <f>'Necesidades Trimestrales'!A207</f>
        <v>198</v>
      </c>
      <c r="B209" s="44">
        <v>0</v>
      </c>
      <c r="C209" s="153" t="str">
        <f>'Necesidades Trimestrales'!E207</f>
        <v>REACTIVO  CORTISOL COBAS E-411 ROCHE  X 100 DET</v>
      </c>
      <c r="D209" s="153"/>
      <c r="E209" s="153"/>
      <c r="F209" s="48" t="s">
        <v>52</v>
      </c>
      <c r="G209" s="45" t="str">
        <f>'Necesidades Trimestrales'!F207</f>
        <v>CAJA</v>
      </c>
      <c r="H209" s="46">
        <f>'Necesidades Trimestrales'!H207</f>
        <v>16500</v>
      </c>
      <c r="I209" s="47">
        <f>'Necesidades Trimestrales'!G207</f>
        <v>1</v>
      </c>
    </row>
    <row r="210" spans="1:9" ht="35.25" customHeight="1" thickBot="1" x14ac:dyDescent="0.25">
      <c r="A210" s="43">
        <f>'Necesidades Trimestrales'!A208</f>
        <v>199</v>
      </c>
      <c r="B210" s="44">
        <v>0</v>
      </c>
      <c r="C210" s="153" t="str">
        <f>'Necesidades Trimestrales'!E208</f>
        <v>REACTIVO  DHEA-S COBAS E-411 ROCHE X 100 DET</v>
      </c>
      <c r="D210" s="153"/>
      <c r="E210" s="153"/>
      <c r="F210" s="48" t="s">
        <v>52</v>
      </c>
      <c r="G210" s="45" t="str">
        <f>'Necesidades Trimestrales'!F208</f>
        <v>CAJA</v>
      </c>
      <c r="H210" s="46">
        <f>'Necesidades Trimestrales'!H208</f>
        <v>24196</v>
      </c>
      <c r="I210" s="47">
        <f>'Necesidades Trimestrales'!G208</f>
        <v>1</v>
      </c>
    </row>
    <row r="211" spans="1:9" ht="35.25" customHeight="1" thickBot="1" x14ac:dyDescent="0.25">
      <c r="A211" s="43">
        <f>'Necesidades Trimestrales'!A209</f>
        <v>200</v>
      </c>
      <c r="B211" s="44">
        <v>0</v>
      </c>
      <c r="C211" s="153" t="str">
        <f>'Necesidades Trimestrales'!E209</f>
        <v>REACTIVO  TROPONINA T - HS COBAS E-411 x 100 DETERMINACIONES</v>
      </c>
      <c r="D211" s="153"/>
      <c r="E211" s="153"/>
      <c r="F211" s="48" t="s">
        <v>52</v>
      </c>
      <c r="G211" s="45" t="str">
        <f>'Necesidades Trimestrales'!F209</f>
        <v>CASSETTE</v>
      </c>
      <c r="H211" s="46">
        <f>'Necesidades Trimestrales'!H209</f>
        <v>48000</v>
      </c>
      <c r="I211" s="47">
        <f>'Necesidades Trimestrales'!G209</f>
        <v>1</v>
      </c>
    </row>
    <row r="212" spans="1:9" ht="35.25" customHeight="1" thickBot="1" x14ac:dyDescent="0.25">
      <c r="A212" s="43">
        <f>'Necesidades Trimestrales'!A210</f>
        <v>201</v>
      </c>
      <c r="B212" s="44">
        <v>0</v>
      </c>
      <c r="C212" s="153" t="str">
        <f>'Necesidades Trimestrales'!E210</f>
        <v>REACTIVO  VITAMINA D TOTAL x 100 det COBAS E-411 ROCHE</v>
      </c>
      <c r="D212" s="153"/>
      <c r="E212" s="153"/>
      <c r="F212" s="48" t="s">
        <v>52</v>
      </c>
      <c r="G212" s="45" t="str">
        <f>'Necesidades Trimestrales'!F210</f>
        <v>CASSETTE</v>
      </c>
      <c r="H212" s="46">
        <f>'Necesidades Trimestrales'!H210</f>
        <v>35000</v>
      </c>
      <c r="I212" s="47">
        <f>'Necesidades Trimestrales'!G210</f>
        <v>2</v>
      </c>
    </row>
    <row r="213" spans="1:9" ht="35.25" customHeight="1" thickBot="1" x14ac:dyDescent="0.25">
      <c r="A213" s="43">
        <f>'Necesidades Trimestrales'!A211</f>
        <v>202</v>
      </c>
      <c r="B213" s="44">
        <v>0</v>
      </c>
      <c r="C213" s="153" t="str">
        <f>'Necesidades Trimestrales'!E211</f>
        <v xml:space="preserve">REACTIVO ACCESORIO X 2750 DETERMINACIONES COBAS C-311 ROCHE </v>
      </c>
      <c r="D213" s="153"/>
      <c r="E213" s="153"/>
      <c r="F213" s="48" t="s">
        <v>52</v>
      </c>
      <c r="G213" s="45" t="str">
        <f>'Necesidades Trimestrales'!F211</f>
        <v>UNIDAD</v>
      </c>
      <c r="H213" s="46">
        <f>'Necesidades Trimestrales'!H211</f>
        <v>5600</v>
      </c>
      <c r="I213" s="47">
        <f>'Necesidades Trimestrales'!G211</f>
        <v>1</v>
      </c>
    </row>
    <row r="214" spans="1:9" ht="35.25" customHeight="1" thickBot="1" x14ac:dyDescent="0.25">
      <c r="A214" s="43">
        <f>'Necesidades Trimestrales'!A212</f>
        <v>203</v>
      </c>
      <c r="B214" s="44">
        <v>0</v>
      </c>
      <c r="C214" s="153" t="str">
        <f>'Necesidades Trimestrales'!E212</f>
        <v>REACTIVO ALFAFETO PROTEINA (AFP) x 100 DETERMINACIONES COBAS E-411 ROCHE</v>
      </c>
      <c r="D214" s="153"/>
      <c r="E214" s="153"/>
      <c r="F214" s="48" t="s">
        <v>52</v>
      </c>
      <c r="G214" s="45" t="str">
        <f>'Necesidades Trimestrales'!F212</f>
        <v>CASSETTE</v>
      </c>
      <c r="H214" s="46">
        <f>'Necesidades Trimestrales'!H212</f>
        <v>18803</v>
      </c>
      <c r="I214" s="47">
        <f>'Necesidades Trimestrales'!G212</f>
        <v>1</v>
      </c>
    </row>
    <row r="215" spans="1:9" ht="35.25" customHeight="1" thickBot="1" x14ac:dyDescent="0.25">
      <c r="A215" s="43">
        <f>'Necesidades Trimestrales'!A213</f>
        <v>204</v>
      </c>
      <c r="B215" s="44">
        <v>0</v>
      </c>
      <c r="C215" s="153" t="str">
        <f>'Necesidades Trimestrales'!E213</f>
        <v>REACTIVO AMH (HORMONA ANTI MULLERIANA) COBAS E -411 ROCHE  X 100 DET</v>
      </c>
      <c r="D215" s="153"/>
      <c r="E215" s="153"/>
      <c r="F215" s="48" t="s">
        <v>52</v>
      </c>
      <c r="G215" s="45" t="str">
        <f>'Necesidades Trimestrales'!F213</f>
        <v>CAJA</v>
      </c>
      <c r="H215" s="46">
        <f>'Necesidades Trimestrales'!H213</f>
        <v>292185</v>
      </c>
      <c r="I215" s="47">
        <f>'Necesidades Trimestrales'!G213</f>
        <v>1</v>
      </c>
    </row>
    <row r="216" spans="1:9" ht="35.25" customHeight="1" thickBot="1" x14ac:dyDescent="0.25">
      <c r="A216" s="43">
        <f>'Necesidades Trimestrales'!A214</f>
        <v>205</v>
      </c>
      <c r="B216" s="44">
        <v>0</v>
      </c>
      <c r="C216" s="153" t="str">
        <f>'Necesidades Trimestrales'!E214</f>
        <v>REACTIVO ANTI A PARA GRUPO SANGUINEO PRESENTACION :10 ML- WIENER</v>
      </c>
      <c r="D216" s="153"/>
      <c r="E216" s="153"/>
      <c r="F216" s="48" t="s">
        <v>52</v>
      </c>
      <c r="G216" s="45" t="str">
        <f>'Necesidades Trimestrales'!F214</f>
        <v>UNIDAD</v>
      </c>
      <c r="H216" s="46">
        <f>'Necesidades Trimestrales'!H214</f>
        <v>1200</v>
      </c>
      <c r="I216" s="47">
        <f>'Necesidades Trimestrales'!G214</f>
        <v>12</v>
      </c>
    </row>
    <row r="217" spans="1:9" ht="35.25" customHeight="1" thickBot="1" x14ac:dyDescent="0.25">
      <c r="A217" s="43">
        <f>'Necesidades Trimestrales'!A215</f>
        <v>206</v>
      </c>
      <c r="B217" s="44">
        <v>0</v>
      </c>
      <c r="C217" s="153" t="str">
        <f>'Necesidades Trimestrales'!E215</f>
        <v>REACTIVO ANTI B PARA GRUPO SANGUINEO PRESENTACION : 10 ML- WINER</v>
      </c>
      <c r="D217" s="153"/>
      <c r="E217" s="153"/>
      <c r="F217" s="48" t="s">
        <v>52</v>
      </c>
      <c r="G217" s="45" t="str">
        <f>'Necesidades Trimestrales'!F215</f>
        <v>UNIDAD</v>
      </c>
      <c r="H217" s="46">
        <f>'Necesidades Trimestrales'!H215</f>
        <v>1200</v>
      </c>
      <c r="I217" s="47">
        <f>'Necesidades Trimestrales'!G215</f>
        <v>12</v>
      </c>
    </row>
    <row r="218" spans="1:9" ht="35.25" customHeight="1" thickBot="1" x14ac:dyDescent="0.25">
      <c r="A218" s="43">
        <f>'Necesidades Trimestrales'!A216</f>
        <v>207</v>
      </c>
      <c r="B218" s="44">
        <v>0</v>
      </c>
      <c r="C218" s="153" t="str">
        <f>'Necesidades Trimestrales'!E216</f>
        <v>REACTIVO ANTI D PARA GRUPO SANGUINEO PRESENTACION : 10 ML- WIENER</v>
      </c>
      <c r="D218" s="153"/>
      <c r="E218" s="153"/>
      <c r="F218" s="48" t="s">
        <v>52</v>
      </c>
      <c r="G218" s="45" t="str">
        <f>'Necesidades Trimestrales'!F216</f>
        <v xml:space="preserve">UNIDAD </v>
      </c>
      <c r="H218" s="46">
        <f>'Necesidades Trimestrales'!H216</f>
        <v>1654</v>
      </c>
      <c r="I218" s="47">
        <f>'Necesidades Trimestrales'!G216</f>
        <v>12</v>
      </c>
    </row>
    <row r="219" spans="1:9" ht="35.25" customHeight="1" thickBot="1" x14ac:dyDescent="0.25">
      <c r="A219" s="43">
        <f>'Necesidades Trimestrales'!A217</f>
        <v>208</v>
      </c>
      <c r="B219" s="44">
        <v>0</v>
      </c>
      <c r="C219" s="168" t="str">
        <f>'Necesidades Trimestrales'!E217</f>
        <v>REACTIVO ANTI TPO COBAS E-411 ROCHE X 100 DET</v>
      </c>
      <c r="D219" s="169"/>
      <c r="E219" s="170"/>
      <c r="F219" s="48" t="s">
        <v>52</v>
      </c>
      <c r="G219" s="45" t="str">
        <f>'Necesidades Trimestrales'!F217</f>
        <v>CAJA</v>
      </c>
      <c r="H219" s="46">
        <f>'Necesidades Trimestrales'!H217</f>
        <v>19396</v>
      </c>
      <c r="I219" s="47">
        <f>'Necesidades Trimestrales'!G217</f>
        <v>3</v>
      </c>
    </row>
    <row r="220" spans="1:9" ht="35.25" customHeight="1" thickBot="1" x14ac:dyDescent="0.25">
      <c r="A220" s="43">
        <f>'Necesidades Trimestrales'!A218</f>
        <v>209</v>
      </c>
      <c r="B220" s="44">
        <v>0</v>
      </c>
      <c r="C220" s="168" t="str">
        <f>'Necesidades Trimestrales'!E218</f>
        <v>REACTIVO B-HCG COBAS E-411 ROCHE  X 100 DET</v>
      </c>
      <c r="D220" s="169"/>
      <c r="E220" s="170"/>
      <c r="F220" s="48" t="s">
        <v>52</v>
      </c>
      <c r="G220" s="45" t="str">
        <f>'Necesidades Trimestrales'!F218</f>
        <v>CASSETTE</v>
      </c>
      <c r="H220" s="46">
        <f>'Necesidades Trimestrales'!H218</f>
        <v>15456</v>
      </c>
      <c r="I220" s="47">
        <f>'Necesidades Trimestrales'!G218</f>
        <v>2</v>
      </c>
    </row>
    <row r="221" spans="1:9" ht="35.25" customHeight="1" thickBot="1" x14ac:dyDescent="0.25">
      <c r="A221" s="43">
        <f>'Necesidades Trimestrales'!A219</f>
        <v>210</v>
      </c>
      <c r="B221" s="44">
        <v>0</v>
      </c>
      <c r="C221" s="168" t="str">
        <f>'Necesidades Trimestrales'!E219</f>
        <v>REACTIVO CA 15-3  x 100 DETERMINACIONES COBAS E-411 ROCHE</v>
      </c>
      <c r="D221" s="169"/>
      <c r="E221" s="170"/>
      <c r="F221" s="48" t="s">
        <v>52</v>
      </c>
      <c r="G221" s="45" t="str">
        <f>'Necesidades Trimestrales'!F219</f>
        <v>CASSETTE</v>
      </c>
      <c r="H221" s="46">
        <f>'Necesidades Trimestrales'!H219</f>
        <v>36449</v>
      </c>
      <c r="I221" s="47">
        <f>'Necesidades Trimestrales'!G219</f>
        <v>1</v>
      </c>
    </row>
    <row r="222" spans="1:9" ht="35.25" customHeight="1" thickBot="1" x14ac:dyDescent="0.25">
      <c r="A222" s="43">
        <f>'Necesidades Trimestrales'!A220</f>
        <v>211</v>
      </c>
      <c r="B222" s="44">
        <v>0</v>
      </c>
      <c r="C222" s="168" t="str">
        <f>'Necesidades Trimestrales'!E220</f>
        <v>REACTIVO DE COOMBS POLIESPECIFICO X 10 ML- WINER</v>
      </c>
      <c r="D222" s="169"/>
      <c r="E222" s="170"/>
      <c r="F222" s="48" t="s">
        <v>52</v>
      </c>
      <c r="G222" s="45" t="str">
        <f>'Necesidades Trimestrales'!F220</f>
        <v>UNIDAD</v>
      </c>
      <c r="H222" s="46">
        <f>'Necesidades Trimestrales'!H220</f>
        <v>1700</v>
      </c>
      <c r="I222" s="47">
        <f>'Necesidades Trimestrales'!G220</f>
        <v>5</v>
      </c>
    </row>
    <row r="223" spans="1:9" ht="35.25" customHeight="1" thickBot="1" x14ac:dyDescent="0.25">
      <c r="A223" s="43">
        <f>'Necesidades Trimestrales'!A221</f>
        <v>212</v>
      </c>
      <c r="B223" s="44">
        <v>0</v>
      </c>
      <c r="C223" s="168" t="str">
        <f>'Necesidades Trimestrales'!E221</f>
        <v>REACTIVO ESTRADIOL COBAS E-411 ROCHE  X 100 DET</v>
      </c>
      <c r="D223" s="169"/>
      <c r="E223" s="170"/>
      <c r="F223" s="48" t="s">
        <v>52</v>
      </c>
      <c r="G223" s="45" t="str">
        <f>'Necesidades Trimestrales'!F221</f>
        <v>CASSETTE</v>
      </c>
      <c r="H223" s="46">
        <f>'Necesidades Trimestrales'!H221</f>
        <v>17152</v>
      </c>
      <c r="I223" s="47">
        <f>'Necesidades Trimestrales'!G221</f>
        <v>1</v>
      </c>
    </row>
    <row r="224" spans="1:9" ht="35.25" customHeight="1" thickBot="1" x14ac:dyDescent="0.25">
      <c r="A224" s="43">
        <f>'Necesidades Trimestrales'!A222</f>
        <v>213</v>
      </c>
      <c r="B224" s="44">
        <v>0</v>
      </c>
      <c r="C224" s="168" t="str">
        <f>'Necesidades Trimestrales'!E222</f>
        <v>REACTIVO FERRITINA COBAS E-311 x 100 DETERMINACIONES</v>
      </c>
      <c r="D224" s="169"/>
      <c r="E224" s="170"/>
      <c r="F224" s="48" t="s">
        <v>52</v>
      </c>
      <c r="G224" s="45" t="str">
        <f>'Necesidades Trimestrales'!F222</f>
        <v>CASSETTE</v>
      </c>
      <c r="H224" s="46">
        <f>'Necesidades Trimestrales'!H222</f>
        <v>45377</v>
      </c>
      <c r="I224" s="47">
        <f>'Necesidades Trimestrales'!G222</f>
        <v>1</v>
      </c>
    </row>
    <row r="225" spans="1:9" ht="35.25" customHeight="1" thickBot="1" x14ac:dyDescent="0.25">
      <c r="A225" s="43">
        <f>'Necesidades Trimestrales'!A223</f>
        <v>214</v>
      </c>
      <c r="B225" s="44">
        <v>0</v>
      </c>
      <c r="C225" s="168" t="str">
        <f>'Necesidades Trimestrales'!E223</f>
        <v>REACTIVO FSH COBAS E-411 ROCHE X 100 DET</v>
      </c>
      <c r="D225" s="169"/>
      <c r="E225" s="170"/>
      <c r="F225" s="48" t="s">
        <v>52</v>
      </c>
      <c r="G225" s="45" t="str">
        <f>'Necesidades Trimestrales'!F223</f>
        <v>CASSETTE</v>
      </c>
      <c r="H225" s="46">
        <f>'Necesidades Trimestrales'!H223</f>
        <v>15456</v>
      </c>
      <c r="I225" s="47">
        <f>'Necesidades Trimestrales'!G223</f>
        <v>1</v>
      </c>
    </row>
    <row r="226" spans="1:9" ht="35.25" customHeight="1" thickBot="1" x14ac:dyDescent="0.25">
      <c r="A226" s="43">
        <f>'Necesidades Trimestrales'!A224</f>
        <v>215</v>
      </c>
      <c r="B226" s="44">
        <v>0</v>
      </c>
      <c r="C226" s="168" t="str">
        <f>'Necesidades Trimestrales'!E224</f>
        <v>REACTIVO INSULINA COBAS E-411 ROCHE  X 100 DET</v>
      </c>
      <c r="D226" s="169"/>
      <c r="E226" s="170"/>
      <c r="F226" s="48" t="s">
        <v>52</v>
      </c>
      <c r="G226" s="45" t="str">
        <f>'Necesidades Trimestrales'!F224</f>
        <v>CASSETTE</v>
      </c>
      <c r="H226" s="46">
        <f>'Necesidades Trimestrales'!H224</f>
        <v>17152</v>
      </c>
      <c r="I226" s="47">
        <f>'Necesidades Trimestrales'!G224</f>
        <v>1</v>
      </c>
    </row>
    <row r="227" spans="1:9" ht="35.25" customHeight="1" thickBot="1" x14ac:dyDescent="0.25">
      <c r="A227" s="43">
        <f>'Necesidades Trimestrales'!A225</f>
        <v>216</v>
      </c>
      <c r="B227" s="44">
        <v>0</v>
      </c>
      <c r="C227" s="168" t="str">
        <f>'Necesidades Trimestrales'!E225</f>
        <v>REACTIVO LH COBAS E-411 ROCHE  X 100 DET</v>
      </c>
      <c r="D227" s="169"/>
      <c r="E227" s="170"/>
      <c r="F227" s="48" t="s">
        <v>52</v>
      </c>
      <c r="G227" s="45" t="str">
        <f>'Necesidades Trimestrales'!F225</f>
        <v>CASSETTE</v>
      </c>
      <c r="H227" s="46">
        <f>'Necesidades Trimestrales'!H225</f>
        <v>15456</v>
      </c>
      <c r="I227" s="47">
        <f>'Necesidades Trimestrales'!G225</f>
        <v>1</v>
      </c>
    </row>
    <row r="228" spans="1:9" ht="35.25" customHeight="1" thickBot="1" x14ac:dyDescent="0.25">
      <c r="A228" s="43">
        <f>'Necesidades Trimestrales'!A226</f>
        <v>217</v>
      </c>
      <c r="B228" s="44">
        <v>0</v>
      </c>
      <c r="C228" s="168" t="str">
        <f>'Necesidades Trimestrales'!E226</f>
        <v>REACTIVO PROGESTERONA COBAS E-411 ROCHE  X 100 DET</v>
      </c>
      <c r="D228" s="169"/>
      <c r="E228" s="170"/>
      <c r="F228" s="48" t="s">
        <v>52</v>
      </c>
      <c r="G228" s="45" t="str">
        <f>'Necesidades Trimestrales'!F226</f>
        <v>CASSETTE</v>
      </c>
      <c r="H228" s="46">
        <f>'Necesidades Trimestrales'!H226</f>
        <v>15600</v>
      </c>
      <c r="I228" s="47">
        <f>'Necesidades Trimestrales'!G226</f>
        <v>1</v>
      </c>
    </row>
    <row r="229" spans="1:9" ht="35.25" customHeight="1" thickBot="1" x14ac:dyDescent="0.25">
      <c r="A229" s="43">
        <f>'Necesidades Trimestrales'!A227</f>
        <v>218</v>
      </c>
      <c r="B229" s="44">
        <v>0</v>
      </c>
      <c r="C229" s="168" t="str">
        <f>'Necesidades Trimestrales'!E227</f>
        <v>REACTIVO PROLACTINA COBAS E-411 ROCHE X 100 DET</v>
      </c>
      <c r="D229" s="169"/>
      <c r="E229" s="170"/>
      <c r="F229" s="48" t="s">
        <v>52</v>
      </c>
      <c r="G229" s="45" t="str">
        <f>'Necesidades Trimestrales'!F227</f>
        <v>CASSETTE</v>
      </c>
      <c r="H229" s="46">
        <f>'Necesidades Trimestrales'!H227</f>
        <v>15456</v>
      </c>
      <c r="I229" s="47">
        <f>'Necesidades Trimestrales'!G227</f>
        <v>1</v>
      </c>
    </row>
    <row r="230" spans="1:9" ht="35.25" customHeight="1" thickBot="1" x14ac:dyDescent="0.25">
      <c r="A230" s="43">
        <f>'Necesidades Trimestrales'!A228</f>
        <v>219</v>
      </c>
      <c r="B230" s="44">
        <v>0</v>
      </c>
      <c r="C230" s="168" t="str">
        <f>'Necesidades Trimestrales'!E228</f>
        <v>REACTIVO S-HBG COBAS E-411 ROCHE  X 100 DET</v>
      </c>
      <c r="D230" s="169"/>
      <c r="E230" s="170"/>
      <c r="F230" s="48" t="s">
        <v>52</v>
      </c>
      <c r="G230" s="45" t="str">
        <f>'Necesidades Trimestrales'!F228</f>
        <v>CASSETTE</v>
      </c>
      <c r="H230" s="46">
        <f>'Necesidades Trimestrales'!H228</f>
        <v>22115</v>
      </c>
      <c r="I230" s="47">
        <f>'Necesidades Trimestrales'!G228</f>
        <v>1</v>
      </c>
    </row>
    <row r="231" spans="1:9" ht="35.25" customHeight="1" thickBot="1" x14ac:dyDescent="0.25">
      <c r="A231" s="43">
        <f>'Necesidades Trimestrales'!A229</f>
        <v>220</v>
      </c>
      <c r="B231" s="44">
        <v>0</v>
      </c>
      <c r="C231" s="168" t="str">
        <f>'Necesidades Trimestrales'!E229</f>
        <v>REACTIVO SOLUCION DE BAJA FUERZA IONICA (LISS ADITIVO) X 10 ML- WIENER</v>
      </c>
      <c r="D231" s="169"/>
      <c r="E231" s="170"/>
      <c r="F231" s="48" t="s">
        <v>52</v>
      </c>
      <c r="G231" s="45" t="str">
        <f>'Necesidades Trimestrales'!F229</f>
        <v>CAJAS</v>
      </c>
      <c r="H231" s="46">
        <f>'Necesidades Trimestrales'!H229</f>
        <v>1500</v>
      </c>
      <c r="I231" s="47">
        <f>'Necesidades Trimestrales'!G229</f>
        <v>6</v>
      </c>
    </row>
    <row r="232" spans="1:9" ht="35.25" customHeight="1" thickBot="1" x14ac:dyDescent="0.25">
      <c r="A232" s="43">
        <f>'Necesidades Trimestrales'!A230</f>
        <v>221</v>
      </c>
      <c r="B232" s="44">
        <v>0</v>
      </c>
      <c r="C232" s="168" t="str">
        <f>'Necesidades Trimestrales'!E230</f>
        <v>REACTIVO T3  TOTAL COBAS E-411 ROCHE  X 100 DET</v>
      </c>
      <c r="D232" s="169"/>
      <c r="E232" s="170"/>
      <c r="F232" s="48" t="s">
        <v>52</v>
      </c>
      <c r="G232" s="45" t="str">
        <f>'Necesidades Trimestrales'!F230</f>
        <v>CASSETTE</v>
      </c>
      <c r="H232" s="46">
        <f>'Necesidades Trimestrales'!H230</f>
        <v>12435</v>
      </c>
      <c r="I232" s="47">
        <f>'Necesidades Trimestrales'!G230</f>
        <v>1</v>
      </c>
    </row>
    <row r="233" spans="1:9" ht="35.25" customHeight="1" thickBot="1" x14ac:dyDescent="0.25">
      <c r="A233" s="43">
        <f>'Necesidades Trimestrales'!A231</f>
        <v>222</v>
      </c>
      <c r="B233" s="44">
        <v>0</v>
      </c>
      <c r="C233" s="168" t="str">
        <f>'Necesidades Trimestrales'!E231</f>
        <v>REACTIVO T3 LBRE COBAS E-411 ROCHE  X 100 DET</v>
      </c>
      <c r="D233" s="169"/>
      <c r="E233" s="170"/>
      <c r="F233" s="48" t="s">
        <v>52</v>
      </c>
      <c r="G233" s="45" t="str">
        <f>'Necesidades Trimestrales'!F231</f>
        <v>CASSETTE</v>
      </c>
      <c r="H233" s="46">
        <f>'Necesidades Trimestrales'!H231</f>
        <v>14901</v>
      </c>
      <c r="I233" s="47">
        <f>'Necesidades Trimestrales'!G231</f>
        <v>1</v>
      </c>
    </row>
    <row r="234" spans="1:9" ht="35.25" customHeight="1" thickBot="1" x14ac:dyDescent="0.25">
      <c r="A234" s="43">
        <f>'Necesidades Trimestrales'!A232</f>
        <v>223</v>
      </c>
      <c r="B234" s="44">
        <v>0</v>
      </c>
      <c r="C234" s="168" t="str">
        <f>'Necesidades Trimestrales'!E232</f>
        <v>REACTIVO T4 LIBRE  (FT4)   COBAS E-411 ROCHE X 200 DET</v>
      </c>
      <c r="D234" s="169"/>
      <c r="E234" s="170"/>
      <c r="F234" s="48" t="s">
        <v>52</v>
      </c>
      <c r="G234" s="45" t="str">
        <f>'Necesidades Trimestrales'!F232</f>
        <v>CASSETTE</v>
      </c>
      <c r="H234" s="46">
        <f>'Necesidades Trimestrales'!H232</f>
        <v>21731</v>
      </c>
      <c r="I234" s="47">
        <f>'Necesidades Trimestrales'!G232</f>
        <v>3</v>
      </c>
    </row>
    <row r="235" spans="1:9" ht="35.25" customHeight="1" thickBot="1" x14ac:dyDescent="0.25">
      <c r="A235" s="43">
        <f>'Necesidades Trimestrales'!A233</f>
        <v>224</v>
      </c>
      <c r="B235" s="44">
        <v>0</v>
      </c>
      <c r="C235" s="168" t="str">
        <f>'Necesidades Trimestrales'!E233</f>
        <v>REACTIVO TSH  V2 COBAS E-411 ROCHE  X  200 DET</v>
      </c>
      <c r="D235" s="169"/>
      <c r="E235" s="170"/>
      <c r="F235" s="48" t="s">
        <v>52</v>
      </c>
      <c r="G235" s="45" t="str">
        <f>'Necesidades Trimestrales'!F233</f>
        <v>CASSETTE</v>
      </c>
      <c r="H235" s="46">
        <f>'Necesidades Trimestrales'!H233</f>
        <v>11028</v>
      </c>
      <c r="I235" s="47">
        <f>'Necesidades Trimestrales'!G233</f>
        <v>3</v>
      </c>
    </row>
    <row r="236" spans="1:9" ht="35.25" customHeight="1" thickBot="1" x14ac:dyDescent="0.25">
      <c r="A236" s="43">
        <f>'Necesidades Trimestrales'!A234</f>
        <v>225</v>
      </c>
      <c r="B236" s="44">
        <v>0</v>
      </c>
      <c r="C236" s="168" t="str">
        <f>'Necesidades Trimestrales'!E234</f>
        <v>REFERENCE MICROELECTRODE</v>
      </c>
      <c r="D236" s="169"/>
      <c r="E236" s="170"/>
      <c r="F236" s="48" t="s">
        <v>52</v>
      </c>
      <c r="G236" s="45" t="str">
        <f>'Necesidades Trimestrales'!F234</f>
        <v>UNIDAD</v>
      </c>
      <c r="H236" s="46">
        <f>'Necesidades Trimestrales'!H234</f>
        <v>18300</v>
      </c>
      <c r="I236" s="47">
        <f>'Necesidades Trimestrales'!G234</f>
        <v>1</v>
      </c>
    </row>
    <row r="237" spans="1:9" ht="35.25" customHeight="1" thickBot="1" x14ac:dyDescent="0.25">
      <c r="A237" s="43">
        <f>'Necesidades Trimestrales'!A235</f>
        <v>226</v>
      </c>
      <c r="B237" s="44">
        <v>0</v>
      </c>
      <c r="C237" s="168" t="str">
        <f>'Necesidades Trimestrales'!E235</f>
        <v>RINSE SOLUTION  X 600 ML PARA ABL 800</v>
      </c>
      <c r="D237" s="169"/>
      <c r="E237" s="170"/>
      <c r="F237" s="48" t="s">
        <v>52</v>
      </c>
      <c r="G237" s="45" t="str">
        <f>'Necesidades Trimestrales'!F235</f>
        <v>UNIDAD</v>
      </c>
      <c r="H237" s="46">
        <f>'Necesidades Trimestrales'!H235</f>
        <v>22500</v>
      </c>
      <c r="I237" s="47">
        <f>'Necesidades Trimestrales'!G235</f>
        <v>15</v>
      </c>
    </row>
    <row r="238" spans="1:9" ht="35.25" customHeight="1" thickBot="1" x14ac:dyDescent="0.25">
      <c r="A238" s="43">
        <f>'Necesidades Trimestrales'!A236</f>
        <v>227</v>
      </c>
      <c r="B238" s="44">
        <v>0</v>
      </c>
      <c r="C238" s="168" t="str">
        <f>'Necesidades Trimestrales'!E236</f>
        <v>ROLLO DE PAPEL PARA MINDRAY BC-3000 PLUS PAQUETE X 6 UNIDADES</v>
      </c>
      <c r="D238" s="169"/>
      <c r="E238" s="170"/>
      <c r="F238" s="48" t="s">
        <v>52</v>
      </c>
      <c r="G238" s="45" t="str">
        <f>'Necesidades Trimestrales'!F236</f>
        <v>PAQUETE</v>
      </c>
      <c r="H238" s="46">
        <f>'Necesidades Trimestrales'!H236</f>
        <v>2500</v>
      </c>
      <c r="I238" s="47">
        <f>'Necesidades Trimestrales'!G236</f>
        <v>8</v>
      </c>
    </row>
    <row r="239" spans="1:9" ht="35.25" customHeight="1" thickBot="1" x14ac:dyDescent="0.25">
      <c r="A239" s="43">
        <f>'Necesidades Trimestrales'!A237</f>
        <v>228</v>
      </c>
      <c r="B239" s="44">
        <v>0</v>
      </c>
      <c r="C239" s="168" t="str">
        <f>'Necesidades Trimestrales'!E237</f>
        <v>ROLLO DE PAPEL PARA MINDRAY BC-5150 PAQUETE X 6 UNIDADES</v>
      </c>
      <c r="D239" s="169"/>
      <c r="E239" s="170"/>
      <c r="F239" s="48" t="s">
        <v>52</v>
      </c>
      <c r="G239" s="45" t="str">
        <f>'Necesidades Trimestrales'!F237</f>
        <v>PAQUETE</v>
      </c>
      <c r="H239" s="46">
        <f>'Necesidades Trimestrales'!H237</f>
        <v>2500</v>
      </c>
      <c r="I239" s="47">
        <f>'Necesidades Trimestrales'!G237</f>
        <v>10</v>
      </c>
    </row>
    <row r="240" spans="1:9" ht="35.25" customHeight="1" thickBot="1" x14ac:dyDescent="0.25">
      <c r="A240" s="43">
        <f>'Necesidades Trimestrales'!A238</f>
        <v>229</v>
      </c>
      <c r="B240" s="44">
        <v>0</v>
      </c>
      <c r="C240" s="168" t="str">
        <f>'Necesidades Trimestrales'!E238</f>
        <v>S1  RINSE SOLUTION</v>
      </c>
      <c r="D240" s="169"/>
      <c r="E240" s="170"/>
      <c r="F240" s="48" t="s">
        <v>52</v>
      </c>
      <c r="G240" s="45" t="str">
        <f>'Necesidades Trimestrales'!F238</f>
        <v>UNUDAD</v>
      </c>
      <c r="H240" s="46">
        <f>'Necesidades Trimestrales'!H238</f>
        <v>23600</v>
      </c>
      <c r="I240" s="47">
        <f>'Necesidades Trimestrales'!G238</f>
        <v>4</v>
      </c>
    </row>
    <row r="241" spans="1:9" ht="35.25" customHeight="1" thickBot="1" x14ac:dyDescent="0.25">
      <c r="A241" s="43">
        <f>'Necesidades Trimestrales'!A239</f>
        <v>230</v>
      </c>
      <c r="B241" s="44">
        <v>0</v>
      </c>
      <c r="C241" s="168" t="str">
        <f>'Necesidades Trimestrales'!E239</f>
        <v>S2 FLUID PACK</v>
      </c>
      <c r="D241" s="169"/>
      <c r="E241" s="170"/>
      <c r="F241" s="48" t="s">
        <v>52</v>
      </c>
      <c r="G241" s="45" t="str">
        <f>'Necesidades Trimestrales'!F239</f>
        <v>UNIDAD</v>
      </c>
      <c r="H241" s="46">
        <f>'Necesidades Trimestrales'!H239</f>
        <v>38600</v>
      </c>
      <c r="I241" s="47">
        <f>'Necesidades Trimestrales'!G239</f>
        <v>9</v>
      </c>
    </row>
    <row r="242" spans="1:9" ht="35.25" customHeight="1" thickBot="1" x14ac:dyDescent="0.25">
      <c r="A242" s="43">
        <f>'Necesidades Trimestrales'!A240</f>
        <v>231</v>
      </c>
      <c r="B242" s="44">
        <v>0</v>
      </c>
      <c r="C242" s="168" t="str">
        <f>'Necesidades Trimestrales'!E240</f>
        <v>SERODIA  TPPA  ( 4  X 55 )</v>
      </c>
      <c r="D242" s="169"/>
      <c r="E242" s="170"/>
      <c r="F242" s="48" t="s">
        <v>52</v>
      </c>
      <c r="G242" s="45" t="str">
        <f>'Necesidades Trimestrales'!F240</f>
        <v>UNIDAD</v>
      </c>
      <c r="H242" s="46">
        <f>'Necesidades Trimestrales'!H240</f>
        <v>24000</v>
      </c>
      <c r="I242" s="47">
        <f>'Necesidades Trimestrales'!G240</f>
        <v>2</v>
      </c>
    </row>
    <row r="243" spans="1:9" ht="35.25" customHeight="1" thickBot="1" x14ac:dyDescent="0.25">
      <c r="A243" s="43">
        <f>'Necesidades Trimestrales'!A241</f>
        <v>232</v>
      </c>
      <c r="B243" s="44">
        <v>0</v>
      </c>
      <c r="C243" s="168" t="str">
        <f>'Necesidades Trimestrales'!E241</f>
        <v>TETRACICLINA 30 µGR DISCO PRESENTACION: FRASCO X 50 UN</v>
      </c>
      <c r="D243" s="169"/>
      <c r="E243" s="170"/>
      <c r="F243" s="48" t="s">
        <v>52</v>
      </c>
      <c r="G243" s="45" t="str">
        <f>'Necesidades Trimestrales'!F241</f>
        <v>FRASCO</v>
      </c>
      <c r="H243" s="46">
        <f>'Necesidades Trimestrales'!H241</f>
        <v>850</v>
      </c>
      <c r="I243" s="47">
        <f>'Necesidades Trimestrales'!G241</f>
        <v>1</v>
      </c>
    </row>
    <row r="244" spans="1:9" ht="35.25" customHeight="1" thickBot="1" x14ac:dyDescent="0.25">
      <c r="A244" s="43">
        <f>'Necesidades Trimestrales'!A242</f>
        <v>233</v>
      </c>
      <c r="B244" s="44">
        <v>0</v>
      </c>
      <c r="C244" s="168" t="str">
        <f>'Necesidades Trimestrales'!E242</f>
        <v xml:space="preserve">TRIGLICERIDOS COBAS C-311 ROCHE  X 250 DET </v>
      </c>
      <c r="D244" s="169"/>
      <c r="E244" s="170"/>
      <c r="F244" s="48" t="s">
        <v>52</v>
      </c>
      <c r="G244" s="45" t="str">
        <f>'Necesidades Trimestrales'!F242</f>
        <v>CASSETTE</v>
      </c>
      <c r="H244" s="46">
        <f>'Necesidades Trimestrales'!H242</f>
        <v>3095</v>
      </c>
      <c r="I244" s="47">
        <f>'Necesidades Trimestrales'!G242</f>
        <v>2</v>
      </c>
    </row>
    <row r="245" spans="1:9" ht="35.25" customHeight="1" thickBot="1" x14ac:dyDescent="0.25">
      <c r="A245" s="43">
        <f>'Necesidades Trimestrales'!A243</f>
        <v>234</v>
      </c>
      <c r="B245" s="44">
        <v>0</v>
      </c>
      <c r="C245" s="168" t="str">
        <f>'Necesidades Trimestrales'!E243</f>
        <v>TRIMETOPRIMA + SULFAMETOXAZOL 25 UGR PRESENTACION FRASCO DISCOX 50 UN</v>
      </c>
      <c r="D245" s="169"/>
      <c r="E245" s="170"/>
      <c r="F245" s="48" t="s">
        <v>52</v>
      </c>
      <c r="G245" s="45" t="str">
        <f>'Necesidades Trimestrales'!F243</f>
        <v>UNIDAD</v>
      </c>
      <c r="H245" s="46">
        <f>'Necesidades Trimestrales'!H243</f>
        <v>850</v>
      </c>
      <c r="I245" s="47">
        <f>'Necesidades Trimestrales'!G243</f>
        <v>5</v>
      </c>
    </row>
    <row r="246" spans="1:9" ht="35.25" customHeight="1" thickBot="1" x14ac:dyDescent="0.25">
      <c r="A246" s="43">
        <f>'Necesidades Trimestrales'!A244</f>
        <v>235</v>
      </c>
      <c r="B246" s="44">
        <v>0</v>
      </c>
      <c r="C246" s="168" t="str">
        <f>'Necesidades Trimestrales'!E244</f>
        <v>TUBOS DE HEMOLISIS DE VIDRIO 12 MM X 100 MM</v>
      </c>
      <c r="D246" s="169"/>
      <c r="E246" s="170"/>
      <c r="F246" s="48" t="s">
        <v>52</v>
      </c>
      <c r="G246" s="45" t="str">
        <f>'Necesidades Trimestrales'!F244</f>
        <v>UNIDAD</v>
      </c>
      <c r="H246" s="46">
        <f>'Necesidades Trimestrales'!H244</f>
        <v>24</v>
      </c>
      <c r="I246" s="47">
        <f>'Necesidades Trimestrales'!G244</f>
        <v>200</v>
      </c>
    </row>
    <row r="247" spans="1:9" ht="35.25" customHeight="1" thickBot="1" x14ac:dyDescent="0.25">
      <c r="A247" s="43">
        <f>'Necesidades Trimestrales'!A245</f>
        <v>236</v>
      </c>
      <c r="B247" s="44">
        <v>0</v>
      </c>
      <c r="C247" s="168" t="str">
        <f>'Necesidades Trimestrales'!E245</f>
        <v>TUBOS DE KHAN DE VIDRIO 12 MM X 75 MM</v>
      </c>
      <c r="D247" s="169"/>
      <c r="E247" s="170"/>
      <c r="F247" s="48" t="s">
        <v>52</v>
      </c>
      <c r="G247" s="45" t="str">
        <f>'Necesidades Trimestrales'!F245</f>
        <v>UNIDAD</v>
      </c>
      <c r="H247" s="46">
        <f>'Necesidades Trimestrales'!H245</f>
        <v>20</v>
      </c>
      <c r="I247" s="47">
        <f>'Necesidades Trimestrales'!G245</f>
        <v>200</v>
      </c>
    </row>
    <row r="248" spans="1:9" ht="35.25" customHeight="1" thickBot="1" x14ac:dyDescent="0.25">
      <c r="A248" s="43">
        <f>'Necesidades Trimestrales'!A246</f>
        <v>237</v>
      </c>
      <c r="B248" s="44">
        <v>0</v>
      </c>
      <c r="C248" s="168" t="str">
        <f>'Necesidades Trimestrales'!E246</f>
        <v>U/CSF PROTEINA URINARIA COBAS C-311 ROCHE X 150 DET</v>
      </c>
      <c r="D248" s="169"/>
      <c r="E248" s="170"/>
      <c r="F248" s="48" t="s">
        <v>52</v>
      </c>
      <c r="G248" s="45" t="str">
        <f>'Necesidades Trimestrales'!F246</f>
        <v>CASSETTE</v>
      </c>
      <c r="H248" s="46">
        <f>'Necesidades Trimestrales'!H246</f>
        <v>5025</v>
      </c>
      <c r="I248" s="47">
        <f>'Necesidades Trimestrales'!G246</f>
        <v>3</v>
      </c>
    </row>
    <row r="249" spans="1:9" ht="35.25" customHeight="1" thickBot="1" x14ac:dyDescent="0.25">
      <c r="A249" s="43">
        <f>'Necesidades Trimestrales'!A247</f>
        <v>238</v>
      </c>
      <c r="B249" s="44">
        <v>0</v>
      </c>
      <c r="C249" s="168" t="str">
        <f>'Necesidades Trimestrales'!E247</f>
        <v>UREA  COBAS C-311 ROCHE X 500 DET</v>
      </c>
      <c r="D249" s="169"/>
      <c r="E249" s="170"/>
      <c r="F249" s="48" t="s">
        <v>52</v>
      </c>
      <c r="G249" s="45" t="str">
        <f>'Necesidades Trimestrales'!F247</f>
        <v>CASSETTE</v>
      </c>
      <c r="H249" s="46">
        <f>'Necesidades Trimestrales'!H247</f>
        <v>5249</v>
      </c>
      <c r="I249" s="47">
        <f>'Necesidades Trimestrales'!G247</f>
        <v>5</v>
      </c>
    </row>
    <row r="250" spans="1:9" ht="35.25" customHeight="1" thickBot="1" x14ac:dyDescent="0.25">
      <c r="A250" s="43">
        <f>'Necesidades Trimestrales'!A248</f>
        <v>239</v>
      </c>
      <c r="B250" s="44">
        <v>0</v>
      </c>
      <c r="C250" s="168" t="str">
        <f>'Necesidades Trimestrales'!E248</f>
        <v xml:space="preserve">URINE STRIP  WIENER  X 100 TIRAS </v>
      </c>
      <c r="D250" s="169"/>
      <c r="E250" s="170"/>
      <c r="F250" s="48" t="s">
        <v>52</v>
      </c>
      <c r="G250" s="45" t="str">
        <f>'Necesidades Trimestrales'!F248</f>
        <v>CAJA</v>
      </c>
      <c r="H250" s="46">
        <f>'Necesidades Trimestrales'!H248</f>
        <v>1200</v>
      </c>
      <c r="I250" s="47">
        <f>'Necesidades Trimestrales'!G248</f>
        <v>15</v>
      </c>
    </row>
    <row r="251" spans="1:9" ht="35.25" customHeight="1" thickBot="1" x14ac:dyDescent="0.25">
      <c r="A251" s="43">
        <f>'Necesidades Trimestrales'!A249</f>
        <v>240</v>
      </c>
      <c r="B251" s="44">
        <v>0</v>
      </c>
      <c r="C251" s="168" t="str">
        <f>'Necesidades Trimestrales'!E249</f>
        <v>VANCOMICINA 30 µGR DISCO PRESENTACION: FRASCO X 50 UN</v>
      </c>
      <c r="D251" s="169"/>
      <c r="E251" s="170"/>
      <c r="F251" s="48" t="s">
        <v>52</v>
      </c>
      <c r="G251" s="45" t="str">
        <f>'Necesidades Trimestrales'!F249</f>
        <v>FRASCO</v>
      </c>
      <c r="H251" s="46">
        <f>'Necesidades Trimestrales'!H249</f>
        <v>850</v>
      </c>
      <c r="I251" s="47">
        <f>'Necesidades Trimestrales'!G249</f>
        <v>1</v>
      </c>
    </row>
    <row r="252" spans="1:9" ht="35.25" customHeight="1" thickBot="1" x14ac:dyDescent="0.25">
      <c r="A252" s="43">
        <f>'Necesidades Trimestrales'!A250</f>
        <v>241</v>
      </c>
      <c r="B252" s="44">
        <v>0</v>
      </c>
      <c r="C252" s="168" t="str">
        <f>'Necesidades Trimestrales'!E250</f>
        <v xml:space="preserve">VDRL TEST  1 X 5,5 ML WIENER </v>
      </c>
      <c r="D252" s="169"/>
      <c r="E252" s="170"/>
      <c r="F252" s="48" t="s">
        <v>52</v>
      </c>
      <c r="G252" s="45" t="str">
        <f>'Necesidades Trimestrales'!F250</f>
        <v>CAJA</v>
      </c>
      <c r="H252" s="46">
        <f>'Necesidades Trimestrales'!H250</f>
        <v>1513</v>
      </c>
      <c r="I252" s="47">
        <f>'Necesidades Trimestrales'!G250</f>
        <v>20</v>
      </c>
    </row>
    <row r="253" spans="1:9" ht="35.25" customHeight="1" thickBot="1" x14ac:dyDescent="0.25">
      <c r="A253" s="43">
        <f>'Necesidades Trimestrales'!A251</f>
        <v>242</v>
      </c>
      <c r="B253" s="44">
        <v>0</v>
      </c>
      <c r="C253" s="168" t="str">
        <f>'Necesidades Trimestrales'!E251</f>
        <v>VIOLETA DE GENCIANA CONCENTRADO: X 500 ML</v>
      </c>
      <c r="D253" s="169"/>
      <c r="E253" s="170"/>
      <c r="F253" s="48" t="s">
        <v>52</v>
      </c>
      <c r="G253" s="45" t="str">
        <f>'Necesidades Trimestrales'!F251</f>
        <v>UNIDAD</v>
      </c>
      <c r="H253" s="46">
        <f>'Necesidades Trimestrales'!H251</f>
        <v>18100</v>
      </c>
      <c r="I253" s="47">
        <f>'Necesidades Trimestrales'!G251</f>
        <v>2</v>
      </c>
    </row>
    <row r="254" spans="1:9" ht="35.25" customHeight="1" thickBot="1" x14ac:dyDescent="0.25">
      <c r="A254" s="43">
        <f>'Necesidades Trimestrales'!A252</f>
        <v>243</v>
      </c>
      <c r="B254" s="44">
        <v>0</v>
      </c>
      <c r="C254" s="168" t="str">
        <f>'Necesidades Trimestrales'!E252</f>
        <v>W19  CONTROL AA 3 NIVELES 3 X 3 ML  (BAJO - NORMAL - ALTO ) WIENER</v>
      </c>
      <c r="D254" s="169"/>
      <c r="E254" s="170"/>
      <c r="F254" s="48" t="s">
        <v>52</v>
      </c>
      <c r="G254" s="45" t="str">
        <f>'Necesidades Trimestrales'!F252</f>
        <v>UNIDAD</v>
      </c>
      <c r="H254" s="46">
        <f>'Necesidades Trimestrales'!H252</f>
        <v>7920</v>
      </c>
      <c r="I254" s="47">
        <f>'Necesidades Trimestrales'!G252</f>
        <v>1</v>
      </c>
    </row>
    <row r="255" spans="1:9" ht="25.5" customHeight="1" thickBot="1" x14ac:dyDescent="0.25">
      <c r="A255" s="171" t="s">
        <v>340</v>
      </c>
      <c r="B255" s="172"/>
      <c r="C255" s="172"/>
      <c r="D255" s="172"/>
      <c r="E255" s="172"/>
      <c r="F255" s="172"/>
      <c r="G255" s="173"/>
      <c r="H255" s="174">
        <f>SUMPRODUCT(H12:H254*I12:I254)</f>
        <v>9754027</v>
      </c>
      <c r="I255" s="175"/>
    </row>
  </sheetData>
  <mergeCells count="265">
    <mergeCell ref="C227:E227"/>
    <mergeCell ref="C228:E228"/>
    <mergeCell ref="A255:G255"/>
    <mergeCell ref="H255:I255"/>
    <mergeCell ref="C235:E235"/>
    <mergeCell ref="C236:E236"/>
    <mergeCell ref="C237:E237"/>
    <mergeCell ref="C238:E238"/>
    <mergeCell ref="C239:E239"/>
    <mergeCell ref="C240:E240"/>
    <mergeCell ref="C254:E254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156:E156"/>
    <mergeCell ref="C157:E157"/>
    <mergeCell ref="C220:E220"/>
    <mergeCell ref="C221:E221"/>
    <mergeCell ref="C222:E222"/>
    <mergeCell ref="C223:E223"/>
    <mergeCell ref="C224:E224"/>
    <mergeCell ref="C225:E225"/>
    <mergeCell ref="C226:E226"/>
    <mergeCell ref="C55:E55"/>
    <mergeCell ref="C57:E57"/>
    <mergeCell ref="C229:E229"/>
    <mergeCell ref="C230:E230"/>
    <mergeCell ref="C231:E231"/>
    <mergeCell ref="C232:E232"/>
    <mergeCell ref="C233:E233"/>
    <mergeCell ref="C234:E234"/>
    <mergeCell ref="C219:E219"/>
    <mergeCell ref="C128:E128"/>
    <mergeCell ref="C135:E135"/>
    <mergeCell ref="C136:E136"/>
    <mergeCell ref="C137:E137"/>
    <mergeCell ref="C138:E138"/>
    <mergeCell ref="C139:E139"/>
    <mergeCell ref="C140:E140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62:E62"/>
    <mergeCell ref="C61:E61"/>
    <mergeCell ref="C68:E68"/>
    <mergeCell ref="C73:E73"/>
    <mergeCell ref="C75:E75"/>
    <mergeCell ref="C60:E60"/>
    <mergeCell ref="C63:E63"/>
    <mergeCell ref="C66:E66"/>
    <mergeCell ref="C64:E64"/>
    <mergeCell ref="C65:E65"/>
    <mergeCell ref="C103:E103"/>
    <mergeCell ref="C158:E158"/>
    <mergeCell ref="C192:E192"/>
    <mergeCell ref="C193:E193"/>
    <mergeCell ref="C177:E177"/>
    <mergeCell ref="C178:E178"/>
    <mergeCell ref="C159:E159"/>
    <mergeCell ref="C71:E71"/>
    <mergeCell ref="C67:E67"/>
    <mergeCell ref="C84:E84"/>
    <mergeCell ref="C81:E81"/>
    <mergeCell ref="C77:E77"/>
    <mergeCell ref="C78:E78"/>
    <mergeCell ref="C134:E134"/>
    <mergeCell ref="C132:E132"/>
    <mergeCell ref="C133:E133"/>
    <mergeCell ref="C129:E129"/>
    <mergeCell ref="C130:E130"/>
    <mergeCell ref="C97:E97"/>
    <mergeCell ref="C95:E95"/>
    <mergeCell ref="C96:E96"/>
    <mergeCell ref="C86:E86"/>
    <mergeCell ref="C87:E87"/>
    <mergeCell ref="C88:E88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06:E106"/>
    <mergeCell ref="C107:E107"/>
    <mergeCell ref="C39:E39"/>
    <mergeCell ref="C40:E40"/>
    <mergeCell ref="C48:E48"/>
    <mergeCell ref="C49:E49"/>
    <mergeCell ref="C50:E50"/>
    <mergeCell ref="C51:E51"/>
    <mergeCell ref="C54:E54"/>
    <mergeCell ref="C52:E52"/>
    <mergeCell ref="C27:E27"/>
    <mergeCell ref="C44:E44"/>
    <mergeCell ref="C53:E53"/>
    <mergeCell ref="C47:E47"/>
    <mergeCell ref="C36:E36"/>
    <mergeCell ref="C37:E37"/>
    <mergeCell ref="C38:E38"/>
    <mergeCell ref="C10:E11"/>
    <mergeCell ref="C15:E15"/>
    <mergeCell ref="C16:E16"/>
    <mergeCell ref="C26:E26"/>
    <mergeCell ref="C18:E18"/>
    <mergeCell ref="C19:E19"/>
    <mergeCell ref="C20:E20"/>
    <mergeCell ref="C33:E33"/>
    <mergeCell ref="C14:E14"/>
    <mergeCell ref="C42:E42"/>
    <mergeCell ref="C34:E34"/>
    <mergeCell ref="C41:E41"/>
    <mergeCell ref="C43:E43"/>
    <mergeCell ref="C31:E31"/>
    <mergeCell ref="A1:G1"/>
    <mergeCell ref="A6:C6"/>
    <mergeCell ref="A7:C7"/>
    <mergeCell ref="D7:I7"/>
    <mergeCell ref="A3:C3"/>
    <mergeCell ref="A4:C4"/>
    <mergeCell ref="A5:C5"/>
    <mergeCell ref="A8:C8"/>
    <mergeCell ref="D8:I8"/>
    <mergeCell ref="D5:I5"/>
    <mergeCell ref="D6:I6"/>
    <mergeCell ref="D3:I3"/>
    <mergeCell ref="D4:I4"/>
    <mergeCell ref="A10:A11"/>
    <mergeCell ref="B10:B11"/>
    <mergeCell ref="I10:I11"/>
    <mergeCell ref="C35:E35"/>
    <mergeCell ref="H10:H11"/>
    <mergeCell ref="C21:E21"/>
    <mergeCell ref="C22:E22"/>
    <mergeCell ref="C32:E32"/>
    <mergeCell ref="C25:E25"/>
    <mergeCell ref="C29:E29"/>
    <mergeCell ref="C30:E30"/>
    <mergeCell ref="G10:G11"/>
    <mergeCell ref="C17:E17"/>
    <mergeCell ref="C12:E12"/>
    <mergeCell ref="C13:E13"/>
    <mergeCell ref="F10:F11"/>
    <mergeCell ref="C23:E23"/>
    <mergeCell ref="C24:E24"/>
    <mergeCell ref="C28:E28"/>
    <mergeCell ref="C85:E85"/>
    <mergeCell ref="C127:E127"/>
    <mergeCell ref="C76:E76"/>
    <mergeCell ref="C79:E79"/>
    <mergeCell ref="C74:E74"/>
    <mergeCell ref="C72:E72"/>
    <mergeCell ref="C59:E59"/>
    <mergeCell ref="C141:E141"/>
    <mergeCell ref="C45:E45"/>
    <mergeCell ref="C46:E46"/>
    <mergeCell ref="C104:E104"/>
    <mergeCell ref="C105:E105"/>
    <mergeCell ref="C80:E80"/>
    <mergeCell ref="C70:E70"/>
    <mergeCell ref="C58:E58"/>
    <mergeCell ref="C56:E56"/>
    <mergeCell ref="C69:E69"/>
    <mergeCell ref="C122:E122"/>
    <mergeCell ref="C123:E123"/>
    <mergeCell ref="C89:E89"/>
    <mergeCell ref="C90:E90"/>
    <mergeCell ref="C91:E91"/>
    <mergeCell ref="C92:E92"/>
    <mergeCell ref="C113:E113"/>
    <mergeCell ref="C142:E142"/>
    <mergeCell ref="C143:E143"/>
    <mergeCell ref="C144:E144"/>
    <mergeCell ref="C145:E145"/>
    <mergeCell ref="C146:E146"/>
    <mergeCell ref="C147:E147"/>
    <mergeCell ref="C82:E82"/>
    <mergeCell ref="C124:E124"/>
    <mergeCell ref="C125:E125"/>
    <mergeCell ref="C126:E126"/>
    <mergeCell ref="C108:E108"/>
    <mergeCell ref="C109:E109"/>
    <mergeCell ref="C110:E110"/>
    <mergeCell ref="C111:E111"/>
    <mergeCell ref="C112:E112"/>
    <mergeCell ref="C98:E98"/>
    <mergeCell ref="C93:E93"/>
    <mergeCell ref="C94:E94"/>
    <mergeCell ref="C99:E99"/>
    <mergeCell ref="C100:E100"/>
    <mergeCell ref="C101:E101"/>
    <mergeCell ref="C83:E83"/>
    <mergeCell ref="C102:E102"/>
    <mergeCell ref="C131:E131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200:E200"/>
    <mergeCell ref="C201:E201"/>
    <mergeCell ref="C202:E202"/>
    <mergeCell ref="C203:E203"/>
    <mergeCell ref="C204:E204"/>
    <mergeCell ref="C194:E194"/>
    <mergeCell ref="C195:E195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85:E185"/>
    <mergeCell ref="C186:E186"/>
    <mergeCell ref="C187:E187"/>
    <mergeCell ref="C188:E188"/>
    <mergeCell ref="C189:E189"/>
    <mergeCell ref="C190:E190"/>
    <mergeCell ref="C191:E191"/>
    <mergeCell ref="C213:E213"/>
    <mergeCell ref="C214:E214"/>
    <mergeCell ref="C215:E215"/>
    <mergeCell ref="C216:E216"/>
    <mergeCell ref="C217:E217"/>
    <mergeCell ref="C218:E218"/>
    <mergeCell ref="C196:E196"/>
    <mergeCell ref="C179:E179"/>
    <mergeCell ref="C180:E180"/>
    <mergeCell ref="C181:E181"/>
    <mergeCell ref="C182:E182"/>
    <mergeCell ref="C183:E183"/>
    <mergeCell ref="C184:E184"/>
    <mergeCell ref="C211:E211"/>
    <mergeCell ref="C212:E212"/>
    <mergeCell ref="C205:E205"/>
    <mergeCell ref="C206:E206"/>
    <mergeCell ref="C207:E207"/>
    <mergeCell ref="C208:E208"/>
    <mergeCell ref="C209:E209"/>
    <mergeCell ref="C210:E210"/>
    <mergeCell ref="C197:E197"/>
    <mergeCell ref="C198:E198"/>
    <mergeCell ref="C199:E199"/>
  </mergeCells>
  <printOptions horizontalCentered="1"/>
  <pageMargins left="0.196527777777778" right="0.196527777777778" top="0.98402777777777795" bottom="0.98402777777777795" header="0.51180555555555496" footer="0.51180555555555496"/>
  <pageSetup paperSize="120" scale="58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zoomScale="120" zoomScaleNormal="120" workbookViewId="0">
      <selection activeCell="Q16" sqref="Q16"/>
    </sheetView>
  </sheetViews>
  <sheetFormatPr baseColWidth="10" defaultColWidth="11" defaultRowHeight="12.75" x14ac:dyDescent="0.2"/>
  <cols>
    <col min="1" max="4" width="4.42578125" customWidth="1"/>
    <col min="5" max="5" width="3.85546875" customWidth="1"/>
    <col min="6" max="6" width="6.42578125" customWidth="1"/>
    <col min="7" max="7" width="4.42578125" style="3" customWidth="1"/>
    <col min="8" max="14" width="4.42578125" customWidth="1"/>
    <col min="15" max="16" width="14.85546875" customWidth="1"/>
    <col min="17" max="17" width="18.85546875" customWidth="1"/>
    <col min="18" max="18" width="13.28515625" bestFit="1" customWidth="1"/>
    <col min="19" max="19" width="14.28515625" customWidth="1"/>
  </cols>
  <sheetData>
    <row r="1" spans="1:19" ht="15.75" customHeight="1" x14ac:dyDescent="0.25">
      <c r="A1" s="204" t="s">
        <v>2</v>
      </c>
      <c r="B1" s="204"/>
      <c r="C1" s="204"/>
      <c r="D1" s="205">
        <v>2021</v>
      </c>
      <c r="E1" s="205"/>
      <c r="F1" s="4"/>
      <c r="G1" s="4"/>
      <c r="H1" s="5"/>
      <c r="I1" s="5"/>
      <c r="J1" s="5"/>
      <c r="K1" s="5"/>
      <c r="L1" s="5"/>
      <c r="M1" s="5"/>
      <c r="N1" s="5"/>
      <c r="P1" s="206" t="s">
        <v>22</v>
      </c>
      <c r="Q1" s="206"/>
    </row>
    <row r="2" spans="1:19" ht="15.75" customHeight="1" x14ac:dyDescent="0.2">
      <c r="H2" s="5"/>
      <c r="I2" s="5"/>
      <c r="J2" s="5"/>
      <c r="K2" s="5"/>
      <c r="L2" s="5"/>
      <c r="M2" s="5"/>
      <c r="N2" s="5"/>
      <c r="P2" s="206"/>
      <c r="Q2" s="206"/>
    </row>
    <row r="4" spans="1:19" s="6" customFormat="1" ht="18" customHeight="1" thickBot="1" x14ac:dyDescent="0.25">
      <c r="A4" s="207" t="s">
        <v>23</v>
      </c>
      <c r="B4" s="207"/>
      <c r="C4" s="207"/>
      <c r="D4" s="207"/>
      <c r="E4" s="207"/>
      <c r="F4" s="207"/>
      <c r="G4" s="208" t="s">
        <v>55</v>
      </c>
      <c r="H4" s="208"/>
      <c r="I4" s="208"/>
      <c r="J4" s="208"/>
      <c r="K4" s="208"/>
      <c r="L4" s="208"/>
      <c r="M4" s="208"/>
      <c r="N4" s="208"/>
      <c r="O4" s="208"/>
      <c r="P4" s="208"/>
      <c r="Q4" s="208"/>
    </row>
    <row r="5" spans="1:19" s="6" customFormat="1" ht="18" customHeight="1" thickBot="1" x14ac:dyDescent="0.25">
      <c r="A5" s="209" t="s">
        <v>46</v>
      </c>
      <c r="B5" s="210"/>
      <c r="C5" s="210"/>
      <c r="D5" s="210"/>
      <c r="E5" s="210"/>
      <c r="F5" s="211"/>
      <c r="G5" s="212" t="s">
        <v>248</v>
      </c>
      <c r="H5" s="212"/>
      <c r="I5" s="212"/>
      <c r="J5" s="212"/>
      <c r="K5" s="212"/>
      <c r="L5" s="212"/>
      <c r="M5" s="212"/>
      <c r="N5" s="212"/>
      <c r="O5" s="212"/>
      <c r="P5" s="212"/>
      <c r="Q5" s="212"/>
    </row>
    <row r="6" spans="1:19" s="6" customFormat="1" ht="30.75" customHeight="1" thickBot="1" x14ac:dyDescent="0.25">
      <c r="A6" s="209" t="s">
        <v>24</v>
      </c>
      <c r="B6" s="210"/>
      <c r="C6" s="210"/>
      <c r="D6" s="210"/>
      <c r="E6" s="210"/>
      <c r="F6" s="211"/>
      <c r="G6" s="214" t="s">
        <v>284</v>
      </c>
      <c r="H6" s="215"/>
      <c r="I6" s="215"/>
      <c r="J6" s="215"/>
      <c r="K6" s="215"/>
      <c r="L6" s="215"/>
      <c r="M6" s="215"/>
      <c r="N6" s="215"/>
      <c r="O6" s="215"/>
      <c r="P6" s="215"/>
      <c r="Q6" s="216"/>
    </row>
    <row r="7" spans="1:19" s="6" customFormat="1" ht="18" customHeight="1" thickBot="1" x14ac:dyDescent="0.25">
      <c r="A7" s="209" t="s">
        <v>47</v>
      </c>
      <c r="B7" s="210"/>
      <c r="C7" s="210"/>
      <c r="D7" s="210"/>
      <c r="E7" s="210"/>
      <c r="F7" s="211"/>
      <c r="G7" s="214" t="s">
        <v>284</v>
      </c>
      <c r="H7" s="215"/>
      <c r="I7" s="215"/>
      <c r="J7" s="215"/>
      <c r="K7" s="215"/>
      <c r="L7" s="215"/>
      <c r="M7" s="215"/>
      <c r="N7" s="215"/>
      <c r="O7" s="215"/>
      <c r="P7" s="215"/>
      <c r="Q7" s="216"/>
    </row>
    <row r="8" spans="1:19" ht="18" customHeight="1" thickBot="1" x14ac:dyDescent="0.25">
      <c r="A8" s="213" t="s">
        <v>25</v>
      </c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</row>
    <row r="9" spans="1:19" ht="18" customHeight="1" x14ac:dyDescent="0.2">
      <c r="A9" s="220" t="s">
        <v>26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8"/>
      <c r="P9" s="8"/>
      <c r="Q9" s="9"/>
    </row>
    <row r="10" spans="1:19" ht="54.75" customHeight="1" x14ac:dyDescent="0.2">
      <c r="A10" s="192" t="s">
        <v>302</v>
      </c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</row>
    <row r="11" spans="1:19" ht="9" customHeight="1" x14ac:dyDescent="0.2">
      <c r="A11" s="10"/>
      <c r="B11" s="11"/>
      <c r="C11" s="11"/>
      <c r="D11" s="11"/>
      <c r="E11" s="11"/>
      <c r="F11" s="11"/>
      <c r="G11" s="12"/>
      <c r="H11" s="11"/>
      <c r="I11" s="11"/>
      <c r="J11" s="11"/>
      <c r="K11" s="11"/>
      <c r="L11" s="11"/>
      <c r="M11" s="11"/>
      <c r="N11" s="11"/>
      <c r="O11" s="11"/>
      <c r="P11" s="11"/>
      <c r="Q11" s="13"/>
    </row>
    <row r="12" spans="1:19" ht="15.75" customHeight="1" thickBot="1" x14ac:dyDescent="0.25">
      <c r="A12" s="193" t="s">
        <v>27</v>
      </c>
      <c r="B12" s="193"/>
      <c r="C12" s="193"/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</row>
    <row r="13" spans="1:19" ht="15.75" customHeight="1" thickBot="1" x14ac:dyDescent="0.25">
      <c r="A13" s="194" t="s">
        <v>28</v>
      </c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5"/>
      <c r="O13" s="196" t="s">
        <v>29</v>
      </c>
      <c r="P13" s="197"/>
      <c r="Q13" s="200" t="s">
        <v>30</v>
      </c>
    </row>
    <row r="14" spans="1:19" ht="15.75" customHeight="1" thickBot="1" x14ac:dyDescent="0.25">
      <c r="A14" s="14" t="s">
        <v>31</v>
      </c>
      <c r="B14" s="15" t="s">
        <v>32</v>
      </c>
      <c r="C14" s="15" t="s">
        <v>33</v>
      </c>
      <c r="D14" s="15" t="s">
        <v>34</v>
      </c>
      <c r="E14" s="15" t="s">
        <v>35</v>
      </c>
      <c r="F14" s="15" t="s">
        <v>36</v>
      </c>
      <c r="G14" s="16" t="s">
        <v>37</v>
      </c>
      <c r="H14" s="15" t="s">
        <v>38</v>
      </c>
      <c r="I14" s="15" t="s">
        <v>39</v>
      </c>
      <c r="J14" s="15" t="s">
        <v>40</v>
      </c>
      <c r="K14" s="15" t="s">
        <v>40</v>
      </c>
      <c r="L14" s="15" t="s">
        <v>41</v>
      </c>
      <c r="M14" s="17" t="s">
        <v>42</v>
      </c>
      <c r="N14" s="82" t="s">
        <v>43</v>
      </c>
      <c r="O14" s="198"/>
      <c r="P14" s="199"/>
      <c r="Q14" s="201"/>
    </row>
    <row r="15" spans="1:19" ht="17.25" customHeight="1" x14ac:dyDescent="0.2">
      <c r="A15" s="72">
        <v>42</v>
      </c>
      <c r="B15" s="73"/>
      <c r="C15" s="73"/>
      <c r="D15" s="73">
        <v>2</v>
      </c>
      <c r="E15" s="73"/>
      <c r="F15" s="73">
        <v>4901</v>
      </c>
      <c r="G15" s="73">
        <v>3</v>
      </c>
      <c r="H15" s="74">
        <v>1</v>
      </c>
      <c r="I15" s="73">
        <v>2</v>
      </c>
      <c r="J15" s="73">
        <v>3</v>
      </c>
      <c r="K15" s="73">
        <v>4</v>
      </c>
      <c r="L15" s="73"/>
      <c r="M15" s="73">
        <v>1</v>
      </c>
      <c r="N15" s="79" t="s">
        <v>48</v>
      </c>
      <c r="O15" s="218" t="s">
        <v>251</v>
      </c>
      <c r="P15" s="219"/>
      <c r="Q15" s="84">
        <v>85500</v>
      </c>
      <c r="R15" s="26"/>
      <c r="S15" s="18"/>
    </row>
    <row r="16" spans="1:19" ht="17.25" customHeight="1" x14ac:dyDescent="0.2">
      <c r="A16" s="75">
        <v>42</v>
      </c>
      <c r="B16" s="70"/>
      <c r="C16" s="70"/>
      <c r="D16" s="70">
        <v>2</v>
      </c>
      <c r="E16" s="70"/>
      <c r="F16" s="70">
        <v>4901</v>
      </c>
      <c r="G16" s="70">
        <v>3</v>
      </c>
      <c r="H16" s="71">
        <v>1</v>
      </c>
      <c r="I16" s="70">
        <v>2</v>
      </c>
      <c r="J16" s="70">
        <v>5</v>
      </c>
      <c r="K16" s="70">
        <v>1</v>
      </c>
      <c r="L16" s="70"/>
      <c r="M16" s="70">
        <v>1</v>
      </c>
      <c r="N16" s="80" t="s">
        <v>48</v>
      </c>
      <c r="O16" s="217" t="s">
        <v>79</v>
      </c>
      <c r="P16" s="217"/>
      <c r="Q16" s="131">
        <v>9366599</v>
      </c>
      <c r="R16" s="1"/>
    </row>
    <row r="17" spans="1:18" ht="23.25" customHeight="1" x14ac:dyDescent="0.2">
      <c r="A17" s="126">
        <v>42</v>
      </c>
      <c r="B17" s="127"/>
      <c r="C17" s="127"/>
      <c r="D17" s="127">
        <v>2</v>
      </c>
      <c r="E17" s="127"/>
      <c r="F17" s="127">
        <v>4901</v>
      </c>
      <c r="G17" s="127">
        <v>3</v>
      </c>
      <c r="H17" s="128">
        <v>1</v>
      </c>
      <c r="I17" s="127">
        <v>2</v>
      </c>
      <c r="J17" s="127">
        <v>9</v>
      </c>
      <c r="K17" s="127">
        <v>3</v>
      </c>
      <c r="L17" s="127"/>
      <c r="M17" s="127">
        <v>1</v>
      </c>
      <c r="N17" s="129" t="s">
        <v>48</v>
      </c>
      <c r="O17" s="202" t="s">
        <v>309</v>
      </c>
      <c r="P17" s="203"/>
      <c r="Q17" s="130">
        <v>218428</v>
      </c>
      <c r="R17" s="1"/>
    </row>
    <row r="18" spans="1:18" ht="27.75" customHeight="1" thickBot="1" x14ac:dyDescent="0.25">
      <c r="A18" s="76">
        <v>42</v>
      </c>
      <c r="B18" s="77"/>
      <c r="C18" s="77"/>
      <c r="D18" s="77">
        <v>2</v>
      </c>
      <c r="E18" s="77"/>
      <c r="F18" s="77">
        <v>4901</v>
      </c>
      <c r="G18" s="77">
        <v>3</v>
      </c>
      <c r="H18" s="78">
        <v>1</v>
      </c>
      <c r="I18" s="77">
        <v>2</v>
      </c>
      <c r="J18" s="77">
        <v>9</v>
      </c>
      <c r="K18" s="77">
        <v>5</v>
      </c>
      <c r="L18" s="77"/>
      <c r="M18" s="77">
        <v>1</v>
      </c>
      <c r="N18" s="81" t="s">
        <v>48</v>
      </c>
      <c r="O18" s="186" t="s">
        <v>252</v>
      </c>
      <c r="P18" s="187"/>
      <c r="Q18" s="85">
        <v>83500</v>
      </c>
    </row>
    <row r="19" spans="1:18" ht="24.75" customHeight="1" thickBot="1" x14ac:dyDescent="0.25">
      <c r="A19" s="188" t="s">
        <v>341</v>
      </c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9"/>
      <c r="Q19" s="83">
        <f>SUM(Q15:Q18)</f>
        <v>9754027</v>
      </c>
    </row>
    <row r="20" spans="1:18" ht="18" customHeight="1" thickBot="1" x14ac:dyDescent="0.25">
      <c r="A20" s="190"/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1"/>
    </row>
    <row r="21" spans="1:18" ht="17.25" customHeight="1" x14ac:dyDescent="0.2">
      <c r="A21" s="176" t="s">
        <v>44</v>
      </c>
      <c r="B21" s="177"/>
      <c r="C21" s="177"/>
      <c r="D21" s="177"/>
      <c r="E21" s="177"/>
      <c r="F21" s="177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9"/>
    </row>
    <row r="22" spans="1:18" ht="18" customHeight="1" thickBot="1" x14ac:dyDescent="0.25">
      <c r="A22" s="180" t="s">
        <v>285</v>
      </c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2"/>
    </row>
    <row r="23" spans="1:18" ht="15" customHeight="1" thickBot="1" x14ac:dyDescent="0.25">
      <c r="A23" s="183"/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5"/>
    </row>
  </sheetData>
  <mergeCells count="27">
    <mergeCell ref="O17:P17"/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6:P16"/>
    <mergeCell ref="O15:P15"/>
    <mergeCell ref="A9:N9"/>
    <mergeCell ref="A10:Q10"/>
    <mergeCell ref="A12:Q12"/>
    <mergeCell ref="A13:N13"/>
    <mergeCell ref="O13:P14"/>
    <mergeCell ref="Q13:Q14"/>
    <mergeCell ref="A21:F21"/>
    <mergeCell ref="G21:Q21"/>
    <mergeCell ref="A22:Q23"/>
    <mergeCell ref="O18:P18"/>
    <mergeCell ref="A19:P19"/>
    <mergeCell ref="A20:Q20"/>
  </mergeCells>
  <printOptions horizontalCentered="1"/>
  <pageMargins left="0.39374999999999999" right="0.39374999999999999" top="0.98402777777777795" bottom="0.98402777777777795" header="0.51180555555555496" footer="0.51180555555555496"/>
  <pageSetup paperSize="120" scale="87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A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ARIEL</cp:lastModifiedBy>
  <cp:revision>2</cp:revision>
  <cp:lastPrinted>2021-03-12T12:55:44Z</cp:lastPrinted>
  <dcterms:created xsi:type="dcterms:W3CDTF">2020-07-17T23:44:49Z</dcterms:created>
  <dcterms:modified xsi:type="dcterms:W3CDTF">2021-07-05T21:07:37Z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