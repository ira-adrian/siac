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3 TRIMESTRE 2022\MS\raciones SAME\nuevo\"/>
    </mc:Choice>
  </mc:AlternateContent>
  <xr:revisionPtr revIDLastSave="0" documentId="13_ncr:1_{44B1BEAE-13EA-4295-A9A7-94C9808ACF4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AF 011" sheetId="1" r:id="rId1"/>
    <sheet name="ANEXO I" sheetId="4" r:id="rId2"/>
    <sheet name="NP" sheetId="2" r:id="rId3"/>
    <sheet name="APG" sheetId="3" r:id="rId4"/>
  </sheets>
  <definedNames>
    <definedName name="_xlnm._FilterDatabase" localSheetId="0" hidden="1">'SAF 011'!$A$9:$I$12</definedName>
  </definedNames>
  <calcPr calcId="181029"/>
</workbook>
</file>

<file path=xl/calcChain.xml><?xml version="1.0" encoding="utf-8"?>
<calcChain xmlns="http://schemas.openxmlformats.org/spreadsheetml/2006/main">
  <c r="A41" i="3" l="1"/>
  <c r="G6" i="3"/>
  <c r="G7" i="3"/>
  <c r="J13" i="2"/>
  <c r="J12" i="2"/>
  <c r="I13" i="2"/>
  <c r="I12" i="2"/>
  <c r="C13" i="2"/>
  <c r="C12" i="2"/>
  <c r="B13" i="2"/>
  <c r="B12" i="2"/>
  <c r="D4" i="2"/>
  <c r="G5" i="3" s="1"/>
  <c r="D3" i="2"/>
  <c r="G4" i="3" s="1"/>
  <c r="M13" i="2" l="1"/>
  <c r="M12" i="2"/>
  <c r="M15" i="2" l="1"/>
  <c r="J15" i="2" s="1"/>
  <c r="Q15" i="3" l="1"/>
  <c r="Q38" i="3" s="1"/>
</calcChain>
</file>

<file path=xl/sharedStrings.xml><?xml version="1.0" encoding="utf-8"?>
<sst xmlns="http://schemas.openxmlformats.org/spreadsheetml/2006/main" count="112" uniqueCount="102">
  <si>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</si>
  <si>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</si>
  <si>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</si>
  <si>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</si>
  <si>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</si>
  <si>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</si>
  <si>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</si>
  <si>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</si>
  <si>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</si>
  <si>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</si>
  <si>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</si>
  <si>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</si>
  <si>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</si>
  <si>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</si>
  <si>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</si>
  <si>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</si>
  <si>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</si>
  <si>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ALIMENTOS</t>
  </si>
  <si>
    <t>2.1.1</t>
  </si>
  <si>
    <t>PRIMERO</t>
  </si>
  <si>
    <t>TOTAL RUBRO ALIMENTOS</t>
  </si>
  <si>
    <t>2.1.1-2456.8</t>
  </si>
  <si>
    <t>RACIONAMIENTO; DESCRIPCION: ALMUERZO</t>
  </si>
  <si>
    <t>RACION</t>
  </si>
  <si>
    <t>2.1.1-2456.10</t>
  </si>
  <si>
    <t>RACIONAMIENTO; DESCRIPCION: CENA</t>
  </si>
  <si>
    <t>ALMUERZOS: una ración de carne con guarnición y postre: CARNES: carne vacuna, carne de cerdo, pescado y carne de pollo. Deberá proveerse en la semana dos raciones de carne vacuna, dos raciones de carne de cerdo, dos raciones de carne de pescado y una ración de carne de pollo. GUARNICION: ensaladas de verduras variadas alternadas que contengan: tomate, lechuga, repollo, rucula, zapallitos tiernos hervidos, remolacha, huevo duro, zanahoria rallada, entre otros. Además, Puré de papas, papas fritas o papas al horno. POSTRE: una fruta por persona por día: una pera, manzana o banana (mediana). El peso de la ración debe ser no menor a 400 gr. Deben ser entregadas en bandejas plásticas de 18x25x5 cm. Recubiertas de papel film.</t>
  </si>
  <si>
    <t>CENAS: una ración de Pastas: ravioles, ñoquis, fideos tirabuzón, fideos espagueti o sorrentinos, con salsa bolognesa con carne vacuna o pollo, 4 quesos o salsa blanca. Una pasta distinta por día, alternando a su vez las salsas y repitiéndose los sorrentinos o ravioles para completar la semana. POSTRE: una fruta por persona por día: una pera, manzana o banana (mediana). El peso de la ración debe ser no menor a 400 gr. Deben ser entregadas en bandejas plásticas de 18x25x5 cm. Recubiertas de papel film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</si>
  <si>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</si>
  <si>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</si>
  <si>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</si>
  <si>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</si>
  <si>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</si>
  <si>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</si>
  <si>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</si>
  <si>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</si>
  <si>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</si>
  <si>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</si>
  <si>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</si>
  <si>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</si>
  <si>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</si>
  <si>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</si>
  <si>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</si>
  <si>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</si>
  <si>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</si>
  <si>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</si>
  <si>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</si>
  <si>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</si>
  <si>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</si>
  <si>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</si>
  <si>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</si>
  <si>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</si>
  <si>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</si>
  <si>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</si>
  <si>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</si>
  <si>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</si>
  <si>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</si>
  <si>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</si>
  <si>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</si>
  <si>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</si>
  <si>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</si>
  <si>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</si>
  <si>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</si>
  <si>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</si>
  <si>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</si>
  <si>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Especificidades ITEM 1 Y 2</t>
  </si>
  <si>
    <t>ANEXO I</t>
  </si>
  <si>
    <t>Plazos de entrega</t>
  </si>
  <si>
    <t>Lugar de Entrega:</t>
  </si>
  <si>
    <t>Calidad Minima esperada</t>
  </si>
  <si>
    <t>Mantenimiento de Oferta</t>
  </si>
  <si>
    <t>cuarenta y cinco (45) días</t>
  </si>
  <si>
    <t>VER ANEXO I</t>
  </si>
  <si>
    <t>ESPECIFICACIONES: ALIMENTOS PARA PERSONAS</t>
  </si>
  <si>
    <t>ALMUERZOS: HORARIO DE ENTREGA 12:00 HS.</t>
  </si>
  <si>
    <t xml:space="preserve">CENAS: HORARIO DE ENTREGA 20:00 HS. </t>
  </si>
  <si>
    <t>CARNES: carne vacuna, carne de cerdo, pescado y carne de pollo. Deberá proveerse en la semana dos raciones de carne vacuna, dos raciones de carne de cerdo, dos raciones de carne de pescado y una ración de carne de pollo. 
GUARNICION: ensaladas de verduras variadas alternadas que contengan: tomate, lechuga, repollo, rucula, zapallitos tiernos hervidos, remolacha, huevo duro, zanahoria rallada, entre otros. Además, Puré de papas, papas fritas o papas al horno. 
POSTRE: una fruta por persona por día: una pera, manzana o banana (mediana). El peso de la ración debe ser no menor a 400 gr. Deben ser entregadas en bandejas plásticas de 18x25x5 cm. Recubiertas de papel film.</t>
  </si>
  <si>
    <t xml:space="preserve">ALMUERZOS: una ración de carne con guarnición y postre: </t>
  </si>
  <si>
    <t xml:space="preserve">CENAS: una ración de Pastas con salsa y postre: </t>
  </si>
  <si>
    <t>PASTAS: ravioles, ñoquis, fideos tirabuzón, fideos espagueti o sorrentinos, con salsa bolognesa con carne vacuna o pollo, 4 quesos o salsa blanca. Una pasta distinta por día, alternando a su vez las salsas y repitiéndose los sorrentinos o ravioles para completar la semana.                                                               POSTRE: una fruta por persona por día: una pera, manzana o banana (mediana).</t>
  </si>
  <si>
    <t>SI</t>
  </si>
  <si>
    <t>1.1</t>
  </si>
  <si>
    <t>ALIMENTOS PARA PERSONAS</t>
  </si>
  <si>
    <t>ADQUISICION DEL RUBRO ALIMENTOS PARA PERSONAS (RACIONES DE ALMUERZO Y CENA)</t>
  </si>
  <si>
    <t>Cantidad:</t>
  </si>
  <si>
    <t>Duracion del Contrato:</t>
  </si>
  <si>
    <t>DURANTE 90 (noventa) DIAS CORRIDOS, CON OPCION A PRORROGA POR IGUAL PERIODO.</t>
  </si>
  <si>
    <t>DENTRO DE LOS 5 (CINCO) DIAS DE LA RECEPCION DEL INSTRUMENTO RESPECTIVO.</t>
  </si>
  <si>
    <t>S.A.M.E. - Caseros N° 864 en la forma y horarios establecidos en ANEXO I.</t>
  </si>
  <si>
    <t>Forma de Pago:</t>
  </si>
  <si>
    <t xml:space="preserve">que cumpla con todo lo solicitado en ANEXO I.
</t>
  </si>
  <si>
    <r>
      <t xml:space="preserve">Se deberá entregar treinta y cuatro (34) raciones de ALMUERZOS por día y treinta y cuatro (34) raciones de CENAS por día, </t>
    </r>
    <r>
      <rPr>
        <sz val="12"/>
        <color rgb="FFFF0000"/>
        <rFont val="Arial"/>
        <family val="2"/>
      </rPr>
      <t>durante un plazo de 90 (noventa) días corridos en forma continua e ininterrumpida en virtud del Servicio de Atención de Emergencias que presta dicho Organismo (SAME).</t>
    </r>
  </si>
  <si>
    <r>
      <t xml:space="preserve">Totalizando un mil veinte (1020) raciones por mes de ALMUERZOS y  </t>
    </r>
    <r>
      <rPr>
        <sz val="12"/>
        <color rgb="FFFF0000"/>
        <rFont val="Arial"/>
        <family val="2"/>
      </rPr>
      <t>un mil veinte (1020) raciones por mes de</t>
    </r>
    <r>
      <rPr>
        <sz val="12"/>
        <rFont val="Arial"/>
        <family val="2"/>
      </rPr>
      <t xml:space="preserve"> CENAS, </t>
    </r>
    <r>
      <rPr>
        <sz val="12"/>
        <color rgb="FFFF0000"/>
        <rFont val="Arial"/>
        <family val="2"/>
      </rPr>
      <t>durante el plazo antes mencionado</t>
    </r>
  </si>
  <si>
    <t>El peso de la ración debe ser no menor a 400 gr. 
Deben ser entregadas en bandejas plásticas de 18x25x5 cm. Recubiertas de papel film, corriendo los gastos de flete, acarreo, carga, descarga y seguro (de corresponder) por cuenta del adjudicatario.
Las personas designadas para la recepción de dichas bandejas de alimento son: 
• Lencina Eugenia -  DNI  23854289
• Sánchez Gisella   -  DNI  26815200
• Toledo María Alejandra - DNI 24843448</t>
  </si>
  <si>
    <t>XX/2022</t>
  </si>
  <si>
    <t>3° TRIMESTRE 2022</t>
  </si>
  <si>
    <t>UN MIL VEINTE (1020) RACIONES DE ALMUERZOS Y UN MIL VEINTE (1020) RACIONES CENAS CADA TREINTA (30) DIAS.</t>
  </si>
  <si>
    <t>Autorizo la realización de los  trámites correspondientes, a fin de proveer a  este Organismo los bienes/servicios que se detallan en Nota  de Pedido N° XX/2022 afectando la erogación resultante a los créditos presupuestarios aprobados a favor de esta Unidad Ejecutora, conforme al siguiente detalle:</t>
  </si>
  <si>
    <t>748 - DIRECCION PROVINCIAL SISTEMA DE ATENCION MEDICA DE EMERGENCIA</t>
  </si>
  <si>
    <t>TOTAL DE PESOS: TRES MILLONES TRESCIENTOS SESENTA Y SEIS MIL CON 00/100.-</t>
  </si>
  <si>
    <t>Costo total estimado: PESOS TRES MILLONES TRESCIENTOS SESENTA Y SEIS MIL CON 00/100.-</t>
  </si>
  <si>
    <t>El pago se realizará en forma mensual dentro de losTREINTA (30) días corridos de la recepciones definitivas.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</si>
</sst>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  <numFmt numFmtId="171" formatCode="[$$-2C0A]\ #,##0.00;[$$-2C0A]&quot; -&quot;#,##0.0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color theme="0"/>
      <name val="Calibri"/>
      <family val="2"/>
      <scheme val="minor"/>
    </font>
    <font>
      <b/>
      <sz val="2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u/>
      <sz val="11"/>
      <name val="Times New Roman"/>
      <family val="1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7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10" applyProtection="0"/>
    <xf numFmtId="0" fontId="13" fillId="3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10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7" fillId="0" borderId="0"/>
    <xf numFmtId="0" fontId="18" fillId="0" borderId="0"/>
    <xf numFmtId="170" fontId="29" fillId="0" borderId="0" applyBorder="0" applyProtection="0"/>
  </cellStyleXfs>
  <cellXfs count="193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left" vertical="center" wrapText="1"/>
    </xf>
    <xf numFmtId="167" fontId="9" fillId="0" borderId="2" xfId="1" applyNumberFormat="1" applyFont="1" applyFill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7" fillId="2" borderId="3" xfId="2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167" fontId="14" fillId="0" borderId="5" xfId="3" applyNumberFormat="1" applyFont="1" applyFill="1" applyBorder="1" applyAlignment="1" applyProtection="1">
      <alignment horizontal="center" vertical="center" wrapText="1"/>
    </xf>
    <xf numFmtId="0" fontId="15" fillId="0" borderId="7" xfId="0" applyFont="1" applyFill="1" applyBorder="1"/>
    <xf numFmtId="167" fontId="9" fillId="0" borderId="6" xfId="1" applyNumberFormat="1" applyFont="1" applyFill="1" applyBorder="1" applyAlignment="1">
      <alignment horizontal="center" vertical="center"/>
    </xf>
    <xf numFmtId="3" fontId="7" fillId="0" borderId="11" xfId="2" applyNumberFormat="1" applyFont="1" applyBorder="1" applyAlignment="1">
      <alignment horizontal="center" vertical="center" wrapText="1"/>
    </xf>
    <xf numFmtId="3" fontId="7" fillId="0" borderId="9" xfId="2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Fill="1"/>
    <xf numFmtId="0" fontId="15" fillId="0" borderId="0" xfId="0" applyFont="1" applyFill="1"/>
    <xf numFmtId="0" fontId="7" fillId="0" borderId="13" xfId="0" applyFont="1" applyBorder="1" applyAlignment="1">
      <alignment horizontal="center" vertical="center"/>
    </xf>
    <xf numFmtId="167" fontId="10" fillId="2" borderId="8" xfId="2" applyNumberFormat="1" applyFont="1" applyFill="1" applyBorder="1" applyAlignment="1">
      <alignment horizontal="center" vertical="center" wrapText="1"/>
    </xf>
    <xf numFmtId="0" fontId="7" fillId="2" borderId="7" xfId="5" applyNumberFormat="1" applyFont="1" applyFill="1" applyBorder="1" applyAlignment="1">
      <alignment horizontal="left" vertical="center" wrapText="1"/>
    </xf>
    <xf numFmtId="0" fontId="7" fillId="2" borderId="14" xfId="5" applyNumberFormat="1" applyFont="1" applyFill="1" applyBorder="1" applyAlignment="1">
      <alignment horizontal="left" vertical="center" wrapText="1"/>
    </xf>
    <xf numFmtId="0" fontId="21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0" borderId="26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 wrapText="1" indent="1"/>
    </xf>
    <xf numFmtId="0" fontId="21" fillId="0" borderId="20" xfId="0" applyFont="1" applyBorder="1" applyAlignment="1">
      <alignment horizontal="left" vertical="center" wrapText="1" indent="1"/>
    </xf>
    <xf numFmtId="3" fontId="27" fillId="0" borderId="37" xfId="0" applyNumberFormat="1" applyFont="1" applyBorder="1" applyAlignment="1"/>
    <xf numFmtId="169" fontId="0" fillId="0" borderId="37" xfId="0" applyNumberFormat="1" applyBorder="1" applyAlignment="1">
      <alignment horizontal="left"/>
    </xf>
    <xf numFmtId="0" fontId="0" fillId="0" borderId="37" xfId="0" applyBorder="1"/>
    <xf numFmtId="0" fontId="0" fillId="0" borderId="26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20" xfId="0" applyBorder="1"/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43" xfId="0" applyBorder="1"/>
    <xf numFmtId="0" fontId="32" fillId="0" borderId="46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32" fillId="0" borderId="47" xfId="0" applyFont="1" applyBorder="1" applyAlignment="1">
      <alignment horizontal="left" vertical="center"/>
    </xf>
    <xf numFmtId="0" fontId="32" fillId="0" borderId="48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171" fontId="0" fillId="0" borderId="53" xfId="32" applyNumberFormat="1" applyFont="1" applyBorder="1" applyAlignment="1" applyProtection="1">
      <alignment horizontal="center" vertical="center"/>
    </xf>
    <xf numFmtId="0" fontId="0" fillId="0" borderId="54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0" fillId="0" borderId="57" xfId="0" applyFont="1" applyBorder="1" applyAlignment="1">
      <alignment horizontal="center" vertical="center"/>
    </xf>
    <xf numFmtId="171" fontId="0" fillId="0" borderId="58" xfId="32" applyNumberFormat="1" applyFont="1" applyBorder="1" applyAlignment="1" applyProtection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30" fillId="0" borderId="56" xfId="0" applyFont="1" applyBorder="1" applyAlignment="1">
      <alignment horizontal="center" vertical="center"/>
    </xf>
    <xf numFmtId="0" fontId="30" fillId="0" borderId="57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171" fontId="0" fillId="0" borderId="62" xfId="32" applyNumberFormat="1" applyFont="1" applyBorder="1" applyAlignment="1" applyProtection="1">
      <alignment horizontal="center" vertical="center"/>
    </xf>
    <xf numFmtId="171" fontId="32" fillId="0" borderId="64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0" fontId="0" fillId="0" borderId="0" xfId="0" applyFont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37" fillId="0" borderId="0" xfId="0" applyFont="1" applyAlignment="1">
      <alignment vertical="center" wrapText="1"/>
    </xf>
    <xf numFmtId="0" fontId="3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vertical="center" wrapText="1"/>
    </xf>
    <xf numFmtId="0" fontId="34" fillId="0" borderId="0" xfId="0" applyFont="1" applyAlignment="1">
      <alignment vertical="center"/>
    </xf>
    <xf numFmtId="0" fontId="24" fillId="0" borderId="71" xfId="0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5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3" fontId="25" fillId="0" borderId="72" xfId="0" applyNumberFormat="1" applyFont="1" applyBorder="1" applyAlignment="1">
      <alignment horizontal="center" vertical="center"/>
    </xf>
    <xf numFmtId="167" fontId="20" fillId="0" borderId="16" xfId="0" applyNumberFormat="1" applyFont="1" applyBorder="1" applyAlignment="1">
      <alignment horizontal="right" vertical="center"/>
    </xf>
    <xf numFmtId="167" fontId="20" fillId="0" borderId="0" xfId="0" applyNumberFormat="1" applyFont="1" applyBorder="1" applyAlignment="1">
      <alignment vertical="center"/>
    </xf>
    <xf numFmtId="167" fontId="21" fillId="0" borderId="0" xfId="0" applyNumberFormat="1" applyFont="1" applyBorder="1" applyAlignment="1">
      <alignment horizontal="left" vertical="center" wrapText="1" indent="1"/>
    </xf>
    <xf numFmtId="167" fontId="25" fillId="0" borderId="3" xfId="0" applyNumberFormat="1" applyFont="1" applyBorder="1" applyAlignment="1">
      <alignment horizontal="center" vertical="center" wrapText="1"/>
    </xf>
    <xf numFmtId="167" fontId="0" fillId="0" borderId="0" xfId="0" applyNumberFormat="1"/>
    <xf numFmtId="167" fontId="33" fillId="0" borderId="0" xfId="0" applyNumberFormat="1" applyFont="1"/>
    <xf numFmtId="0" fontId="38" fillId="0" borderId="30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167" fontId="7" fillId="0" borderId="13" xfId="0" applyNumberFormat="1" applyFont="1" applyBorder="1" applyAlignment="1">
      <alignment horizontal="center" vertical="center" wrapText="1"/>
    </xf>
    <xf numFmtId="3" fontId="7" fillId="0" borderId="31" xfId="0" applyNumberFormat="1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167" fontId="7" fillId="0" borderId="2" xfId="0" applyNumberFormat="1" applyFont="1" applyBorder="1" applyAlignment="1">
      <alignment horizontal="center" vertical="center" wrapText="1"/>
    </xf>
    <xf numFmtId="3" fontId="7" fillId="0" borderId="33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40" fillId="0" borderId="0" xfId="0" applyFont="1" applyAlignment="1">
      <alignment horizontal="center" vertical="center"/>
    </xf>
    <xf numFmtId="167" fontId="40" fillId="0" borderId="0" xfId="0" applyNumberFormat="1" applyFont="1" applyAlignment="1">
      <alignment horizontal="center" vertical="center"/>
    </xf>
    <xf numFmtId="0" fontId="42" fillId="0" borderId="0" xfId="0" applyFont="1"/>
    <xf numFmtId="0" fontId="43" fillId="0" borderId="15" xfId="0" applyFont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7" xfId="0" applyBorder="1" applyAlignment="1">
      <alignment horizontal="left" vertical="center" wrapText="1"/>
    </xf>
    <xf numFmtId="0" fontId="0" fillId="0" borderId="68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6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41" fillId="0" borderId="0" xfId="0" applyFont="1" applyBorder="1" applyAlignment="1">
      <alignment horizontal="center" vertical="center"/>
    </xf>
    <xf numFmtId="0" fontId="22" fillId="0" borderId="23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 indent="1"/>
    </xf>
    <xf numFmtId="0" fontId="19" fillId="0" borderId="15" xfId="0" applyFont="1" applyBorder="1" applyAlignment="1">
      <alignment horizontal="center" vertical="center"/>
    </xf>
    <xf numFmtId="0" fontId="22" fillId="0" borderId="21" xfId="0" applyFont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 wrapText="1" indent="1"/>
    </xf>
    <xf numFmtId="0" fontId="39" fillId="0" borderId="13" xfId="0" applyFont="1" applyBorder="1" applyAlignment="1">
      <alignment horizontal="left" vertical="center" wrapText="1"/>
    </xf>
    <xf numFmtId="0" fontId="39" fillId="0" borderId="69" xfId="0" applyFont="1" applyBorder="1" applyAlignment="1">
      <alignment horizontal="left" vertical="center" wrapText="1"/>
    </xf>
    <xf numFmtId="0" fontId="39" fillId="0" borderId="70" xfId="0" applyFont="1" applyBorder="1" applyAlignment="1">
      <alignment horizontal="left" vertical="center" wrapText="1"/>
    </xf>
    <xf numFmtId="0" fontId="39" fillId="0" borderId="7" xfId="0" applyFont="1" applyBorder="1" applyAlignment="1">
      <alignment horizontal="left" vertical="center" wrapText="1"/>
    </xf>
    <xf numFmtId="0" fontId="23" fillId="0" borderId="28" xfId="0" applyFont="1" applyBorder="1" applyAlignment="1">
      <alignment horizontal="center" vertical="center" wrapText="1"/>
    </xf>
    <xf numFmtId="167" fontId="23" fillId="0" borderId="28" xfId="0" applyNumberFormat="1" applyFont="1" applyBorder="1" applyAlignment="1">
      <alignment horizontal="center" vertical="center" wrapText="1"/>
    </xf>
    <xf numFmtId="0" fontId="26" fillId="0" borderId="22" xfId="0" applyFont="1" applyBorder="1" applyAlignment="1">
      <alignment horizontal="left" vertical="center" wrapText="1" indent="1"/>
    </xf>
    <xf numFmtId="166" fontId="22" fillId="0" borderId="22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 wrapText="1"/>
    </xf>
    <xf numFmtId="0" fontId="30" fillId="0" borderId="41" xfId="0" applyFont="1" applyBorder="1" applyAlignment="1">
      <alignment horizontal="left"/>
    </xf>
    <xf numFmtId="0" fontId="0" fillId="0" borderId="35" xfId="0" applyFont="1" applyBorder="1" applyAlignment="1">
      <alignment horizontal="center"/>
    </xf>
    <xf numFmtId="3" fontId="27" fillId="0" borderId="36" xfId="0" applyNumberFormat="1" applyFont="1" applyBorder="1" applyAlignment="1">
      <alignment horizontal="center"/>
    </xf>
    <xf numFmtId="0" fontId="28" fillId="0" borderId="17" xfId="0" applyFont="1" applyBorder="1" applyAlignment="1">
      <alignment horizontal="center" vertical="center" wrapText="1"/>
    </xf>
    <xf numFmtId="0" fontId="29" fillId="0" borderId="38" xfId="0" applyFont="1" applyBorder="1"/>
    <xf numFmtId="0" fontId="30" fillId="0" borderId="39" xfId="0" applyFont="1" applyBorder="1" applyAlignment="1">
      <alignment horizontal="left" indent="1"/>
    </xf>
    <xf numFmtId="0" fontId="25" fillId="0" borderId="38" xfId="0" applyFont="1" applyBorder="1" applyAlignment="1">
      <alignment horizontal="left" vertical="center" wrapText="1"/>
    </xf>
    <xf numFmtId="0" fontId="31" fillId="0" borderId="40" xfId="0" applyFont="1" applyBorder="1" applyAlignment="1">
      <alignment horizontal="left"/>
    </xf>
    <xf numFmtId="0" fontId="0" fillId="0" borderId="57" xfId="0" applyFont="1" applyBorder="1" applyAlignment="1">
      <alignment horizontal="center" vertical="center"/>
    </xf>
    <xf numFmtId="49" fontId="30" fillId="0" borderId="42" xfId="0" applyNumberFormat="1" applyFont="1" applyBorder="1" applyAlignment="1">
      <alignment horizontal="justify" vertical="center" wrapText="1"/>
    </xf>
    <xf numFmtId="0" fontId="32" fillId="0" borderId="41" xfId="0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/>
    </xf>
    <xf numFmtId="0" fontId="0" fillId="0" borderId="51" xfId="0" applyFont="1" applyBorder="1" applyAlignment="1">
      <alignment horizontal="left" vertical="center" wrapText="1"/>
    </xf>
    <xf numFmtId="0" fontId="0" fillId="0" borderId="57" xfId="0" applyFont="1" applyBorder="1" applyAlignment="1">
      <alignment horizontal="left" vertical="center"/>
    </xf>
    <xf numFmtId="0" fontId="0" fillId="0" borderId="57" xfId="0" applyBorder="1" applyAlignment="1">
      <alignment horizontal="center"/>
    </xf>
    <xf numFmtId="0" fontId="27" fillId="0" borderId="22" xfId="0" applyFont="1" applyBorder="1" applyAlignment="1">
      <alignment vertical="center" wrapText="1"/>
    </xf>
    <xf numFmtId="0" fontId="30" fillId="0" borderId="45" xfId="0" applyFont="1" applyBorder="1" applyAlignment="1">
      <alignment vertical="center" wrapText="1"/>
    </xf>
    <xf numFmtId="0" fontId="30" fillId="0" borderId="34" xfId="0" applyFont="1" applyBorder="1" applyAlignment="1">
      <alignment horizontal="left" vertical="center" wrapText="1" indent="1"/>
    </xf>
    <xf numFmtId="0" fontId="0" fillId="0" borderId="57" xfId="0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27" fillId="0" borderId="63" xfId="0" applyFont="1" applyBorder="1" applyAlignment="1">
      <alignment horizontal="left" vertical="center" wrapText="1"/>
    </xf>
    <xf numFmtId="0" fontId="0" fillId="0" borderId="41" xfId="0" applyBorder="1"/>
  </cellXfs>
  <cellStyles count="33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2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7" xr:uid="{00000000-0005-0000-0000-00000F000000}"/>
    <cellStyle name="Normal 3 2" xfId="12" xr:uid="{00000000-0005-0000-0000-000010000000}"/>
    <cellStyle name="Normal 3 2 2" xfId="18" xr:uid="{00000000-0005-0000-0000-000011000000}"/>
    <cellStyle name="Normal 3 3" xfId="17" xr:uid="{00000000-0005-0000-0000-000012000000}"/>
    <cellStyle name="Normal 3 4" xfId="22" xr:uid="{00000000-0005-0000-0000-000013000000}"/>
    <cellStyle name="Normal 3 4 2" xfId="27" xr:uid="{00000000-0005-0000-0000-000014000000}"/>
    <cellStyle name="Normal 4" xfId="6" xr:uid="{00000000-0005-0000-0000-000015000000}"/>
    <cellStyle name="Normal 4 2" xfId="19" xr:uid="{00000000-0005-0000-0000-000016000000}"/>
    <cellStyle name="Normal 4 3" xfId="23" xr:uid="{00000000-0005-0000-0000-000017000000}"/>
    <cellStyle name="Normal 4 3 2" xfId="28" xr:uid="{00000000-0005-0000-0000-000018000000}"/>
    <cellStyle name="Normal 5" xfId="4" xr:uid="{00000000-0005-0000-0000-000019000000}"/>
    <cellStyle name="Normal 5 2" xfId="25" xr:uid="{00000000-0005-0000-0000-00001A000000}"/>
    <cellStyle name="Normal 6" xfId="13" xr:uid="{00000000-0005-0000-0000-00001B000000}"/>
    <cellStyle name="Normal 7" xfId="24" xr:uid="{00000000-0005-0000-0000-00001C000000}"/>
    <cellStyle name="Normal 8" xfId="8" xr:uid="{00000000-0005-0000-0000-00001D000000}"/>
    <cellStyle name="Normal 8 2" xfId="29" xr:uid="{00000000-0005-0000-0000-00001E000000}"/>
    <cellStyle name="Normal 8 3" xfId="30" xr:uid="{00000000-0005-0000-0000-00001F000000}"/>
    <cellStyle name="Normal 8 4" xfId="31" xr:uid="{00000000-0005-0000-0000-000020000000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0"/>
  <sheetViews>
    <sheetView topLeftCell="C1" zoomScaleNormal="100" workbookViewId="0">
      <selection activeCell="C7" sqref="C7"/>
    </sheetView>
  </sheetViews>
  <sheetFormatPr baseColWidth="10" defaultRowHeight="15" x14ac:dyDescent="0.25"/>
  <cols>
    <col min="1" max="1" width="4.85546875" style="24" bestFit="1" customWidth="1"/>
    <col min="2" max="2" width="13" style="24" bestFit="1" customWidth="1"/>
    <col min="3" max="3" width="48.28515625" style="24" customWidth="1"/>
    <col min="4" max="4" width="5.5703125" style="24" bestFit="1" customWidth="1"/>
    <col min="5" max="5" width="67.140625" style="25" customWidth="1"/>
    <col min="6" max="6" width="10.5703125" style="24" bestFit="1" customWidth="1"/>
    <col min="7" max="7" width="10.42578125" style="26" bestFit="1" customWidth="1"/>
    <col min="8" max="8" width="10.42578125" style="27" bestFit="1" customWidth="1"/>
    <col min="9" max="9" width="16.28515625" style="27" bestFit="1" customWidth="1"/>
    <col min="10" max="10" width="58.140625" customWidth="1"/>
  </cols>
  <sheetData>
    <row r="1" spans="1:10" x14ac:dyDescent="0.25">
      <c r="A1" s="1">
        <v>2022</v>
      </c>
      <c r="B1" s="2"/>
      <c r="C1" s="3"/>
      <c r="D1" s="3"/>
      <c r="E1" s="4"/>
      <c r="F1" s="3"/>
      <c r="G1" s="5"/>
      <c r="H1" s="6"/>
      <c r="I1" s="7"/>
    </row>
    <row r="2" spans="1:10" s="137" customFormat="1" ht="18.75" x14ac:dyDescent="0.3">
      <c r="A2" s="135"/>
      <c r="B2" s="151" t="s">
        <v>0</v>
      </c>
      <c r="C2" s="151"/>
      <c r="D2" s="151"/>
      <c r="E2" s="151"/>
      <c r="F2" s="151"/>
      <c r="G2" s="151"/>
      <c r="H2" s="151"/>
      <c r="I2" s="136"/>
    </row>
    <row r="3" spans="1:10" x14ac:dyDescent="0.25">
      <c r="A3" s="3"/>
      <c r="B3" s="2"/>
      <c r="C3" s="3"/>
      <c r="D3" s="3"/>
      <c r="E3" s="4"/>
      <c r="F3" s="3"/>
      <c r="G3" s="5"/>
      <c r="H3" s="6"/>
      <c r="I3" s="7"/>
    </row>
    <row r="4" spans="1:10" x14ac:dyDescent="0.25">
      <c r="A4" s="150" t="s">
        <v>1</v>
      </c>
      <c r="B4" s="150"/>
      <c r="C4" s="102" t="s">
        <v>2</v>
      </c>
      <c r="D4" s="102"/>
      <c r="E4" s="102"/>
      <c r="F4" s="8"/>
      <c r="G4" s="9"/>
      <c r="H4" s="6"/>
      <c r="I4" s="7"/>
    </row>
    <row r="5" spans="1:10" ht="15" customHeight="1" x14ac:dyDescent="0.25">
      <c r="A5" s="150" t="s">
        <v>3</v>
      </c>
      <c r="B5" s="150"/>
      <c r="C5" s="102" t="s">
        <v>4</v>
      </c>
      <c r="D5" s="102"/>
      <c r="E5" s="102"/>
      <c r="F5" s="8"/>
      <c r="G5" s="9"/>
      <c r="H5" s="6"/>
      <c r="I5" s="7"/>
    </row>
    <row r="6" spans="1:10" x14ac:dyDescent="0.25">
      <c r="A6" s="150" t="s">
        <v>5</v>
      </c>
      <c r="B6" s="150"/>
      <c r="C6" s="103">
        <v>2022</v>
      </c>
      <c r="D6" s="104"/>
      <c r="E6" s="103"/>
      <c r="F6" s="8"/>
      <c r="G6" s="9"/>
      <c r="H6" s="6"/>
      <c r="I6" s="7"/>
    </row>
    <row r="7" spans="1:10" x14ac:dyDescent="0.25">
      <c r="A7" s="150" t="s">
        <v>6</v>
      </c>
      <c r="B7" s="150"/>
      <c r="C7" s="103" t="s">
        <v>19</v>
      </c>
      <c r="D7" s="104"/>
      <c r="E7" s="103"/>
      <c r="F7" s="8"/>
      <c r="G7" s="9"/>
      <c r="H7" s="6"/>
      <c r="I7" s="7"/>
    </row>
    <row r="8" spans="1:10" x14ac:dyDescent="0.25">
      <c r="A8" s="3"/>
      <c r="B8" s="8"/>
      <c r="C8" s="8"/>
      <c r="D8" s="8"/>
      <c r="E8" s="10"/>
      <c r="F8" s="8"/>
      <c r="G8" s="9"/>
      <c r="H8" s="6"/>
      <c r="I8" s="7"/>
    </row>
    <row r="9" spans="1:10" ht="38.25" x14ac:dyDescent="0.25">
      <c r="A9" s="11" t="s">
        <v>7</v>
      </c>
      <c r="B9" s="11" t="s">
        <v>8</v>
      </c>
      <c r="C9" s="12" t="s">
        <v>9</v>
      </c>
      <c r="D9" s="11" t="s">
        <v>10</v>
      </c>
      <c r="E9" s="13" t="s">
        <v>11</v>
      </c>
      <c r="F9" s="12" t="s">
        <v>12</v>
      </c>
      <c r="G9" s="14" t="s">
        <v>13</v>
      </c>
      <c r="H9" s="15" t="s">
        <v>14</v>
      </c>
      <c r="I9" s="16" t="s">
        <v>15</v>
      </c>
      <c r="J9" s="17" t="s">
        <v>16</v>
      </c>
    </row>
    <row r="10" spans="1:10" s="39" customFormat="1" ht="171" customHeight="1" x14ac:dyDescent="0.2">
      <c r="A10" s="92">
        <v>1</v>
      </c>
      <c r="B10" s="38" t="s">
        <v>21</v>
      </c>
      <c r="C10" s="93" t="s">
        <v>17</v>
      </c>
      <c r="D10" s="38" t="s">
        <v>18</v>
      </c>
      <c r="E10" s="94" t="s">
        <v>22</v>
      </c>
      <c r="F10" s="38" t="s">
        <v>23</v>
      </c>
      <c r="G10" s="21">
        <v>3060</v>
      </c>
      <c r="H10" s="20">
        <v>550</v>
      </c>
      <c r="I10" s="28">
        <v>1683000</v>
      </c>
      <c r="J10" s="43" t="s">
        <v>26</v>
      </c>
    </row>
    <row r="11" spans="1:10" s="39" customFormat="1" ht="114.75" customHeight="1" thickBot="1" x14ac:dyDescent="0.25">
      <c r="A11" s="95">
        <v>2</v>
      </c>
      <c r="B11" s="23" t="s">
        <v>24</v>
      </c>
      <c r="C11" s="96" t="s">
        <v>17</v>
      </c>
      <c r="D11" s="23" t="s">
        <v>18</v>
      </c>
      <c r="E11" s="97" t="s">
        <v>25</v>
      </c>
      <c r="F11" s="23" t="s">
        <v>23</v>
      </c>
      <c r="G11" s="36">
        <v>3060</v>
      </c>
      <c r="H11" s="35">
        <v>550</v>
      </c>
      <c r="I11" s="28">
        <v>1683000</v>
      </c>
      <c r="J11" s="44" t="s">
        <v>27</v>
      </c>
    </row>
    <row r="12" spans="1:10" s="40" customFormat="1" ht="13.5" thickBot="1" x14ac:dyDescent="0.25">
      <c r="A12" s="29"/>
      <c r="B12" s="30"/>
      <c r="C12" s="31"/>
      <c r="D12" s="32"/>
      <c r="E12" s="19" t="s">
        <v>20</v>
      </c>
      <c r="F12" s="30"/>
      <c r="G12" s="37"/>
      <c r="H12" s="33"/>
      <c r="I12" s="42">
        <v>3366000</v>
      </c>
      <c r="J12" s="34"/>
    </row>
    <row r="14" spans="1:10" ht="15.75" thickBot="1" x14ac:dyDescent="0.3"/>
    <row r="15" spans="1:10" s="101" customFormat="1" x14ac:dyDescent="0.25">
      <c r="A15" s="98"/>
      <c r="B15" s="98"/>
      <c r="C15" s="138" t="s">
        <v>65</v>
      </c>
      <c r="D15" s="146" t="s">
        <v>72</v>
      </c>
      <c r="E15" s="146"/>
      <c r="F15" s="147"/>
      <c r="G15" s="99"/>
      <c r="H15" s="100"/>
      <c r="I15" s="100"/>
    </row>
    <row r="16" spans="1:10" s="101" customFormat="1" x14ac:dyDescent="0.25">
      <c r="A16" s="98"/>
      <c r="B16" s="98"/>
      <c r="C16" s="139"/>
      <c r="D16" s="134"/>
      <c r="E16" s="134"/>
      <c r="F16" s="133"/>
      <c r="G16" s="99"/>
      <c r="H16" s="100"/>
      <c r="I16" s="100"/>
    </row>
    <row r="17" spans="1:9" s="101" customFormat="1" ht="33.75" customHeight="1" x14ac:dyDescent="0.25">
      <c r="A17" s="98"/>
      <c r="B17" s="98"/>
      <c r="C17" s="139" t="s">
        <v>84</v>
      </c>
      <c r="D17" s="148" t="s">
        <v>96</v>
      </c>
      <c r="E17" s="148"/>
      <c r="F17" s="149"/>
      <c r="G17" s="99"/>
      <c r="H17" s="100"/>
      <c r="I17" s="100"/>
    </row>
    <row r="18" spans="1:9" s="101" customFormat="1" ht="18.75" customHeight="1" x14ac:dyDescent="0.25">
      <c r="A18" s="98"/>
      <c r="B18" s="98"/>
      <c r="C18" s="139"/>
      <c r="D18" s="132"/>
      <c r="E18" s="132"/>
      <c r="F18" s="133"/>
      <c r="G18" s="99"/>
      <c r="H18" s="100"/>
      <c r="I18" s="100"/>
    </row>
    <row r="19" spans="1:9" s="101" customFormat="1" ht="19.5" customHeight="1" x14ac:dyDescent="0.25">
      <c r="A19" s="98"/>
      <c r="B19" s="98"/>
      <c r="C19" s="139" t="s">
        <v>85</v>
      </c>
      <c r="D19" s="148" t="s">
        <v>86</v>
      </c>
      <c r="E19" s="148"/>
      <c r="F19" s="149"/>
      <c r="G19" s="99"/>
      <c r="H19" s="100"/>
      <c r="I19" s="100"/>
    </row>
    <row r="20" spans="1:9" s="101" customFormat="1" x14ac:dyDescent="0.25">
      <c r="A20" s="98"/>
      <c r="B20" s="98"/>
      <c r="C20" s="139"/>
      <c r="D20" s="134"/>
      <c r="E20" s="134"/>
      <c r="F20" s="133"/>
      <c r="G20" s="99"/>
      <c r="H20" s="100"/>
      <c r="I20" s="100"/>
    </row>
    <row r="21" spans="1:9" s="101" customFormat="1" x14ac:dyDescent="0.25">
      <c r="A21" s="98"/>
      <c r="B21" s="98"/>
      <c r="C21" s="139" t="s">
        <v>67</v>
      </c>
      <c r="D21" s="144" t="s">
        <v>87</v>
      </c>
      <c r="E21" s="144"/>
      <c r="F21" s="145"/>
      <c r="G21" s="99"/>
      <c r="H21" s="100"/>
      <c r="I21" s="100"/>
    </row>
    <row r="22" spans="1:9" s="101" customFormat="1" x14ac:dyDescent="0.25">
      <c r="A22" s="98"/>
      <c r="B22" s="98"/>
      <c r="C22" s="139"/>
      <c r="D22" s="134"/>
      <c r="E22" s="134"/>
      <c r="F22" s="133"/>
      <c r="G22" s="99"/>
      <c r="H22" s="100"/>
      <c r="I22" s="100"/>
    </row>
    <row r="23" spans="1:9" s="101" customFormat="1" x14ac:dyDescent="0.25">
      <c r="A23" s="98"/>
      <c r="B23" s="98"/>
      <c r="C23" s="139" t="s">
        <v>68</v>
      </c>
      <c r="D23" s="144" t="s">
        <v>88</v>
      </c>
      <c r="E23" s="144"/>
      <c r="F23" s="145"/>
      <c r="G23" s="99"/>
      <c r="H23" s="100"/>
      <c r="I23" s="100"/>
    </row>
    <row r="24" spans="1:9" s="101" customFormat="1" x14ac:dyDescent="0.25">
      <c r="A24" s="98"/>
      <c r="B24" s="98"/>
      <c r="C24" s="139"/>
      <c r="D24" s="90"/>
      <c r="E24" s="90"/>
      <c r="F24" s="91"/>
      <c r="G24" s="99"/>
      <c r="H24" s="100"/>
      <c r="I24" s="100"/>
    </row>
    <row r="25" spans="1:9" s="101" customFormat="1" ht="25.5" customHeight="1" x14ac:dyDescent="0.25">
      <c r="A25" s="98"/>
      <c r="B25" s="98"/>
      <c r="C25" s="139" t="s">
        <v>89</v>
      </c>
      <c r="D25" s="148" t="s">
        <v>101</v>
      </c>
      <c r="E25" s="148"/>
      <c r="F25" s="149"/>
      <c r="G25" s="99"/>
      <c r="H25" s="100"/>
      <c r="I25" s="100"/>
    </row>
    <row r="26" spans="1:9" s="101" customFormat="1" x14ac:dyDescent="0.25">
      <c r="A26" s="98"/>
      <c r="B26" s="98"/>
      <c r="C26" s="139"/>
      <c r="D26" s="90"/>
      <c r="E26" s="90"/>
      <c r="F26" s="91"/>
      <c r="G26" s="99"/>
      <c r="H26" s="100"/>
      <c r="I26" s="100"/>
    </row>
    <row r="27" spans="1:9" s="101" customFormat="1" ht="18.75" customHeight="1" x14ac:dyDescent="0.25">
      <c r="A27" s="98"/>
      <c r="B27" s="98"/>
      <c r="C27" s="139" t="s">
        <v>69</v>
      </c>
      <c r="D27" s="144" t="s">
        <v>90</v>
      </c>
      <c r="E27" s="144"/>
      <c r="F27" s="145"/>
      <c r="G27" s="99"/>
      <c r="H27" s="100"/>
      <c r="I27" s="100"/>
    </row>
    <row r="28" spans="1:9" s="101" customFormat="1" x14ac:dyDescent="0.25">
      <c r="A28" s="98"/>
      <c r="B28" s="98"/>
      <c r="C28" s="139"/>
      <c r="D28" s="134"/>
      <c r="E28" s="134"/>
      <c r="F28" s="133"/>
      <c r="G28" s="99"/>
      <c r="H28" s="100"/>
      <c r="I28" s="100"/>
    </row>
    <row r="29" spans="1:9" s="101" customFormat="1" x14ac:dyDescent="0.25">
      <c r="A29" s="98"/>
      <c r="B29" s="98"/>
      <c r="C29" s="139" t="s">
        <v>70</v>
      </c>
      <c r="D29" s="144" t="s">
        <v>71</v>
      </c>
      <c r="E29" s="144"/>
      <c r="F29" s="145"/>
      <c r="G29" s="99"/>
      <c r="H29" s="100"/>
      <c r="I29" s="100"/>
    </row>
    <row r="30" spans="1:9" ht="15.75" thickBot="1" x14ac:dyDescent="0.3">
      <c r="C30" s="140"/>
      <c r="D30" s="141"/>
      <c r="E30" s="142"/>
      <c r="F30" s="143"/>
    </row>
  </sheetData>
  <mergeCells count="13">
    <mergeCell ref="A7:B7"/>
    <mergeCell ref="B2:H2"/>
    <mergeCell ref="A4:B4"/>
    <mergeCell ref="A5:B5"/>
    <mergeCell ref="A6:B6"/>
    <mergeCell ref="D29:F29"/>
    <mergeCell ref="D15:F15"/>
    <mergeCell ref="D17:F17"/>
    <mergeCell ref="D21:F21"/>
    <mergeCell ref="D23:F23"/>
    <mergeCell ref="D19:F19"/>
    <mergeCell ref="D25:F25"/>
    <mergeCell ref="D27:F27"/>
  </mergeCells>
  <conditionalFormatting sqref="B1:B9 E1:E9">
    <cfRule type="duplicateValues" dxfId="18" priority="231"/>
  </conditionalFormatting>
  <conditionalFormatting sqref="E1:E9 B1:B9">
    <cfRule type="duplicateValues" dxfId="17" priority="232"/>
  </conditionalFormatting>
  <conditionalFormatting sqref="E12 B12">
    <cfRule type="duplicateValues" dxfId="16" priority="265"/>
  </conditionalFormatting>
  <conditionalFormatting sqref="B12">
    <cfRule type="duplicateValues" dxfId="15" priority="267"/>
  </conditionalFormatting>
  <conditionalFormatting sqref="B12">
    <cfRule type="duplicateValues" dxfId="14" priority="338"/>
  </conditionalFormatting>
  <conditionalFormatting sqref="E12">
    <cfRule type="duplicateValues" dxfId="13" priority="340"/>
  </conditionalFormatting>
  <conditionalFormatting sqref="E12">
    <cfRule type="duplicateValues" dxfId="12" priority="342"/>
    <cfRule type="duplicateValues" dxfId="11" priority="343"/>
  </conditionalFormatting>
  <conditionalFormatting sqref="B1:B9">
    <cfRule type="duplicateValues" dxfId="10" priority="418"/>
  </conditionalFormatting>
  <conditionalFormatting sqref="E1:E9">
    <cfRule type="duplicateValues" dxfId="9" priority="419"/>
  </conditionalFormatting>
  <conditionalFormatting sqref="E1:E9">
    <cfRule type="duplicateValues" dxfId="8" priority="420"/>
    <cfRule type="duplicateValues" dxfId="7" priority="421"/>
  </conditionalFormatting>
  <conditionalFormatting sqref="F28 F16 F22 F20">
    <cfRule type="duplicateValues" dxfId="6" priority="1"/>
  </conditionalFormatting>
  <conditionalFormatting sqref="F28 C15:C24 F16 F22 F20 C26:C29">
    <cfRule type="duplicateValues" dxfId="5" priority="2"/>
  </conditionalFormatting>
  <conditionalFormatting sqref="F28">
    <cfRule type="duplicateValues" dxfId="4" priority="3"/>
  </conditionalFormatting>
  <conditionalFormatting sqref="F28 F16 C15:C24 F22 F20 C26:C29">
    <cfRule type="duplicateValues" dxfId="3" priority="4"/>
  </conditionalFormatting>
  <conditionalFormatting sqref="F28 F16 F22 F20">
    <cfRule type="duplicateValues" dxfId="2" priority="5"/>
    <cfRule type="duplicateValues" dxfId="1" priority="6"/>
  </conditionalFormatting>
  <conditionalFormatting sqref="C15:C24 C26:C29">
    <cfRule type="duplicateValues" dxfId="0" priority="44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topLeftCell="A10" workbookViewId="0">
      <selection activeCell="A48" sqref="A48"/>
    </sheetView>
  </sheetViews>
  <sheetFormatPr baseColWidth="10" defaultRowHeight="15" x14ac:dyDescent="0.25"/>
  <cols>
    <col min="1" max="1" width="137.85546875" customWidth="1"/>
  </cols>
  <sheetData>
    <row r="1" spans="1:1" s="107" customFormat="1" ht="26.25" x14ac:dyDescent="0.25">
      <c r="A1" s="106" t="s">
        <v>66</v>
      </c>
    </row>
    <row r="2" spans="1:1" s="107" customFormat="1" ht="26.25" x14ac:dyDescent="0.25">
      <c r="A2" s="111"/>
    </row>
    <row r="3" spans="1:1" s="107" customFormat="1" ht="18" x14ac:dyDescent="0.25">
      <c r="A3" s="108" t="s">
        <v>73</v>
      </c>
    </row>
    <row r="4" spans="1:1" s="107" customFormat="1" x14ac:dyDescent="0.25">
      <c r="A4" s="109"/>
    </row>
    <row r="5" spans="1:1" s="107" customFormat="1" ht="55.5" customHeight="1" x14ac:dyDescent="0.25">
      <c r="A5" s="110" t="s">
        <v>91</v>
      </c>
    </row>
    <row r="6" spans="1:1" s="107" customFormat="1" x14ac:dyDescent="0.25">
      <c r="A6" s="110"/>
    </row>
    <row r="7" spans="1:1" s="107" customFormat="1" ht="30.75" customHeight="1" x14ac:dyDescent="0.25">
      <c r="A7" s="110" t="s">
        <v>92</v>
      </c>
    </row>
    <row r="8" spans="1:1" s="107" customFormat="1" x14ac:dyDescent="0.25">
      <c r="A8" s="109"/>
    </row>
    <row r="9" spans="1:1" s="107" customFormat="1" ht="15.75" x14ac:dyDescent="0.25">
      <c r="A9" s="105" t="s">
        <v>77</v>
      </c>
    </row>
    <row r="10" spans="1:1" s="107" customFormat="1" ht="102" customHeight="1" x14ac:dyDescent="0.25">
      <c r="A10" s="110" t="s">
        <v>76</v>
      </c>
    </row>
    <row r="11" spans="1:1" s="107" customFormat="1" ht="15.75" x14ac:dyDescent="0.25">
      <c r="A11" s="105" t="s">
        <v>74</v>
      </c>
    </row>
    <row r="12" spans="1:1" s="107" customFormat="1" ht="15.75" x14ac:dyDescent="0.25">
      <c r="A12" s="105"/>
    </row>
    <row r="13" spans="1:1" s="107" customFormat="1" ht="15.75" x14ac:dyDescent="0.25">
      <c r="A13" s="105" t="s">
        <v>78</v>
      </c>
    </row>
    <row r="14" spans="1:1" s="107" customFormat="1" ht="51.75" customHeight="1" x14ac:dyDescent="0.25">
      <c r="A14" s="110" t="s">
        <v>79</v>
      </c>
    </row>
    <row r="15" spans="1:1" s="107" customFormat="1" ht="15.75" x14ac:dyDescent="0.25">
      <c r="A15" s="105" t="s">
        <v>75</v>
      </c>
    </row>
    <row r="16" spans="1:1" s="107" customFormat="1" ht="15.75" x14ac:dyDescent="0.25">
      <c r="A16" s="105"/>
    </row>
    <row r="17" spans="1:1" s="107" customFormat="1" ht="105" x14ac:dyDescent="0.25">
      <c r="A17" s="110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tabSelected="1" workbookViewId="0">
      <selection activeCell="K14" sqref="K14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style="121" customWidth="1"/>
    <col min="11" max="11" width="15.5703125" customWidth="1"/>
    <col min="13" max="13" width="14.5703125" style="122" bestFit="1" customWidth="1"/>
  </cols>
  <sheetData>
    <row r="1" spans="1:13" ht="30.75" thickBot="1" x14ac:dyDescent="0.3">
      <c r="A1" s="154" t="s">
        <v>28</v>
      </c>
      <c r="B1" s="154"/>
      <c r="C1" s="154"/>
      <c r="D1" s="154"/>
      <c r="E1" s="154"/>
      <c r="F1" s="154"/>
      <c r="G1" s="154"/>
      <c r="H1" s="154"/>
      <c r="I1" s="154"/>
      <c r="J1" s="117" t="s">
        <v>29</v>
      </c>
      <c r="K1" s="45" t="s">
        <v>94</v>
      </c>
    </row>
    <row r="2" spans="1:13" ht="16.5" thickBot="1" x14ac:dyDescent="0.3">
      <c r="A2" s="46"/>
      <c r="B2" s="47"/>
      <c r="C2" s="47"/>
      <c r="D2" s="48"/>
      <c r="E2" s="48"/>
      <c r="F2" s="48"/>
      <c r="G2" s="48"/>
      <c r="H2" s="48"/>
      <c r="I2" s="48"/>
      <c r="J2" s="118"/>
      <c r="K2" s="49"/>
    </row>
    <row r="3" spans="1:13" ht="16.5" thickBot="1" x14ac:dyDescent="0.3">
      <c r="A3" s="155" t="s">
        <v>30</v>
      </c>
      <c r="B3" s="155"/>
      <c r="C3" s="155"/>
      <c r="D3" s="153" t="str">
        <f>'SAF 011'!C4</f>
        <v>040 - MINISTERIO DE SALUD</v>
      </c>
      <c r="E3" s="153"/>
      <c r="F3" s="153"/>
      <c r="G3" s="153"/>
      <c r="H3" s="153"/>
      <c r="I3" s="153"/>
      <c r="J3" s="153"/>
      <c r="K3" s="153"/>
    </row>
    <row r="4" spans="1:13" ht="16.5" thickBot="1" x14ac:dyDescent="0.3">
      <c r="A4" s="152" t="s">
        <v>31</v>
      </c>
      <c r="B4" s="152"/>
      <c r="C4" s="152"/>
      <c r="D4" s="153" t="str">
        <f>'SAF 011'!C5</f>
        <v>011 - DIRECCION PROVINCIAL DE ADMINISTRACION - MINISTERIO DE SALUD</v>
      </c>
      <c r="E4" s="153"/>
      <c r="F4" s="153"/>
      <c r="G4" s="153"/>
      <c r="H4" s="153"/>
      <c r="I4" s="153"/>
      <c r="J4" s="153"/>
      <c r="K4" s="153"/>
    </row>
    <row r="5" spans="1:13" ht="16.5" thickBot="1" x14ac:dyDescent="0.3">
      <c r="A5" s="152" t="s">
        <v>32</v>
      </c>
      <c r="B5" s="152"/>
      <c r="C5" s="152"/>
      <c r="D5" s="153" t="s">
        <v>98</v>
      </c>
      <c r="E5" s="153"/>
      <c r="F5" s="153"/>
      <c r="G5" s="153"/>
      <c r="H5" s="153"/>
      <c r="I5" s="153"/>
      <c r="J5" s="153"/>
      <c r="K5" s="153"/>
    </row>
    <row r="6" spans="1:13" ht="16.5" thickBot="1" x14ac:dyDescent="0.3">
      <c r="A6" s="155" t="s">
        <v>33</v>
      </c>
      <c r="B6" s="155"/>
      <c r="C6" s="155"/>
      <c r="D6" s="153" t="s">
        <v>98</v>
      </c>
      <c r="E6" s="153"/>
      <c r="F6" s="153"/>
      <c r="G6" s="153"/>
      <c r="H6" s="153"/>
      <c r="I6" s="153"/>
      <c r="J6" s="153"/>
      <c r="K6" s="153"/>
    </row>
    <row r="7" spans="1:13" ht="16.5" thickBot="1" x14ac:dyDescent="0.3">
      <c r="A7" s="152" t="s">
        <v>34</v>
      </c>
      <c r="B7" s="152"/>
      <c r="C7" s="152"/>
      <c r="D7" s="153" t="s">
        <v>95</v>
      </c>
      <c r="E7" s="153"/>
      <c r="F7" s="153"/>
      <c r="G7" s="153"/>
      <c r="H7" s="153"/>
      <c r="I7" s="153"/>
      <c r="J7" s="153"/>
      <c r="K7" s="153"/>
    </row>
    <row r="8" spans="1:13" ht="16.5" thickBot="1" x14ac:dyDescent="0.3">
      <c r="A8" s="156" t="s">
        <v>35</v>
      </c>
      <c r="B8" s="156"/>
      <c r="C8" s="156"/>
      <c r="D8" s="157" t="s">
        <v>83</v>
      </c>
      <c r="E8" s="157"/>
      <c r="F8" s="157"/>
      <c r="G8" s="157"/>
      <c r="H8" s="157"/>
      <c r="I8" s="157"/>
      <c r="J8" s="157"/>
      <c r="K8" s="157"/>
    </row>
    <row r="9" spans="1:13" ht="16.5" thickBot="1" x14ac:dyDescent="0.3">
      <c r="A9" s="50"/>
      <c r="B9" s="51"/>
      <c r="C9" s="51"/>
      <c r="D9" s="52"/>
      <c r="E9" s="52"/>
      <c r="F9" s="52"/>
      <c r="G9" s="52"/>
      <c r="H9" s="52"/>
      <c r="I9" s="52"/>
      <c r="J9" s="119"/>
      <c r="K9" s="53"/>
    </row>
    <row r="10" spans="1:13" ht="15.75" thickBot="1" x14ac:dyDescent="0.3">
      <c r="A10" s="167" t="s">
        <v>36</v>
      </c>
      <c r="B10" s="162" t="s">
        <v>37</v>
      </c>
      <c r="C10" s="162" t="s">
        <v>38</v>
      </c>
      <c r="D10" s="162"/>
      <c r="E10" s="162"/>
      <c r="F10" s="162"/>
      <c r="G10" s="162"/>
      <c r="H10" s="162" t="s">
        <v>39</v>
      </c>
      <c r="I10" s="162" t="s">
        <v>40</v>
      </c>
      <c r="J10" s="163" t="s">
        <v>41</v>
      </c>
      <c r="K10" s="168" t="s">
        <v>42</v>
      </c>
    </row>
    <row r="11" spans="1:13" ht="39.75" customHeight="1" thickBot="1" x14ac:dyDescent="0.3">
      <c r="A11" s="167"/>
      <c r="B11" s="162"/>
      <c r="C11" s="162"/>
      <c r="D11" s="162"/>
      <c r="E11" s="162"/>
      <c r="F11" s="162"/>
      <c r="G11" s="162"/>
      <c r="H11" s="162"/>
      <c r="I11" s="162"/>
      <c r="J11" s="163"/>
      <c r="K11" s="168"/>
    </row>
    <row r="12" spans="1:13" s="101" customFormat="1" ht="15.75" x14ac:dyDescent="0.25">
      <c r="A12" s="123">
        <v>1</v>
      </c>
      <c r="B12" s="124" t="str">
        <f>'SAF 011'!B10</f>
        <v>2.1.1-2456.8</v>
      </c>
      <c r="C12" s="158" t="str">
        <f>'SAF 011'!E10</f>
        <v>RACIONAMIENTO; DESCRIPCION: ALMUERZO</v>
      </c>
      <c r="D12" s="158"/>
      <c r="E12" s="158"/>
      <c r="F12" s="158"/>
      <c r="G12" s="158"/>
      <c r="H12" s="41" t="s">
        <v>80</v>
      </c>
      <c r="I12" s="125" t="str">
        <f>'SAF 011'!F10</f>
        <v>RACION</v>
      </c>
      <c r="J12" s="126">
        <f>'SAF 011'!H10</f>
        <v>550</v>
      </c>
      <c r="K12" s="127">
        <v>3060</v>
      </c>
      <c r="M12" s="122">
        <f>+J12*K12</f>
        <v>1683000</v>
      </c>
    </row>
    <row r="13" spans="1:13" s="101" customFormat="1" ht="15.75" customHeight="1" x14ac:dyDescent="0.25">
      <c r="A13" s="128">
        <v>2</v>
      </c>
      <c r="B13" s="129" t="str">
        <f>'SAF 011'!B11</f>
        <v>2.1.1-2456.10</v>
      </c>
      <c r="C13" s="159" t="str">
        <f>'SAF 011'!E11</f>
        <v>RACIONAMIENTO; DESCRIPCION: CENA</v>
      </c>
      <c r="D13" s="160"/>
      <c r="E13" s="160"/>
      <c r="F13" s="160"/>
      <c r="G13" s="161"/>
      <c r="H13" s="22" t="s">
        <v>80</v>
      </c>
      <c r="I13" s="18" t="str">
        <f>'SAF 011'!F11</f>
        <v>RACION</v>
      </c>
      <c r="J13" s="130">
        <f>'SAF 011'!H11</f>
        <v>550</v>
      </c>
      <c r="K13" s="131">
        <v>3060</v>
      </c>
      <c r="M13" s="122">
        <f>+J13*K13</f>
        <v>1683000</v>
      </c>
    </row>
    <row r="14" spans="1:13" ht="16.5" thickBot="1" x14ac:dyDescent="0.3">
      <c r="A14" s="112"/>
      <c r="B14" s="113"/>
      <c r="C14" s="166"/>
      <c r="D14" s="166"/>
      <c r="E14" s="166"/>
      <c r="F14" s="166"/>
      <c r="G14" s="166"/>
      <c r="H14" s="114"/>
      <c r="I14" s="115"/>
      <c r="J14" s="120"/>
      <c r="K14" s="116"/>
    </row>
    <row r="15" spans="1:13" ht="19.5" thickBot="1" x14ac:dyDescent="0.3">
      <c r="A15" s="164" t="s">
        <v>100</v>
      </c>
      <c r="B15" s="164"/>
      <c r="C15" s="164"/>
      <c r="D15" s="164"/>
      <c r="E15" s="164"/>
      <c r="F15" s="164"/>
      <c r="G15" s="164"/>
      <c r="H15" s="164"/>
      <c r="I15" s="164"/>
      <c r="J15" s="165">
        <f>+M15</f>
        <v>3366000</v>
      </c>
      <c r="K15" s="165"/>
      <c r="M15" s="122">
        <f>SUM(M12:M14)</f>
        <v>3366000</v>
      </c>
    </row>
  </sheetData>
  <mergeCells count="25">
    <mergeCell ref="C12:G12"/>
    <mergeCell ref="C13:G13"/>
    <mergeCell ref="I10:I11"/>
    <mergeCell ref="J10:J11"/>
    <mergeCell ref="A15:I15"/>
    <mergeCell ref="J15:K15"/>
    <mergeCell ref="C14:G14"/>
    <mergeCell ref="A10:A11"/>
    <mergeCell ref="B10:B11"/>
    <mergeCell ref="C10:G11"/>
    <mergeCell ref="H10:H11"/>
    <mergeCell ref="K10:K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2"/>
  <sheetViews>
    <sheetView topLeftCell="A13" workbookViewId="0">
      <selection activeCell="A39" sqref="A39:Q39"/>
    </sheetView>
  </sheetViews>
  <sheetFormatPr baseColWidth="10" defaultRowHeight="15" x14ac:dyDescent="0.25"/>
  <cols>
    <col min="1" max="5" width="4.42578125" customWidth="1"/>
    <col min="6" max="6" width="6.570312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70" t="s">
        <v>5</v>
      </c>
      <c r="B1" s="170"/>
      <c r="C1" s="170"/>
      <c r="D1" s="171">
        <v>2022</v>
      </c>
      <c r="E1" s="171"/>
      <c r="F1" s="54"/>
      <c r="G1" s="54"/>
      <c r="H1" s="55"/>
      <c r="I1" s="55"/>
      <c r="J1" s="55"/>
      <c r="K1" s="55"/>
      <c r="L1" s="55"/>
      <c r="M1" s="55"/>
      <c r="N1" s="55"/>
      <c r="O1" s="56"/>
      <c r="P1" s="172" t="s">
        <v>43</v>
      </c>
      <c r="Q1" s="172"/>
    </row>
    <row r="2" spans="1:17" ht="15.75" thickBot="1" x14ac:dyDescent="0.3">
      <c r="A2" s="57"/>
      <c r="B2" s="58"/>
      <c r="C2" s="58"/>
      <c r="D2" s="58"/>
      <c r="E2" s="58"/>
      <c r="F2" s="58"/>
      <c r="G2" s="59"/>
      <c r="H2" s="60"/>
      <c r="I2" s="60"/>
      <c r="J2" s="60"/>
      <c r="K2" s="60"/>
      <c r="L2" s="60"/>
      <c r="M2" s="60"/>
      <c r="N2" s="60"/>
      <c r="O2" s="58"/>
      <c r="P2" s="172"/>
      <c r="Q2" s="172"/>
    </row>
    <row r="3" spans="1:17" ht="15.75" thickBot="1" x14ac:dyDescent="0.3">
      <c r="A3" s="57"/>
      <c r="B3" s="58"/>
      <c r="C3" s="58"/>
      <c r="D3" s="58"/>
      <c r="E3" s="58"/>
      <c r="F3" s="58"/>
      <c r="G3" s="59"/>
      <c r="H3" s="58"/>
      <c r="I3" s="58"/>
      <c r="J3" s="58"/>
      <c r="K3" s="58"/>
      <c r="L3" s="58"/>
      <c r="M3" s="58"/>
      <c r="N3" s="58"/>
      <c r="O3" s="58"/>
      <c r="P3" s="58"/>
      <c r="Q3" s="61"/>
    </row>
    <row r="4" spans="1:17" ht="15.75" thickBot="1" x14ac:dyDescent="0.3">
      <c r="A4" s="173" t="s">
        <v>44</v>
      </c>
      <c r="B4" s="173"/>
      <c r="C4" s="173"/>
      <c r="D4" s="173"/>
      <c r="E4" s="173"/>
      <c r="F4" s="173"/>
      <c r="G4" s="174" t="str">
        <f>NP!D3</f>
        <v>040 - MINISTERIO DE SALUD</v>
      </c>
      <c r="H4" s="174"/>
      <c r="I4" s="174"/>
      <c r="J4" s="174"/>
      <c r="K4" s="174"/>
      <c r="L4" s="174"/>
      <c r="M4" s="174"/>
      <c r="N4" s="174"/>
      <c r="O4" s="174"/>
      <c r="P4" s="174"/>
      <c r="Q4" s="174"/>
    </row>
    <row r="5" spans="1:17" ht="15.75" thickBot="1" x14ac:dyDescent="0.3">
      <c r="A5" s="175" t="s">
        <v>31</v>
      </c>
      <c r="B5" s="175"/>
      <c r="C5" s="175"/>
      <c r="D5" s="175"/>
      <c r="E5" s="175"/>
      <c r="F5" s="175"/>
      <c r="G5" s="174" t="str">
        <f>NP!D4</f>
        <v>011 - DIRECCION PROVINCIAL DE ADMINISTRACION - MINISTERIO DE SALUD</v>
      </c>
      <c r="H5" s="174"/>
      <c r="I5" s="174"/>
      <c r="J5" s="174"/>
      <c r="K5" s="174"/>
      <c r="L5" s="174"/>
      <c r="M5" s="174"/>
      <c r="N5" s="174"/>
      <c r="O5" s="174"/>
      <c r="P5" s="174"/>
      <c r="Q5" s="174"/>
    </row>
    <row r="6" spans="1:17" ht="15.75" thickBot="1" x14ac:dyDescent="0.3">
      <c r="A6" s="175" t="s">
        <v>32</v>
      </c>
      <c r="B6" s="175"/>
      <c r="C6" s="175"/>
      <c r="D6" s="175"/>
      <c r="E6" s="175"/>
      <c r="F6" s="175"/>
      <c r="G6" s="174" t="str">
        <f>NP!D5</f>
        <v>748 - DIRECCION PROVINCIAL SISTEMA DE ATENCION MEDICA DE EMERGENCIA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</row>
    <row r="7" spans="1:17" ht="15.75" thickBot="1" x14ac:dyDescent="0.3">
      <c r="A7" s="175" t="s">
        <v>33</v>
      </c>
      <c r="B7" s="175"/>
      <c r="C7" s="175"/>
      <c r="D7" s="175"/>
      <c r="E7" s="175"/>
      <c r="F7" s="175"/>
      <c r="G7" s="174" t="str">
        <f>NP!D6</f>
        <v>748 - DIRECCION PROVINCIAL SISTEMA DE ATENCION MEDICA DE EMERGENCIA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</row>
    <row r="8" spans="1:17" ht="15.75" thickBot="1" x14ac:dyDescent="0.3">
      <c r="A8" s="176" t="s">
        <v>45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</row>
    <row r="9" spans="1:17" ht="20.25" customHeight="1" x14ac:dyDescent="0.25">
      <c r="A9" s="169" t="s">
        <v>46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</row>
    <row r="10" spans="1:17" ht="69" customHeight="1" x14ac:dyDescent="0.25">
      <c r="A10" s="178" t="s">
        <v>97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</row>
    <row r="11" spans="1:17" ht="15.75" thickBot="1" x14ac:dyDescent="0.3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ht="15.75" thickBot="1" x14ac:dyDescent="0.3">
      <c r="A12" s="179" t="s">
        <v>47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</row>
    <row r="13" spans="1:17" ht="15.75" thickBot="1" x14ac:dyDescent="0.3">
      <c r="A13" s="180" t="s">
        <v>48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1" t="s">
        <v>49</v>
      </c>
      <c r="P13" s="181"/>
      <c r="Q13" s="182" t="s">
        <v>50</v>
      </c>
    </row>
    <row r="14" spans="1:17" ht="15.75" thickBot="1" x14ac:dyDescent="0.3">
      <c r="A14" s="66" t="s">
        <v>51</v>
      </c>
      <c r="B14" s="67" t="s">
        <v>52</v>
      </c>
      <c r="C14" s="67" t="s">
        <v>53</v>
      </c>
      <c r="D14" s="67" t="s">
        <v>54</v>
      </c>
      <c r="E14" s="67" t="s">
        <v>55</v>
      </c>
      <c r="F14" s="67" t="s">
        <v>56</v>
      </c>
      <c r="G14" s="68" t="s">
        <v>57</v>
      </c>
      <c r="H14" s="67" t="s">
        <v>58</v>
      </c>
      <c r="I14" s="67" t="s">
        <v>59</v>
      </c>
      <c r="J14" s="67" t="s">
        <v>60</v>
      </c>
      <c r="K14" s="67" t="s">
        <v>60</v>
      </c>
      <c r="L14" s="67" t="s">
        <v>61</v>
      </c>
      <c r="M14" s="69" t="s">
        <v>62</v>
      </c>
      <c r="N14" s="70" t="s">
        <v>63</v>
      </c>
      <c r="O14" s="181"/>
      <c r="P14" s="181"/>
      <c r="Q14" s="182"/>
    </row>
    <row r="15" spans="1:17" x14ac:dyDescent="0.25">
      <c r="A15" s="71">
        <v>31</v>
      </c>
      <c r="B15" s="72"/>
      <c r="C15" s="72"/>
      <c r="D15" s="72">
        <v>1</v>
      </c>
      <c r="E15" s="72"/>
      <c r="F15" s="72">
        <v>4901</v>
      </c>
      <c r="G15" s="72">
        <v>3</v>
      </c>
      <c r="H15" s="72">
        <v>1</v>
      </c>
      <c r="I15" s="72">
        <v>2</v>
      </c>
      <c r="J15" s="72">
        <v>1</v>
      </c>
      <c r="K15" s="72">
        <v>1</v>
      </c>
      <c r="L15" s="72"/>
      <c r="M15" s="73">
        <v>1</v>
      </c>
      <c r="N15" s="72" t="s">
        <v>81</v>
      </c>
      <c r="O15" s="183" t="s">
        <v>82</v>
      </c>
      <c r="P15" s="183"/>
      <c r="Q15" s="74">
        <f>NP!M15</f>
        <v>3366000</v>
      </c>
    </row>
    <row r="16" spans="1:17" x14ac:dyDescent="0.25">
      <c r="A16" s="75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7"/>
      <c r="N16" s="78"/>
      <c r="O16" s="184"/>
      <c r="P16" s="184"/>
      <c r="Q16" s="79"/>
    </row>
    <row r="17" spans="1:17" x14ac:dyDescent="0.25">
      <c r="A17" s="75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7"/>
      <c r="N17" s="78"/>
      <c r="O17" s="185"/>
      <c r="P17" s="185"/>
      <c r="Q17" s="79"/>
    </row>
    <row r="18" spans="1:17" x14ac:dyDescent="0.25">
      <c r="A18" s="75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7"/>
      <c r="N18" s="78"/>
      <c r="O18" s="177"/>
      <c r="P18" s="177"/>
      <c r="Q18" s="79"/>
    </row>
    <row r="19" spans="1:17" x14ac:dyDescent="0.25">
      <c r="A19" s="75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7"/>
      <c r="N19" s="78"/>
      <c r="O19" s="177"/>
      <c r="P19" s="177"/>
      <c r="Q19" s="79"/>
    </row>
    <row r="20" spans="1:17" x14ac:dyDescent="0.25">
      <c r="A20" s="75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7"/>
      <c r="N20" s="78"/>
      <c r="O20" s="177"/>
      <c r="P20" s="177"/>
      <c r="Q20" s="79"/>
    </row>
    <row r="21" spans="1:17" x14ac:dyDescent="0.25">
      <c r="A21" s="75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7"/>
      <c r="N21" s="78"/>
      <c r="O21" s="177"/>
      <c r="P21" s="177"/>
      <c r="Q21" s="79"/>
    </row>
    <row r="22" spans="1:17" x14ac:dyDescent="0.25">
      <c r="A22" s="75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7"/>
      <c r="N22" s="78"/>
      <c r="O22" s="177"/>
      <c r="P22" s="177"/>
      <c r="Q22" s="79"/>
    </row>
    <row r="23" spans="1:17" x14ac:dyDescent="0.25">
      <c r="A23" s="75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7"/>
      <c r="N23" s="78"/>
      <c r="O23" s="177"/>
      <c r="P23" s="177"/>
      <c r="Q23" s="79"/>
    </row>
    <row r="24" spans="1:17" x14ac:dyDescent="0.25">
      <c r="A24" s="75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7"/>
      <c r="N24" s="78"/>
      <c r="O24" s="177"/>
      <c r="P24" s="177"/>
      <c r="Q24" s="79"/>
    </row>
    <row r="25" spans="1:17" x14ac:dyDescent="0.25">
      <c r="A25" s="75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7"/>
      <c r="N25" s="78"/>
      <c r="O25" s="177"/>
      <c r="P25" s="177"/>
      <c r="Q25" s="79"/>
    </row>
    <row r="26" spans="1:17" x14ac:dyDescent="0.25">
      <c r="A26" s="75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7"/>
      <c r="N26" s="78"/>
      <c r="O26" s="177"/>
      <c r="P26" s="177"/>
      <c r="Q26" s="79"/>
    </row>
    <row r="27" spans="1:17" x14ac:dyDescent="0.25">
      <c r="A27" s="75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7"/>
      <c r="N27" s="78"/>
      <c r="O27" s="177"/>
      <c r="P27" s="177"/>
      <c r="Q27" s="79"/>
    </row>
    <row r="28" spans="1:17" x14ac:dyDescent="0.25">
      <c r="A28" s="75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7"/>
      <c r="N28" s="78"/>
      <c r="O28" s="177"/>
      <c r="P28" s="177"/>
      <c r="Q28" s="79"/>
    </row>
    <row r="29" spans="1:17" x14ac:dyDescent="0.25">
      <c r="A29" s="75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7"/>
      <c r="N29" s="78"/>
      <c r="O29" s="177"/>
      <c r="P29" s="177"/>
      <c r="Q29" s="79"/>
    </row>
    <row r="30" spans="1:17" x14ac:dyDescent="0.25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7"/>
      <c r="N30" s="78"/>
      <c r="O30" s="177"/>
      <c r="P30" s="177"/>
      <c r="Q30" s="79"/>
    </row>
    <row r="31" spans="1:17" x14ac:dyDescent="0.25">
      <c r="A31" s="75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7"/>
      <c r="N31" s="78"/>
      <c r="O31" s="177"/>
      <c r="P31" s="177"/>
      <c r="Q31" s="79"/>
    </row>
    <row r="32" spans="1:17" x14ac:dyDescent="0.25">
      <c r="A32" s="75"/>
      <c r="B32" s="76"/>
      <c r="C32" s="76"/>
      <c r="D32" s="76"/>
      <c r="E32" s="76"/>
      <c r="F32" s="78"/>
      <c r="G32" s="76"/>
      <c r="H32" s="76"/>
      <c r="I32" s="76"/>
      <c r="J32" s="76"/>
      <c r="K32" s="76"/>
      <c r="L32" s="76"/>
      <c r="M32" s="77"/>
      <c r="N32" s="78"/>
      <c r="O32" s="184"/>
      <c r="P32" s="184"/>
      <c r="Q32" s="79"/>
    </row>
    <row r="33" spans="1:17" x14ac:dyDescent="0.2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7"/>
      <c r="N33" s="78"/>
      <c r="O33" s="184"/>
      <c r="P33" s="184"/>
      <c r="Q33" s="79"/>
    </row>
    <row r="34" spans="1:17" x14ac:dyDescent="0.25">
      <c r="A34" s="75"/>
      <c r="B34" s="76"/>
      <c r="C34" s="76"/>
      <c r="D34" s="76"/>
      <c r="E34" s="76"/>
      <c r="F34" s="78"/>
      <c r="G34" s="76"/>
      <c r="H34" s="76"/>
      <c r="I34" s="76"/>
      <c r="J34" s="76"/>
      <c r="K34" s="76"/>
      <c r="L34" s="76"/>
      <c r="M34" s="77"/>
      <c r="N34" s="78"/>
      <c r="O34" s="184"/>
      <c r="P34" s="184"/>
      <c r="Q34" s="79"/>
    </row>
    <row r="35" spans="1:17" x14ac:dyDescent="0.25">
      <c r="A35" s="75"/>
      <c r="B35" s="76"/>
      <c r="C35" s="76"/>
      <c r="D35" s="76"/>
      <c r="E35" s="76"/>
      <c r="F35" s="78"/>
      <c r="G35" s="76"/>
      <c r="H35" s="76"/>
      <c r="I35" s="76"/>
      <c r="J35" s="76"/>
      <c r="K35" s="76"/>
      <c r="L35" s="76"/>
      <c r="M35" s="77"/>
      <c r="N35" s="78"/>
      <c r="O35" s="184"/>
      <c r="P35" s="184"/>
      <c r="Q35" s="79"/>
    </row>
    <row r="36" spans="1:17" x14ac:dyDescent="0.25">
      <c r="A36" s="80"/>
      <c r="B36" s="81"/>
      <c r="C36" s="81"/>
      <c r="D36" s="81"/>
      <c r="E36" s="81"/>
      <c r="F36" s="82"/>
      <c r="G36" s="81"/>
      <c r="H36" s="81"/>
      <c r="I36" s="81"/>
      <c r="J36" s="81"/>
      <c r="K36" s="81"/>
      <c r="L36" s="81"/>
      <c r="M36" s="83"/>
      <c r="N36" s="84"/>
      <c r="O36" s="189"/>
      <c r="P36" s="189"/>
      <c r="Q36" s="79"/>
    </row>
    <row r="37" spans="1:17" ht="15.75" thickBot="1" x14ac:dyDescent="0.3">
      <c r="A37" s="85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86"/>
      <c r="O37" s="190"/>
      <c r="P37" s="190"/>
      <c r="Q37" s="88"/>
    </row>
    <row r="38" spans="1:17" ht="15.75" thickBot="1" x14ac:dyDescent="0.3">
      <c r="A38" s="191" t="s">
        <v>99</v>
      </c>
      <c r="B38" s="191"/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89">
        <f>SUM(Q15:Q37)</f>
        <v>3366000</v>
      </c>
    </row>
    <row r="39" spans="1:17" ht="15.75" thickBot="1" x14ac:dyDescent="0.3">
      <c r="A39" s="192"/>
      <c r="B39" s="192"/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</row>
    <row r="40" spans="1:17" ht="15.75" thickBot="1" x14ac:dyDescent="0.3">
      <c r="A40" s="186" t="s">
        <v>64</v>
      </c>
      <c r="B40" s="186"/>
      <c r="C40" s="186"/>
      <c r="D40" s="186"/>
      <c r="E40" s="186"/>
      <c r="F40" s="186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</row>
    <row r="41" spans="1:17" ht="15.75" thickBot="1" x14ac:dyDescent="0.3">
      <c r="A41" s="188" t="str">
        <f>NP!D8</f>
        <v>ADQUISICION DEL RUBRO ALIMENTOS PARA PERSONAS (RACIONES DE ALMUERZO Y CENA)</v>
      </c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</row>
    <row r="42" spans="1:17" ht="15.75" thickBot="1" x14ac:dyDescent="0.3">
      <c r="A42" s="188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SAF 011</vt:lpstr>
      <vt:lpstr>ANEXO I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2021-11-12T17:27:33Z</dcterms:created>
  <dcterms:modified xsi:type="dcterms:W3CDTF">2022-08-11T11:21:24Z</dcterms:modified>
</cp:coreProperties>
</file>