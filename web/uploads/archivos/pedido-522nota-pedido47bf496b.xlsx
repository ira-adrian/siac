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 MALDONADO\Downloads\"/>
    </mc:Choice>
  </mc:AlternateContent>
  <xr:revisionPtr revIDLastSave="0" documentId="13_ncr:1_{B155276D-D41C-4D8D-A842-4EAD78163E56}" xr6:coauthVersionLast="47" xr6:coauthVersionMax="47" xr10:uidLastSave="{00000000-0000-0000-0000-000000000000}"/>
  <bookViews>
    <workbookView xWindow="-120" yWindow="-120" windowWidth="29040" windowHeight="15720" xr2:uid="{CD9573A0-1DCB-41A6-AF0A-68E6E58A424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47" i="1" l="1"/>
  <c r="I46" i="1"/>
  <c r="I45" i="1"/>
  <c r="I44" i="1"/>
  <c r="I43" i="1"/>
  <c r="I42" i="1"/>
  <c r="I41" i="1"/>
  <c r="I40" i="1"/>
  <c r="I39" i="1"/>
  <c r="I38" i="1"/>
  <c r="D38" i="1"/>
  <c r="I37" i="1"/>
  <c r="D37" i="1"/>
  <c r="I36" i="1"/>
  <c r="D36" i="1"/>
  <c r="I35" i="1"/>
  <c r="I34" i="1"/>
  <c r="D34" i="1"/>
  <c r="I33" i="1"/>
  <c r="D33" i="1"/>
  <c r="I32" i="1"/>
  <c r="D32" i="1"/>
  <c r="I31" i="1"/>
  <c r="D31" i="1"/>
  <c r="I30" i="1"/>
  <c r="D30" i="1"/>
  <c r="I29" i="1"/>
  <c r="D29" i="1"/>
  <c r="I28" i="1"/>
  <c r="D28" i="1"/>
  <c r="I27" i="1"/>
  <c r="D27" i="1"/>
  <c r="I26" i="1"/>
  <c r="I25" i="1"/>
  <c r="I24" i="1"/>
  <c r="D24" i="1"/>
  <c r="I23" i="1"/>
  <c r="D23" i="1"/>
  <c r="I22" i="1"/>
  <c r="D22" i="1"/>
  <c r="I21" i="1"/>
  <c r="D21" i="1"/>
  <c r="I20" i="1"/>
  <c r="D20" i="1"/>
  <c r="I19" i="1"/>
  <c r="D19" i="1"/>
  <c r="I18" i="1"/>
  <c r="I17" i="1"/>
  <c r="D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D3" i="1"/>
</calcChain>
</file>

<file path=xl/sharedStrings.xml><?xml version="1.0" encoding="utf-8"?>
<sst xmlns="http://schemas.openxmlformats.org/spreadsheetml/2006/main" count="235" uniqueCount="124">
  <si>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</si>
  <si>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</si>
  <si>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</si>
  <si>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</si>
  <si>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</si>
  <si>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</si>
  <si>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</si>
  <si>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</si>
  <si>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ESPECIFICIDADES</t>
  </si>
  <si>
    <t>2.9.2-261.14</t>
  </si>
  <si>
    <t>LIBRERÍA</t>
  </si>
  <si>
    <r>
      <rPr>
        <b/>
        <sz val="11"/>
        <rFont val="Calibri"/>
        <family val="2"/>
        <scheme val="minor"/>
      </rPr>
      <t>ABROCHADORAS DE PAPEL</t>
    </r>
    <r>
      <rPr>
        <sz val="11"/>
        <rFont val="Calibri"/>
        <family val="2"/>
        <scheme val="minor"/>
      </rPr>
      <t>; TIPO: PINZA, P/BROCHES: 10/50, MATERIAL: METALICA, MEDIDA: 10/50</t>
    </r>
  </si>
  <si>
    <t>UNIDAD</t>
  </si>
  <si>
    <t>2.9.2-291.19</t>
  </si>
  <si>
    <t>2.9.2</t>
  </si>
  <si>
    <r>
      <rPr>
        <b/>
        <sz val="11"/>
        <color theme="1"/>
        <rFont val="Calibri"/>
        <family val="2"/>
        <scheme val="minor"/>
      </rPr>
      <t>ALMOHADILLAS P/SELLOS</t>
    </r>
    <r>
      <rPr>
        <sz val="11"/>
        <color theme="1"/>
        <rFont val="Calibri"/>
        <family val="2"/>
        <scheme val="minor"/>
      </rPr>
      <t>; MEDIDA: 8 X 15 Cm, MATERIAL: METAL</t>
    </r>
  </si>
  <si>
    <t>2.3.1-928.8</t>
  </si>
  <si>
    <t>ARANDELAS DE CARTON; DIAMETRO: 1 pulg, PRESENTACION: CAJA X 500 UNIDADES</t>
  </si>
  <si>
    <t>CAJAS</t>
  </si>
  <si>
    <t>2.9.2-1428.31</t>
  </si>
  <si>
    <t>BANDAS ELASTICAS; DIAMETRO: 5 Cm, PRESENTACION: CAJA DE 1 Kg, ESPESOR: 2 mm</t>
  </si>
  <si>
    <t>2.9.2-262.40</t>
  </si>
  <si>
    <t>ADHESIVOS P/PAPEL; PRESENTACION: 50 mL, TIPO: SINTETICO TRANSPARENTE</t>
  </si>
  <si>
    <t>2.9.2-700.28</t>
  </si>
  <si>
    <t>BROCHES P/ABROCHADORA; NUMERO: 10/50, PRESENTACION: CAJA X 1000 UNIDADES</t>
  </si>
  <si>
    <t>2.9.2-700.2</t>
  </si>
  <si>
    <t>BROCHES P/ABROCHADORA; NUMERO: 21/6, PRESENTACION: CAJA X 1000 UNIDADES</t>
  </si>
  <si>
    <t>2.9.2-850.3</t>
  </si>
  <si>
    <r>
      <rPr>
        <b/>
        <sz val="10"/>
        <rFont val="Arial"/>
        <family val="2"/>
      </rPr>
      <t>CAJAS DE ARCHIVO</t>
    </r>
    <r>
      <rPr>
        <sz val="11"/>
        <color theme="1"/>
        <rFont val="Calibri"/>
        <family val="2"/>
        <scheme val="minor"/>
      </rPr>
      <t>; DIMENSION: 25 X 36 X 12 Cm, COLOR: SIN VALOR, MATERIAL: PLASTICO</t>
    </r>
  </si>
  <si>
    <t xml:space="preserve">UNIDAD </t>
  </si>
  <si>
    <t>Color Azul.</t>
  </si>
  <si>
    <t>2.9.2-850.22</t>
  </si>
  <si>
    <r>
      <rPr>
        <b/>
        <sz val="10"/>
        <rFont val="Arial"/>
        <family val="2"/>
      </rPr>
      <t>CAJAS DE ARCHIVO</t>
    </r>
    <r>
      <rPr>
        <sz val="11"/>
        <color theme="1"/>
        <rFont val="Calibri"/>
        <family val="2"/>
        <scheme val="minor"/>
      </rPr>
      <t>; MATERIAL: CARTON, DIMENSION: 25 X 36 X 12 Cm, COLOR: MARRON</t>
    </r>
  </si>
  <si>
    <t>2.3.4-734.54</t>
  </si>
  <si>
    <t>2.3.4</t>
  </si>
  <si>
    <r>
      <rPr>
        <b/>
        <sz val="11"/>
        <color theme="1"/>
        <rFont val="Calibri"/>
        <family val="2"/>
        <scheme val="minor"/>
      </rPr>
      <t>CINTAS P/EMBALAJE;</t>
    </r>
    <r>
      <rPr>
        <sz val="11"/>
        <color theme="1"/>
        <rFont val="Calibri"/>
        <family val="2"/>
        <scheme val="minor"/>
      </rPr>
      <t xml:space="preserve"> MATERIAL: POLIPROPILENO, USO: GENERAL, ANCHO: 48 Cm, LARGO: 50 M, COLOR: TRANSPARENTE</t>
    </r>
  </si>
  <si>
    <t>2.9.2-1153.52</t>
  </si>
  <si>
    <r>
      <rPr>
        <b/>
        <sz val="11"/>
        <color theme="1"/>
        <rFont val="Calibri"/>
        <family val="2"/>
        <scheme val="minor"/>
      </rPr>
      <t xml:space="preserve">CINTAS ADHESIVAS; </t>
    </r>
    <r>
      <rPr>
        <sz val="11"/>
        <color theme="1"/>
        <rFont val="Calibri"/>
        <family val="2"/>
        <scheme val="minor"/>
      </rPr>
      <t>TIPO: TRANSPARENTE, ANCHO: 12 mm, LARGO ROLLO: 25 M, MATERIAL: POLIPROPILENO, ACCESORIO: SIN, LARGO: 25 M</t>
    </r>
  </si>
  <si>
    <t>2.9.2-323.3</t>
  </si>
  <si>
    <r>
      <rPr>
        <b/>
        <sz val="11"/>
        <color theme="1"/>
        <rFont val="Calibri"/>
        <family val="2"/>
        <scheme val="minor"/>
      </rPr>
      <t>CORRECTORES DE ESCRITURA;</t>
    </r>
    <r>
      <rPr>
        <sz val="11"/>
        <color theme="1"/>
        <rFont val="Calibri"/>
        <family val="2"/>
        <scheme val="minor"/>
      </rPr>
      <t xml:space="preserve"> ENVASE: LAPIZ (PUNTA METAL), PRESENTACION: LAPIZ (PUNTA METAL) X 10 mL, CAPACIDAD: 10 mL</t>
    </r>
  </si>
  <si>
    <t>2.9.2-660.20</t>
  </si>
  <si>
    <r>
      <rPr>
        <b/>
        <sz val="11"/>
        <color theme="1"/>
        <rFont val="Calibri"/>
        <family val="2"/>
        <scheme val="minor"/>
      </rPr>
      <t>CLIPS P/PAPEL;</t>
    </r>
    <r>
      <rPr>
        <sz val="11"/>
        <color theme="1"/>
        <rFont val="Calibri"/>
        <family val="2"/>
        <scheme val="minor"/>
      </rPr>
      <t xml:space="preserve"> NUMERO: 6, MATERIAL: METAL, CANT. X CAJA: 100, PRESENTACION: CAJA X 100</t>
    </r>
  </si>
  <si>
    <t>2.9.2-660.1</t>
  </si>
  <si>
    <r>
      <rPr>
        <b/>
        <sz val="11"/>
        <color theme="1"/>
        <rFont val="Calibri"/>
        <family val="2"/>
        <scheme val="minor"/>
      </rPr>
      <t xml:space="preserve">CLIPS P/PAPEL; </t>
    </r>
    <r>
      <rPr>
        <sz val="11"/>
        <color theme="1"/>
        <rFont val="Calibri"/>
        <family val="2"/>
        <scheme val="minor"/>
      </rPr>
      <t>NUMERO: 3, MATERIAL: METAL, CANT. X CAJA: 100, PRESENTACION: CAJA X 100</t>
    </r>
  </si>
  <si>
    <t>2.3.1-6587.333</t>
  </si>
  <si>
    <r>
      <rPr>
        <b/>
        <sz val="11"/>
        <rFont val="Calibri"/>
        <family val="2"/>
        <scheme val="minor"/>
      </rPr>
      <t>PAPELES ENCUADERNADOS;</t>
    </r>
    <r>
      <rPr>
        <sz val="11"/>
        <rFont val="Calibri"/>
        <family val="2"/>
        <scheme val="minor"/>
      </rPr>
      <t xml:space="preserve"> CANT. DE </t>
    </r>
    <r>
      <rPr>
        <b/>
        <sz val="11"/>
        <rFont val="Calibri"/>
        <family val="2"/>
        <scheme val="minor"/>
      </rPr>
      <t xml:space="preserve">HOJAS: 84 HOJAS, TAMAÑO: 21 X 29,7 Cm, TIPO: RAYADO ESPIRALADO, </t>
    </r>
    <r>
      <rPr>
        <sz val="11"/>
        <rFont val="Calibri"/>
        <family val="2"/>
        <scheme val="minor"/>
      </rPr>
      <t>CERTIFICADO FORESTAL (GFS): CON, PORC. FIBRAS RECICLADAS: 0 %, CERT. FIBRA ALTERNATIVA (FCA): SIN</t>
    </r>
  </si>
  <si>
    <t>Tapa dura, rayado, espiralado.</t>
  </si>
  <si>
    <t>2.3.1-6587.298</t>
  </si>
  <si>
    <t>2.3.1</t>
  </si>
  <si>
    <t>PAPELES ENCUADERNADOS; CANT. DE HOJAS: 100, TAMAÑO: 21 X 16 Cm, TIPO: CUADERNO, CERTIFICADO FORESTAL (GFS): CON, PORC. FIBRAS RECICLADAS: 0 %, CERT. FIBRA ALTERNATIVA (FCA): SIN</t>
  </si>
  <si>
    <t>Tapa blanda, rayado.</t>
  </si>
  <si>
    <t>2.3.1-6563.1009</t>
  </si>
  <si>
    <r>
      <rPr>
        <b/>
        <sz val="11"/>
        <rFont val="Calibri"/>
        <family val="2"/>
        <scheme val="minor"/>
      </rPr>
      <t>PAPELES EN HOJA;</t>
    </r>
    <r>
      <rPr>
        <sz val="11"/>
        <rFont val="Calibri"/>
        <family val="2"/>
        <scheme val="minor"/>
      </rPr>
      <t xml:space="preserve"> TIPO DE PAPEL: BLANCO, DIMENSION: </t>
    </r>
    <r>
      <rPr>
        <b/>
        <sz val="11"/>
        <rFont val="Calibri"/>
        <family val="2"/>
        <scheme val="minor"/>
      </rPr>
      <t>OFICIO</t>
    </r>
    <r>
      <rPr>
        <sz val="11"/>
        <rFont val="Calibri"/>
        <family val="2"/>
        <scheme val="minor"/>
      </rPr>
      <t xml:space="preserve">, GRAMAJE: 80 GR, PRESENTACION: </t>
    </r>
    <r>
      <rPr>
        <b/>
        <sz val="11"/>
        <rFont val="Calibri"/>
        <family val="2"/>
        <scheme val="minor"/>
      </rPr>
      <t>ENVASE X 500 HOJAS</t>
    </r>
    <r>
      <rPr>
        <sz val="11"/>
        <rFont val="Calibri"/>
        <family val="2"/>
        <scheme val="minor"/>
      </rPr>
      <t>, CERTIFICADO FORESTAL (GFS): SIN, PORC. FIBRAS RECICLADAS: 0 %, CERT. FIBRA ALTERNATIVA (FCA): SIN</t>
    </r>
  </si>
  <si>
    <t>2.3.1-6563.968</t>
  </si>
  <si>
    <r>
      <rPr>
        <b/>
        <sz val="11"/>
        <rFont val="Calibri"/>
        <family val="2"/>
        <scheme val="minor"/>
      </rPr>
      <t>PAPELES EN HOJA;</t>
    </r>
    <r>
      <rPr>
        <sz val="11"/>
        <rFont val="Calibri"/>
        <family val="2"/>
        <scheme val="minor"/>
      </rPr>
      <t xml:space="preserve"> TIPO DE PAPEL: EXTRA BLANCO, DIMENSION:</t>
    </r>
    <r>
      <rPr>
        <b/>
        <sz val="11"/>
        <rFont val="Calibri"/>
        <family val="2"/>
        <scheme val="minor"/>
      </rPr>
      <t xml:space="preserve"> A4</t>
    </r>
    <r>
      <rPr>
        <sz val="11"/>
        <rFont val="Calibri"/>
        <family val="2"/>
        <scheme val="minor"/>
      </rPr>
      <t>, GRAMAJE: 80 GR, PRESENTACION:</t>
    </r>
    <r>
      <rPr>
        <b/>
        <sz val="11"/>
        <rFont val="Calibri"/>
        <family val="2"/>
        <scheme val="minor"/>
      </rPr>
      <t xml:space="preserve"> RESMA X 500 HOJAS</t>
    </r>
    <r>
      <rPr>
        <sz val="11"/>
        <rFont val="Calibri"/>
        <family val="2"/>
        <scheme val="minor"/>
      </rPr>
      <t>, CERTIFICADO FORESTAL (GFS): SIN, PORC. FIBRAS RECICLADAS: 0 %, CERT. FIBRA ALTERNATIVA (FCA): CON</t>
    </r>
  </si>
  <si>
    <t>2.9.2-1358.354</t>
  </si>
  <si>
    <r>
      <rPr>
        <b/>
        <sz val="11"/>
        <color theme="1"/>
        <rFont val="Calibri"/>
        <family val="2"/>
        <scheme val="minor"/>
      </rPr>
      <t>CARPETAS</t>
    </r>
    <r>
      <rPr>
        <sz val="11"/>
        <color theme="1"/>
        <rFont val="Calibri"/>
        <family val="2"/>
        <scheme val="minor"/>
      </rPr>
      <t>; MATERIAL PLASTICO - TAMAÑO OFICIO.</t>
    </r>
  </si>
  <si>
    <t>Tapa transparente, tamaño oficio..</t>
  </si>
  <si>
    <t>2.9.2-1358.353</t>
  </si>
  <si>
    <r>
      <rPr>
        <b/>
        <sz val="11"/>
        <color theme="1"/>
        <rFont val="Calibri"/>
        <family val="2"/>
        <scheme val="minor"/>
      </rPr>
      <t>CARPETAS</t>
    </r>
    <r>
      <rPr>
        <sz val="11"/>
        <color theme="1"/>
        <rFont val="Calibri"/>
        <family val="2"/>
        <scheme val="minor"/>
      </rPr>
      <t>; MATERIAL PLASTICO - TAMAÑO A4.</t>
    </r>
  </si>
  <si>
    <t>Tapa transparente, tamaño A4.</t>
  </si>
  <si>
    <t>2.9.2-866.4</t>
  </si>
  <si>
    <r>
      <rPr>
        <b/>
        <sz val="11"/>
        <rFont val="Calibri"/>
        <family val="2"/>
        <scheme val="minor"/>
      </rPr>
      <t>MAQUINAS SACABROCHE</t>
    </r>
    <r>
      <rPr>
        <sz val="11"/>
        <rFont val="Calibri"/>
        <family val="2"/>
        <scheme val="minor"/>
      </rPr>
      <t>S; EXTRACTOR: ACERO INOXIDABLE, MATERIAL: PLASTICO</t>
    </r>
  </si>
  <si>
    <t>2.9.2-758.8</t>
  </si>
  <si>
    <r>
      <rPr>
        <b/>
        <sz val="11"/>
        <rFont val="Calibri"/>
        <family val="2"/>
        <scheme val="minor"/>
      </rPr>
      <t xml:space="preserve">TIJERAS </t>
    </r>
    <r>
      <rPr>
        <sz val="11"/>
        <rFont val="Calibri"/>
        <family val="2"/>
        <scheme val="minor"/>
      </rPr>
      <t>P/CORTAR PAPELES; CUCHILLA: PUNTIAGUDAS, MATERIAL: ACERO BRUÑIDO, MANGO: PLASTICO, LONG.DE CUERPO: 17 Cm</t>
    </r>
  </si>
  <si>
    <t>2.9.2-1611.22</t>
  </si>
  <si>
    <t>2.9.2.</t>
  </si>
  <si>
    <r>
      <rPr>
        <b/>
        <sz val="11"/>
        <color theme="1"/>
        <rFont val="Calibri"/>
        <family val="2"/>
        <scheme val="minor"/>
      </rPr>
      <t>FOLIOS TRANSPARENTES;</t>
    </r>
    <r>
      <rPr>
        <sz val="11"/>
        <color theme="1"/>
        <rFont val="Calibri"/>
        <family val="2"/>
        <scheme val="minor"/>
      </rPr>
      <t xml:space="preserve"> TAMAÑO: OFICIO, PERFORACIONES: 11, MATERIAL: POLIPROPILENO</t>
    </r>
  </si>
  <si>
    <t>2.9.2-1611.23</t>
  </si>
  <si>
    <t>FOLIOS TRANSPARENTES; TAMAÑO: A4, PERFORACIONES: 11, MATERIAL: POLIPROPILENO</t>
  </si>
  <si>
    <t>2.9.2-848.20</t>
  </si>
  <si>
    <r>
      <rPr>
        <b/>
        <sz val="11"/>
        <rFont val="Calibri"/>
        <family val="2"/>
        <scheme val="minor"/>
      </rPr>
      <t>LAPIZ</t>
    </r>
    <r>
      <rPr>
        <sz val="11"/>
        <rFont val="Calibri"/>
        <family val="2"/>
        <scheme val="minor"/>
      </rPr>
      <t>; TIPO: 2HB, COLOR: NEGRO</t>
    </r>
  </si>
  <si>
    <t>2.9.2-698.4</t>
  </si>
  <si>
    <r>
      <rPr>
        <b/>
        <sz val="11"/>
        <rFont val="Calibri"/>
        <family val="2"/>
        <scheme val="minor"/>
      </rPr>
      <t xml:space="preserve">ALMOHADILLAS MOJADEDOS; </t>
    </r>
    <r>
      <rPr>
        <sz val="11"/>
        <rFont val="Calibri"/>
        <family val="2"/>
        <scheme val="minor"/>
      </rPr>
      <t>MATERIAL TAPA: PLASTICO, MEDIDA: D.7.5 Cm, FORMA: REDONDA</t>
    </r>
  </si>
  <si>
    <t>2.9.2-317.32</t>
  </si>
  <si>
    <t>BOLIGRAFOS; TRAZO: 0,8 mm</t>
  </si>
  <si>
    <r>
      <rPr>
        <sz val="10"/>
        <rFont val="Times New Roman"/>
        <family val="1"/>
      </rPr>
      <t>BOLIGRAFOS; TRAZO: 0,8 mm (FINO) Color: Negro</t>
    </r>
    <r>
      <rPr>
        <b/>
        <sz val="10"/>
        <rFont val="Times New Roman"/>
        <family val="1"/>
      </rPr>
      <t xml:space="preserve"> </t>
    </r>
  </si>
  <si>
    <r>
      <rPr>
        <sz val="10"/>
        <rFont val="Times New Roman"/>
        <family val="1"/>
      </rPr>
      <t>BOLIGRAFOS; TRAZO: 0,8 mm (FINO) Color: Azul</t>
    </r>
    <r>
      <rPr>
        <b/>
        <sz val="10"/>
        <rFont val="Times New Roman"/>
        <family val="1"/>
      </rPr>
      <t xml:space="preserve"> </t>
    </r>
  </si>
  <si>
    <t>2.9.2-317.5</t>
  </si>
  <si>
    <r>
      <rPr>
        <b/>
        <sz val="10"/>
        <rFont val="Arial"/>
        <family val="2"/>
      </rPr>
      <t>BOLIGRAFOS</t>
    </r>
    <r>
      <rPr>
        <sz val="11"/>
        <color theme="1"/>
        <rFont val="Calibri"/>
        <family val="2"/>
        <scheme val="minor"/>
      </rPr>
      <t>; TRAZO 1,0mm</t>
    </r>
  </si>
  <si>
    <r>
      <t>BOLIGRAFOS; TRAZO 1,0mm  (GRUESO)  Color: Negro</t>
    </r>
    <r>
      <rPr>
        <b/>
        <sz val="10"/>
        <rFont val="Times New Roman"/>
        <family val="1"/>
      </rPr>
      <t xml:space="preserve"> </t>
    </r>
  </si>
  <si>
    <r>
      <t>BOLIGRAFOS; TRAZO 1,0mm  (GRUESO)  Color: Azul.</t>
    </r>
    <r>
      <rPr>
        <b/>
        <sz val="10"/>
        <rFont val="Times New Roman"/>
        <family val="1"/>
      </rPr>
      <t xml:space="preserve"> </t>
    </r>
  </si>
  <si>
    <t>2.9.2-661.11</t>
  </si>
  <si>
    <r>
      <rPr>
        <b/>
        <sz val="11"/>
        <rFont val="Calibri"/>
        <family val="2"/>
        <scheme val="minor"/>
      </rPr>
      <t>GOMAS DE BORRAR</t>
    </r>
    <r>
      <rPr>
        <sz val="11"/>
        <rFont val="Calibri"/>
        <family val="2"/>
        <scheme val="minor"/>
      </rPr>
      <t>; USO: LAPIZ Y TINTA, CANT. X CAJA: 36, DIMENSION: 4 X 1 X 1 Cm, MATERIAL: PLASTICO, PRESENTACION: CAJA X 36</t>
    </r>
  </si>
  <si>
    <t>CAJA</t>
  </si>
  <si>
    <t>GOMAS DE BORRAR; USO: LAPIZ Y TINTA, CANT. X CAJA: 36</t>
  </si>
  <si>
    <t>2.9.2-1616.128</t>
  </si>
  <si>
    <r>
      <rPr>
        <b/>
        <sz val="11"/>
        <color theme="1"/>
        <rFont val="Calibri"/>
        <family val="2"/>
        <scheme val="minor"/>
      </rPr>
      <t xml:space="preserve">MARCADORES; </t>
    </r>
    <r>
      <rPr>
        <sz val="11"/>
        <color theme="1"/>
        <rFont val="Calibri"/>
        <family val="2"/>
        <scheme val="minor"/>
      </rPr>
      <t>TIPO PARA PIZARRA - TRAZO GRUESO - PUNTA REDONDA - RECARGABLE NO</t>
    </r>
  </si>
  <si>
    <r>
      <t xml:space="preserve">MARCADORES; TIPO PARA PIZARRA - TRAZO GRUESO - PUNTA REDONDA - RECARGABLE NO  </t>
    </r>
    <r>
      <rPr>
        <b/>
        <sz val="10"/>
        <rFont val="Times New Roman"/>
        <family val="1"/>
      </rPr>
      <t>COLOR: NEGRO</t>
    </r>
  </si>
  <si>
    <t>2.3.1-6587.139</t>
  </si>
  <si>
    <r>
      <rPr>
        <b/>
        <sz val="11"/>
        <color theme="1"/>
        <rFont val="Calibri"/>
        <family val="2"/>
        <scheme val="minor"/>
      </rPr>
      <t>PAPELES ENCUADERNADOS;</t>
    </r>
    <r>
      <rPr>
        <sz val="11"/>
        <color theme="1"/>
        <rFont val="Calibri"/>
        <family val="2"/>
        <scheme val="minor"/>
      </rPr>
      <t xml:space="preserve"> CANT. DE HOJAS: 100, TAMAÑO: 23 X 35 Cm, TIPO: </t>
    </r>
    <r>
      <rPr>
        <b/>
        <sz val="10"/>
        <rFont val="Arial"/>
        <family val="2"/>
      </rPr>
      <t>LIBRO DE ACTAS</t>
    </r>
  </si>
  <si>
    <t>2.3.1-6590.555</t>
  </si>
  <si>
    <r>
      <rPr>
        <b/>
        <sz val="11"/>
        <rFont val="Calibri"/>
        <family val="2"/>
        <scheme val="minor"/>
      </rPr>
      <t>SOBRES DE PAPEL</t>
    </r>
    <r>
      <rPr>
        <sz val="11"/>
        <rFont val="Calibri"/>
        <family val="2"/>
        <scheme val="minor"/>
      </rPr>
      <t>; TIPO: MANILA, TAMAÑO: OFICIO, GRAMAJE: 80 GR, PRESENTACION: UNIDAD, CERTIFICADO FORESTAL (GFS): SIN, PORC. FIBRAS RECICLADAS: 0 %, CERT. FIBRA ALTERNATIVA (FCA): SIN</t>
    </r>
  </si>
  <si>
    <t xml:space="preserve">Color Marron. </t>
  </si>
  <si>
    <t>2.3.1-6590.556</t>
  </si>
  <si>
    <r>
      <rPr>
        <b/>
        <sz val="11"/>
        <rFont val="Calibri"/>
        <family val="2"/>
        <scheme val="minor"/>
      </rPr>
      <t>SOBRES DE PAPEL;</t>
    </r>
    <r>
      <rPr>
        <sz val="11"/>
        <rFont val="Calibri"/>
        <family val="2"/>
        <scheme val="minor"/>
      </rPr>
      <t xml:space="preserve"> TIPO: MANILA, TAMAÑO: A4, GRAMAJE: 80 GR, PRESENTACION: UNIDAD, CERTIFICADO FORESTAL (GFS): SIN, PORC. FIBRAS RECICLADAS: 0 %, CERT. FIBRA ALTERNATIVA (FCA): SIN</t>
    </r>
  </si>
  <si>
    <t>Color Marron.</t>
  </si>
  <si>
    <t>2.9.2-674.9</t>
  </si>
  <si>
    <r>
      <rPr>
        <b/>
        <sz val="11"/>
        <rFont val="Calibri"/>
        <family val="2"/>
        <scheme val="minor"/>
      </rPr>
      <t>REGLAS GRADUADAS</t>
    </r>
    <r>
      <rPr>
        <sz val="11"/>
        <rFont val="Calibri"/>
        <family val="2"/>
        <scheme val="minor"/>
      </rPr>
      <t>; TIPO: PLANA, MATERIAL: PLASTICO, LONG.DE CUERPO: 30 Cm</t>
    </r>
  </si>
  <si>
    <t>Transparente.</t>
  </si>
  <si>
    <t>2.9.2-853.24</t>
  </si>
  <si>
    <r>
      <rPr>
        <b/>
        <sz val="11"/>
        <color theme="1"/>
        <rFont val="Calibri"/>
        <family val="2"/>
        <scheme val="minor"/>
      </rPr>
      <t>BROCHES P/EXPEDIENTE;</t>
    </r>
    <r>
      <rPr>
        <sz val="11"/>
        <color theme="1"/>
        <rFont val="Calibri"/>
        <family val="2"/>
        <scheme val="minor"/>
      </rPr>
      <t xml:space="preserve"> TIPO: MARIPOSA, LONG.DE CUERPO: 30 mm</t>
    </r>
  </si>
  <si>
    <t>Cantidad: x 100 unidades.</t>
  </si>
  <si>
    <t>2.9.2-791.31</t>
  </si>
  <si>
    <r>
      <rPr>
        <b/>
        <sz val="11"/>
        <color theme="1"/>
        <rFont val="Calibri"/>
        <family val="2"/>
        <scheme val="minor"/>
      </rPr>
      <t>TALONARIOS NOTAS AUTOADHESIVAS;</t>
    </r>
    <r>
      <rPr>
        <sz val="11"/>
        <color theme="1"/>
        <rFont val="Calibri"/>
        <family val="2"/>
        <scheme val="minor"/>
      </rPr>
      <t xml:space="preserve"> COLOR: SIN VALOR, MEDIDA: 75 X 75 mm</t>
    </r>
  </si>
  <si>
    <r>
      <t xml:space="preserve">TALONARIOS NOTAS AUTOADHESIVAS X 100 HOJAS  MEDIDA: 75 X 75 mm  </t>
    </r>
    <r>
      <rPr>
        <b/>
        <sz val="10"/>
        <rFont val="Times New Roman"/>
        <family val="1"/>
      </rPr>
      <t xml:space="preserve">COLOR: AMARILLO </t>
    </r>
  </si>
  <si>
    <t>2.9.2-790.4</t>
  </si>
  <si>
    <r>
      <rPr>
        <b/>
        <sz val="11"/>
        <color theme="1"/>
        <rFont val="Calibri"/>
        <family val="2"/>
        <scheme val="minor"/>
      </rPr>
      <t>CUTER;</t>
    </r>
    <r>
      <rPr>
        <sz val="11"/>
        <color theme="1"/>
        <rFont val="Calibri"/>
        <family val="2"/>
        <scheme val="minor"/>
      </rPr>
      <t xml:space="preserve"> MATERIAL MANGO: PLASTICO, ANCHO HOJA: 12 mm, TIPO DE HOJA: FIJA, TIPO HOJA: FIJA, ANCHO DE HOJA: 12 mm</t>
    </r>
  </si>
  <si>
    <t>2.9.2-1450.30</t>
  </si>
  <si>
    <r>
      <rPr>
        <b/>
        <sz val="11"/>
        <rFont val="Calibri"/>
        <family val="2"/>
        <scheme val="minor"/>
      </rPr>
      <t>TINTAS P/SELLOS</t>
    </r>
    <r>
      <rPr>
        <sz val="11"/>
        <rFont val="Calibri"/>
        <family val="2"/>
        <scheme val="minor"/>
      </rPr>
      <t xml:space="preserve">; TIPO DE SELLO: DE GOMA, ENVASE: 60 CM3, COLOR: </t>
    </r>
    <r>
      <rPr>
        <b/>
        <sz val="11"/>
        <rFont val="Calibri"/>
        <family val="2"/>
        <scheme val="minor"/>
      </rPr>
      <t>AZUL</t>
    </r>
    <r>
      <rPr>
        <sz val="11"/>
        <rFont val="Calibri"/>
        <family val="2"/>
        <scheme val="minor"/>
      </rPr>
      <t>, PRESENTACION: ENVASE X 60 CM3</t>
    </r>
  </si>
  <si>
    <t>2.9.2-1450.4</t>
  </si>
  <si>
    <t>TINTAS P/SELLOS; TIPO DE SELLO: DE GOMA, COLOR: NEGRO, PRESENTACION: ENVASE X 50 CM3, ENVASE: 50 CM3</t>
  </si>
  <si>
    <t>2.9.2-9597.5</t>
  </si>
  <si>
    <r>
      <rPr>
        <b/>
        <sz val="11"/>
        <color theme="1"/>
        <rFont val="Calibri"/>
        <family val="2"/>
        <scheme val="minor"/>
      </rPr>
      <t xml:space="preserve">MEMORIAS USB; </t>
    </r>
    <r>
      <rPr>
        <sz val="11"/>
        <color theme="1"/>
        <rFont val="Calibri"/>
        <family val="2"/>
        <scheme val="minor"/>
      </rPr>
      <t>CAPACIDAD: 32 Gb, TIPO: PEN DRIVE</t>
    </r>
  </si>
  <si>
    <t>2.9.2-1354.21</t>
  </si>
  <si>
    <r>
      <rPr>
        <b/>
        <sz val="11"/>
        <color theme="1"/>
        <rFont val="Calibri"/>
        <family val="2"/>
        <scheme val="minor"/>
      </rPr>
      <t>RESALTADORES</t>
    </r>
    <r>
      <rPr>
        <sz val="11"/>
        <color theme="1"/>
        <rFont val="Calibri"/>
        <family val="2"/>
        <scheme val="minor"/>
      </rPr>
      <t>; PUNTA: BISELADA, ACCESORIO: SIN, COLOR: SIN VALOR, TIPO PUNTA: BISELADA</t>
    </r>
  </si>
  <si>
    <t xml:space="preserve">RESALTADORES;  TIPO PUNTA:  BISELADA COLOR: Amarillo Fluor (40 Und.) Verde Fluor (40 Und.) </t>
  </si>
  <si>
    <t>2.9.2-1616.74</t>
  </si>
  <si>
    <r>
      <rPr>
        <b/>
        <sz val="11"/>
        <color theme="1"/>
        <rFont val="Calibri"/>
        <family val="2"/>
        <scheme val="minor"/>
      </rPr>
      <t>MARCADORES; T</t>
    </r>
    <r>
      <rPr>
        <sz val="11"/>
        <color theme="1"/>
        <rFont val="Calibri"/>
        <family val="2"/>
        <scheme val="minor"/>
      </rPr>
      <t>IPO: AL SOLVENTE, TRAZO: GRUESO, PUNTA: REDONDA, COLOR: NEGRO, RECARGABLE: NO</t>
    </r>
  </si>
  <si>
    <t>Color: Negro</t>
  </si>
  <si>
    <t>2.9.2-1616.69</t>
  </si>
  <si>
    <t>MARCADORES; TIPO: AL SOLVENTE, TRAZO: GRUESO, PUNTA: REDONDA, COLOR: AZUL, RECARGABLE: SI</t>
  </si>
  <si>
    <t>Color: Azul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</si>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</sst>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 &quot;$&quot;\ * #,##0.00_ ;_ &quot;$&quot;\ * \-#,##0.00_ ;_ &quot;$&quot;\ * &quot;-&quot;??_ ;_ @_ "/>
    <numFmt numFmtId="165" formatCode="_-[$$-2C0A]\ * #,##0.00_-;\-[$$-2C0A]\ * #,##0.00_-;_-[$$-2C0A]\ 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1"/>
      <color rgb="FF000000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  <xf numFmtId="0" fontId="4" fillId="3" borderId="0" applyNumberFormat="0" applyBorder="0" applyAlignment="0" applyProtection="0"/>
  </cellStyleXfs>
  <cellXfs count="38">
    <xf numFmtId="0" fontId="0" fillId="0" borderId="0" xfId="0"/>
    <xf numFmtId="0" fontId="5" fillId="4" borderId="2" xfId="2" applyFont="1" applyFill="1" applyBorder="1" applyAlignment="1">
      <alignment horizontal="center" vertical="center" wrapText="1"/>
    </xf>
    <xf numFmtId="0" fontId="5" fillId="4" borderId="3" xfId="2" applyFont="1" applyFill="1" applyBorder="1" applyAlignment="1">
      <alignment horizontal="center" vertical="center" wrapText="1"/>
    </xf>
    <xf numFmtId="0" fontId="6" fillId="5" borderId="2" xfId="3" applyFont="1" applyFill="1" applyBorder="1" applyAlignment="1">
      <alignment horizontal="center" vertical="center" wrapText="1"/>
    </xf>
    <xf numFmtId="44" fontId="7" fillId="5" borderId="2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left" wrapText="1"/>
    </xf>
    <xf numFmtId="0" fontId="8" fillId="5" borderId="2" xfId="0" applyFont="1" applyFill="1" applyBorder="1" applyAlignment="1">
      <alignment horizontal="center" vertical="center" wrapText="1"/>
    </xf>
    <xf numFmtId="164" fontId="11" fillId="5" borderId="2" xfId="1" applyNumberFormat="1" applyFont="1" applyFill="1" applyBorder="1" applyAlignment="1">
      <alignment horizontal="center" vertical="center"/>
    </xf>
    <xf numFmtId="165" fontId="8" fillId="5" borderId="2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11" fillId="5" borderId="2" xfId="0" applyFont="1" applyFill="1" applyBorder="1" applyAlignment="1">
      <alignment horizontal="center" vertical="center"/>
    </xf>
    <xf numFmtId="0" fontId="12" fillId="5" borderId="3" xfId="0" applyFont="1" applyFill="1" applyBorder="1" applyAlignment="1">
      <alignment horizontal="left"/>
    </xf>
    <xf numFmtId="0" fontId="8" fillId="5" borderId="5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left" wrapText="1"/>
    </xf>
    <xf numFmtId="0" fontId="12" fillId="5" borderId="3" xfId="0" applyFont="1" applyFill="1" applyBorder="1" applyAlignment="1">
      <alignment horizontal="left" wrapText="1"/>
    </xf>
    <xf numFmtId="0" fontId="12" fillId="5" borderId="0" xfId="0" applyFont="1" applyFill="1" applyAlignment="1">
      <alignment horizontal="center" vertical="center"/>
    </xf>
    <xf numFmtId="0" fontId="0" fillId="5" borderId="3" xfId="0" applyFill="1" applyBorder="1" applyAlignment="1">
      <alignment horizontal="left" wrapText="1"/>
    </xf>
    <xf numFmtId="164" fontId="11" fillId="5" borderId="2" xfId="0" applyNumberFormat="1" applyFont="1" applyFill="1" applyBorder="1"/>
    <xf numFmtId="0" fontId="14" fillId="0" borderId="2" xfId="0" applyFont="1" applyBorder="1" applyAlignment="1">
      <alignment horizontal="left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left"/>
    </xf>
    <xf numFmtId="0" fontId="0" fillId="5" borderId="0" xfId="0" applyFill="1" applyAlignment="1">
      <alignment horizontal="center" vertical="center"/>
    </xf>
    <xf numFmtId="0" fontId="0" fillId="5" borderId="0" xfId="0" applyFill="1" applyAlignment="1">
      <alignment horizontal="left"/>
    </xf>
    <xf numFmtId="0" fontId="9" fillId="5" borderId="6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 wrapText="1"/>
    </xf>
    <xf numFmtId="0" fontId="11" fillId="5" borderId="6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left" wrapText="1"/>
    </xf>
    <xf numFmtId="44" fontId="11" fillId="5" borderId="2" xfId="0" applyNumberFormat="1" applyFont="1" applyFill="1" applyBorder="1"/>
    <xf numFmtId="0" fontId="8" fillId="5" borderId="8" xfId="0" applyFont="1" applyFill="1" applyBorder="1" applyAlignment="1">
      <alignment horizontal="center" vertical="center" wrapText="1"/>
    </xf>
  </cellXfs>
  <cellStyles count="4">
    <cellStyle name="Cálculo" xfId="2" builtinId="22"/>
    <cellStyle name="Énfasis6" xfId="3" builtinId="49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3C286-09A9-4D00-BEBF-60CFB116DD68}">
  <dimension ref="A2:J47"/>
  <sheetViews>
    <sheetView tabSelected="1" workbookViewId="0">
      <selection activeCell="A2" sqref="A2"/>
    </sheetView>
  </sheetViews>
  <sheetFormatPr baseColWidth="10" defaultRowHeight="15" x14ac:dyDescent="0.25"/>
  <cols>
    <col min="2" max="2" width="15.42578125" customWidth="1"/>
    <col min="5" max="5" width="64.42578125" customWidth="1"/>
    <col min="9" max="9" width="19.5703125" customWidth="1"/>
    <col min="10" max="10" width="49.28515625" customWidth="1"/>
  </cols>
  <sheetData>
    <row r="2" spans="1:10" ht="38.25" x14ac:dyDescent="0.25">
      <c r="A2" s="1" t="s">
        <v>123</v>
      </c>
      <c r="B2" s="1" t="s">
        <v>0</v>
      </c>
      <c r="C2" s="1" t="s">
        <v>1</v>
      </c>
      <c r="D2" s="1" t="s">
        <v>2</v>
      </c>
      <c r="E2" s="2" t="s">
        <v>3</v>
      </c>
      <c r="F2" s="3" t="s">
        <v>4</v>
      </c>
      <c r="G2" s="3" t="s">
        <v>5</v>
      </c>
      <c r="H2" s="4" t="s">
        <v>6</v>
      </c>
      <c r="I2" s="4" t="s">
        <v>7</v>
      </c>
      <c r="J2" s="5" t="s">
        <v>8</v>
      </c>
    </row>
    <row r="3" spans="1:10" ht="30" x14ac:dyDescent="0.25">
      <c r="A3" s="6">
        <v>1</v>
      </c>
      <c r="B3" s="7" t="s">
        <v>9</v>
      </c>
      <c r="C3" s="8" t="s">
        <v>10</v>
      </c>
      <c r="D3" s="9" t="str">
        <f>+LEFT(B3,5)</f>
        <v>2.9.2</v>
      </c>
      <c r="E3" s="10" t="s">
        <v>11</v>
      </c>
      <c r="F3" s="11" t="s">
        <v>12</v>
      </c>
      <c r="G3" s="11">
        <v>5</v>
      </c>
      <c r="H3" s="12">
        <v>3000</v>
      </c>
      <c r="I3" s="13">
        <f t="shared" ref="I3:I47" si="0">G3*H3</f>
        <v>15000</v>
      </c>
      <c r="J3" s="14"/>
    </row>
    <row r="4" spans="1:10" x14ac:dyDescent="0.25">
      <c r="A4" s="6">
        <v>2</v>
      </c>
      <c r="B4" s="15" t="s">
        <v>13</v>
      </c>
      <c r="C4" s="8" t="s">
        <v>10</v>
      </c>
      <c r="D4" s="8" t="s">
        <v>14</v>
      </c>
      <c r="E4" s="16" t="s">
        <v>15</v>
      </c>
      <c r="F4" s="11" t="s">
        <v>12</v>
      </c>
      <c r="G4" s="11">
        <v>15</v>
      </c>
      <c r="H4" s="12">
        <v>500</v>
      </c>
      <c r="I4" s="13">
        <f t="shared" si="0"/>
        <v>7500</v>
      </c>
      <c r="J4" s="14"/>
    </row>
    <row r="5" spans="1:10" ht="30" x14ac:dyDescent="0.25">
      <c r="A5" s="17">
        <v>3</v>
      </c>
      <c r="B5" s="15" t="s">
        <v>16</v>
      </c>
      <c r="C5" s="8" t="s">
        <v>10</v>
      </c>
      <c r="D5" s="8" t="s">
        <v>14</v>
      </c>
      <c r="E5" s="18" t="s">
        <v>17</v>
      </c>
      <c r="F5" s="11" t="s">
        <v>18</v>
      </c>
      <c r="G5" s="11">
        <v>7</v>
      </c>
      <c r="H5" s="12">
        <v>600</v>
      </c>
      <c r="I5" s="13">
        <f t="shared" si="0"/>
        <v>4200</v>
      </c>
      <c r="J5" s="14"/>
    </row>
    <row r="6" spans="1:10" ht="30" x14ac:dyDescent="0.25">
      <c r="A6" s="6">
        <v>4</v>
      </c>
      <c r="B6" s="15" t="s">
        <v>19</v>
      </c>
      <c r="C6" s="8" t="s">
        <v>10</v>
      </c>
      <c r="D6" s="8" t="s">
        <v>14</v>
      </c>
      <c r="E6" s="19" t="s">
        <v>20</v>
      </c>
      <c r="F6" s="11" t="s">
        <v>18</v>
      </c>
      <c r="G6" s="11">
        <v>2</v>
      </c>
      <c r="H6" s="12">
        <v>2500</v>
      </c>
      <c r="I6" s="13">
        <f t="shared" si="0"/>
        <v>5000</v>
      </c>
      <c r="J6" s="14"/>
    </row>
    <row r="7" spans="1:10" ht="26.25" x14ac:dyDescent="0.25">
      <c r="A7" s="6">
        <v>5</v>
      </c>
      <c r="B7" s="15" t="s">
        <v>21</v>
      </c>
      <c r="C7" s="8" t="s">
        <v>10</v>
      </c>
      <c r="D7" s="8" t="s">
        <v>14</v>
      </c>
      <c r="E7" s="20" t="s">
        <v>22</v>
      </c>
      <c r="F7" s="11" t="s">
        <v>12</v>
      </c>
      <c r="G7" s="11">
        <v>50</v>
      </c>
      <c r="H7" s="12">
        <v>150</v>
      </c>
      <c r="I7" s="13">
        <f t="shared" si="0"/>
        <v>7500</v>
      </c>
      <c r="J7" s="14"/>
    </row>
    <row r="8" spans="1:10" ht="26.25" x14ac:dyDescent="0.25">
      <c r="A8" s="6">
        <v>6</v>
      </c>
      <c r="B8" s="15" t="s">
        <v>23</v>
      </c>
      <c r="C8" s="8" t="s">
        <v>10</v>
      </c>
      <c r="D8" s="8" t="s">
        <v>14</v>
      </c>
      <c r="E8" s="20" t="s">
        <v>24</v>
      </c>
      <c r="F8" s="11" t="s">
        <v>18</v>
      </c>
      <c r="G8" s="11">
        <v>50</v>
      </c>
      <c r="H8" s="12">
        <v>200</v>
      </c>
      <c r="I8" s="13">
        <f t="shared" si="0"/>
        <v>10000</v>
      </c>
      <c r="J8" s="14"/>
    </row>
    <row r="9" spans="1:10" ht="26.25" x14ac:dyDescent="0.25">
      <c r="A9" s="17">
        <v>7</v>
      </c>
      <c r="B9" s="15" t="s">
        <v>25</v>
      </c>
      <c r="C9" s="8" t="s">
        <v>10</v>
      </c>
      <c r="D9" s="8" t="s">
        <v>14</v>
      </c>
      <c r="E9" s="20" t="s">
        <v>26</v>
      </c>
      <c r="F9" s="11" t="s">
        <v>18</v>
      </c>
      <c r="G9" s="11">
        <v>15</v>
      </c>
      <c r="H9" s="12">
        <v>250</v>
      </c>
      <c r="I9" s="13">
        <f t="shared" si="0"/>
        <v>3750</v>
      </c>
      <c r="J9" s="14"/>
    </row>
    <row r="10" spans="1:10" ht="30" x14ac:dyDescent="0.25">
      <c r="A10" s="6">
        <v>8</v>
      </c>
      <c r="B10" s="15" t="s">
        <v>27</v>
      </c>
      <c r="C10" s="8" t="s">
        <v>10</v>
      </c>
      <c r="D10" s="8" t="s">
        <v>14</v>
      </c>
      <c r="E10" s="20" t="s">
        <v>28</v>
      </c>
      <c r="F10" s="11" t="s">
        <v>29</v>
      </c>
      <c r="G10" s="11">
        <v>15</v>
      </c>
      <c r="H10" s="12">
        <v>700</v>
      </c>
      <c r="I10" s="13">
        <f t="shared" si="0"/>
        <v>10500</v>
      </c>
      <c r="J10" s="14" t="s">
        <v>30</v>
      </c>
    </row>
    <row r="11" spans="1:10" ht="30" x14ac:dyDescent="0.25">
      <c r="A11" s="6">
        <v>9</v>
      </c>
      <c r="B11" s="21" t="s">
        <v>31</v>
      </c>
      <c r="C11" s="8" t="s">
        <v>10</v>
      </c>
      <c r="D11" s="8" t="s">
        <v>14</v>
      </c>
      <c r="E11" s="20" t="s">
        <v>32</v>
      </c>
      <c r="F11" s="11" t="s">
        <v>12</v>
      </c>
      <c r="G11" s="11">
        <v>50</v>
      </c>
      <c r="H11" s="12">
        <v>200</v>
      </c>
      <c r="I11" s="13">
        <f t="shared" si="0"/>
        <v>10000</v>
      </c>
      <c r="J11" s="14"/>
    </row>
    <row r="12" spans="1:10" ht="30" x14ac:dyDescent="0.25">
      <c r="A12" s="6">
        <v>10</v>
      </c>
      <c r="B12" s="15" t="s">
        <v>33</v>
      </c>
      <c r="C12" s="8" t="s">
        <v>10</v>
      </c>
      <c r="D12" s="8" t="s">
        <v>34</v>
      </c>
      <c r="E12" s="20" t="s">
        <v>35</v>
      </c>
      <c r="F12" s="11" t="s">
        <v>29</v>
      </c>
      <c r="G12" s="11">
        <v>30</v>
      </c>
      <c r="H12" s="12">
        <v>250</v>
      </c>
      <c r="I12" s="13">
        <f t="shared" si="0"/>
        <v>7500</v>
      </c>
      <c r="J12" s="14"/>
    </row>
    <row r="13" spans="1:10" ht="45" x14ac:dyDescent="0.25">
      <c r="A13" s="17">
        <v>11</v>
      </c>
      <c r="B13" s="15" t="s">
        <v>36</v>
      </c>
      <c r="C13" s="8" t="s">
        <v>10</v>
      </c>
      <c r="D13" s="8" t="s">
        <v>14</v>
      </c>
      <c r="E13" s="22" t="s">
        <v>37</v>
      </c>
      <c r="F13" s="11" t="s">
        <v>29</v>
      </c>
      <c r="G13" s="11">
        <v>30</v>
      </c>
      <c r="H13" s="23">
        <v>100</v>
      </c>
      <c r="I13" s="13">
        <f t="shared" si="0"/>
        <v>3000</v>
      </c>
      <c r="J13" s="14"/>
    </row>
    <row r="14" spans="1:10" ht="30" x14ac:dyDescent="0.25">
      <c r="A14" s="6">
        <v>12</v>
      </c>
      <c r="B14" s="15" t="s">
        <v>38</v>
      </c>
      <c r="C14" s="8" t="s">
        <v>10</v>
      </c>
      <c r="D14" s="8" t="s">
        <v>14</v>
      </c>
      <c r="E14" s="22" t="s">
        <v>39</v>
      </c>
      <c r="F14" s="11" t="s">
        <v>29</v>
      </c>
      <c r="G14" s="11">
        <v>100</v>
      </c>
      <c r="H14" s="23">
        <v>130</v>
      </c>
      <c r="I14" s="13">
        <f t="shared" si="0"/>
        <v>13000</v>
      </c>
      <c r="J14" s="14"/>
    </row>
    <row r="15" spans="1:10" ht="30" x14ac:dyDescent="0.25">
      <c r="A15" s="6">
        <v>13</v>
      </c>
      <c r="B15" s="15" t="s">
        <v>40</v>
      </c>
      <c r="C15" s="8" t="s">
        <v>10</v>
      </c>
      <c r="D15" s="8" t="s">
        <v>14</v>
      </c>
      <c r="E15" s="22" t="s">
        <v>41</v>
      </c>
      <c r="F15" s="11" t="s">
        <v>29</v>
      </c>
      <c r="G15" s="11">
        <v>10</v>
      </c>
      <c r="H15" s="23">
        <v>150</v>
      </c>
      <c r="I15" s="13">
        <f t="shared" si="0"/>
        <v>1500</v>
      </c>
      <c r="J15" s="14"/>
    </row>
    <row r="16" spans="1:10" ht="30" x14ac:dyDescent="0.25">
      <c r="A16" s="6">
        <v>14</v>
      </c>
      <c r="B16" s="15" t="s">
        <v>42</v>
      </c>
      <c r="C16" s="8" t="s">
        <v>10</v>
      </c>
      <c r="D16" s="8" t="s">
        <v>14</v>
      </c>
      <c r="E16" s="22" t="s">
        <v>43</v>
      </c>
      <c r="F16" s="11" t="s">
        <v>29</v>
      </c>
      <c r="G16" s="11">
        <v>10</v>
      </c>
      <c r="H16" s="23">
        <v>100</v>
      </c>
      <c r="I16" s="13">
        <f t="shared" si="0"/>
        <v>1000</v>
      </c>
      <c r="J16" s="14"/>
    </row>
    <row r="17" spans="1:10" ht="60" x14ac:dyDescent="0.25">
      <c r="A17" s="17">
        <v>15</v>
      </c>
      <c r="B17" s="7" t="s">
        <v>44</v>
      </c>
      <c r="C17" s="8" t="s">
        <v>10</v>
      </c>
      <c r="D17" s="9" t="str">
        <f>+LEFT(B17,5)</f>
        <v>2.3.1</v>
      </c>
      <c r="E17" s="10" t="s">
        <v>45</v>
      </c>
      <c r="F17" s="11" t="s">
        <v>12</v>
      </c>
      <c r="G17" s="11">
        <v>10</v>
      </c>
      <c r="H17" s="12">
        <v>700</v>
      </c>
      <c r="I17" s="13">
        <f t="shared" si="0"/>
        <v>7000</v>
      </c>
      <c r="J17" s="24" t="s">
        <v>46</v>
      </c>
    </row>
    <row r="18" spans="1:10" ht="45" x14ac:dyDescent="0.25">
      <c r="A18" s="6">
        <v>16</v>
      </c>
      <c r="B18" s="15" t="s">
        <v>47</v>
      </c>
      <c r="C18" s="8" t="s">
        <v>10</v>
      </c>
      <c r="D18" s="8" t="s">
        <v>48</v>
      </c>
      <c r="E18" s="22" t="s">
        <v>49</v>
      </c>
      <c r="F18" s="11" t="s">
        <v>12</v>
      </c>
      <c r="G18" s="11">
        <v>15</v>
      </c>
      <c r="H18" s="12">
        <v>1000</v>
      </c>
      <c r="I18" s="13">
        <f t="shared" si="0"/>
        <v>15000</v>
      </c>
      <c r="J18" s="24" t="s">
        <v>50</v>
      </c>
    </row>
    <row r="19" spans="1:10" ht="60" x14ac:dyDescent="0.25">
      <c r="A19" s="6">
        <v>17</v>
      </c>
      <c r="B19" s="7" t="s">
        <v>51</v>
      </c>
      <c r="C19" s="8" t="s">
        <v>10</v>
      </c>
      <c r="D19" s="25" t="str">
        <f t="shared" ref="D19:D24" si="1">+LEFT(B19,5)</f>
        <v>2.3.1</v>
      </c>
      <c r="E19" s="10" t="s">
        <v>52</v>
      </c>
      <c r="F19" s="26" t="s">
        <v>12</v>
      </c>
      <c r="G19" s="26">
        <v>550</v>
      </c>
      <c r="H19" s="12">
        <v>1500</v>
      </c>
      <c r="I19" s="13">
        <f t="shared" si="0"/>
        <v>825000</v>
      </c>
      <c r="J19" s="14"/>
    </row>
    <row r="20" spans="1:10" ht="60" x14ac:dyDescent="0.25">
      <c r="A20" s="6">
        <v>18</v>
      </c>
      <c r="B20" s="7" t="s">
        <v>53</v>
      </c>
      <c r="C20" s="8" t="s">
        <v>10</v>
      </c>
      <c r="D20" s="25" t="str">
        <f t="shared" si="1"/>
        <v>2.3.1</v>
      </c>
      <c r="E20" s="10" t="s">
        <v>54</v>
      </c>
      <c r="F20" s="26" t="s">
        <v>12</v>
      </c>
      <c r="G20" s="26">
        <v>350</v>
      </c>
      <c r="H20" s="12">
        <v>1200</v>
      </c>
      <c r="I20" s="13">
        <f t="shared" si="0"/>
        <v>420000</v>
      </c>
      <c r="J20" s="14"/>
    </row>
    <row r="21" spans="1:10" x14ac:dyDescent="0.25">
      <c r="A21" s="17">
        <v>19</v>
      </c>
      <c r="B21" s="8" t="s">
        <v>55</v>
      </c>
      <c r="C21" s="8" t="s">
        <v>10</v>
      </c>
      <c r="D21" s="9" t="str">
        <f t="shared" si="1"/>
        <v>2.9.2</v>
      </c>
      <c r="E21" s="27" t="s">
        <v>56</v>
      </c>
      <c r="F21" s="26" t="s">
        <v>12</v>
      </c>
      <c r="G21" s="26">
        <v>40</v>
      </c>
      <c r="H21" s="12">
        <v>100</v>
      </c>
      <c r="I21" s="13">
        <f t="shared" si="0"/>
        <v>4000</v>
      </c>
      <c r="J21" s="24" t="s">
        <v>57</v>
      </c>
    </row>
    <row r="22" spans="1:10" x14ac:dyDescent="0.25">
      <c r="A22" s="6">
        <v>20</v>
      </c>
      <c r="B22" s="28" t="s">
        <v>58</v>
      </c>
      <c r="C22" s="8" t="s">
        <v>10</v>
      </c>
      <c r="D22" s="9" t="str">
        <f t="shared" si="1"/>
        <v>2.9.2</v>
      </c>
      <c r="E22" s="29" t="s">
        <v>59</v>
      </c>
      <c r="F22" s="26" t="s">
        <v>12</v>
      </c>
      <c r="G22" s="26">
        <v>20</v>
      </c>
      <c r="H22" s="12">
        <v>100</v>
      </c>
      <c r="I22" s="13">
        <f t="shared" si="0"/>
        <v>2000</v>
      </c>
      <c r="J22" s="24" t="s">
        <v>60</v>
      </c>
    </row>
    <row r="23" spans="1:10" ht="30" x14ac:dyDescent="0.25">
      <c r="A23" s="6">
        <v>21</v>
      </c>
      <c r="B23" s="26" t="s">
        <v>61</v>
      </c>
      <c r="C23" s="8" t="s">
        <v>10</v>
      </c>
      <c r="D23" s="9" t="str">
        <f t="shared" si="1"/>
        <v>2.9.2</v>
      </c>
      <c r="E23" s="10" t="s">
        <v>62</v>
      </c>
      <c r="F23" s="26" t="s">
        <v>12</v>
      </c>
      <c r="G23" s="26">
        <v>20</v>
      </c>
      <c r="H23" s="12">
        <v>350</v>
      </c>
      <c r="I23" s="13">
        <f t="shared" si="0"/>
        <v>7000</v>
      </c>
      <c r="J23" s="14"/>
    </row>
    <row r="24" spans="1:10" ht="30" x14ac:dyDescent="0.25">
      <c r="A24" s="6">
        <v>22</v>
      </c>
      <c r="B24" s="7" t="s">
        <v>63</v>
      </c>
      <c r="C24" s="8" t="s">
        <v>10</v>
      </c>
      <c r="D24" s="25" t="str">
        <f t="shared" si="1"/>
        <v>2.9.2</v>
      </c>
      <c r="E24" s="10" t="s">
        <v>64</v>
      </c>
      <c r="F24" s="26" t="s">
        <v>12</v>
      </c>
      <c r="G24" s="26">
        <v>20</v>
      </c>
      <c r="H24" s="12">
        <v>280</v>
      </c>
      <c r="I24" s="13">
        <f t="shared" si="0"/>
        <v>5600</v>
      </c>
      <c r="J24" s="14"/>
    </row>
    <row r="25" spans="1:10" ht="30" x14ac:dyDescent="0.25">
      <c r="A25" s="17">
        <v>23</v>
      </c>
      <c r="B25" s="15" t="s">
        <v>65</v>
      </c>
      <c r="C25" s="8" t="s">
        <v>10</v>
      </c>
      <c r="D25" s="8" t="s">
        <v>66</v>
      </c>
      <c r="E25" s="22" t="s">
        <v>67</v>
      </c>
      <c r="F25" s="26" t="s">
        <v>12</v>
      </c>
      <c r="G25" s="26">
        <v>500</v>
      </c>
      <c r="H25" s="12">
        <v>15</v>
      </c>
      <c r="I25" s="13">
        <f t="shared" si="0"/>
        <v>7500</v>
      </c>
      <c r="J25" s="14"/>
    </row>
    <row r="26" spans="1:10" ht="26.25" x14ac:dyDescent="0.25">
      <c r="A26" s="6">
        <v>24</v>
      </c>
      <c r="B26" s="15" t="s">
        <v>68</v>
      </c>
      <c r="C26" s="8" t="s">
        <v>10</v>
      </c>
      <c r="D26" s="8" t="s">
        <v>14</v>
      </c>
      <c r="E26" s="20" t="s">
        <v>69</v>
      </c>
      <c r="F26" s="26" t="s">
        <v>12</v>
      </c>
      <c r="G26" s="26">
        <v>200</v>
      </c>
      <c r="H26" s="12">
        <v>15</v>
      </c>
      <c r="I26" s="13">
        <f t="shared" si="0"/>
        <v>3000</v>
      </c>
      <c r="J26" s="14"/>
    </row>
    <row r="27" spans="1:10" x14ac:dyDescent="0.25">
      <c r="A27" s="6">
        <v>25</v>
      </c>
      <c r="B27" s="7" t="s">
        <v>70</v>
      </c>
      <c r="C27" s="8" t="s">
        <v>10</v>
      </c>
      <c r="D27" s="9" t="str">
        <f>+LEFT(B27,5)</f>
        <v>2.9.2</v>
      </c>
      <c r="E27" s="10" t="s">
        <v>71</v>
      </c>
      <c r="F27" s="11" t="s">
        <v>12</v>
      </c>
      <c r="G27" s="11">
        <v>40</v>
      </c>
      <c r="H27" s="12">
        <v>30</v>
      </c>
      <c r="I27" s="13">
        <f t="shared" si="0"/>
        <v>1200</v>
      </c>
      <c r="J27" s="14"/>
    </row>
    <row r="28" spans="1:10" ht="30" x14ac:dyDescent="0.25">
      <c r="A28" s="6">
        <v>26</v>
      </c>
      <c r="B28" s="30" t="s">
        <v>72</v>
      </c>
      <c r="C28" s="8" t="s">
        <v>10</v>
      </c>
      <c r="D28" s="31" t="str">
        <f t="shared" ref="D28:D34" si="2">+LEFT(B28,5)</f>
        <v>2.9.2</v>
      </c>
      <c r="E28" s="10" t="s">
        <v>73</v>
      </c>
      <c r="F28" s="26" t="s">
        <v>12</v>
      </c>
      <c r="G28" s="26">
        <v>10</v>
      </c>
      <c r="H28" s="12">
        <v>200</v>
      </c>
      <c r="I28" s="13">
        <f t="shared" si="0"/>
        <v>2000</v>
      </c>
      <c r="J28" s="14"/>
    </row>
    <row r="29" spans="1:10" x14ac:dyDescent="0.25">
      <c r="A29" s="17">
        <v>27</v>
      </c>
      <c r="B29" s="15" t="s">
        <v>74</v>
      </c>
      <c r="C29" s="8" t="s">
        <v>10</v>
      </c>
      <c r="D29" s="9" t="str">
        <f t="shared" si="2"/>
        <v>2.9.2</v>
      </c>
      <c r="E29" s="16" t="s">
        <v>75</v>
      </c>
      <c r="F29" s="26" t="s">
        <v>12</v>
      </c>
      <c r="G29" s="26">
        <v>200</v>
      </c>
      <c r="H29" s="12">
        <v>100</v>
      </c>
      <c r="I29" s="13">
        <f t="shared" si="0"/>
        <v>20000</v>
      </c>
      <c r="J29" s="32" t="s">
        <v>76</v>
      </c>
    </row>
    <row r="30" spans="1:10" x14ac:dyDescent="0.25">
      <c r="A30" s="6">
        <v>28</v>
      </c>
      <c r="B30" s="15" t="s">
        <v>74</v>
      </c>
      <c r="C30" s="8" t="s">
        <v>10</v>
      </c>
      <c r="D30" s="9" t="str">
        <f t="shared" si="2"/>
        <v>2.9.2</v>
      </c>
      <c r="E30" s="16" t="s">
        <v>75</v>
      </c>
      <c r="F30" s="26" t="s">
        <v>12</v>
      </c>
      <c r="G30" s="26">
        <v>200</v>
      </c>
      <c r="H30" s="12">
        <v>100</v>
      </c>
      <c r="I30" s="13">
        <f t="shared" si="0"/>
        <v>20000</v>
      </c>
      <c r="J30" s="32" t="s">
        <v>77</v>
      </c>
    </row>
    <row r="31" spans="1:10" x14ac:dyDescent="0.25">
      <c r="A31" s="6">
        <v>29</v>
      </c>
      <c r="B31" s="7" t="s">
        <v>78</v>
      </c>
      <c r="C31" s="8" t="s">
        <v>10</v>
      </c>
      <c r="D31" s="9" t="str">
        <f t="shared" si="2"/>
        <v>2.9.2</v>
      </c>
      <c r="E31" s="16" t="s">
        <v>79</v>
      </c>
      <c r="F31" s="11" t="s">
        <v>12</v>
      </c>
      <c r="G31" s="11">
        <v>200</v>
      </c>
      <c r="H31" s="12">
        <v>100</v>
      </c>
      <c r="I31" s="13">
        <f t="shared" si="0"/>
        <v>20000</v>
      </c>
      <c r="J31" s="24" t="s">
        <v>80</v>
      </c>
    </row>
    <row r="32" spans="1:10" x14ac:dyDescent="0.25">
      <c r="A32" s="6">
        <v>30</v>
      </c>
      <c r="B32" s="7" t="s">
        <v>78</v>
      </c>
      <c r="C32" s="8" t="s">
        <v>10</v>
      </c>
      <c r="D32" s="9" t="str">
        <f t="shared" si="2"/>
        <v>2.9.2</v>
      </c>
      <c r="E32" s="16" t="s">
        <v>79</v>
      </c>
      <c r="F32" s="11" t="s">
        <v>12</v>
      </c>
      <c r="G32" s="11">
        <v>200</v>
      </c>
      <c r="H32" s="12">
        <v>100</v>
      </c>
      <c r="I32" s="13">
        <f t="shared" si="0"/>
        <v>20000</v>
      </c>
      <c r="J32" s="24" t="s">
        <v>81</v>
      </c>
    </row>
    <row r="33" spans="1:10" ht="45" x14ac:dyDescent="0.25">
      <c r="A33" s="17">
        <v>31</v>
      </c>
      <c r="B33" s="7" t="s">
        <v>82</v>
      </c>
      <c r="C33" s="8" t="s">
        <v>10</v>
      </c>
      <c r="D33" s="9" t="str">
        <f t="shared" si="2"/>
        <v>2.9.2</v>
      </c>
      <c r="E33" s="10" t="s">
        <v>83</v>
      </c>
      <c r="F33" s="11" t="s">
        <v>84</v>
      </c>
      <c r="G33" s="11">
        <v>2</v>
      </c>
      <c r="H33" s="12">
        <v>900</v>
      </c>
      <c r="I33" s="13">
        <f t="shared" si="0"/>
        <v>1800</v>
      </c>
      <c r="J33" s="24" t="s">
        <v>85</v>
      </c>
    </row>
    <row r="34" spans="1:10" ht="30" x14ac:dyDescent="0.25">
      <c r="A34" s="6">
        <v>32</v>
      </c>
      <c r="B34" s="15" t="s">
        <v>86</v>
      </c>
      <c r="C34" s="8" t="s">
        <v>10</v>
      </c>
      <c r="D34" s="9" t="str">
        <f t="shared" si="2"/>
        <v>2.9.2</v>
      </c>
      <c r="E34" s="22" t="s">
        <v>87</v>
      </c>
      <c r="F34" s="11" t="s">
        <v>12</v>
      </c>
      <c r="G34" s="11">
        <v>20</v>
      </c>
      <c r="H34" s="12">
        <v>300</v>
      </c>
      <c r="I34" s="13">
        <f t="shared" si="0"/>
        <v>6000</v>
      </c>
      <c r="J34" s="24" t="s">
        <v>88</v>
      </c>
    </row>
    <row r="35" spans="1:10" ht="30" x14ac:dyDescent="0.25">
      <c r="A35" s="6">
        <v>33</v>
      </c>
      <c r="B35" s="15" t="s">
        <v>89</v>
      </c>
      <c r="C35" s="8" t="s">
        <v>10</v>
      </c>
      <c r="D35" s="8" t="s">
        <v>48</v>
      </c>
      <c r="E35" s="20" t="s">
        <v>90</v>
      </c>
      <c r="F35" s="11" t="s">
        <v>12</v>
      </c>
      <c r="G35" s="11">
        <v>20</v>
      </c>
      <c r="H35" s="12">
        <v>1500</v>
      </c>
      <c r="I35" s="13">
        <f t="shared" si="0"/>
        <v>30000</v>
      </c>
      <c r="J35" s="14"/>
    </row>
    <row r="36" spans="1:10" ht="45" x14ac:dyDescent="0.25">
      <c r="A36" s="6">
        <v>34</v>
      </c>
      <c r="B36" s="7" t="s">
        <v>91</v>
      </c>
      <c r="C36" s="8" t="s">
        <v>10</v>
      </c>
      <c r="D36" s="9" t="str">
        <f>+LEFT(B36,5)</f>
        <v>2.3.1</v>
      </c>
      <c r="E36" s="10" t="s">
        <v>92</v>
      </c>
      <c r="F36" s="11" t="s">
        <v>12</v>
      </c>
      <c r="G36" s="11">
        <v>200</v>
      </c>
      <c r="H36" s="12">
        <v>50</v>
      </c>
      <c r="I36" s="13">
        <f t="shared" si="0"/>
        <v>10000</v>
      </c>
      <c r="J36" s="24" t="s">
        <v>93</v>
      </c>
    </row>
    <row r="37" spans="1:10" ht="45" x14ac:dyDescent="0.25">
      <c r="A37" s="17">
        <v>35</v>
      </c>
      <c r="B37" s="7" t="s">
        <v>94</v>
      </c>
      <c r="C37" s="8" t="s">
        <v>10</v>
      </c>
      <c r="D37" s="9" t="str">
        <f>+LEFT(B37,5)</f>
        <v>2.3.1</v>
      </c>
      <c r="E37" s="10" t="s">
        <v>95</v>
      </c>
      <c r="F37" s="11" t="s">
        <v>12</v>
      </c>
      <c r="G37" s="11">
        <v>100</v>
      </c>
      <c r="H37" s="12">
        <v>30</v>
      </c>
      <c r="I37" s="13">
        <f t="shared" si="0"/>
        <v>3000</v>
      </c>
      <c r="J37" s="24" t="s">
        <v>96</v>
      </c>
    </row>
    <row r="38" spans="1:10" ht="30" x14ac:dyDescent="0.25">
      <c r="A38" s="6">
        <v>36</v>
      </c>
      <c r="B38" s="7" t="s">
        <v>97</v>
      </c>
      <c r="C38" s="8" t="s">
        <v>10</v>
      </c>
      <c r="D38" s="9" t="str">
        <f>+LEFT(B38,5)</f>
        <v>2.9.2</v>
      </c>
      <c r="E38" s="10" t="s">
        <v>98</v>
      </c>
      <c r="F38" s="11" t="s">
        <v>12</v>
      </c>
      <c r="G38" s="11">
        <v>40</v>
      </c>
      <c r="H38" s="12">
        <v>100</v>
      </c>
      <c r="I38" s="13">
        <f t="shared" si="0"/>
        <v>4000</v>
      </c>
      <c r="J38" s="24" t="s">
        <v>99</v>
      </c>
    </row>
    <row r="39" spans="1:10" x14ac:dyDescent="0.25">
      <c r="A39" s="6">
        <v>37</v>
      </c>
      <c r="B39" s="15" t="s">
        <v>100</v>
      </c>
      <c r="C39" s="8" t="s">
        <v>10</v>
      </c>
      <c r="D39" s="8" t="s">
        <v>14</v>
      </c>
      <c r="E39" s="27" t="s">
        <v>101</v>
      </c>
      <c r="F39" s="11" t="s">
        <v>18</v>
      </c>
      <c r="G39" s="11">
        <v>15</v>
      </c>
      <c r="H39" s="12">
        <v>300</v>
      </c>
      <c r="I39" s="13">
        <f t="shared" si="0"/>
        <v>4500</v>
      </c>
      <c r="J39" s="24" t="s">
        <v>102</v>
      </c>
    </row>
    <row r="40" spans="1:10" ht="25.5" x14ac:dyDescent="0.25">
      <c r="A40" s="6">
        <v>38</v>
      </c>
      <c r="B40" s="15" t="s">
        <v>103</v>
      </c>
      <c r="C40" s="8" t="s">
        <v>10</v>
      </c>
      <c r="D40" s="8" t="s">
        <v>14</v>
      </c>
      <c r="E40" s="27" t="s">
        <v>104</v>
      </c>
      <c r="F40" s="11" t="s">
        <v>12</v>
      </c>
      <c r="G40" s="11">
        <v>50</v>
      </c>
      <c r="H40" s="12">
        <v>150</v>
      </c>
      <c r="I40" s="13">
        <f t="shared" si="0"/>
        <v>7500</v>
      </c>
      <c r="J40" s="24" t="s">
        <v>105</v>
      </c>
    </row>
    <row r="41" spans="1:10" ht="30" x14ac:dyDescent="0.25">
      <c r="A41" s="17">
        <v>39</v>
      </c>
      <c r="B41" s="33" t="s">
        <v>106</v>
      </c>
      <c r="C41" s="8" t="s">
        <v>10</v>
      </c>
      <c r="D41" s="34" t="s">
        <v>14</v>
      </c>
      <c r="E41" s="35" t="s">
        <v>107</v>
      </c>
      <c r="F41" s="11" t="s">
        <v>12</v>
      </c>
      <c r="G41" s="11">
        <v>5</v>
      </c>
      <c r="H41" s="12">
        <v>250</v>
      </c>
      <c r="I41" s="13">
        <f t="shared" si="0"/>
        <v>1250</v>
      </c>
      <c r="J41" s="14"/>
    </row>
    <row r="42" spans="1:10" ht="30" x14ac:dyDescent="0.25">
      <c r="A42" s="6">
        <v>40</v>
      </c>
      <c r="B42" s="7" t="s">
        <v>108</v>
      </c>
      <c r="C42" s="8" t="s">
        <v>10</v>
      </c>
      <c r="D42" s="34" t="s">
        <v>14</v>
      </c>
      <c r="E42" s="10" t="s">
        <v>109</v>
      </c>
      <c r="F42" s="11" t="s">
        <v>29</v>
      </c>
      <c r="G42" s="11">
        <v>10</v>
      </c>
      <c r="H42" s="12">
        <v>400</v>
      </c>
      <c r="I42" s="13">
        <f t="shared" si="0"/>
        <v>4000</v>
      </c>
      <c r="J42" s="14"/>
    </row>
    <row r="43" spans="1:10" ht="30" x14ac:dyDescent="0.25">
      <c r="A43" s="6">
        <v>41</v>
      </c>
      <c r="B43" s="7" t="s">
        <v>110</v>
      </c>
      <c r="C43" s="8" t="s">
        <v>10</v>
      </c>
      <c r="D43" s="34" t="s">
        <v>14</v>
      </c>
      <c r="E43" s="10" t="s">
        <v>111</v>
      </c>
      <c r="F43" s="11" t="s">
        <v>12</v>
      </c>
      <c r="G43" s="11">
        <v>10</v>
      </c>
      <c r="H43" s="12">
        <v>400</v>
      </c>
      <c r="I43" s="13">
        <f t="shared" si="0"/>
        <v>4000</v>
      </c>
      <c r="J43" s="14"/>
    </row>
    <row r="44" spans="1:10" x14ac:dyDescent="0.25">
      <c r="A44" s="6">
        <v>42</v>
      </c>
      <c r="B44" s="15" t="s">
        <v>112</v>
      </c>
      <c r="C44" s="8" t="s">
        <v>10</v>
      </c>
      <c r="D44" s="8" t="s">
        <v>14</v>
      </c>
      <c r="E44" s="27" t="s">
        <v>113</v>
      </c>
      <c r="F44" s="11" t="s">
        <v>12</v>
      </c>
      <c r="G44" s="11">
        <v>5</v>
      </c>
      <c r="H44" s="12">
        <v>2300</v>
      </c>
      <c r="I44" s="13">
        <f t="shared" si="0"/>
        <v>11500</v>
      </c>
      <c r="J44" s="14"/>
    </row>
    <row r="45" spans="1:10" ht="30" x14ac:dyDescent="0.25">
      <c r="A45" s="17">
        <v>43</v>
      </c>
      <c r="B45" s="15" t="s">
        <v>114</v>
      </c>
      <c r="C45" s="8" t="s">
        <v>10</v>
      </c>
      <c r="D45" s="34" t="s">
        <v>14</v>
      </c>
      <c r="E45" s="22" t="s">
        <v>115</v>
      </c>
      <c r="F45" s="11" t="s">
        <v>12</v>
      </c>
      <c r="G45" s="11">
        <v>80</v>
      </c>
      <c r="H45" s="12">
        <v>130</v>
      </c>
      <c r="I45" s="13">
        <f t="shared" si="0"/>
        <v>10400</v>
      </c>
      <c r="J45" s="24" t="s">
        <v>116</v>
      </c>
    </row>
    <row r="46" spans="1:10" ht="30" x14ac:dyDescent="0.25">
      <c r="A46" s="6">
        <v>44</v>
      </c>
      <c r="B46" s="15" t="s">
        <v>117</v>
      </c>
      <c r="C46" s="8" t="s">
        <v>10</v>
      </c>
      <c r="D46" s="34" t="s">
        <v>14</v>
      </c>
      <c r="E46" s="22" t="s">
        <v>118</v>
      </c>
      <c r="F46" s="11" t="s">
        <v>12</v>
      </c>
      <c r="G46" s="11">
        <v>80</v>
      </c>
      <c r="H46" s="36">
        <v>150</v>
      </c>
      <c r="I46" s="13">
        <f t="shared" si="0"/>
        <v>12000</v>
      </c>
      <c r="J46" s="24" t="s">
        <v>119</v>
      </c>
    </row>
    <row r="47" spans="1:10" ht="26.25" x14ac:dyDescent="0.25">
      <c r="A47" s="37">
        <v>45</v>
      </c>
      <c r="B47" s="8" t="s">
        <v>120</v>
      </c>
      <c r="C47" s="8" t="s">
        <v>10</v>
      </c>
      <c r="D47" s="8" t="s">
        <v>14</v>
      </c>
      <c r="E47" s="20" t="s">
        <v>121</v>
      </c>
      <c r="F47" s="11" t="s">
        <v>12</v>
      </c>
      <c r="G47" s="11">
        <v>80</v>
      </c>
      <c r="H47" s="12">
        <v>150</v>
      </c>
      <c r="I47" s="13">
        <f t="shared" si="0"/>
        <v>12000</v>
      </c>
      <c r="J47" s="24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MALDONADO</dc:creator>
  <cp:lastModifiedBy>MARIA MALDONADO</cp:lastModifiedBy>
  <dcterms:created xsi:type="dcterms:W3CDTF">2022-10-20T12:31:28Z</dcterms:created>
  <dcterms:modified xsi:type="dcterms:W3CDTF">2022-10-20T12:53:43Z</dcterms:modified>
</cp:coreProperties>
</file>