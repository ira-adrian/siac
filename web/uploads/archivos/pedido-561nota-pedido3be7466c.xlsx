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COMPRAR 4° TRIMESTRE\Cubiertas\"/>
    </mc:Choice>
  </mc:AlternateContent>
  <bookViews>
    <workbookView xWindow="0" yWindow="0" windowWidth="28800" windowHeight="12330" tabRatio="500" activeTab="2"/>
  </bookViews>
  <sheets>
    <sheet name="Necesidades Trimestrales " sheetId="3" r:id="rId1"/>
    <sheet name=" NotaPedido" sheetId="1" r:id="rId2"/>
    <sheet name="Autor Gastar" sheetId="2" r:id="rId3"/>
    <sheet name="certificado de entrega" sheetId="5" r:id="rId4"/>
  </sheets>
  <definedNames>
    <definedName name="_xlnm.Print_Area" localSheetId="1">' NotaPedido'!$A$1:$K$16</definedName>
    <definedName name="_xlnm.Print_Area" localSheetId="2">'Autor Gastar'!$A$1:$Q$41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6" i="1" l="1"/>
  <c r="I14" i="3" l="1"/>
  <c r="I12" i="3" l="1"/>
  <c r="I11" i="3"/>
  <c r="G15" i="5" l="1"/>
  <c r="G14" i="5"/>
  <c r="G13" i="5"/>
  <c r="G12" i="5"/>
  <c r="G11" i="5"/>
  <c r="I13" i="3" l="1"/>
  <c r="Q37" i="2" l="1"/>
</calcChain>
</file>

<file path=xl/sharedStrings.xml><?xml version="1.0" encoding="utf-8"?>
<sst xmlns="http://schemas.openxmlformats.org/spreadsheetml/2006/main" count="157" uniqueCount="106">
  <si>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</si>
  <si>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</si>
  <si>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</si>
  <si>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</si>
  <si>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</si>
  <si>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</si>
  <si>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</si>
  <si>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</si>
  <si>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</si>
  <si>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</si>
  <si>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</si>
  <si>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</si>
  <si>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</si>
  <si>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</si>
  <si>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</si>
  <si>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</si>
  <si>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</si>
  <si>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</si>
  <si>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</si>
  <si>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</si>
  <si>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</si>
  <si>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</si>
  <si>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</si>
  <si>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</si>
  <si>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</si>
  <si>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</si>
  <si>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</si>
  <si>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</si>
  <si>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</si>
  <si>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</si>
  <si>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</si>
  <si>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</si>
  <si>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</si>
  <si>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</si>
  <si>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</si>
  <si>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</si>
  <si>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UNIDAD 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</si>
  <si>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</si>
  <si>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</si>
  <si>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</si>
  <si>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</si>
  <si>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</si>
  <si>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</si>
  <si>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</si>
  <si>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</si>
  <si>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Descripcion Técnica</t>
  </si>
  <si>
    <t>Plazos y lugares de entrega:</t>
  </si>
  <si>
    <t>Mantenmiento</t>
  </si>
  <si>
    <t>Garantia</t>
  </si>
  <si>
    <t>AV. VENEZUELA S/N - C.A.P.E - PABELLON N° 28 -SAN FERNANDO DEL VALLE DE CATAMARCA- CATAMARCA</t>
  </si>
  <si>
    <t>Pedido de Necesidades Trimestrales</t>
  </si>
  <si>
    <t>Canlidad Minima esperada</t>
  </si>
  <si>
    <t>2.4.4-6818.751</t>
  </si>
  <si>
    <t xml:space="preserve">62- MINISTERIO DE INCLUSION DIGITAL Y SISTEMAS PRODUCTIVOS </t>
  </si>
  <si>
    <t xml:space="preserve">MINISTERIO DE INCLUSION DIGITAL Y SISTEMAS PRODUCTIVOS </t>
  </si>
  <si>
    <t>NEUMATICOS; VEHICULO: CAMIONETA, CONSTRUCCION: RADIAL, ARMADO: S/CAMARA, MEDIDA: 245/65 R17</t>
  </si>
  <si>
    <t xml:space="preserve">JURISDICCION : 62- MINISTERIO DE INCLUSION DIGITAL Y SISTEMAS PRODUCTIVOS </t>
  </si>
  <si>
    <t>EJERCICIO: 2022</t>
  </si>
  <si>
    <t>NEUMATICOS CLASE TIERRA/ASFALTO</t>
  </si>
  <si>
    <r>
      <t>AUTORIZACIÓN</t>
    </r>
    <r>
      <rPr>
        <b/>
        <sz val="10"/>
        <rFont val="Arial"/>
        <family val="2"/>
        <charset val="1"/>
      </rPr>
      <t>:</t>
    </r>
  </si>
  <si>
    <t>30 DIAS</t>
  </si>
  <si>
    <t>33- DIRECCION PROVINCIAL DE ADMINISTRACION GENERAL</t>
  </si>
  <si>
    <t>1.1</t>
  </si>
  <si>
    <t>SI</t>
  </si>
  <si>
    <t xml:space="preserve">UNIDAD  </t>
  </si>
  <si>
    <t>SAF N°: 33- DIRECCION PROVINCIAL DE ADMINISTRACION GENERAL</t>
  </si>
  <si>
    <t>PY</t>
  </si>
  <si>
    <t>CUBIERTAS Y CAMARAS DE AIRE</t>
  </si>
  <si>
    <t>REPUESTOS</t>
  </si>
  <si>
    <t xml:space="preserve">PLAZO DE ENTREGA: 10 DIAS HABILES </t>
  </si>
  <si>
    <t>DEBERAN SER DE PRIMERA CALIDAD</t>
  </si>
  <si>
    <t>MINIMA DE DOS AÑOS DESDE LA FECHA DE FABRICACION DE LOS BIENES</t>
  </si>
  <si>
    <t>TRIMESTRE: 3</t>
  </si>
  <si>
    <t>2.4.4-6818.912</t>
  </si>
  <si>
    <t>NEUMATICOS; VEHICULO: CAMION, CONSTRUCCION: RADIAL, ARMADO: S/CAMARA, MEDIDA: 275/80 R22,5</t>
  </si>
  <si>
    <t>Especialidades item N° 1 y 2</t>
  </si>
  <si>
    <t>2.4.4</t>
  </si>
  <si>
    <t>3 - TRIMESTRE 2022</t>
  </si>
  <si>
    <t>Autorizo la realización de los  trámites correspondientes, a fin de (proveer a este Organismo los bienes que se detallan en Nota  de Pedido N°   / 2022) afectando la erogación resultante a los créditos presupuestarios aprobados a favor de esta Unidad Ejecutora, conforme al siguiente detalle:</t>
  </si>
  <si>
    <t xml:space="preserve">Especialidades item N° 3 </t>
  </si>
  <si>
    <t>Especialidades item N° 4</t>
  </si>
  <si>
    <t xml:space="preserve">Especialidades item N° 5 </t>
  </si>
  <si>
    <t>REP. Y ACC. P/AUTOMOTOR; REPUESTO: BATERIA, MARCA: FIAT, MODELO: STRADA</t>
  </si>
  <si>
    <t>REP. Y ACC. P/CAMIONETAS; MARCA AUTOMOTOR: TOYOTA, MODELO AUTOMOTOR: HILUX, ELEMENTO: BATERIA</t>
  </si>
  <si>
    <t>2.9.6-9688.229</t>
  </si>
  <si>
    <t>REP. Y ACC. P/AUTOMOTOR; REPUESTO: BATERIA, MARCA: PAUNY, MODELO: 180C</t>
  </si>
  <si>
    <t>NEUMATICOS; VEHICULO: CAMION, CONSTRUCCION: CON TACO, ARMADO: SIN CAMARA, MEDIDA: 275 X 80 X 22,5 pulg</t>
  </si>
  <si>
    <t>2.9.6-4978.10000</t>
  </si>
  <si>
    <t>2.9.6-4978.10001</t>
  </si>
  <si>
    <t>TOTAL</t>
  </si>
  <si>
    <t>ITEM</t>
  </si>
  <si>
    <t>COSTO TOTAL: CUATRO MILLONES NOVECIENTOS TREINTA Y OCHO MIL QUINIETOS QUINCE CON 12/100.</t>
  </si>
  <si>
    <t>2.4.4-6818.809</t>
  </si>
  <si>
    <t>NEUMATICOS; VEHICULO: CAMION, CONSTRUCCION: RADIAL, ARMADO: S/CAMARA, MEDIDA: 215/75R17.5</t>
  </si>
  <si>
    <t>2.4.4-6818.92</t>
  </si>
  <si>
    <t>NEUMATICOS; VEHICULO: AUTOMOVIL, CONSTRUCCION: RADIAL, ARMADO: S/CAMARA, MEDIDA: 205/65R15</t>
  </si>
  <si>
    <t>2.4.4-6818.834</t>
  </si>
  <si>
    <t>NEUMATICOS; VEHICULO: AUTOMOVIL, CONSTRUCCION: RADIAL, ARMADO: S/CAMARA, MEDIDA: 245/70 R16</t>
  </si>
  <si>
    <t>2.4.4-6818.88</t>
  </si>
  <si>
    <t>NEUMATICOS; VEHICULO: AUTOMOVIL, CONSTRUCCION: RADIAL, ARMADO: S/CAMARA, MEDIDA: 175/65R14</t>
  </si>
  <si>
    <t>Especialidades item N° 1 a 4</t>
  </si>
  <si>
    <t>TRIMESTRE: 4</t>
  </si>
  <si>
    <t>Costo total estimado: TRES MILLONES CUATROCIENTOS SESENTA Y SIETE MIL OCHENTA CON 00/100</t>
  </si>
  <si>
    <t>TOTAL DE PESOS: TRES MILLONES CUATROCIENTOS SESENTA Y SIETE MIL OCHENTA CON 00/100</t>
  </si>
  <si>
    <t>Adquisicion de Neumaticos para el Parque Automotor del Ministerio de Inclusion Digital y Sistemas Productivos</t>
  </si>
  <si>
    <t>IMPORTE TOTAL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</si>
</sst>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&quot;$&quot;\ #,##0.00;[Red]&quot;$&quot;\ #,##0.00"/>
    <numFmt numFmtId="170" formatCode="&quot;$&quot;\ #,##0.00;[Red]&quot;$&quot;\ \-#,##0.00"/>
  </numFmts>
  <fonts count="3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name val="Arial"/>
      <charset val="1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44" fontId="26" fillId="0" borderId="0" applyFont="0" applyFill="0" applyBorder="0" applyAlignment="0" applyProtection="0"/>
  </cellStyleXfs>
  <cellXfs count="170">
    <xf numFmtId="0" fontId="0" fillId="0" borderId="0" xfId="0"/>
    <xf numFmtId="0" fontId="3" fillId="0" borderId="0" xfId="0" applyFont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2" fillId="0" borderId="20" xfId="0" applyNumberFormat="1" applyFont="1" applyBorder="1"/>
    <xf numFmtId="166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166" fontId="0" fillId="0" borderId="0" xfId="0" applyNumberFormat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6" xfId="0" applyBorder="1"/>
    <xf numFmtId="0" fontId="16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7" fontId="0" fillId="0" borderId="41" xfId="2" applyNumberFormat="1" applyFont="1" applyBorder="1" applyAlignment="1" applyProtection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7" fontId="0" fillId="0" borderId="45" xfId="2" applyNumberFormat="1" applyFont="1" applyBorder="1" applyAlignment="1" applyProtection="1">
      <alignment horizontal="center" vertical="center"/>
    </xf>
    <xf numFmtId="167" fontId="16" fillId="0" borderId="47" xfId="0" applyNumberFormat="1" applyFont="1" applyBorder="1" applyAlignment="1">
      <alignment horizontal="center" vertical="center"/>
    </xf>
    <xf numFmtId="167" fontId="17" fillId="0" borderId="36" xfId="2" applyNumberFormat="1" applyFont="1" applyBorder="1" applyAlignment="1" applyProtection="1">
      <alignment horizontal="center" vertical="center"/>
    </xf>
    <xf numFmtId="0" fontId="20" fillId="0" borderId="0" xfId="0" applyFont="1"/>
    <xf numFmtId="0" fontId="21" fillId="0" borderId="0" xfId="0" applyFont="1"/>
    <xf numFmtId="0" fontId="0" fillId="0" borderId="2" xfId="0" applyBorder="1"/>
    <xf numFmtId="0" fontId="0" fillId="0" borderId="49" xfId="0" applyBorder="1"/>
    <xf numFmtId="0" fontId="21" fillId="0" borderId="13" xfId="0" applyFont="1" applyBorder="1"/>
    <xf numFmtId="0" fontId="0" fillId="0" borderId="50" xfId="0" applyBorder="1"/>
    <xf numFmtId="0" fontId="21" fillId="0" borderId="51" xfId="0" applyFont="1" applyBorder="1"/>
    <xf numFmtId="0" fontId="0" fillId="0" borderId="51" xfId="0" applyBorder="1"/>
    <xf numFmtId="0" fontId="0" fillId="0" borderId="52" xfId="0" applyBorder="1"/>
    <xf numFmtId="0" fontId="22" fillId="0" borderId="0" xfId="0" applyFont="1"/>
    <xf numFmtId="0" fontId="19" fillId="0" borderId="0" xfId="0" applyFont="1"/>
    <xf numFmtId="0" fontId="24" fillId="0" borderId="15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167" fontId="17" fillId="0" borderId="41" xfId="2" applyNumberFormat="1" applyFont="1" applyBorder="1" applyAlignment="1" applyProtection="1">
      <alignment horizontal="center" vertical="center"/>
    </xf>
    <xf numFmtId="0" fontId="22" fillId="0" borderId="51" xfId="0" applyFont="1" applyBorder="1"/>
    <xf numFmtId="0" fontId="27" fillId="0" borderId="54" xfId="0" applyFont="1" applyBorder="1" applyAlignment="1">
      <alignment horizontal="center" vertical="center"/>
    </xf>
    <xf numFmtId="0" fontId="28" fillId="0" borderId="58" xfId="0" applyFont="1" applyBorder="1" applyAlignment="1">
      <alignment wrapText="1"/>
    </xf>
    <xf numFmtId="0" fontId="27" fillId="0" borderId="54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left" vertical="center" wrapText="1"/>
    </xf>
    <xf numFmtId="168" fontId="29" fillId="0" borderId="54" xfId="0" applyNumberFormat="1" applyFont="1" applyBorder="1" applyAlignment="1">
      <alignment horizontal="center" vertical="center" wrapText="1"/>
    </xf>
    <xf numFmtId="168" fontId="29" fillId="0" borderId="54" xfId="4" applyNumberFormat="1" applyFont="1" applyBorder="1" applyAlignment="1">
      <alignment vertical="center"/>
    </xf>
    <xf numFmtId="0" fontId="29" fillId="0" borderId="54" xfId="0" applyFont="1" applyBorder="1" applyAlignment="1">
      <alignment horizontal="center" vertical="center"/>
    </xf>
    <xf numFmtId="165" fontId="0" fillId="0" borderId="0" xfId="0" applyNumberFormat="1"/>
    <xf numFmtId="167" fontId="20" fillId="0" borderId="41" xfId="2" applyNumberFormat="1" applyFont="1" applyBorder="1" applyAlignment="1" applyProtection="1">
      <alignment horizontal="center" vertical="center"/>
    </xf>
    <xf numFmtId="0" fontId="16" fillId="3" borderId="30" xfId="0" applyFont="1" applyFill="1" applyBorder="1" applyAlignment="1">
      <alignment horizontal="center" vertical="center"/>
    </xf>
    <xf numFmtId="0" fontId="17" fillId="3" borderId="34" xfId="0" applyFont="1" applyFill="1" applyBorder="1" applyAlignment="1">
      <alignment horizontal="center" vertical="center"/>
    </xf>
    <xf numFmtId="0" fontId="16" fillId="3" borderId="29" xfId="0" applyFont="1" applyFill="1" applyBorder="1" applyAlignment="1">
      <alignment horizontal="center" vertical="center"/>
    </xf>
    <xf numFmtId="0" fontId="17" fillId="3" borderId="33" xfId="0" applyFont="1" applyFill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 wrapText="1"/>
    </xf>
    <xf numFmtId="0" fontId="24" fillId="0" borderId="64" xfId="0" applyFont="1" applyBorder="1" applyAlignment="1">
      <alignment horizontal="center" vertical="center"/>
    </xf>
    <xf numFmtId="0" fontId="29" fillId="3" borderId="54" xfId="0" applyFont="1" applyFill="1" applyBorder="1" applyAlignment="1">
      <alignment horizontal="left" vertical="center" wrapText="1"/>
    </xf>
    <xf numFmtId="0" fontId="19" fillId="0" borderId="15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/>
    </xf>
    <xf numFmtId="168" fontId="29" fillId="0" borderId="66" xfId="0" applyNumberFormat="1" applyFont="1" applyBorder="1" applyAlignment="1">
      <alignment horizontal="center" vertical="center" wrapText="1"/>
    </xf>
    <xf numFmtId="168" fontId="29" fillId="0" borderId="66" xfId="4" applyNumberFormat="1" applyFont="1" applyBorder="1" applyAlignment="1">
      <alignment vertical="center"/>
    </xf>
    <xf numFmtId="0" fontId="24" fillId="0" borderId="0" xfId="0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/>
    </xf>
    <xf numFmtId="0" fontId="29" fillId="3" borderId="68" xfId="0" applyFont="1" applyFill="1" applyBorder="1" applyAlignment="1">
      <alignment horizontal="center" vertical="center" wrapText="1"/>
    </xf>
    <xf numFmtId="0" fontId="29" fillId="0" borderId="68" xfId="0" applyFont="1" applyBorder="1" applyAlignment="1">
      <alignment horizontal="left" vertical="center" wrapText="1"/>
    </xf>
    <xf numFmtId="0" fontId="27" fillId="0" borderId="68" xfId="0" applyFont="1" applyBorder="1" applyAlignment="1">
      <alignment horizontal="center" vertical="center" wrapText="1"/>
    </xf>
    <xf numFmtId="0" fontId="29" fillId="0" borderId="68" xfId="0" applyFont="1" applyBorder="1" applyAlignment="1">
      <alignment horizontal="center" vertical="center" wrapText="1"/>
    </xf>
    <xf numFmtId="168" fontId="29" fillId="0" borderId="68" xfId="0" applyNumberFormat="1" applyFont="1" applyBorder="1" applyAlignment="1">
      <alignment horizontal="center" vertical="center" wrapText="1"/>
    </xf>
    <xf numFmtId="168" fontId="29" fillId="0" borderId="69" xfId="4" applyNumberFormat="1" applyFont="1" applyBorder="1" applyAlignment="1">
      <alignment vertical="center"/>
    </xf>
    <xf numFmtId="0" fontId="27" fillId="0" borderId="70" xfId="0" applyFont="1" applyBorder="1" applyAlignment="1">
      <alignment horizontal="center" vertical="center"/>
    </xf>
    <xf numFmtId="0" fontId="28" fillId="0" borderId="61" xfId="0" applyFont="1" applyBorder="1" applyAlignment="1">
      <alignment wrapText="1"/>
    </xf>
    <xf numFmtId="0" fontId="27" fillId="0" borderId="63" xfId="0" applyFont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/>
    </xf>
    <xf numFmtId="168" fontId="29" fillId="0" borderId="63" xfId="0" applyNumberFormat="1" applyFont="1" applyBorder="1" applyAlignment="1">
      <alignment horizontal="center" vertical="center" wrapText="1"/>
    </xf>
    <xf numFmtId="168" fontId="29" fillId="0" borderId="71" xfId="0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22" fillId="0" borderId="48" xfId="0" applyFont="1" applyBorder="1" applyAlignment="1">
      <alignment vertical="center"/>
    </xf>
    <xf numFmtId="0" fontId="0" fillId="0" borderId="19" xfId="0" applyBorder="1" applyAlignment="1">
      <alignment vertical="center"/>
    </xf>
    <xf numFmtId="8" fontId="0" fillId="0" borderId="48" xfId="0" applyNumberFormat="1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0" xfId="0" applyAlignment="1">
      <alignment vertical="center"/>
    </xf>
    <xf numFmtId="0" fontId="29" fillId="0" borderId="0" xfId="0" applyFont="1" applyAlignment="1">
      <alignment vertical="center"/>
    </xf>
    <xf numFmtId="0" fontId="20" fillId="3" borderId="54" xfId="0" applyFont="1" applyFill="1" applyBorder="1" applyAlignment="1">
      <alignment horizontal="center" vertical="center"/>
    </xf>
    <xf numFmtId="44" fontId="20" fillId="3" borderId="54" xfId="4" applyFont="1" applyFill="1" applyBorder="1" applyAlignment="1">
      <alignment horizontal="center" vertical="center" wrapText="1"/>
    </xf>
    <xf numFmtId="170" fontId="20" fillId="3" borderId="54" xfId="4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1" fillId="0" borderId="17" xfId="0" applyFont="1" applyBorder="1" applyAlignment="1">
      <alignment horizontal="left" vertical="center" wrapText="1" indent="1"/>
    </xf>
    <xf numFmtId="165" fontId="25" fillId="0" borderId="17" xfId="0" applyNumberFormat="1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4" fillId="0" borderId="59" xfId="0" applyFont="1" applyBorder="1" applyAlignment="1">
      <alignment horizontal="left" vertical="center" wrapText="1"/>
    </xf>
    <xf numFmtId="0" fontId="24" fillId="0" borderId="48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4" fillId="0" borderId="60" xfId="0" applyFont="1" applyBorder="1" applyAlignment="1">
      <alignment vertical="center" wrapText="1"/>
    </xf>
    <xf numFmtId="0" fontId="24" fillId="0" borderId="48" xfId="0" applyFont="1" applyBorder="1" applyAlignment="1">
      <alignment vertical="center" wrapText="1"/>
    </xf>
    <xf numFmtId="0" fontId="24" fillId="0" borderId="53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 indent="1"/>
    </xf>
    <xf numFmtId="0" fontId="7" fillId="0" borderId="48" xfId="0" applyFont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17" xfId="0" applyFont="1" applyBorder="1" applyAlignment="1">
      <alignment horizontal="left" vertical="center" wrapText="1" indent="1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12" fillId="0" borderId="46" xfId="0" applyFont="1" applyBorder="1" applyAlignment="1">
      <alignment horizontal="left" vertical="center" wrapText="1"/>
    </xf>
    <xf numFmtId="0" fontId="0" fillId="0" borderId="24" xfId="0" applyBorder="1"/>
    <xf numFmtId="0" fontId="0" fillId="0" borderId="40" xfId="0" applyBorder="1" applyAlignment="1">
      <alignment horizontal="center" vertical="center"/>
    </xf>
    <xf numFmtId="0" fontId="18" fillId="0" borderId="34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49" fontId="14" fillId="0" borderId="25" xfId="0" applyNumberFormat="1" applyFont="1" applyBorder="1" applyAlignment="1">
      <alignment horizontal="justify" vertical="center" wrapText="1"/>
    </xf>
    <xf numFmtId="0" fontId="16" fillId="0" borderId="2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indent="1"/>
    </xf>
    <xf numFmtId="0" fontId="0" fillId="0" borderId="18" xfId="0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3" fillId="0" borderId="21" xfId="0" applyFont="1" applyBorder="1"/>
    <xf numFmtId="0" fontId="32" fillId="0" borderId="61" xfId="0" applyFont="1" applyBorder="1" applyAlignment="1">
      <alignment horizontal="center" vertical="center" wrapText="1"/>
    </xf>
    <xf numFmtId="0" fontId="32" fillId="0" borderId="58" xfId="0" applyFont="1" applyBorder="1" applyAlignment="1">
      <alignment horizontal="center" vertical="center" wrapText="1"/>
    </xf>
    <xf numFmtId="0" fontId="31" fillId="0" borderId="64" xfId="0" applyFont="1" applyBorder="1" applyAlignment="1">
      <alignment horizontal="center" vertical="center"/>
    </xf>
    <xf numFmtId="0" fontId="33" fillId="3" borderId="58" xfId="0" applyFont="1" applyFill="1" applyBorder="1" applyAlignment="1">
      <alignment horizontal="center" vertical="center" wrapText="1"/>
    </xf>
    <xf numFmtId="0" fontId="34" fillId="0" borderId="58" xfId="0" applyFont="1" applyBorder="1" applyAlignment="1">
      <alignment wrapText="1"/>
    </xf>
    <xf numFmtId="0" fontId="27" fillId="0" borderId="54" xfId="0" applyFont="1" applyBorder="1" applyAlignment="1">
      <alignment horizontal="left" vertical="center" wrapText="1"/>
    </xf>
    <xf numFmtId="0" fontId="33" fillId="3" borderId="58" xfId="0" applyFont="1" applyFill="1" applyBorder="1" applyAlignment="1">
      <alignment wrapText="1"/>
    </xf>
  </cellXfs>
  <cellStyles count="5">
    <cellStyle name="Encabezado 1" xfId="1"/>
    <cellStyle name="Moneda" xfId="4" builtinId="4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0"/>
  <sheetViews>
    <sheetView workbookViewId="0">
      <selection activeCell="D11" sqref="D11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6" bestFit="1" customWidth="1"/>
    <col min="5" max="5" width="34" bestFit="1" customWidth="1"/>
    <col min="7" max="7" width="13.42578125" customWidth="1"/>
    <col min="8" max="8" width="11.5703125" bestFit="1" customWidth="1"/>
    <col min="9" max="9" width="14.42578125" bestFit="1" customWidth="1"/>
  </cols>
  <sheetData>
    <row r="2" spans="1:9" ht="18" x14ac:dyDescent="0.2">
      <c r="B2" s="117" t="s">
        <v>50</v>
      </c>
      <c r="C2" s="117"/>
      <c r="D2" s="117"/>
      <c r="E2" s="117"/>
      <c r="F2" s="117"/>
      <c r="G2" s="117"/>
      <c r="H2" s="117"/>
      <c r="I2" s="117"/>
    </row>
    <row r="4" spans="1:9" x14ac:dyDescent="0.2">
      <c r="A4" s="53" t="s">
        <v>56</v>
      </c>
      <c r="B4" s="53"/>
      <c r="C4" s="53"/>
      <c r="D4" s="53"/>
      <c r="E4" s="53"/>
      <c r="F4" s="53"/>
      <c r="G4" s="53"/>
      <c r="H4" s="53"/>
      <c r="I4" s="53"/>
    </row>
    <row r="5" spans="1:9" x14ac:dyDescent="0.2">
      <c r="A5" s="53" t="s">
        <v>65</v>
      </c>
      <c r="B5" s="53"/>
      <c r="C5" s="53"/>
      <c r="D5" s="53"/>
      <c r="E5" s="53"/>
      <c r="F5" s="53"/>
      <c r="G5" s="53"/>
      <c r="H5" s="53"/>
      <c r="I5" s="53"/>
    </row>
    <row r="6" spans="1:9" x14ac:dyDescent="0.2">
      <c r="A6" s="53" t="s">
        <v>57</v>
      </c>
      <c r="B6" s="53"/>
      <c r="C6" s="53"/>
      <c r="D6" s="53"/>
      <c r="E6" s="53"/>
      <c r="F6" s="53"/>
      <c r="G6" s="53"/>
      <c r="H6" s="53"/>
      <c r="I6" s="53"/>
    </row>
    <row r="7" spans="1:9" x14ac:dyDescent="0.2">
      <c r="A7" s="53" t="s">
        <v>101</v>
      </c>
      <c r="B7" s="53"/>
      <c r="C7" s="53"/>
      <c r="D7" s="53"/>
      <c r="E7" s="53"/>
      <c r="F7" s="53"/>
      <c r="G7" s="53"/>
      <c r="H7" s="53"/>
      <c r="I7" s="53"/>
    </row>
    <row r="8" spans="1:9" x14ac:dyDescent="0.2">
      <c r="A8" s="53"/>
      <c r="B8" s="53"/>
      <c r="C8" s="53"/>
      <c r="D8" s="53"/>
      <c r="E8" s="53"/>
      <c r="F8" s="53"/>
      <c r="G8" s="53"/>
      <c r="H8" s="53"/>
      <c r="I8" s="53"/>
    </row>
    <row r="9" spans="1:9" ht="13.5" thickBot="1" x14ac:dyDescent="0.25">
      <c r="A9" s="53"/>
      <c r="B9" s="53"/>
      <c r="C9" s="53"/>
      <c r="D9" s="53"/>
      <c r="E9" s="53"/>
      <c r="F9" s="53"/>
      <c r="G9" s="53"/>
      <c r="H9" s="53"/>
      <c r="I9" s="53"/>
    </row>
    <row r="10" spans="1:9" ht="38.25" customHeight="1" x14ac:dyDescent="0.2">
      <c r="A10" s="55" t="s">
        <v>37</v>
      </c>
      <c r="B10" s="82" t="s">
        <v>38</v>
      </c>
      <c r="C10" s="56" t="s">
        <v>39</v>
      </c>
      <c r="D10" s="56" t="s">
        <v>40</v>
      </c>
      <c r="E10" s="56" t="s">
        <v>41</v>
      </c>
      <c r="F10" s="57" t="s">
        <v>42</v>
      </c>
      <c r="G10" s="56" t="s">
        <v>43</v>
      </c>
      <c r="H10" s="57" t="s">
        <v>44</v>
      </c>
      <c r="I10" s="58" t="s">
        <v>105</v>
      </c>
    </row>
    <row r="11" spans="1:9" ht="38.25" customHeight="1" x14ac:dyDescent="0.2">
      <c r="A11" s="64">
        <v>1</v>
      </c>
      <c r="B11" s="163" t="s">
        <v>94</v>
      </c>
      <c r="C11" s="64" t="s">
        <v>68</v>
      </c>
      <c r="D11" s="64">
        <v>244</v>
      </c>
      <c r="E11" s="167" t="s">
        <v>95</v>
      </c>
      <c r="F11" s="66" t="s">
        <v>36</v>
      </c>
      <c r="G11" s="71">
        <v>18</v>
      </c>
      <c r="H11" s="69">
        <v>103460</v>
      </c>
      <c r="I11" s="69">
        <f t="shared" ref="I11:I12" si="0">G11*H11</f>
        <v>1862280</v>
      </c>
    </row>
    <row r="12" spans="1:9" ht="51.75" customHeight="1" x14ac:dyDescent="0.2">
      <c r="A12" s="64">
        <v>2</v>
      </c>
      <c r="B12" s="164" t="s">
        <v>96</v>
      </c>
      <c r="C12" s="64" t="s">
        <v>68</v>
      </c>
      <c r="D12" s="64">
        <v>244</v>
      </c>
      <c r="E12" s="167" t="s">
        <v>97</v>
      </c>
      <c r="F12" s="66" t="s">
        <v>36</v>
      </c>
      <c r="G12" s="71">
        <v>4</v>
      </c>
      <c r="H12" s="69">
        <v>162300</v>
      </c>
      <c r="I12" s="69">
        <f t="shared" si="0"/>
        <v>649200</v>
      </c>
    </row>
    <row r="13" spans="1:9" ht="49.5" customHeight="1" x14ac:dyDescent="0.2">
      <c r="A13" s="64">
        <v>3</v>
      </c>
      <c r="B13" s="165" t="s">
        <v>92</v>
      </c>
      <c r="C13" s="64" t="s">
        <v>68</v>
      </c>
      <c r="D13" s="64" t="s">
        <v>76</v>
      </c>
      <c r="E13" s="168" t="s">
        <v>93</v>
      </c>
      <c r="F13" s="66" t="s">
        <v>36</v>
      </c>
      <c r="G13" s="67">
        <v>4</v>
      </c>
      <c r="H13" s="69">
        <v>176520</v>
      </c>
      <c r="I13" s="70">
        <f t="shared" ref="I13" si="1">+G13*H13</f>
        <v>706080</v>
      </c>
    </row>
    <row r="14" spans="1:9" ht="38.25" customHeight="1" x14ac:dyDescent="0.2">
      <c r="A14" s="64">
        <v>4</v>
      </c>
      <c r="B14" s="166" t="s">
        <v>98</v>
      </c>
      <c r="C14" s="64" t="s">
        <v>68</v>
      </c>
      <c r="D14" s="64" t="s">
        <v>76</v>
      </c>
      <c r="E14" s="169" t="s">
        <v>99</v>
      </c>
      <c r="F14" s="66" t="s">
        <v>36</v>
      </c>
      <c r="G14" s="114">
        <v>4</v>
      </c>
      <c r="H14" s="116">
        <v>62380</v>
      </c>
      <c r="I14" s="115">
        <f>G14*H14</f>
        <v>249520</v>
      </c>
    </row>
    <row r="18" spans="2:9" ht="13.5" thickBot="1" x14ac:dyDescent="0.25"/>
    <row r="19" spans="2:9" x14ac:dyDescent="0.2">
      <c r="B19" s="45"/>
      <c r="C19" s="15"/>
      <c r="D19" s="15"/>
      <c r="E19" s="15"/>
      <c r="F19" s="15"/>
      <c r="G19" s="15"/>
      <c r="H19" s="15"/>
      <c r="I19" s="46"/>
    </row>
    <row r="20" spans="2:9" x14ac:dyDescent="0.2">
      <c r="B20" s="47" t="s">
        <v>100</v>
      </c>
      <c r="I20" s="18"/>
    </row>
    <row r="21" spans="2:9" x14ac:dyDescent="0.2">
      <c r="B21" s="16"/>
      <c r="I21" s="18"/>
    </row>
    <row r="22" spans="2:9" x14ac:dyDescent="0.2">
      <c r="B22" s="16"/>
      <c r="C22" s="44" t="s">
        <v>45</v>
      </c>
      <c r="I22" s="18"/>
    </row>
    <row r="23" spans="2:9" x14ac:dyDescent="0.2">
      <c r="B23" s="16"/>
      <c r="D23" s="52" t="s">
        <v>58</v>
      </c>
      <c r="I23" s="18"/>
    </row>
    <row r="24" spans="2:9" x14ac:dyDescent="0.2">
      <c r="B24" s="16"/>
      <c r="C24" s="44" t="s">
        <v>46</v>
      </c>
      <c r="I24" s="18"/>
    </row>
    <row r="25" spans="2:9" x14ac:dyDescent="0.2">
      <c r="B25" s="16"/>
      <c r="C25" s="43"/>
      <c r="D25" s="52" t="s">
        <v>69</v>
      </c>
      <c r="I25" s="18"/>
    </row>
    <row r="26" spans="2:9" x14ac:dyDescent="0.2">
      <c r="B26" s="16"/>
      <c r="C26" s="43"/>
      <c r="D26" s="52" t="s">
        <v>49</v>
      </c>
      <c r="I26" s="18"/>
    </row>
    <row r="27" spans="2:9" x14ac:dyDescent="0.2">
      <c r="B27" s="16"/>
      <c r="C27" s="43"/>
      <c r="I27" s="18"/>
    </row>
    <row r="28" spans="2:9" x14ac:dyDescent="0.2">
      <c r="B28" s="16"/>
      <c r="C28" s="44" t="s">
        <v>51</v>
      </c>
      <c r="D28" s="52" t="s">
        <v>70</v>
      </c>
      <c r="I28" s="18"/>
    </row>
    <row r="29" spans="2:9" x14ac:dyDescent="0.2">
      <c r="B29" s="16"/>
      <c r="C29" s="44" t="s">
        <v>47</v>
      </c>
      <c r="D29" s="52" t="s">
        <v>60</v>
      </c>
      <c r="I29" s="18"/>
    </row>
    <row r="30" spans="2:9" ht="13.5" thickBot="1" x14ac:dyDescent="0.25">
      <c r="B30" s="48"/>
      <c r="C30" s="49" t="s">
        <v>48</v>
      </c>
      <c r="D30" s="63" t="s">
        <v>71</v>
      </c>
      <c r="E30" s="50"/>
      <c r="F30" s="50"/>
      <c r="G30" s="50"/>
      <c r="H30" s="50"/>
      <c r="I30" s="51"/>
    </row>
  </sheetData>
  <mergeCells count="1">
    <mergeCell ref="B2:I2"/>
  </mergeCells>
  <phoneticPr fontId="30" type="noConversion"/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zoomScale="80" zoomScaleNormal="80" workbookViewId="0">
      <selection activeCell="C15" sqref="C15:G15"/>
    </sheetView>
  </sheetViews>
  <sheetFormatPr baseColWidth="10" defaultColWidth="9.140625" defaultRowHeight="12.75" x14ac:dyDescent="0.2"/>
  <cols>
    <col min="1" max="1" width="5.5703125" style="1" customWidth="1"/>
    <col min="2" max="2" width="16.57031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40" t="s">
        <v>0</v>
      </c>
      <c r="B1" s="140"/>
      <c r="C1" s="140"/>
      <c r="D1" s="140"/>
      <c r="E1" s="140"/>
      <c r="F1" s="140"/>
      <c r="G1" s="140"/>
      <c r="H1" s="140"/>
      <c r="I1" s="140"/>
      <c r="J1" s="2" t="s">
        <v>1</v>
      </c>
      <c r="K1" s="3"/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133" t="s">
        <v>2</v>
      </c>
      <c r="B3" s="133"/>
      <c r="C3" s="133"/>
      <c r="D3" s="130" t="s">
        <v>53</v>
      </c>
      <c r="E3" s="131"/>
      <c r="F3" s="131"/>
      <c r="G3" s="131"/>
      <c r="H3" s="131"/>
      <c r="I3" s="131"/>
      <c r="J3" s="131"/>
      <c r="K3" s="132"/>
    </row>
    <row r="4" spans="1:11" ht="18.75" customHeight="1" thickBot="1" x14ac:dyDescent="0.25">
      <c r="A4" s="129" t="s">
        <v>3</v>
      </c>
      <c r="B4" s="129"/>
      <c r="C4" s="129"/>
      <c r="D4" s="130" t="s">
        <v>61</v>
      </c>
      <c r="E4" s="131"/>
      <c r="F4" s="131"/>
      <c r="G4" s="131"/>
      <c r="H4" s="131"/>
      <c r="I4" s="131"/>
      <c r="J4" s="131"/>
      <c r="K4" s="132"/>
    </row>
    <row r="5" spans="1:11" ht="18.75" customHeight="1" thickBot="1" x14ac:dyDescent="0.25">
      <c r="A5" s="129" t="s">
        <v>4</v>
      </c>
      <c r="B5" s="129"/>
      <c r="C5" s="129"/>
      <c r="D5" s="130" t="s">
        <v>54</v>
      </c>
      <c r="E5" s="131"/>
      <c r="F5" s="131"/>
      <c r="G5" s="131"/>
      <c r="H5" s="131"/>
      <c r="I5" s="131"/>
      <c r="J5" s="131"/>
      <c r="K5" s="132"/>
    </row>
    <row r="6" spans="1:11" ht="16.5" customHeight="1" thickBot="1" x14ac:dyDescent="0.25">
      <c r="A6" s="133" t="s">
        <v>5</v>
      </c>
      <c r="B6" s="133"/>
      <c r="C6" s="133"/>
      <c r="D6" s="130" t="s">
        <v>54</v>
      </c>
      <c r="E6" s="131"/>
      <c r="F6" s="131"/>
      <c r="G6" s="131"/>
      <c r="H6" s="131"/>
      <c r="I6" s="131"/>
      <c r="J6" s="131"/>
      <c r="K6" s="132"/>
    </row>
    <row r="7" spans="1:11" ht="16.5" customHeight="1" thickBot="1" x14ac:dyDescent="0.25">
      <c r="A7" s="129" t="s">
        <v>6</v>
      </c>
      <c r="B7" s="129"/>
      <c r="C7" s="129"/>
      <c r="D7" s="134" t="s">
        <v>77</v>
      </c>
      <c r="E7" s="134"/>
      <c r="F7" s="134"/>
      <c r="G7" s="134"/>
      <c r="H7" s="134"/>
      <c r="I7" s="134"/>
      <c r="J7" s="134"/>
      <c r="K7" s="134"/>
    </row>
    <row r="8" spans="1:11" ht="40.5" customHeight="1" thickBot="1" x14ac:dyDescent="0.25">
      <c r="A8" s="135" t="s">
        <v>7</v>
      </c>
      <c r="B8" s="135"/>
      <c r="C8" s="135"/>
      <c r="D8" s="136" t="s">
        <v>104</v>
      </c>
      <c r="E8" s="136"/>
      <c r="F8" s="136"/>
      <c r="G8" s="136"/>
      <c r="H8" s="136"/>
      <c r="I8" s="136"/>
      <c r="J8" s="136"/>
      <c r="K8" s="136"/>
    </row>
    <row r="9" spans="1:11" ht="16.5" thickBo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 x14ac:dyDescent="0.25">
      <c r="A10" s="137" t="s">
        <v>8</v>
      </c>
      <c r="B10" s="121" t="s">
        <v>9</v>
      </c>
      <c r="C10" s="138" t="s">
        <v>10</v>
      </c>
      <c r="D10" s="139"/>
      <c r="E10" s="139"/>
      <c r="F10" s="139"/>
      <c r="G10" s="139"/>
      <c r="H10" s="139" t="s">
        <v>11</v>
      </c>
      <c r="I10" s="120" t="s">
        <v>12</v>
      </c>
      <c r="J10" s="121" t="s">
        <v>13</v>
      </c>
      <c r="K10" s="121" t="s">
        <v>14</v>
      </c>
    </row>
    <row r="11" spans="1:11" ht="24" customHeight="1" thickBot="1" x14ac:dyDescent="0.25">
      <c r="A11" s="137"/>
      <c r="B11" s="122"/>
      <c r="C11" s="138"/>
      <c r="D11" s="139"/>
      <c r="E11" s="139"/>
      <c r="F11" s="139"/>
      <c r="G11" s="139"/>
      <c r="H11" s="139"/>
      <c r="I11" s="120"/>
      <c r="J11" s="122"/>
      <c r="K11" s="122"/>
    </row>
    <row r="12" spans="1:11" ht="51.75" customHeight="1" thickBot="1" x14ac:dyDescent="0.25">
      <c r="A12" s="54">
        <v>1</v>
      </c>
      <c r="B12" s="163" t="s">
        <v>94</v>
      </c>
      <c r="C12" s="123" t="s">
        <v>95</v>
      </c>
      <c r="D12" s="124" t="s">
        <v>55</v>
      </c>
      <c r="E12" s="124" t="s">
        <v>55</v>
      </c>
      <c r="F12" s="124" t="s">
        <v>55</v>
      </c>
      <c r="G12" s="125" t="s">
        <v>55</v>
      </c>
      <c r="H12" s="78" t="s">
        <v>63</v>
      </c>
      <c r="I12" s="79" t="s">
        <v>64</v>
      </c>
      <c r="J12" s="69">
        <v>103460</v>
      </c>
      <c r="K12" s="71">
        <v>18</v>
      </c>
    </row>
    <row r="13" spans="1:11" ht="45" customHeight="1" thickBot="1" x14ac:dyDescent="0.25">
      <c r="A13" s="54">
        <v>2</v>
      </c>
      <c r="B13" s="164" t="s">
        <v>96</v>
      </c>
      <c r="C13" s="123" t="s">
        <v>97</v>
      </c>
      <c r="D13" s="124" t="s">
        <v>74</v>
      </c>
      <c r="E13" s="124" t="s">
        <v>74</v>
      </c>
      <c r="F13" s="124" t="s">
        <v>74</v>
      </c>
      <c r="G13" s="125" t="s">
        <v>74</v>
      </c>
      <c r="H13" s="78" t="s">
        <v>63</v>
      </c>
      <c r="I13" s="79" t="s">
        <v>64</v>
      </c>
      <c r="J13" s="69">
        <v>162300</v>
      </c>
      <c r="K13" s="71">
        <v>4</v>
      </c>
    </row>
    <row r="14" spans="1:11" ht="48" customHeight="1" thickBot="1" x14ac:dyDescent="0.25">
      <c r="A14" s="54">
        <v>3</v>
      </c>
      <c r="B14" s="165" t="s">
        <v>92</v>
      </c>
      <c r="C14" s="126" t="s">
        <v>93</v>
      </c>
      <c r="D14" s="127"/>
      <c r="E14" s="127"/>
      <c r="F14" s="127"/>
      <c r="G14" s="128"/>
      <c r="H14" s="78" t="s">
        <v>63</v>
      </c>
      <c r="I14" s="79" t="s">
        <v>64</v>
      </c>
      <c r="J14" s="69">
        <v>176520</v>
      </c>
      <c r="K14" s="67">
        <v>4</v>
      </c>
    </row>
    <row r="15" spans="1:11" ht="59.25" customHeight="1" thickBot="1" x14ac:dyDescent="0.25">
      <c r="A15" s="54">
        <v>4</v>
      </c>
      <c r="B15" s="166" t="s">
        <v>98</v>
      </c>
      <c r="C15" s="126" t="s">
        <v>99</v>
      </c>
      <c r="D15" s="127"/>
      <c r="E15" s="127"/>
      <c r="F15" s="127"/>
      <c r="G15" s="128"/>
      <c r="H15" s="78" t="s">
        <v>63</v>
      </c>
      <c r="I15" s="79" t="s">
        <v>64</v>
      </c>
      <c r="J15" s="116">
        <v>62380</v>
      </c>
      <c r="K15" s="114">
        <v>4</v>
      </c>
    </row>
    <row r="16" spans="1:11" ht="39.75" customHeight="1" thickBot="1" x14ac:dyDescent="0.25">
      <c r="A16" s="118" t="s">
        <v>102</v>
      </c>
      <c r="B16" s="118"/>
      <c r="C16" s="118"/>
      <c r="D16" s="118"/>
      <c r="E16" s="118"/>
      <c r="F16" s="118"/>
      <c r="G16" s="118"/>
      <c r="H16" s="118"/>
      <c r="I16" s="118"/>
      <c r="J16" s="119">
        <f>SUM(J12*K12+J13*K13+J14*K14+J15*K15)</f>
        <v>3467080</v>
      </c>
      <c r="K16" s="119"/>
    </row>
  </sheetData>
  <mergeCells count="26">
    <mergeCell ref="A1:I1"/>
    <mergeCell ref="A3:C3"/>
    <mergeCell ref="D3:K3"/>
    <mergeCell ref="A4:C4"/>
    <mergeCell ref="D4:K4"/>
    <mergeCell ref="A8:C8"/>
    <mergeCell ref="D8:K8"/>
    <mergeCell ref="A10:A11"/>
    <mergeCell ref="B10:B11"/>
    <mergeCell ref="C10:G11"/>
    <mergeCell ref="H10:H11"/>
    <mergeCell ref="A5:C5"/>
    <mergeCell ref="D5:K5"/>
    <mergeCell ref="A6:C6"/>
    <mergeCell ref="D6:K6"/>
    <mergeCell ref="A7:C7"/>
    <mergeCell ref="D7:K7"/>
    <mergeCell ref="A16:I16"/>
    <mergeCell ref="J16:K16"/>
    <mergeCell ref="I10:I11"/>
    <mergeCell ref="J10:J11"/>
    <mergeCell ref="K10:K11"/>
    <mergeCell ref="C13:G13"/>
    <mergeCell ref="C12:G12"/>
    <mergeCell ref="C14:G14"/>
    <mergeCell ref="C15:G1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tabSelected="1" topLeftCell="A7" zoomScale="110" zoomScaleNormal="110" workbookViewId="0">
      <selection activeCell="O15" sqref="O15:P15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12" customWidth="1"/>
    <col min="8" max="14" width="4.42578125" customWidth="1"/>
    <col min="15" max="16" width="14.85546875" customWidth="1"/>
    <col min="17" max="17" width="14.7109375" customWidth="1"/>
    <col min="19" max="19" width="13.42578125" bestFit="1" customWidth="1"/>
    <col min="20" max="20" width="11.85546875" bestFit="1" customWidth="1"/>
  </cols>
  <sheetData>
    <row r="1" spans="1:17" ht="15.75" customHeight="1" x14ac:dyDescent="0.25">
      <c r="A1" s="159" t="s">
        <v>15</v>
      </c>
      <c r="B1" s="159"/>
      <c r="C1" s="159"/>
      <c r="D1" s="160">
        <v>2022</v>
      </c>
      <c r="E1" s="160"/>
      <c r="F1" s="13"/>
      <c r="G1" s="13"/>
      <c r="H1" s="14"/>
      <c r="I1" s="14"/>
      <c r="J1" s="14"/>
      <c r="K1" s="14"/>
      <c r="L1" s="14"/>
      <c r="M1" s="14"/>
      <c r="N1" s="14"/>
      <c r="O1" s="15"/>
      <c r="P1" s="161" t="s">
        <v>16</v>
      </c>
      <c r="Q1" s="161"/>
    </row>
    <row r="2" spans="1:17" ht="15.75" customHeight="1" x14ac:dyDescent="0.2">
      <c r="A2" s="16"/>
      <c r="H2" s="17"/>
      <c r="I2" s="17"/>
      <c r="J2" s="17"/>
      <c r="K2" s="17"/>
      <c r="L2" s="17"/>
      <c r="M2" s="17"/>
      <c r="N2" s="17"/>
      <c r="P2" s="161"/>
      <c r="Q2" s="161"/>
    </row>
    <row r="3" spans="1:17" x14ac:dyDescent="0.2">
      <c r="A3" s="16"/>
      <c r="Q3" s="18"/>
    </row>
    <row r="4" spans="1:17" s="19" customFormat="1" ht="18" customHeight="1" thickBot="1" x14ac:dyDescent="0.25">
      <c r="A4" s="162" t="s">
        <v>17</v>
      </c>
      <c r="B4" s="162"/>
      <c r="C4" s="162"/>
      <c r="D4" s="162"/>
      <c r="E4" s="162"/>
      <c r="F4" s="162"/>
      <c r="G4" s="158" t="s">
        <v>53</v>
      </c>
      <c r="H4" s="158"/>
      <c r="I4" s="158"/>
      <c r="J4" s="158"/>
      <c r="K4" s="158"/>
      <c r="L4" s="158"/>
      <c r="M4" s="158"/>
      <c r="N4" s="158"/>
      <c r="O4" s="158"/>
      <c r="P4" s="158"/>
      <c r="Q4" s="158"/>
    </row>
    <row r="5" spans="1:17" s="19" customFormat="1" ht="18" customHeight="1" thickBot="1" x14ac:dyDescent="0.25">
      <c r="A5" s="157" t="s">
        <v>3</v>
      </c>
      <c r="B5" s="157"/>
      <c r="C5" s="157"/>
      <c r="D5" s="157"/>
      <c r="E5" s="157"/>
      <c r="F5" s="157"/>
      <c r="G5" s="158" t="s">
        <v>61</v>
      </c>
      <c r="H5" s="158"/>
      <c r="I5" s="158"/>
      <c r="J5" s="158"/>
      <c r="K5" s="158"/>
      <c r="L5" s="158"/>
      <c r="M5" s="158"/>
      <c r="N5" s="158"/>
      <c r="O5" s="158"/>
      <c r="P5" s="158"/>
      <c r="Q5" s="158"/>
    </row>
    <row r="6" spans="1:17" s="19" customFormat="1" ht="18" customHeight="1" thickBot="1" x14ac:dyDescent="0.25">
      <c r="A6" s="157" t="s">
        <v>4</v>
      </c>
      <c r="B6" s="157"/>
      <c r="C6" s="157"/>
      <c r="D6" s="157"/>
      <c r="E6" s="157"/>
      <c r="F6" s="157"/>
      <c r="G6" s="158" t="s">
        <v>54</v>
      </c>
      <c r="H6" s="158"/>
      <c r="I6" s="158"/>
      <c r="J6" s="158"/>
      <c r="K6" s="158"/>
      <c r="L6" s="158"/>
      <c r="M6" s="158"/>
      <c r="N6" s="158"/>
      <c r="O6" s="158"/>
      <c r="P6" s="158"/>
      <c r="Q6" s="158"/>
    </row>
    <row r="7" spans="1:17" s="19" customFormat="1" ht="22.5" customHeight="1" thickBot="1" x14ac:dyDescent="0.25">
      <c r="A7" s="157" t="s">
        <v>5</v>
      </c>
      <c r="B7" s="157"/>
      <c r="C7" s="157"/>
      <c r="D7" s="157"/>
      <c r="E7" s="157"/>
      <c r="F7" s="157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</row>
    <row r="8" spans="1:17" ht="18" customHeight="1" thickBot="1" x14ac:dyDescent="0.25">
      <c r="A8" s="150" t="s">
        <v>59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</row>
    <row r="9" spans="1:17" ht="18" customHeight="1" x14ac:dyDescent="0.2">
      <c r="A9" s="151" t="s">
        <v>18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</row>
    <row r="10" spans="1:17" ht="66" customHeight="1" x14ac:dyDescent="0.2">
      <c r="A10" s="152" t="s">
        <v>78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 spans="1:17" ht="9" customHeight="1" x14ac:dyDescent="0.2">
      <c r="A11" s="20"/>
      <c r="B11" s="21"/>
      <c r="C11" s="21"/>
      <c r="D11" s="21"/>
      <c r="E11" s="21"/>
      <c r="F11" s="21"/>
      <c r="G11" s="22"/>
      <c r="H11" s="21"/>
      <c r="I11" s="21"/>
      <c r="J11" s="21"/>
      <c r="K11" s="21"/>
      <c r="L11" s="21"/>
      <c r="M11" s="21"/>
      <c r="N11" s="21"/>
      <c r="O11" s="21"/>
      <c r="P11" s="21"/>
      <c r="Q11" s="23"/>
    </row>
    <row r="12" spans="1:17" ht="15.75" customHeight="1" x14ac:dyDescent="0.2">
      <c r="A12" s="153" t="s">
        <v>19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</row>
    <row r="13" spans="1:17" ht="15.75" customHeight="1" x14ac:dyDescent="0.2">
      <c r="A13" s="154" t="s">
        <v>20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5" t="s">
        <v>21</v>
      </c>
      <c r="P13" s="155"/>
      <c r="Q13" s="156" t="s">
        <v>22</v>
      </c>
    </row>
    <row r="14" spans="1:17" ht="15.75" customHeight="1" thickBot="1" x14ac:dyDescent="0.25">
      <c r="A14" s="76" t="s">
        <v>23</v>
      </c>
      <c r="B14" s="24" t="s">
        <v>24</v>
      </c>
      <c r="C14" s="24" t="s">
        <v>66</v>
      </c>
      <c r="D14" s="74" t="s">
        <v>25</v>
      </c>
      <c r="E14" s="24" t="s">
        <v>26</v>
      </c>
      <c r="F14" s="24" t="s">
        <v>27</v>
      </c>
      <c r="G14" s="25" t="s">
        <v>28</v>
      </c>
      <c r="H14" s="24" t="s">
        <v>29</v>
      </c>
      <c r="I14" s="24" t="s">
        <v>30</v>
      </c>
      <c r="J14" s="24" t="s">
        <v>31</v>
      </c>
      <c r="K14" s="24" t="s">
        <v>31</v>
      </c>
      <c r="L14" s="24" t="s">
        <v>32</v>
      </c>
      <c r="M14" s="26" t="s">
        <v>33</v>
      </c>
      <c r="N14" s="27" t="s">
        <v>34</v>
      </c>
      <c r="O14" s="155"/>
      <c r="P14" s="155"/>
      <c r="Q14" s="156"/>
    </row>
    <row r="15" spans="1:17" ht="13.5" thickBot="1" x14ac:dyDescent="0.25">
      <c r="A15" s="77">
        <v>1</v>
      </c>
      <c r="B15" s="60">
        <v>0</v>
      </c>
      <c r="C15" s="60">
        <v>0</v>
      </c>
      <c r="D15" s="75">
        <v>1</v>
      </c>
      <c r="E15" s="60">
        <v>0</v>
      </c>
      <c r="F15" s="60">
        <v>4901</v>
      </c>
      <c r="G15" s="60">
        <v>1</v>
      </c>
      <c r="H15" s="60">
        <v>3</v>
      </c>
      <c r="I15" s="60">
        <v>2</v>
      </c>
      <c r="J15" s="60">
        <v>4</v>
      </c>
      <c r="K15" s="60">
        <v>4</v>
      </c>
      <c r="L15" s="60">
        <v>0</v>
      </c>
      <c r="M15" s="61">
        <v>1</v>
      </c>
      <c r="N15" s="60" t="s">
        <v>62</v>
      </c>
      <c r="O15" s="149" t="s">
        <v>67</v>
      </c>
      <c r="P15" s="149"/>
      <c r="Q15" s="42">
        <v>3467080</v>
      </c>
    </row>
    <row r="16" spans="1:17" ht="17.25" customHeight="1" thickBot="1" x14ac:dyDescent="0.25">
      <c r="A16" s="77"/>
      <c r="B16" s="60"/>
      <c r="C16" s="60"/>
      <c r="D16" s="75"/>
      <c r="E16" s="60"/>
      <c r="F16" s="60"/>
      <c r="G16" s="60"/>
      <c r="H16" s="60"/>
      <c r="I16" s="60"/>
      <c r="J16" s="60"/>
      <c r="K16" s="60"/>
      <c r="L16" s="60"/>
      <c r="M16" s="61"/>
      <c r="N16" s="60"/>
      <c r="O16" s="149"/>
      <c r="P16" s="149"/>
      <c r="Q16" s="42"/>
    </row>
    <row r="17" spans="1:20" ht="17.25" customHeight="1" thickBot="1" x14ac:dyDescent="0.25">
      <c r="A17" s="77"/>
      <c r="B17" s="60"/>
      <c r="C17" s="60"/>
      <c r="D17" s="75"/>
      <c r="E17" s="60"/>
      <c r="F17" s="60"/>
      <c r="G17" s="60"/>
      <c r="H17" s="60"/>
      <c r="I17" s="60"/>
      <c r="J17" s="60"/>
      <c r="K17" s="60"/>
      <c r="L17" s="60"/>
      <c r="M17" s="61"/>
      <c r="N17" s="60"/>
      <c r="O17" s="149"/>
      <c r="P17" s="149"/>
      <c r="Q17" s="62"/>
    </row>
    <row r="18" spans="1:20" ht="17.25" customHeight="1" thickBot="1" x14ac:dyDescent="0.25">
      <c r="A18" s="77"/>
      <c r="B18" s="60"/>
      <c r="C18" s="60"/>
      <c r="D18" s="75"/>
      <c r="E18" s="60"/>
      <c r="F18" s="60"/>
      <c r="G18" s="60"/>
      <c r="H18" s="60"/>
      <c r="I18" s="60"/>
      <c r="J18" s="60"/>
      <c r="K18" s="60"/>
      <c r="L18" s="60"/>
      <c r="M18" s="61"/>
      <c r="N18" s="60"/>
      <c r="O18" s="149"/>
      <c r="P18" s="149"/>
      <c r="Q18" s="73"/>
    </row>
    <row r="19" spans="1:20" ht="17.25" customHeight="1" thickBot="1" x14ac:dyDescent="0.25">
      <c r="A19" s="77"/>
      <c r="B19" s="60"/>
      <c r="C19" s="60"/>
      <c r="D19" s="75"/>
      <c r="E19" s="60"/>
      <c r="F19" s="60"/>
      <c r="G19" s="60"/>
      <c r="H19" s="60"/>
      <c r="I19" s="60"/>
      <c r="J19" s="60"/>
      <c r="K19" s="60"/>
      <c r="L19" s="60"/>
      <c r="M19" s="61"/>
      <c r="N19" s="60"/>
      <c r="O19" s="149"/>
      <c r="P19" s="149"/>
      <c r="Q19" s="73"/>
    </row>
    <row r="20" spans="1:20" ht="17.25" customHeight="1" x14ac:dyDescent="0.2">
      <c r="A20" s="59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60"/>
      <c r="O20" s="149"/>
      <c r="P20" s="149"/>
      <c r="Q20" s="32"/>
    </row>
    <row r="21" spans="1:20" ht="17.25" customHeight="1" x14ac:dyDescent="0.2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0"/>
      <c r="N21" s="31"/>
      <c r="O21" s="148"/>
      <c r="P21" s="148"/>
      <c r="Q21" s="32"/>
      <c r="S21" s="72"/>
    </row>
    <row r="22" spans="1:20" ht="17.25" customHeight="1" x14ac:dyDescent="0.2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0"/>
      <c r="N22" s="31"/>
      <c r="O22" s="148"/>
      <c r="P22" s="148"/>
      <c r="Q22" s="32"/>
    </row>
    <row r="23" spans="1:20" ht="17.25" customHeight="1" x14ac:dyDescent="0.2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0"/>
      <c r="N23" s="31"/>
      <c r="O23" s="148"/>
      <c r="P23" s="148"/>
      <c r="Q23" s="32"/>
      <c r="S23" s="72"/>
      <c r="T23" s="72"/>
    </row>
    <row r="24" spans="1:20" ht="17.25" customHeight="1" x14ac:dyDescent="0.2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0"/>
      <c r="N24" s="31"/>
      <c r="O24" s="148"/>
      <c r="P24" s="148"/>
      <c r="Q24" s="32"/>
    </row>
    <row r="25" spans="1:20" ht="17.25" customHeight="1" x14ac:dyDescent="0.2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0"/>
      <c r="N25" s="31"/>
      <c r="O25" s="148"/>
      <c r="P25" s="148"/>
      <c r="Q25" s="32"/>
    </row>
    <row r="26" spans="1:20" ht="17.25" customHeight="1" x14ac:dyDescent="0.2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0"/>
      <c r="N26" s="31"/>
      <c r="O26" s="148"/>
      <c r="P26" s="148"/>
      <c r="Q26" s="32"/>
    </row>
    <row r="27" spans="1:20" ht="17.25" customHeight="1" x14ac:dyDescent="0.2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0"/>
      <c r="N27" s="31"/>
      <c r="O27" s="148"/>
      <c r="P27" s="148"/>
      <c r="Q27" s="32"/>
    </row>
    <row r="28" spans="1:20" ht="17.25" customHeight="1" x14ac:dyDescent="0.2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0"/>
      <c r="N28" s="31"/>
      <c r="O28" s="148"/>
      <c r="P28" s="148"/>
      <c r="Q28" s="32"/>
    </row>
    <row r="29" spans="1:20" ht="17.25" customHeight="1" x14ac:dyDescent="0.2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0"/>
      <c r="N29" s="31"/>
      <c r="O29" s="148"/>
      <c r="P29" s="148"/>
      <c r="Q29" s="32"/>
    </row>
    <row r="30" spans="1:20" ht="17.25" customHeight="1" x14ac:dyDescent="0.2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0"/>
      <c r="N30" s="31"/>
      <c r="O30" s="148"/>
      <c r="P30" s="148"/>
      <c r="Q30" s="32"/>
    </row>
    <row r="31" spans="1:20" ht="17.25" customHeight="1" x14ac:dyDescent="0.2">
      <c r="A31" s="28"/>
      <c r="B31" s="29"/>
      <c r="C31" s="29"/>
      <c r="D31" s="29"/>
      <c r="E31" s="29"/>
      <c r="F31" s="31"/>
      <c r="G31" s="29"/>
      <c r="H31" s="29"/>
      <c r="I31" s="29"/>
      <c r="J31" s="29"/>
      <c r="K31" s="29"/>
      <c r="L31" s="29"/>
      <c r="M31" s="30"/>
      <c r="N31" s="31"/>
      <c r="O31" s="144"/>
      <c r="P31" s="144"/>
      <c r="Q31" s="32"/>
    </row>
    <row r="32" spans="1:20" ht="17.25" customHeight="1" x14ac:dyDescent="0.2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0"/>
      <c r="N32" s="31"/>
      <c r="O32" s="144"/>
      <c r="P32" s="144"/>
      <c r="Q32" s="32"/>
    </row>
    <row r="33" spans="1:17" ht="17.25" customHeight="1" x14ac:dyDescent="0.2">
      <c r="A33" s="28"/>
      <c r="B33" s="29"/>
      <c r="C33" s="29"/>
      <c r="D33" s="29"/>
      <c r="E33" s="29"/>
      <c r="F33" s="31"/>
      <c r="G33" s="29"/>
      <c r="H33" s="29"/>
      <c r="I33" s="29"/>
      <c r="J33" s="29"/>
      <c r="K33" s="29"/>
      <c r="L33" s="29"/>
      <c r="M33" s="30"/>
      <c r="N33" s="31"/>
      <c r="O33" s="144"/>
      <c r="P33" s="144"/>
      <c r="Q33" s="32"/>
    </row>
    <row r="34" spans="1:17" ht="17.25" customHeight="1" x14ac:dyDescent="0.2">
      <c r="A34" s="28"/>
      <c r="B34" s="29"/>
      <c r="C34" s="29"/>
      <c r="D34" s="29"/>
      <c r="E34" s="29"/>
      <c r="F34" s="31"/>
      <c r="G34" s="29"/>
      <c r="H34" s="29"/>
      <c r="I34" s="29"/>
      <c r="J34" s="29"/>
      <c r="K34" s="29"/>
      <c r="L34" s="29"/>
      <c r="M34" s="30"/>
      <c r="N34" s="31"/>
      <c r="O34" s="144"/>
      <c r="P34" s="144"/>
      <c r="Q34" s="32"/>
    </row>
    <row r="35" spans="1:17" ht="17.25" customHeight="1" x14ac:dyDescent="0.2">
      <c r="A35" s="33"/>
      <c r="B35" s="34"/>
      <c r="C35" s="34"/>
      <c r="D35" s="34"/>
      <c r="E35" s="34"/>
      <c r="F35" s="31"/>
      <c r="G35" s="34"/>
      <c r="H35" s="34"/>
      <c r="I35" s="34"/>
      <c r="J35" s="34"/>
      <c r="K35" s="34"/>
      <c r="L35" s="34"/>
      <c r="M35" s="35"/>
      <c r="N35" s="36"/>
      <c r="O35" s="144"/>
      <c r="P35" s="144"/>
      <c r="Q35" s="32"/>
    </row>
    <row r="36" spans="1:17" ht="17.25" customHeight="1" x14ac:dyDescent="0.2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9"/>
      <c r="N36" s="38"/>
      <c r="O36" s="145"/>
      <c r="P36" s="145"/>
      <c r="Q36" s="40"/>
    </row>
    <row r="37" spans="1:17" ht="31.5" customHeight="1" x14ac:dyDescent="0.2">
      <c r="A37" s="146" t="s">
        <v>103</v>
      </c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41">
        <f>SUM(Q15:Q36)</f>
        <v>3467080</v>
      </c>
    </row>
    <row r="38" spans="1:17" ht="18" customHeight="1" x14ac:dyDescent="0.2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</row>
    <row r="39" spans="1:17" ht="17.25" customHeight="1" x14ac:dyDescent="0.2">
      <c r="A39" s="141" t="s">
        <v>35</v>
      </c>
      <c r="B39" s="141"/>
      <c r="C39" s="141"/>
      <c r="D39" s="141"/>
      <c r="E39" s="141"/>
      <c r="F39" s="141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</row>
    <row r="40" spans="1:17" ht="18" customHeight="1" x14ac:dyDescent="0.2">
      <c r="A40" s="143" t="s">
        <v>104</v>
      </c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</row>
    <row r="41" spans="1:17" ht="63.75" customHeight="1" x14ac:dyDescent="0.2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</row>
  </sheetData>
  <mergeCells count="45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A39:F39"/>
    <mergeCell ref="G39:Q39"/>
    <mergeCell ref="A40:Q41"/>
    <mergeCell ref="O34:P34"/>
    <mergeCell ref="O35:P35"/>
    <mergeCell ref="O36:P36"/>
    <mergeCell ref="A37:P37"/>
    <mergeCell ref="A38:Q38"/>
  </mergeCells>
  <printOptions horizontalCentered="1"/>
  <pageMargins left="0.25" right="0.25" top="0.75" bottom="0.75" header="0.51180555555555496" footer="0.51180555555555496"/>
  <pageSetup paperSize="9" scale="90"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0"/>
  <sheetViews>
    <sheetView topLeftCell="A7" workbookViewId="0">
      <selection activeCell="K32" sqref="K32"/>
    </sheetView>
  </sheetViews>
  <sheetFormatPr baseColWidth="10" defaultRowHeight="12.75" x14ac:dyDescent="0.2"/>
  <cols>
    <col min="1" max="1" width="9.85546875" customWidth="1"/>
    <col min="2" max="2" width="20.5703125" customWidth="1"/>
    <col min="3" max="3" width="62.5703125" customWidth="1"/>
    <col min="5" max="5" width="13.42578125" customWidth="1"/>
    <col min="6" max="6" width="11.5703125" hidden="1" customWidth="1"/>
    <col min="7" max="7" width="14.42578125" bestFit="1" customWidth="1"/>
  </cols>
  <sheetData>
    <row r="2" spans="1:11" ht="18" x14ac:dyDescent="0.2">
      <c r="B2" s="117" t="s">
        <v>50</v>
      </c>
      <c r="C2" s="117"/>
      <c r="D2" s="117"/>
      <c r="E2" s="117"/>
      <c r="F2" s="117"/>
      <c r="G2" s="117"/>
    </row>
    <row r="4" spans="1:11" x14ac:dyDescent="0.2">
      <c r="A4" s="53" t="s">
        <v>56</v>
      </c>
      <c r="B4" s="53"/>
      <c r="C4" s="53"/>
      <c r="D4" s="53"/>
      <c r="E4" s="53"/>
      <c r="F4" s="53"/>
      <c r="G4" s="53"/>
    </row>
    <row r="5" spans="1:11" x14ac:dyDescent="0.2">
      <c r="A5" s="53" t="s">
        <v>65</v>
      </c>
      <c r="B5" s="53"/>
      <c r="C5" s="53"/>
      <c r="D5" s="53"/>
      <c r="E5" s="53"/>
      <c r="F5" s="53"/>
      <c r="G5" s="53"/>
    </row>
    <row r="6" spans="1:11" x14ac:dyDescent="0.2">
      <c r="A6" s="53" t="s">
        <v>57</v>
      </c>
      <c r="B6" s="53"/>
      <c r="C6" s="53"/>
      <c r="D6" s="53"/>
      <c r="E6" s="53"/>
      <c r="F6" s="53"/>
      <c r="G6" s="53"/>
    </row>
    <row r="7" spans="1:11" x14ac:dyDescent="0.2">
      <c r="A7" s="53" t="s">
        <v>72</v>
      </c>
      <c r="B7" s="53"/>
      <c r="C7" s="53"/>
      <c r="D7" s="53"/>
      <c r="E7" s="53"/>
      <c r="F7" s="53"/>
      <c r="G7" s="53"/>
    </row>
    <row r="8" spans="1:11" x14ac:dyDescent="0.2">
      <c r="A8" s="53"/>
      <c r="B8" s="53"/>
      <c r="C8" s="53"/>
      <c r="D8" s="53"/>
      <c r="E8" s="53"/>
      <c r="F8" s="53"/>
      <c r="G8" s="53"/>
    </row>
    <row r="9" spans="1:11" ht="13.5" thickBot="1" x14ac:dyDescent="0.25">
      <c r="A9" s="53"/>
      <c r="B9" s="53"/>
      <c r="C9" s="53"/>
      <c r="D9" s="53"/>
      <c r="E9" s="53"/>
      <c r="F9" s="53"/>
      <c r="G9" s="53"/>
    </row>
    <row r="10" spans="1:11" ht="44.1" customHeight="1" thickBot="1" x14ac:dyDescent="0.25">
      <c r="A10" s="102" t="s">
        <v>90</v>
      </c>
      <c r="B10" s="102" t="s">
        <v>38</v>
      </c>
      <c r="C10" s="104" t="s">
        <v>41</v>
      </c>
      <c r="D10" s="105" t="s">
        <v>42</v>
      </c>
      <c r="E10" s="103" t="s">
        <v>43</v>
      </c>
      <c r="F10" s="106" t="s">
        <v>44</v>
      </c>
      <c r="G10" s="105" t="s">
        <v>89</v>
      </c>
    </row>
    <row r="11" spans="1:11" ht="26.1" customHeight="1" x14ac:dyDescent="0.2">
      <c r="A11" s="96">
        <v>1</v>
      </c>
      <c r="B11" s="83" t="s">
        <v>52</v>
      </c>
      <c r="C11" s="97" t="s">
        <v>55</v>
      </c>
      <c r="D11" s="98" t="s">
        <v>36</v>
      </c>
      <c r="E11" s="99">
        <v>24</v>
      </c>
      <c r="F11" s="100">
        <v>101250</v>
      </c>
      <c r="G11" s="101">
        <f>F11*E11</f>
        <v>2430000</v>
      </c>
    </row>
    <row r="12" spans="1:11" ht="26.1" customHeight="1" x14ac:dyDescent="0.2">
      <c r="A12" s="85">
        <v>2</v>
      </c>
      <c r="B12" s="84" t="s">
        <v>73</v>
      </c>
      <c r="C12" s="65" t="s">
        <v>86</v>
      </c>
      <c r="D12" s="66" t="s">
        <v>36</v>
      </c>
      <c r="E12" s="71">
        <v>6</v>
      </c>
      <c r="F12" s="69">
        <v>228702.52</v>
      </c>
      <c r="G12" s="86">
        <f>+F12*E12</f>
        <v>1372215.1199999999</v>
      </c>
    </row>
    <row r="13" spans="1:11" ht="26.1" customHeight="1" x14ac:dyDescent="0.2">
      <c r="A13" s="85">
        <v>3</v>
      </c>
      <c r="B13" s="80" t="s">
        <v>87</v>
      </c>
      <c r="C13" s="68" t="s">
        <v>82</v>
      </c>
      <c r="D13" s="66" t="s">
        <v>36</v>
      </c>
      <c r="E13" s="67">
        <v>6</v>
      </c>
      <c r="F13" s="69">
        <v>36800</v>
      </c>
      <c r="G13" s="87">
        <f t="shared" ref="G13:G14" si="0">+E13*F13</f>
        <v>220800</v>
      </c>
    </row>
    <row r="14" spans="1:11" ht="26.1" customHeight="1" x14ac:dyDescent="0.2">
      <c r="A14" s="85">
        <v>4</v>
      </c>
      <c r="B14" s="88" t="s">
        <v>88</v>
      </c>
      <c r="C14" s="81" t="s">
        <v>85</v>
      </c>
      <c r="D14" s="66" t="s">
        <v>36</v>
      </c>
      <c r="E14" s="67">
        <v>5</v>
      </c>
      <c r="F14" s="69">
        <v>51700</v>
      </c>
      <c r="G14" s="87">
        <f t="shared" si="0"/>
        <v>258500</v>
      </c>
    </row>
    <row r="15" spans="1:11" ht="26.1" customHeight="1" thickBot="1" x14ac:dyDescent="0.25">
      <c r="A15" s="89">
        <v>5</v>
      </c>
      <c r="B15" s="90" t="s">
        <v>84</v>
      </c>
      <c r="C15" s="91" t="s">
        <v>83</v>
      </c>
      <c r="D15" s="92" t="s">
        <v>36</v>
      </c>
      <c r="E15" s="93">
        <v>15</v>
      </c>
      <c r="F15" s="94">
        <v>43800</v>
      </c>
      <c r="G15" s="95">
        <f xml:space="preserve"> +E15*F15</f>
        <v>657000</v>
      </c>
    </row>
    <row r="16" spans="1:11" s="112" customFormat="1" ht="44.1" customHeight="1" thickBot="1" x14ac:dyDescent="0.25">
      <c r="A16" s="107"/>
      <c r="B16" s="108" t="s">
        <v>91</v>
      </c>
      <c r="C16" s="109"/>
      <c r="D16" s="107"/>
      <c r="E16" s="110">
        <v>4938515.12</v>
      </c>
      <c r="F16" s="111"/>
      <c r="G16" s="109"/>
      <c r="K16" s="113"/>
    </row>
    <row r="19" spans="2:7" ht="13.5" thickBot="1" x14ac:dyDescent="0.25"/>
    <row r="20" spans="2:7" x14ac:dyDescent="0.2">
      <c r="B20" s="45"/>
      <c r="C20" s="15"/>
      <c r="D20" s="15"/>
      <c r="E20" s="15"/>
      <c r="F20" s="15"/>
      <c r="G20" s="46"/>
    </row>
    <row r="21" spans="2:7" x14ac:dyDescent="0.2">
      <c r="B21" s="47" t="s">
        <v>75</v>
      </c>
      <c r="G21" s="18"/>
    </row>
    <row r="22" spans="2:7" x14ac:dyDescent="0.2">
      <c r="B22" s="16"/>
      <c r="G22" s="18"/>
    </row>
    <row r="23" spans="2:7" x14ac:dyDescent="0.2">
      <c r="B23" s="16"/>
      <c r="G23" s="18"/>
    </row>
    <row r="24" spans="2:7" x14ac:dyDescent="0.2">
      <c r="B24" s="16"/>
      <c r="G24" s="18"/>
    </row>
    <row r="25" spans="2:7" x14ac:dyDescent="0.2">
      <c r="B25" s="16"/>
      <c r="G25" s="18"/>
    </row>
    <row r="26" spans="2:7" x14ac:dyDescent="0.2">
      <c r="B26" s="16"/>
      <c r="G26" s="18"/>
    </row>
    <row r="27" spans="2:7" x14ac:dyDescent="0.2">
      <c r="B27" s="16"/>
      <c r="G27" s="18"/>
    </row>
    <row r="28" spans="2:7" x14ac:dyDescent="0.2">
      <c r="B28" s="16"/>
      <c r="G28" s="18"/>
    </row>
    <row r="29" spans="2:7" x14ac:dyDescent="0.2">
      <c r="B29" s="16"/>
      <c r="G29" s="18"/>
    </row>
    <row r="30" spans="2:7" x14ac:dyDescent="0.2">
      <c r="B30" s="16"/>
      <c r="G30" s="18"/>
    </row>
    <row r="31" spans="2:7" ht="13.5" thickBot="1" x14ac:dyDescent="0.25">
      <c r="B31" s="48"/>
      <c r="C31" s="50"/>
      <c r="D31" s="50"/>
      <c r="E31" s="50"/>
      <c r="F31" s="50"/>
      <c r="G31" s="51"/>
    </row>
    <row r="32" spans="2:7" ht="13.5" thickBot="1" x14ac:dyDescent="0.25"/>
    <row r="33" spans="2:7" x14ac:dyDescent="0.2">
      <c r="B33" s="45"/>
      <c r="C33" s="15"/>
      <c r="D33" s="15"/>
      <c r="E33" s="15"/>
      <c r="F33" s="15"/>
      <c r="G33" s="46"/>
    </row>
    <row r="34" spans="2:7" x14ac:dyDescent="0.2">
      <c r="B34" s="47" t="s">
        <v>79</v>
      </c>
      <c r="G34" s="18"/>
    </row>
    <row r="35" spans="2:7" x14ac:dyDescent="0.2">
      <c r="B35" s="16"/>
      <c r="G35" s="18"/>
    </row>
    <row r="36" spans="2:7" x14ac:dyDescent="0.2">
      <c r="B36" s="16"/>
      <c r="G36" s="18"/>
    </row>
    <row r="37" spans="2:7" x14ac:dyDescent="0.2">
      <c r="B37" s="16"/>
      <c r="G37" s="18"/>
    </row>
    <row r="38" spans="2:7" x14ac:dyDescent="0.2">
      <c r="B38" s="16"/>
      <c r="G38" s="18"/>
    </row>
    <row r="39" spans="2:7" x14ac:dyDescent="0.2">
      <c r="B39" s="16"/>
      <c r="G39" s="18"/>
    </row>
    <row r="40" spans="2:7" x14ac:dyDescent="0.2">
      <c r="B40" s="16"/>
      <c r="G40" s="18"/>
    </row>
    <row r="41" spans="2:7" x14ac:dyDescent="0.2">
      <c r="B41" s="16"/>
      <c r="G41" s="18"/>
    </row>
    <row r="42" spans="2:7" x14ac:dyDescent="0.2">
      <c r="B42" s="16"/>
      <c r="G42" s="18"/>
    </row>
    <row r="43" spans="2:7" x14ac:dyDescent="0.2">
      <c r="B43" s="16"/>
      <c r="G43" s="18"/>
    </row>
    <row r="44" spans="2:7" ht="13.5" thickBot="1" x14ac:dyDescent="0.25">
      <c r="B44" s="48"/>
      <c r="C44" s="50"/>
      <c r="D44" s="50"/>
      <c r="E44" s="50"/>
      <c r="F44" s="50"/>
      <c r="G44" s="51"/>
    </row>
    <row r="45" spans="2:7" ht="13.5" thickBot="1" x14ac:dyDescent="0.25"/>
    <row r="46" spans="2:7" x14ac:dyDescent="0.2">
      <c r="B46" s="45"/>
      <c r="C46" s="15"/>
      <c r="D46" s="15"/>
      <c r="E46" s="15"/>
      <c r="F46" s="15"/>
      <c r="G46" s="46"/>
    </row>
    <row r="47" spans="2:7" x14ac:dyDescent="0.2">
      <c r="B47" s="47" t="s">
        <v>80</v>
      </c>
      <c r="G47" s="18"/>
    </row>
    <row r="48" spans="2:7" x14ac:dyDescent="0.2">
      <c r="B48" s="16"/>
      <c r="G48" s="18"/>
    </row>
    <row r="49" spans="2:7" x14ac:dyDescent="0.2">
      <c r="B49" s="16"/>
      <c r="G49" s="18"/>
    </row>
    <row r="50" spans="2:7" x14ac:dyDescent="0.2">
      <c r="B50" s="16"/>
      <c r="G50" s="18"/>
    </row>
    <row r="51" spans="2:7" x14ac:dyDescent="0.2">
      <c r="B51" s="16"/>
      <c r="G51" s="18"/>
    </row>
    <row r="52" spans="2:7" x14ac:dyDescent="0.2">
      <c r="B52" s="16"/>
      <c r="G52" s="18"/>
    </row>
    <row r="53" spans="2:7" x14ac:dyDescent="0.2">
      <c r="B53" s="16"/>
      <c r="G53" s="18"/>
    </row>
    <row r="54" spans="2:7" x14ac:dyDescent="0.2">
      <c r="B54" s="16"/>
      <c r="G54" s="18"/>
    </row>
    <row r="55" spans="2:7" x14ac:dyDescent="0.2">
      <c r="B55" s="16"/>
      <c r="G55" s="18"/>
    </row>
    <row r="56" spans="2:7" x14ac:dyDescent="0.2">
      <c r="B56" s="16"/>
      <c r="G56" s="18"/>
    </row>
    <row r="57" spans="2:7" ht="13.5" thickBot="1" x14ac:dyDescent="0.25">
      <c r="B57" s="48"/>
      <c r="C57" s="50"/>
      <c r="D57" s="50"/>
      <c r="E57" s="50"/>
      <c r="F57" s="50"/>
      <c r="G57" s="51"/>
    </row>
    <row r="58" spans="2:7" ht="13.5" thickBot="1" x14ac:dyDescent="0.25"/>
    <row r="59" spans="2:7" x14ac:dyDescent="0.2">
      <c r="B59" s="45"/>
      <c r="C59" s="15"/>
      <c r="D59" s="15"/>
      <c r="E59" s="15"/>
      <c r="F59" s="15"/>
      <c r="G59" s="46"/>
    </row>
    <row r="60" spans="2:7" x14ac:dyDescent="0.2">
      <c r="B60" s="47" t="s">
        <v>81</v>
      </c>
      <c r="G60" s="18"/>
    </row>
    <row r="61" spans="2:7" x14ac:dyDescent="0.2">
      <c r="B61" s="16"/>
      <c r="G61" s="18"/>
    </row>
    <row r="62" spans="2:7" x14ac:dyDescent="0.2">
      <c r="B62" s="16"/>
      <c r="G62" s="18"/>
    </row>
    <row r="63" spans="2:7" x14ac:dyDescent="0.2">
      <c r="B63" s="16"/>
      <c r="G63" s="18"/>
    </row>
    <row r="64" spans="2:7" x14ac:dyDescent="0.2">
      <c r="B64" s="16"/>
      <c r="G64" s="18"/>
    </row>
    <row r="65" spans="2:7" x14ac:dyDescent="0.2">
      <c r="B65" s="16"/>
      <c r="G65" s="18"/>
    </row>
    <row r="66" spans="2:7" x14ac:dyDescent="0.2">
      <c r="B66" s="16"/>
      <c r="G66" s="18"/>
    </row>
    <row r="67" spans="2:7" x14ac:dyDescent="0.2">
      <c r="B67" s="16"/>
      <c r="G67" s="18"/>
    </row>
    <row r="68" spans="2:7" x14ac:dyDescent="0.2">
      <c r="B68" s="16"/>
      <c r="G68" s="18"/>
    </row>
    <row r="69" spans="2:7" x14ac:dyDescent="0.2">
      <c r="B69" s="16"/>
      <c r="G69" s="18"/>
    </row>
    <row r="70" spans="2:7" ht="13.5" thickBot="1" x14ac:dyDescent="0.25">
      <c r="B70" s="48"/>
      <c r="C70" s="50"/>
      <c r="D70" s="50"/>
      <c r="E70" s="50"/>
      <c r="F70" s="50"/>
      <c r="G70" s="51"/>
    </row>
  </sheetData>
  <mergeCells count="1">
    <mergeCell ref="B2:G2"/>
  </mergeCells>
  <pageMargins left="0.7" right="0.7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 </vt:lpstr>
      <vt:lpstr> NotaPedido</vt:lpstr>
      <vt:lpstr>Autor Gastar</vt:lpstr>
      <vt:lpstr>certificado de entrega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usuario</cp:lastModifiedBy>
  <cp:revision>3</cp:revision>
  <cp:lastPrinted>2022-07-26T15:54:31Z</cp:lastPrinted>
  <dcterms:created xsi:type="dcterms:W3CDTF">2020-07-17T23:44:49Z</dcterms:created>
  <dcterms:modified xsi:type="dcterms:W3CDTF">2022-10-21T12:35:54Z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