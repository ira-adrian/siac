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228"/>
  <workbookPr/>
  <mc:AlternateContent xmlns:mc="http://schemas.openxmlformats.org/markup-compatibility/2006">
    <mc:Choice Requires="x15">
      <x15ac:absPath xmlns:x15ac="http://schemas.microsoft.com/office/spreadsheetml/2010/11/ac" url="G:\Mi unidad\COMPARTIDA\DIRECCION DE PLANIFICACION\DOCUMENTACION\NAIR\3 TRIMESTRE 2022\M INCLUSION TECNOLOG\GPS\"/>
    </mc:Choice>
  </mc:AlternateContent>
  <xr:revisionPtr revIDLastSave="0" documentId="8_{8F5B9F86-3E17-4B65-9D62-D2B1E03ACF31}" xr6:coauthVersionLast="47" xr6:coauthVersionMax="47" xr10:uidLastSave="{00000000-0000-0000-0000-000000000000}"/>
  <bookViews>
    <workbookView xWindow="-120" yWindow="-120" windowWidth="29040" windowHeight="15840" tabRatio="500" xr2:uid="{00000000-000D-0000-FFFF-FFFF00000000}"/>
  </bookViews>
  <sheets>
    <sheet name="Necesidades Trimestrales" sheetId="3" r:id="rId1"/>
    <sheet name=" NotaPedido" sheetId="1" r:id="rId2"/>
    <sheet name="Autor Gastar" sheetId="2" r:id="rId3"/>
  </sheets>
  <definedNames>
    <definedName name="_xlnm.Print_Area" localSheetId="1">' NotaPedido'!$A$1:$K$14</definedName>
    <definedName name="_xlnm.Print_Area" localSheetId="2">'Autor Gastar'!$A$1:$Q$39</definedName>
  </definedNames>
  <calcPr calcId="181029"/>
</workbook>
</file>

<file path=xl/calcChain.xml><?xml version="1.0" encoding="utf-8"?>
<calcChain xmlns="http://schemas.openxmlformats.org/spreadsheetml/2006/main">
  <c r="I12" i="3" l="1"/>
  <c r="I11" i="3" l="1"/>
  <c r="Q35" i="2" l="1"/>
</calcChain>
</file>

<file path=xl/sharedStrings.xml><?xml version="1.0" encoding="utf-8"?>
<sst xmlns="http://schemas.openxmlformats.org/spreadsheetml/2006/main" count="112" uniqueCount="84">
  <si>
    <t>NOTA DE PEDIDO</t>
  </si>
  <si>
    <t>N°</t>
  </si>
  <si>
    <t xml:space="preserve">JURISDICCIÓN: </t>
  </si>
  <si>
    <t>SAF:</t>
  </si>
  <si>
    <t>UNIDAD EJECUTORA:</t>
  </si>
  <si>
    <t xml:space="preserve">DEPENDENCIA SOLICITANTE: </t>
  </si>
  <si>
    <t>PERIODO UTILIZACIÓN:</t>
  </si>
  <si>
    <t>OBJETO:</t>
  </si>
  <si>
    <t>Ítem</t>
  </si>
  <si>
    <t>Codigo Item</t>
  </si>
  <si>
    <t>DESCRIPCIÓN</t>
  </si>
  <si>
    <t>Adjunta Detalle Técnico</t>
  </si>
  <si>
    <t>Unidad Medida</t>
  </si>
  <si>
    <t>Precio Unitario Estimado</t>
  </si>
  <si>
    <t>Cantidad Solicitada</t>
  </si>
  <si>
    <t>EJERCICIO:</t>
  </si>
  <si>
    <t>AUTORIZACION PARA GASTAR</t>
  </si>
  <si>
    <t>JURISDICCIÓN:</t>
  </si>
  <si>
    <r>
      <rPr>
        <b/>
        <u/>
        <sz val="10"/>
        <rFont val="Arial"/>
        <family val="2"/>
        <charset val="1"/>
      </rPr>
      <t>AUTORIZACIÓN</t>
    </r>
    <r>
      <rPr>
        <b/>
        <sz val="10"/>
        <rFont val="Arial"/>
        <family val="2"/>
        <charset val="1"/>
      </rPr>
      <t>:</t>
    </r>
  </si>
  <si>
    <t>Señor Director de Administración o Titular del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</si>
  <si>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</si>
  <si>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</si>
  <si>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</si>
  <si>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</si>
  <si>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</si>
  <si>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</si>
  <si>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</si>
  <si>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</si>
  <si>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</si>
  <si>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</si>
  <si>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</si>
  <si>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</si>
  <si>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</si>
  <si>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</si>
  <si>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</si>
  <si>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</si>
  <si>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</si>
  <si>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JUSTIFICACIÓN:</t>
  </si>
  <si>
    <t>1.1</t>
  </si>
  <si>
    <t>ID</t>
  </si>
  <si>
    <t>CODIGO ITEM</t>
  </si>
  <si>
    <t>RUBRO DE LA COMPRA</t>
  </si>
  <si>
    <t>I.P.P</t>
  </si>
  <si>
    <t>DESCRIPCION</t>
  </si>
  <si>
    <t>UNIDAD DE MEDIDA</t>
  </si>
  <si>
    <t>CANTIDAD</t>
  </si>
  <si>
    <t>PRECIO UNITARIO ESTIMADO</t>
  </si>
  <si>
    <t>Especialidades item N° 1</t>
  </si>
  <si>
    <t>Descripcion Técnica</t>
  </si>
  <si>
    <t>Plazos y lugares de entrega:</t>
  </si>
  <si>
    <t>Mantenmiento</t>
  </si>
  <si>
    <t>Garantia</t>
  </si>
  <si>
    <t>Pedido de Necesidades Trimestrales</t>
  </si>
  <si>
    <t>EQUIPOS</t>
  </si>
  <si>
    <t>UNIDAD</t>
  </si>
  <si>
    <t>62- MINISTERIO DE INCLUSION DIGITAL Y SISTEMAS PRODUCTIVOS</t>
  </si>
  <si>
    <t>MINISTERIO DE INCLUSION DIGITAL Y SISTEMAS PRODUCTIVOS</t>
  </si>
  <si>
    <t>Calidad Minima esperada</t>
  </si>
  <si>
    <t>JURISDICCION : 62- MINISTERIO DE INCLUSION DIGITAL Y SISTEMAS PRODUCTIVOS</t>
  </si>
  <si>
    <t>EJERCICIO: 2022</t>
  </si>
  <si>
    <t>TRIMESTRE: 03</t>
  </si>
  <si>
    <t>3 - TRIMESTRE 2022</t>
  </si>
  <si>
    <t>12 Meses</t>
  </si>
  <si>
    <t>30 Dias</t>
  </si>
  <si>
    <t>IMPORTE TOTAL ESTIMADO</t>
  </si>
  <si>
    <t>SI</t>
  </si>
  <si>
    <t>Autorizo la realización de los  trámites correspondientes, a fin de proveer a  este Organismo los bienes que se detallan en Nota  de Pedido N°   / 2022 otorgar la transferencia de fondos afectando la erogación resultante a los créditos presupuestarios aprobados a favor de esta Unidad Ejecutora, conforme al siguiente detalle:</t>
  </si>
  <si>
    <t>ADQUISICION DE EQUIPO DE GEOPOSICIONAMIENTO</t>
  </si>
  <si>
    <t>SAF N°: 33- DIRECCION PROVINCIAL DE ADMINISTRACION GENERAL</t>
  </si>
  <si>
    <t>33- DIRECCION PROVINCIAL DE ADMINISTRACION GENERAL</t>
  </si>
  <si>
    <t>4.3.4-4222.32</t>
  </si>
  <si>
    <t>4.3.4</t>
  </si>
  <si>
    <t>RECEPTORES GPS; TIPO: GNSS, CANTIDAD DE CANALES: 120 A 500, FRECUENCIA: L1 - L2 - L5, ALIMENTACION: 12 O 220 V</t>
  </si>
  <si>
    <t>EQUIPO DE COMUNICACIÓN Y SEÑALAMIENTO</t>
  </si>
  <si>
    <t>4.3.4-4222.52</t>
  </si>
  <si>
    <t xml:space="preserve">4.3.4-4222.52
</t>
  </si>
  <si>
    <t>RECEPTORES GPS; TIPO: COLECTORA C/CAMARA, CANTIDAD DE CANALES: VARIABLE, FRECUENCIA: 2,4 GHZ, ALIMENTACION: BATERIA</t>
  </si>
  <si>
    <t>Especialidades item N° 2</t>
  </si>
  <si>
    <t>Primera Calidad</t>
  </si>
  <si>
    <t xml:space="preserve">PANTALLA TACTIL LCD DE AL MENOS 7". PROCESADOR TIPO INTEL QUAD-CORE PENTIUM N4200 O SUPERIOR. 8GB DE RAM O SUPERIOR- CAMARAS TRASERA DE 8MEGAPIXELES CON FLASH O SUPERIOR. BLUETOOTH 5.0. CERTIFICACION IP68. WI-FI. </t>
  </si>
  <si>
    <t>SISTEMA GNSS MULTIFRECUENCIA Tecnología de rastreo universal para todos los satélites y constelaciones (GPS GLONASS Galileo Beidou IRNSS QZSS SBAS) que cubra todas las señales modernizadas. Diseño IP67 listo para el campo. Factor de forma compacto para GPS milimétrico y posicionamiento híbrido. IMU de 9 ejes y eCompass de 3 ejes ultracompacto.
Módem de radio UHF Tx/Rx de 400MHz integrado
Protocolo FH915 radio módem de 900 MHz</t>
  </si>
  <si>
    <t>TOTAL DE PESOS: DOS MILLONES CIENTO CINCUENTA MIL CUATROCIENTOS CINCUENTA Y SIETE CON 20/100</t>
  </si>
  <si>
    <t>El plazo de entrega  no podrá ser superior a los veinte (20) días hábiles a partir de la fecha de recepción de la respectiva Orden de Compra en el domicilio especial electrónico constituido, en virtud del método de contratación. La entrega de dichos bienes se realizará en  la Dirección de Administración General del Ministerio de Inclusion Digital y Sistemas Productivos, sito en Avenida Republica de Venezuela S/N° - CAPE- Pabellón N° 28 San Fernando del Valle de Catamarca.  Se presentará Remito que deberá cumplimentar lo dispuesto por la R.G. AFIP  1415/03, sin excepción.</t>
  </si>
  <si>
    <t>Costo total estimado: DOS MILLONES CUATROCIENTOS SETENTA Y NUEVE MIL CUATROCIENTOS TREINTA Y CINCO 40/100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</si>
</sst>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_);_(@_)"/>
    <numFmt numFmtId="165" formatCode="[$$-2C0A]\ #,##0.00"/>
    <numFmt numFmtId="166" formatCode="dd\-mm\-yy;@"/>
    <numFmt numFmtId="167" formatCode="[$$-2C0A]\ #,##0.00;[$$-2C0A]&quot; -&quot;#,##0.00"/>
    <numFmt numFmtId="168" formatCode="&quot;$&quot;#,##0.00"/>
  </numFmts>
  <fonts count="31" x14ac:knownFonts="1">
    <font>
      <sz val="10"/>
      <name val="Arial"/>
      <charset val="1"/>
    </font>
    <font>
      <sz val="11"/>
      <color theme="1"/>
      <name val="Calibri"/>
      <family val="2"/>
      <scheme val="minor"/>
    </font>
    <font>
      <sz val="11"/>
      <color theme="1"/>
      <name val="Calibri"/>
      <family val="2"/>
      <scheme val="minor"/>
    </font>
    <font>
      <sz val="11"/>
      <color theme="1"/>
      <name val="Calibri"/>
      <family val="2"/>
      <scheme val="minor"/>
    </font>
    <font>
      <b/>
      <sz val="15"/>
      <color rgb="FF666699"/>
      <name val="Calibri"/>
      <family val="2"/>
      <charset val="1"/>
    </font>
    <font>
      <sz val="10"/>
      <name val="Arial"/>
      <family val="2"/>
      <charset val="1"/>
    </font>
    <font>
      <sz val="11"/>
      <color rgb="FF993300"/>
      <name val="Calibri"/>
      <family val="2"/>
      <charset val="1"/>
    </font>
    <font>
      <b/>
      <u/>
      <sz val="24"/>
      <name val="Times New Roman"/>
      <family val="1"/>
      <charset val="1"/>
    </font>
    <font>
      <b/>
      <u/>
      <sz val="12"/>
      <name val="Times New Roman"/>
      <family val="1"/>
      <charset val="1"/>
    </font>
    <font>
      <b/>
      <sz val="12"/>
      <name val="Times New Roman"/>
      <family val="1"/>
      <charset val="1"/>
    </font>
    <font>
      <sz val="12"/>
      <name val="Times New Roman"/>
      <family val="1"/>
      <charset val="1"/>
    </font>
    <font>
      <b/>
      <sz val="11"/>
      <name val="Times New Roman"/>
      <family val="1"/>
      <charset val="1"/>
    </font>
    <font>
      <sz val="10"/>
      <name val="Times New Roman"/>
      <family val="1"/>
      <charset val="1"/>
    </font>
    <font>
      <b/>
      <sz val="11"/>
      <name val="Arial"/>
      <family val="2"/>
      <charset val="1"/>
    </font>
    <font>
      <b/>
      <sz val="12"/>
      <name val="Arial"/>
      <family val="2"/>
      <charset val="1"/>
    </font>
    <font>
      <sz val="11"/>
      <name val="Arial"/>
      <family val="2"/>
      <charset val="1"/>
    </font>
    <font>
      <b/>
      <u/>
      <sz val="10"/>
      <name val="Arial"/>
      <family val="2"/>
      <charset val="1"/>
    </font>
    <font>
      <b/>
      <sz val="10"/>
      <name val="Arial"/>
      <family val="2"/>
      <charset val="1"/>
    </font>
    <font>
      <sz val="10"/>
      <name val="Times New Roman"/>
      <family val="1"/>
    </font>
    <font>
      <sz val="8"/>
      <name val="Times New Roman"/>
      <family val="1"/>
    </font>
    <font>
      <b/>
      <sz val="10"/>
      <name val="Arial"/>
      <family val="2"/>
    </font>
    <font>
      <sz val="10"/>
      <name val="Arial"/>
      <family val="2"/>
    </font>
    <font>
      <u/>
      <sz val="10"/>
      <name val="Arial"/>
      <family val="2"/>
    </font>
    <font>
      <sz val="8"/>
      <name val="Arial"/>
      <family val="2"/>
    </font>
    <font>
      <b/>
      <sz val="14"/>
      <name val="Arial"/>
      <family val="2"/>
    </font>
    <font>
      <sz val="11"/>
      <name val="Calibri"/>
      <family val="2"/>
      <scheme val="minor"/>
    </font>
    <font>
      <sz val="10"/>
      <name val="Calibri"/>
      <family val="2"/>
      <scheme val="minor"/>
    </font>
    <font>
      <sz val="12"/>
      <name val="Calibri"/>
      <family val="2"/>
      <scheme val="minor"/>
    </font>
    <font>
      <sz val="12"/>
      <name val="Calibri"/>
      <family val="2"/>
    </font>
    <font>
      <sz val="11"/>
      <color rgb="FF333333"/>
      <name val="Arial"/>
      <family val="2"/>
    </font>
    <font>
      <b/>
      <sz val="11"/>
      <name val="Arial"/>
      <family val="2"/>
    </font>
  </fonts>
  <fills count="3">
    <fill>
      <patternFill patternType="none"/>
    </fill>
    <fill>
      <patternFill patternType="gray125"/>
    </fill>
    <fill>
      <patternFill patternType="solid">
        <fgColor rgb="FFFFFF99"/>
        <bgColor rgb="FFFFFFCC"/>
      </patternFill>
    </fill>
  </fills>
  <borders count="62">
    <border>
      <left/>
      <right/>
      <top/>
      <bottom/>
      <diagonal/>
    </border>
    <border>
      <left/>
      <right/>
      <top/>
      <bottom style="thick">
        <color rgb="FF33CCCC"/>
      </bottom>
      <diagonal/>
    </border>
    <border>
      <left style="medium">
        <color auto="1"/>
      </left>
      <right/>
      <top style="medium">
        <color auto="1"/>
      </top>
      <bottom/>
      <diagonal/>
    </border>
    <border>
      <left/>
      <right style="medium">
        <color rgb="FF3D3D3D"/>
      </right>
      <top style="medium">
        <color auto="1"/>
      </top>
      <bottom/>
      <diagonal/>
    </border>
    <border>
      <left style="medium">
        <color rgb="FF3D3D3D"/>
      </left>
      <right style="medium">
        <color auto="1"/>
      </right>
      <top style="medium">
        <color auto="1"/>
      </top>
      <bottom style="medium">
        <color rgb="FF3D3D3D"/>
      </bottom>
      <diagonal/>
    </border>
    <border>
      <left style="medium">
        <color auto="1"/>
      </left>
      <right/>
      <top/>
      <bottom style="medium">
        <color rgb="FF3D3D3D"/>
      </bottom>
      <diagonal/>
    </border>
    <border>
      <left/>
      <right/>
      <top/>
      <bottom style="medium">
        <color rgb="FF3D3D3D"/>
      </bottom>
      <diagonal/>
    </border>
    <border>
      <left/>
      <right style="medium">
        <color auto="1"/>
      </right>
      <top/>
      <bottom/>
      <diagonal/>
    </border>
    <border>
      <left style="medium">
        <color auto="1"/>
      </left>
      <right/>
      <top style="medium">
        <color rgb="FF3D3D3D"/>
      </top>
      <bottom style="medium">
        <color rgb="FF3D3D3D"/>
      </bottom>
      <diagonal/>
    </border>
    <border>
      <left style="medium">
        <color auto="1"/>
      </left>
      <right style="medium">
        <color auto="1"/>
      </right>
      <top style="medium">
        <color auto="1"/>
      </top>
      <bottom style="medium">
        <color auto="1"/>
      </bottom>
      <diagonal/>
    </border>
    <border>
      <left style="medium">
        <color auto="1"/>
      </left>
      <right/>
      <top style="medium">
        <color rgb="FF3D3D3D"/>
      </top>
      <bottom/>
      <diagonal/>
    </border>
    <border>
      <left style="medium">
        <color auto="1"/>
      </left>
      <right style="medium">
        <color rgb="FF3D3D3D"/>
      </right>
      <top style="medium">
        <color auto="1"/>
      </top>
      <bottom style="medium">
        <color auto="1"/>
      </bottom>
      <diagonal/>
    </border>
    <border>
      <left style="medium">
        <color auto="1"/>
      </left>
      <right/>
      <top/>
      <bottom/>
      <diagonal/>
    </border>
    <border>
      <left style="medium">
        <color auto="1"/>
      </left>
      <right style="medium">
        <color rgb="FF3D3D3D"/>
      </right>
      <top style="medium">
        <color auto="1"/>
      </top>
      <bottom/>
      <diagonal/>
    </border>
    <border>
      <left style="medium">
        <color rgb="FF3D3D3D"/>
      </left>
      <right style="medium">
        <color rgb="FF3D3D3D"/>
      </right>
      <top style="medium">
        <color auto="1"/>
      </top>
      <bottom/>
      <diagonal/>
    </border>
    <border>
      <left style="medium">
        <color rgb="FF3D3D3D"/>
      </left>
      <right style="medium">
        <color auto="1"/>
      </right>
      <top style="medium">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medium">
        <color auto="1"/>
      </right>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top style="medium">
        <color auto="1"/>
      </top>
      <bottom/>
      <diagonal/>
    </border>
    <border>
      <left style="medium">
        <color auto="1"/>
      </left>
      <right style="medium">
        <color rgb="FF3D3D3D"/>
      </right>
      <top style="medium">
        <color rgb="FF3D3D3D"/>
      </top>
      <bottom style="medium">
        <color rgb="FF3D3D3D"/>
      </bottom>
      <diagonal/>
    </border>
    <border>
      <left style="medium">
        <color rgb="FF3D3D3D"/>
      </left>
      <right style="medium">
        <color auto="1"/>
      </right>
      <top style="medium">
        <color rgb="FF3D3D3D"/>
      </top>
      <bottom style="medium">
        <color rgb="FF3D3D3D"/>
      </bottom>
      <diagonal/>
    </border>
    <border>
      <left style="medium">
        <color auto="1"/>
      </left>
      <right style="medium">
        <color auto="1"/>
      </right>
      <top style="medium">
        <color rgb="FF3D3D3D"/>
      </top>
      <bottom style="medium">
        <color rgb="FF3D3D3D"/>
      </bottom>
      <diagonal/>
    </border>
    <border>
      <left style="medium">
        <color auto="1"/>
      </left>
      <right style="medium">
        <color auto="1"/>
      </right>
      <top style="medium">
        <color rgb="FF3D3D3D"/>
      </top>
      <bottom/>
      <diagonal/>
    </border>
    <border>
      <left style="medium">
        <color auto="1"/>
      </left>
      <right style="medium">
        <color auto="1"/>
      </right>
      <top/>
      <bottom/>
      <diagonal/>
    </border>
    <border>
      <left/>
      <right style="medium">
        <color auto="1"/>
      </right>
      <top/>
      <bottom style="medium">
        <color rgb="FF3D3D3D"/>
      </bottom>
      <diagonal/>
    </border>
    <border>
      <left style="medium">
        <color rgb="FF3D3D3D"/>
      </left>
      <right style="medium">
        <color rgb="FF3D3D3D"/>
      </right>
      <top style="medium">
        <color rgb="FF3D3D3D"/>
      </top>
      <bottom/>
      <diagonal/>
    </border>
    <border>
      <left/>
      <right style="medium">
        <color auto="1"/>
      </right>
      <top style="medium">
        <color rgb="FF3D3D3D"/>
      </top>
      <bottom/>
      <diagonal/>
    </border>
    <border>
      <left style="medium">
        <color auto="1"/>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medium">
        <color rgb="FF3D3D3D"/>
      </left>
      <right style="medium">
        <color rgb="FF3D3D3D"/>
      </right>
      <top/>
      <bottom/>
      <diagonal/>
    </border>
    <border>
      <left style="medium">
        <color auto="1"/>
      </left>
      <right style="thin">
        <color rgb="FF3D3D3D"/>
      </right>
      <top style="medium">
        <color rgb="FF3D3D3D"/>
      </top>
      <bottom style="thin">
        <color rgb="FF3D3D3D"/>
      </bottom>
      <diagonal/>
    </border>
    <border>
      <left style="thin">
        <color rgb="FF3D3D3D"/>
      </left>
      <right style="thin">
        <color rgb="FF3D3D3D"/>
      </right>
      <top style="medium">
        <color rgb="FF3D3D3D"/>
      </top>
      <bottom style="thin">
        <color rgb="FF3D3D3D"/>
      </bottom>
      <diagonal/>
    </border>
    <border>
      <left style="thin">
        <color rgb="FF3D3D3D"/>
      </left>
      <right/>
      <top style="medium">
        <color rgb="FF3D3D3D"/>
      </top>
      <bottom style="thin">
        <color rgb="FF3D3D3D"/>
      </bottom>
      <diagonal/>
    </border>
    <border>
      <left style="thin">
        <color rgb="FF3D3D3D"/>
      </left>
      <right style="medium">
        <color auto="1"/>
      </right>
      <top style="medium">
        <color rgb="FF3D3D3D"/>
      </top>
      <bottom style="thin">
        <color rgb="FF3D3D3D"/>
      </bottom>
      <diagonal/>
    </border>
    <border>
      <left style="medium">
        <color auto="1"/>
      </left>
      <right style="thin">
        <color rgb="FF3D3D3D"/>
      </right>
      <top/>
      <bottom style="thin">
        <color rgb="FF3D3D3D"/>
      </bottom>
      <diagonal/>
    </border>
    <border>
      <left style="thin">
        <color rgb="FF3D3D3D"/>
      </left>
      <right style="thin">
        <color rgb="FF3D3D3D"/>
      </right>
      <top/>
      <bottom style="thin">
        <color rgb="FF3D3D3D"/>
      </bottom>
      <diagonal/>
    </border>
    <border>
      <left style="thin">
        <color rgb="FF3D3D3D"/>
      </left>
      <right/>
      <top/>
      <bottom style="thin">
        <color rgb="FF3D3D3D"/>
      </bottom>
      <diagonal/>
    </border>
    <border>
      <left style="thin">
        <color rgb="FF3D3D3D"/>
      </left>
      <right style="thin">
        <color rgb="FF3D3D3D"/>
      </right>
      <top style="thin">
        <color rgb="FF3D3D3D"/>
      </top>
      <bottom style="thin">
        <color rgb="FF3D3D3D"/>
      </bottom>
      <diagonal/>
    </border>
    <border>
      <left style="thin">
        <color rgb="FF3D3D3D"/>
      </left>
      <right style="medium">
        <color auto="1"/>
      </right>
      <top style="thin">
        <color rgb="FF3D3D3D"/>
      </top>
      <bottom style="thin">
        <color rgb="FF3D3D3D"/>
      </bottom>
      <diagonal/>
    </border>
    <border>
      <left style="medium">
        <color auto="1"/>
      </left>
      <right style="thin">
        <color rgb="FF3D3D3D"/>
      </right>
      <top style="thin">
        <color rgb="FF3D3D3D"/>
      </top>
      <bottom style="medium">
        <color rgb="FF3D3D3D"/>
      </bottom>
      <diagonal/>
    </border>
    <border>
      <left style="thin">
        <color rgb="FF3D3D3D"/>
      </left>
      <right style="thin">
        <color rgb="FF3D3D3D"/>
      </right>
      <top style="thin">
        <color rgb="FF3D3D3D"/>
      </top>
      <bottom style="medium">
        <color rgb="FF3D3D3D"/>
      </bottom>
      <diagonal/>
    </border>
    <border>
      <left style="thin">
        <color rgb="FF3D3D3D"/>
      </left>
      <right/>
      <top style="thin">
        <color rgb="FF3D3D3D"/>
      </top>
      <bottom style="medium">
        <color rgb="FF3D3D3D"/>
      </bottom>
      <diagonal/>
    </border>
    <border>
      <left style="thin">
        <color rgb="FF3D3D3D"/>
      </left>
      <right style="medium">
        <color auto="1"/>
      </right>
      <top style="thin">
        <color rgb="FF3D3D3D"/>
      </top>
      <bottom style="medium">
        <color rgb="FF3D3D3D"/>
      </bottom>
      <diagonal/>
    </border>
    <border>
      <left style="medium">
        <color auto="1"/>
      </left>
      <right style="medium">
        <color rgb="FF3D3D3D"/>
      </right>
      <top/>
      <bottom style="medium">
        <color rgb="FF3D3D3D"/>
      </bottom>
      <diagonal/>
    </border>
    <border>
      <left style="medium">
        <color rgb="FF3D3D3D"/>
      </left>
      <right style="medium">
        <color auto="1"/>
      </right>
      <top/>
      <bottom style="medium">
        <color rgb="FF3D3D3D"/>
      </bottom>
      <diagonal/>
    </border>
    <border>
      <left/>
      <right/>
      <top style="medium">
        <color auto="1"/>
      </top>
      <bottom style="medium">
        <color auto="1"/>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auto="1"/>
      </left>
      <right/>
      <top style="medium">
        <color auto="1"/>
      </top>
      <bottom style="medium">
        <color auto="1"/>
      </bottom>
      <diagonal/>
    </border>
    <border>
      <left/>
      <right style="thin">
        <color auto="1"/>
      </right>
      <top style="medium">
        <color auto="1"/>
      </top>
      <bottom style="medium">
        <color auto="1"/>
      </bottom>
      <diagonal/>
    </border>
    <border>
      <left style="thin">
        <color indexed="64"/>
      </left>
      <right style="thin">
        <color indexed="64"/>
      </right>
      <top style="thin">
        <color indexed="64"/>
      </top>
      <bottom style="thin">
        <color indexed="64"/>
      </bottom>
      <diagonal/>
    </border>
    <border>
      <left style="thin">
        <color auto="1"/>
      </left>
      <right style="thin">
        <color auto="1"/>
      </right>
      <top style="medium">
        <color indexed="64"/>
      </top>
      <bottom/>
      <diagonal/>
    </border>
    <border>
      <left style="medium">
        <color indexed="64"/>
      </left>
      <right style="thin">
        <color auto="1"/>
      </right>
      <top style="medium">
        <color indexed="64"/>
      </top>
      <bottom/>
      <diagonal/>
    </border>
    <border>
      <left style="thin">
        <color auto="1"/>
      </left>
      <right style="medium">
        <color indexed="64"/>
      </right>
      <top style="medium">
        <color indexed="64"/>
      </top>
      <bottom/>
      <diagonal/>
    </border>
    <border>
      <left style="medium">
        <color auto="1"/>
      </left>
      <right style="medium">
        <color auto="1"/>
      </right>
      <top style="medium">
        <color auto="1"/>
      </top>
      <bottom/>
      <diagonal/>
    </border>
    <border>
      <left style="medium">
        <color rgb="FF3D3D3D"/>
      </left>
      <right/>
      <top style="medium">
        <color auto="1"/>
      </top>
      <bottom style="medium">
        <color auto="1"/>
      </bottom>
      <diagonal/>
    </border>
  </borders>
  <cellStyleXfs count="7">
    <xf numFmtId="0" fontId="0" fillId="0" borderId="0"/>
    <xf numFmtId="0" fontId="4" fillId="0" borderId="1" applyProtection="0"/>
    <xf numFmtId="164" fontId="5" fillId="0" borderId="0" applyBorder="0" applyProtection="0"/>
    <xf numFmtId="0" fontId="6" fillId="2" borderId="0" applyBorder="0" applyProtection="0"/>
    <xf numFmtId="0" fontId="3" fillId="0" borderId="0"/>
    <xf numFmtId="0" fontId="2" fillId="0" borderId="0"/>
    <xf numFmtId="0" fontId="1" fillId="0" borderId="0"/>
  </cellStyleXfs>
  <cellXfs count="127">
    <xf numFmtId="0" fontId="0" fillId="0" borderId="0" xfId="0"/>
    <xf numFmtId="0" fontId="5" fillId="0" borderId="0" xfId="0" applyFont="1" applyBorder="1" applyAlignment="1">
      <alignment vertical="center"/>
    </xf>
    <xf numFmtId="0" fontId="8" fillId="0" borderId="3" xfId="0" applyFont="1" applyBorder="1" applyAlignment="1">
      <alignment horizontal="right" vertical="center"/>
    </xf>
    <xf numFmtId="0" fontId="9" fillId="0" borderId="4" xfId="0" applyFont="1" applyBorder="1" applyAlignment="1">
      <alignment horizontal="center" vertical="center"/>
    </xf>
    <xf numFmtId="0" fontId="8" fillId="0" borderId="5" xfId="0" applyFont="1" applyBorder="1" applyAlignment="1">
      <alignment vertical="center"/>
    </xf>
    <xf numFmtId="0" fontId="8" fillId="0" borderId="6" xfId="0" applyFont="1" applyBorder="1" applyAlignment="1">
      <alignment vertical="center"/>
    </xf>
    <xf numFmtId="0" fontId="8" fillId="0" borderId="0" xfId="0" applyFont="1" applyBorder="1" applyAlignment="1">
      <alignment vertical="center"/>
    </xf>
    <xf numFmtId="0" fontId="8" fillId="0" borderId="7" xfId="0" applyFont="1" applyBorder="1" applyAlignment="1">
      <alignment vertical="center"/>
    </xf>
    <xf numFmtId="0" fontId="10" fillId="0" borderId="12" xfId="0" applyFont="1" applyBorder="1" applyAlignment="1">
      <alignment horizontal="left" vertical="center"/>
    </xf>
    <xf numFmtId="0" fontId="10" fillId="0" borderId="0" xfId="0" applyFont="1" applyBorder="1" applyAlignment="1">
      <alignment horizontal="left" vertical="center"/>
    </xf>
    <xf numFmtId="0" fontId="9" fillId="0" borderId="0" xfId="0" applyFont="1" applyBorder="1" applyAlignment="1">
      <alignment horizontal="left" vertical="center" wrapText="1" indent="1"/>
    </xf>
    <xf numFmtId="0" fontId="9" fillId="0" borderId="7" xfId="0" applyFont="1" applyBorder="1" applyAlignment="1">
      <alignment horizontal="left" vertical="center" wrapText="1" indent="1"/>
    </xf>
    <xf numFmtId="0" fontId="0" fillId="0" borderId="0" xfId="0" applyAlignment="1">
      <alignment horizontal="left"/>
    </xf>
    <xf numFmtId="3" fontId="13" fillId="0" borderId="21" xfId="0" applyNumberFormat="1" applyFont="1" applyBorder="1" applyAlignment="1"/>
    <xf numFmtId="166" fontId="0" fillId="0" borderId="21" xfId="0" applyNumberFormat="1" applyBorder="1" applyAlignment="1">
      <alignment horizontal="left"/>
    </xf>
    <xf numFmtId="0" fontId="0" fillId="0" borderId="21" xfId="0" applyBorder="1"/>
    <xf numFmtId="0" fontId="0" fillId="0" borderId="12" xfId="0" applyBorder="1"/>
    <xf numFmtId="0" fontId="0" fillId="0" borderId="0" xfId="0" applyBorder="1"/>
    <xf numFmtId="0" fontId="0" fillId="0" borderId="0" xfId="0" applyBorder="1" applyAlignment="1">
      <alignment horizontal="left"/>
    </xf>
    <xf numFmtId="166" fontId="0" fillId="0" borderId="0" xfId="0" applyNumberFormat="1" applyBorder="1" applyAlignment="1">
      <alignment horizontal="left"/>
    </xf>
    <xf numFmtId="0" fontId="0" fillId="0" borderId="7" xfId="0" applyBorder="1"/>
    <xf numFmtId="0" fontId="5" fillId="0" borderId="0" xfId="0" applyFont="1"/>
    <xf numFmtId="0" fontId="0" fillId="0" borderId="5" xfId="0" applyBorder="1"/>
    <xf numFmtId="0" fontId="0" fillId="0" borderId="6" xfId="0" applyBorder="1"/>
    <xf numFmtId="0" fontId="0" fillId="0" borderId="6" xfId="0" applyBorder="1" applyAlignment="1">
      <alignment horizontal="left"/>
    </xf>
    <xf numFmtId="0" fontId="0" fillId="0" borderId="27" xfId="0" applyBorder="1"/>
    <xf numFmtId="0" fontId="17" fillId="0" borderId="30" xfId="0" applyFont="1" applyBorder="1" applyAlignment="1">
      <alignment horizontal="center" vertical="center"/>
    </xf>
    <xf numFmtId="0" fontId="17" fillId="0" borderId="31" xfId="0" applyFont="1" applyBorder="1" applyAlignment="1">
      <alignment horizontal="center" vertical="center"/>
    </xf>
    <xf numFmtId="0" fontId="17" fillId="0" borderId="31" xfId="0" applyFont="1" applyBorder="1" applyAlignment="1">
      <alignment horizontal="left" vertical="center"/>
    </xf>
    <xf numFmtId="0" fontId="17" fillId="0" borderId="32" xfId="0" applyFont="1" applyBorder="1" applyAlignment="1">
      <alignment horizontal="center" vertical="center"/>
    </xf>
    <xf numFmtId="0" fontId="17" fillId="0" borderId="33" xfId="0" applyFont="1" applyBorder="1" applyAlignment="1">
      <alignment horizontal="center" vertical="center"/>
    </xf>
    <xf numFmtId="0" fontId="0" fillId="0" borderId="38" xfId="0" applyFont="1" applyBorder="1" applyAlignment="1">
      <alignment horizontal="center" vertical="center"/>
    </xf>
    <xf numFmtId="0" fontId="0" fillId="0" borderId="39" xfId="0" applyFont="1" applyBorder="1" applyAlignment="1">
      <alignment horizontal="center" vertical="center"/>
    </xf>
    <xf numFmtId="0" fontId="0" fillId="0" borderId="40" xfId="0" applyFont="1" applyBorder="1" applyAlignment="1">
      <alignment horizontal="center" vertical="center"/>
    </xf>
    <xf numFmtId="0" fontId="0" fillId="0" borderId="41" xfId="0" applyFont="1" applyBorder="1" applyAlignment="1">
      <alignment horizontal="center" vertical="center"/>
    </xf>
    <xf numFmtId="167" fontId="0" fillId="0" borderId="42" xfId="2" applyNumberFormat="1" applyFont="1" applyBorder="1" applyAlignment="1" applyProtection="1">
      <alignment horizontal="center" vertical="center"/>
    </xf>
    <xf numFmtId="0" fontId="15" fillId="0" borderId="38" xfId="0" applyFont="1" applyBorder="1" applyAlignment="1">
      <alignment horizontal="center" vertical="center"/>
    </xf>
    <xf numFmtId="0" fontId="15" fillId="0" borderId="39" xfId="0" applyFont="1" applyBorder="1" applyAlignment="1">
      <alignment horizontal="center" vertical="center"/>
    </xf>
    <xf numFmtId="0" fontId="0" fillId="0" borderId="41" xfId="0" applyBorder="1" applyAlignment="1">
      <alignment horizontal="center" vertical="center"/>
    </xf>
    <xf numFmtId="0" fontId="15" fillId="0" borderId="40" xfId="0" applyFont="1" applyBorder="1" applyAlignment="1">
      <alignment horizontal="center" vertical="center"/>
    </xf>
    <xf numFmtId="0" fontId="15" fillId="0" borderId="41" xfId="0" applyFont="1" applyBorder="1" applyAlignment="1">
      <alignment horizontal="center" vertical="center"/>
    </xf>
    <xf numFmtId="0" fontId="0" fillId="0" borderId="43" xfId="0" applyBorder="1" applyAlignment="1">
      <alignment horizontal="center" vertical="center"/>
    </xf>
    <xf numFmtId="0" fontId="0" fillId="0" borderId="44" xfId="0" applyBorder="1" applyAlignment="1">
      <alignment horizontal="center" vertical="center"/>
    </xf>
    <xf numFmtId="0" fontId="0" fillId="0" borderId="45" xfId="0" applyBorder="1" applyAlignment="1">
      <alignment horizontal="center" vertical="center"/>
    </xf>
    <xf numFmtId="167" fontId="0" fillId="0" borderId="46" xfId="2" applyNumberFormat="1" applyFont="1" applyBorder="1" applyAlignment="1" applyProtection="1">
      <alignment horizontal="center" vertical="center"/>
    </xf>
    <xf numFmtId="167" fontId="17" fillId="0" borderId="48" xfId="0" applyNumberFormat="1" applyFont="1" applyBorder="1" applyAlignment="1">
      <alignment horizontal="center" vertical="center"/>
    </xf>
    <xf numFmtId="0" fontId="18" fillId="0" borderId="34" xfId="0" applyFont="1" applyBorder="1" applyAlignment="1">
      <alignment horizontal="center" vertical="center"/>
    </xf>
    <xf numFmtId="0" fontId="18" fillId="0" borderId="35" xfId="0" applyFont="1" applyBorder="1" applyAlignment="1">
      <alignment horizontal="center" vertical="center"/>
    </xf>
    <xf numFmtId="0" fontId="18" fillId="0" borderId="36" xfId="0" applyFont="1" applyBorder="1" applyAlignment="1">
      <alignment horizontal="center" vertical="center"/>
    </xf>
    <xf numFmtId="167" fontId="18" fillId="0" borderId="37" xfId="2" applyNumberFormat="1" applyFont="1" applyBorder="1" applyAlignment="1" applyProtection="1">
      <alignment horizontal="center" vertical="center"/>
    </xf>
    <xf numFmtId="0" fontId="0" fillId="0" borderId="2" xfId="0" applyBorder="1"/>
    <xf numFmtId="0" fontId="0" fillId="0" borderId="50" xfId="0" applyBorder="1"/>
    <xf numFmtId="0" fontId="22" fillId="0" borderId="12" xfId="0" applyFont="1" applyBorder="1"/>
    <xf numFmtId="0" fontId="0" fillId="0" borderId="51" xfId="0" applyBorder="1"/>
    <xf numFmtId="0" fontId="22" fillId="0" borderId="52" xfId="0" applyFont="1" applyBorder="1"/>
    <xf numFmtId="0" fontId="0" fillId="0" borderId="52" xfId="0" applyBorder="1"/>
    <xf numFmtId="0" fontId="0" fillId="0" borderId="53" xfId="0" applyBorder="1"/>
    <xf numFmtId="0" fontId="20" fillId="0" borderId="0" xfId="0" applyFont="1"/>
    <xf numFmtId="0" fontId="25" fillId="0" borderId="16" xfId="0" applyFont="1" applyBorder="1" applyAlignment="1">
      <alignment horizontal="center" vertical="center"/>
    </xf>
    <xf numFmtId="0" fontId="26" fillId="0" borderId="17" xfId="0" applyFont="1" applyBorder="1" applyAlignment="1">
      <alignment horizontal="center" vertical="center"/>
    </xf>
    <xf numFmtId="0" fontId="0" fillId="0" borderId="56" xfId="0" applyFill="1" applyBorder="1" applyAlignment="1">
      <alignment horizontal="center" vertical="center"/>
    </xf>
    <xf numFmtId="168" fontId="0" fillId="0" borderId="56" xfId="0" applyNumberFormat="1" applyFill="1" applyBorder="1" applyAlignment="1">
      <alignment horizontal="center" vertical="center"/>
    </xf>
    <xf numFmtId="0" fontId="20" fillId="0" borderId="57" xfId="0" applyFont="1" applyBorder="1" applyAlignment="1">
      <alignment horizontal="center" vertical="center"/>
    </xf>
    <xf numFmtId="0" fontId="22" fillId="0" borderId="0" xfId="0" applyFont="1"/>
    <xf numFmtId="0" fontId="23" fillId="0" borderId="0" xfId="0" applyFont="1"/>
    <xf numFmtId="0" fontId="21" fillId="0" borderId="0" xfId="0" applyFont="1"/>
    <xf numFmtId="0" fontId="21" fillId="0" borderId="56" xfId="0" applyFont="1" applyFill="1" applyBorder="1" applyAlignment="1">
      <alignment horizontal="center" vertical="center" wrapText="1"/>
    </xf>
    <xf numFmtId="0" fontId="20" fillId="0" borderId="58" xfId="0" applyFont="1" applyBorder="1" applyAlignment="1">
      <alignment horizontal="center" vertical="center"/>
    </xf>
    <xf numFmtId="0" fontId="20" fillId="0" borderId="57" xfId="0" applyFont="1" applyBorder="1" applyAlignment="1">
      <alignment horizontal="center" vertical="center" wrapText="1"/>
    </xf>
    <xf numFmtId="0" fontId="20" fillId="0" borderId="59" xfId="0" applyFont="1" applyBorder="1" applyAlignment="1">
      <alignment horizontal="center" vertical="center" wrapText="1"/>
    </xf>
    <xf numFmtId="0" fontId="29" fillId="0" borderId="56" xfId="0" applyFont="1" applyBorder="1" applyAlignment="1">
      <alignment horizontal="center" vertical="center"/>
    </xf>
    <xf numFmtId="0" fontId="28" fillId="0" borderId="56" xfId="0" applyFont="1" applyFill="1" applyBorder="1" applyAlignment="1">
      <alignment horizontal="center" vertical="center" wrapText="1"/>
    </xf>
    <xf numFmtId="0" fontId="28" fillId="0" borderId="56" xfId="0" applyFont="1" applyFill="1" applyBorder="1" applyAlignment="1">
      <alignment wrapText="1"/>
    </xf>
    <xf numFmtId="0" fontId="20" fillId="0" borderId="60" xfId="0" applyFont="1" applyBorder="1" applyAlignment="1">
      <alignment horizontal="center" vertical="center"/>
    </xf>
    <xf numFmtId="0" fontId="23" fillId="0" borderId="0" xfId="0" applyFont="1" applyAlignment="1">
      <alignment horizontal="left" vertical="center" wrapText="1"/>
    </xf>
    <xf numFmtId="0" fontId="23" fillId="0" borderId="7" xfId="0" applyFont="1" applyBorder="1" applyAlignment="1">
      <alignment horizontal="left" vertical="center" wrapText="1"/>
    </xf>
    <xf numFmtId="0" fontId="23" fillId="0" borderId="0" xfId="0" applyFont="1" applyAlignment="1">
      <alignment horizontal="left" vertical="center" wrapText="1"/>
    </xf>
    <xf numFmtId="0" fontId="23" fillId="0" borderId="7" xfId="0" applyFont="1" applyBorder="1" applyAlignment="1">
      <alignment horizontal="left" vertical="center" wrapText="1"/>
    </xf>
    <xf numFmtId="0" fontId="29" fillId="0" borderId="56" xfId="0" applyFont="1" applyBorder="1" applyAlignment="1">
      <alignment horizontal="center" wrapText="1"/>
    </xf>
    <xf numFmtId="0" fontId="24" fillId="0" borderId="0" xfId="0" applyFont="1" applyAlignment="1">
      <alignment horizontal="center" vertical="center" wrapText="1"/>
    </xf>
    <xf numFmtId="0" fontId="23" fillId="0" borderId="0" xfId="0" applyFont="1" applyAlignment="1">
      <alignment horizontal="left" vertical="center" wrapText="1"/>
    </xf>
    <xf numFmtId="0" fontId="23" fillId="0" borderId="7" xfId="0" applyFont="1" applyBorder="1" applyAlignment="1">
      <alignment horizontal="left" vertical="center" wrapText="1"/>
    </xf>
    <xf numFmtId="0" fontId="23" fillId="0" borderId="0" xfId="0" applyFont="1" applyAlignment="1">
      <alignment horizontal="left" vertical="top" wrapText="1"/>
    </xf>
    <xf numFmtId="0" fontId="23" fillId="0" borderId="7" xfId="0" applyFont="1" applyBorder="1" applyAlignment="1">
      <alignment horizontal="left" vertical="top" wrapText="1"/>
    </xf>
    <xf numFmtId="0" fontId="23" fillId="0" borderId="0" xfId="0" applyFont="1" applyAlignment="1">
      <alignment horizontal="center" vertical="top" wrapText="1"/>
    </xf>
    <xf numFmtId="0" fontId="23" fillId="0" borderId="7" xfId="0" applyFont="1" applyBorder="1" applyAlignment="1">
      <alignment horizontal="center" vertical="top" wrapText="1"/>
    </xf>
    <xf numFmtId="0" fontId="27" fillId="0" borderId="54" xfId="0" applyFont="1" applyBorder="1" applyAlignment="1">
      <alignment horizontal="center" vertical="center" wrapText="1"/>
    </xf>
    <xf numFmtId="0" fontId="27" fillId="0" borderId="49" xfId="0" applyFont="1" applyBorder="1" applyAlignment="1">
      <alignment horizontal="center" vertical="center" wrapText="1"/>
    </xf>
    <xf numFmtId="0" fontId="27" fillId="0" borderId="55" xfId="0" applyFont="1" applyBorder="1" applyAlignment="1">
      <alignment horizontal="center" vertical="center" wrapText="1"/>
    </xf>
    <xf numFmtId="0" fontId="11" fillId="0" borderId="18" xfId="0" applyFont="1" applyBorder="1" applyAlignment="1">
      <alignment horizontal="left" vertical="center" wrapText="1" indent="1"/>
    </xf>
    <xf numFmtId="165" fontId="10" fillId="0" borderId="18" xfId="0" applyNumberFormat="1" applyFont="1" applyBorder="1" applyAlignment="1">
      <alignment horizontal="center" vertical="center"/>
    </xf>
    <xf numFmtId="0" fontId="10" fillId="0" borderId="11" xfId="0" applyFont="1" applyBorder="1" applyAlignment="1">
      <alignment horizontal="left" vertical="center"/>
    </xf>
    <xf numFmtId="0" fontId="9" fillId="0" borderId="61" xfId="0" applyFont="1" applyBorder="1" applyAlignment="1">
      <alignment horizontal="left" vertical="center" wrapText="1" indent="1"/>
    </xf>
    <xf numFmtId="0" fontId="9" fillId="0" borderId="49" xfId="0" applyFont="1" applyBorder="1" applyAlignment="1">
      <alignment horizontal="left" vertical="center" wrapText="1" indent="1"/>
    </xf>
    <xf numFmtId="0" fontId="9" fillId="0" borderId="20" xfId="0" applyFont="1" applyBorder="1" applyAlignment="1">
      <alignment horizontal="left" vertical="center" wrapText="1" indent="1"/>
    </xf>
    <xf numFmtId="0" fontId="11" fillId="0" borderId="13" xfId="0" applyFont="1" applyBorder="1" applyAlignment="1">
      <alignment horizontal="center" vertical="center"/>
    </xf>
    <xf numFmtId="0" fontId="11" fillId="0" borderId="14" xfId="0" applyFont="1" applyBorder="1" applyAlignment="1">
      <alignment horizontal="center" vertical="center" wrapText="1"/>
    </xf>
    <xf numFmtId="0" fontId="11" fillId="0" borderId="15" xfId="0" applyFont="1" applyBorder="1" applyAlignment="1">
      <alignment horizontal="center" vertical="center" wrapText="1"/>
    </xf>
    <xf numFmtId="0" fontId="10" fillId="0" borderId="10" xfId="0" applyFont="1" applyBorder="1" applyAlignment="1">
      <alignment horizontal="left" vertical="center" wrapText="1"/>
    </xf>
    <xf numFmtId="0" fontId="9" fillId="0" borderId="19" xfId="0" applyFont="1" applyBorder="1" applyAlignment="1">
      <alignment horizontal="left" vertical="center" wrapText="1" indent="1"/>
    </xf>
    <xf numFmtId="0" fontId="10" fillId="0" borderId="8" xfId="0" applyFont="1" applyBorder="1" applyAlignment="1">
      <alignment horizontal="left" vertical="center" wrapText="1"/>
    </xf>
    <xf numFmtId="0" fontId="9" fillId="0" borderId="9" xfId="0" applyFont="1" applyBorder="1" applyAlignment="1">
      <alignment horizontal="left" vertical="center" wrapText="1" indent="1"/>
    </xf>
    <xf numFmtId="0" fontId="7" fillId="0" borderId="2" xfId="0" applyFont="1" applyBorder="1" applyAlignment="1">
      <alignment horizontal="center" vertical="center"/>
    </xf>
    <xf numFmtId="0" fontId="13" fillId="0" borderId="9" xfId="0" applyFont="1" applyBorder="1" applyAlignment="1">
      <alignment vertical="center" wrapText="1"/>
    </xf>
    <xf numFmtId="0" fontId="15" fillId="0" borderId="29" xfId="0" applyFont="1" applyBorder="1" applyAlignment="1">
      <alignment vertical="center" wrapText="1"/>
    </xf>
    <xf numFmtId="0" fontId="30" fillId="0" borderId="18" xfId="0" applyFont="1" applyBorder="1" applyAlignment="1">
      <alignment horizontal="left" vertical="center" wrapText="1" indent="1"/>
    </xf>
    <xf numFmtId="0" fontId="15" fillId="0" borderId="18" xfId="0" applyFont="1" applyBorder="1" applyAlignment="1">
      <alignment horizontal="left" vertical="center" wrapText="1" indent="1"/>
    </xf>
    <xf numFmtId="0" fontId="0" fillId="0" borderId="41" xfId="0" applyFont="1" applyBorder="1" applyAlignment="1">
      <alignment horizontal="left" vertical="center"/>
    </xf>
    <xf numFmtId="0" fontId="0" fillId="0" borderId="41" xfId="0" applyBorder="1" applyAlignment="1">
      <alignment horizontal="left" vertical="center"/>
    </xf>
    <xf numFmtId="0" fontId="0" fillId="0" borderId="44" xfId="0" applyBorder="1" applyAlignment="1">
      <alignment horizontal="left" vertical="center"/>
    </xf>
    <xf numFmtId="0" fontId="13" fillId="0" borderId="47" xfId="0" applyFont="1" applyBorder="1" applyAlignment="1">
      <alignment horizontal="left" vertical="center" wrapText="1"/>
    </xf>
    <xf numFmtId="0" fontId="0" fillId="0" borderId="25" xfId="0" applyBorder="1"/>
    <xf numFmtId="0" fontId="0" fillId="0" borderId="41" xfId="0" applyFont="1" applyBorder="1" applyAlignment="1">
      <alignment horizontal="center" vertical="center"/>
    </xf>
    <xf numFmtId="0" fontId="19" fillId="0" borderId="35" xfId="0" applyFont="1" applyBorder="1" applyAlignment="1">
      <alignment horizontal="left" vertical="center" wrapText="1"/>
    </xf>
    <xf numFmtId="0" fontId="16" fillId="0" borderId="24" xfId="0" applyFont="1" applyBorder="1" applyAlignment="1">
      <alignment horizontal="left"/>
    </xf>
    <xf numFmtId="0" fontId="15" fillId="0" borderId="25" xfId="0" applyFont="1" applyBorder="1" applyAlignment="1">
      <alignment horizontal="left"/>
    </xf>
    <xf numFmtId="49" fontId="15" fillId="0" borderId="26" xfId="0" applyNumberFormat="1" applyFont="1" applyBorder="1" applyAlignment="1">
      <alignment horizontal="justify" vertical="center" wrapText="1"/>
    </xf>
    <xf numFmtId="0" fontId="17" fillId="0" borderId="25" xfId="0" applyFont="1" applyBorder="1" applyAlignment="1">
      <alignment horizontal="center" vertical="center"/>
    </xf>
    <xf numFmtId="0" fontId="17" fillId="0" borderId="22" xfId="0" applyFont="1" applyBorder="1" applyAlignment="1">
      <alignment horizontal="center" vertical="center"/>
    </xf>
    <xf numFmtId="0" fontId="17" fillId="0" borderId="28" xfId="0" applyFont="1" applyBorder="1" applyAlignment="1">
      <alignment horizontal="center" vertical="center" wrapText="1"/>
    </xf>
    <xf numFmtId="0" fontId="17" fillId="0" borderId="29" xfId="0" applyFont="1" applyBorder="1" applyAlignment="1">
      <alignment horizontal="center" vertical="center"/>
    </xf>
    <xf numFmtId="0" fontId="12" fillId="0" borderId="22" xfId="0" applyFont="1" applyBorder="1" applyAlignment="1">
      <alignment horizontal="left" vertical="center" wrapText="1"/>
    </xf>
    <xf numFmtId="0" fontId="18" fillId="0" borderId="23" xfId="0" applyFont="1" applyBorder="1" applyAlignment="1">
      <alignment horizontal="left" indent="1"/>
    </xf>
    <xf numFmtId="0" fontId="0" fillId="0" borderId="19" xfId="0" applyFont="1" applyBorder="1" applyAlignment="1">
      <alignment horizontal="center"/>
    </xf>
    <xf numFmtId="3" fontId="13" fillId="0" borderId="20" xfId="0" applyNumberFormat="1" applyFont="1" applyBorder="1" applyAlignment="1">
      <alignment horizontal="center"/>
    </xf>
    <xf numFmtId="0" fontId="14" fillId="0" borderId="4" xfId="0" applyFont="1" applyBorder="1" applyAlignment="1">
      <alignment horizontal="center" vertical="center" wrapText="1"/>
    </xf>
    <xf numFmtId="0" fontId="5" fillId="0" borderId="22" xfId="0" applyFont="1" applyBorder="1"/>
  </cellXfs>
  <cellStyles count="7">
    <cellStyle name="Encabezado 1" xfId="1" xr:uid="{00000000-0005-0000-0000-000000000000}"/>
    <cellStyle name="Moneda_AUTORIZACION Y NOTA DE PEDIDO" xfId="2" xr:uid="{00000000-0005-0000-0000-000001000000}"/>
    <cellStyle name="Neutral 1" xfId="3" xr:uid="{00000000-0005-0000-0000-000002000000}"/>
    <cellStyle name="Normal" xfId="0" builtinId="0"/>
    <cellStyle name="Normal 2" xfId="4" xr:uid="{00000000-0005-0000-0000-000004000000}"/>
    <cellStyle name="Normal 3" xfId="5" xr:uid="{00000000-0005-0000-0000-000005000000}"/>
    <cellStyle name="Normal 4" xfId="6" xr:uid="{00000000-0005-0000-0000-000006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D3D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733680</xdr:colOff>
      <xdr:row>0</xdr:row>
      <xdr:rowOff>360</xdr:rowOff>
    </xdr:to>
    <xdr:sp macro="" textlink="">
      <xdr:nvSpPr>
        <xdr:cNvPr id="2" name="CustomShape 1" hidden="1">
          <a:extLst>
            <a:ext uri="{FF2B5EF4-FFF2-40B4-BE49-F238E27FC236}">
              <a16:creationId xmlns:a16="http://schemas.microsoft.com/office/drawing/2014/main" id="{00000000-0008-0000-0100-000002000000}"/>
            </a:ext>
          </a:extLst>
        </xdr:cNvPr>
        <xdr:cNvSpPr/>
      </xdr:nvSpPr>
      <xdr:spPr>
        <a:xfrm>
          <a:off x="720396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3" name="CustomShape 1" hidden="1">
          <a:extLst>
            <a:ext uri="{FF2B5EF4-FFF2-40B4-BE49-F238E27FC236}">
              <a16:creationId xmlns:a16="http://schemas.microsoft.com/office/drawing/2014/main" id="{00000000-0008-0000-0100-000003000000}"/>
            </a:ext>
          </a:extLst>
        </xdr:cNvPr>
        <xdr:cNvSpPr/>
      </xdr:nvSpPr>
      <xdr:spPr>
        <a:xfrm>
          <a:off x="720396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4" name="CustomShape 1" hidden="1">
          <a:extLst>
            <a:ext uri="{FF2B5EF4-FFF2-40B4-BE49-F238E27FC236}">
              <a16:creationId xmlns:a16="http://schemas.microsoft.com/office/drawing/2014/main" id="{00000000-0008-0000-0100-000004000000}"/>
            </a:ext>
          </a:extLst>
        </xdr:cNvPr>
        <xdr:cNvSpPr/>
      </xdr:nvSpPr>
      <xdr:spPr>
        <a:xfrm>
          <a:off x="720396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5" name="CustomShape 1" hidden="1">
          <a:extLst>
            <a:ext uri="{FF2B5EF4-FFF2-40B4-BE49-F238E27FC236}">
              <a16:creationId xmlns:a16="http://schemas.microsoft.com/office/drawing/2014/main" id="{00000000-0008-0000-0100-000005000000}"/>
            </a:ext>
          </a:extLst>
        </xdr:cNvPr>
        <xdr:cNvSpPr/>
      </xdr:nvSpPr>
      <xdr:spPr>
        <a:xfrm>
          <a:off x="720396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J48"/>
  <sheetViews>
    <sheetView tabSelected="1" workbookViewId="0">
      <selection activeCell="K14" sqref="K14"/>
    </sheetView>
  </sheetViews>
  <sheetFormatPr baseColWidth="10" defaultRowHeight="12.75" x14ac:dyDescent="0.2"/>
  <cols>
    <col min="1" max="1" width="5.5703125" customWidth="1"/>
    <col min="2" max="2" width="20.5703125" customWidth="1"/>
    <col min="3" max="3" width="22.140625" customWidth="1"/>
    <col min="5" max="5" width="32.85546875" customWidth="1"/>
    <col min="7" max="7" width="13.42578125" customWidth="1"/>
    <col min="8" max="8" width="12.7109375" bestFit="1" customWidth="1"/>
    <col min="9" max="9" width="13.7109375" bestFit="1" customWidth="1"/>
    <col min="10" max="10" width="19.42578125" customWidth="1"/>
  </cols>
  <sheetData>
    <row r="2" spans="1:10" ht="18" x14ac:dyDescent="0.2">
      <c r="B2" s="79" t="s">
        <v>52</v>
      </c>
      <c r="C2" s="79"/>
      <c r="D2" s="79"/>
      <c r="E2" s="79"/>
      <c r="F2" s="79"/>
      <c r="G2" s="79"/>
      <c r="H2" s="79"/>
      <c r="I2" s="79"/>
    </row>
    <row r="4" spans="1:10" x14ac:dyDescent="0.2">
      <c r="A4" s="57" t="s">
        <v>58</v>
      </c>
      <c r="B4" s="57"/>
      <c r="C4" s="57"/>
      <c r="D4" s="57"/>
      <c r="E4" s="57"/>
      <c r="F4" s="57"/>
      <c r="G4" s="57"/>
      <c r="H4" s="57"/>
      <c r="I4" s="57"/>
    </row>
    <row r="5" spans="1:10" x14ac:dyDescent="0.2">
      <c r="A5" s="57" t="s">
        <v>68</v>
      </c>
      <c r="B5" s="57"/>
      <c r="C5" s="57"/>
      <c r="D5" s="57"/>
      <c r="E5" s="57"/>
      <c r="F5" s="57"/>
      <c r="G5" s="57"/>
      <c r="H5" s="57"/>
      <c r="I5" s="57"/>
    </row>
    <row r="6" spans="1:10" x14ac:dyDescent="0.2">
      <c r="A6" s="57" t="s">
        <v>59</v>
      </c>
      <c r="B6" s="57"/>
      <c r="C6" s="57"/>
      <c r="D6" s="57"/>
      <c r="E6" s="57"/>
      <c r="F6" s="57"/>
      <c r="G6" s="57"/>
      <c r="H6" s="57"/>
      <c r="I6" s="57"/>
    </row>
    <row r="7" spans="1:10" x14ac:dyDescent="0.2">
      <c r="A7" s="57" t="s">
        <v>60</v>
      </c>
      <c r="B7" s="57"/>
      <c r="C7" s="57"/>
      <c r="D7" s="57"/>
      <c r="E7" s="57"/>
      <c r="F7" s="57"/>
      <c r="G7" s="57"/>
      <c r="H7" s="57"/>
      <c r="I7" s="57"/>
    </row>
    <row r="8" spans="1:10" x14ac:dyDescent="0.2">
      <c r="A8" s="57"/>
      <c r="B8" s="57"/>
      <c r="C8" s="57"/>
      <c r="D8" s="57"/>
      <c r="E8" s="57"/>
      <c r="F8" s="57"/>
      <c r="G8" s="57"/>
      <c r="H8" s="57"/>
      <c r="I8" s="57"/>
    </row>
    <row r="9" spans="1:10" ht="13.5" thickBot="1" x14ac:dyDescent="0.25">
      <c r="A9" s="57"/>
      <c r="B9" s="57"/>
      <c r="C9" s="57"/>
      <c r="D9" s="57"/>
      <c r="E9" s="57"/>
      <c r="F9" s="57"/>
      <c r="G9" s="57"/>
      <c r="H9" s="57"/>
      <c r="I9" s="57"/>
    </row>
    <row r="10" spans="1:10" ht="38.25" customHeight="1" x14ac:dyDescent="0.2">
      <c r="A10" s="73" t="s">
        <v>39</v>
      </c>
      <c r="B10" s="67" t="s">
        <v>40</v>
      </c>
      <c r="C10" s="62" t="s">
        <v>41</v>
      </c>
      <c r="D10" s="62" t="s">
        <v>42</v>
      </c>
      <c r="E10" s="62" t="s">
        <v>43</v>
      </c>
      <c r="F10" s="68" t="s">
        <v>44</v>
      </c>
      <c r="G10" s="62" t="s">
        <v>45</v>
      </c>
      <c r="H10" s="68" t="s">
        <v>46</v>
      </c>
      <c r="I10" s="69" t="s">
        <v>64</v>
      </c>
      <c r="J10" s="65"/>
    </row>
    <row r="11" spans="1:10" ht="63" x14ac:dyDescent="0.25">
      <c r="A11" s="60">
        <v>1</v>
      </c>
      <c r="B11" s="70" t="s">
        <v>70</v>
      </c>
      <c r="C11" s="70" t="s">
        <v>53</v>
      </c>
      <c r="D11" s="66" t="s">
        <v>71</v>
      </c>
      <c r="E11" s="72" t="s">
        <v>72</v>
      </c>
      <c r="F11" s="71" t="s">
        <v>54</v>
      </c>
      <c r="G11" s="71">
        <v>1</v>
      </c>
      <c r="H11" s="61">
        <v>1900813.2</v>
      </c>
      <c r="I11" s="61">
        <f>H11*G11</f>
        <v>1900813.2</v>
      </c>
      <c r="J11" s="65"/>
    </row>
    <row r="12" spans="1:10" ht="78.75" x14ac:dyDescent="0.25">
      <c r="A12" s="60">
        <v>2</v>
      </c>
      <c r="B12" s="78" t="s">
        <v>75</v>
      </c>
      <c r="C12" s="70" t="s">
        <v>53</v>
      </c>
      <c r="D12" s="66" t="s">
        <v>71</v>
      </c>
      <c r="E12" s="72" t="s">
        <v>76</v>
      </c>
      <c r="F12" s="71" t="s">
        <v>54</v>
      </c>
      <c r="G12" s="71">
        <v>1</v>
      </c>
      <c r="H12" s="61">
        <v>578622.19999999995</v>
      </c>
      <c r="I12" s="61">
        <f>H12*G12</f>
        <v>578622.19999999995</v>
      </c>
    </row>
    <row r="13" spans="1:10" ht="13.5" thickBot="1" x14ac:dyDescent="0.25"/>
    <row r="14" spans="1:10" x14ac:dyDescent="0.2">
      <c r="B14" s="50"/>
      <c r="C14" s="15"/>
      <c r="D14" s="15"/>
      <c r="E14" s="15"/>
      <c r="F14" s="15"/>
      <c r="G14" s="15"/>
      <c r="H14" s="15"/>
      <c r="I14" s="51"/>
    </row>
    <row r="15" spans="1:10" x14ac:dyDescent="0.2">
      <c r="B15" s="52" t="s">
        <v>47</v>
      </c>
      <c r="I15" s="20"/>
    </row>
    <row r="16" spans="1:10" x14ac:dyDescent="0.2">
      <c r="B16" s="52"/>
      <c r="D16" s="64"/>
      <c r="I16" s="20"/>
    </row>
    <row r="17" spans="2:9" x14ac:dyDescent="0.2">
      <c r="B17" s="52"/>
      <c r="C17" s="63" t="s">
        <v>48</v>
      </c>
      <c r="D17" s="64"/>
      <c r="I17" s="20"/>
    </row>
    <row r="18" spans="2:9" x14ac:dyDescent="0.2">
      <c r="B18" s="52"/>
      <c r="C18" s="63"/>
      <c r="D18" s="82" t="s">
        <v>80</v>
      </c>
      <c r="E18" s="82"/>
      <c r="F18" s="82"/>
      <c r="G18" s="82"/>
      <c r="H18" s="82"/>
      <c r="I18" s="83"/>
    </row>
    <row r="19" spans="2:9" x14ac:dyDescent="0.2">
      <c r="B19" s="52"/>
      <c r="C19" s="63"/>
      <c r="D19" s="82"/>
      <c r="E19" s="82"/>
      <c r="F19" s="82"/>
      <c r="G19" s="82"/>
      <c r="H19" s="82"/>
      <c r="I19" s="83"/>
    </row>
    <row r="20" spans="2:9" ht="34.5" customHeight="1" x14ac:dyDescent="0.2">
      <c r="B20" s="52"/>
      <c r="C20" s="63"/>
      <c r="D20" s="82"/>
      <c r="E20" s="82"/>
      <c r="F20" s="82"/>
      <c r="G20" s="82"/>
      <c r="H20" s="82"/>
      <c r="I20" s="83"/>
    </row>
    <row r="21" spans="2:9" x14ac:dyDescent="0.2">
      <c r="B21" s="52"/>
      <c r="C21" s="63"/>
      <c r="D21" s="64"/>
      <c r="I21" s="20"/>
    </row>
    <row r="22" spans="2:9" x14ac:dyDescent="0.2">
      <c r="B22" s="52"/>
      <c r="D22" s="64"/>
      <c r="I22" s="20"/>
    </row>
    <row r="23" spans="2:9" x14ac:dyDescent="0.2">
      <c r="B23" s="16"/>
      <c r="C23" s="63" t="s">
        <v>49</v>
      </c>
      <c r="I23" s="20"/>
    </row>
    <row r="24" spans="2:9" x14ac:dyDescent="0.2">
      <c r="B24" s="52"/>
      <c r="C24" s="65"/>
      <c r="D24" s="80" t="s">
        <v>82</v>
      </c>
      <c r="E24" s="80"/>
      <c r="F24" s="80"/>
      <c r="G24" s="80"/>
      <c r="H24" s="80"/>
      <c r="I24" s="81"/>
    </row>
    <row r="25" spans="2:9" x14ac:dyDescent="0.2">
      <c r="B25" s="16"/>
      <c r="C25" s="65"/>
      <c r="D25" s="80"/>
      <c r="E25" s="80"/>
      <c r="F25" s="80"/>
      <c r="G25" s="80"/>
      <c r="H25" s="80"/>
      <c r="I25" s="81"/>
    </row>
    <row r="26" spans="2:9" ht="37.5" customHeight="1" x14ac:dyDescent="0.2">
      <c r="B26" s="16"/>
      <c r="C26" s="65"/>
      <c r="D26" s="80"/>
      <c r="E26" s="80"/>
      <c r="F26" s="80"/>
      <c r="G26" s="80"/>
      <c r="H26" s="80"/>
      <c r="I26" s="81"/>
    </row>
    <row r="27" spans="2:9" x14ac:dyDescent="0.2">
      <c r="B27" s="16"/>
      <c r="C27" s="65"/>
      <c r="D27" s="74"/>
      <c r="E27" s="74"/>
      <c r="F27" s="74"/>
      <c r="G27" s="74"/>
      <c r="H27" s="74"/>
      <c r="I27" s="75"/>
    </row>
    <row r="28" spans="2:9" x14ac:dyDescent="0.2">
      <c r="B28" s="16"/>
      <c r="C28" s="63" t="s">
        <v>57</v>
      </c>
      <c r="D28" s="64" t="s">
        <v>78</v>
      </c>
      <c r="I28" s="20"/>
    </row>
    <row r="29" spans="2:9" x14ac:dyDescent="0.2">
      <c r="B29" s="16"/>
      <c r="C29" s="63" t="s">
        <v>50</v>
      </c>
      <c r="D29" s="64" t="s">
        <v>63</v>
      </c>
      <c r="I29" s="20"/>
    </row>
    <row r="30" spans="2:9" ht="13.5" thickBot="1" x14ac:dyDescent="0.25">
      <c r="B30" s="53"/>
      <c r="C30" s="54" t="s">
        <v>51</v>
      </c>
      <c r="D30" s="55" t="s">
        <v>62</v>
      </c>
      <c r="E30" s="55"/>
      <c r="F30" s="55"/>
      <c r="G30" s="55"/>
      <c r="H30" s="55"/>
      <c r="I30" s="56"/>
    </row>
    <row r="31" spans="2:9" ht="13.5" thickBot="1" x14ac:dyDescent="0.25"/>
    <row r="32" spans="2:9" x14ac:dyDescent="0.2">
      <c r="B32" s="50"/>
      <c r="C32" s="15"/>
      <c r="D32" s="15"/>
      <c r="E32" s="15"/>
      <c r="F32" s="15"/>
      <c r="G32" s="15"/>
      <c r="H32" s="15"/>
      <c r="I32" s="51"/>
    </row>
    <row r="33" spans="2:9" x14ac:dyDescent="0.2">
      <c r="B33" s="52" t="s">
        <v>77</v>
      </c>
      <c r="I33" s="20"/>
    </row>
    <row r="34" spans="2:9" x14ac:dyDescent="0.2">
      <c r="B34" s="52"/>
      <c r="D34" s="64"/>
      <c r="I34" s="20"/>
    </row>
    <row r="35" spans="2:9" x14ac:dyDescent="0.2">
      <c r="B35" s="52"/>
      <c r="C35" s="63" t="s">
        <v>48</v>
      </c>
      <c r="D35" s="64"/>
      <c r="I35" s="20"/>
    </row>
    <row r="36" spans="2:9" x14ac:dyDescent="0.2">
      <c r="B36" s="52"/>
      <c r="C36" s="63"/>
      <c r="D36" s="84" t="s">
        <v>79</v>
      </c>
      <c r="E36" s="84"/>
      <c r="F36" s="84"/>
      <c r="G36" s="84"/>
      <c r="H36" s="84"/>
      <c r="I36" s="85"/>
    </row>
    <row r="37" spans="2:9" x14ac:dyDescent="0.2">
      <c r="B37" s="52"/>
      <c r="C37" s="63"/>
      <c r="D37" s="84"/>
      <c r="E37" s="84"/>
      <c r="F37" s="84"/>
      <c r="G37" s="84"/>
      <c r="H37" s="84"/>
      <c r="I37" s="85"/>
    </row>
    <row r="38" spans="2:9" x14ac:dyDescent="0.2">
      <c r="B38" s="52"/>
      <c r="C38" s="63"/>
      <c r="D38" s="84"/>
      <c r="E38" s="84"/>
      <c r="F38" s="84"/>
      <c r="G38" s="84"/>
      <c r="H38" s="84"/>
      <c r="I38" s="85"/>
    </row>
    <row r="39" spans="2:9" x14ac:dyDescent="0.2">
      <c r="B39" s="52"/>
      <c r="C39" s="63"/>
      <c r="D39" s="84"/>
      <c r="E39" s="84"/>
      <c r="F39" s="84"/>
      <c r="G39" s="84"/>
      <c r="H39" s="84"/>
      <c r="I39" s="85"/>
    </row>
    <row r="40" spans="2:9" x14ac:dyDescent="0.2">
      <c r="B40" s="52"/>
      <c r="D40" s="64"/>
      <c r="I40" s="20"/>
    </row>
    <row r="41" spans="2:9" x14ac:dyDescent="0.2">
      <c r="B41" s="16"/>
      <c r="C41" s="63" t="s">
        <v>49</v>
      </c>
      <c r="I41" s="20"/>
    </row>
    <row r="42" spans="2:9" x14ac:dyDescent="0.2">
      <c r="B42" s="52"/>
      <c r="C42" s="65"/>
      <c r="D42" s="80" t="s">
        <v>82</v>
      </c>
      <c r="E42" s="80"/>
      <c r="F42" s="80"/>
      <c r="G42" s="80"/>
      <c r="H42" s="80"/>
      <c r="I42" s="81"/>
    </row>
    <row r="43" spans="2:9" x14ac:dyDescent="0.2">
      <c r="B43" s="16"/>
      <c r="C43" s="65"/>
      <c r="D43" s="80"/>
      <c r="E43" s="80"/>
      <c r="F43" s="80"/>
      <c r="G43" s="80"/>
      <c r="H43" s="80"/>
      <c r="I43" s="81"/>
    </row>
    <row r="44" spans="2:9" ht="38.25" customHeight="1" x14ac:dyDescent="0.2">
      <c r="B44" s="16"/>
      <c r="C44" s="65"/>
      <c r="D44" s="80"/>
      <c r="E44" s="80"/>
      <c r="F44" s="80"/>
      <c r="G44" s="80"/>
      <c r="H44" s="80"/>
      <c r="I44" s="81"/>
    </row>
    <row r="45" spans="2:9" x14ac:dyDescent="0.2">
      <c r="B45" s="16"/>
      <c r="C45" s="65"/>
      <c r="D45" s="76"/>
      <c r="E45" s="76"/>
      <c r="F45" s="76"/>
      <c r="G45" s="76"/>
      <c r="H45" s="76"/>
      <c r="I45" s="77"/>
    </row>
    <row r="46" spans="2:9" x14ac:dyDescent="0.2">
      <c r="B46" s="16"/>
      <c r="C46" s="63" t="s">
        <v>57</v>
      </c>
      <c r="D46" s="64" t="s">
        <v>78</v>
      </c>
      <c r="I46" s="20"/>
    </row>
    <row r="47" spans="2:9" x14ac:dyDescent="0.2">
      <c r="B47" s="16"/>
      <c r="C47" s="63" t="s">
        <v>50</v>
      </c>
      <c r="D47" s="64" t="s">
        <v>63</v>
      </c>
      <c r="I47" s="20"/>
    </row>
    <row r="48" spans="2:9" ht="13.5" thickBot="1" x14ac:dyDescent="0.25">
      <c r="B48" s="53"/>
      <c r="C48" s="54" t="s">
        <v>51</v>
      </c>
      <c r="D48" s="55" t="s">
        <v>62</v>
      </c>
      <c r="E48" s="55"/>
      <c r="F48" s="55"/>
      <c r="G48" s="55"/>
      <c r="H48" s="55"/>
      <c r="I48" s="56"/>
    </row>
  </sheetData>
  <mergeCells count="5">
    <mergeCell ref="B2:I2"/>
    <mergeCell ref="D24:I26"/>
    <mergeCell ref="D42:I44"/>
    <mergeCell ref="D18:I20"/>
    <mergeCell ref="D36:I39"/>
  </mergeCells>
  <pageMargins left="0.7" right="0.7" top="0.75" bottom="0.75" header="0.3" footer="0.3"/>
  <pageSetup paperSize="9" scale="82"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J14"/>
  <sheetViews>
    <sheetView zoomScaleNormal="100" workbookViewId="0">
      <selection activeCell="F24" sqref="F24"/>
    </sheetView>
  </sheetViews>
  <sheetFormatPr baseColWidth="10" defaultColWidth="9.140625" defaultRowHeight="12.75" x14ac:dyDescent="0.2"/>
  <cols>
    <col min="1" max="1" width="5.5703125" style="1" customWidth="1"/>
    <col min="2" max="2" width="15.140625" style="1" customWidth="1"/>
    <col min="3" max="3" width="14.140625" style="1" customWidth="1"/>
    <col min="4" max="4" width="26" style="1" customWidth="1"/>
    <col min="5" max="5" width="8" style="1" customWidth="1"/>
    <col min="6" max="6" width="7.85546875" style="1" customWidth="1"/>
    <col min="7" max="7" width="28.5703125" style="1" customWidth="1"/>
    <col min="8" max="8" width="9.28515625" style="1" customWidth="1"/>
    <col min="9" max="9" width="15.5703125" style="1" customWidth="1"/>
    <col min="10" max="10" width="14.7109375" style="1" customWidth="1"/>
    <col min="11" max="11" width="15.5703125" style="1" customWidth="1"/>
    <col min="12" max="14" width="5.85546875" style="1" customWidth="1"/>
    <col min="15" max="15" width="12.5703125" style="1" customWidth="1"/>
    <col min="16" max="1024" width="9.140625" style="1"/>
  </cols>
  <sheetData>
    <row r="1" spans="1:11" ht="27" customHeight="1" x14ac:dyDescent="0.2">
      <c r="A1" s="102" t="s">
        <v>0</v>
      </c>
      <c r="B1" s="102"/>
      <c r="C1" s="102"/>
      <c r="D1" s="102"/>
      <c r="E1" s="102"/>
      <c r="F1" s="102"/>
      <c r="G1" s="102"/>
      <c r="H1" s="102"/>
      <c r="I1" s="102"/>
      <c r="J1" s="2" t="s">
        <v>1</v>
      </c>
      <c r="K1" s="3"/>
    </row>
    <row r="2" spans="1:11" ht="18.75" customHeight="1" thickBot="1" x14ac:dyDescent="0.25">
      <c r="A2" s="4"/>
      <c r="B2" s="5"/>
      <c r="C2" s="5"/>
      <c r="D2" s="6"/>
      <c r="E2" s="6"/>
      <c r="F2" s="6"/>
      <c r="G2" s="6"/>
      <c r="H2" s="6"/>
      <c r="I2" s="6"/>
      <c r="J2" s="6"/>
      <c r="K2" s="7"/>
    </row>
    <row r="3" spans="1:11" ht="18.75" customHeight="1" thickBot="1" x14ac:dyDescent="0.25">
      <c r="A3" s="100" t="s">
        <v>2</v>
      </c>
      <c r="B3" s="100"/>
      <c r="C3" s="100"/>
      <c r="D3" s="99" t="s">
        <v>55</v>
      </c>
      <c r="E3" s="93"/>
      <c r="F3" s="93"/>
      <c r="G3" s="93"/>
      <c r="H3" s="93"/>
      <c r="I3" s="93"/>
      <c r="J3" s="93"/>
      <c r="K3" s="94"/>
    </row>
    <row r="4" spans="1:11" ht="18.75" customHeight="1" thickBot="1" x14ac:dyDescent="0.25">
      <c r="A4" s="98" t="s">
        <v>3</v>
      </c>
      <c r="B4" s="98"/>
      <c r="C4" s="98"/>
      <c r="D4" s="99" t="s">
        <v>69</v>
      </c>
      <c r="E4" s="93"/>
      <c r="F4" s="93"/>
      <c r="G4" s="93"/>
      <c r="H4" s="93"/>
      <c r="I4" s="93"/>
      <c r="J4" s="93"/>
      <c r="K4" s="94"/>
    </row>
    <row r="5" spans="1:11" ht="18.75" customHeight="1" thickBot="1" x14ac:dyDescent="0.25">
      <c r="A5" s="98" t="s">
        <v>4</v>
      </c>
      <c r="B5" s="98"/>
      <c r="C5" s="98"/>
      <c r="D5" s="99" t="s">
        <v>56</v>
      </c>
      <c r="E5" s="93"/>
      <c r="F5" s="93"/>
      <c r="G5" s="93"/>
      <c r="H5" s="93"/>
      <c r="I5" s="93"/>
      <c r="J5" s="93"/>
      <c r="K5" s="94"/>
    </row>
    <row r="6" spans="1:11" ht="16.5" customHeight="1" thickBot="1" x14ac:dyDescent="0.25">
      <c r="A6" s="100" t="s">
        <v>5</v>
      </c>
      <c r="B6" s="100"/>
      <c r="C6" s="100"/>
      <c r="D6" s="99" t="s">
        <v>56</v>
      </c>
      <c r="E6" s="93"/>
      <c r="F6" s="93"/>
      <c r="G6" s="93"/>
      <c r="H6" s="93"/>
      <c r="I6" s="93"/>
      <c r="J6" s="93"/>
      <c r="K6" s="94"/>
    </row>
    <row r="7" spans="1:11" ht="16.5" customHeight="1" thickBot="1" x14ac:dyDescent="0.25">
      <c r="A7" s="98" t="s">
        <v>6</v>
      </c>
      <c r="B7" s="98"/>
      <c r="C7" s="98"/>
      <c r="D7" s="101" t="s">
        <v>61</v>
      </c>
      <c r="E7" s="101"/>
      <c r="F7" s="101"/>
      <c r="G7" s="101"/>
      <c r="H7" s="101"/>
      <c r="I7" s="101"/>
      <c r="J7" s="101"/>
      <c r="K7" s="101"/>
    </row>
    <row r="8" spans="1:11" ht="40.5" customHeight="1" thickBot="1" x14ac:dyDescent="0.25">
      <c r="A8" s="91" t="s">
        <v>7</v>
      </c>
      <c r="B8" s="91"/>
      <c r="C8" s="91"/>
      <c r="D8" s="92" t="s">
        <v>67</v>
      </c>
      <c r="E8" s="93"/>
      <c r="F8" s="93"/>
      <c r="G8" s="93"/>
      <c r="H8" s="93"/>
      <c r="I8" s="93"/>
      <c r="J8" s="93"/>
      <c r="K8" s="94"/>
    </row>
    <row r="9" spans="1:11" ht="16.5" thickBot="1" x14ac:dyDescent="0.25">
      <c r="A9" s="8"/>
      <c r="B9" s="9"/>
      <c r="C9" s="9"/>
      <c r="D9" s="10"/>
      <c r="E9" s="10"/>
      <c r="F9" s="10"/>
      <c r="G9" s="10"/>
      <c r="H9" s="10"/>
      <c r="I9" s="10"/>
      <c r="J9" s="10"/>
      <c r="K9" s="11"/>
    </row>
    <row r="10" spans="1:11" ht="18.75" customHeight="1" thickBot="1" x14ac:dyDescent="0.25">
      <c r="A10" s="95" t="s">
        <v>8</v>
      </c>
      <c r="B10" s="96" t="s">
        <v>9</v>
      </c>
      <c r="C10" s="96" t="s">
        <v>10</v>
      </c>
      <c r="D10" s="96"/>
      <c r="E10" s="96"/>
      <c r="F10" s="96"/>
      <c r="G10" s="96"/>
      <c r="H10" s="96" t="s">
        <v>11</v>
      </c>
      <c r="I10" s="96" t="s">
        <v>12</v>
      </c>
      <c r="J10" s="96" t="s">
        <v>13</v>
      </c>
      <c r="K10" s="97" t="s">
        <v>14</v>
      </c>
    </row>
    <row r="11" spans="1:11" ht="24" customHeight="1" thickBot="1" x14ac:dyDescent="0.25">
      <c r="A11" s="95"/>
      <c r="B11" s="96"/>
      <c r="C11" s="96"/>
      <c r="D11" s="96"/>
      <c r="E11" s="96"/>
      <c r="F11" s="96"/>
      <c r="G11" s="96"/>
      <c r="H11" s="96"/>
      <c r="I11" s="96"/>
      <c r="J11" s="96"/>
      <c r="K11" s="97"/>
    </row>
    <row r="12" spans="1:11" ht="45" customHeight="1" thickBot="1" x14ac:dyDescent="0.25">
      <c r="A12" s="58">
        <v>1</v>
      </c>
      <c r="B12" s="70" t="s">
        <v>70</v>
      </c>
      <c r="C12" s="86" t="s">
        <v>72</v>
      </c>
      <c r="D12" s="87"/>
      <c r="E12" s="87"/>
      <c r="F12" s="87"/>
      <c r="G12" s="88"/>
      <c r="H12" s="59" t="s">
        <v>65</v>
      </c>
      <c r="I12" s="71" t="s">
        <v>54</v>
      </c>
      <c r="J12" s="61">
        <v>1900813.2</v>
      </c>
      <c r="K12" s="71">
        <v>1</v>
      </c>
    </row>
    <row r="13" spans="1:11" ht="45" customHeight="1" thickBot="1" x14ac:dyDescent="0.25">
      <c r="A13" s="58">
        <v>2</v>
      </c>
      <c r="B13" s="70" t="s">
        <v>74</v>
      </c>
      <c r="C13" s="86" t="s">
        <v>76</v>
      </c>
      <c r="D13" s="87"/>
      <c r="E13" s="87"/>
      <c r="F13" s="87"/>
      <c r="G13" s="88"/>
      <c r="H13" s="59" t="s">
        <v>65</v>
      </c>
      <c r="I13" s="71" t="s">
        <v>54</v>
      </c>
      <c r="J13" s="61">
        <v>578622.19999999995</v>
      </c>
      <c r="K13" s="71">
        <v>1</v>
      </c>
    </row>
    <row r="14" spans="1:11" ht="33.75" customHeight="1" thickBot="1" x14ac:dyDescent="0.25">
      <c r="A14" s="89" t="s">
        <v>83</v>
      </c>
      <c r="B14" s="89"/>
      <c r="C14" s="89"/>
      <c r="D14" s="89"/>
      <c r="E14" s="89"/>
      <c r="F14" s="89"/>
      <c r="G14" s="89"/>
      <c r="H14" s="89"/>
      <c r="I14" s="89"/>
      <c r="J14" s="90">
        <v>2479435.4</v>
      </c>
      <c r="K14" s="90"/>
    </row>
  </sheetData>
  <mergeCells count="24">
    <mergeCell ref="A1:I1"/>
    <mergeCell ref="A3:C3"/>
    <mergeCell ref="D3:K3"/>
    <mergeCell ref="A4:C4"/>
    <mergeCell ref="D4:K4"/>
    <mergeCell ref="A5:C5"/>
    <mergeCell ref="D5:K5"/>
    <mergeCell ref="A6:C6"/>
    <mergeCell ref="D6:K6"/>
    <mergeCell ref="A7:C7"/>
    <mergeCell ref="D7:K7"/>
    <mergeCell ref="C12:G12"/>
    <mergeCell ref="A14:I14"/>
    <mergeCell ref="J14:K14"/>
    <mergeCell ref="A8:C8"/>
    <mergeCell ref="D8:K8"/>
    <mergeCell ref="A10:A11"/>
    <mergeCell ref="B10:B11"/>
    <mergeCell ref="C10:G11"/>
    <mergeCell ref="H10:H11"/>
    <mergeCell ref="I10:I11"/>
    <mergeCell ref="J10:J11"/>
    <mergeCell ref="K10:K11"/>
    <mergeCell ref="C13:G13"/>
  </mergeCells>
  <printOptions horizontalCentered="1"/>
  <pageMargins left="0.196527777777778" right="0.196527777777778" top="0.98402777777777795" bottom="0.98402777777777795" header="0.51180555555555496" footer="0.51180555555555496"/>
  <pageSetup paperSize="9" scale="90" firstPageNumber="0" orientation="landscape"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39"/>
  <sheetViews>
    <sheetView zoomScale="110" zoomScaleNormal="110" workbookViewId="0">
      <selection activeCell="O15" sqref="O15:P15"/>
    </sheetView>
  </sheetViews>
  <sheetFormatPr baseColWidth="10" defaultColWidth="11" defaultRowHeight="12.75" x14ac:dyDescent="0.2"/>
  <cols>
    <col min="1" max="5" width="4.42578125" customWidth="1"/>
    <col min="6" max="6" width="5.140625" bestFit="1" customWidth="1"/>
    <col min="7" max="7" width="4.42578125" style="12" customWidth="1"/>
    <col min="8" max="14" width="4.42578125" customWidth="1"/>
    <col min="15" max="16" width="14.85546875" customWidth="1"/>
    <col min="17" max="17" width="14.7109375" customWidth="1"/>
  </cols>
  <sheetData>
    <row r="1" spans="1:17" ht="15.75" customHeight="1" x14ac:dyDescent="0.25">
      <c r="A1" s="123" t="s">
        <v>15</v>
      </c>
      <c r="B1" s="123"/>
      <c r="C1" s="123"/>
      <c r="D1" s="124">
        <v>2022</v>
      </c>
      <c r="E1" s="124"/>
      <c r="F1" s="13"/>
      <c r="G1" s="13"/>
      <c r="H1" s="14"/>
      <c r="I1" s="14"/>
      <c r="J1" s="14"/>
      <c r="K1" s="14"/>
      <c r="L1" s="14"/>
      <c r="M1" s="14"/>
      <c r="N1" s="14"/>
      <c r="O1" s="15"/>
      <c r="P1" s="125" t="s">
        <v>16</v>
      </c>
      <c r="Q1" s="125"/>
    </row>
    <row r="2" spans="1:17" ht="15.75" customHeight="1" x14ac:dyDescent="0.2">
      <c r="A2" s="16"/>
      <c r="B2" s="17"/>
      <c r="C2" s="17"/>
      <c r="D2" s="17"/>
      <c r="E2" s="17"/>
      <c r="F2" s="17"/>
      <c r="G2" s="18"/>
      <c r="H2" s="19"/>
      <c r="I2" s="19"/>
      <c r="J2" s="19"/>
      <c r="K2" s="19"/>
      <c r="L2" s="19"/>
      <c r="M2" s="19"/>
      <c r="N2" s="19"/>
      <c r="O2" s="17"/>
      <c r="P2" s="125"/>
      <c r="Q2" s="125"/>
    </row>
    <row r="3" spans="1:17" x14ac:dyDescent="0.2">
      <c r="A3" s="16"/>
      <c r="B3" s="17"/>
      <c r="C3" s="17"/>
      <c r="D3" s="17"/>
      <c r="E3" s="17"/>
      <c r="F3" s="17"/>
      <c r="G3" s="18"/>
      <c r="H3" s="17"/>
      <c r="I3" s="17"/>
      <c r="J3" s="17"/>
      <c r="K3" s="17"/>
      <c r="L3" s="17"/>
      <c r="M3" s="17"/>
      <c r="N3" s="17"/>
      <c r="O3" s="17"/>
      <c r="P3" s="17"/>
      <c r="Q3" s="20"/>
    </row>
    <row r="4" spans="1:17" s="21" customFormat="1" ht="18" customHeight="1" x14ac:dyDescent="0.2">
      <c r="A4" s="126" t="s">
        <v>17</v>
      </c>
      <c r="B4" s="126"/>
      <c r="C4" s="126"/>
      <c r="D4" s="126"/>
      <c r="E4" s="126"/>
      <c r="F4" s="126"/>
      <c r="G4" s="122" t="s">
        <v>55</v>
      </c>
      <c r="H4" s="122"/>
      <c r="I4" s="122"/>
      <c r="J4" s="122"/>
      <c r="K4" s="122"/>
      <c r="L4" s="122"/>
      <c r="M4" s="122"/>
      <c r="N4" s="122"/>
      <c r="O4" s="122"/>
      <c r="P4" s="122"/>
      <c r="Q4" s="122"/>
    </row>
    <row r="5" spans="1:17" s="21" customFormat="1" ht="18" customHeight="1" x14ac:dyDescent="0.2">
      <c r="A5" s="121" t="s">
        <v>3</v>
      </c>
      <c r="B5" s="121"/>
      <c r="C5" s="121"/>
      <c r="D5" s="121"/>
      <c r="E5" s="121"/>
      <c r="F5" s="121"/>
      <c r="G5" s="122" t="s">
        <v>69</v>
      </c>
      <c r="H5" s="122"/>
      <c r="I5" s="122"/>
      <c r="J5" s="122"/>
      <c r="K5" s="122"/>
      <c r="L5" s="122"/>
      <c r="M5" s="122"/>
      <c r="N5" s="122"/>
      <c r="O5" s="122"/>
      <c r="P5" s="122"/>
      <c r="Q5" s="122"/>
    </row>
    <row r="6" spans="1:17" s="21" customFormat="1" ht="18" customHeight="1" x14ac:dyDescent="0.2">
      <c r="A6" s="121" t="s">
        <v>4</v>
      </c>
      <c r="B6" s="121"/>
      <c r="C6" s="121"/>
      <c r="D6" s="121"/>
      <c r="E6" s="121"/>
      <c r="F6" s="121"/>
      <c r="G6" s="122" t="s">
        <v>56</v>
      </c>
      <c r="H6" s="122"/>
      <c r="I6" s="122"/>
      <c r="J6" s="122"/>
      <c r="K6" s="122"/>
      <c r="L6" s="122"/>
      <c r="M6" s="122"/>
      <c r="N6" s="122"/>
      <c r="O6" s="122"/>
      <c r="P6" s="122"/>
      <c r="Q6" s="122"/>
    </row>
    <row r="7" spans="1:17" s="21" customFormat="1" ht="22.5" customHeight="1" x14ac:dyDescent="0.2">
      <c r="A7" s="121" t="s">
        <v>5</v>
      </c>
      <c r="B7" s="121"/>
      <c r="C7" s="121"/>
      <c r="D7" s="121"/>
      <c r="E7" s="121"/>
      <c r="F7" s="121"/>
      <c r="G7" s="122" t="s">
        <v>56</v>
      </c>
      <c r="H7" s="122"/>
      <c r="I7" s="122"/>
      <c r="J7" s="122"/>
      <c r="K7" s="122"/>
      <c r="L7" s="122"/>
      <c r="M7" s="122"/>
      <c r="N7" s="122"/>
      <c r="O7" s="122"/>
      <c r="P7" s="122"/>
      <c r="Q7" s="122"/>
    </row>
    <row r="8" spans="1:17" ht="18" customHeight="1" x14ac:dyDescent="0.2">
      <c r="A8" s="114" t="s">
        <v>18</v>
      </c>
      <c r="B8" s="114"/>
      <c r="C8" s="114"/>
      <c r="D8" s="114"/>
      <c r="E8" s="114"/>
      <c r="F8" s="114"/>
      <c r="G8" s="114"/>
      <c r="H8" s="114"/>
      <c r="I8" s="114"/>
      <c r="J8" s="114"/>
      <c r="K8" s="114"/>
      <c r="L8" s="114"/>
      <c r="M8" s="114"/>
      <c r="N8" s="114"/>
      <c r="O8" s="114"/>
      <c r="P8" s="114"/>
      <c r="Q8" s="114"/>
    </row>
    <row r="9" spans="1:17" ht="18" customHeight="1" x14ac:dyDescent="0.2">
      <c r="A9" s="115" t="s">
        <v>19</v>
      </c>
      <c r="B9" s="115"/>
      <c r="C9" s="115"/>
      <c r="D9" s="115"/>
      <c r="E9" s="115"/>
      <c r="F9" s="115"/>
      <c r="G9" s="115"/>
      <c r="H9" s="115"/>
      <c r="I9" s="115"/>
      <c r="J9" s="115"/>
      <c r="K9" s="115"/>
      <c r="L9" s="115"/>
      <c r="M9" s="115"/>
      <c r="N9" s="115"/>
      <c r="O9" s="115"/>
      <c r="P9" s="115"/>
      <c r="Q9" s="115"/>
    </row>
    <row r="10" spans="1:17" ht="66" customHeight="1" x14ac:dyDescent="0.2">
      <c r="A10" s="116" t="s">
        <v>66</v>
      </c>
      <c r="B10" s="116"/>
      <c r="C10" s="116"/>
      <c r="D10" s="116"/>
      <c r="E10" s="116"/>
      <c r="F10" s="116"/>
      <c r="G10" s="116"/>
      <c r="H10" s="116"/>
      <c r="I10" s="116"/>
      <c r="J10" s="116"/>
      <c r="K10" s="116"/>
      <c r="L10" s="116"/>
      <c r="M10" s="116"/>
      <c r="N10" s="116"/>
      <c r="O10" s="116"/>
      <c r="P10" s="116"/>
      <c r="Q10" s="116"/>
    </row>
    <row r="11" spans="1:17" ht="9" customHeight="1" x14ac:dyDescent="0.2">
      <c r="A11" s="22"/>
      <c r="B11" s="23"/>
      <c r="C11" s="23"/>
      <c r="D11" s="23"/>
      <c r="E11" s="23"/>
      <c r="F11" s="23"/>
      <c r="G11" s="24"/>
      <c r="H11" s="23"/>
      <c r="I11" s="23"/>
      <c r="J11" s="23"/>
      <c r="K11" s="23"/>
      <c r="L11" s="23"/>
      <c r="M11" s="23"/>
      <c r="N11" s="23"/>
      <c r="O11" s="23"/>
      <c r="P11" s="23"/>
      <c r="Q11" s="25"/>
    </row>
    <row r="12" spans="1:17" ht="15.75" customHeight="1" x14ac:dyDescent="0.2">
      <c r="A12" s="117" t="s">
        <v>20</v>
      </c>
      <c r="B12" s="117"/>
      <c r="C12" s="117"/>
      <c r="D12" s="117"/>
      <c r="E12" s="117"/>
      <c r="F12" s="117"/>
      <c r="G12" s="117"/>
      <c r="H12" s="117"/>
      <c r="I12" s="117"/>
      <c r="J12" s="117"/>
      <c r="K12" s="117"/>
      <c r="L12" s="117"/>
      <c r="M12" s="117"/>
      <c r="N12" s="117"/>
      <c r="O12" s="117"/>
      <c r="P12" s="117"/>
      <c r="Q12" s="117"/>
    </row>
    <row r="13" spans="1:17" ht="15.75" customHeight="1" x14ac:dyDescent="0.2">
      <c r="A13" s="118" t="s">
        <v>21</v>
      </c>
      <c r="B13" s="118"/>
      <c r="C13" s="118"/>
      <c r="D13" s="118"/>
      <c r="E13" s="118"/>
      <c r="F13" s="118"/>
      <c r="G13" s="118"/>
      <c r="H13" s="118"/>
      <c r="I13" s="118"/>
      <c r="J13" s="118"/>
      <c r="K13" s="118"/>
      <c r="L13" s="118"/>
      <c r="M13" s="118"/>
      <c r="N13" s="118"/>
      <c r="O13" s="119" t="s">
        <v>22</v>
      </c>
      <c r="P13" s="119"/>
      <c r="Q13" s="120" t="s">
        <v>23</v>
      </c>
    </row>
    <row r="14" spans="1:17" ht="15.75" customHeight="1" thickBot="1" x14ac:dyDescent="0.25">
      <c r="A14" s="26" t="s">
        <v>24</v>
      </c>
      <c r="B14" s="27" t="s">
        <v>25</v>
      </c>
      <c r="C14" s="27" t="s">
        <v>26</v>
      </c>
      <c r="D14" s="27" t="s">
        <v>27</v>
      </c>
      <c r="E14" s="27" t="s">
        <v>28</v>
      </c>
      <c r="F14" s="27" t="s">
        <v>29</v>
      </c>
      <c r="G14" s="28" t="s">
        <v>30</v>
      </c>
      <c r="H14" s="27" t="s">
        <v>31</v>
      </c>
      <c r="I14" s="27" t="s">
        <v>32</v>
      </c>
      <c r="J14" s="27" t="s">
        <v>33</v>
      </c>
      <c r="K14" s="27" t="s">
        <v>33</v>
      </c>
      <c r="L14" s="27" t="s">
        <v>34</v>
      </c>
      <c r="M14" s="29" t="s">
        <v>35</v>
      </c>
      <c r="N14" s="30" t="s">
        <v>36</v>
      </c>
      <c r="O14" s="119"/>
      <c r="P14" s="119"/>
      <c r="Q14" s="120"/>
    </row>
    <row r="15" spans="1:17" ht="25.5" customHeight="1" x14ac:dyDescent="0.2">
      <c r="A15" s="46">
        <v>1</v>
      </c>
      <c r="B15" s="47">
        <v>0</v>
      </c>
      <c r="C15" s="47">
        <v>0</v>
      </c>
      <c r="D15" s="47">
        <v>1</v>
      </c>
      <c r="E15" s="47">
        <v>0</v>
      </c>
      <c r="F15" s="47">
        <v>4901</v>
      </c>
      <c r="G15" s="47">
        <v>1</v>
      </c>
      <c r="H15" s="47">
        <v>3</v>
      </c>
      <c r="I15" s="47">
        <v>4</v>
      </c>
      <c r="J15" s="47">
        <v>3</v>
      </c>
      <c r="K15" s="47">
        <v>4</v>
      </c>
      <c r="L15" s="47">
        <v>0</v>
      </c>
      <c r="M15" s="48">
        <v>1</v>
      </c>
      <c r="N15" s="47" t="s">
        <v>38</v>
      </c>
      <c r="O15" s="113" t="s">
        <v>73</v>
      </c>
      <c r="P15" s="113"/>
      <c r="Q15" s="49">
        <v>2479435.4</v>
      </c>
    </row>
    <row r="16" spans="1:17" ht="17.25" customHeight="1" x14ac:dyDescent="0.2">
      <c r="A16" s="31"/>
      <c r="B16" s="32"/>
      <c r="C16" s="32"/>
      <c r="D16" s="32"/>
      <c r="E16" s="32"/>
      <c r="F16" s="32"/>
      <c r="G16" s="32"/>
      <c r="H16" s="32"/>
      <c r="I16" s="32"/>
      <c r="J16" s="32"/>
      <c r="K16" s="32"/>
      <c r="L16" s="32"/>
      <c r="M16" s="33"/>
      <c r="N16" s="34"/>
      <c r="O16" s="112"/>
      <c r="P16" s="112"/>
      <c r="Q16" s="35"/>
    </row>
    <row r="17" spans="1:17" ht="17.25" customHeight="1" x14ac:dyDescent="0.2">
      <c r="A17" s="31"/>
      <c r="B17" s="32"/>
      <c r="C17" s="32"/>
      <c r="D17" s="32"/>
      <c r="E17" s="32"/>
      <c r="F17" s="32"/>
      <c r="G17" s="32"/>
      <c r="H17" s="32"/>
      <c r="I17" s="32"/>
      <c r="J17" s="32"/>
      <c r="K17" s="32"/>
      <c r="L17" s="32"/>
      <c r="M17" s="33"/>
      <c r="N17" s="34"/>
      <c r="O17" s="112"/>
      <c r="P17" s="112"/>
      <c r="Q17" s="35"/>
    </row>
    <row r="18" spans="1:17" ht="17.25" customHeight="1" x14ac:dyDescent="0.2">
      <c r="A18" s="31"/>
      <c r="B18" s="32"/>
      <c r="C18" s="32"/>
      <c r="D18" s="32"/>
      <c r="E18" s="32"/>
      <c r="F18" s="32"/>
      <c r="G18" s="32"/>
      <c r="H18" s="32"/>
      <c r="I18" s="32"/>
      <c r="J18" s="32"/>
      <c r="K18" s="32"/>
      <c r="L18" s="32"/>
      <c r="M18" s="33"/>
      <c r="N18" s="34"/>
      <c r="O18" s="112"/>
      <c r="P18" s="112"/>
      <c r="Q18" s="35"/>
    </row>
    <row r="19" spans="1:17" ht="17.25" customHeight="1" x14ac:dyDescent="0.2">
      <c r="A19" s="31"/>
      <c r="B19" s="32"/>
      <c r="C19" s="32"/>
      <c r="D19" s="32"/>
      <c r="E19" s="32"/>
      <c r="F19" s="32"/>
      <c r="G19" s="32"/>
      <c r="H19" s="32"/>
      <c r="I19" s="32"/>
      <c r="J19" s="32"/>
      <c r="K19" s="32"/>
      <c r="L19" s="32"/>
      <c r="M19" s="33"/>
      <c r="N19" s="34"/>
      <c r="O19" s="112"/>
      <c r="P19" s="112"/>
      <c r="Q19" s="35"/>
    </row>
    <row r="20" spans="1:17" ht="17.25" customHeight="1" x14ac:dyDescent="0.2">
      <c r="A20" s="31"/>
      <c r="B20" s="32"/>
      <c r="C20" s="32"/>
      <c r="D20" s="32"/>
      <c r="E20" s="32"/>
      <c r="F20" s="32"/>
      <c r="G20" s="32"/>
      <c r="H20" s="32"/>
      <c r="I20" s="32"/>
      <c r="J20" s="32"/>
      <c r="K20" s="32"/>
      <c r="L20" s="32"/>
      <c r="M20" s="33"/>
      <c r="N20" s="34"/>
      <c r="O20" s="112"/>
      <c r="P20" s="112"/>
      <c r="Q20" s="35"/>
    </row>
    <row r="21" spans="1:17" ht="17.25" customHeight="1" x14ac:dyDescent="0.2">
      <c r="A21" s="31"/>
      <c r="B21" s="32"/>
      <c r="C21" s="32"/>
      <c r="D21" s="32"/>
      <c r="E21" s="32"/>
      <c r="F21" s="32"/>
      <c r="G21" s="32"/>
      <c r="H21" s="32"/>
      <c r="I21" s="32"/>
      <c r="J21" s="32"/>
      <c r="K21" s="32"/>
      <c r="L21" s="32"/>
      <c r="M21" s="33"/>
      <c r="N21" s="34"/>
      <c r="O21" s="112"/>
      <c r="P21" s="112"/>
      <c r="Q21" s="35"/>
    </row>
    <row r="22" spans="1:17" ht="17.25" customHeight="1" x14ac:dyDescent="0.2">
      <c r="A22" s="31"/>
      <c r="B22" s="32"/>
      <c r="C22" s="32"/>
      <c r="D22" s="32"/>
      <c r="E22" s="32"/>
      <c r="F22" s="32"/>
      <c r="G22" s="32"/>
      <c r="H22" s="32"/>
      <c r="I22" s="32"/>
      <c r="J22" s="32"/>
      <c r="K22" s="32"/>
      <c r="L22" s="32"/>
      <c r="M22" s="33"/>
      <c r="N22" s="34"/>
      <c r="O22" s="112"/>
      <c r="P22" s="112"/>
      <c r="Q22" s="35"/>
    </row>
    <row r="23" spans="1:17" ht="17.25" customHeight="1" x14ac:dyDescent="0.2">
      <c r="A23" s="31"/>
      <c r="B23" s="32"/>
      <c r="C23" s="32"/>
      <c r="D23" s="32"/>
      <c r="E23" s="32"/>
      <c r="F23" s="32"/>
      <c r="G23" s="32"/>
      <c r="H23" s="32"/>
      <c r="I23" s="32"/>
      <c r="J23" s="32"/>
      <c r="K23" s="32"/>
      <c r="L23" s="32"/>
      <c r="M23" s="33"/>
      <c r="N23" s="34"/>
      <c r="O23" s="112"/>
      <c r="P23" s="112"/>
      <c r="Q23" s="35"/>
    </row>
    <row r="24" spans="1:17" ht="17.25" customHeight="1" x14ac:dyDescent="0.2">
      <c r="A24" s="31"/>
      <c r="B24" s="32"/>
      <c r="C24" s="32"/>
      <c r="D24" s="32"/>
      <c r="E24" s="32"/>
      <c r="F24" s="32"/>
      <c r="G24" s="32"/>
      <c r="H24" s="32"/>
      <c r="I24" s="32"/>
      <c r="J24" s="32"/>
      <c r="K24" s="32"/>
      <c r="L24" s="32"/>
      <c r="M24" s="33"/>
      <c r="N24" s="34"/>
      <c r="O24" s="112"/>
      <c r="P24" s="112"/>
      <c r="Q24" s="35"/>
    </row>
    <row r="25" spans="1:17" ht="17.25" customHeight="1" x14ac:dyDescent="0.2">
      <c r="A25" s="31"/>
      <c r="B25" s="32"/>
      <c r="C25" s="32"/>
      <c r="D25" s="32"/>
      <c r="E25" s="32"/>
      <c r="F25" s="32"/>
      <c r="G25" s="32"/>
      <c r="H25" s="32"/>
      <c r="I25" s="32"/>
      <c r="J25" s="32"/>
      <c r="K25" s="32"/>
      <c r="L25" s="32"/>
      <c r="M25" s="33"/>
      <c r="N25" s="34"/>
      <c r="O25" s="112"/>
      <c r="P25" s="112"/>
      <c r="Q25" s="35"/>
    </row>
    <row r="26" spans="1:17" ht="17.25" customHeight="1" x14ac:dyDescent="0.2">
      <c r="A26" s="31"/>
      <c r="B26" s="32"/>
      <c r="C26" s="32"/>
      <c r="D26" s="32"/>
      <c r="E26" s="32"/>
      <c r="F26" s="32"/>
      <c r="G26" s="32"/>
      <c r="H26" s="32"/>
      <c r="I26" s="32"/>
      <c r="J26" s="32"/>
      <c r="K26" s="32"/>
      <c r="L26" s="32"/>
      <c r="M26" s="33"/>
      <c r="N26" s="34"/>
      <c r="O26" s="112"/>
      <c r="P26" s="112"/>
      <c r="Q26" s="35"/>
    </row>
    <row r="27" spans="1:17" ht="17.25" customHeight="1" x14ac:dyDescent="0.2">
      <c r="A27" s="31"/>
      <c r="B27" s="32"/>
      <c r="C27" s="32"/>
      <c r="D27" s="32"/>
      <c r="E27" s="32"/>
      <c r="F27" s="32"/>
      <c r="G27" s="32"/>
      <c r="H27" s="32"/>
      <c r="I27" s="32"/>
      <c r="J27" s="32"/>
      <c r="K27" s="32"/>
      <c r="L27" s="32"/>
      <c r="M27" s="33"/>
      <c r="N27" s="34"/>
      <c r="O27" s="112"/>
      <c r="P27" s="112"/>
      <c r="Q27" s="35"/>
    </row>
    <row r="28" spans="1:17" ht="17.25" customHeight="1" x14ac:dyDescent="0.2">
      <c r="A28" s="31"/>
      <c r="B28" s="32"/>
      <c r="C28" s="32"/>
      <c r="D28" s="32"/>
      <c r="E28" s="32"/>
      <c r="F28" s="32"/>
      <c r="G28" s="32"/>
      <c r="H28" s="32"/>
      <c r="I28" s="32"/>
      <c r="J28" s="32"/>
      <c r="K28" s="32"/>
      <c r="L28" s="32"/>
      <c r="M28" s="33"/>
      <c r="N28" s="34"/>
      <c r="O28" s="112"/>
      <c r="P28" s="112"/>
      <c r="Q28" s="35"/>
    </row>
    <row r="29" spans="1:17" ht="17.25" customHeight="1" x14ac:dyDescent="0.2">
      <c r="A29" s="31"/>
      <c r="B29" s="32"/>
      <c r="C29" s="32"/>
      <c r="D29" s="32"/>
      <c r="E29" s="32"/>
      <c r="F29" s="34"/>
      <c r="G29" s="32"/>
      <c r="H29" s="32"/>
      <c r="I29" s="32"/>
      <c r="J29" s="32"/>
      <c r="K29" s="32"/>
      <c r="L29" s="32"/>
      <c r="M29" s="33"/>
      <c r="N29" s="34"/>
      <c r="O29" s="107"/>
      <c r="P29" s="107"/>
      <c r="Q29" s="35"/>
    </row>
    <row r="30" spans="1:17" ht="17.25" customHeight="1" x14ac:dyDescent="0.2">
      <c r="A30" s="31"/>
      <c r="B30" s="32"/>
      <c r="C30" s="32"/>
      <c r="D30" s="32"/>
      <c r="E30" s="32"/>
      <c r="F30" s="32"/>
      <c r="G30" s="32"/>
      <c r="H30" s="32"/>
      <c r="I30" s="32"/>
      <c r="J30" s="32"/>
      <c r="K30" s="32"/>
      <c r="L30" s="32"/>
      <c r="M30" s="33"/>
      <c r="N30" s="34"/>
      <c r="O30" s="107"/>
      <c r="P30" s="107"/>
      <c r="Q30" s="35"/>
    </row>
    <row r="31" spans="1:17" ht="17.25" customHeight="1" x14ac:dyDescent="0.2">
      <c r="A31" s="31"/>
      <c r="B31" s="32"/>
      <c r="C31" s="32"/>
      <c r="D31" s="32"/>
      <c r="E31" s="32"/>
      <c r="F31" s="34"/>
      <c r="G31" s="32"/>
      <c r="H31" s="32"/>
      <c r="I31" s="32"/>
      <c r="J31" s="32"/>
      <c r="K31" s="32"/>
      <c r="L31" s="32"/>
      <c r="M31" s="33"/>
      <c r="N31" s="34"/>
      <c r="O31" s="107"/>
      <c r="P31" s="107"/>
      <c r="Q31" s="35"/>
    </row>
    <row r="32" spans="1:17" ht="17.25" customHeight="1" x14ac:dyDescent="0.2">
      <c r="A32" s="31"/>
      <c r="B32" s="32"/>
      <c r="C32" s="32"/>
      <c r="D32" s="32"/>
      <c r="E32" s="32"/>
      <c r="F32" s="34"/>
      <c r="G32" s="32"/>
      <c r="H32" s="32"/>
      <c r="I32" s="32"/>
      <c r="J32" s="32"/>
      <c r="K32" s="32"/>
      <c r="L32" s="32"/>
      <c r="M32" s="33"/>
      <c r="N32" s="34"/>
      <c r="O32" s="107"/>
      <c r="P32" s="107"/>
      <c r="Q32" s="35"/>
    </row>
    <row r="33" spans="1:18" ht="17.25" customHeight="1" x14ac:dyDescent="0.2">
      <c r="A33" s="36"/>
      <c r="B33" s="37"/>
      <c r="C33" s="37"/>
      <c r="D33" s="37"/>
      <c r="E33" s="37"/>
      <c r="F33" s="38"/>
      <c r="G33" s="37"/>
      <c r="H33" s="37"/>
      <c r="I33" s="37"/>
      <c r="J33" s="37"/>
      <c r="K33" s="37"/>
      <c r="L33" s="37"/>
      <c r="M33" s="39"/>
      <c r="N33" s="40"/>
      <c r="O33" s="108"/>
      <c r="P33" s="108"/>
      <c r="Q33" s="35"/>
      <c r="R33" s="17"/>
    </row>
    <row r="34" spans="1:18" ht="17.25" customHeight="1" x14ac:dyDescent="0.2">
      <c r="A34" s="41"/>
      <c r="B34" s="42"/>
      <c r="C34" s="42"/>
      <c r="D34" s="42"/>
      <c r="E34" s="42"/>
      <c r="F34" s="42"/>
      <c r="G34" s="42"/>
      <c r="H34" s="42"/>
      <c r="I34" s="42"/>
      <c r="J34" s="42"/>
      <c r="K34" s="42"/>
      <c r="L34" s="42"/>
      <c r="M34" s="43"/>
      <c r="N34" s="42"/>
      <c r="O34" s="109"/>
      <c r="P34" s="109"/>
      <c r="Q34" s="44"/>
    </row>
    <row r="35" spans="1:18" ht="36" customHeight="1" x14ac:dyDescent="0.2">
      <c r="A35" s="110" t="s">
        <v>81</v>
      </c>
      <c r="B35" s="110"/>
      <c r="C35" s="110"/>
      <c r="D35" s="110"/>
      <c r="E35" s="110"/>
      <c r="F35" s="110"/>
      <c r="G35" s="110"/>
      <c r="H35" s="110"/>
      <c r="I35" s="110"/>
      <c r="J35" s="110"/>
      <c r="K35" s="110"/>
      <c r="L35" s="110"/>
      <c r="M35" s="110"/>
      <c r="N35" s="110"/>
      <c r="O35" s="110"/>
      <c r="P35" s="110"/>
      <c r="Q35" s="45">
        <f>SUM(Q15:Q34)</f>
        <v>2479435.4</v>
      </c>
    </row>
    <row r="36" spans="1:18" ht="18" customHeight="1" x14ac:dyDescent="0.2">
      <c r="A36" s="111"/>
      <c r="B36" s="111"/>
      <c r="C36" s="111"/>
      <c r="D36" s="111"/>
      <c r="E36" s="111"/>
      <c r="F36" s="111"/>
      <c r="G36" s="111"/>
      <c r="H36" s="111"/>
      <c r="I36" s="111"/>
      <c r="J36" s="111"/>
      <c r="K36" s="111"/>
      <c r="L36" s="111"/>
      <c r="M36" s="111"/>
      <c r="N36" s="111"/>
      <c r="O36" s="111"/>
      <c r="P36" s="111"/>
      <c r="Q36" s="111"/>
    </row>
    <row r="37" spans="1:18" ht="17.25" customHeight="1" x14ac:dyDescent="0.2">
      <c r="A37" s="103" t="s">
        <v>37</v>
      </c>
      <c r="B37" s="103"/>
      <c r="C37" s="103"/>
      <c r="D37" s="103"/>
      <c r="E37" s="103"/>
      <c r="F37" s="103"/>
      <c r="G37" s="104"/>
      <c r="H37" s="104"/>
      <c r="I37" s="104"/>
      <c r="J37" s="104"/>
      <c r="K37" s="104"/>
      <c r="L37" s="104"/>
      <c r="M37" s="104"/>
      <c r="N37" s="104"/>
      <c r="O37" s="104"/>
      <c r="P37" s="104"/>
      <c r="Q37" s="104"/>
    </row>
    <row r="38" spans="1:18" ht="18" customHeight="1" x14ac:dyDescent="0.2">
      <c r="A38" s="105" t="s">
        <v>67</v>
      </c>
      <c r="B38" s="106"/>
      <c r="C38" s="106"/>
      <c r="D38" s="106"/>
      <c r="E38" s="106"/>
      <c r="F38" s="106"/>
      <c r="G38" s="106"/>
      <c r="H38" s="106"/>
      <c r="I38" s="106"/>
      <c r="J38" s="106"/>
      <c r="K38" s="106"/>
      <c r="L38" s="106"/>
      <c r="M38" s="106"/>
      <c r="N38" s="106"/>
      <c r="O38" s="106"/>
      <c r="P38" s="106"/>
      <c r="Q38" s="106"/>
    </row>
    <row r="39" spans="1:18" ht="63.75" customHeight="1" x14ac:dyDescent="0.2">
      <c r="A39" s="106"/>
      <c r="B39" s="106"/>
      <c r="C39" s="106"/>
      <c r="D39" s="106"/>
      <c r="E39" s="106"/>
      <c r="F39" s="106"/>
      <c r="G39" s="106"/>
      <c r="H39" s="106"/>
      <c r="I39" s="106"/>
      <c r="J39" s="106"/>
      <c r="K39" s="106"/>
      <c r="L39" s="106"/>
      <c r="M39" s="106"/>
      <c r="N39" s="106"/>
      <c r="O39" s="106"/>
      <c r="P39" s="106"/>
      <c r="Q39" s="106"/>
    </row>
  </sheetData>
  <mergeCells count="43">
    <mergeCell ref="A1:C1"/>
    <mergeCell ref="D1:E1"/>
    <mergeCell ref="P1:Q2"/>
    <mergeCell ref="A4:F4"/>
    <mergeCell ref="G4:Q4"/>
    <mergeCell ref="A5:F5"/>
    <mergeCell ref="G5:Q5"/>
    <mergeCell ref="A6:F6"/>
    <mergeCell ref="G6:Q6"/>
    <mergeCell ref="A7:F7"/>
    <mergeCell ref="G7:Q7"/>
    <mergeCell ref="O15:P15"/>
    <mergeCell ref="O16:P16"/>
    <mergeCell ref="A8:Q8"/>
    <mergeCell ref="A9:Q9"/>
    <mergeCell ref="A10:Q10"/>
    <mergeCell ref="A12:Q12"/>
    <mergeCell ref="A13:N13"/>
    <mergeCell ref="O13:P14"/>
    <mergeCell ref="Q13:Q14"/>
    <mergeCell ref="O17:P17"/>
    <mergeCell ref="O18:P18"/>
    <mergeCell ref="O19:P19"/>
    <mergeCell ref="O20:P20"/>
    <mergeCell ref="O21:P21"/>
    <mergeCell ref="O22:P22"/>
    <mergeCell ref="O23:P23"/>
    <mergeCell ref="O24:P24"/>
    <mergeCell ref="O25:P25"/>
    <mergeCell ref="O26:P26"/>
    <mergeCell ref="O27:P27"/>
    <mergeCell ref="O28:P28"/>
    <mergeCell ref="O29:P29"/>
    <mergeCell ref="O30:P30"/>
    <mergeCell ref="O31:P31"/>
    <mergeCell ref="A37:F37"/>
    <mergeCell ref="G37:Q37"/>
    <mergeCell ref="A38:Q39"/>
    <mergeCell ref="O32:P32"/>
    <mergeCell ref="O33:P33"/>
    <mergeCell ref="O34:P34"/>
    <mergeCell ref="A35:P35"/>
    <mergeCell ref="A36:Q36"/>
  </mergeCells>
  <printOptions horizontalCentered="1"/>
  <pageMargins left="0.25" right="0.25" top="0.75" bottom="0.75" header="0.51180555555555496" footer="0.51180555555555496"/>
  <pageSetup paperSize="9" scale="90" firstPageNumber="0"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6</TotalTime>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Necesidades Trimestrales</vt:lpstr>
      <vt:lpstr> NotaPedido</vt:lpstr>
      <vt:lpstr>Autor Gastar</vt:lpstr>
      <vt:lpstr>' NotaPedido'!Área_de_impresión</vt:lpstr>
      <vt:lpstr>'Autor Gastar'!Área_de_impresión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farce</dc:creator>
  <cp:lastModifiedBy>COMPRAS</cp:lastModifiedBy>
  <cp:revision>3</cp:revision>
  <cp:lastPrinted>2021-07-29T15:17:49Z</cp:lastPrinted>
  <dcterms:created xsi:type="dcterms:W3CDTF">2020-07-17T23:44:49Z</dcterms:created>
  <dcterms:modified xsi:type="dcterms:W3CDTF">2022-07-29T11:35:57Z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