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09068-CAT-DPPR#MHP\"/>
    </mc:Choice>
  </mc:AlternateContent>
  <xr:revisionPtr revIDLastSave="0" documentId="8_{FCA3AF5D-4A76-46E9-A136-CA0A0D15E39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MP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4" i="2"/>
  <c r="I23" i="2"/>
  <c r="I22" i="2"/>
  <c r="I21" i="2"/>
  <c r="J33" i="2" s="1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0" i="2" l="1"/>
  <c r="J34" i="2"/>
  <c r="J36" i="2" s="1"/>
</calcChain>
</file>

<file path=xl/sharedStrings.xml><?xml version="1.0" encoding="utf-8"?>
<sst xmlns="http://schemas.openxmlformats.org/spreadsheetml/2006/main" count="140" uniqueCount="81">
  <si>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</si>
  <si>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</si>
  <si>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</si>
  <si>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</si>
  <si>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</si>
  <si>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</si>
  <si>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</si>
  <si>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</si>
  <si>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ELEMENTOS DE LIMPIEZA</t>
  </si>
  <si>
    <t>2.3.4-783.84</t>
  </si>
  <si>
    <t>2.9.1-6951.60</t>
  </si>
  <si>
    <t>OBJETO:</t>
  </si>
  <si>
    <r>
      <t>LIMPIADORES; TIPO: DESENGRASANTE, PRESENTACION:</t>
    </r>
    <r>
      <rPr>
        <b/>
        <sz val="11"/>
        <color theme="1"/>
        <rFont val="Calibri"/>
        <family val="2"/>
        <scheme val="minor"/>
      </rPr>
      <t xml:space="preserve"> ENVASE X 5 L</t>
    </r>
  </si>
  <si>
    <t>Control IPP</t>
  </si>
  <si>
    <r>
      <t>NO-2021-00538811-CAT-DA#MP</t>
    </r>
    <r>
      <rPr>
        <b/>
        <sz val="14"/>
        <color theme="1"/>
        <rFont val="Calibri"/>
        <family val="2"/>
        <scheme val="minor"/>
      </rPr>
      <t xml:space="preserve"> (Adq.de Elementos de Limpieza-Maternidad Provincial)</t>
    </r>
  </si>
  <si>
    <t>DESCRIPCION S/NEC.TRIM. Y Npe N° 99-2021</t>
  </si>
  <si>
    <t>2.9.1-6952.19</t>
  </si>
  <si>
    <t>2.9.1</t>
  </si>
  <si>
    <t>CEPILLOS; TIPO: DE ROPA, MATERIAL: CERDA</t>
  </si>
  <si>
    <t xml:space="preserve">unidad </t>
  </si>
  <si>
    <t>2.9.1-6952.20</t>
  </si>
  <si>
    <t>CEPILLOS; TIPO: DE MANO Y UÑA, MATERIAL: CERDA</t>
  </si>
  <si>
    <t>unidad</t>
  </si>
  <si>
    <t>2.5.4-505.90</t>
  </si>
  <si>
    <t>2.5.4</t>
  </si>
  <si>
    <t>DESINFECTANTES; PRINCIPIO ACTIVO: ANTIBACTERIANO, CONTROL: BACTERIAS Y HONGOS, PRESENTACION: ENVASE X 390 CM3</t>
  </si>
  <si>
    <t>Especificidades Item N° 3.</t>
  </si>
  <si>
    <t xml:space="preserve">LISOFORD O AYUDIN </t>
  </si>
  <si>
    <t>2.9.1-544.3</t>
  </si>
  <si>
    <t>DESODORANTES DE AMBIENTE; PRESENTACION: UNIDAD, FRAGANCIA: VISTA AL MAR, CONTENIDO: 440 CM3, FORMATO: AEROSOL, LIBRE DE CFC: SI</t>
  </si>
  <si>
    <t>2.9.1-544.4</t>
  </si>
  <si>
    <t>DESODORANTES DE AMBIENTE; FRAGANCIA: CASA DE CAMPO, PRESENTACION: UNIDAD, FORMATO: AEROSOL, CONTENIDO: 440 CM3, LIBRE DE CFC: SI</t>
  </si>
  <si>
    <t>2.9.1-544.7</t>
  </si>
  <si>
    <t>DESODORANTES DE AMBIENTE; PRESENTACION: UNIDAD, CONTENIDO: 440 CM3, FORMATO: AEROSOL, FRAGANCIA: FLORECER SILVESTRE, LIBRE DE CFC: SI</t>
  </si>
  <si>
    <t>2.9.1-544.66</t>
  </si>
  <si>
    <t>DESODORANTES DE AMBIENTE; FORMATO: AEROSOL, FRAGANCIA: JAZMIN, PRESENTACION: ENVASE X 185 GR, LIBRE DE CFC: NO CORRESPONDE</t>
  </si>
  <si>
    <t>2.9.1-6960.27</t>
  </si>
  <si>
    <t>ELEM. LIMPIEZA P/INDUMENTARIA; TIPO: JABON EN PAN, PRESENTACION: 200 GR</t>
  </si>
  <si>
    <t>2.9.1-6960.51</t>
  </si>
  <si>
    <r>
      <t xml:space="preserve">ELEM. LIMPIEZA P/INDUMENTARIA; TIPO: JABON EN POLVO BAJA ESPUMA, PRESENTACION: </t>
    </r>
    <r>
      <rPr>
        <b/>
        <sz val="11"/>
        <color theme="1"/>
        <rFont val="Calibri"/>
        <family val="2"/>
        <scheme val="minor"/>
      </rPr>
      <t>ENVASE X 6 Kg</t>
    </r>
  </si>
  <si>
    <t xml:space="preserve">bolsa </t>
  </si>
  <si>
    <t>2.9.1-6961.23</t>
  </si>
  <si>
    <r>
      <t xml:space="preserve">ELEM. P/LIMPIEZA SANITARIOS; TIPO: SODA CAUSTICA, PRESENTACION: </t>
    </r>
    <r>
      <rPr>
        <b/>
        <sz val="11"/>
        <color theme="1"/>
        <rFont val="Calibri"/>
        <family val="2"/>
        <scheme val="minor"/>
      </rPr>
      <t>ENVASE X 1 Kg</t>
    </r>
  </si>
  <si>
    <t>2.9.1-1083.8</t>
  </si>
  <si>
    <t>ESPONJA DE ACERO; PESO: 25 GR, MATERIAL: ACERO</t>
  </si>
  <si>
    <t>2.9.1-1164.1</t>
  </si>
  <si>
    <t>ESPONJAS; MATERIAL: POLIURETANO POLIETER, USO: P/COCINA, ADITAMENTO: FIBRA POLIESTER SUAVE, FORMA: PRISMATICA, LARGO X ANCHO X ESP: 10 X 6 X 3,5 Cm, COLOR: AMARILLO</t>
  </si>
  <si>
    <t>2.5.4-506.50</t>
  </si>
  <si>
    <t>INSECTICIDAS; PRINCIPIO ACTIVO: BETA CYFLUTRINA, USO P/CONTROL: MOSCAS Y MOSQUITOS, ACCION: RESIDUAL, PRESENTACION: AEROSOL X 440 CM3, CONTROL: MOSCAS Y MOSQUITOS, CAPACIDAD: 440 CM3</t>
  </si>
  <si>
    <t>Bidon</t>
  </si>
  <si>
    <t>2.9.1-6951.197</t>
  </si>
  <si>
    <r>
      <t xml:space="preserve">LIMPIADORES; TIPO: CREMOSO, PRESENTACION: </t>
    </r>
    <r>
      <rPr>
        <b/>
        <sz val="11"/>
        <color theme="1"/>
        <rFont val="Calibri"/>
        <family val="2"/>
        <scheme val="minor"/>
      </rPr>
      <t>ENVASE X 750 CM3</t>
    </r>
  </si>
  <si>
    <t>2.9.1-4784.55</t>
  </si>
  <si>
    <r>
      <t xml:space="preserve">LIMPIADORES MULTIUSO; COMPUESTOS BIODEGRADABLES: SI, PRESENTACION: </t>
    </r>
    <r>
      <rPr>
        <b/>
        <sz val="11"/>
        <color theme="1"/>
        <rFont val="Calibri"/>
        <family val="2"/>
        <scheme val="minor"/>
      </rPr>
      <t>ENVASE X 5 L</t>
    </r>
    <r>
      <rPr>
        <sz val="11"/>
        <color theme="1"/>
        <rFont val="Calibri"/>
        <family val="2"/>
        <scheme val="minor"/>
      </rPr>
      <t>, TIPO: JABON LIQUIDO TOCADOR</t>
    </r>
  </si>
  <si>
    <t>2.3.4-786.34</t>
  </si>
  <si>
    <t>2.3.4</t>
  </si>
  <si>
    <r>
      <t xml:space="preserve">PAPEL HIGIENICO; PRESENTACION: </t>
    </r>
    <r>
      <rPr>
        <b/>
        <sz val="11"/>
        <color theme="1"/>
        <rFont val="Calibri"/>
        <family val="2"/>
        <scheme val="minor"/>
      </rPr>
      <t>PAQUETE X 4 UN</t>
    </r>
    <r>
      <rPr>
        <sz val="11"/>
        <color theme="1"/>
        <rFont val="Calibri"/>
        <family val="2"/>
        <scheme val="minor"/>
      </rPr>
      <t xml:space="preserve">, TIPO: ROLLO PRECORTADO, HOJA: DOBLE, ANCHO: 10 Cm, LARGO: 30 M, </t>
    </r>
    <r>
      <rPr>
        <b/>
        <sz val="11"/>
        <color theme="1"/>
        <rFont val="Calibri"/>
        <family val="2"/>
        <scheme val="minor"/>
      </rPr>
      <t>TIPO DE HOJA: DOBLE</t>
    </r>
    <r>
      <rPr>
        <sz val="11"/>
        <color theme="1"/>
        <rFont val="Calibri"/>
        <family val="2"/>
        <scheme val="minor"/>
      </rPr>
      <t>, MATERIAL HOJA: DOBLE</t>
    </r>
  </si>
  <si>
    <t>paquete</t>
  </si>
  <si>
    <t>2.3.4-938.59</t>
  </si>
  <si>
    <r>
      <t xml:space="preserve">SERVILLETAS DE PAPEL; TIPO: ROLLO, MOTIVO: SIN, DIMENSION: 25 X 10 Cm, PRESENTACION: </t>
    </r>
    <r>
      <rPr>
        <b/>
        <sz val="11"/>
        <color theme="1"/>
        <rFont val="Calibri"/>
        <family val="2"/>
        <scheme val="minor"/>
      </rPr>
      <t>ENVASE X 3 UN</t>
    </r>
  </si>
  <si>
    <t>2.3.4-783.54</t>
  </si>
  <si>
    <r>
      <t xml:space="preserve">TOALLAS DE PAPEL; MATERIAL: PAPEL ECOLOGICO, GRAMAJE: 30 GR/CM2, DIMENSION: 18,4 X 24 Cm, </t>
    </r>
    <r>
      <rPr>
        <b/>
        <sz val="11"/>
        <color theme="1"/>
        <rFont val="Calibri"/>
        <family val="2"/>
        <scheme val="minor"/>
      </rPr>
      <t>PRESENTACION: X 10</t>
    </r>
  </si>
  <si>
    <t>caja</t>
  </si>
  <si>
    <t>TOALLAS DE PAPEL; MATERIAL: FIBRA CELULOSICA, GRAMAJE: 20 GR/M2, DIMENSION: 25 Cm, PRESENTACION: 2 X BOBINA X 400 M</t>
  </si>
  <si>
    <t>Bobina</t>
  </si>
  <si>
    <t>2.9.1-713.6</t>
  </si>
  <si>
    <t>TRAPOS DE PISO; DIMENSION: 48 X 60 Cm, COLOR: GRIS</t>
  </si>
  <si>
    <t>2.9.1-2029.14</t>
  </si>
  <si>
    <t>TRAPOS REPASADORES; MATERIAL: ALGODON, DIMENSION: 60 X 60 Cm</t>
  </si>
  <si>
    <t>2.9.1-6951.30</t>
  </si>
  <si>
    <r>
      <t xml:space="preserve">LIMPIADORES; TIPO: LAVANDINA, PRESENTACION: </t>
    </r>
    <r>
      <rPr>
        <b/>
        <sz val="11"/>
        <color theme="1"/>
        <rFont val="Calibri"/>
        <family val="2"/>
        <scheme val="minor"/>
      </rPr>
      <t>ENVASE X 5 L</t>
    </r>
  </si>
  <si>
    <t xml:space="preserve">Bidon </t>
  </si>
  <si>
    <t>Especificidades Item N° 23:</t>
  </si>
  <si>
    <t>LAVANDINA LIQUIDA POR 5 LITROS</t>
  </si>
  <si>
    <t>2.9.1-6951.12</t>
  </si>
  <si>
    <r>
      <t xml:space="preserve">LIMPIADORES; PRESENTACION: </t>
    </r>
    <r>
      <rPr>
        <b/>
        <sz val="11"/>
        <color theme="1"/>
        <rFont val="Calibri"/>
        <family val="2"/>
        <scheme val="minor"/>
      </rPr>
      <t>ENVASE X 5 L,</t>
    </r>
    <r>
      <rPr>
        <sz val="11"/>
        <color theme="1"/>
        <rFont val="Calibri"/>
        <family val="2"/>
        <scheme val="minor"/>
      </rPr>
      <t xml:space="preserve"> TIPO: DETERGENTE</t>
    </r>
  </si>
  <si>
    <t>bidon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</si>
  <si>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 10 dias habiles desde la firma de instrumento contractual.</t>
    </r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</si>
  <si>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Servicio de economato de Maternidad Provincial 25 de Mayo- Hernando de Pedraza Nº 1.650 - Horario de entrega: de 8 a 12 hs</t>
    </r>
  </si>
  <si>
    <r>
      <rPr>
        <b/>
        <u/>
        <sz val="11"/>
        <color theme="1"/>
        <rFont val="Calibri"/>
        <family val="2"/>
        <scheme val="minor"/>
      </rPr>
      <t>Plazo de mantenimiento de oferta:</t>
    </r>
    <r>
      <rPr>
        <sz val="11"/>
        <color theme="1"/>
        <rFont val="Calibri"/>
        <family val="2"/>
        <scheme val="minor"/>
      </rPr>
      <t xml:space="preserve"> 30 dias </t>
    </r>
  </si>
  <si>
    <t>Adquisición de elementos de limpieza para ser destinados al Servicio de Economato y Nutrición de la Maternidad Provincial 25 de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</si>
</sst>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44" fontId="0" fillId="0" borderId="7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44" fontId="0" fillId="0" borderId="12" xfId="1" applyFont="1" applyBorder="1" applyAlignment="1">
      <alignment horizontal="center" vertical="center"/>
    </xf>
    <xf numFmtId="44" fontId="3" fillId="2" borderId="5" xfId="0" applyNumberFormat="1" applyFont="1" applyFill="1" applyBorder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44" fontId="0" fillId="0" borderId="0" xfId="0" applyNumberFormat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4" fontId="0" fillId="0" borderId="8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4" fontId="0" fillId="0" borderId="10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4" fontId="0" fillId="5" borderId="10" xfId="0" applyNumberFormat="1" applyFill="1" applyBorder="1" applyAlignment="1">
      <alignment horizontal="center" vertical="center"/>
    </xf>
    <xf numFmtId="0" fontId="9" fillId="4" borderId="14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44" fontId="0" fillId="3" borderId="10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8" fillId="0" borderId="12" xfId="0" applyFont="1" applyBorder="1" applyAlignment="1">
      <alignment horizontal="center" vertical="center" wrapText="1"/>
    </xf>
    <xf numFmtId="44" fontId="0" fillId="0" borderId="13" xfId="0" applyNumberFormat="1" applyBorder="1" applyAlignment="1">
      <alignment horizontal="center" vertical="center"/>
    </xf>
    <xf numFmtId="44" fontId="0" fillId="0" borderId="15" xfId="1" applyFont="1" applyBorder="1"/>
    <xf numFmtId="44" fontId="3" fillId="0" borderId="0" xfId="1" applyFont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abSelected="1" workbookViewId="0"/>
  </sheetViews>
  <sheetFormatPr baseColWidth="10" defaultRowHeight="15" x14ac:dyDescent="0.25"/>
  <cols>
    <col min="1" max="1" width="3" bestFit="1" customWidth="1"/>
    <col min="2" max="2" width="12.5703125" customWidth="1"/>
    <col min="4" max="4" width="6.7109375" customWidth="1"/>
    <col min="5" max="5" width="69" customWidth="1"/>
    <col min="9" max="9" width="14.7109375" customWidth="1"/>
    <col min="10" max="10" width="14.5703125" bestFit="1" customWidth="1"/>
    <col min="11" max="11" width="22.85546875" customWidth="1"/>
  </cols>
  <sheetData>
    <row r="1" spans="1:11" x14ac:dyDescent="0.25">
      <c r="B1" s="15" t="s">
        <v>11</v>
      </c>
      <c r="C1" t="s">
        <v>80</v>
      </c>
    </row>
    <row r="2" spans="1:11" ht="18.75" x14ac:dyDescent="0.3">
      <c r="B2" s="1" t="s">
        <v>14</v>
      </c>
    </row>
    <row r="3" spans="1:11" ht="15.75" thickBot="1" x14ac:dyDescent="0.3"/>
    <row r="4" spans="1:11" ht="45.75" thickBot="1" x14ac:dyDescent="0.3">
      <c r="A4" s="19" t="s">
        <v>0</v>
      </c>
      <c r="B4" s="20" t="s">
        <v>1</v>
      </c>
      <c r="C4" s="20" t="s">
        <v>2</v>
      </c>
      <c r="D4" s="20" t="s">
        <v>3</v>
      </c>
      <c r="E4" s="20" t="s">
        <v>15</v>
      </c>
      <c r="F4" s="20" t="s">
        <v>4</v>
      </c>
      <c r="G4" s="20" t="s">
        <v>5</v>
      </c>
      <c r="H4" s="20" t="s">
        <v>6</v>
      </c>
      <c r="I4" s="21" t="s">
        <v>7</v>
      </c>
    </row>
    <row r="5" spans="1:11" ht="22.5" x14ac:dyDescent="0.25">
      <c r="A5" s="4">
        <v>1</v>
      </c>
      <c r="B5" s="5" t="s">
        <v>16</v>
      </c>
      <c r="C5" s="22" t="s">
        <v>8</v>
      </c>
      <c r="D5" s="5" t="s">
        <v>17</v>
      </c>
      <c r="E5" s="6" t="s">
        <v>18</v>
      </c>
      <c r="F5" s="5" t="s">
        <v>19</v>
      </c>
      <c r="G5" s="5">
        <v>15</v>
      </c>
      <c r="H5" s="7">
        <v>230</v>
      </c>
      <c r="I5" s="23">
        <f>G5*H5</f>
        <v>3450</v>
      </c>
    </row>
    <row r="6" spans="1:11" ht="22.5" x14ac:dyDescent="0.25">
      <c r="A6" s="8">
        <v>2</v>
      </c>
      <c r="B6" s="2" t="s">
        <v>20</v>
      </c>
      <c r="C6" s="24" t="s">
        <v>8</v>
      </c>
      <c r="D6" s="2" t="s">
        <v>17</v>
      </c>
      <c r="E6" s="16" t="s">
        <v>21</v>
      </c>
      <c r="F6" s="2" t="s">
        <v>22</v>
      </c>
      <c r="G6" s="2">
        <v>15</v>
      </c>
      <c r="H6" s="3">
        <v>158</v>
      </c>
      <c r="I6" s="25">
        <f t="shared" ref="I6:I28" si="0">G6*H6</f>
        <v>2370</v>
      </c>
    </row>
    <row r="7" spans="1:11" ht="30" x14ac:dyDescent="0.25">
      <c r="A7" s="26">
        <v>3</v>
      </c>
      <c r="B7" s="2" t="s">
        <v>23</v>
      </c>
      <c r="C7" s="24" t="s">
        <v>8</v>
      </c>
      <c r="D7" s="27" t="s">
        <v>24</v>
      </c>
      <c r="E7" s="16" t="s">
        <v>25</v>
      </c>
      <c r="F7" s="2" t="s">
        <v>19</v>
      </c>
      <c r="G7" s="2">
        <v>100</v>
      </c>
      <c r="H7" s="3">
        <v>315</v>
      </c>
      <c r="I7" s="28">
        <f t="shared" si="0"/>
        <v>31500</v>
      </c>
      <c r="J7" s="29" t="s">
        <v>26</v>
      </c>
      <c r="K7" s="30" t="s">
        <v>27</v>
      </c>
    </row>
    <row r="8" spans="1:11" ht="30" x14ac:dyDescent="0.25">
      <c r="A8" s="8">
        <v>4</v>
      </c>
      <c r="B8" s="2" t="s">
        <v>28</v>
      </c>
      <c r="C8" s="24" t="s">
        <v>8</v>
      </c>
      <c r="D8" s="2" t="s">
        <v>17</v>
      </c>
      <c r="E8" s="16" t="s">
        <v>29</v>
      </c>
      <c r="F8" s="2" t="s">
        <v>19</v>
      </c>
      <c r="G8" s="2">
        <v>30</v>
      </c>
      <c r="H8" s="3">
        <v>200</v>
      </c>
      <c r="I8" s="25">
        <f t="shared" si="0"/>
        <v>6000</v>
      </c>
    </row>
    <row r="9" spans="1:11" ht="45" x14ac:dyDescent="0.25">
      <c r="A9" s="8">
        <v>5</v>
      </c>
      <c r="B9" s="2" t="s">
        <v>30</v>
      </c>
      <c r="C9" s="24" t="s">
        <v>8</v>
      </c>
      <c r="D9" s="2" t="s">
        <v>17</v>
      </c>
      <c r="E9" s="16" t="s">
        <v>31</v>
      </c>
      <c r="F9" s="2" t="s">
        <v>22</v>
      </c>
      <c r="G9" s="2">
        <v>30</v>
      </c>
      <c r="H9" s="3">
        <v>200</v>
      </c>
      <c r="I9" s="25">
        <f t="shared" si="0"/>
        <v>6000</v>
      </c>
    </row>
    <row r="10" spans="1:11" ht="45" x14ac:dyDescent="0.25">
      <c r="A10" s="8">
        <v>6</v>
      </c>
      <c r="B10" s="2" t="s">
        <v>32</v>
      </c>
      <c r="C10" s="24" t="s">
        <v>8</v>
      </c>
      <c r="D10" s="2" t="s">
        <v>17</v>
      </c>
      <c r="E10" s="16" t="s">
        <v>33</v>
      </c>
      <c r="F10" s="2" t="s">
        <v>22</v>
      </c>
      <c r="G10" s="2">
        <v>30</v>
      </c>
      <c r="H10" s="3">
        <v>200</v>
      </c>
      <c r="I10" s="25">
        <f t="shared" si="0"/>
        <v>6000</v>
      </c>
    </row>
    <row r="11" spans="1:11" ht="30" x14ac:dyDescent="0.25">
      <c r="A11" s="8">
        <v>7</v>
      </c>
      <c r="B11" s="2" t="s">
        <v>34</v>
      </c>
      <c r="C11" s="24" t="s">
        <v>8</v>
      </c>
      <c r="D11" s="2" t="s">
        <v>17</v>
      </c>
      <c r="E11" s="16" t="s">
        <v>35</v>
      </c>
      <c r="F11" s="2" t="s">
        <v>22</v>
      </c>
      <c r="G11" s="2">
        <v>30</v>
      </c>
      <c r="H11" s="3">
        <v>200</v>
      </c>
      <c r="I11" s="25">
        <f t="shared" si="0"/>
        <v>6000</v>
      </c>
    </row>
    <row r="12" spans="1:11" ht="30" x14ac:dyDescent="0.25">
      <c r="A12" s="8">
        <v>8</v>
      </c>
      <c r="B12" s="2" t="s">
        <v>36</v>
      </c>
      <c r="C12" s="24" t="s">
        <v>8</v>
      </c>
      <c r="D12" s="2" t="s">
        <v>17</v>
      </c>
      <c r="E12" s="16" t="s">
        <v>37</v>
      </c>
      <c r="F12" s="2" t="s">
        <v>22</v>
      </c>
      <c r="G12" s="2">
        <v>30</v>
      </c>
      <c r="H12" s="3">
        <v>110</v>
      </c>
      <c r="I12" s="25">
        <f t="shared" si="0"/>
        <v>3300</v>
      </c>
    </row>
    <row r="13" spans="1:11" ht="30" x14ac:dyDescent="0.25">
      <c r="A13" s="8">
        <v>9</v>
      </c>
      <c r="B13" s="2" t="s">
        <v>38</v>
      </c>
      <c r="C13" s="24" t="s">
        <v>8</v>
      </c>
      <c r="D13" s="2" t="s">
        <v>17</v>
      </c>
      <c r="E13" s="16" t="s">
        <v>39</v>
      </c>
      <c r="F13" s="2" t="s">
        <v>40</v>
      </c>
      <c r="G13" s="2">
        <v>100</v>
      </c>
      <c r="H13" s="3">
        <v>950</v>
      </c>
      <c r="I13" s="25">
        <f t="shared" si="0"/>
        <v>95000</v>
      </c>
    </row>
    <row r="14" spans="1:11" ht="30" x14ac:dyDescent="0.25">
      <c r="A14" s="8">
        <v>10</v>
      </c>
      <c r="B14" s="2" t="s">
        <v>41</v>
      </c>
      <c r="C14" s="24" t="s">
        <v>8</v>
      </c>
      <c r="D14" s="2" t="s">
        <v>17</v>
      </c>
      <c r="E14" s="16" t="s">
        <v>42</v>
      </c>
      <c r="F14" s="2" t="s">
        <v>40</v>
      </c>
      <c r="G14" s="2">
        <v>15</v>
      </c>
      <c r="H14" s="3">
        <v>800</v>
      </c>
      <c r="I14" s="25">
        <f t="shared" si="0"/>
        <v>12000</v>
      </c>
    </row>
    <row r="15" spans="1:11" ht="22.5" x14ac:dyDescent="0.25">
      <c r="A15" s="8">
        <v>11</v>
      </c>
      <c r="B15" s="2" t="s">
        <v>43</v>
      </c>
      <c r="C15" s="24" t="s">
        <v>8</v>
      </c>
      <c r="D15" s="2" t="s">
        <v>17</v>
      </c>
      <c r="E15" s="16" t="s">
        <v>44</v>
      </c>
      <c r="F15" s="2" t="s">
        <v>22</v>
      </c>
      <c r="G15" s="2">
        <v>30</v>
      </c>
      <c r="H15" s="3">
        <v>90</v>
      </c>
      <c r="I15" s="25">
        <f t="shared" si="0"/>
        <v>2700</v>
      </c>
    </row>
    <row r="16" spans="1:11" ht="45" x14ac:dyDescent="0.25">
      <c r="A16" s="8">
        <v>12</v>
      </c>
      <c r="B16" s="2" t="s">
        <v>45</v>
      </c>
      <c r="C16" s="24" t="s">
        <v>8</v>
      </c>
      <c r="D16" s="2" t="s">
        <v>17</v>
      </c>
      <c r="E16" s="16" t="s">
        <v>46</v>
      </c>
      <c r="F16" s="2" t="s">
        <v>22</v>
      </c>
      <c r="G16" s="2">
        <v>60</v>
      </c>
      <c r="H16" s="3">
        <v>70</v>
      </c>
      <c r="I16" s="25">
        <f t="shared" si="0"/>
        <v>4200</v>
      </c>
    </row>
    <row r="17" spans="1:11" ht="45" x14ac:dyDescent="0.25">
      <c r="A17" s="8">
        <v>13</v>
      </c>
      <c r="B17" s="2" t="s">
        <v>47</v>
      </c>
      <c r="C17" s="24" t="s">
        <v>8</v>
      </c>
      <c r="D17" s="27" t="s">
        <v>24</v>
      </c>
      <c r="E17" s="16" t="s">
        <v>48</v>
      </c>
      <c r="F17" s="2" t="s">
        <v>22</v>
      </c>
      <c r="G17" s="2">
        <v>80</v>
      </c>
      <c r="H17" s="3">
        <v>290</v>
      </c>
      <c r="I17" s="28">
        <f t="shared" si="0"/>
        <v>23200</v>
      </c>
    </row>
    <row r="18" spans="1:11" ht="22.5" x14ac:dyDescent="0.25">
      <c r="A18" s="8">
        <v>14</v>
      </c>
      <c r="B18" s="2" t="s">
        <v>10</v>
      </c>
      <c r="C18" s="24" t="s">
        <v>8</v>
      </c>
      <c r="D18" s="2" t="s">
        <v>17</v>
      </c>
      <c r="E18" s="16" t="s">
        <v>12</v>
      </c>
      <c r="F18" s="2" t="s">
        <v>49</v>
      </c>
      <c r="G18" s="2">
        <v>80</v>
      </c>
      <c r="H18" s="3">
        <v>780</v>
      </c>
      <c r="I18" s="25">
        <f t="shared" si="0"/>
        <v>62400</v>
      </c>
    </row>
    <row r="19" spans="1:11" ht="22.5" x14ac:dyDescent="0.25">
      <c r="A19" s="8">
        <v>15</v>
      </c>
      <c r="B19" s="2" t="s">
        <v>50</v>
      </c>
      <c r="C19" s="24" t="s">
        <v>8</v>
      </c>
      <c r="D19" s="2" t="s">
        <v>17</v>
      </c>
      <c r="E19" s="16" t="s">
        <v>51</v>
      </c>
      <c r="F19" s="2" t="s">
        <v>22</v>
      </c>
      <c r="G19" s="2">
        <v>30</v>
      </c>
      <c r="H19" s="3">
        <v>250</v>
      </c>
      <c r="I19" s="25">
        <f t="shared" si="0"/>
        <v>7500</v>
      </c>
    </row>
    <row r="20" spans="1:11" ht="30" x14ac:dyDescent="0.25">
      <c r="A20" s="8">
        <v>16</v>
      </c>
      <c r="B20" s="2" t="s">
        <v>52</v>
      </c>
      <c r="C20" s="24" t="s">
        <v>8</v>
      </c>
      <c r="D20" s="2" t="s">
        <v>17</v>
      </c>
      <c r="E20" s="16" t="s">
        <v>53</v>
      </c>
      <c r="F20" s="2" t="s">
        <v>49</v>
      </c>
      <c r="G20" s="2">
        <v>150</v>
      </c>
      <c r="H20" s="3">
        <v>780</v>
      </c>
      <c r="I20" s="25">
        <f t="shared" si="0"/>
        <v>117000</v>
      </c>
    </row>
    <row r="21" spans="1:11" ht="45" x14ac:dyDescent="0.25">
      <c r="A21" s="8">
        <v>17</v>
      </c>
      <c r="B21" s="2" t="s">
        <v>54</v>
      </c>
      <c r="C21" s="24" t="s">
        <v>8</v>
      </c>
      <c r="D21" s="31" t="s">
        <v>55</v>
      </c>
      <c r="E21" s="16" t="s">
        <v>56</v>
      </c>
      <c r="F21" s="2" t="s">
        <v>57</v>
      </c>
      <c r="G21" s="2">
        <v>80</v>
      </c>
      <c r="H21" s="3">
        <v>180</v>
      </c>
      <c r="I21" s="32">
        <f t="shared" si="0"/>
        <v>14400</v>
      </c>
    </row>
    <row r="22" spans="1:11" ht="30" x14ac:dyDescent="0.25">
      <c r="A22" s="8">
        <v>18</v>
      </c>
      <c r="B22" s="2" t="s">
        <v>58</v>
      </c>
      <c r="C22" s="24" t="s">
        <v>8</v>
      </c>
      <c r="D22" s="31" t="s">
        <v>55</v>
      </c>
      <c r="E22" s="16" t="s">
        <v>59</v>
      </c>
      <c r="F22" s="2" t="s">
        <v>57</v>
      </c>
      <c r="G22" s="2">
        <v>200</v>
      </c>
      <c r="H22" s="3">
        <v>95</v>
      </c>
      <c r="I22" s="32">
        <f t="shared" si="0"/>
        <v>19000</v>
      </c>
    </row>
    <row r="23" spans="1:11" ht="30" x14ac:dyDescent="0.25">
      <c r="A23" s="8">
        <v>19</v>
      </c>
      <c r="B23" s="2" t="s">
        <v>60</v>
      </c>
      <c r="C23" s="24" t="s">
        <v>8</v>
      </c>
      <c r="D23" s="31" t="s">
        <v>55</v>
      </c>
      <c r="E23" s="16" t="s">
        <v>61</v>
      </c>
      <c r="F23" s="2" t="s">
        <v>62</v>
      </c>
      <c r="G23" s="2">
        <v>550</v>
      </c>
      <c r="H23" s="3">
        <v>1800</v>
      </c>
      <c r="I23" s="32">
        <f t="shared" si="0"/>
        <v>990000</v>
      </c>
    </row>
    <row r="24" spans="1:11" ht="30" x14ac:dyDescent="0.25">
      <c r="A24" s="8">
        <v>20</v>
      </c>
      <c r="B24" s="2" t="s">
        <v>9</v>
      </c>
      <c r="C24" s="24" t="s">
        <v>8</v>
      </c>
      <c r="D24" s="31" t="s">
        <v>55</v>
      </c>
      <c r="E24" s="33" t="s">
        <v>63</v>
      </c>
      <c r="F24" s="40" t="s">
        <v>64</v>
      </c>
      <c r="G24" s="17">
        <v>400</v>
      </c>
      <c r="H24" s="3">
        <v>3000</v>
      </c>
      <c r="I24" s="32">
        <f t="shared" si="0"/>
        <v>1200000</v>
      </c>
      <c r="J24" s="34"/>
    </row>
    <row r="25" spans="1:11" ht="22.5" x14ac:dyDescent="0.25">
      <c r="A25" s="8">
        <v>21</v>
      </c>
      <c r="B25" s="2" t="s">
        <v>65</v>
      </c>
      <c r="C25" s="24" t="s">
        <v>8</v>
      </c>
      <c r="D25" s="2" t="s">
        <v>17</v>
      </c>
      <c r="E25" s="16" t="s">
        <v>66</v>
      </c>
      <c r="F25" s="2" t="s">
        <v>22</v>
      </c>
      <c r="G25" s="2">
        <v>50</v>
      </c>
      <c r="H25" s="3">
        <v>92</v>
      </c>
      <c r="I25" s="25">
        <f t="shared" si="0"/>
        <v>4600</v>
      </c>
    </row>
    <row r="26" spans="1:11" ht="22.5" x14ac:dyDescent="0.25">
      <c r="A26" s="8">
        <v>22</v>
      </c>
      <c r="B26" s="2" t="s">
        <v>67</v>
      </c>
      <c r="C26" s="24" t="s">
        <v>8</v>
      </c>
      <c r="D26" s="2" t="s">
        <v>17</v>
      </c>
      <c r="E26" s="16" t="s">
        <v>68</v>
      </c>
      <c r="F26" s="2" t="s">
        <v>22</v>
      </c>
      <c r="G26" s="2">
        <v>50</v>
      </c>
      <c r="H26" s="3">
        <v>250</v>
      </c>
      <c r="I26" s="25">
        <f t="shared" si="0"/>
        <v>12500</v>
      </c>
    </row>
    <row r="27" spans="1:11" ht="24.75" x14ac:dyDescent="0.25">
      <c r="A27" s="26">
        <v>23</v>
      </c>
      <c r="B27" s="2" t="s">
        <v>69</v>
      </c>
      <c r="C27" s="24" t="s">
        <v>8</v>
      </c>
      <c r="D27" s="2" t="s">
        <v>17</v>
      </c>
      <c r="E27" s="16" t="s">
        <v>70</v>
      </c>
      <c r="F27" s="2" t="s">
        <v>71</v>
      </c>
      <c r="G27" s="2">
        <v>400</v>
      </c>
      <c r="H27" s="3">
        <v>420</v>
      </c>
      <c r="I27" s="25">
        <f t="shared" si="0"/>
        <v>168000</v>
      </c>
      <c r="J27" s="29" t="s">
        <v>72</v>
      </c>
      <c r="K27" s="35" t="s">
        <v>73</v>
      </c>
    </row>
    <row r="28" spans="1:11" ht="23.25" thickBot="1" x14ac:dyDescent="0.3">
      <c r="A28" s="9">
        <v>24</v>
      </c>
      <c r="B28" s="10" t="s">
        <v>74</v>
      </c>
      <c r="C28" s="36" t="s">
        <v>8</v>
      </c>
      <c r="D28" s="10" t="s">
        <v>17</v>
      </c>
      <c r="E28" s="11" t="s">
        <v>75</v>
      </c>
      <c r="F28" s="10" t="s">
        <v>76</v>
      </c>
      <c r="G28" s="10">
        <v>70</v>
      </c>
      <c r="H28" s="12">
        <v>456.25</v>
      </c>
      <c r="I28" s="37">
        <f t="shared" si="0"/>
        <v>31937.5</v>
      </c>
    </row>
    <row r="29" spans="1:11" ht="15.75" thickBot="1" x14ac:dyDescent="0.3"/>
    <row r="30" spans="1:11" ht="15.75" thickBot="1" x14ac:dyDescent="0.3">
      <c r="B30" s="42" t="s">
        <v>77</v>
      </c>
      <c r="C30" s="42"/>
      <c r="D30" s="42"/>
      <c r="E30" s="42"/>
      <c r="F30" s="42"/>
      <c r="G30" s="42"/>
      <c r="I30" s="13">
        <f>SUM(I5:I29)</f>
        <v>2829057.5</v>
      </c>
    </row>
    <row r="31" spans="1:11" x14ac:dyDescent="0.25">
      <c r="B31" s="41" t="s">
        <v>78</v>
      </c>
      <c r="C31" s="41"/>
      <c r="D31" s="41"/>
      <c r="E31" s="41"/>
      <c r="F31" s="41"/>
      <c r="G31" s="41"/>
    </row>
    <row r="32" spans="1:11" x14ac:dyDescent="0.25">
      <c r="B32" s="41"/>
      <c r="C32" s="41"/>
      <c r="D32" s="41"/>
      <c r="E32" s="41"/>
      <c r="F32" s="41"/>
      <c r="G32" s="41"/>
      <c r="I32" s="15" t="s">
        <v>13</v>
      </c>
    </row>
    <row r="33" spans="2:10" x14ac:dyDescent="0.25">
      <c r="B33" s="42" t="s">
        <v>79</v>
      </c>
      <c r="C33" s="42"/>
      <c r="D33" s="42"/>
      <c r="E33" s="42"/>
      <c r="F33" s="42"/>
      <c r="G33" s="42"/>
      <c r="I33" s="14">
        <v>234</v>
      </c>
      <c r="J33" s="18">
        <f>I21+I22+I23+I24</f>
        <v>2223400</v>
      </c>
    </row>
    <row r="34" spans="2:10" x14ac:dyDescent="0.25">
      <c r="I34" s="14">
        <v>254</v>
      </c>
      <c r="J34" s="18">
        <f>I7+I17</f>
        <v>54700</v>
      </c>
    </row>
    <row r="35" spans="2:10" ht="15.75" thickBot="1" x14ac:dyDescent="0.3">
      <c r="I35" s="14">
        <v>291</v>
      </c>
      <c r="J35" s="38">
        <v>550957.5</v>
      </c>
    </row>
    <row r="36" spans="2:10" x14ac:dyDescent="0.25">
      <c r="J36" s="39">
        <f>SUBTOTAL(9,J33:J35)</f>
        <v>2829057.5</v>
      </c>
    </row>
  </sheetData>
  <mergeCells count="3">
    <mergeCell ref="B30:G30"/>
    <mergeCell ref="B31:G32"/>
    <mergeCell ref="B33:G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2021-06-22T12:47:22Z</dcterms:created>
  <dcterms:modified xsi:type="dcterms:W3CDTF">2021-08-09T15:53:57Z</dcterms:modified>
</cp:coreProperties>
</file>